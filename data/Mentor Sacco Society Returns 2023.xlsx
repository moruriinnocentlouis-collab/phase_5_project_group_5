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3/MENTOR- 2648/Returns/"/>
    </mc:Choice>
  </mc:AlternateContent>
  <xr:revisionPtr revIDLastSave="142" documentId="11_764F4202046CDB68ABB1AFEAE5894CE2E7A1A966" xr6:coauthVersionLast="47" xr6:coauthVersionMax="47" xr10:uidLastSave="{B43DA4B0-A489-4250-8050-B2507C5B4A80}"/>
  <bookViews>
    <workbookView xWindow="-108" yWindow="-108" windowWidth="23256" windowHeight="12456" firstSheet="1" xr2:uid="{00000000-000D-0000-FFFF-FFFF00000000}"/>
  </bookViews>
  <sheets>
    <sheet name="SFP" sheetId="4" r:id="rId1"/>
    <sheet name="SCI" sheetId="7" r:id="rId2"/>
    <sheet name="Financials" sheetId="6" r:id="rId3"/>
    <sheet name="Prudential Ratios" sheetId="5" r:id="rId4"/>
    <sheet name="caels" sheetId="8" r:id="rId5"/>
    <sheet name="F4" sheetId="30" r:id="rId6"/>
    <sheet name="F4 Mar 17" sheetId="24" state="hidden" r:id="rId7"/>
    <sheet name="F4 June 17" sheetId="25" state="hidden" r:id="rId8"/>
    <sheet name="F4 Sept 17" sheetId="26" state="hidden" r:id="rId9"/>
    <sheet name="F4 Dec 17" sheetId="27" state="hidden" r:id="rId10"/>
    <sheet name="Sheet1" sheetId="28" r:id="rId11"/>
    <sheet name="Sheet2" sheetId="29" r:id="rId12"/>
    <sheet name="Dec 2013" sheetId="15" state="hidden" r:id="rId13"/>
  </sheets>
  <externalReferences>
    <externalReference r:id="rId14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Ratios'!#REF!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1">SCI!$A$1:$U$37</definedName>
    <definedName name="_xlnm.Print_Area" localSheetId="0">SFP!$A$1:$U$51</definedName>
    <definedName name="units">'[1]SASRA B.S.'!$C$2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51" i="4" l="1"/>
  <c r="CP51" i="4"/>
  <c r="CO52" i="4"/>
  <c r="CL21" i="6"/>
  <c r="CN19" i="6"/>
  <c r="CL31" i="4"/>
  <c r="CM6" i="6" s="1"/>
  <c r="CL32" i="4"/>
  <c r="CN17" i="8"/>
  <c r="CO17" i="8"/>
  <c r="CN20" i="8"/>
  <c r="CO20" i="8"/>
  <c r="CN21" i="8"/>
  <c r="CO21" i="8"/>
  <c r="CN22" i="8"/>
  <c r="CO22" i="8"/>
  <c r="CN23" i="8"/>
  <c r="CO23" i="8"/>
  <c r="CM7" i="6"/>
  <c r="CM8" i="6"/>
  <c r="CN8" i="6"/>
  <c r="CO8" i="6"/>
  <c r="CP8" i="6"/>
  <c r="CQ8" i="6"/>
  <c r="CR8" i="6"/>
  <c r="CS8" i="6"/>
  <c r="CT8" i="6"/>
  <c r="CM9" i="6"/>
  <c r="CN9" i="6"/>
  <c r="CO9" i="6"/>
  <c r="CP9" i="6"/>
  <c r="CQ9" i="6"/>
  <c r="CR9" i="6"/>
  <c r="CS9" i="6"/>
  <c r="CT9" i="6"/>
  <c r="CM18" i="6"/>
  <c r="CN18" i="6"/>
  <c r="CO18" i="6"/>
  <c r="CP18" i="6"/>
  <c r="CQ18" i="6"/>
  <c r="CR18" i="6"/>
  <c r="CS18" i="6"/>
  <c r="CT18" i="6"/>
  <c r="CM19" i="6"/>
  <c r="CO19" i="6"/>
  <c r="CP19" i="6"/>
  <c r="CQ19" i="6"/>
  <c r="CR19" i="6"/>
  <c r="CS19" i="6"/>
  <c r="CT19" i="6"/>
  <c r="CM20" i="6"/>
  <c r="CN20" i="6"/>
  <c r="CO20" i="6"/>
  <c r="CP20" i="6"/>
  <c r="CQ20" i="6"/>
  <c r="CR20" i="6"/>
  <c r="CS20" i="6"/>
  <c r="CT20" i="6"/>
  <c r="CM21" i="6"/>
  <c r="CN21" i="6"/>
  <c r="CO21" i="6"/>
  <c r="CP21" i="6"/>
  <c r="CQ21" i="6"/>
  <c r="CR21" i="6"/>
  <c r="CS21" i="6"/>
  <c r="CT21" i="6"/>
  <c r="CM27" i="6"/>
  <c r="CN27" i="6"/>
  <c r="CO27" i="6"/>
  <c r="CP27" i="6"/>
  <c r="CQ27" i="6"/>
  <c r="CR27" i="6"/>
  <c r="CS27" i="6"/>
  <c r="CT27" i="6"/>
  <c r="CM28" i="6"/>
  <c r="CN28" i="6"/>
  <c r="CO28" i="6"/>
  <c r="CP28" i="6"/>
  <c r="CQ28" i="6"/>
  <c r="CR28" i="6"/>
  <c r="CS28" i="6"/>
  <c r="CT28" i="6"/>
  <c r="CM29" i="6"/>
  <c r="CN29" i="6"/>
  <c r="CO29" i="6"/>
  <c r="CP29" i="6"/>
  <c r="CQ29" i="6"/>
  <c r="CR29" i="6"/>
  <c r="CR26" i="6" s="1"/>
  <c r="CS29" i="6"/>
  <c r="CT29" i="6"/>
  <c r="CM32" i="6"/>
  <c r="CN32" i="6"/>
  <c r="CO32" i="6"/>
  <c r="CP32" i="6"/>
  <c r="CQ32" i="6"/>
  <c r="CR32" i="6"/>
  <c r="CS32" i="6"/>
  <c r="CT32" i="6"/>
  <c r="CM33" i="6"/>
  <c r="CN33" i="6"/>
  <c r="CO33" i="6"/>
  <c r="CP33" i="6"/>
  <c r="CQ33" i="6"/>
  <c r="CR33" i="6"/>
  <c r="CS33" i="6"/>
  <c r="CT33" i="6"/>
  <c r="CM38" i="6"/>
  <c r="CN38" i="6"/>
  <c r="CO38" i="6"/>
  <c r="CP38" i="6"/>
  <c r="CQ38" i="6"/>
  <c r="CR38" i="6"/>
  <c r="CS38" i="6"/>
  <c r="CT38" i="6"/>
  <c r="CM39" i="6"/>
  <c r="CN39" i="6"/>
  <c r="CO39" i="6"/>
  <c r="CP39" i="6"/>
  <c r="CQ39" i="6"/>
  <c r="CR39" i="6"/>
  <c r="CS39" i="6"/>
  <c r="CT39" i="6"/>
  <c r="CM42" i="6"/>
  <c r="CN42" i="6"/>
  <c r="CO42" i="6"/>
  <c r="CP42" i="6"/>
  <c r="CQ42" i="6"/>
  <c r="CR42" i="6"/>
  <c r="CS42" i="6"/>
  <c r="CT42" i="6"/>
  <c r="CM44" i="6"/>
  <c r="CN44" i="6"/>
  <c r="CO44" i="6"/>
  <c r="CP44" i="6"/>
  <c r="CQ44" i="6"/>
  <c r="CR44" i="6"/>
  <c r="CS44" i="6"/>
  <c r="CT44" i="6"/>
  <c r="CM45" i="6"/>
  <c r="CN45" i="6"/>
  <c r="CO45" i="6"/>
  <c r="CP45" i="6"/>
  <c r="CQ45" i="6"/>
  <c r="CR45" i="6"/>
  <c r="CS45" i="6"/>
  <c r="CT45" i="6"/>
  <c r="CM48" i="6"/>
  <c r="CN48" i="6"/>
  <c r="CO48" i="6"/>
  <c r="CP48" i="6"/>
  <c r="CQ48" i="6"/>
  <c r="CR48" i="6"/>
  <c r="CS48" i="6"/>
  <c r="CT48" i="6"/>
  <c r="CM49" i="6"/>
  <c r="CN49" i="6"/>
  <c r="CO49" i="6"/>
  <c r="CP49" i="6"/>
  <c r="CQ49" i="6"/>
  <c r="CR49" i="6"/>
  <c r="CS49" i="6"/>
  <c r="CT49" i="6"/>
  <c r="CM50" i="6"/>
  <c r="CN50" i="6"/>
  <c r="CO50" i="6"/>
  <c r="CP50" i="6"/>
  <c r="CQ50" i="6"/>
  <c r="CR50" i="6"/>
  <c r="CS50" i="6"/>
  <c r="CT50" i="6"/>
  <c r="CM51" i="6"/>
  <c r="CN51" i="6"/>
  <c r="CO51" i="6"/>
  <c r="CP51" i="6"/>
  <c r="CQ51" i="6"/>
  <c r="CR51" i="6"/>
  <c r="CS51" i="6"/>
  <c r="CT51" i="6"/>
  <c r="CM52" i="6"/>
  <c r="CN52" i="6"/>
  <c r="CO52" i="6"/>
  <c r="CP52" i="6"/>
  <c r="CQ52" i="6"/>
  <c r="CR52" i="6"/>
  <c r="CS52" i="6"/>
  <c r="CT52" i="6"/>
  <c r="CM53" i="6"/>
  <c r="CN53" i="6"/>
  <c r="CO53" i="6"/>
  <c r="CP53" i="6"/>
  <c r="CQ53" i="6"/>
  <c r="CR53" i="6"/>
  <c r="CS53" i="6"/>
  <c r="CT53" i="6"/>
  <c r="CM16" i="5"/>
  <c r="BV8" i="6"/>
  <c r="BW8" i="6"/>
  <c r="BX8" i="6"/>
  <c r="BY8" i="6"/>
  <c r="BZ8" i="6"/>
  <c r="CA8" i="6"/>
  <c r="CB8" i="6"/>
  <c r="CC8" i="6"/>
  <c r="CD8" i="6"/>
  <c r="CE8" i="6"/>
  <c r="CF8" i="6"/>
  <c r="CG8" i="6"/>
  <c r="CI8" i="6"/>
  <c r="CJ8" i="6"/>
  <c r="CK8" i="6"/>
  <c r="CL8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CI19" i="6"/>
  <c r="CJ19" i="6"/>
  <c r="CK19" i="6"/>
  <c r="CL19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BV21" i="6"/>
  <c r="BW21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J21" i="6"/>
  <c r="CK21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CH28" i="6"/>
  <c r="CI28" i="6"/>
  <c r="CJ28" i="6"/>
  <c r="CK28" i="6"/>
  <c r="CL28" i="6"/>
  <c r="BV29" i="6"/>
  <c r="BW29" i="6"/>
  <c r="BX29" i="6"/>
  <c r="BY29" i="6"/>
  <c r="BZ29" i="6"/>
  <c r="CA29" i="6"/>
  <c r="CB29" i="6"/>
  <c r="CC29" i="6"/>
  <c r="CD29" i="6"/>
  <c r="CE29" i="6"/>
  <c r="CF29" i="6"/>
  <c r="CG29" i="6"/>
  <c r="CI29" i="6"/>
  <c r="CJ29" i="6"/>
  <c r="CK29" i="6"/>
  <c r="CL29" i="6"/>
  <c r="BV32" i="6"/>
  <c r="BV16" i="5" s="1"/>
  <c r="BW32" i="6"/>
  <c r="BX32" i="6"/>
  <c r="BY32" i="6"/>
  <c r="BZ32" i="6"/>
  <c r="CA32" i="6"/>
  <c r="CB32" i="6"/>
  <c r="CC32" i="6"/>
  <c r="CD32" i="6"/>
  <c r="CD16" i="5" s="1"/>
  <c r="CE32" i="6"/>
  <c r="CF32" i="6"/>
  <c r="CG32" i="6"/>
  <c r="CH32" i="6"/>
  <c r="CI32" i="6"/>
  <c r="CJ32" i="6"/>
  <c r="CK32" i="6"/>
  <c r="CL32" i="6"/>
  <c r="CL16" i="5" s="1"/>
  <c r="BV33" i="6"/>
  <c r="BV31" i="6" s="1"/>
  <c r="BW33" i="6"/>
  <c r="BX33" i="6"/>
  <c r="BY33" i="6"/>
  <c r="BZ33" i="6"/>
  <c r="CA33" i="6"/>
  <c r="CB33" i="6"/>
  <c r="CC33" i="6"/>
  <c r="CD33" i="6"/>
  <c r="CD31" i="6" s="1"/>
  <c r="CE33" i="6"/>
  <c r="CF33" i="6"/>
  <c r="CG33" i="6"/>
  <c r="CH33" i="6"/>
  <c r="CI33" i="6"/>
  <c r="CJ33" i="6"/>
  <c r="CK33" i="6"/>
  <c r="CL33" i="6"/>
  <c r="CL31" i="6" s="1"/>
  <c r="BV38" i="6"/>
  <c r="BW38" i="6"/>
  <c r="BX38" i="6"/>
  <c r="BY38" i="6"/>
  <c r="BZ38" i="6"/>
  <c r="CA38" i="6"/>
  <c r="CB38" i="6"/>
  <c r="CC38" i="6"/>
  <c r="CD38" i="6"/>
  <c r="CE38" i="6"/>
  <c r="CF38" i="6"/>
  <c r="CG38" i="6"/>
  <c r="CH38" i="6"/>
  <c r="CI38" i="6"/>
  <c r="CJ38" i="6"/>
  <c r="CK38" i="6"/>
  <c r="CL38" i="6"/>
  <c r="BV39" i="6"/>
  <c r="BW39" i="6"/>
  <c r="BX39" i="6"/>
  <c r="BY39" i="6"/>
  <c r="BZ39" i="6"/>
  <c r="CA39" i="6"/>
  <c r="CB39" i="6"/>
  <c r="CC39" i="6"/>
  <c r="CD39" i="6"/>
  <c r="CE39" i="6"/>
  <c r="CF39" i="6"/>
  <c r="CG39" i="6"/>
  <c r="CH39" i="6"/>
  <c r="CI39" i="6"/>
  <c r="CJ39" i="6"/>
  <c r="CK39" i="6"/>
  <c r="CL39" i="6"/>
  <c r="BV42" i="6"/>
  <c r="BW42" i="6"/>
  <c r="BX42" i="6"/>
  <c r="BY42" i="6"/>
  <c r="BZ42" i="6"/>
  <c r="CA42" i="6"/>
  <c r="CB42" i="6"/>
  <c r="CC42" i="6"/>
  <c r="CD42" i="6"/>
  <c r="CE42" i="6"/>
  <c r="CF42" i="6"/>
  <c r="CG42" i="6"/>
  <c r="CH42" i="6"/>
  <c r="CI42" i="6"/>
  <c r="CJ42" i="6"/>
  <c r="CK42" i="6"/>
  <c r="CL42" i="6"/>
  <c r="BV44" i="6"/>
  <c r="BW44" i="6"/>
  <c r="BX44" i="6"/>
  <c r="BY44" i="6"/>
  <c r="BZ44" i="6"/>
  <c r="CA44" i="6"/>
  <c r="CB44" i="6"/>
  <c r="CC44" i="6"/>
  <c r="CD44" i="6"/>
  <c r="CE44" i="6"/>
  <c r="CF44" i="6"/>
  <c r="CG44" i="6"/>
  <c r="CI44" i="6"/>
  <c r="CJ44" i="6"/>
  <c r="CK44" i="6"/>
  <c r="CL44" i="6"/>
  <c r="BV45" i="6"/>
  <c r="BX45" i="6"/>
  <c r="BY45" i="6"/>
  <c r="CC45" i="6"/>
  <c r="CD45" i="6"/>
  <c r="CF45" i="6"/>
  <c r="CG45" i="6"/>
  <c r="CK45" i="6"/>
  <c r="CL45" i="6"/>
  <c r="BV48" i="6"/>
  <c r="BW48" i="6"/>
  <c r="BX48" i="6"/>
  <c r="BY48" i="6"/>
  <c r="BZ48" i="6"/>
  <c r="CA48" i="6"/>
  <c r="CB48" i="6"/>
  <c r="CC48" i="6"/>
  <c r="CD48" i="6"/>
  <c r="CE48" i="6"/>
  <c r="CF48" i="6"/>
  <c r="CG48" i="6"/>
  <c r="CH48" i="6"/>
  <c r="CI48" i="6"/>
  <c r="CJ48" i="6"/>
  <c r="CK48" i="6"/>
  <c r="CL48" i="6"/>
  <c r="BV49" i="6"/>
  <c r="BW49" i="6"/>
  <c r="BW41" i="5" s="1"/>
  <c r="BX49" i="6"/>
  <c r="BX41" i="5" s="1"/>
  <c r="BY49" i="6"/>
  <c r="BY41" i="5" s="1"/>
  <c r="BZ49" i="6"/>
  <c r="BZ41" i="5" s="1"/>
  <c r="CA49" i="6"/>
  <c r="CA41" i="5" s="1"/>
  <c r="CB49" i="6"/>
  <c r="CB41" i="5" s="1"/>
  <c r="CC49" i="6"/>
  <c r="CD49" i="6"/>
  <c r="CD41" i="5" s="1"/>
  <c r="CE49" i="6"/>
  <c r="CE41" i="5" s="1"/>
  <c r="CF49" i="6"/>
  <c r="CF41" i="5" s="1"/>
  <c r="CG49" i="6"/>
  <c r="CG41" i="5" s="1"/>
  <c r="CH49" i="6"/>
  <c r="CH41" i="5" s="1"/>
  <c r="CI49" i="6"/>
  <c r="CI41" i="5" s="1"/>
  <c r="CJ49" i="6"/>
  <c r="CJ41" i="5" s="1"/>
  <c r="CK49" i="6"/>
  <c r="CL49" i="6"/>
  <c r="CL41" i="5" s="1"/>
  <c r="BV50" i="6"/>
  <c r="BW50" i="6"/>
  <c r="BW42" i="5" s="1"/>
  <c r="BX50" i="6"/>
  <c r="BX42" i="5" s="1"/>
  <c r="BY50" i="6"/>
  <c r="BY42" i="5" s="1"/>
  <c r="BZ50" i="6"/>
  <c r="BZ42" i="5" s="1"/>
  <c r="CA50" i="6"/>
  <c r="CA42" i="5" s="1"/>
  <c r="CB50" i="6"/>
  <c r="CB42" i="5" s="1"/>
  <c r="CC50" i="6"/>
  <c r="CC42" i="5" s="1"/>
  <c r="CD50" i="6"/>
  <c r="CD42" i="5" s="1"/>
  <c r="CE50" i="6"/>
  <c r="CE42" i="5" s="1"/>
  <c r="CF50" i="6"/>
  <c r="CF42" i="5" s="1"/>
  <c r="CG50" i="6"/>
  <c r="CG42" i="5" s="1"/>
  <c r="CH50" i="6"/>
  <c r="CH42" i="5" s="1"/>
  <c r="CI50" i="6"/>
  <c r="CI42" i="5" s="1"/>
  <c r="CJ50" i="6"/>
  <c r="CJ42" i="5" s="1"/>
  <c r="CK50" i="6"/>
  <c r="CK42" i="5" s="1"/>
  <c r="CL50" i="6"/>
  <c r="CL42" i="5" s="1"/>
  <c r="BV51" i="6"/>
  <c r="BW51" i="6"/>
  <c r="BX51" i="6"/>
  <c r="BY51" i="6"/>
  <c r="BZ51" i="6"/>
  <c r="CA51" i="6"/>
  <c r="CB51" i="6"/>
  <c r="CC51" i="6"/>
  <c r="CD51" i="6"/>
  <c r="CE51" i="6"/>
  <c r="CF51" i="6"/>
  <c r="CG51" i="6"/>
  <c r="CH51" i="6"/>
  <c r="CI51" i="6"/>
  <c r="CJ51" i="6"/>
  <c r="CK51" i="6"/>
  <c r="CL51" i="6"/>
  <c r="BV52" i="6"/>
  <c r="BW52" i="6"/>
  <c r="BX52" i="6"/>
  <c r="BY52" i="6"/>
  <c r="BZ52" i="6"/>
  <c r="CA52" i="6"/>
  <c r="CB52" i="6"/>
  <c r="CC52" i="6"/>
  <c r="CD52" i="6"/>
  <c r="CE52" i="6"/>
  <c r="CF52" i="6"/>
  <c r="CG52" i="6"/>
  <c r="CH52" i="6"/>
  <c r="CI52" i="6"/>
  <c r="CJ52" i="6"/>
  <c r="CK52" i="6"/>
  <c r="CL52" i="6"/>
  <c r="BV53" i="6"/>
  <c r="BW53" i="6"/>
  <c r="BX53" i="6"/>
  <c r="BY53" i="6"/>
  <c r="BZ53" i="6"/>
  <c r="CA53" i="6"/>
  <c r="CB53" i="6"/>
  <c r="CC53" i="6"/>
  <c r="CD53" i="6"/>
  <c r="CE53" i="6"/>
  <c r="CF53" i="6"/>
  <c r="CG53" i="6"/>
  <c r="CH53" i="6"/>
  <c r="CI53" i="6"/>
  <c r="CJ53" i="6"/>
  <c r="CK53" i="6"/>
  <c r="CL53" i="6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43" i="6" s="1"/>
  <c r="BV7" i="7"/>
  <c r="BW43" i="6" s="1"/>
  <c r="BW7" i="7"/>
  <c r="BX43" i="6" s="1"/>
  <c r="BX7" i="7"/>
  <c r="BY43" i="6" s="1"/>
  <c r="BY7" i="7"/>
  <c r="BZ43" i="6" s="1"/>
  <c r="BZ7" i="7"/>
  <c r="CA43" i="6" s="1"/>
  <c r="CA7" i="7"/>
  <c r="CB43" i="6" s="1"/>
  <c r="CB7" i="7"/>
  <c r="CC43" i="6" s="1"/>
  <c r="CC7" i="7"/>
  <c r="CD43" i="6" s="1"/>
  <c r="CD7" i="7"/>
  <c r="CE43" i="6" s="1"/>
  <c r="CE7" i="7"/>
  <c r="CF43" i="6" s="1"/>
  <c r="CF7" i="7"/>
  <c r="CG43" i="6" s="1"/>
  <c r="CH7" i="7"/>
  <c r="CI43" i="6" s="1"/>
  <c r="CI7" i="7"/>
  <c r="CJ43" i="6" s="1"/>
  <c r="CJ7" i="7"/>
  <c r="CK43" i="6" s="1"/>
  <c r="CK7" i="7"/>
  <c r="CL43" i="6" s="1"/>
  <c r="CL7" i="7"/>
  <c r="CM43" i="6" s="1"/>
  <c r="CM7" i="7"/>
  <c r="CN43" i="6" s="1"/>
  <c r="CN7" i="7"/>
  <c r="CO43" i="6" s="1"/>
  <c r="CO7" i="7"/>
  <c r="CP43" i="6" s="1"/>
  <c r="CP7" i="7"/>
  <c r="CQ43" i="6" s="1"/>
  <c r="CQ7" i="7"/>
  <c r="CR43" i="6" s="1"/>
  <c r="CG44" i="4"/>
  <c r="CH19" i="6" s="1"/>
  <c r="CI50" i="4"/>
  <c r="CJ50" i="4"/>
  <c r="CK23" i="6" s="1"/>
  <c r="CK50" i="4"/>
  <c r="CL23" i="6" s="1"/>
  <c r="CL50" i="4"/>
  <c r="CM23" i="6" s="1"/>
  <c r="CM50" i="4"/>
  <c r="CN23" i="6" s="1"/>
  <c r="CN50" i="4"/>
  <c r="CO23" i="6" s="1"/>
  <c r="CO50" i="4"/>
  <c r="CP23" i="6" s="1"/>
  <c r="CP50" i="4"/>
  <c r="CQ23" i="6" s="1"/>
  <c r="CQ50" i="4"/>
  <c r="CR23" i="6" s="1"/>
  <c r="CR50" i="4"/>
  <c r="CS23" i="6" s="1"/>
  <c r="CS50" i="4"/>
  <c r="CT23" i="6" s="1"/>
  <c r="CT50" i="4"/>
  <c r="CI31" i="4"/>
  <c r="CJ31" i="4"/>
  <c r="CK31" i="4"/>
  <c r="CM31" i="4"/>
  <c r="CN31" i="4"/>
  <c r="CO31" i="4"/>
  <c r="CP31" i="4"/>
  <c r="CQ31" i="4"/>
  <c r="CR31" i="4"/>
  <c r="CS31" i="4"/>
  <c r="CT31" i="4"/>
  <c r="CI32" i="4"/>
  <c r="CJ32" i="4"/>
  <c r="CJ39" i="4" s="1"/>
  <c r="CK32" i="4"/>
  <c r="CM32" i="4"/>
  <c r="CN32" i="4"/>
  <c r="CO32" i="4"/>
  <c r="CP32" i="4"/>
  <c r="CQ32" i="4"/>
  <c r="CR32" i="4"/>
  <c r="CS32" i="4"/>
  <c r="CT32" i="4"/>
  <c r="CM20" i="4"/>
  <c r="CN20" i="4"/>
  <c r="CO20" i="4"/>
  <c r="CP20" i="4"/>
  <c r="CQ20" i="4"/>
  <c r="CR20" i="4"/>
  <c r="CS20" i="4"/>
  <c r="CT20" i="4"/>
  <c r="CU20" i="4"/>
  <c r="CH20" i="4"/>
  <c r="CI20" i="4"/>
  <c r="CJ20" i="4"/>
  <c r="CK20" i="4"/>
  <c r="CL20" i="4"/>
  <c r="CH13" i="4"/>
  <c r="CI52" i="5" s="1"/>
  <c r="CI13" i="4"/>
  <c r="CJ52" i="5" s="1"/>
  <c r="CJ13" i="4"/>
  <c r="CK52" i="5" s="1"/>
  <c r="CK13" i="4"/>
  <c r="CL52" i="5" s="1"/>
  <c r="CL13" i="4"/>
  <c r="CM52" i="5" s="1"/>
  <c r="CM13" i="4"/>
  <c r="CN13" i="4"/>
  <c r="CO13" i="4"/>
  <c r="CP13" i="4"/>
  <c r="CQ13" i="4"/>
  <c r="CR13" i="4"/>
  <c r="CS13" i="4"/>
  <c r="CT13" i="4"/>
  <c r="CT8" i="4"/>
  <c r="CH8" i="4"/>
  <c r="CI8" i="4"/>
  <c r="CJ8" i="4"/>
  <c r="CK8" i="4"/>
  <c r="CL8" i="4"/>
  <c r="CM8" i="4"/>
  <c r="CN8" i="4"/>
  <c r="CO8" i="4"/>
  <c r="CP8" i="4"/>
  <c r="CQ8" i="4"/>
  <c r="CR8" i="4"/>
  <c r="CS8" i="4"/>
  <c r="CH4" i="4"/>
  <c r="CI4" i="4"/>
  <c r="CJ4" i="4"/>
  <c r="CK4" i="4"/>
  <c r="CL4" i="4"/>
  <c r="CM36" i="6" s="1"/>
  <c r="CM4" i="4"/>
  <c r="CN36" i="6" s="1"/>
  <c r="CN4" i="4"/>
  <c r="CO4" i="4"/>
  <c r="CP4" i="4"/>
  <c r="CQ4" i="4"/>
  <c r="CR4" i="4"/>
  <c r="CS4" i="4"/>
  <c r="CT4" i="4"/>
  <c r="CT26" i="4" s="1"/>
  <c r="CH30" i="7"/>
  <c r="CI30" i="7"/>
  <c r="CJ30" i="7"/>
  <c r="CK30" i="7"/>
  <c r="CL30" i="7"/>
  <c r="CM30" i="7"/>
  <c r="CN30" i="7"/>
  <c r="CO30" i="7"/>
  <c r="CP30" i="7"/>
  <c r="CQ30" i="7"/>
  <c r="CR30" i="7"/>
  <c r="CS30" i="7"/>
  <c r="CN23" i="7"/>
  <c r="CO23" i="7"/>
  <c r="CP23" i="7"/>
  <c r="CQ23" i="7"/>
  <c r="CR23" i="7"/>
  <c r="CS23" i="7"/>
  <c r="CH23" i="7"/>
  <c r="CI23" i="7"/>
  <c r="CJ23" i="7"/>
  <c r="CK23" i="7"/>
  <c r="CL23" i="7"/>
  <c r="CM23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R7" i="7"/>
  <c r="CS43" i="6" s="1"/>
  <c r="CS7" i="7"/>
  <c r="CT43" i="6" s="1"/>
  <c r="CH4" i="7"/>
  <c r="CH3" i="7" s="1"/>
  <c r="CH19" i="7" s="1"/>
  <c r="CH29" i="7" s="1"/>
  <c r="CH33" i="7" s="1"/>
  <c r="CI4" i="7"/>
  <c r="CJ4" i="7"/>
  <c r="CK4" i="7"/>
  <c r="CL4" i="7"/>
  <c r="CL3" i="7" s="1"/>
  <c r="CM4" i="7"/>
  <c r="CN4" i="7"/>
  <c r="CN3" i="7" s="1"/>
  <c r="CN19" i="7" s="1"/>
  <c r="CN29" i="7" s="1"/>
  <c r="CN33" i="7" s="1"/>
  <c r="CN35" i="7" s="1"/>
  <c r="CN37" i="7" s="1"/>
  <c r="CO56" i="6" s="1"/>
  <c r="CO4" i="7"/>
  <c r="CO3" i="7" s="1"/>
  <c r="CO19" i="7" s="1"/>
  <c r="CO29" i="7" s="1"/>
  <c r="CO33" i="7" s="1"/>
  <c r="CO35" i="7" s="1"/>
  <c r="CO37" i="7" s="1"/>
  <c r="CP56" i="6" s="1"/>
  <c r="CP4" i="7"/>
  <c r="CP3" i="7" s="1"/>
  <c r="CP19" i="7" s="1"/>
  <c r="CP29" i="7" s="1"/>
  <c r="CP33" i="7" s="1"/>
  <c r="CP35" i="7" s="1"/>
  <c r="CP37" i="7" s="1"/>
  <c r="CQ56" i="6" s="1"/>
  <c r="CQ4" i="7"/>
  <c r="CQ3" i="7" s="1"/>
  <c r="CQ19" i="7" s="1"/>
  <c r="CQ29" i="7" s="1"/>
  <c r="CQ33" i="7" s="1"/>
  <c r="CQ35" i="7" s="1"/>
  <c r="CQ37" i="7" s="1"/>
  <c r="CR56" i="6" s="1"/>
  <c r="CR4" i="7"/>
  <c r="CR3" i="7" s="1"/>
  <c r="CR19" i="7" s="1"/>
  <c r="CR29" i="7" s="1"/>
  <c r="CR33" i="7" s="1"/>
  <c r="CR35" i="7" s="1"/>
  <c r="CR37" i="7" s="1"/>
  <c r="CS56" i="6" s="1"/>
  <c r="CS4" i="7"/>
  <c r="CS3" i="7" s="1"/>
  <c r="CS19" i="7" s="1"/>
  <c r="CS29" i="7" s="1"/>
  <c r="CS33" i="7" s="1"/>
  <c r="CS35" i="7" s="1"/>
  <c r="CS37" i="7" s="1"/>
  <c r="CT56" i="6" s="1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BJ17" i="8"/>
  <c r="BK17" i="8"/>
  <c r="BL17" i="8"/>
  <c r="BM17" i="8"/>
  <c r="BN17" i="8"/>
  <c r="BO17" i="8"/>
  <c r="BP17" i="8"/>
  <c r="BQ17" i="8"/>
  <c r="BR17" i="8"/>
  <c r="BS17" i="8"/>
  <c r="BT17" i="8"/>
  <c r="BU17" i="8"/>
  <c r="BV17" i="8"/>
  <c r="BW17" i="8"/>
  <c r="BX17" i="8"/>
  <c r="BY17" i="8"/>
  <c r="BZ17" i="8"/>
  <c r="CA17" i="8"/>
  <c r="CB17" i="8"/>
  <c r="CC17" i="8"/>
  <c r="CD17" i="8"/>
  <c r="CE17" i="8"/>
  <c r="CF17" i="8"/>
  <c r="CG17" i="8"/>
  <c r="CH17" i="8"/>
  <c r="CI17" i="8"/>
  <c r="CJ17" i="8"/>
  <c r="CK17" i="8"/>
  <c r="CL17" i="8"/>
  <c r="CM17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BJ20" i="8"/>
  <c r="BK20" i="8"/>
  <c r="BL20" i="8"/>
  <c r="BM20" i="8"/>
  <c r="BN20" i="8"/>
  <c r="BO20" i="8"/>
  <c r="BP20" i="8"/>
  <c r="BQ20" i="8"/>
  <c r="BR20" i="8"/>
  <c r="BS20" i="8"/>
  <c r="BT20" i="8"/>
  <c r="BU20" i="8"/>
  <c r="BV20" i="8"/>
  <c r="BW20" i="8"/>
  <c r="BX20" i="8"/>
  <c r="BY20" i="8"/>
  <c r="BZ20" i="8"/>
  <c r="CA20" i="8"/>
  <c r="CB20" i="8"/>
  <c r="CC20" i="8"/>
  <c r="CD20" i="8"/>
  <c r="CE20" i="8"/>
  <c r="CF20" i="8"/>
  <c r="CG20" i="8"/>
  <c r="CH20" i="8"/>
  <c r="CI20" i="8"/>
  <c r="CJ20" i="8"/>
  <c r="CK20" i="8"/>
  <c r="CL20" i="8"/>
  <c r="CM20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CH21" i="8"/>
  <c r="CI21" i="8"/>
  <c r="CJ21" i="8"/>
  <c r="CK21" i="8"/>
  <c r="CL21" i="8"/>
  <c r="CM21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BQ22" i="8"/>
  <c r="BR22" i="8"/>
  <c r="BS22" i="8"/>
  <c r="BT22" i="8"/>
  <c r="BU22" i="8"/>
  <c r="BV22" i="8"/>
  <c r="BW22" i="8"/>
  <c r="BX22" i="8"/>
  <c r="BY22" i="8"/>
  <c r="BZ22" i="8"/>
  <c r="CA22" i="8"/>
  <c r="CB22" i="8"/>
  <c r="CC22" i="8"/>
  <c r="CD22" i="8"/>
  <c r="CE22" i="8"/>
  <c r="CF22" i="8"/>
  <c r="CG22" i="8"/>
  <c r="CH22" i="8"/>
  <c r="CI22" i="8"/>
  <c r="CJ22" i="8"/>
  <c r="CK22" i="8"/>
  <c r="CL22" i="8"/>
  <c r="CM22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BQ23" i="8"/>
  <c r="BR23" i="8"/>
  <c r="BS23" i="8"/>
  <c r="BT23" i="8"/>
  <c r="BU23" i="8"/>
  <c r="BV23" i="8"/>
  <c r="BW23" i="8"/>
  <c r="BX23" i="8"/>
  <c r="BY23" i="8"/>
  <c r="BZ23" i="8"/>
  <c r="CA23" i="8"/>
  <c r="CB23" i="8"/>
  <c r="CC23" i="8"/>
  <c r="CD23" i="8"/>
  <c r="CE23" i="8"/>
  <c r="CF23" i="8"/>
  <c r="CG23" i="8"/>
  <c r="CH23" i="8"/>
  <c r="CI23" i="8"/>
  <c r="CJ23" i="8"/>
  <c r="CK23" i="8"/>
  <c r="CL23" i="8"/>
  <c r="CM23" i="8"/>
  <c r="CG12" i="7"/>
  <c r="CG6" i="7"/>
  <c r="CH44" i="6" s="1"/>
  <c r="CG50" i="4"/>
  <c r="CH23" i="6" s="1"/>
  <c r="CH50" i="4"/>
  <c r="CG30" i="4"/>
  <c r="CH8" i="6" s="1"/>
  <c r="CG37" i="4"/>
  <c r="CG31" i="4"/>
  <c r="CG20" i="4"/>
  <c r="CG13" i="4"/>
  <c r="CH52" i="5" s="1"/>
  <c r="CG11" i="4"/>
  <c r="CG6" i="4"/>
  <c r="CG4" i="4"/>
  <c r="CF50" i="4"/>
  <c r="CG23" i="6" s="1"/>
  <c r="CE50" i="4"/>
  <c r="CF23" i="6" s="1"/>
  <c r="CD50" i="4"/>
  <c r="CD52" i="4"/>
  <c r="CC50" i="4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BT4" i="7"/>
  <c r="BT3" i="7" s="1"/>
  <c r="BT19" i="7" s="1"/>
  <c r="BT29" i="7" s="1"/>
  <c r="BT33" i="7" s="1"/>
  <c r="BT35" i="7" s="1"/>
  <c r="BT37" i="7" s="1"/>
  <c r="BU4" i="7"/>
  <c r="BU3" i="7" s="1"/>
  <c r="BU19" i="7" s="1"/>
  <c r="BU29" i="7" s="1"/>
  <c r="BU33" i="7" s="1"/>
  <c r="BV4" i="7"/>
  <c r="BV3" i="7" s="1"/>
  <c r="BV19" i="7" s="1"/>
  <c r="BV29" i="7" s="1"/>
  <c r="BV33" i="7" s="1"/>
  <c r="BW4" i="7"/>
  <c r="BX4" i="7"/>
  <c r="BY4" i="7"/>
  <c r="BZ4" i="7"/>
  <c r="CA4" i="7"/>
  <c r="CB4" i="7"/>
  <c r="CC4" i="7"/>
  <c r="CD4" i="7"/>
  <c r="CE4" i="7"/>
  <c r="CF4" i="7"/>
  <c r="CF3" i="7" s="1"/>
  <c r="CF19" i="7" s="1"/>
  <c r="CF29" i="7" s="1"/>
  <c r="CF33" i="7" s="1"/>
  <c r="CB3" i="7"/>
  <c r="CB19" i="7" s="1"/>
  <c r="CB29" i="7" s="1"/>
  <c r="CB33" i="7" s="1"/>
  <c r="CC3" i="7"/>
  <c r="CC19" i="7" s="1"/>
  <c r="CC29" i="7" s="1"/>
  <c r="CC33" i="7" s="1"/>
  <c r="CC32" i="4"/>
  <c r="CD32" i="4"/>
  <c r="CE32" i="4"/>
  <c r="CF32" i="4"/>
  <c r="CH32" i="4"/>
  <c r="CC31" i="4"/>
  <c r="CD31" i="4"/>
  <c r="CE31" i="4"/>
  <c r="CF31" i="4"/>
  <c r="CH31" i="4"/>
  <c r="CC20" i="4"/>
  <c r="CD20" i="4"/>
  <c r="CE20" i="4"/>
  <c r="CF20" i="4"/>
  <c r="CC13" i="4"/>
  <c r="CD52" i="5" s="1"/>
  <c r="CD13" i="4"/>
  <c r="CE52" i="5" s="1"/>
  <c r="CE13" i="4"/>
  <c r="CF52" i="5" s="1"/>
  <c r="CF13" i="4"/>
  <c r="CG52" i="5" s="1"/>
  <c r="CC8" i="4"/>
  <c r="CD8" i="4"/>
  <c r="CE8" i="4"/>
  <c r="CF8" i="4"/>
  <c r="CC4" i="4"/>
  <c r="CD4" i="4"/>
  <c r="CE4" i="4"/>
  <c r="CF4" i="4"/>
  <c r="BZ50" i="4"/>
  <c r="CA23" i="6" s="1"/>
  <c r="CA50" i="4"/>
  <c r="CB23" i="6" s="1"/>
  <c r="CB50" i="4"/>
  <c r="CC23" i="6" s="1"/>
  <c r="BV51" i="4"/>
  <c r="BW51" i="4"/>
  <c r="BX51" i="4"/>
  <c r="CI23" i="6" l="1"/>
  <c r="CS26" i="4"/>
  <c r="CT5" i="6" s="1"/>
  <c r="CT36" i="6"/>
  <c r="CR26" i="4"/>
  <c r="CS5" i="6" s="1"/>
  <c r="CS36" i="6"/>
  <c r="CQ26" i="4"/>
  <c r="CR5" i="6" s="1"/>
  <c r="CR36" i="6"/>
  <c r="CP26" i="4"/>
  <c r="CQ36" i="6"/>
  <c r="CO26" i="4"/>
  <c r="CP5" i="6" s="1"/>
  <c r="CP36" i="6"/>
  <c r="CN26" i="4"/>
  <c r="CO5" i="6" s="1"/>
  <c r="CO36" i="6"/>
  <c r="CT6" i="6"/>
  <c r="CT7" i="6"/>
  <c r="CS6" i="6"/>
  <c r="CS7" i="6"/>
  <c r="CR6" i="6"/>
  <c r="CR7" i="6"/>
  <c r="CQ6" i="6"/>
  <c r="CQ7" i="6"/>
  <c r="CP6" i="6"/>
  <c r="CP7" i="6"/>
  <c r="CO6" i="6"/>
  <c r="CO7" i="6"/>
  <c r="CN6" i="6"/>
  <c r="CN7" i="6"/>
  <c r="CT47" i="6"/>
  <c r="CS47" i="6"/>
  <c r="CR47" i="6"/>
  <c r="CQ47" i="6"/>
  <c r="CP47" i="6"/>
  <c r="CO47" i="6"/>
  <c r="CN47" i="6"/>
  <c r="CM47" i="6"/>
  <c r="CT41" i="6"/>
  <c r="CS41" i="6"/>
  <c r="CR41" i="6"/>
  <c r="CQ41" i="6"/>
  <c r="CP41" i="6"/>
  <c r="CO41" i="6"/>
  <c r="CN41" i="6"/>
  <c r="CM41" i="6"/>
  <c r="CT31" i="6"/>
  <c r="CS31" i="6"/>
  <c r="CR31" i="6"/>
  <c r="CQ31" i="6"/>
  <c r="CP31" i="6"/>
  <c r="CO31" i="6"/>
  <c r="CN31" i="6"/>
  <c r="CT26" i="6"/>
  <c r="CS26" i="6"/>
  <c r="CQ26" i="6"/>
  <c r="CP26" i="6"/>
  <c r="CO26" i="6"/>
  <c r="CN26" i="6"/>
  <c r="CT17" i="6"/>
  <c r="CS17" i="6"/>
  <c r="CR17" i="6"/>
  <c r="CQ17" i="6"/>
  <c r="CP17" i="6"/>
  <c r="CP14" i="6" s="1"/>
  <c r="CO17" i="6"/>
  <c r="CP15" i="6"/>
  <c r="CN17" i="6"/>
  <c r="CM17" i="6"/>
  <c r="CM14" i="6" s="1"/>
  <c r="CM31" i="6"/>
  <c r="CM8" i="5"/>
  <c r="CM7" i="8" s="1"/>
  <c r="CM26" i="6"/>
  <c r="CM19" i="5"/>
  <c r="CM20" i="5"/>
  <c r="CM15" i="6"/>
  <c r="CM6" i="5"/>
  <c r="CM4" i="8" s="1"/>
  <c r="CM26" i="4"/>
  <c r="CN5" i="6" s="1"/>
  <c r="CF26" i="4"/>
  <c r="CG47" i="5"/>
  <c r="CG48" i="5"/>
  <c r="CG57" i="5"/>
  <c r="CG36" i="6"/>
  <c r="CF47" i="5"/>
  <c r="CF48" i="5"/>
  <c r="CF36" i="6"/>
  <c r="CD26" i="4"/>
  <c r="CE47" i="5"/>
  <c r="CE48" i="5"/>
  <c r="CE57" i="5"/>
  <c r="CE36" i="6"/>
  <c r="CC26" i="4"/>
  <c r="CD47" i="5"/>
  <c r="CD48" i="5"/>
  <c r="CD57" i="5"/>
  <c r="CD36" i="6"/>
  <c r="CI6" i="6"/>
  <c r="CI7" i="6"/>
  <c r="CF39" i="4"/>
  <c r="CG10" i="6" s="1"/>
  <c r="CG6" i="6"/>
  <c r="CG7" i="6"/>
  <c r="CE39" i="4"/>
  <c r="CF10" i="6" s="1"/>
  <c r="CF6" i="6"/>
  <c r="CF7" i="6"/>
  <c r="CD39" i="4"/>
  <c r="CE10" i="6" s="1"/>
  <c r="CE6" i="6"/>
  <c r="CE7" i="6"/>
  <c r="CC39" i="4"/>
  <c r="CD10" i="6" s="1"/>
  <c r="CD6" i="6"/>
  <c r="CD7" i="6"/>
  <c r="CC35" i="7"/>
  <c r="CC37" i="7" s="1"/>
  <c r="CD56" i="6" s="1"/>
  <c r="CB35" i="7"/>
  <c r="CB37" i="7" s="1"/>
  <c r="CC56" i="6" s="1"/>
  <c r="CF35" i="7"/>
  <c r="CF37" i="7" s="1"/>
  <c r="CG56" i="6" s="1"/>
  <c r="BV35" i="7"/>
  <c r="BV37" i="7" s="1"/>
  <c r="BW56" i="6" s="1"/>
  <c r="BU35" i="7"/>
  <c r="BU37" i="7" s="1"/>
  <c r="BV56" i="6" s="1"/>
  <c r="CG55" i="5"/>
  <c r="CD55" i="5"/>
  <c r="CC55" i="5"/>
  <c r="BW55" i="5"/>
  <c r="BV55" i="5"/>
  <c r="CD23" i="6"/>
  <c r="CE23" i="6"/>
  <c r="CH47" i="5"/>
  <c r="CH48" i="5"/>
  <c r="CH36" i="6"/>
  <c r="CG8" i="4"/>
  <c r="CH29" i="6"/>
  <c r="CH6" i="6"/>
  <c r="CH7" i="6"/>
  <c r="CG32" i="4"/>
  <c r="CG39" i="4" s="1"/>
  <c r="CG51" i="4" s="1"/>
  <c r="CH10" i="6"/>
  <c r="CH32" i="5"/>
  <c r="CH35" i="7"/>
  <c r="CH37" i="7" s="1"/>
  <c r="CI56" i="6" s="1"/>
  <c r="CI55" i="5"/>
  <c r="CL47" i="5"/>
  <c r="CL48" i="5"/>
  <c r="CL36" i="6"/>
  <c r="CK47" i="5"/>
  <c r="CK48" i="5"/>
  <c r="CK36" i="6"/>
  <c r="CJ47" i="5"/>
  <c r="CJ48" i="5"/>
  <c r="CJ36" i="6"/>
  <c r="CI47" i="5"/>
  <c r="CI48" i="5"/>
  <c r="CI36" i="6"/>
  <c r="CJ51" i="4"/>
  <c r="CK10" i="6"/>
  <c r="CT39" i="4"/>
  <c r="CT51" i="4" s="1"/>
  <c r="CS39" i="4"/>
  <c r="CT10" i="6" s="1"/>
  <c r="CR39" i="4"/>
  <c r="CQ39" i="4"/>
  <c r="CP39" i="4"/>
  <c r="CO39" i="4"/>
  <c r="CN39" i="4"/>
  <c r="CM39" i="4"/>
  <c r="CK39" i="4"/>
  <c r="CL10" i="6" s="1"/>
  <c r="CL6" i="6"/>
  <c r="CL7" i="6"/>
  <c r="CK6" i="6"/>
  <c r="CK7" i="6"/>
  <c r="CJ6" i="6"/>
  <c r="CJ7" i="6"/>
  <c r="CI39" i="4"/>
  <c r="CS51" i="4"/>
  <c r="CJ23" i="6"/>
  <c r="CM3" i="7"/>
  <c r="CM19" i="7" s="1"/>
  <c r="CM29" i="7" s="1"/>
  <c r="CM33" i="7" s="1"/>
  <c r="CM35" i="7" s="1"/>
  <c r="CM37" i="7" s="1"/>
  <c r="CN56" i="6" s="1"/>
  <c r="CI47" i="6"/>
  <c r="CA47" i="6"/>
  <c r="CK47" i="6"/>
  <c r="CK41" i="5"/>
  <c r="CC47" i="6"/>
  <c r="CC41" i="5"/>
  <c r="CL47" i="6"/>
  <c r="CL40" i="5"/>
  <c r="CK40" i="5"/>
  <c r="CJ47" i="6"/>
  <c r="CJ40" i="5"/>
  <c r="CI40" i="5"/>
  <c r="CH47" i="6"/>
  <c r="CH40" i="5"/>
  <c r="CG47" i="6"/>
  <c r="CG40" i="5"/>
  <c r="CF40" i="5"/>
  <c r="CF47" i="6"/>
  <c r="CE47" i="6"/>
  <c r="CE40" i="5"/>
  <c r="CD47" i="6"/>
  <c r="CB47" i="6"/>
  <c r="BZ47" i="6"/>
  <c r="BY47" i="6"/>
  <c r="BX47" i="6"/>
  <c r="BW47" i="6"/>
  <c r="BV47" i="6"/>
  <c r="CL41" i="6"/>
  <c r="CK41" i="6"/>
  <c r="CJ45" i="6"/>
  <c r="CI45" i="6"/>
  <c r="CH45" i="6"/>
  <c r="CG41" i="6"/>
  <c r="CF41" i="6"/>
  <c r="CE41" i="6"/>
  <c r="CD41" i="6"/>
  <c r="CC41" i="6"/>
  <c r="CB45" i="6"/>
  <c r="CA45" i="6"/>
  <c r="BZ45" i="6"/>
  <c r="BY41" i="6"/>
  <c r="BX41" i="6"/>
  <c r="BW41" i="6"/>
  <c r="BV41" i="6"/>
  <c r="CM34" i="5"/>
  <c r="CM44" i="5"/>
  <c r="CK31" i="6"/>
  <c r="CK16" i="5"/>
  <c r="CJ31" i="6"/>
  <c r="CJ16" i="5"/>
  <c r="CI16" i="5"/>
  <c r="CI31" i="6"/>
  <c r="CH31" i="6"/>
  <c r="CH16" i="5"/>
  <c r="CG31" i="6"/>
  <c r="CG16" i="5"/>
  <c r="CF31" i="6"/>
  <c r="CF16" i="5"/>
  <c r="CE31" i="6"/>
  <c r="CE16" i="5"/>
  <c r="CC31" i="6"/>
  <c r="CC16" i="5"/>
  <c r="CB31" i="6"/>
  <c r="CB16" i="5"/>
  <c r="CA16" i="5"/>
  <c r="CA31" i="6"/>
  <c r="BZ31" i="6"/>
  <c r="BZ16" i="5"/>
  <c r="BY31" i="6"/>
  <c r="BY16" i="5"/>
  <c r="BX31" i="6"/>
  <c r="BX16" i="5"/>
  <c r="BW31" i="6"/>
  <c r="BW16" i="5"/>
  <c r="CH26" i="6"/>
  <c r="BZ26" i="6"/>
  <c r="CL26" i="6"/>
  <c r="CK26" i="6"/>
  <c r="CJ26" i="6"/>
  <c r="CI26" i="6"/>
  <c r="CG26" i="6"/>
  <c r="CF26" i="6"/>
  <c r="CE26" i="6"/>
  <c r="CD26" i="6"/>
  <c r="CC26" i="6"/>
  <c r="CB26" i="6"/>
  <c r="CA26" i="6"/>
  <c r="BY26" i="6"/>
  <c r="BX26" i="6"/>
  <c r="BW26" i="6"/>
  <c r="BV26" i="6"/>
  <c r="CL17" i="6"/>
  <c r="CL14" i="6" s="1"/>
  <c r="CM41" i="5"/>
  <c r="CK17" i="6"/>
  <c r="CK14" i="6" s="1"/>
  <c r="CJ17" i="6"/>
  <c r="CJ14" i="6" s="1"/>
  <c r="CI17" i="6"/>
  <c r="CI14" i="6" s="1"/>
  <c r="CH17" i="6"/>
  <c r="CH14" i="6" s="1"/>
  <c r="CG17" i="6"/>
  <c r="CG14" i="6" s="1"/>
  <c r="CF17" i="6"/>
  <c r="CF14" i="6" s="1"/>
  <c r="CE17" i="6"/>
  <c r="CE14" i="6" s="1"/>
  <c r="CD17" i="6"/>
  <c r="CD14" i="6" s="1"/>
  <c r="CC17" i="6"/>
  <c r="CC14" i="6" s="1"/>
  <c r="CB17" i="6"/>
  <c r="CB14" i="6" s="1"/>
  <c r="CA17" i="6"/>
  <c r="CA14" i="6" s="1"/>
  <c r="BZ17" i="6"/>
  <c r="BZ14" i="6" s="1"/>
  <c r="BY17" i="6"/>
  <c r="BY14" i="6" s="1"/>
  <c r="BX17" i="6"/>
  <c r="BX14" i="6" s="1"/>
  <c r="BW17" i="6"/>
  <c r="BW14" i="6" s="1"/>
  <c r="BV17" i="6"/>
  <c r="BV14" i="6" s="1"/>
  <c r="CM42" i="5"/>
  <c r="CL32" i="5"/>
  <c r="CM32" i="5"/>
  <c r="CK32" i="5"/>
  <c r="CJ32" i="5"/>
  <c r="CI32" i="5"/>
  <c r="CG32" i="5"/>
  <c r="CF32" i="5"/>
  <c r="CE32" i="5"/>
  <c r="CD32" i="5"/>
  <c r="CC32" i="5"/>
  <c r="CB32" i="5"/>
  <c r="CA32" i="5"/>
  <c r="BZ32" i="5"/>
  <c r="BY32" i="5"/>
  <c r="BX32" i="5"/>
  <c r="BW32" i="5"/>
  <c r="CL19" i="7"/>
  <c r="CL29" i="7" s="1"/>
  <c r="CL33" i="7" s="1"/>
  <c r="CL39" i="4"/>
  <c r="CL26" i="4"/>
  <c r="CM47" i="5"/>
  <c r="CM15" i="8" s="1"/>
  <c r="CM48" i="5"/>
  <c r="CM16" i="8" s="1"/>
  <c r="CJ41" i="6"/>
  <c r="CE45" i="6"/>
  <c r="BW45" i="6"/>
  <c r="CI41" i="6"/>
  <c r="CA41" i="6"/>
  <c r="BZ41" i="6"/>
  <c r="BZ36" i="5" s="1"/>
  <c r="CB41" i="6"/>
  <c r="CB36" i="5" s="1"/>
  <c r="CK3" i="7"/>
  <c r="CK19" i="7" s="1"/>
  <c r="CK51" i="4"/>
  <c r="CK26" i="4"/>
  <c r="CI3" i="7"/>
  <c r="CI19" i="7" s="1"/>
  <c r="CH26" i="4"/>
  <c r="CI26" i="4"/>
  <c r="CJ26" i="4"/>
  <c r="CJ3" i="7"/>
  <c r="CJ19" i="7" s="1"/>
  <c r="CE26" i="4"/>
  <c r="CF51" i="4"/>
  <c r="CE51" i="4"/>
  <c r="CD51" i="4"/>
  <c r="CH39" i="4"/>
  <c r="CG26" i="4"/>
  <c r="CG4" i="7"/>
  <c r="CG11" i="7"/>
  <c r="CG7" i="7" s="1"/>
  <c r="CH43" i="6" s="1"/>
  <c r="CH41" i="6" s="1"/>
  <c r="CH36" i="5" s="1"/>
  <c r="BZ3" i="7"/>
  <c r="BZ19" i="7" s="1"/>
  <c r="BY3" i="7"/>
  <c r="BY19" i="7" s="1"/>
  <c r="BX3" i="7"/>
  <c r="BX19" i="7" s="1"/>
  <c r="CA3" i="7"/>
  <c r="CA19" i="7" s="1"/>
  <c r="CE3" i="7"/>
  <c r="CE19" i="7" s="1"/>
  <c r="BW3" i="7"/>
  <c r="BW19" i="7" s="1"/>
  <c r="CG3" i="7"/>
  <c r="CG19" i="7" s="1"/>
  <c r="CD3" i="7"/>
  <c r="CD19" i="7" s="1"/>
  <c r="CB32" i="4"/>
  <c r="CB31" i="4"/>
  <c r="CB20" i="4"/>
  <c r="CB13" i="4"/>
  <c r="CC52" i="5" s="1"/>
  <c r="CB8" i="4"/>
  <c r="CB4" i="4"/>
  <c r="BT37" i="4"/>
  <c r="BT32" i="4" s="1"/>
  <c r="BY50" i="4"/>
  <c r="BZ23" i="6" s="1"/>
  <c r="BY32" i="4"/>
  <c r="BZ32" i="4"/>
  <c r="CA32" i="4"/>
  <c r="BY31" i="4"/>
  <c r="BZ31" i="4"/>
  <c r="CA31" i="4"/>
  <c r="BY13" i="4"/>
  <c r="BZ52" i="5" s="1"/>
  <c r="BZ13" i="4"/>
  <c r="CA52" i="5" s="1"/>
  <c r="CA13" i="4"/>
  <c r="CB52" i="5" s="1"/>
  <c r="BY8" i="4"/>
  <c r="BZ8" i="4"/>
  <c r="CA8" i="4"/>
  <c r="BY4" i="4"/>
  <c r="BZ4" i="4"/>
  <c r="CA4" i="4"/>
  <c r="BX50" i="4"/>
  <c r="BY23" i="6" s="1"/>
  <c r="BU32" i="4"/>
  <c r="BV32" i="4"/>
  <c r="BW32" i="4"/>
  <c r="BX32" i="4"/>
  <c r="BV31" i="4"/>
  <c r="BW31" i="4"/>
  <c r="BX31" i="4"/>
  <c r="BU31" i="4"/>
  <c r="BV52" i="4"/>
  <c r="BW52" i="4"/>
  <c r="BX52" i="4"/>
  <c r="BU20" i="4"/>
  <c r="BV20" i="4"/>
  <c r="BW20" i="4"/>
  <c r="BX20" i="4"/>
  <c r="BU13" i="4"/>
  <c r="BV52" i="5" s="1"/>
  <c r="BV13" i="4"/>
  <c r="BW52" i="5" s="1"/>
  <c r="BW13" i="4"/>
  <c r="BX52" i="5" s="1"/>
  <c r="BX13" i="4"/>
  <c r="BY52" i="5" s="1"/>
  <c r="BU8" i="4"/>
  <c r="BV8" i="4"/>
  <c r="BW8" i="4"/>
  <c r="BX8" i="4"/>
  <c r="BU4" i="4"/>
  <c r="BV4" i="4"/>
  <c r="BW4" i="4"/>
  <c r="BX4" i="4"/>
  <c r="CP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CP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CP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CN9" i="5"/>
  <c r="CO9" i="5"/>
  <c r="CP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CP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CN14" i="5"/>
  <c r="CO14" i="5"/>
  <c r="CP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CN15" i="5"/>
  <c r="CO15" i="5"/>
  <c r="CP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BV9" i="8"/>
  <c r="BW9" i="8"/>
  <c r="BX9" i="8"/>
  <c r="BY9" i="8"/>
  <c r="BZ9" i="8"/>
  <c r="CA9" i="8"/>
  <c r="CB9" i="8"/>
  <c r="CC9" i="8"/>
  <c r="CD9" i="8"/>
  <c r="CE9" i="8"/>
  <c r="CF9" i="8"/>
  <c r="CG9" i="8"/>
  <c r="CH9" i="8"/>
  <c r="CI9" i="8"/>
  <c r="CJ9" i="8"/>
  <c r="CK9" i="8"/>
  <c r="CL9" i="8"/>
  <c r="CM9" i="8"/>
  <c r="CN16" i="5"/>
  <c r="CN9" i="8" s="1"/>
  <c r="CO16" i="5"/>
  <c r="CO9" i="8" s="1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CP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CN21" i="5"/>
  <c r="CO21" i="5"/>
  <c r="CP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CN24" i="5"/>
  <c r="CO24" i="5"/>
  <c r="CP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CN25" i="5"/>
  <c r="CO25" i="5"/>
  <c r="CP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CN26" i="5"/>
  <c r="CO26" i="5"/>
  <c r="CP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CN27" i="5"/>
  <c r="CO27" i="5"/>
  <c r="CP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CO30" i="5"/>
  <c r="CP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CO43" i="5"/>
  <c r="CP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CE15" i="8"/>
  <c r="CF15" i="8"/>
  <c r="CG15" i="8"/>
  <c r="CH15" i="8"/>
  <c r="CI15" i="8"/>
  <c r="CJ15" i="8"/>
  <c r="CK15" i="8"/>
  <c r="CL15" i="8"/>
  <c r="CN47" i="5"/>
  <c r="CN15" i="8" s="1"/>
  <c r="CO47" i="5"/>
  <c r="CO15" i="8" s="1"/>
  <c r="CP47" i="5"/>
  <c r="CQ47" i="5"/>
  <c r="CR47" i="5"/>
  <c r="CS47" i="5"/>
  <c r="CT47" i="5"/>
  <c r="CU47" i="5"/>
  <c r="CV47" i="5"/>
  <c r="CW47" i="5"/>
  <c r="CX47" i="5"/>
  <c r="CY47" i="5"/>
  <c r="CZ47" i="5"/>
  <c r="DA47" i="5"/>
  <c r="DB47" i="5"/>
  <c r="DC47" i="5"/>
  <c r="DD47" i="5"/>
  <c r="DE47" i="5"/>
  <c r="DF47" i="5"/>
  <c r="DG47" i="5"/>
  <c r="DH47" i="5"/>
  <c r="DI47" i="5"/>
  <c r="DJ47" i="5"/>
  <c r="DK47" i="5"/>
  <c r="DL47" i="5"/>
  <c r="DM47" i="5"/>
  <c r="DN47" i="5"/>
  <c r="DO47" i="5"/>
  <c r="DP47" i="5"/>
  <c r="DQ47" i="5"/>
  <c r="DR47" i="5"/>
  <c r="DS47" i="5"/>
  <c r="DT47" i="5"/>
  <c r="DU47" i="5"/>
  <c r="DV47" i="5"/>
  <c r="CE16" i="8"/>
  <c r="CF16" i="8"/>
  <c r="CG16" i="8"/>
  <c r="CH16" i="8"/>
  <c r="CI16" i="8"/>
  <c r="CJ16" i="8"/>
  <c r="CK16" i="8"/>
  <c r="CL16" i="8"/>
  <c r="CN48" i="5"/>
  <c r="CN16" i="8" s="1"/>
  <c r="CO48" i="5"/>
  <c r="CO16" i="8" s="1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CN52" i="5"/>
  <c r="CO52" i="5"/>
  <c r="CP52" i="5"/>
  <c r="CQ52" i="5"/>
  <c r="CR52" i="5"/>
  <c r="CS52" i="5"/>
  <c r="CT52" i="5"/>
  <c r="CU52" i="5"/>
  <c r="CV52" i="5"/>
  <c r="CW52" i="5"/>
  <c r="CX52" i="5"/>
  <c r="CY52" i="5"/>
  <c r="CZ52" i="5"/>
  <c r="DA52" i="5"/>
  <c r="DB52" i="5"/>
  <c r="DC52" i="5"/>
  <c r="DD52" i="5"/>
  <c r="DE52" i="5"/>
  <c r="DF52" i="5"/>
  <c r="DG52" i="5"/>
  <c r="DH52" i="5"/>
  <c r="DI52" i="5"/>
  <c r="DJ52" i="5"/>
  <c r="DK52" i="5"/>
  <c r="DL52" i="5"/>
  <c r="DM52" i="5"/>
  <c r="DN52" i="5"/>
  <c r="DO52" i="5"/>
  <c r="DP52" i="5"/>
  <c r="DQ52" i="5"/>
  <c r="DR52" i="5"/>
  <c r="DS52" i="5"/>
  <c r="DT52" i="5"/>
  <c r="DU52" i="5"/>
  <c r="DV52" i="5"/>
  <c r="CO54" i="5"/>
  <c r="CO11" i="8" s="1"/>
  <c r="CP54" i="5"/>
  <c r="CQ54" i="5"/>
  <c r="CR54" i="5"/>
  <c r="CS54" i="5"/>
  <c r="CT54" i="5"/>
  <c r="CU54" i="5"/>
  <c r="CV54" i="5"/>
  <c r="CW54" i="5"/>
  <c r="CX54" i="5"/>
  <c r="CY54" i="5"/>
  <c r="CZ54" i="5"/>
  <c r="DA54" i="5"/>
  <c r="DB54" i="5"/>
  <c r="DC54" i="5"/>
  <c r="DD54" i="5"/>
  <c r="DE54" i="5"/>
  <c r="DF54" i="5"/>
  <c r="DG54" i="5"/>
  <c r="DH54" i="5"/>
  <c r="DI54" i="5"/>
  <c r="DJ54" i="5"/>
  <c r="DK54" i="5"/>
  <c r="DL54" i="5"/>
  <c r="DM54" i="5"/>
  <c r="DN54" i="5"/>
  <c r="DO54" i="5"/>
  <c r="DP54" i="5"/>
  <c r="DQ54" i="5"/>
  <c r="DR54" i="5"/>
  <c r="DS54" i="5"/>
  <c r="DT54" i="5"/>
  <c r="DU54" i="5"/>
  <c r="DV54" i="5"/>
  <c r="CG12" i="8"/>
  <c r="CI12" i="8"/>
  <c r="CN55" i="5"/>
  <c r="CN12" i="8" s="1"/>
  <c r="CO55" i="5"/>
  <c r="CO12" i="8" s="1"/>
  <c r="CP55" i="5"/>
  <c r="CQ55" i="5"/>
  <c r="CR55" i="5"/>
  <c r="CS55" i="5"/>
  <c r="CT55" i="5"/>
  <c r="CU55" i="5"/>
  <c r="CV55" i="5"/>
  <c r="CW55" i="5"/>
  <c r="CX55" i="5"/>
  <c r="CY55" i="5"/>
  <c r="CZ55" i="5"/>
  <c r="DA55" i="5"/>
  <c r="DB55" i="5"/>
  <c r="DC55" i="5"/>
  <c r="DD55" i="5"/>
  <c r="DE55" i="5"/>
  <c r="DF55" i="5"/>
  <c r="DG55" i="5"/>
  <c r="DH55" i="5"/>
  <c r="DI55" i="5"/>
  <c r="DJ55" i="5"/>
  <c r="DK55" i="5"/>
  <c r="DL55" i="5"/>
  <c r="DM55" i="5"/>
  <c r="DN55" i="5"/>
  <c r="DO55" i="5"/>
  <c r="DP55" i="5"/>
  <c r="DQ55" i="5"/>
  <c r="DR55" i="5"/>
  <c r="DS55" i="5"/>
  <c r="DT55" i="5"/>
  <c r="DU55" i="5"/>
  <c r="DV55" i="5"/>
  <c r="CN56" i="5"/>
  <c r="CN13" i="8" s="1"/>
  <c r="CO56" i="5"/>
  <c r="CO13" i="8" s="1"/>
  <c r="CP56" i="5"/>
  <c r="CQ56" i="5"/>
  <c r="CR56" i="5"/>
  <c r="CS56" i="5"/>
  <c r="CT56" i="5"/>
  <c r="CU56" i="5"/>
  <c r="CV56" i="5"/>
  <c r="CW56" i="5"/>
  <c r="CX56" i="5"/>
  <c r="CY56" i="5"/>
  <c r="CZ56" i="5"/>
  <c r="DA56" i="5"/>
  <c r="DB56" i="5"/>
  <c r="DC56" i="5"/>
  <c r="DD56" i="5"/>
  <c r="DE56" i="5"/>
  <c r="DF56" i="5"/>
  <c r="DG56" i="5"/>
  <c r="DH56" i="5"/>
  <c r="DI56" i="5"/>
  <c r="DJ56" i="5"/>
  <c r="DK56" i="5"/>
  <c r="DL56" i="5"/>
  <c r="DM56" i="5"/>
  <c r="DN56" i="5"/>
  <c r="DO56" i="5"/>
  <c r="DP56" i="5"/>
  <c r="DQ56" i="5"/>
  <c r="DR56" i="5"/>
  <c r="DS56" i="5"/>
  <c r="DT56" i="5"/>
  <c r="DU56" i="5"/>
  <c r="DV56" i="5"/>
  <c r="CE18" i="8"/>
  <c r="CG18" i="8"/>
  <c r="CN57" i="5"/>
  <c r="CN18" i="8" s="1"/>
  <c r="CO57" i="5"/>
  <c r="CO18" i="8" s="1"/>
  <c r="CP57" i="5"/>
  <c r="CQ57" i="5"/>
  <c r="CR57" i="5"/>
  <c r="CS57" i="5"/>
  <c r="CT57" i="5"/>
  <c r="CU57" i="5"/>
  <c r="CV57" i="5"/>
  <c r="CW57" i="5"/>
  <c r="CX57" i="5"/>
  <c r="CY57" i="5"/>
  <c r="CZ57" i="5"/>
  <c r="DA57" i="5"/>
  <c r="DB57" i="5"/>
  <c r="DC57" i="5"/>
  <c r="DD57" i="5"/>
  <c r="DE57" i="5"/>
  <c r="DF57" i="5"/>
  <c r="DG57" i="5"/>
  <c r="DH57" i="5"/>
  <c r="DI57" i="5"/>
  <c r="DJ57" i="5"/>
  <c r="DK57" i="5"/>
  <c r="DL57" i="5"/>
  <c r="DM57" i="5"/>
  <c r="DN57" i="5"/>
  <c r="DO57" i="5"/>
  <c r="DP57" i="5"/>
  <c r="DQ57" i="5"/>
  <c r="DR57" i="5"/>
  <c r="DS57" i="5"/>
  <c r="DT57" i="5"/>
  <c r="DU57" i="5"/>
  <c r="DV57" i="5"/>
  <c r="D123" i="30"/>
  <c r="C123" i="30"/>
  <c r="F122" i="30"/>
  <c r="F121" i="30"/>
  <c r="F120" i="30"/>
  <c r="F119" i="30"/>
  <c r="F118" i="30"/>
  <c r="F123" i="30" s="1"/>
  <c r="D116" i="30"/>
  <c r="C116" i="30"/>
  <c r="C124" i="30" s="1"/>
  <c r="F115" i="30"/>
  <c r="F114" i="30"/>
  <c r="F113" i="30"/>
  <c r="F112" i="30"/>
  <c r="F111" i="30"/>
  <c r="F116" i="30" s="1"/>
  <c r="F124" i="30" s="1"/>
  <c r="D102" i="30"/>
  <c r="C102" i="30"/>
  <c r="F101" i="30"/>
  <c r="F100" i="30"/>
  <c r="F99" i="30"/>
  <c r="F98" i="30"/>
  <c r="F97" i="30"/>
  <c r="F102" i="30" s="1"/>
  <c r="D95" i="30"/>
  <c r="C95" i="30"/>
  <c r="C103" i="30" s="1"/>
  <c r="F94" i="30"/>
  <c r="F93" i="30"/>
  <c r="F92" i="30"/>
  <c r="F91" i="30"/>
  <c r="F90" i="30"/>
  <c r="F95" i="30" s="1"/>
  <c r="F103" i="30" s="1"/>
  <c r="D81" i="30"/>
  <c r="C81" i="30"/>
  <c r="F80" i="30"/>
  <c r="F79" i="30"/>
  <c r="F78" i="30"/>
  <c r="F77" i="30"/>
  <c r="F76" i="30"/>
  <c r="F81" i="30" s="1"/>
  <c r="D74" i="30"/>
  <c r="C74" i="30"/>
  <c r="C82" i="30" s="1"/>
  <c r="F73" i="30"/>
  <c r="F72" i="30"/>
  <c r="F71" i="30"/>
  <c r="F70" i="30"/>
  <c r="F69" i="30"/>
  <c r="F74" i="30" s="1"/>
  <c r="F82" i="30" s="1"/>
  <c r="D59" i="30"/>
  <c r="C59" i="30"/>
  <c r="F58" i="30"/>
  <c r="F57" i="30"/>
  <c r="F56" i="30"/>
  <c r="F55" i="30"/>
  <c r="F54" i="30"/>
  <c r="F59" i="30" s="1"/>
  <c r="D52" i="30"/>
  <c r="C52" i="30"/>
  <c r="C60" i="30" s="1"/>
  <c r="F51" i="30"/>
  <c r="F50" i="30"/>
  <c r="F49" i="30"/>
  <c r="F48" i="30"/>
  <c r="F47" i="30"/>
  <c r="F52" i="30" s="1"/>
  <c r="F60" i="30" s="1"/>
  <c r="D37" i="30"/>
  <c r="C37" i="30"/>
  <c r="F36" i="30"/>
  <c r="F35" i="30"/>
  <c r="F34" i="30"/>
  <c r="F33" i="30"/>
  <c r="F32" i="30"/>
  <c r="F37" i="30" s="1"/>
  <c r="F29" i="30"/>
  <c r="F28" i="30"/>
  <c r="F27" i="30"/>
  <c r="F26" i="30"/>
  <c r="F25" i="30"/>
  <c r="F30" i="30" s="1"/>
  <c r="F38" i="30" s="1"/>
  <c r="BU20" i="6"/>
  <c r="BT19" i="6"/>
  <c r="BQ39" i="6"/>
  <c r="BR19" i="6"/>
  <c r="BS19" i="6"/>
  <c r="BQ19" i="6"/>
  <c r="BQ42" i="6"/>
  <c r="BU27" i="6"/>
  <c r="BU28" i="6"/>
  <c r="BT44" i="4"/>
  <c r="BU19" i="6" s="1"/>
  <c r="BT11" i="4"/>
  <c r="BT8" i="4" s="1"/>
  <c r="BT6" i="4"/>
  <c r="BT4" i="4" s="1"/>
  <c r="BU47" i="5" s="1"/>
  <c r="BU15" i="8" s="1"/>
  <c r="BU8" i="6"/>
  <c r="BV32" i="5" s="1"/>
  <c r="BU9" i="6"/>
  <c r="BV42" i="5" s="1"/>
  <c r="BU18" i="6"/>
  <c r="BV41" i="5" s="1"/>
  <c r="BU21" i="6"/>
  <c r="BU32" i="6"/>
  <c r="BU16" i="5" s="1"/>
  <c r="BU9" i="8" s="1"/>
  <c r="BU33" i="6"/>
  <c r="BU38" i="6"/>
  <c r="BU39" i="6"/>
  <c r="BU42" i="6"/>
  <c r="BU44" i="6"/>
  <c r="BU48" i="6"/>
  <c r="BU49" i="6"/>
  <c r="BU50" i="6"/>
  <c r="BU51" i="6"/>
  <c r="BU52" i="6"/>
  <c r="BU53" i="6"/>
  <c r="BG12" i="4"/>
  <c r="BH27" i="6" s="1"/>
  <c r="BG11" i="4"/>
  <c r="BH29" i="6" s="1"/>
  <c r="BP19" i="6"/>
  <c r="BO19" i="6"/>
  <c r="BN19" i="6"/>
  <c r="BM19" i="6"/>
  <c r="BL19" i="6"/>
  <c r="BK19" i="6"/>
  <c r="BJ19" i="6"/>
  <c r="BI19" i="6"/>
  <c r="BH30" i="7"/>
  <c r="BI30" i="7"/>
  <c r="BJ30" i="7"/>
  <c r="BK30" i="7"/>
  <c r="BL30" i="7"/>
  <c r="BM30" i="7"/>
  <c r="BN30" i="7"/>
  <c r="BO30" i="7"/>
  <c r="BP30" i="7"/>
  <c r="BQ30" i="7"/>
  <c r="BR30" i="7"/>
  <c r="BS30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I43" i="6"/>
  <c r="BJ43" i="6"/>
  <c r="BK43" i="6"/>
  <c r="BM43" i="6"/>
  <c r="BN43" i="6"/>
  <c r="BO43" i="6"/>
  <c r="BQ43" i="6"/>
  <c r="BR43" i="6"/>
  <c r="BS43" i="6"/>
  <c r="BU43" i="6"/>
  <c r="BH4" i="7"/>
  <c r="BI4" i="7"/>
  <c r="BJ4" i="7"/>
  <c r="BK4" i="7"/>
  <c r="BK3" i="7" s="1"/>
  <c r="BK19" i="7" s="1"/>
  <c r="BL4" i="7"/>
  <c r="BM4" i="7"/>
  <c r="BN4" i="7"/>
  <c r="BO4" i="7"/>
  <c r="BP4" i="7"/>
  <c r="BQ4" i="7"/>
  <c r="BR4" i="7"/>
  <c r="BS4" i="7"/>
  <c r="BS3" i="7" s="1"/>
  <c r="BH50" i="4"/>
  <c r="BI23" i="6" s="1"/>
  <c r="BI50" i="4"/>
  <c r="BJ23" i="6" s="1"/>
  <c r="BJ50" i="4"/>
  <c r="BK23" i="6" s="1"/>
  <c r="BK50" i="4"/>
  <c r="BL23" i="6" s="1"/>
  <c r="BL50" i="4"/>
  <c r="BM23" i="6" s="1"/>
  <c r="BM50" i="4"/>
  <c r="BN23" i="6" s="1"/>
  <c r="BN50" i="4"/>
  <c r="BO23" i="6" s="1"/>
  <c r="BO50" i="4"/>
  <c r="BP23" i="6" s="1"/>
  <c r="BP50" i="4"/>
  <c r="BQ23" i="6" s="1"/>
  <c r="BQ50" i="4"/>
  <c r="BR23" i="6" s="1"/>
  <c r="BR50" i="4"/>
  <c r="BS23" i="6" s="1"/>
  <c r="BS50" i="4"/>
  <c r="BT23" i="6" s="1"/>
  <c r="BT50" i="4"/>
  <c r="BU23" i="6" s="1"/>
  <c r="BU50" i="4"/>
  <c r="BV23" i="6" s="1"/>
  <c r="BV50" i="4"/>
  <c r="BW23" i="6" s="1"/>
  <c r="BW50" i="4"/>
  <c r="BX23" i="6" s="1"/>
  <c r="BH31" i="4"/>
  <c r="BI7" i="6" s="1"/>
  <c r="BI31" i="4"/>
  <c r="BJ7" i="6" s="1"/>
  <c r="BJ31" i="4"/>
  <c r="BK31" i="4"/>
  <c r="BL6" i="6" s="1"/>
  <c r="BL31" i="4"/>
  <c r="BM7" i="6" s="1"/>
  <c r="BM31" i="4"/>
  <c r="BN7" i="6" s="1"/>
  <c r="BN31" i="4"/>
  <c r="BO31" i="4"/>
  <c r="BP7" i="6" s="1"/>
  <c r="BP31" i="4"/>
  <c r="BQ31" i="4"/>
  <c r="BR7" i="6" s="1"/>
  <c r="BR31" i="4"/>
  <c r="BS31" i="4"/>
  <c r="BT6" i="6" s="1"/>
  <c r="BT31" i="4"/>
  <c r="BU6" i="6" s="1"/>
  <c r="BH32" i="4"/>
  <c r="BI32" i="4"/>
  <c r="BJ32" i="4"/>
  <c r="BK32" i="4"/>
  <c r="BL32" i="4"/>
  <c r="BM32" i="4"/>
  <c r="BN32" i="4"/>
  <c r="BO32" i="4"/>
  <c r="BP32" i="4"/>
  <c r="BQ32" i="4"/>
  <c r="BR32" i="4"/>
  <c r="BS32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Y20" i="4"/>
  <c r="BZ20" i="4"/>
  <c r="CA20" i="4"/>
  <c r="BH13" i="4"/>
  <c r="BI52" i="5" s="1"/>
  <c r="BI13" i="4"/>
  <c r="BJ52" i="5" s="1"/>
  <c r="BJ13" i="4"/>
  <c r="BK52" i="5" s="1"/>
  <c r="BK13" i="4"/>
  <c r="BL52" i="5" s="1"/>
  <c r="BL13" i="4"/>
  <c r="BM52" i="5" s="1"/>
  <c r="BM13" i="4"/>
  <c r="BN52" i="5" s="1"/>
  <c r="BN13" i="4"/>
  <c r="BO52" i="5" s="1"/>
  <c r="BO13" i="4"/>
  <c r="BP52" i="5" s="1"/>
  <c r="BP13" i="4"/>
  <c r="BQ52" i="5" s="1"/>
  <c r="BQ13" i="4"/>
  <c r="BR52" i="5" s="1"/>
  <c r="BR13" i="4"/>
  <c r="BS52" i="5" s="1"/>
  <c r="BS13" i="4"/>
  <c r="BT52" i="5" s="1"/>
  <c r="BT13" i="4"/>
  <c r="BU52" i="5" s="1"/>
  <c r="BH8" i="4"/>
  <c r="BI8" i="4"/>
  <c r="BJ8" i="4"/>
  <c r="BK8" i="4"/>
  <c r="BL8" i="4"/>
  <c r="BM8" i="4"/>
  <c r="BN8" i="4"/>
  <c r="BO8" i="4"/>
  <c r="BP8" i="4"/>
  <c r="BQ8" i="4"/>
  <c r="BR8" i="4"/>
  <c r="BS8" i="4"/>
  <c r="BH4" i="4"/>
  <c r="BI36" i="6" s="1"/>
  <c r="BI4" i="4"/>
  <c r="BJ4" i="4"/>
  <c r="BK4" i="4"/>
  <c r="BL36" i="6" s="1"/>
  <c r="BL4" i="4"/>
  <c r="BM48" i="5" s="1"/>
  <c r="BM16" i="8" s="1"/>
  <c r="BM4" i="4"/>
  <c r="BN47" i="5" s="1"/>
  <c r="BN15" i="8" s="1"/>
  <c r="BN4" i="4"/>
  <c r="BO36" i="6" s="1"/>
  <c r="BO4" i="4"/>
  <c r="BP36" i="6" s="1"/>
  <c r="BP4" i="4"/>
  <c r="BQ4" i="4"/>
  <c r="BR36" i="6" s="1"/>
  <c r="BR4" i="4"/>
  <c r="BI8" i="6"/>
  <c r="BJ8" i="6"/>
  <c r="BK8" i="6"/>
  <c r="BL8" i="6"/>
  <c r="BM8" i="6"/>
  <c r="BN8" i="6"/>
  <c r="BO8" i="6"/>
  <c r="BP8" i="6"/>
  <c r="BQ8" i="6"/>
  <c r="BR8" i="6"/>
  <c r="BS8" i="6"/>
  <c r="BT8" i="6"/>
  <c r="BI9" i="6"/>
  <c r="BJ9" i="6"/>
  <c r="BK9" i="6"/>
  <c r="BL9" i="6"/>
  <c r="BM9" i="6"/>
  <c r="BN9" i="6"/>
  <c r="BO9" i="6"/>
  <c r="BP9" i="6"/>
  <c r="BQ9" i="6"/>
  <c r="BR9" i="6"/>
  <c r="BT9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I32" i="6"/>
  <c r="BJ32" i="6"/>
  <c r="BK32" i="6"/>
  <c r="BK16" i="5" s="1"/>
  <c r="BK9" i="8" s="1"/>
  <c r="BL32" i="6"/>
  <c r="BL16" i="5" s="1"/>
  <c r="BL9" i="8" s="1"/>
  <c r="BM32" i="6"/>
  <c r="BM16" i="5" s="1"/>
  <c r="BM9" i="8" s="1"/>
  <c r="BN32" i="6"/>
  <c r="BN16" i="5" s="1"/>
  <c r="BN9" i="8" s="1"/>
  <c r="BO32" i="6"/>
  <c r="BO16" i="5" s="1"/>
  <c r="BO9" i="8" s="1"/>
  <c r="BP32" i="6"/>
  <c r="BQ32" i="6"/>
  <c r="BR32" i="6"/>
  <c r="BS32" i="6"/>
  <c r="BS16" i="5" s="1"/>
  <c r="BS9" i="8" s="1"/>
  <c r="BT32" i="6"/>
  <c r="BT16" i="5" s="1"/>
  <c r="BT9" i="8" s="1"/>
  <c r="BI33" i="6"/>
  <c r="BJ33" i="6"/>
  <c r="BK33" i="6"/>
  <c r="BL33" i="6"/>
  <c r="BM33" i="6"/>
  <c r="BN33" i="6"/>
  <c r="BO33" i="6"/>
  <c r="BP33" i="6"/>
  <c r="BQ33" i="6"/>
  <c r="BR33" i="6"/>
  <c r="BS33" i="6"/>
  <c r="BT33" i="6"/>
  <c r="BM36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I39" i="6"/>
  <c r="BJ39" i="6"/>
  <c r="BK39" i="6"/>
  <c r="BL39" i="6"/>
  <c r="BM39" i="6"/>
  <c r="BN39" i="6"/>
  <c r="BO39" i="6"/>
  <c r="BP39" i="6"/>
  <c r="BR39" i="6"/>
  <c r="BS39" i="6"/>
  <c r="BT39" i="6"/>
  <c r="BI42" i="6"/>
  <c r="BJ42" i="6"/>
  <c r="BK42" i="6"/>
  <c r="BL42" i="6"/>
  <c r="BM42" i="6"/>
  <c r="BN42" i="6"/>
  <c r="BO42" i="6"/>
  <c r="BP42" i="6"/>
  <c r="BR42" i="6"/>
  <c r="BS42" i="6"/>
  <c r="BT42" i="6"/>
  <c r="BL43" i="6"/>
  <c r="BT43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D50" i="4"/>
  <c r="BE23" i="6" s="1"/>
  <c r="BE50" i="4"/>
  <c r="BF23" i="6" s="1"/>
  <c r="BF50" i="4"/>
  <c r="BG23" i="6" s="1"/>
  <c r="BG50" i="4"/>
  <c r="BH23" i="6" s="1"/>
  <c r="BD32" i="4"/>
  <c r="BE32" i="4"/>
  <c r="BF32" i="4"/>
  <c r="BD31" i="4"/>
  <c r="BE6" i="6" s="1"/>
  <c r="BE31" i="4"/>
  <c r="BF6" i="6" s="1"/>
  <c r="BF31" i="4"/>
  <c r="BG6" i="6" s="1"/>
  <c r="BG31" i="4"/>
  <c r="BH6" i="6" s="1"/>
  <c r="BD20" i="4"/>
  <c r="BE20" i="4"/>
  <c r="BF20" i="4"/>
  <c r="BG20" i="4"/>
  <c r="BD13" i="4"/>
  <c r="BE52" i="5" s="1"/>
  <c r="BE13" i="4"/>
  <c r="BF52" i="5" s="1"/>
  <c r="BF13" i="4"/>
  <c r="BG13" i="4"/>
  <c r="BH52" i="5" s="1"/>
  <c r="BD4" i="4"/>
  <c r="BE36" i="6" s="1"/>
  <c r="BE4" i="4"/>
  <c r="BF47" i="5" s="1"/>
  <c r="BF15" i="8" s="1"/>
  <c r="BF4" i="4"/>
  <c r="BG47" i="5" s="1"/>
  <c r="BG15" i="8" s="1"/>
  <c r="BG4" i="4"/>
  <c r="BH36" i="6" s="1"/>
  <c r="BD8" i="4"/>
  <c r="BE8" i="4"/>
  <c r="BF8" i="4"/>
  <c r="BG37" i="4"/>
  <c r="BG32" i="4" s="1"/>
  <c r="BG10" i="7"/>
  <c r="BG30" i="7"/>
  <c r="BG23" i="7"/>
  <c r="BG20" i="7"/>
  <c r="BG12" i="7"/>
  <c r="BG4" i="7"/>
  <c r="BG11" i="7"/>
  <c r="BG7" i="7" s="1"/>
  <c r="BH43" i="6" s="1"/>
  <c r="BC31" i="4"/>
  <c r="BD6" i="6" s="1"/>
  <c r="BH8" i="6"/>
  <c r="BH9" i="6"/>
  <c r="BH18" i="6"/>
  <c r="BH19" i="6"/>
  <c r="BH20" i="6"/>
  <c r="BH21" i="6"/>
  <c r="BH28" i="6"/>
  <c r="BH32" i="6"/>
  <c r="BH33" i="6"/>
  <c r="BH38" i="6"/>
  <c r="BH39" i="6"/>
  <c r="BH42" i="6"/>
  <c r="BH44" i="6"/>
  <c r="BH48" i="6"/>
  <c r="BH49" i="6"/>
  <c r="BH50" i="6"/>
  <c r="BH51" i="6"/>
  <c r="BH52" i="6"/>
  <c r="BH53" i="6"/>
  <c r="BD30" i="7"/>
  <c r="BE30" i="7"/>
  <c r="BF30" i="7"/>
  <c r="BD23" i="7"/>
  <c r="BE23" i="7"/>
  <c r="BF23" i="7"/>
  <c r="BD20" i="7"/>
  <c r="BE20" i="7"/>
  <c r="BF20" i="7"/>
  <c r="BD12" i="7"/>
  <c r="BE12" i="7"/>
  <c r="BF12" i="7"/>
  <c r="BD7" i="7"/>
  <c r="BE43" i="6" s="1"/>
  <c r="BE7" i="7"/>
  <c r="BF7" i="7"/>
  <c r="BG43" i="6" s="1"/>
  <c r="BD4" i="7"/>
  <c r="BD3" i="7" s="1"/>
  <c r="BD19" i="7" s="1"/>
  <c r="BE4" i="7"/>
  <c r="BE3" i="7"/>
  <c r="BE19" i="7" s="1"/>
  <c r="BF55" i="5" s="1"/>
  <c r="BF12" i="8" s="1"/>
  <c r="BF4" i="7"/>
  <c r="AT29" i="4"/>
  <c r="AT11" i="4"/>
  <c r="BE8" i="6"/>
  <c r="BF8" i="6"/>
  <c r="BG8" i="6"/>
  <c r="BE9" i="6"/>
  <c r="BF9" i="6"/>
  <c r="BG9" i="6"/>
  <c r="BE18" i="6"/>
  <c r="BF18" i="6"/>
  <c r="BG18" i="6"/>
  <c r="BE19" i="6"/>
  <c r="BF19" i="6"/>
  <c r="BG19" i="6"/>
  <c r="BE20" i="6"/>
  <c r="BF20" i="6"/>
  <c r="BG20" i="6"/>
  <c r="BE21" i="6"/>
  <c r="BF21" i="6"/>
  <c r="BG21" i="6"/>
  <c r="BE27" i="6"/>
  <c r="BF27" i="6"/>
  <c r="BG27" i="6"/>
  <c r="BE28" i="6"/>
  <c r="BF28" i="6"/>
  <c r="BG28" i="6"/>
  <c r="BE29" i="6"/>
  <c r="BF29" i="6"/>
  <c r="BG29" i="6"/>
  <c r="BE32" i="6"/>
  <c r="BF32" i="6"/>
  <c r="BF16" i="5" s="1"/>
  <c r="BF9" i="8" s="1"/>
  <c r="BG32" i="6"/>
  <c r="BG16" i="5" s="1"/>
  <c r="BG9" i="8" s="1"/>
  <c r="BE33" i="6"/>
  <c r="BF33" i="6"/>
  <c r="BG33" i="6"/>
  <c r="BE38" i="6"/>
  <c r="BF38" i="6"/>
  <c r="BG38" i="6"/>
  <c r="BE39" i="6"/>
  <c r="BF39" i="6"/>
  <c r="BG39" i="6"/>
  <c r="BE42" i="6"/>
  <c r="BF42" i="6"/>
  <c r="BG42" i="6"/>
  <c r="BF43" i="6"/>
  <c r="BE44" i="6"/>
  <c r="BF44" i="6"/>
  <c r="BG44" i="6"/>
  <c r="BE48" i="6"/>
  <c r="BF48" i="6"/>
  <c r="BG48" i="6"/>
  <c r="BE49" i="6"/>
  <c r="BF49" i="6"/>
  <c r="BG49" i="6"/>
  <c r="BE50" i="6"/>
  <c r="BF50" i="6"/>
  <c r="BG50" i="6"/>
  <c r="BE51" i="6"/>
  <c r="BF51" i="6"/>
  <c r="BG51" i="6"/>
  <c r="BE52" i="6"/>
  <c r="BF52" i="6"/>
  <c r="BG52" i="6"/>
  <c r="BE53" i="6"/>
  <c r="BF53" i="6"/>
  <c r="BG53" i="6"/>
  <c r="BB8" i="6"/>
  <c r="BB9" i="6"/>
  <c r="BB18" i="6"/>
  <c r="BB19" i="6"/>
  <c r="BB20" i="6"/>
  <c r="BB21" i="6"/>
  <c r="BB27" i="6"/>
  <c r="BB28" i="6"/>
  <c r="BB29" i="6"/>
  <c r="BB32" i="6"/>
  <c r="BB33" i="6"/>
  <c r="BB38" i="6"/>
  <c r="BB39" i="6"/>
  <c r="BB42" i="6"/>
  <c r="BB44" i="6"/>
  <c r="BB48" i="6"/>
  <c r="BB49" i="6"/>
  <c r="BB50" i="6"/>
  <c r="BB51" i="6"/>
  <c r="BB52" i="6"/>
  <c r="BB53" i="6"/>
  <c r="BA50" i="4"/>
  <c r="BB23" i="6" s="1"/>
  <c r="BA31" i="4"/>
  <c r="BB6" i="6" s="1"/>
  <c r="BA32" i="4"/>
  <c r="BA20" i="4"/>
  <c r="BA13" i="4"/>
  <c r="BB52" i="5" s="1"/>
  <c r="BA8" i="4"/>
  <c r="BA4" i="4"/>
  <c r="BB36" i="6" s="1"/>
  <c r="BC8" i="6"/>
  <c r="BD8" i="6"/>
  <c r="BC9" i="6"/>
  <c r="BD9" i="6"/>
  <c r="BC18" i="6"/>
  <c r="BD18" i="6"/>
  <c r="BC19" i="6"/>
  <c r="BD19" i="6"/>
  <c r="BC20" i="6"/>
  <c r="BD20" i="6"/>
  <c r="BC21" i="6"/>
  <c r="BD21" i="6"/>
  <c r="BC27" i="6"/>
  <c r="BD27" i="6"/>
  <c r="BC28" i="6"/>
  <c r="BD28" i="6"/>
  <c r="BC29" i="6"/>
  <c r="BD29" i="6"/>
  <c r="BC32" i="6"/>
  <c r="BC16" i="5" s="1"/>
  <c r="BC9" i="8" s="1"/>
  <c r="BD32" i="6"/>
  <c r="BD16" i="5" s="1"/>
  <c r="BD9" i="8" s="1"/>
  <c r="BC33" i="6"/>
  <c r="BD33" i="6"/>
  <c r="BC38" i="6"/>
  <c r="BD38" i="6"/>
  <c r="BC39" i="6"/>
  <c r="BD39" i="6"/>
  <c r="BC42" i="6"/>
  <c r="BC45" i="6" s="1"/>
  <c r="BD42" i="6"/>
  <c r="BC44" i="6"/>
  <c r="BD44" i="6"/>
  <c r="BC48" i="6"/>
  <c r="BD48" i="6"/>
  <c r="BC49" i="6"/>
  <c r="BD49" i="6"/>
  <c r="BC50" i="6"/>
  <c r="BD50" i="6"/>
  <c r="BC51" i="6"/>
  <c r="BD51" i="6"/>
  <c r="BC52" i="6"/>
  <c r="BD52" i="6"/>
  <c r="BC53" i="6"/>
  <c r="BD53" i="6"/>
  <c r="BA30" i="7"/>
  <c r="BB30" i="7"/>
  <c r="BC30" i="7"/>
  <c r="BA23" i="7"/>
  <c r="BB23" i="7"/>
  <c r="BC23" i="7"/>
  <c r="BA20" i="7"/>
  <c r="BB20" i="7"/>
  <c r="BC20" i="7"/>
  <c r="BA12" i="7"/>
  <c r="BB12" i="7"/>
  <c r="BC12" i="7"/>
  <c r="BA7" i="7"/>
  <c r="BB43" i="6" s="1"/>
  <c r="BB7" i="7"/>
  <c r="BC43" i="6" s="1"/>
  <c r="BC7" i="7"/>
  <c r="BD43" i="6" s="1"/>
  <c r="BA4" i="7"/>
  <c r="BB4" i="7"/>
  <c r="BB3" i="7" s="1"/>
  <c r="BB19" i="7" s="1"/>
  <c r="BC4" i="7"/>
  <c r="BC3" i="7" s="1"/>
  <c r="BC19" i="7" s="1"/>
  <c r="BC29" i="7" s="1"/>
  <c r="BC33" i="7" s="1"/>
  <c r="BC35" i="7" s="1"/>
  <c r="BC37" i="7" s="1"/>
  <c r="BD56" i="6" s="1"/>
  <c r="BC50" i="4"/>
  <c r="BD23" i="6" s="1"/>
  <c r="BC32" i="4"/>
  <c r="BC20" i="4"/>
  <c r="BC13" i="4"/>
  <c r="BD52" i="5" s="1"/>
  <c r="BC8" i="4"/>
  <c r="BC4" i="4"/>
  <c r="BD48" i="5" s="1"/>
  <c r="BD16" i="8" s="1"/>
  <c r="BB4" i="4"/>
  <c r="BB50" i="4"/>
  <c r="BC23" i="6" s="1"/>
  <c r="BB31" i="4"/>
  <c r="BC7" i="6" s="1"/>
  <c r="BB32" i="4"/>
  <c r="BB20" i="4"/>
  <c r="BB13" i="4"/>
  <c r="BC52" i="5" s="1"/>
  <c r="BB8" i="4"/>
  <c r="AZ30" i="7"/>
  <c r="AZ23" i="7"/>
  <c r="AZ20" i="7"/>
  <c r="AZ12" i="7"/>
  <c r="AZ7" i="7"/>
  <c r="AZ4" i="7"/>
  <c r="AZ50" i="4"/>
  <c r="BA23" i="6" s="1"/>
  <c r="AZ31" i="4"/>
  <c r="AZ32" i="4"/>
  <c r="AZ20" i="4"/>
  <c r="AZ13" i="4"/>
  <c r="BA52" i="5" s="1"/>
  <c r="AZ8" i="4"/>
  <c r="AZ4" i="4"/>
  <c r="BA8" i="6"/>
  <c r="BA9" i="6"/>
  <c r="BA18" i="6"/>
  <c r="BA19" i="6"/>
  <c r="BA20" i="6"/>
  <c r="BA21" i="6"/>
  <c r="BA27" i="6"/>
  <c r="BA28" i="6"/>
  <c r="BA29" i="6"/>
  <c r="BA32" i="6"/>
  <c r="BA16" i="5" s="1"/>
  <c r="BA9" i="8" s="1"/>
  <c r="BA33" i="6"/>
  <c r="BA38" i="6"/>
  <c r="BA39" i="6"/>
  <c r="BA42" i="6"/>
  <c r="BA43" i="6"/>
  <c r="BA44" i="6"/>
  <c r="BA48" i="6"/>
  <c r="BA49" i="6"/>
  <c r="BA50" i="6"/>
  <c r="BA51" i="6"/>
  <c r="BA52" i="6"/>
  <c r="BA53" i="6"/>
  <c r="AY50" i="4"/>
  <c r="AY31" i="4"/>
  <c r="AZ7" i="6" s="1"/>
  <c r="AY32" i="4"/>
  <c r="AY20" i="4"/>
  <c r="AY13" i="4"/>
  <c r="AZ52" i="5" s="1"/>
  <c r="AY8" i="4"/>
  <c r="AY4" i="4"/>
  <c r="AZ36" i="6" s="1"/>
  <c r="AY30" i="7"/>
  <c r="AY23" i="7"/>
  <c r="AY20" i="7"/>
  <c r="AY12" i="7"/>
  <c r="AY7" i="7"/>
  <c r="AY4" i="7"/>
  <c r="AY3" i="7" s="1"/>
  <c r="AY19" i="7" s="1"/>
  <c r="AZ8" i="6"/>
  <c r="AZ9" i="6"/>
  <c r="AZ18" i="6"/>
  <c r="AZ19" i="6"/>
  <c r="AZ20" i="6"/>
  <c r="AZ21" i="6"/>
  <c r="AZ27" i="6"/>
  <c r="AZ28" i="6"/>
  <c r="AZ29" i="6"/>
  <c r="AZ32" i="6"/>
  <c r="AZ16" i="5" s="1"/>
  <c r="AZ9" i="8" s="1"/>
  <c r="AZ33" i="6"/>
  <c r="AZ38" i="6"/>
  <c r="AZ39" i="6"/>
  <c r="AZ42" i="6"/>
  <c r="AZ44" i="6"/>
  <c r="AZ48" i="6"/>
  <c r="AZ49" i="6"/>
  <c r="AZ50" i="6"/>
  <c r="AZ51" i="6"/>
  <c r="AZ52" i="6"/>
  <c r="AZ53" i="6"/>
  <c r="AV8" i="6"/>
  <c r="AW8" i="6"/>
  <c r="AX8" i="6"/>
  <c r="AY8" i="6"/>
  <c r="AV9" i="6"/>
  <c r="AW9" i="6"/>
  <c r="AX9" i="6"/>
  <c r="AY9" i="6"/>
  <c r="AV18" i="6"/>
  <c r="AW18" i="6"/>
  <c r="AX18" i="6"/>
  <c r="AY18" i="6"/>
  <c r="AV19" i="6"/>
  <c r="AW19" i="6"/>
  <c r="AX19" i="6"/>
  <c r="AY19" i="6"/>
  <c r="AV20" i="6"/>
  <c r="AW20" i="6"/>
  <c r="AX20" i="6"/>
  <c r="AY20" i="6"/>
  <c r="AV21" i="6"/>
  <c r="AW21" i="6"/>
  <c r="AX21" i="6"/>
  <c r="AY21" i="6"/>
  <c r="AV27" i="6"/>
  <c r="AW27" i="6"/>
  <c r="AX27" i="6"/>
  <c r="AY27" i="6"/>
  <c r="AV28" i="6"/>
  <c r="AW28" i="6"/>
  <c r="AX28" i="6"/>
  <c r="AY28" i="6"/>
  <c r="AV29" i="6"/>
  <c r="AW29" i="6"/>
  <c r="AX29" i="6"/>
  <c r="AY29" i="6"/>
  <c r="AV32" i="6"/>
  <c r="AV16" i="5" s="1"/>
  <c r="AV9" i="8" s="1"/>
  <c r="AW32" i="6"/>
  <c r="AW16" i="5" s="1"/>
  <c r="AW9" i="8" s="1"/>
  <c r="AX32" i="6"/>
  <c r="AX16" i="5" s="1"/>
  <c r="AX9" i="8" s="1"/>
  <c r="AY32" i="6"/>
  <c r="AY16" i="5" s="1"/>
  <c r="AY9" i="8" s="1"/>
  <c r="AV33" i="6"/>
  <c r="AW33" i="6"/>
  <c r="AX33" i="6"/>
  <c r="AY33" i="6"/>
  <c r="AV38" i="6"/>
  <c r="AW38" i="6"/>
  <c r="AX38" i="6"/>
  <c r="AY38" i="6"/>
  <c r="AV39" i="6"/>
  <c r="AW39" i="6"/>
  <c r="AX39" i="6"/>
  <c r="AY39" i="6"/>
  <c r="AV42" i="6"/>
  <c r="AW42" i="6"/>
  <c r="AX42" i="6"/>
  <c r="AY42" i="6"/>
  <c r="AV44" i="6"/>
  <c r="AW44" i="6"/>
  <c r="AX44" i="6"/>
  <c r="AY44" i="6"/>
  <c r="AV48" i="6"/>
  <c r="AW48" i="6"/>
  <c r="AX48" i="6"/>
  <c r="AY48" i="6"/>
  <c r="AV49" i="6"/>
  <c r="AW49" i="6"/>
  <c r="AX49" i="6"/>
  <c r="AY49" i="6"/>
  <c r="AV50" i="6"/>
  <c r="AW50" i="6"/>
  <c r="AX50" i="6"/>
  <c r="AY50" i="6"/>
  <c r="AV51" i="6"/>
  <c r="AW51" i="6"/>
  <c r="AX51" i="6"/>
  <c r="AY51" i="6"/>
  <c r="AV52" i="6"/>
  <c r="AW52" i="6"/>
  <c r="AX52" i="6"/>
  <c r="AY52" i="6"/>
  <c r="AV53" i="6"/>
  <c r="AW53" i="6"/>
  <c r="AX53" i="6"/>
  <c r="AY53" i="6"/>
  <c r="AU30" i="7"/>
  <c r="AV30" i="7"/>
  <c r="AW30" i="7"/>
  <c r="AX30" i="7"/>
  <c r="AU23" i="7"/>
  <c r="AV23" i="7"/>
  <c r="AW23" i="7"/>
  <c r="AX23" i="7"/>
  <c r="AU20" i="7"/>
  <c r="AV20" i="7"/>
  <c r="AW20" i="7"/>
  <c r="AX20" i="7"/>
  <c r="AU12" i="7"/>
  <c r="AV12" i="7"/>
  <c r="AW12" i="7"/>
  <c r="AX12" i="7"/>
  <c r="AU7" i="7"/>
  <c r="AV43" i="6" s="1"/>
  <c r="AV7" i="7"/>
  <c r="AW43" i="6" s="1"/>
  <c r="AW7" i="7"/>
  <c r="AX43" i="6"/>
  <c r="AX7" i="7"/>
  <c r="AY43" i="6"/>
  <c r="AY41" i="6" s="1"/>
  <c r="AU4" i="7"/>
  <c r="AV4" i="7"/>
  <c r="AW4" i="7"/>
  <c r="AW3" i="7"/>
  <c r="AW19" i="7" s="1"/>
  <c r="AX4" i="7"/>
  <c r="AX3" i="7" s="1"/>
  <c r="AX19" i="7" s="1"/>
  <c r="AX29" i="7" s="1"/>
  <c r="AX33" i="7" s="1"/>
  <c r="AX35" i="7" s="1"/>
  <c r="AX37" i="7" s="1"/>
  <c r="AY56" i="6" s="1"/>
  <c r="AX4" i="4"/>
  <c r="AX50" i="4"/>
  <c r="AY23" i="6" s="1"/>
  <c r="AX31" i="4"/>
  <c r="AY6" i="6" s="1"/>
  <c r="AX32" i="4"/>
  <c r="AX20" i="4"/>
  <c r="AX13" i="4"/>
  <c r="AY52" i="5" s="1"/>
  <c r="AX8" i="4"/>
  <c r="AU4" i="4"/>
  <c r="AV47" i="5" s="1"/>
  <c r="AV15" i="8" s="1"/>
  <c r="AV4" i="4"/>
  <c r="AW4" i="4"/>
  <c r="AX47" i="5" s="1"/>
  <c r="AX15" i="8" s="1"/>
  <c r="AU20" i="4"/>
  <c r="AV20" i="4"/>
  <c r="AW20" i="4"/>
  <c r="AU50" i="4"/>
  <c r="AV23" i="6" s="1"/>
  <c r="AV50" i="4"/>
  <c r="AW23" i="6" s="1"/>
  <c r="AW50" i="4"/>
  <c r="AX23" i="6" s="1"/>
  <c r="AU32" i="4"/>
  <c r="AV32" i="4"/>
  <c r="AW32" i="4"/>
  <c r="AU31" i="4"/>
  <c r="AV6" i="6" s="1"/>
  <c r="AV31" i="4"/>
  <c r="AW7" i="6" s="1"/>
  <c r="AW31" i="4"/>
  <c r="AX7" i="6" s="1"/>
  <c r="AU13" i="4"/>
  <c r="AV52" i="5" s="1"/>
  <c r="AV13" i="4"/>
  <c r="AW52" i="5" s="1"/>
  <c r="AW13" i="4"/>
  <c r="AX52" i="5" s="1"/>
  <c r="AU8" i="4"/>
  <c r="AV8" i="4"/>
  <c r="AW8" i="4"/>
  <c r="AS8" i="6"/>
  <c r="AS9" i="6"/>
  <c r="AS18" i="6"/>
  <c r="AS19" i="6"/>
  <c r="AS20" i="6"/>
  <c r="AS21" i="6"/>
  <c r="AS27" i="6"/>
  <c r="AS28" i="6"/>
  <c r="AS29" i="6"/>
  <c r="AS32" i="6"/>
  <c r="AS16" i="5" s="1"/>
  <c r="AS9" i="8" s="1"/>
  <c r="AS33" i="6"/>
  <c r="AS38" i="6"/>
  <c r="AS39" i="6"/>
  <c r="AS42" i="6"/>
  <c r="AS44" i="6"/>
  <c r="AS48" i="6"/>
  <c r="AS49" i="6"/>
  <c r="AS50" i="6"/>
  <c r="AS51" i="6"/>
  <c r="AS52" i="6"/>
  <c r="AS53" i="6"/>
  <c r="AR13" i="4"/>
  <c r="AS52" i="5" s="1"/>
  <c r="AR20" i="4"/>
  <c r="AR8" i="4"/>
  <c r="AR4" i="4"/>
  <c r="AS47" i="5" s="1"/>
  <c r="AS15" i="8" s="1"/>
  <c r="AT28" i="7"/>
  <c r="AT10" i="7"/>
  <c r="AT7" i="7"/>
  <c r="AU43" i="6" s="1"/>
  <c r="AR50" i="4"/>
  <c r="AS23" i="6" s="1"/>
  <c r="AS50" i="4"/>
  <c r="AT23" i="6" s="1"/>
  <c r="AT50" i="4"/>
  <c r="AU23" i="6" s="1"/>
  <c r="AR31" i="4"/>
  <c r="AS7" i="6" s="1"/>
  <c r="AS31" i="4"/>
  <c r="AT6" i="6" s="1"/>
  <c r="AR32" i="4"/>
  <c r="AS32" i="4"/>
  <c r="AT32" i="4"/>
  <c r="AT20" i="4"/>
  <c r="AT13" i="4"/>
  <c r="AU52" i="5" s="1"/>
  <c r="AT4" i="4"/>
  <c r="AU36" i="6" s="1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E17" i="8"/>
  <c r="AF17" i="8"/>
  <c r="AG17" i="8"/>
  <c r="AE20" i="8"/>
  <c r="AF20" i="8"/>
  <c r="AG20" i="8"/>
  <c r="AE21" i="8"/>
  <c r="AF21" i="8"/>
  <c r="AG21" i="8"/>
  <c r="AE22" i="8"/>
  <c r="AF22" i="8"/>
  <c r="AG22" i="8"/>
  <c r="AE23" i="8"/>
  <c r="AF23" i="8"/>
  <c r="AG23" i="8"/>
  <c r="AU9" i="6"/>
  <c r="AU18" i="6"/>
  <c r="AU20" i="6"/>
  <c r="AU21" i="6"/>
  <c r="AU27" i="6"/>
  <c r="AU28" i="6"/>
  <c r="AU32" i="6"/>
  <c r="AU16" i="5" s="1"/>
  <c r="AU9" i="8" s="1"/>
  <c r="AU33" i="6"/>
  <c r="AU38" i="6"/>
  <c r="AU39" i="6"/>
  <c r="AU42" i="6"/>
  <c r="AU44" i="6"/>
  <c r="AU48" i="6"/>
  <c r="AU49" i="6"/>
  <c r="AU51" i="6"/>
  <c r="AU53" i="6"/>
  <c r="AI8" i="6"/>
  <c r="AJ8" i="6"/>
  <c r="AK8" i="6"/>
  <c r="AL8" i="6"/>
  <c r="AM8" i="6"/>
  <c r="AN8" i="6"/>
  <c r="AO8" i="6"/>
  <c r="AP8" i="6"/>
  <c r="AQ8" i="6"/>
  <c r="AR8" i="6"/>
  <c r="AT8" i="6"/>
  <c r="AI9" i="6"/>
  <c r="AJ9" i="6"/>
  <c r="AK9" i="6"/>
  <c r="AL9" i="6"/>
  <c r="AM9" i="6"/>
  <c r="AN9" i="6"/>
  <c r="AO9" i="6"/>
  <c r="AP9" i="6"/>
  <c r="AQ9" i="6"/>
  <c r="AR9" i="6"/>
  <c r="AT9" i="6"/>
  <c r="AI18" i="6"/>
  <c r="AJ18" i="6"/>
  <c r="AK18" i="6"/>
  <c r="AL18" i="6"/>
  <c r="AM18" i="6"/>
  <c r="AN18" i="6"/>
  <c r="AO18" i="6"/>
  <c r="AP18" i="6"/>
  <c r="AQ18" i="6"/>
  <c r="AR18" i="6"/>
  <c r="AT18" i="6"/>
  <c r="AI19" i="6"/>
  <c r="AJ19" i="6"/>
  <c r="AK19" i="6"/>
  <c r="AL19" i="6"/>
  <c r="AM19" i="6"/>
  <c r="AN19" i="6"/>
  <c r="AO19" i="6"/>
  <c r="AP19" i="6"/>
  <c r="AQ19" i="6"/>
  <c r="AR19" i="6"/>
  <c r="AT19" i="6"/>
  <c r="AI20" i="6"/>
  <c r="AJ20" i="6"/>
  <c r="AK20" i="6"/>
  <c r="AL20" i="6"/>
  <c r="AM20" i="6"/>
  <c r="AN20" i="6"/>
  <c r="AO20" i="6"/>
  <c r="AP20" i="6"/>
  <c r="AQ20" i="6"/>
  <c r="AR20" i="6"/>
  <c r="AT20" i="6"/>
  <c r="AI21" i="6"/>
  <c r="AJ21" i="6"/>
  <c r="AK21" i="6"/>
  <c r="AL21" i="6"/>
  <c r="AM21" i="6"/>
  <c r="AN21" i="6"/>
  <c r="AO21" i="6"/>
  <c r="AP21" i="6"/>
  <c r="AQ21" i="6"/>
  <c r="AR21" i="6"/>
  <c r="AT21" i="6"/>
  <c r="AI27" i="6"/>
  <c r="AJ27" i="6"/>
  <c r="AK27" i="6"/>
  <c r="AL27" i="6"/>
  <c r="AM27" i="6"/>
  <c r="AN27" i="6"/>
  <c r="AO27" i="6"/>
  <c r="AP27" i="6"/>
  <c r="AQ27" i="6"/>
  <c r="AR27" i="6"/>
  <c r="AT27" i="6"/>
  <c r="AI28" i="6"/>
  <c r="AJ28" i="6"/>
  <c r="AK28" i="6"/>
  <c r="AL28" i="6"/>
  <c r="AM28" i="6"/>
  <c r="AN28" i="6"/>
  <c r="AO28" i="6"/>
  <c r="AP28" i="6"/>
  <c r="AQ28" i="6"/>
  <c r="AR28" i="6"/>
  <c r="AT28" i="6"/>
  <c r="AI29" i="6"/>
  <c r="AJ29" i="6"/>
  <c r="AK29" i="6"/>
  <c r="AL29" i="6"/>
  <c r="AM29" i="6"/>
  <c r="AN29" i="6"/>
  <c r="AO29" i="6"/>
  <c r="AP29" i="6"/>
  <c r="AQ29" i="6"/>
  <c r="AR29" i="6"/>
  <c r="AT29" i="6"/>
  <c r="AI32" i="6"/>
  <c r="AJ32" i="6"/>
  <c r="AJ16" i="5" s="1"/>
  <c r="AJ9" i="8" s="1"/>
  <c r="AK32" i="6"/>
  <c r="AK16" i="5" s="1"/>
  <c r="AK9" i="8" s="1"/>
  <c r="AL32" i="6"/>
  <c r="AL16" i="5" s="1"/>
  <c r="AL9" i="8" s="1"/>
  <c r="AM32" i="6"/>
  <c r="AN32" i="6"/>
  <c r="AO32" i="6"/>
  <c r="AO16" i="5" s="1"/>
  <c r="AO9" i="8" s="1"/>
  <c r="AP32" i="6"/>
  <c r="AP16" i="5" s="1"/>
  <c r="AP9" i="8" s="1"/>
  <c r="AQ32" i="6"/>
  <c r="AR32" i="6"/>
  <c r="AT32" i="6"/>
  <c r="AT16" i="5" s="1"/>
  <c r="AT9" i="8" s="1"/>
  <c r="AI33" i="6"/>
  <c r="AJ33" i="6"/>
  <c r="AK33" i="6"/>
  <c r="AL33" i="6"/>
  <c r="AM33" i="6"/>
  <c r="AN33" i="6"/>
  <c r="AO33" i="6"/>
  <c r="AP33" i="6"/>
  <c r="AQ33" i="6"/>
  <c r="AR33" i="6"/>
  <c r="AT33" i="6"/>
  <c r="AI38" i="6"/>
  <c r="AJ38" i="6"/>
  <c r="AK38" i="6"/>
  <c r="AL38" i="6"/>
  <c r="AM38" i="6"/>
  <c r="AN38" i="6"/>
  <c r="AO38" i="6"/>
  <c r="AP38" i="6"/>
  <c r="AQ38" i="6"/>
  <c r="AR38" i="6"/>
  <c r="AT38" i="6"/>
  <c r="AI39" i="6"/>
  <c r="AJ39" i="6"/>
  <c r="AK39" i="6"/>
  <c r="AL39" i="6"/>
  <c r="AM39" i="6"/>
  <c r="AN39" i="6"/>
  <c r="AO39" i="6"/>
  <c r="AP39" i="6"/>
  <c r="AQ39" i="6"/>
  <c r="AR39" i="6"/>
  <c r="AT39" i="6"/>
  <c r="AI42" i="6"/>
  <c r="AJ42" i="6"/>
  <c r="AK42" i="6"/>
  <c r="AL42" i="6"/>
  <c r="AM42" i="6"/>
  <c r="AN42" i="6"/>
  <c r="AO42" i="6"/>
  <c r="AP42" i="6"/>
  <c r="AQ42" i="6"/>
  <c r="AR42" i="6"/>
  <c r="AT42" i="6"/>
  <c r="AI44" i="6"/>
  <c r="AJ44" i="6"/>
  <c r="AK44" i="6"/>
  <c r="AL44" i="6"/>
  <c r="AM44" i="6"/>
  <c r="AN44" i="6"/>
  <c r="AO44" i="6"/>
  <c r="AP44" i="6"/>
  <c r="AQ44" i="6"/>
  <c r="AR44" i="6"/>
  <c r="AT44" i="6"/>
  <c r="AI48" i="6"/>
  <c r="AJ48" i="6"/>
  <c r="AK48" i="6"/>
  <c r="AL48" i="6"/>
  <c r="AM48" i="6"/>
  <c r="AN48" i="6"/>
  <c r="AO48" i="6"/>
  <c r="AP48" i="6"/>
  <c r="AQ48" i="6"/>
  <c r="AR48" i="6"/>
  <c r="AT48" i="6"/>
  <c r="AI49" i="6"/>
  <c r="AJ49" i="6"/>
  <c r="AK49" i="6"/>
  <c r="AL49" i="6"/>
  <c r="AM49" i="6"/>
  <c r="AN49" i="6"/>
  <c r="AO49" i="6"/>
  <c r="AP49" i="6"/>
  <c r="AQ49" i="6"/>
  <c r="AR49" i="6"/>
  <c r="AT49" i="6"/>
  <c r="AI50" i="6"/>
  <c r="AJ50" i="6"/>
  <c r="AK50" i="6"/>
  <c r="AL50" i="6"/>
  <c r="AM50" i="6"/>
  <c r="AN50" i="6"/>
  <c r="AO50" i="6"/>
  <c r="AP50" i="6"/>
  <c r="AQ50" i="6"/>
  <c r="AR50" i="6"/>
  <c r="AT50" i="6"/>
  <c r="AI51" i="6"/>
  <c r="AJ51" i="6"/>
  <c r="AK51" i="6"/>
  <c r="AL51" i="6"/>
  <c r="AM51" i="6"/>
  <c r="AN51" i="6"/>
  <c r="AO51" i="6"/>
  <c r="AP51" i="6"/>
  <c r="AQ51" i="6"/>
  <c r="AR51" i="6"/>
  <c r="AT51" i="6"/>
  <c r="AI52" i="6"/>
  <c r="AJ52" i="6"/>
  <c r="AK52" i="6"/>
  <c r="AL52" i="6"/>
  <c r="AM52" i="6"/>
  <c r="AN52" i="6"/>
  <c r="AO52" i="6"/>
  <c r="AP52" i="6"/>
  <c r="AQ52" i="6"/>
  <c r="AR52" i="6"/>
  <c r="AT52" i="6"/>
  <c r="AI53" i="6"/>
  <c r="AJ53" i="6"/>
  <c r="AK53" i="6"/>
  <c r="AL53" i="6"/>
  <c r="AM53" i="6"/>
  <c r="AN53" i="6"/>
  <c r="AO53" i="6"/>
  <c r="AP53" i="6"/>
  <c r="AQ53" i="6"/>
  <c r="AR53" i="6"/>
  <c r="AT53" i="6"/>
  <c r="AT30" i="7"/>
  <c r="AT14" i="7"/>
  <c r="AT12" i="7" s="1"/>
  <c r="AT20" i="7"/>
  <c r="AT4" i="7"/>
  <c r="AT3" i="7" s="1"/>
  <c r="AT19" i="7" s="1"/>
  <c r="AH30" i="7"/>
  <c r="AI30" i="7"/>
  <c r="AJ30" i="7"/>
  <c r="AK30" i="7"/>
  <c r="AL30" i="7"/>
  <c r="AM30" i="7"/>
  <c r="AN30" i="7"/>
  <c r="AO30" i="7"/>
  <c r="AP30" i="7"/>
  <c r="AQ30" i="7"/>
  <c r="AR30" i="7"/>
  <c r="AS30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H7" i="7"/>
  <c r="AI43" i="6"/>
  <c r="AI7" i="7"/>
  <c r="AJ43" i="6"/>
  <c r="AJ7" i="7"/>
  <c r="AK43" i="6"/>
  <c r="AK7" i="7"/>
  <c r="AL43" i="6" s="1"/>
  <c r="AL7" i="7"/>
  <c r="AM7" i="7"/>
  <c r="AN43" i="6"/>
  <c r="AN7" i="7"/>
  <c r="AO43" i="6" s="1"/>
  <c r="AO41" i="6" s="1"/>
  <c r="AO7" i="7"/>
  <c r="AP43" i="6"/>
  <c r="AP7" i="7"/>
  <c r="AQ43" i="6"/>
  <c r="AQ41" i="6" s="1"/>
  <c r="AQ7" i="7"/>
  <c r="AR43" i="6"/>
  <c r="AR7" i="7"/>
  <c r="AS43" i="6" s="1"/>
  <c r="AS7" i="7"/>
  <c r="AT43" i="6"/>
  <c r="AH4" i="7"/>
  <c r="AI4" i="7"/>
  <c r="AI3" i="7" s="1"/>
  <c r="AI19" i="7" s="1"/>
  <c r="AI29" i="7" s="1"/>
  <c r="AJ4" i="7"/>
  <c r="AJ3" i="7"/>
  <c r="AJ19" i="7" s="1"/>
  <c r="AJ29" i="7" s="1"/>
  <c r="AJ33" i="7" s="1"/>
  <c r="AJ35" i="7" s="1"/>
  <c r="AK4" i="7"/>
  <c r="AL4" i="7"/>
  <c r="AM4" i="7"/>
  <c r="AM3" i="7" s="1"/>
  <c r="AM19" i="7" s="1"/>
  <c r="AM29" i="7" s="1"/>
  <c r="AM33" i="7" s="1"/>
  <c r="AM35" i="7" s="1"/>
  <c r="AM37" i="7" s="1"/>
  <c r="AN56" i="6" s="1"/>
  <c r="AN4" i="7"/>
  <c r="AN3" i="7" s="1"/>
  <c r="AN19" i="7" s="1"/>
  <c r="AO4" i="7"/>
  <c r="AO3" i="7"/>
  <c r="AO19" i="7" s="1"/>
  <c r="AP4" i="7"/>
  <c r="AQ4" i="7"/>
  <c r="AQ3" i="7"/>
  <c r="AQ19" i="7"/>
  <c r="AQ29" i="7" s="1"/>
  <c r="AR4" i="7"/>
  <c r="AR3" i="7" s="1"/>
  <c r="AR19" i="7" s="1"/>
  <c r="AR29" i="7" s="1"/>
  <c r="AR33" i="7" s="1"/>
  <c r="AR35" i="7" s="1"/>
  <c r="AR37" i="7" s="1"/>
  <c r="AS56" i="6" s="1"/>
  <c r="AS4" i="7"/>
  <c r="AS3" i="7" s="1"/>
  <c r="AH50" i="4"/>
  <c r="AI23" i="6" s="1"/>
  <c r="AI50" i="4"/>
  <c r="AJ23" i="6" s="1"/>
  <c r="AJ50" i="4"/>
  <c r="AK23" i="6" s="1"/>
  <c r="AK50" i="4"/>
  <c r="AL23" i="6" s="1"/>
  <c r="AL50" i="4"/>
  <c r="AM23" i="6" s="1"/>
  <c r="AM50" i="4"/>
  <c r="AN23" i="6" s="1"/>
  <c r="AN50" i="4"/>
  <c r="AO23" i="6" s="1"/>
  <c r="AO50" i="4"/>
  <c r="AP23" i="6" s="1"/>
  <c r="AP50" i="4"/>
  <c r="AQ23" i="6" s="1"/>
  <c r="AQ50" i="4"/>
  <c r="AR23" i="6" s="1"/>
  <c r="AH32" i="4"/>
  <c r="AI32" i="4"/>
  <c r="AJ32" i="4"/>
  <c r="AK32" i="4"/>
  <c r="AL32" i="4"/>
  <c r="AM32" i="4"/>
  <c r="AN32" i="4"/>
  <c r="AO32" i="4"/>
  <c r="AP32" i="4"/>
  <c r="AQ32" i="4"/>
  <c r="AH31" i="4"/>
  <c r="AI7" i="6" s="1"/>
  <c r="AI31" i="4"/>
  <c r="AJ7" i="6" s="1"/>
  <c r="AJ31" i="4"/>
  <c r="AK6" i="6" s="1"/>
  <c r="AK31" i="4"/>
  <c r="AL31" i="4"/>
  <c r="AM7" i="6" s="1"/>
  <c r="AM31" i="4"/>
  <c r="AN6" i="6" s="1"/>
  <c r="AN31" i="4"/>
  <c r="AO7" i="6" s="1"/>
  <c r="AO31" i="4"/>
  <c r="AP7" i="6" s="1"/>
  <c r="AP31" i="4"/>
  <c r="AQ6" i="6" s="1"/>
  <c r="AQ31" i="4"/>
  <c r="AH20" i="4"/>
  <c r="AI20" i="4"/>
  <c r="AJ20" i="4"/>
  <c r="AK20" i="4"/>
  <c r="AL20" i="4"/>
  <c r="AM20" i="4"/>
  <c r="AN20" i="4"/>
  <c r="AO20" i="4"/>
  <c r="AP20" i="4"/>
  <c r="AQ20" i="4"/>
  <c r="AS20" i="4"/>
  <c r="AH13" i="4"/>
  <c r="AI52" i="5" s="1"/>
  <c r="AI13" i="4"/>
  <c r="AJ52" i="5" s="1"/>
  <c r="AJ13" i="4"/>
  <c r="AK52" i="5" s="1"/>
  <c r="AK13" i="4"/>
  <c r="AL13" i="4"/>
  <c r="AM52" i="5" s="1"/>
  <c r="AM13" i="4"/>
  <c r="AN52" i="5" s="1"/>
  <c r="AN13" i="4"/>
  <c r="AO13" i="4"/>
  <c r="AP52" i="5" s="1"/>
  <c r="AP13" i="4"/>
  <c r="AQ52" i="5" s="1"/>
  <c r="AQ13" i="4"/>
  <c r="AR52" i="5" s="1"/>
  <c r="AS13" i="4"/>
  <c r="AT52" i="5" s="1"/>
  <c r="AH8" i="4"/>
  <c r="AI8" i="4"/>
  <c r="AJ8" i="4"/>
  <c r="AK8" i="4"/>
  <c r="AL8" i="4"/>
  <c r="AM8" i="4"/>
  <c r="AN8" i="4"/>
  <c r="AO8" i="4"/>
  <c r="AP8" i="4"/>
  <c r="AQ8" i="4"/>
  <c r="AS8" i="4"/>
  <c r="AH4" i="4"/>
  <c r="AI47" i="5" s="1"/>
  <c r="AI15" i="8" s="1"/>
  <c r="AI4" i="4"/>
  <c r="AJ4" i="4"/>
  <c r="AK48" i="5" s="1"/>
  <c r="AK16" i="8" s="1"/>
  <c r="AK4" i="4"/>
  <c r="AL47" i="5" s="1"/>
  <c r="AL15" i="8" s="1"/>
  <c r="AL4" i="4"/>
  <c r="AM47" i="5" s="1"/>
  <c r="AM15" i="8" s="1"/>
  <c r="AM4" i="4"/>
  <c r="AN47" i="5" s="1"/>
  <c r="AN15" i="8" s="1"/>
  <c r="AN4" i="4"/>
  <c r="AO48" i="5" s="1"/>
  <c r="AO16" i="8" s="1"/>
  <c r="AO4" i="4"/>
  <c r="AP48" i="5" s="1"/>
  <c r="AP16" i="8" s="1"/>
  <c r="AP4" i="4"/>
  <c r="AQ48" i="5" s="1"/>
  <c r="AQ16" i="8" s="1"/>
  <c r="AQ4" i="4"/>
  <c r="AR47" i="5" s="1"/>
  <c r="AR15" i="8" s="1"/>
  <c r="AS4" i="4"/>
  <c r="AT48" i="5" s="1"/>
  <c r="AT16" i="8" s="1"/>
  <c r="AG50" i="4"/>
  <c r="AH23" i="6" s="1"/>
  <c r="U32" i="4"/>
  <c r="V32" i="4"/>
  <c r="W32" i="4"/>
  <c r="X32" i="4"/>
  <c r="Y32" i="4"/>
  <c r="Z32" i="4"/>
  <c r="AA32" i="4"/>
  <c r="AB32" i="4"/>
  <c r="AC32" i="4"/>
  <c r="AD32" i="4"/>
  <c r="AE32" i="4"/>
  <c r="AF32" i="4"/>
  <c r="AG37" i="4"/>
  <c r="AG32" i="4" s="1"/>
  <c r="U23" i="7"/>
  <c r="V23" i="7"/>
  <c r="W23" i="7"/>
  <c r="X23" i="7"/>
  <c r="Y23" i="7"/>
  <c r="Z23" i="7"/>
  <c r="AA23" i="7"/>
  <c r="AB23" i="7"/>
  <c r="AC23" i="7"/>
  <c r="AD23" i="7"/>
  <c r="AE23" i="7"/>
  <c r="AF23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G7" i="7"/>
  <c r="AG3" i="7" s="1"/>
  <c r="AG19" i="7" s="1"/>
  <c r="AH43" i="6"/>
  <c r="AG28" i="7"/>
  <c r="AE8" i="6"/>
  <c r="AF8" i="6"/>
  <c r="AG8" i="6"/>
  <c r="AH8" i="6"/>
  <c r="AE9" i="6"/>
  <c r="AF9" i="6"/>
  <c r="AG9" i="6"/>
  <c r="AH9" i="6"/>
  <c r="AE18" i="6"/>
  <c r="AF18" i="6"/>
  <c r="AG18" i="6"/>
  <c r="AH18" i="6"/>
  <c r="AE19" i="6"/>
  <c r="AF19" i="6"/>
  <c r="AG19" i="6"/>
  <c r="AH19" i="6"/>
  <c r="AE20" i="6"/>
  <c r="AF20" i="6"/>
  <c r="AG20" i="6"/>
  <c r="AH20" i="6"/>
  <c r="AE21" i="6"/>
  <c r="AF21" i="6"/>
  <c r="AG21" i="6"/>
  <c r="AH21" i="6"/>
  <c r="AE27" i="6"/>
  <c r="AF27" i="6"/>
  <c r="AG27" i="6"/>
  <c r="AH27" i="6"/>
  <c r="AE28" i="6"/>
  <c r="AF28" i="6"/>
  <c r="AG28" i="6"/>
  <c r="AH28" i="6"/>
  <c r="AE29" i="6"/>
  <c r="AF29" i="6"/>
  <c r="AG29" i="6"/>
  <c r="AH29" i="6"/>
  <c r="AE32" i="6"/>
  <c r="AF32" i="6"/>
  <c r="AF16" i="5" s="1"/>
  <c r="AF9" i="8" s="1"/>
  <c r="AG32" i="6"/>
  <c r="AH32" i="6"/>
  <c r="AH16" i="5" s="1"/>
  <c r="AH9" i="8" s="1"/>
  <c r="AE33" i="6"/>
  <c r="AF33" i="6"/>
  <c r="AG33" i="6"/>
  <c r="AH33" i="6"/>
  <c r="AE38" i="6"/>
  <c r="AF38" i="6"/>
  <c r="AG38" i="6"/>
  <c r="AH38" i="6"/>
  <c r="AE39" i="6"/>
  <c r="AF39" i="6"/>
  <c r="AG39" i="6"/>
  <c r="AH39" i="6"/>
  <c r="AE42" i="6"/>
  <c r="AF42" i="6"/>
  <c r="AG42" i="6"/>
  <c r="AH42" i="6"/>
  <c r="AE44" i="6"/>
  <c r="AF44" i="6"/>
  <c r="AG44" i="6"/>
  <c r="AH44" i="6"/>
  <c r="AE48" i="6"/>
  <c r="AF48" i="6"/>
  <c r="AG48" i="6"/>
  <c r="AH48" i="6"/>
  <c r="AE49" i="6"/>
  <c r="AF49" i="6"/>
  <c r="AG49" i="6"/>
  <c r="AH49" i="6"/>
  <c r="AE50" i="6"/>
  <c r="AF50" i="6"/>
  <c r="AG50" i="6"/>
  <c r="AH50" i="6"/>
  <c r="AE51" i="6"/>
  <c r="AF51" i="6"/>
  <c r="AG51" i="6"/>
  <c r="AH51" i="6"/>
  <c r="AE52" i="6"/>
  <c r="AF52" i="6"/>
  <c r="AG52" i="6"/>
  <c r="AE53" i="6"/>
  <c r="AF53" i="6"/>
  <c r="AG53" i="6"/>
  <c r="AH53" i="6"/>
  <c r="U50" i="4"/>
  <c r="V50" i="4"/>
  <c r="W50" i="4"/>
  <c r="X50" i="4"/>
  <c r="Y50" i="4"/>
  <c r="Z50" i="4"/>
  <c r="AA50" i="4"/>
  <c r="AB50" i="4"/>
  <c r="AC23" i="6" s="1"/>
  <c r="AC50" i="4"/>
  <c r="AD23" i="6" s="1"/>
  <c r="AD50" i="4"/>
  <c r="AE23" i="6" s="1"/>
  <c r="AE50" i="4"/>
  <c r="AF23" i="6" s="1"/>
  <c r="AF50" i="4"/>
  <c r="AG23" i="6" s="1"/>
  <c r="AG8" i="4"/>
  <c r="AG6" i="4"/>
  <c r="AG4" i="4" s="1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T30" i="7"/>
  <c r="U7" i="7"/>
  <c r="U3" i="7" s="1"/>
  <c r="U19" i="7" s="1"/>
  <c r="V7" i="7"/>
  <c r="V3" i="7" s="1"/>
  <c r="V19" i="7" s="1"/>
  <c r="W7" i="7"/>
  <c r="W3" i="7" s="1"/>
  <c r="W19" i="7" s="1"/>
  <c r="X43" i="6"/>
  <c r="X7" i="7"/>
  <c r="X3" i="7" s="1"/>
  <c r="Y7" i="7"/>
  <c r="Z7" i="7"/>
  <c r="AA7" i="7"/>
  <c r="AB7" i="7"/>
  <c r="AB3" i="7"/>
  <c r="AB19" i="7"/>
  <c r="AB29" i="7" s="1"/>
  <c r="AB33" i="7" s="1"/>
  <c r="AB35" i="7" s="1"/>
  <c r="AB37" i="7" s="1"/>
  <c r="AC56" i="6" s="1"/>
  <c r="AC7" i="7"/>
  <c r="AD7" i="7"/>
  <c r="AE43" i="6"/>
  <c r="AE7" i="7"/>
  <c r="AE3" i="7" s="1"/>
  <c r="AE19" i="7" s="1"/>
  <c r="AF43" i="6"/>
  <c r="AF41" i="6" s="1"/>
  <c r="AF7" i="7"/>
  <c r="U31" i="4"/>
  <c r="V6" i="6" s="1"/>
  <c r="V31" i="4"/>
  <c r="W6" i="6" s="1"/>
  <c r="W31" i="4"/>
  <c r="X6" i="6" s="1"/>
  <c r="X31" i="4"/>
  <c r="Y6" i="6" s="1"/>
  <c r="Y31" i="4"/>
  <c r="Z31" i="4"/>
  <c r="AA6" i="6" s="1"/>
  <c r="AA31" i="4"/>
  <c r="AB31" i="4"/>
  <c r="AC6" i="6" s="1"/>
  <c r="AC31" i="4"/>
  <c r="AD6" i="6" s="1"/>
  <c r="AD31" i="4"/>
  <c r="AE31" i="4"/>
  <c r="AF7" i="6" s="1"/>
  <c r="AF31" i="4"/>
  <c r="AG31" i="4"/>
  <c r="AH7" i="6" s="1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U13" i="4"/>
  <c r="V52" i="5" s="1"/>
  <c r="V13" i="4"/>
  <c r="W52" i="5" s="1"/>
  <c r="W13" i="4"/>
  <c r="X52" i="5" s="1"/>
  <c r="X13" i="4"/>
  <c r="Y52" i="5" s="1"/>
  <c r="Y13" i="4"/>
  <c r="Z52" i="5" s="1"/>
  <c r="Z13" i="4"/>
  <c r="AA52" i="5" s="1"/>
  <c r="AA13" i="4"/>
  <c r="AB52" i="5" s="1"/>
  <c r="AB13" i="4"/>
  <c r="AC52" i="5" s="1"/>
  <c r="AC13" i="4"/>
  <c r="AD52" i="5" s="1"/>
  <c r="AD13" i="4"/>
  <c r="AE52" i="5" s="1"/>
  <c r="AE13" i="4"/>
  <c r="AF52" i="5" s="1"/>
  <c r="AF13" i="4"/>
  <c r="AG52" i="5" s="1"/>
  <c r="AG13" i="4"/>
  <c r="AH52" i="5" s="1"/>
  <c r="U8" i="4"/>
  <c r="V8" i="4"/>
  <c r="W8" i="4"/>
  <c r="X8" i="4"/>
  <c r="Y8" i="4"/>
  <c r="Z8" i="4"/>
  <c r="AA8" i="4"/>
  <c r="AB8" i="4"/>
  <c r="AC8" i="4"/>
  <c r="AD8" i="4"/>
  <c r="AE8" i="4"/>
  <c r="AF8" i="4"/>
  <c r="U4" i="4"/>
  <c r="V48" i="5" s="1"/>
  <c r="V16" i="8" s="1"/>
  <c r="V4" i="4"/>
  <c r="W36" i="6" s="1"/>
  <c r="W4" i="4"/>
  <c r="X47" i="5" s="1"/>
  <c r="X15" i="8" s="1"/>
  <c r="X4" i="4"/>
  <c r="Y47" i="5" s="1"/>
  <c r="Y15" i="8" s="1"/>
  <c r="Y4" i="4"/>
  <c r="Z48" i="5" s="1"/>
  <c r="Z16" i="8" s="1"/>
  <c r="Z4" i="4"/>
  <c r="AA4" i="4"/>
  <c r="AB36" i="6" s="1"/>
  <c r="AB4" i="4"/>
  <c r="AC47" i="5" s="1"/>
  <c r="AC15" i="8" s="1"/>
  <c r="AC4" i="4"/>
  <c r="AD36" i="6" s="1"/>
  <c r="AD4" i="4"/>
  <c r="AE47" i="5" s="1"/>
  <c r="AE15" i="8" s="1"/>
  <c r="AE4" i="4"/>
  <c r="AF36" i="6" s="1"/>
  <c r="AF4" i="4"/>
  <c r="AG47" i="5" s="1"/>
  <c r="AG15" i="8" s="1"/>
  <c r="AA1" i="4"/>
  <c r="Y42" i="6"/>
  <c r="Z42" i="6"/>
  <c r="AA42" i="6"/>
  <c r="AB42" i="6"/>
  <c r="AC42" i="6"/>
  <c r="AD42" i="6"/>
  <c r="AB43" i="6"/>
  <c r="Y39" i="6"/>
  <c r="Z39" i="6"/>
  <c r="AA39" i="6"/>
  <c r="AB39" i="6"/>
  <c r="AC39" i="6"/>
  <c r="AD39" i="6"/>
  <c r="AB20" i="6"/>
  <c r="AC20" i="6"/>
  <c r="AD20" i="6"/>
  <c r="AB21" i="6"/>
  <c r="AC21" i="6"/>
  <c r="AD21" i="6"/>
  <c r="AB19" i="6"/>
  <c r="AC19" i="6"/>
  <c r="AD19" i="6"/>
  <c r="AB18" i="6"/>
  <c r="AC18" i="6"/>
  <c r="AD18" i="6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C43" i="6"/>
  <c r="AC8" i="6"/>
  <c r="AD8" i="6"/>
  <c r="AC9" i="6"/>
  <c r="AD9" i="6"/>
  <c r="AC27" i="6"/>
  <c r="AD27" i="6"/>
  <c r="AC28" i="6"/>
  <c r="AD28" i="6"/>
  <c r="AC29" i="6"/>
  <c r="AD29" i="6"/>
  <c r="AC32" i="6"/>
  <c r="AD32" i="6"/>
  <c r="AC33" i="6"/>
  <c r="AD33" i="6"/>
  <c r="AC38" i="6"/>
  <c r="AD38" i="6"/>
  <c r="AC44" i="6"/>
  <c r="AD44" i="6"/>
  <c r="AC48" i="6"/>
  <c r="AD48" i="6"/>
  <c r="AC49" i="6"/>
  <c r="AD49" i="6"/>
  <c r="AC50" i="6"/>
  <c r="AD50" i="6"/>
  <c r="AC51" i="6"/>
  <c r="AD51" i="6"/>
  <c r="AC52" i="6"/>
  <c r="AD52" i="6"/>
  <c r="AC53" i="6"/>
  <c r="AD53" i="6"/>
  <c r="V43" i="6"/>
  <c r="Y43" i="6"/>
  <c r="AA43" i="6"/>
  <c r="Y7" i="6"/>
  <c r="Z7" i="6"/>
  <c r="AA7" i="6"/>
  <c r="AB7" i="6"/>
  <c r="Y8" i="6"/>
  <c r="Z8" i="6"/>
  <c r="AA8" i="6"/>
  <c r="AB8" i="6"/>
  <c r="Y9" i="6"/>
  <c r="Z9" i="6"/>
  <c r="AA9" i="6"/>
  <c r="AB9" i="6"/>
  <c r="Y10" i="6"/>
  <c r="Z10" i="6"/>
  <c r="AA10" i="6"/>
  <c r="AB10" i="6"/>
  <c r="Y18" i="6"/>
  <c r="Z18" i="6"/>
  <c r="AA18" i="6"/>
  <c r="Y19" i="6"/>
  <c r="Z19" i="6"/>
  <c r="AA19" i="6"/>
  <c r="Y20" i="6"/>
  <c r="Z20" i="6"/>
  <c r="AA20" i="6"/>
  <c r="Y21" i="6"/>
  <c r="Z21" i="6"/>
  <c r="AA21" i="6"/>
  <c r="Y23" i="6"/>
  <c r="Z23" i="6"/>
  <c r="AA23" i="6"/>
  <c r="AB23" i="6"/>
  <c r="Y27" i="6"/>
  <c r="Z27" i="6"/>
  <c r="AA27" i="6"/>
  <c r="AB27" i="6"/>
  <c r="Y28" i="6"/>
  <c r="Z28" i="6"/>
  <c r="AA28" i="6"/>
  <c r="AB28" i="6"/>
  <c r="Y29" i="6"/>
  <c r="Z29" i="6"/>
  <c r="AA29" i="6"/>
  <c r="AB29" i="6"/>
  <c r="Y32" i="6"/>
  <c r="Y45" i="6" s="1"/>
  <c r="Z32" i="6"/>
  <c r="Z45" i="6" s="1"/>
  <c r="AA32" i="6"/>
  <c r="AA45" i="6" s="1"/>
  <c r="AB32" i="6"/>
  <c r="AB16" i="5" s="1"/>
  <c r="AB9" i="8" s="1"/>
  <c r="Y33" i="6"/>
  <c r="Z33" i="6"/>
  <c r="AA33" i="6"/>
  <c r="AB33" i="6"/>
  <c r="Y38" i="6"/>
  <c r="Z38" i="6"/>
  <c r="AA38" i="6"/>
  <c r="AB38" i="6"/>
  <c r="Y44" i="6"/>
  <c r="Y41" i="6" s="1"/>
  <c r="Z44" i="6"/>
  <c r="AA44" i="6"/>
  <c r="AB44" i="6"/>
  <c r="Y48" i="6"/>
  <c r="Z48" i="6"/>
  <c r="AA48" i="6"/>
  <c r="AB48" i="6"/>
  <c r="Y49" i="6"/>
  <c r="Z49" i="6"/>
  <c r="AA49" i="6"/>
  <c r="AB49" i="6"/>
  <c r="Y50" i="6"/>
  <c r="Z50" i="6"/>
  <c r="AA50" i="6"/>
  <c r="AB50" i="6"/>
  <c r="Y51" i="6"/>
  <c r="Z51" i="6"/>
  <c r="AA51" i="6"/>
  <c r="AB51" i="6"/>
  <c r="Y52" i="6"/>
  <c r="Z52" i="6"/>
  <c r="AA52" i="6"/>
  <c r="AB52" i="6"/>
  <c r="Y53" i="6"/>
  <c r="Z53" i="6"/>
  <c r="AA53" i="6"/>
  <c r="AB53" i="6"/>
  <c r="W8" i="6"/>
  <c r="X8" i="6"/>
  <c r="W7" i="6"/>
  <c r="X7" i="6"/>
  <c r="D16" i="30"/>
  <c r="C16" i="30"/>
  <c r="F15" i="30"/>
  <c r="F14" i="30"/>
  <c r="F13" i="30"/>
  <c r="F12" i="30"/>
  <c r="F11" i="30"/>
  <c r="D9" i="30"/>
  <c r="B20" i="30" s="1"/>
  <c r="C9" i="30"/>
  <c r="C17" i="30" s="1"/>
  <c r="F8" i="30"/>
  <c r="F7" i="30"/>
  <c r="F6" i="30"/>
  <c r="F5" i="30"/>
  <c r="F4" i="30"/>
  <c r="X9" i="6"/>
  <c r="X10" i="6"/>
  <c r="X18" i="6"/>
  <c r="X19" i="6"/>
  <c r="X20" i="6"/>
  <c r="X21" i="6"/>
  <c r="X23" i="6"/>
  <c r="X27" i="6"/>
  <c r="X28" i="6"/>
  <c r="X29" i="6"/>
  <c r="X32" i="6"/>
  <c r="X33" i="6"/>
  <c r="X38" i="6"/>
  <c r="X39" i="6"/>
  <c r="X42" i="6"/>
  <c r="X44" i="6"/>
  <c r="X48" i="6"/>
  <c r="X49" i="6"/>
  <c r="X50" i="6"/>
  <c r="X51" i="6"/>
  <c r="X52" i="6"/>
  <c r="X53" i="6"/>
  <c r="L19" i="6"/>
  <c r="M19" i="6"/>
  <c r="N19" i="6"/>
  <c r="O19" i="6"/>
  <c r="P19" i="6"/>
  <c r="Q19" i="6"/>
  <c r="R19" i="6"/>
  <c r="S19" i="6"/>
  <c r="T19" i="6"/>
  <c r="U19" i="6"/>
  <c r="V19" i="6"/>
  <c r="W19" i="6"/>
  <c r="D19" i="6"/>
  <c r="E19" i="6"/>
  <c r="H19" i="6"/>
  <c r="I19" i="6"/>
  <c r="J19" i="6"/>
  <c r="K19" i="6"/>
  <c r="C19" i="6"/>
  <c r="B50" i="4"/>
  <c r="D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Q31" i="4"/>
  <c r="R6" i="6" s="1"/>
  <c r="R31" i="4"/>
  <c r="S6" i="6" s="1"/>
  <c r="S31" i="4"/>
  <c r="Q32" i="4"/>
  <c r="R32" i="4"/>
  <c r="S32" i="4"/>
  <c r="V7" i="6"/>
  <c r="V8" i="6"/>
  <c r="V9" i="6"/>
  <c r="W9" i="6"/>
  <c r="V10" i="6"/>
  <c r="W10" i="6"/>
  <c r="V18" i="6"/>
  <c r="W18" i="6"/>
  <c r="V20" i="6"/>
  <c r="W20" i="6"/>
  <c r="V21" i="6"/>
  <c r="W21" i="6"/>
  <c r="V23" i="6"/>
  <c r="W23" i="6"/>
  <c r="V27" i="6"/>
  <c r="W27" i="6"/>
  <c r="V28" i="6"/>
  <c r="W28" i="6"/>
  <c r="V29" i="6"/>
  <c r="W29" i="6"/>
  <c r="V32" i="6"/>
  <c r="V16" i="5" s="1"/>
  <c r="V9" i="8" s="1"/>
  <c r="V33" i="6"/>
  <c r="V38" i="6"/>
  <c r="V39" i="6"/>
  <c r="V42" i="6"/>
  <c r="W42" i="6"/>
  <c r="W43" i="6"/>
  <c r="V44" i="6"/>
  <c r="V41" i="6" s="1"/>
  <c r="W44" i="6"/>
  <c r="V48" i="6"/>
  <c r="W48" i="6"/>
  <c r="V49" i="6"/>
  <c r="W49" i="6"/>
  <c r="V50" i="6"/>
  <c r="W50" i="6"/>
  <c r="V51" i="6"/>
  <c r="W51" i="6"/>
  <c r="V52" i="6"/>
  <c r="W52" i="6"/>
  <c r="V53" i="6"/>
  <c r="W53" i="6"/>
  <c r="T37" i="4"/>
  <c r="T32" i="4" s="1"/>
  <c r="U7" i="6"/>
  <c r="U9" i="6"/>
  <c r="U18" i="6"/>
  <c r="U20" i="6"/>
  <c r="U21" i="6"/>
  <c r="U23" i="6"/>
  <c r="U27" i="6"/>
  <c r="U28" i="6"/>
  <c r="U29" i="6"/>
  <c r="U32" i="6"/>
  <c r="U33" i="6"/>
  <c r="U38" i="6"/>
  <c r="U39" i="6"/>
  <c r="U42" i="6"/>
  <c r="U44" i="6"/>
  <c r="U48" i="6"/>
  <c r="U49" i="6"/>
  <c r="U51" i="6"/>
  <c r="U52" i="6"/>
  <c r="U53" i="6"/>
  <c r="T29" i="4"/>
  <c r="T28" i="4"/>
  <c r="T20" i="4"/>
  <c r="T13" i="4"/>
  <c r="U52" i="5" s="1"/>
  <c r="T14" i="7"/>
  <c r="T7" i="7"/>
  <c r="U43" i="6" s="1"/>
  <c r="U41" i="6" s="1"/>
  <c r="T4" i="7"/>
  <c r="T3" i="7" s="1"/>
  <c r="T20" i="7"/>
  <c r="T23" i="7"/>
  <c r="T7" i="6"/>
  <c r="T8" i="6"/>
  <c r="T9" i="6"/>
  <c r="T10" i="6"/>
  <c r="T18" i="6"/>
  <c r="T20" i="6"/>
  <c r="T21" i="6"/>
  <c r="T23" i="6"/>
  <c r="T27" i="6"/>
  <c r="T28" i="6"/>
  <c r="T29" i="6"/>
  <c r="T32" i="6"/>
  <c r="T33" i="6"/>
  <c r="T38" i="6"/>
  <c r="T39" i="6"/>
  <c r="T42" i="6"/>
  <c r="T44" i="6"/>
  <c r="T48" i="6"/>
  <c r="T49" i="6"/>
  <c r="T50" i="6"/>
  <c r="T51" i="6"/>
  <c r="T52" i="6"/>
  <c r="T53" i="6"/>
  <c r="T8" i="4"/>
  <c r="T4" i="4"/>
  <c r="D22" i="27"/>
  <c r="C22" i="27"/>
  <c r="F21" i="27"/>
  <c r="F20" i="27"/>
  <c r="F19" i="27"/>
  <c r="F18" i="27"/>
  <c r="F17" i="27"/>
  <c r="D15" i="27"/>
  <c r="G13" i="27"/>
  <c r="C15" i="27"/>
  <c r="C23" i="27"/>
  <c r="F14" i="27"/>
  <c r="F13" i="27"/>
  <c r="F12" i="27"/>
  <c r="F11" i="27"/>
  <c r="F10" i="27"/>
  <c r="S20" i="7"/>
  <c r="S12" i="7"/>
  <c r="S7" i="7"/>
  <c r="T43" i="6" s="1"/>
  <c r="S4" i="7"/>
  <c r="S30" i="7"/>
  <c r="S23" i="7"/>
  <c r="S20" i="4"/>
  <c r="S13" i="4"/>
  <c r="T52" i="5" s="1"/>
  <c r="S8" i="4"/>
  <c r="Q4" i="4"/>
  <c r="R36" i="6" s="1"/>
  <c r="R4" i="4"/>
  <c r="S47" i="5" s="1"/>
  <c r="S15" i="8" s="1"/>
  <c r="S4" i="4"/>
  <c r="Q48" i="6"/>
  <c r="R48" i="6"/>
  <c r="S48" i="6"/>
  <c r="Q49" i="6"/>
  <c r="R49" i="6"/>
  <c r="S49" i="6"/>
  <c r="Q50" i="6"/>
  <c r="R50" i="6"/>
  <c r="S50" i="6"/>
  <c r="Q51" i="6"/>
  <c r="R51" i="6"/>
  <c r="S51" i="6"/>
  <c r="Q52" i="6"/>
  <c r="R52" i="6"/>
  <c r="S52" i="6"/>
  <c r="Q53" i="6"/>
  <c r="R53" i="6"/>
  <c r="S53" i="6"/>
  <c r="S47" i="6" s="1"/>
  <c r="Q44" i="6"/>
  <c r="R44" i="6"/>
  <c r="S44" i="6"/>
  <c r="Q42" i="6"/>
  <c r="R42" i="6"/>
  <c r="S42" i="6"/>
  <c r="Q38" i="6"/>
  <c r="R38" i="6"/>
  <c r="S38" i="6"/>
  <c r="Q39" i="6"/>
  <c r="R39" i="6"/>
  <c r="S39" i="6"/>
  <c r="Q32" i="6"/>
  <c r="R32" i="6"/>
  <c r="S32" i="6"/>
  <c r="S45" i="6" s="1"/>
  <c r="Q33" i="6"/>
  <c r="R33" i="6"/>
  <c r="S33" i="6"/>
  <c r="Q27" i="6"/>
  <c r="R27" i="6"/>
  <c r="S27" i="6"/>
  <c r="Q28" i="6"/>
  <c r="R28" i="6"/>
  <c r="S28" i="6"/>
  <c r="Q29" i="6"/>
  <c r="R29" i="6"/>
  <c r="S29" i="6"/>
  <c r="Q18" i="6"/>
  <c r="R18" i="6"/>
  <c r="S18" i="6"/>
  <c r="Q20" i="6"/>
  <c r="R20" i="6"/>
  <c r="S20" i="6"/>
  <c r="Q21" i="6"/>
  <c r="R21" i="6"/>
  <c r="S21" i="6"/>
  <c r="Q23" i="6"/>
  <c r="R23" i="6"/>
  <c r="S23" i="6"/>
  <c r="Q7" i="6"/>
  <c r="R7" i="6"/>
  <c r="S7" i="6"/>
  <c r="Q8" i="6"/>
  <c r="R8" i="6"/>
  <c r="S8" i="6"/>
  <c r="Q9" i="6"/>
  <c r="R9" i="6"/>
  <c r="S9" i="6"/>
  <c r="Q10" i="6"/>
  <c r="R10" i="6"/>
  <c r="S10" i="6"/>
  <c r="Q30" i="7"/>
  <c r="R30" i="7"/>
  <c r="Q23" i="7"/>
  <c r="R23" i="7"/>
  <c r="Q20" i="7"/>
  <c r="R20" i="7"/>
  <c r="Q12" i="7"/>
  <c r="R12" i="7"/>
  <c r="Q7" i="7"/>
  <c r="R43" i="6" s="1"/>
  <c r="R7" i="7"/>
  <c r="Q4" i="7"/>
  <c r="Q3" i="7"/>
  <c r="Q19" i="7" s="1"/>
  <c r="R4" i="7"/>
  <c r="R3" i="7" s="1"/>
  <c r="R19" i="7" s="1"/>
  <c r="R29" i="7" s="1"/>
  <c r="R33" i="7" s="1"/>
  <c r="R35" i="7" s="1"/>
  <c r="R37" i="7" s="1"/>
  <c r="S56" i="6" s="1"/>
  <c r="G11" i="26"/>
  <c r="F15" i="26"/>
  <c r="D15" i="26"/>
  <c r="G12" i="26" s="1"/>
  <c r="C15" i="26"/>
  <c r="Q20" i="4"/>
  <c r="R20" i="4"/>
  <c r="Q13" i="4"/>
  <c r="R52" i="5" s="1"/>
  <c r="R13" i="4"/>
  <c r="S52" i="5" s="1"/>
  <c r="Q8" i="4"/>
  <c r="R8" i="4"/>
  <c r="P30" i="7"/>
  <c r="P23" i="7"/>
  <c r="P20" i="7"/>
  <c r="P12" i="7"/>
  <c r="P7" i="7"/>
  <c r="P20" i="4"/>
  <c r="P13" i="4"/>
  <c r="Q52" i="5" s="1"/>
  <c r="P8" i="4"/>
  <c r="P4" i="4"/>
  <c r="Q48" i="5" s="1"/>
  <c r="Q16" i="8" s="1"/>
  <c r="P32" i="4"/>
  <c r="P31" i="4"/>
  <c r="O4" i="4"/>
  <c r="P7" i="6"/>
  <c r="P8" i="6"/>
  <c r="P9" i="6"/>
  <c r="P10" i="6"/>
  <c r="P18" i="6"/>
  <c r="P20" i="6"/>
  <c r="P21" i="6"/>
  <c r="P23" i="6"/>
  <c r="P27" i="6"/>
  <c r="P28" i="6"/>
  <c r="P29" i="6"/>
  <c r="P32" i="6"/>
  <c r="P16" i="5" s="1"/>
  <c r="P9" i="8" s="1"/>
  <c r="P33" i="6"/>
  <c r="P38" i="6"/>
  <c r="P39" i="6"/>
  <c r="P42" i="6"/>
  <c r="P44" i="6"/>
  <c r="P48" i="6"/>
  <c r="P49" i="6"/>
  <c r="P50" i="6"/>
  <c r="P51" i="6"/>
  <c r="P52" i="6"/>
  <c r="P53" i="6"/>
  <c r="O20" i="7"/>
  <c r="O12" i="7"/>
  <c r="O7" i="7"/>
  <c r="O4" i="7"/>
  <c r="O3" i="7"/>
  <c r="O19" i="7" s="1"/>
  <c r="O32" i="4"/>
  <c r="O31" i="4"/>
  <c r="P6" i="6" s="1"/>
  <c r="O20" i="4"/>
  <c r="O13" i="4"/>
  <c r="P52" i="5" s="1"/>
  <c r="O8" i="4"/>
  <c r="F15" i="25"/>
  <c r="D15" i="25"/>
  <c r="C15" i="25"/>
  <c r="K30" i="7"/>
  <c r="L30" i="7"/>
  <c r="M30" i="7"/>
  <c r="N30" i="7"/>
  <c r="O30" i="7"/>
  <c r="K23" i="7"/>
  <c r="L23" i="7"/>
  <c r="M23" i="7"/>
  <c r="N23" i="7"/>
  <c r="O23" i="7"/>
  <c r="K20" i="7"/>
  <c r="L20" i="7"/>
  <c r="M20" i="7"/>
  <c r="N20" i="7"/>
  <c r="K12" i="7"/>
  <c r="L12" i="7"/>
  <c r="M12" i="7"/>
  <c r="N12" i="7"/>
  <c r="K7" i="7"/>
  <c r="L7" i="7"/>
  <c r="M43" i="6"/>
  <c r="M7" i="7"/>
  <c r="N43" i="6" s="1"/>
  <c r="N7" i="7"/>
  <c r="K4" i="7"/>
  <c r="K3" i="7" s="1"/>
  <c r="L4" i="7"/>
  <c r="L3" i="7"/>
  <c r="L19" i="7" s="1"/>
  <c r="M4" i="7"/>
  <c r="M3" i="7" s="1"/>
  <c r="M19" i="7" s="1"/>
  <c r="N55" i="5" s="1"/>
  <c r="N12" i="8" s="1"/>
  <c r="N4" i="7"/>
  <c r="P4" i="7"/>
  <c r="K32" i="4"/>
  <c r="L32" i="4"/>
  <c r="M32" i="4"/>
  <c r="N32" i="4"/>
  <c r="K31" i="4"/>
  <c r="L6" i="6" s="1"/>
  <c r="L31" i="4"/>
  <c r="M6" i="6" s="1"/>
  <c r="M31" i="4"/>
  <c r="N6" i="6" s="1"/>
  <c r="N31" i="4"/>
  <c r="O6" i="6" s="1"/>
  <c r="K20" i="4"/>
  <c r="L20" i="4"/>
  <c r="M20" i="4"/>
  <c r="N20" i="4"/>
  <c r="K13" i="4"/>
  <c r="L52" i="5" s="1"/>
  <c r="L13" i="4"/>
  <c r="M52" i="5" s="1"/>
  <c r="M13" i="4"/>
  <c r="N13" i="4"/>
  <c r="O52" i="5" s="1"/>
  <c r="K8" i="4"/>
  <c r="L8" i="4"/>
  <c r="M8" i="4"/>
  <c r="N8" i="4"/>
  <c r="K4" i="4"/>
  <c r="L47" i="5" s="1"/>
  <c r="L15" i="8" s="1"/>
  <c r="L4" i="4"/>
  <c r="M36" i="6" s="1"/>
  <c r="M4" i="4"/>
  <c r="N36" i="6" s="1"/>
  <c r="N4" i="4"/>
  <c r="O36" i="6" s="1"/>
  <c r="O7" i="6"/>
  <c r="O8" i="6"/>
  <c r="O9" i="6"/>
  <c r="O10" i="6"/>
  <c r="O18" i="6"/>
  <c r="O20" i="6"/>
  <c r="O21" i="6"/>
  <c r="O23" i="6"/>
  <c r="O27" i="6"/>
  <c r="O28" i="6"/>
  <c r="O29" i="6"/>
  <c r="O32" i="6"/>
  <c r="O16" i="5" s="1"/>
  <c r="O9" i="8" s="1"/>
  <c r="O33" i="6"/>
  <c r="O38" i="6"/>
  <c r="O39" i="6"/>
  <c r="O42" i="6"/>
  <c r="O44" i="6"/>
  <c r="O48" i="6"/>
  <c r="O49" i="6"/>
  <c r="O50" i="6"/>
  <c r="O51" i="6"/>
  <c r="O52" i="6"/>
  <c r="O53" i="6"/>
  <c r="M7" i="6"/>
  <c r="N7" i="6"/>
  <c r="M8" i="6"/>
  <c r="N8" i="6"/>
  <c r="M9" i="6"/>
  <c r="N9" i="6"/>
  <c r="M10" i="6"/>
  <c r="N10" i="6"/>
  <c r="M18" i="6"/>
  <c r="N18" i="6"/>
  <c r="M20" i="6"/>
  <c r="N20" i="6"/>
  <c r="M21" i="6"/>
  <c r="N21" i="6"/>
  <c r="M23" i="6"/>
  <c r="N23" i="6"/>
  <c r="M27" i="6"/>
  <c r="N27" i="6"/>
  <c r="M28" i="6"/>
  <c r="N28" i="6"/>
  <c r="M29" i="6"/>
  <c r="N29" i="6"/>
  <c r="M32" i="6"/>
  <c r="M16" i="5" s="1"/>
  <c r="M9" i="8" s="1"/>
  <c r="N32" i="6"/>
  <c r="N16" i="5" s="1"/>
  <c r="N9" i="8" s="1"/>
  <c r="M33" i="6"/>
  <c r="N33" i="6"/>
  <c r="M38" i="6"/>
  <c r="N38" i="6"/>
  <c r="N39" i="6"/>
  <c r="M42" i="6"/>
  <c r="N42" i="6"/>
  <c r="M44" i="6"/>
  <c r="N44" i="6"/>
  <c r="M48" i="6"/>
  <c r="N48" i="6"/>
  <c r="M49" i="6"/>
  <c r="N49" i="6"/>
  <c r="M50" i="6"/>
  <c r="N50" i="6"/>
  <c r="M51" i="6"/>
  <c r="N51" i="6"/>
  <c r="M52" i="6"/>
  <c r="N52" i="6"/>
  <c r="M53" i="6"/>
  <c r="N53" i="6"/>
  <c r="M39" i="6"/>
  <c r="G13" i="24"/>
  <c r="F15" i="24"/>
  <c r="D15" i="24"/>
  <c r="C15" i="24"/>
  <c r="K7" i="6"/>
  <c r="L7" i="6"/>
  <c r="K8" i="6"/>
  <c r="L8" i="6"/>
  <c r="K9" i="6"/>
  <c r="L9" i="6"/>
  <c r="K10" i="6"/>
  <c r="L10" i="6"/>
  <c r="K18" i="6"/>
  <c r="L18" i="6"/>
  <c r="K20" i="6"/>
  <c r="L20" i="6"/>
  <c r="K21" i="6"/>
  <c r="L21" i="6"/>
  <c r="K23" i="6"/>
  <c r="L23" i="6"/>
  <c r="K27" i="6"/>
  <c r="L27" i="6"/>
  <c r="K28" i="6"/>
  <c r="L28" i="6"/>
  <c r="K29" i="6"/>
  <c r="L29" i="6"/>
  <c r="K32" i="6"/>
  <c r="K16" i="5" s="1"/>
  <c r="K9" i="8" s="1"/>
  <c r="L32" i="6"/>
  <c r="K33" i="6"/>
  <c r="L33" i="6"/>
  <c r="K38" i="6"/>
  <c r="L38" i="6"/>
  <c r="K39" i="6"/>
  <c r="L39" i="6"/>
  <c r="K42" i="6"/>
  <c r="L42" i="6"/>
  <c r="K44" i="6"/>
  <c r="L44" i="6"/>
  <c r="K48" i="6"/>
  <c r="L48" i="6"/>
  <c r="K49" i="6"/>
  <c r="L49" i="6"/>
  <c r="K50" i="6"/>
  <c r="L50" i="6"/>
  <c r="K51" i="6"/>
  <c r="L51" i="6"/>
  <c r="K52" i="6"/>
  <c r="L52" i="6"/>
  <c r="K53" i="6"/>
  <c r="L53" i="6"/>
  <c r="H30" i="7"/>
  <c r="I30" i="7"/>
  <c r="J30" i="7"/>
  <c r="I23" i="7"/>
  <c r="J23" i="7"/>
  <c r="H20" i="7"/>
  <c r="I20" i="7"/>
  <c r="J20" i="7"/>
  <c r="I4" i="7"/>
  <c r="J4" i="7"/>
  <c r="I7" i="7"/>
  <c r="J7" i="7"/>
  <c r="J12" i="7"/>
  <c r="H12" i="7"/>
  <c r="I12" i="7"/>
  <c r="H4" i="7"/>
  <c r="G4" i="7"/>
  <c r="J4" i="4"/>
  <c r="K47" i="5" s="1"/>
  <c r="K15" i="8" s="1"/>
  <c r="J8" i="4"/>
  <c r="J13" i="4"/>
  <c r="K52" i="5" s="1"/>
  <c r="J20" i="4"/>
  <c r="J31" i="4"/>
  <c r="K6" i="6" s="1"/>
  <c r="J32" i="4"/>
  <c r="I32" i="4"/>
  <c r="I31" i="4"/>
  <c r="H31" i="4"/>
  <c r="I6" i="6" s="1"/>
  <c r="I20" i="4"/>
  <c r="H20" i="4"/>
  <c r="G20" i="4"/>
  <c r="G16" i="4"/>
  <c r="H38" i="6" s="1"/>
  <c r="H16" i="4"/>
  <c r="I38" i="6" s="1"/>
  <c r="I16" i="4"/>
  <c r="J38" i="6" s="1"/>
  <c r="I13" i="4"/>
  <c r="J52" i="5" s="1"/>
  <c r="H13" i="4"/>
  <c r="I52" i="5" s="1"/>
  <c r="I8" i="4"/>
  <c r="H8" i="4"/>
  <c r="I4" i="4"/>
  <c r="H4" i="4"/>
  <c r="I48" i="5" s="1"/>
  <c r="I16" i="8" s="1"/>
  <c r="H23" i="7"/>
  <c r="H7" i="7"/>
  <c r="I43" i="6" s="1"/>
  <c r="H32" i="4"/>
  <c r="I7" i="6"/>
  <c r="J7" i="6"/>
  <c r="I8" i="6"/>
  <c r="J8" i="6"/>
  <c r="I9" i="6"/>
  <c r="J9" i="6"/>
  <c r="I10" i="6"/>
  <c r="J10" i="6"/>
  <c r="I18" i="6"/>
  <c r="J18" i="6"/>
  <c r="I20" i="6"/>
  <c r="J20" i="6"/>
  <c r="I21" i="6"/>
  <c r="J21" i="6"/>
  <c r="I23" i="6"/>
  <c r="J23" i="6"/>
  <c r="I27" i="6"/>
  <c r="J27" i="6"/>
  <c r="I28" i="6"/>
  <c r="J28" i="6"/>
  <c r="I29" i="6"/>
  <c r="J29" i="6"/>
  <c r="I32" i="6"/>
  <c r="J32" i="6"/>
  <c r="I33" i="6"/>
  <c r="J33" i="6"/>
  <c r="I39" i="6"/>
  <c r="J39" i="6"/>
  <c r="I42" i="6"/>
  <c r="J42" i="6"/>
  <c r="I44" i="6"/>
  <c r="J44" i="6"/>
  <c r="I48" i="6"/>
  <c r="J48" i="6"/>
  <c r="I49" i="6"/>
  <c r="J49" i="6"/>
  <c r="I50" i="6"/>
  <c r="J50" i="6"/>
  <c r="I51" i="6"/>
  <c r="J51" i="6"/>
  <c r="I52" i="6"/>
  <c r="J52" i="6"/>
  <c r="I53" i="6"/>
  <c r="J53" i="6"/>
  <c r="G20" i="7"/>
  <c r="G12" i="7"/>
  <c r="G30" i="7"/>
  <c r="G23" i="7"/>
  <c r="F7" i="7"/>
  <c r="G7" i="7"/>
  <c r="G28" i="4"/>
  <c r="G31" i="4" s="1"/>
  <c r="G37" i="4"/>
  <c r="T2" i="4" s="1"/>
  <c r="G14" i="4"/>
  <c r="G13" i="4" s="1"/>
  <c r="H52" i="5" s="1"/>
  <c r="G6" i="4"/>
  <c r="G4" i="4" s="1"/>
  <c r="H7" i="6"/>
  <c r="H9" i="6"/>
  <c r="H18" i="6"/>
  <c r="H20" i="6"/>
  <c r="H21" i="6"/>
  <c r="H23" i="6"/>
  <c r="H27" i="6"/>
  <c r="H28" i="6"/>
  <c r="H29" i="6"/>
  <c r="H33" i="6"/>
  <c r="H39" i="6"/>
  <c r="H48" i="6"/>
  <c r="H49" i="6"/>
  <c r="H50" i="6"/>
  <c r="H51" i="6"/>
  <c r="H52" i="6"/>
  <c r="H53" i="6"/>
  <c r="D30" i="7"/>
  <c r="E30" i="7"/>
  <c r="F30" i="7"/>
  <c r="C23" i="7"/>
  <c r="D23" i="7"/>
  <c r="E23" i="7"/>
  <c r="F23" i="7"/>
  <c r="E20" i="7"/>
  <c r="F20" i="7"/>
  <c r="E7" i="7"/>
  <c r="E4" i="7"/>
  <c r="F4" i="7"/>
  <c r="C31" i="4"/>
  <c r="C20" i="4"/>
  <c r="D20" i="4"/>
  <c r="E20" i="4"/>
  <c r="F20" i="4"/>
  <c r="C16" i="4"/>
  <c r="D38" i="6" s="1"/>
  <c r="D16" i="4"/>
  <c r="E38" i="6" s="1"/>
  <c r="E16" i="4"/>
  <c r="F38" i="6" s="1"/>
  <c r="F16" i="4"/>
  <c r="G38" i="6" s="1"/>
  <c r="C15" i="15"/>
  <c r="D15" i="15"/>
  <c r="F15" i="15"/>
  <c r="C7" i="6"/>
  <c r="C33" i="5" s="1"/>
  <c r="D7" i="6"/>
  <c r="E7" i="6"/>
  <c r="F7" i="6"/>
  <c r="G7" i="6"/>
  <c r="C8" i="6"/>
  <c r="C32" i="5" s="1"/>
  <c r="D8" i="6"/>
  <c r="C9" i="6"/>
  <c r="D9" i="6"/>
  <c r="E9" i="6"/>
  <c r="F9" i="6"/>
  <c r="G9" i="6"/>
  <c r="C10" i="6"/>
  <c r="C18" i="6"/>
  <c r="D18" i="6"/>
  <c r="E18" i="6"/>
  <c r="F18" i="6"/>
  <c r="G18" i="6"/>
  <c r="C20" i="6"/>
  <c r="D20" i="6"/>
  <c r="E20" i="6"/>
  <c r="F20" i="6"/>
  <c r="G20" i="6"/>
  <c r="C21" i="6"/>
  <c r="E21" i="6"/>
  <c r="F21" i="6"/>
  <c r="G21" i="6"/>
  <c r="C23" i="6"/>
  <c r="D23" i="6"/>
  <c r="E23" i="6"/>
  <c r="F23" i="6"/>
  <c r="G23" i="6"/>
  <c r="C27" i="6"/>
  <c r="F27" i="6"/>
  <c r="G27" i="6"/>
  <c r="C28" i="6"/>
  <c r="D28" i="6"/>
  <c r="E28" i="6"/>
  <c r="F28" i="6"/>
  <c r="G28" i="6"/>
  <c r="C29" i="6"/>
  <c r="D29" i="6"/>
  <c r="E29" i="6"/>
  <c r="F29" i="6"/>
  <c r="G29" i="6"/>
  <c r="C32" i="6"/>
  <c r="E32" i="6"/>
  <c r="E16" i="5" s="1"/>
  <c r="E9" i="8" s="1"/>
  <c r="E35" i="8" s="1"/>
  <c r="E36" i="8" s="1"/>
  <c r="C33" i="6"/>
  <c r="D33" i="6"/>
  <c r="E33" i="6"/>
  <c r="F33" i="6"/>
  <c r="G33" i="6"/>
  <c r="C39" i="6"/>
  <c r="D39" i="6"/>
  <c r="E39" i="6"/>
  <c r="F39" i="6"/>
  <c r="G39" i="6"/>
  <c r="C42" i="6"/>
  <c r="D42" i="6"/>
  <c r="E42" i="6"/>
  <c r="F42" i="6"/>
  <c r="G42" i="6"/>
  <c r="C43" i="6"/>
  <c r="C44" i="6"/>
  <c r="D44" i="6"/>
  <c r="F44" i="6"/>
  <c r="G44" i="6"/>
  <c r="C48" i="6"/>
  <c r="D48" i="6"/>
  <c r="F48" i="6"/>
  <c r="G48" i="6"/>
  <c r="C49" i="6"/>
  <c r="D49" i="6"/>
  <c r="E49" i="6"/>
  <c r="F49" i="6"/>
  <c r="G49" i="6"/>
  <c r="C50" i="6"/>
  <c r="D50" i="6"/>
  <c r="E50" i="6"/>
  <c r="F50" i="6"/>
  <c r="G50" i="6"/>
  <c r="C51" i="6"/>
  <c r="D51" i="6"/>
  <c r="E51" i="6"/>
  <c r="F51" i="6"/>
  <c r="G51" i="6"/>
  <c r="C52" i="6"/>
  <c r="D52" i="6"/>
  <c r="E52" i="6"/>
  <c r="F52" i="6"/>
  <c r="G52" i="6"/>
  <c r="C53" i="6"/>
  <c r="D53" i="6"/>
  <c r="E53" i="6"/>
  <c r="F53" i="6"/>
  <c r="G53" i="6"/>
  <c r="C4" i="7"/>
  <c r="D6" i="7"/>
  <c r="D11" i="7" s="1"/>
  <c r="D7" i="7" s="1"/>
  <c r="E43" i="6" s="1"/>
  <c r="C7" i="7"/>
  <c r="C3" i="7" s="1"/>
  <c r="D43" i="6"/>
  <c r="D41" i="6" s="1"/>
  <c r="C12" i="7"/>
  <c r="E12" i="7"/>
  <c r="F12" i="7"/>
  <c r="D13" i="7"/>
  <c r="D12" i="7"/>
  <c r="C20" i="7"/>
  <c r="D20" i="7"/>
  <c r="B23" i="7"/>
  <c r="C55" i="5"/>
  <c r="C12" i="8" s="1"/>
  <c r="C39" i="8" s="1"/>
  <c r="C30" i="7"/>
  <c r="C34" i="7"/>
  <c r="B35" i="7"/>
  <c r="B37" i="7" s="1"/>
  <c r="C56" i="6" s="1"/>
  <c r="B4" i="4"/>
  <c r="C47" i="5" s="1"/>
  <c r="C15" i="8" s="1"/>
  <c r="C43" i="8" s="1"/>
  <c r="D4" i="4"/>
  <c r="C6" i="4"/>
  <c r="C4" i="4" s="1"/>
  <c r="D36" i="6" s="1"/>
  <c r="E6" i="4"/>
  <c r="E4" i="4" s="1"/>
  <c r="F6" i="4"/>
  <c r="F4" i="4" s="1"/>
  <c r="B8" i="4"/>
  <c r="E8" i="4"/>
  <c r="F8" i="4"/>
  <c r="C12" i="4"/>
  <c r="C8" i="4" s="1"/>
  <c r="D12" i="4"/>
  <c r="D8" i="4" s="1"/>
  <c r="B13" i="4"/>
  <c r="C52" i="5" s="1"/>
  <c r="D13" i="4"/>
  <c r="E52" i="5" s="1"/>
  <c r="C14" i="4"/>
  <c r="D32" i="6" s="1"/>
  <c r="D16" i="5" s="1"/>
  <c r="D9" i="8" s="1"/>
  <c r="D35" i="8" s="1"/>
  <c r="D36" i="8" s="1"/>
  <c r="E14" i="4"/>
  <c r="E13" i="4" s="1"/>
  <c r="F14" i="4"/>
  <c r="F13" i="4" s="1"/>
  <c r="G52" i="5" s="1"/>
  <c r="B16" i="4"/>
  <c r="C38" i="6" s="1"/>
  <c r="B20" i="4"/>
  <c r="D28" i="4"/>
  <c r="E8" i="6" s="1"/>
  <c r="E28" i="4"/>
  <c r="F28" i="4"/>
  <c r="G8" i="6" s="1"/>
  <c r="E29" i="4"/>
  <c r="B31" i="4"/>
  <c r="C6" i="6" s="1"/>
  <c r="C31" i="5" s="1"/>
  <c r="B32" i="4"/>
  <c r="C37" i="4"/>
  <c r="C32" i="4" s="1"/>
  <c r="D37" i="4"/>
  <c r="D32" i="4" s="1"/>
  <c r="E37" i="4"/>
  <c r="F10" i="6" s="1"/>
  <c r="F37" i="4"/>
  <c r="G10" i="6" s="1"/>
  <c r="E44" i="4"/>
  <c r="E50" i="4" s="1"/>
  <c r="F44" i="4"/>
  <c r="F50" i="4" s="1"/>
  <c r="C46" i="4"/>
  <c r="D21" i="6" s="1"/>
  <c r="H42" i="6"/>
  <c r="H44" i="6"/>
  <c r="G7" i="8"/>
  <c r="S43" i="6"/>
  <c r="S41" i="6" s="1"/>
  <c r="G17" i="8"/>
  <c r="G20" i="8"/>
  <c r="G5" i="8"/>
  <c r="G21" i="8"/>
  <c r="G22" i="8"/>
  <c r="G9" i="8"/>
  <c r="G23" i="8"/>
  <c r="G4" i="8"/>
  <c r="G6" i="8"/>
  <c r="W39" i="6"/>
  <c r="W38" i="6"/>
  <c r="W33" i="6"/>
  <c r="W32" i="6"/>
  <c r="H43" i="6"/>
  <c r="D23" i="27"/>
  <c r="H10" i="6"/>
  <c r="D4" i="7"/>
  <c r="E44" i="6"/>
  <c r="Q43" i="6"/>
  <c r="Q41" i="6"/>
  <c r="P3" i="7"/>
  <c r="P19" i="7" s="1"/>
  <c r="P43" i="6"/>
  <c r="P41" i="6"/>
  <c r="F22" i="27"/>
  <c r="Z43" i="6"/>
  <c r="Z41" i="6" s="1"/>
  <c r="P55" i="5"/>
  <c r="P12" i="8" s="1"/>
  <c r="H3" i="7"/>
  <c r="H19" i="7"/>
  <c r="L43" i="6"/>
  <c r="K43" i="6"/>
  <c r="AM47" i="6"/>
  <c r="W48" i="5"/>
  <c r="W16" i="8" s="1"/>
  <c r="F43" i="6"/>
  <c r="F41" i="6" s="1"/>
  <c r="E3" i="7"/>
  <c r="E19" i="7" s="1"/>
  <c r="Y3" i="7"/>
  <c r="Y19" i="7"/>
  <c r="Y29" i="7"/>
  <c r="Y33" i="7" s="1"/>
  <c r="Y35" i="7" s="1"/>
  <c r="Y37" i="7" s="1"/>
  <c r="Z56" i="6" s="1"/>
  <c r="AU19" i="6"/>
  <c r="AU50" i="6"/>
  <c r="AL36" i="6"/>
  <c r="AD3" i="7"/>
  <c r="AD19" i="7" s="1"/>
  <c r="AQ7" i="6"/>
  <c r="AG23" i="7"/>
  <c r="AH52" i="6"/>
  <c r="AF3" i="7"/>
  <c r="AG43" i="6"/>
  <c r="F15" i="27"/>
  <c r="F23" i="27"/>
  <c r="AA47" i="6"/>
  <c r="AH47" i="6"/>
  <c r="AN55" i="5"/>
  <c r="AN12" i="8" s="1"/>
  <c r="AZ43" i="6"/>
  <c r="AZ41" i="6" s="1"/>
  <c r="AZ3" i="7"/>
  <c r="AZ19" i="7" s="1"/>
  <c r="AT8" i="4"/>
  <c r="AU29" i="6"/>
  <c r="AQ33" i="7"/>
  <c r="AQ35" i="7" s="1"/>
  <c r="AQ37" i="7" s="1"/>
  <c r="AR56" i="6" s="1"/>
  <c r="AR55" i="5"/>
  <c r="AR12" i="8" s="1"/>
  <c r="AH3" i="7"/>
  <c r="AH19" i="7"/>
  <c r="AX47" i="6"/>
  <c r="AN48" i="5"/>
  <c r="AN16" i="8" s="1"/>
  <c r="AI33" i="7"/>
  <c r="AI35" i="7" s="1"/>
  <c r="AJ55" i="5"/>
  <c r="AJ12" i="8" s="1"/>
  <c r="AU52" i="6"/>
  <c r="AT23" i="7"/>
  <c r="M29" i="7"/>
  <c r="M33" i="7" s="1"/>
  <c r="M35" i="7" s="1"/>
  <c r="M37" i="7" s="1"/>
  <c r="N56" i="6" s="1"/>
  <c r="E48" i="6"/>
  <c r="V55" i="5"/>
  <c r="V12" i="8" s="1"/>
  <c r="U29" i="7"/>
  <c r="U33" i="7"/>
  <c r="U35" i="7" s="1"/>
  <c r="U37" i="7" s="1"/>
  <c r="V56" i="6" s="1"/>
  <c r="AV3" i="7"/>
  <c r="AV19" i="7" s="1"/>
  <c r="AW55" i="5" s="1"/>
  <c r="AW12" i="8" s="1"/>
  <c r="I55" i="5"/>
  <c r="I12" i="8" s="1"/>
  <c r="H29" i="7"/>
  <c r="H33" i="7" s="1"/>
  <c r="H35" i="7" s="1"/>
  <c r="H37" i="7" s="1"/>
  <c r="I56" i="6" s="1"/>
  <c r="AN41" i="6"/>
  <c r="AX41" i="6"/>
  <c r="S3" i="7"/>
  <c r="S19" i="7"/>
  <c r="S29" i="7" s="1"/>
  <c r="S33" i="7" s="1"/>
  <c r="S35" i="7" s="1"/>
  <c r="S37" i="7" s="1"/>
  <c r="T56" i="6" s="1"/>
  <c r="BA3" i="7"/>
  <c r="BA19" i="7"/>
  <c r="AJ37" i="7"/>
  <c r="AK56" i="6" s="1"/>
  <c r="AI37" i="7"/>
  <c r="AJ56" i="6" s="1"/>
  <c r="AT29" i="7"/>
  <c r="AT33" i="7" s="1"/>
  <c r="AT35" i="7" s="1"/>
  <c r="AT37" i="7" s="1"/>
  <c r="AU56" i="6" s="1"/>
  <c r="BH47" i="6"/>
  <c r="BE29" i="7"/>
  <c r="BE33" i="7" s="1"/>
  <c r="BE35" i="7" s="1"/>
  <c r="BE37" i="7" s="1"/>
  <c r="BF56" i="6" s="1"/>
  <c r="BG3" i="7"/>
  <c r="BG19" i="7" s="1"/>
  <c r="BG29" i="7" s="1"/>
  <c r="BG33" i="7" s="1"/>
  <c r="BG35" i="7" s="1"/>
  <c r="BG37" i="7" s="1"/>
  <c r="BH56" i="6" s="1"/>
  <c r="BF36" i="6"/>
  <c r="BF48" i="5"/>
  <c r="BF16" i="8" s="1"/>
  <c r="F32" i="4"/>
  <c r="CQ5" i="6" l="1"/>
  <c r="CM10" i="6"/>
  <c r="CL51" i="4"/>
  <c r="CM51" i="4"/>
  <c r="CN10" i="6"/>
  <c r="CN51" i="4"/>
  <c r="CO10" i="6"/>
  <c r="CP10" i="6"/>
  <c r="CP52" i="4"/>
  <c r="CQ10" i="6"/>
  <c r="CQ51" i="4"/>
  <c r="CR10" i="6"/>
  <c r="CR51" i="4"/>
  <c r="CS10" i="6"/>
  <c r="CN14" i="6"/>
  <c r="CO14" i="6"/>
  <c r="CQ14" i="6"/>
  <c r="CR14" i="6"/>
  <c r="CS14" i="6"/>
  <c r="CT14" i="6"/>
  <c r="CM56" i="5"/>
  <c r="CM13" i="8" s="1"/>
  <c r="CM5" i="6"/>
  <c r="CN54" i="5"/>
  <c r="CN11" i="8" s="1"/>
  <c r="BY47" i="5"/>
  <c r="BY15" i="8" s="1"/>
  <c r="BY48" i="5"/>
  <c r="BY36" i="6"/>
  <c r="BX47" i="5"/>
  <c r="BX48" i="5"/>
  <c r="BX36" i="6"/>
  <c r="BW47" i="5"/>
  <c r="BW48" i="5"/>
  <c r="BW36" i="6"/>
  <c r="BV47" i="5"/>
  <c r="BV48" i="5"/>
  <c r="BV16" i="8" s="1"/>
  <c r="BV36" i="6"/>
  <c r="BV6" i="6"/>
  <c r="BV7" i="6"/>
  <c r="BY6" i="6"/>
  <c r="BY7" i="6"/>
  <c r="BX6" i="6"/>
  <c r="BX7" i="6"/>
  <c r="BW6" i="6"/>
  <c r="BW7" i="6"/>
  <c r="CB47" i="5"/>
  <c r="CB48" i="5"/>
  <c r="CB16" i="8" s="1"/>
  <c r="CB36" i="6"/>
  <c r="CA47" i="5"/>
  <c r="CA48" i="5"/>
  <c r="CA16" i="8" s="1"/>
  <c r="CA36" i="6"/>
  <c r="BZ47" i="5"/>
  <c r="BZ15" i="8" s="1"/>
  <c r="BZ48" i="5"/>
  <c r="BZ36" i="6"/>
  <c r="CB6" i="6"/>
  <c r="CB7" i="6"/>
  <c r="CA6" i="6"/>
  <c r="CA7" i="6"/>
  <c r="BZ6" i="6"/>
  <c r="BZ7" i="6"/>
  <c r="CC47" i="5"/>
  <c r="CC15" i="8" s="1"/>
  <c r="CC48" i="5"/>
  <c r="CC36" i="6"/>
  <c r="CC6" i="6"/>
  <c r="CC7" i="6"/>
  <c r="CD29" i="7"/>
  <c r="CD33" i="7" s="1"/>
  <c r="CE55" i="5"/>
  <c r="CE12" i="8" s="1"/>
  <c r="CG29" i="7"/>
  <c r="CG33" i="7" s="1"/>
  <c r="CH55" i="5"/>
  <c r="BW29" i="7"/>
  <c r="BW33" i="7" s="1"/>
  <c r="BX55" i="5"/>
  <c r="CE29" i="7"/>
  <c r="CE33" i="7" s="1"/>
  <c r="CF55" i="5"/>
  <c r="CF12" i="8" s="1"/>
  <c r="CA29" i="7"/>
  <c r="CA33" i="7" s="1"/>
  <c r="CB55" i="5"/>
  <c r="BX29" i="7"/>
  <c r="BX33" i="7" s="1"/>
  <c r="BY55" i="5"/>
  <c r="BY29" i="7"/>
  <c r="BY33" i="7" s="1"/>
  <c r="BZ55" i="5"/>
  <c r="BZ29" i="7"/>
  <c r="BZ33" i="7" s="1"/>
  <c r="CA55" i="5"/>
  <c r="CH56" i="5"/>
  <c r="CH13" i="8" s="1"/>
  <c r="CH5" i="6"/>
  <c r="CH57" i="5"/>
  <c r="CH18" i="8" s="1"/>
  <c r="CI10" i="6"/>
  <c r="CH51" i="4"/>
  <c r="CF56" i="5"/>
  <c r="CF13" i="8" s="1"/>
  <c r="CF5" i="6"/>
  <c r="CF57" i="5"/>
  <c r="CF18" i="8" s="1"/>
  <c r="CG54" i="5"/>
  <c r="CG11" i="8" s="1"/>
  <c r="CJ29" i="7"/>
  <c r="CJ33" i="7" s="1"/>
  <c r="CK55" i="5"/>
  <c r="CK56" i="5"/>
  <c r="CK13" i="8" s="1"/>
  <c r="CK5" i="6"/>
  <c r="CK57" i="5"/>
  <c r="CJ56" i="5"/>
  <c r="CJ13" i="8" s="1"/>
  <c r="CJ5" i="6"/>
  <c r="CJ57" i="5"/>
  <c r="CJ18" i="8" s="1"/>
  <c r="CI56" i="5"/>
  <c r="CI13" i="8" s="1"/>
  <c r="CI5" i="6"/>
  <c r="CI24" i="5" s="1"/>
  <c r="CI54" i="5"/>
  <c r="CI11" i="8" s="1"/>
  <c r="CI57" i="5"/>
  <c r="CI18" i="8" s="1"/>
  <c r="CI29" i="7"/>
  <c r="CI33" i="7" s="1"/>
  <c r="CJ55" i="5"/>
  <c r="CJ12" i="8" s="1"/>
  <c r="CK18" i="8"/>
  <c r="CL56" i="5"/>
  <c r="CL13" i="8" s="1"/>
  <c r="CL5" i="6"/>
  <c r="CL57" i="5"/>
  <c r="CL18" i="8" s="1"/>
  <c r="CK29" i="7"/>
  <c r="CK33" i="7" s="1"/>
  <c r="CL55" i="5"/>
  <c r="CL12" i="8" s="1"/>
  <c r="CA36" i="5"/>
  <c r="CI36" i="5"/>
  <c r="CJ36" i="5"/>
  <c r="BV15" i="6"/>
  <c r="BV6" i="5"/>
  <c r="BV8" i="5"/>
  <c r="BW15" i="6"/>
  <c r="BW6" i="5"/>
  <c r="BW4" i="8" s="1"/>
  <c r="BW8" i="5"/>
  <c r="BW7" i="8" s="1"/>
  <c r="BW35" i="5"/>
  <c r="BX15" i="6"/>
  <c r="BX6" i="5"/>
  <c r="BX4" i="8" s="1"/>
  <c r="BX8" i="5"/>
  <c r="BX7" i="8" s="1"/>
  <c r="BX35" i="5"/>
  <c r="BY15" i="6"/>
  <c r="BY6" i="5"/>
  <c r="BY4" i="8" s="1"/>
  <c r="BY8" i="5"/>
  <c r="BY7" i="8" s="1"/>
  <c r="BY35" i="5"/>
  <c r="BZ15" i="6"/>
  <c r="BZ6" i="5"/>
  <c r="BZ4" i="8" s="1"/>
  <c r="BZ8" i="5"/>
  <c r="BZ7" i="8" s="1"/>
  <c r="BZ35" i="5"/>
  <c r="CA15" i="6"/>
  <c r="CA6" i="5"/>
  <c r="CA4" i="8" s="1"/>
  <c r="CA8" i="5"/>
  <c r="CA7" i="8" s="1"/>
  <c r="CA35" i="5"/>
  <c r="CB15" i="6"/>
  <c r="CB6" i="5"/>
  <c r="CB4" i="8" s="1"/>
  <c r="CB8" i="5"/>
  <c r="CB7" i="8" s="1"/>
  <c r="CB35" i="5"/>
  <c r="CC15" i="6"/>
  <c r="CC6" i="5"/>
  <c r="CC4" i="8" s="1"/>
  <c r="CC8" i="5"/>
  <c r="CC7" i="8" s="1"/>
  <c r="CC35" i="5"/>
  <c r="CD15" i="6"/>
  <c r="CD6" i="5"/>
  <c r="CD4" i="8" s="1"/>
  <c r="CD8" i="5"/>
  <c r="CD7" i="8" s="1"/>
  <c r="CD35" i="5"/>
  <c r="CE15" i="6"/>
  <c r="CE6" i="5"/>
  <c r="CE4" i="8" s="1"/>
  <c r="CE8" i="5"/>
  <c r="CE7" i="8" s="1"/>
  <c r="CE35" i="5"/>
  <c r="CF15" i="6"/>
  <c r="CF10" i="5" s="1"/>
  <c r="CF6" i="8" s="1"/>
  <c r="CF6" i="5"/>
  <c r="CF4" i="8" s="1"/>
  <c r="CF7" i="5"/>
  <c r="CF5" i="8" s="1"/>
  <c r="CF8" i="5"/>
  <c r="CF7" i="8" s="1"/>
  <c r="CF35" i="5"/>
  <c r="CG15" i="6"/>
  <c r="CG6" i="5"/>
  <c r="CG4" i="8" s="1"/>
  <c r="CG8" i="5"/>
  <c r="CG7" i="8" s="1"/>
  <c r="CG35" i="5"/>
  <c r="CH15" i="6"/>
  <c r="CH10" i="5" s="1"/>
  <c r="CH6" i="8" s="1"/>
  <c r="CH6" i="5"/>
  <c r="CH4" i="8" s="1"/>
  <c r="CH7" i="5"/>
  <c r="CH5" i="8" s="1"/>
  <c r="CH8" i="5"/>
  <c r="CH7" i="8" s="1"/>
  <c r="CH35" i="5"/>
  <c r="CI15" i="6"/>
  <c r="CI6" i="5"/>
  <c r="CI4" i="8" s="1"/>
  <c r="CI8" i="5"/>
  <c r="CI7" i="8" s="1"/>
  <c r="CI35" i="5"/>
  <c r="CJ15" i="6"/>
  <c r="CJ10" i="5" s="1"/>
  <c r="CJ6" i="8" s="1"/>
  <c r="CJ6" i="5"/>
  <c r="CJ4" i="8" s="1"/>
  <c r="CJ7" i="5"/>
  <c r="CJ5" i="8" s="1"/>
  <c r="CJ8" i="5"/>
  <c r="CJ7" i="8" s="1"/>
  <c r="CJ35" i="5"/>
  <c r="CK15" i="6"/>
  <c r="CK10" i="5" s="1"/>
  <c r="CK6" i="8" s="1"/>
  <c r="CK6" i="5"/>
  <c r="CK4" i="8" s="1"/>
  <c r="CK7" i="5"/>
  <c r="CK5" i="8" s="1"/>
  <c r="CK8" i="5"/>
  <c r="CK7" i="8" s="1"/>
  <c r="CK35" i="5"/>
  <c r="CL15" i="6"/>
  <c r="CL10" i="5" s="1"/>
  <c r="CL6" i="8" s="1"/>
  <c r="CL6" i="5"/>
  <c r="CL4" i="8" s="1"/>
  <c r="CL7" i="5"/>
  <c r="CL5" i="8" s="1"/>
  <c r="CL8" i="5"/>
  <c r="CL7" i="8" s="1"/>
  <c r="CL35" i="5"/>
  <c r="CM35" i="5"/>
  <c r="BV19" i="5"/>
  <c r="BV20" i="5"/>
  <c r="BW19" i="5"/>
  <c r="BW20" i="5"/>
  <c r="BX19" i="5"/>
  <c r="BX20" i="5"/>
  <c r="BY19" i="5"/>
  <c r="BY20" i="5"/>
  <c r="CA19" i="5"/>
  <c r="CA20" i="5"/>
  <c r="CB19" i="5"/>
  <c r="CB20" i="5"/>
  <c r="CC19" i="5"/>
  <c r="CC20" i="5"/>
  <c r="CD19" i="5"/>
  <c r="CD20" i="5"/>
  <c r="CE19" i="5"/>
  <c r="CE20" i="5"/>
  <c r="CF19" i="5"/>
  <c r="CF20" i="5"/>
  <c r="CG19" i="5"/>
  <c r="CG20" i="5"/>
  <c r="CI19" i="5"/>
  <c r="CI20" i="5"/>
  <c r="CJ19" i="5"/>
  <c r="CJ20" i="5"/>
  <c r="CK19" i="5"/>
  <c r="CK20" i="5"/>
  <c r="CL19" i="5"/>
  <c r="CL20" i="5"/>
  <c r="BZ19" i="5"/>
  <c r="BZ20" i="5"/>
  <c r="CH19" i="5"/>
  <c r="CH20" i="5"/>
  <c r="BW34" i="5"/>
  <c r="BW44" i="5"/>
  <c r="BX34" i="5"/>
  <c r="BX44" i="5"/>
  <c r="BY34" i="5"/>
  <c r="BY44" i="5"/>
  <c r="BZ34" i="5"/>
  <c r="BZ44" i="5"/>
  <c r="CA34" i="5"/>
  <c r="CA44" i="5"/>
  <c r="CB34" i="5"/>
  <c r="CB44" i="5"/>
  <c r="CC34" i="5"/>
  <c r="CD44" i="5"/>
  <c r="CC44" i="5"/>
  <c r="CD34" i="5"/>
  <c r="CE34" i="5"/>
  <c r="CE44" i="5"/>
  <c r="CF21" i="5"/>
  <c r="CF34" i="5"/>
  <c r="CF44" i="5"/>
  <c r="CG34" i="5"/>
  <c r="CG44" i="5"/>
  <c r="CH21" i="5"/>
  <c r="CH34" i="5"/>
  <c r="CH44" i="5"/>
  <c r="CI34" i="5"/>
  <c r="CI44" i="5"/>
  <c r="CJ21" i="5"/>
  <c r="CJ34" i="5"/>
  <c r="CJ44" i="5"/>
  <c r="CK21" i="5"/>
  <c r="CK34" i="5"/>
  <c r="CL44" i="5"/>
  <c r="CK44" i="5"/>
  <c r="CL34" i="5"/>
  <c r="BW36" i="5"/>
  <c r="BX36" i="5"/>
  <c r="BY36" i="5"/>
  <c r="CC36" i="5"/>
  <c r="CD36" i="5"/>
  <c r="CE36" i="5"/>
  <c r="CF36" i="5"/>
  <c r="CG36" i="5"/>
  <c r="CK36" i="5"/>
  <c r="CL36" i="5"/>
  <c r="CM36" i="5"/>
  <c r="CI51" i="4"/>
  <c r="CJ10" i="6"/>
  <c r="CJ25" i="5"/>
  <c r="CJ33" i="5"/>
  <c r="CJ24" i="5"/>
  <c r="CJ31" i="5"/>
  <c r="CK25" i="5"/>
  <c r="CK33" i="5"/>
  <c r="CK24" i="5"/>
  <c r="CK31" i="5"/>
  <c r="CL25" i="5"/>
  <c r="CL33" i="5"/>
  <c r="CM33" i="5"/>
  <c r="CL24" i="5"/>
  <c r="CL31" i="5"/>
  <c r="CM31" i="5"/>
  <c r="CM40" i="5"/>
  <c r="CH25" i="5"/>
  <c r="CH33" i="5"/>
  <c r="CH24" i="5"/>
  <c r="CH31" i="5"/>
  <c r="CD33" i="5"/>
  <c r="CD31" i="5"/>
  <c r="CE33" i="5"/>
  <c r="CE31" i="5"/>
  <c r="CF25" i="5"/>
  <c r="CF33" i="5"/>
  <c r="CF24" i="5"/>
  <c r="CF31" i="5"/>
  <c r="CG33" i="5"/>
  <c r="CG31" i="5"/>
  <c r="CI33" i="5"/>
  <c r="CI31" i="5"/>
  <c r="CD56" i="5"/>
  <c r="CD5" i="6"/>
  <c r="CE56" i="5"/>
  <c r="CE13" i="8" s="1"/>
  <c r="CE5" i="6"/>
  <c r="CG56" i="5"/>
  <c r="CG13" i="8" s="1"/>
  <c r="CG5" i="6"/>
  <c r="CL35" i="7"/>
  <c r="CL37" i="7" s="1"/>
  <c r="CM56" i="6" s="1"/>
  <c r="CM54" i="5"/>
  <c r="CM11" i="8" s="1"/>
  <c r="CM55" i="5"/>
  <c r="CM12" i="8" s="1"/>
  <c r="CM57" i="5"/>
  <c r="CM18" i="8" s="1"/>
  <c r="CK12" i="8"/>
  <c r="AU47" i="6"/>
  <c r="Q36" i="5"/>
  <c r="I45" i="6"/>
  <c r="N41" i="6"/>
  <c r="M41" i="6"/>
  <c r="M55" i="5"/>
  <c r="M12" i="8" s="1"/>
  <c r="R47" i="6"/>
  <c r="U45" i="6"/>
  <c r="W47" i="6"/>
  <c r="AB47" i="6"/>
  <c r="AA41" i="6"/>
  <c r="AB41" i="6"/>
  <c r="AB36" i="5" s="1"/>
  <c r="AG41" i="6"/>
  <c r="AH55" i="5"/>
  <c r="AH12" i="8" s="1"/>
  <c r="AP3" i="7"/>
  <c r="AP19" i="7" s="1"/>
  <c r="AP29" i="7" s="1"/>
  <c r="AP33" i="7" s="1"/>
  <c r="AP35" i="7" s="1"/>
  <c r="AP37" i="7" s="1"/>
  <c r="AQ56" i="6" s="1"/>
  <c r="AU55" i="5"/>
  <c r="AU12" i="8" s="1"/>
  <c r="AL41" i="6"/>
  <c r="AY36" i="5"/>
  <c r="BA41" i="6"/>
  <c r="AZ29" i="7"/>
  <c r="AZ33" i="7" s="1"/>
  <c r="AZ35" i="7" s="1"/>
  <c r="AZ37" i="7" s="1"/>
  <c r="BA56" i="6" s="1"/>
  <c r="BA55" i="5"/>
  <c r="BA12" i="8" s="1"/>
  <c r="BG41" i="6"/>
  <c r="BE41" i="6"/>
  <c r="BH41" i="6"/>
  <c r="J43" i="6"/>
  <c r="I3" i="7"/>
  <c r="I19" i="7" s="1"/>
  <c r="AQ55" i="5"/>
  <c r="AQ12" i="8" s="1"/>
  <c r="AF19" i="7"/>
  <c r="K41" i="6"/>
  <c r="Q29" i="7"/>
  <c r="Q33" i="7" s="1"/>
  <c r="Q35" i="7" s="1"/>
  <c r="Q37" i="7" s="1"/>
  <c r="R56" i="6" s="1"/>
  <c r="R55" i="5"/>
  <c r="R12" i="8" s="1"/>
  <c r="S55" i="5"/>
  <c r="S12" i="8" s="1"/>
  <c r="W55" i="5"/>
  <c r="W12" i="8" s="1"/>
  <c r="V29" i="7"/>
  <c r="V33" i="7" s="1"/>
  <c r="V35" i="7" s="1"/>
  <c r="V37" i="7" s="1"/>
  <c r="W56" i="6" s="1"/>
  <c r="AS19" i="7"/>
  <c r="AS29" i="7" s="1"/>
  <c r="AS33" i="7" s="1"/>
  <c r="AS35" i="7" s="1"/>
  <c r="AS37" i="7" s="1"/>
  <c r="AT56" i="6" s="1"/>
  <c r="AO55" i="5"/>
  <c r="AO12" i="8" s="1"/>
  <c r="AN29" i="7"/>
  <c r="AN33" i="7" s="1"/>
  <c r="AN35" i="7" s="1"/>
  <c r="AN37" i="7" s="1"/>
  <c r="AO56" i="6" s="1"/>
  <c r="AW29" i="7"/>
  <c r="AW33" i="7" s="1"/>
  <c r="AW35" i="7" s="1"/>
  <c r="AW37" i="7" s="1"/>
  <c r="AX56" i="6" s="1"/>
  <c r="AX55" i="5"/>
  <c r="AX12" i="8" s="1"/>
  <c r="AV47" i="6"/>
  <c r="L29" i="7"/>
  <c r="L33" i="7" s="1"/>
  <c r="L35" i="7" s="1"/>
  <c r="L37" i="7" s="1"/>
  <c r="M56" i="6" s="1"/>
  <c r="T12" i="7"/>
  <c r="T19" i="7" s="1"/>
  <c r="U50" i="6"/>
  <c r="U47" i="6" s="1"/>
  <c r="AE29" i="7"/>
  <c r="AE33" i="7" s="1"/>
  <c r="AE35" i="7" s="1"/>
  <c r="AE37" i="7" s="1"/>
  <c r="AF56" i="6" s="1"/>
  <c r="AF55" i="5"/>
  <c r="AF12" i="8" s="1"/>
  <c r="AY55" i="5"/>
  <c r="AY12" i="8" s="1"/>
  <c r="AU3" i="7"/>
  <c r="AU19" i="7" s="1"/>
  <c r="AY29" i="7"/>
  <c r="AY33" i="7" s="1"/>
  <c r="AY35" i="7" s="1"/>
  <c r="AY37" i="7" s="1"/>
  <c r="AZ56" i="6" s="1"/>
  <c r="AZ55" i="5"/>
  <c r="AZ12" i="8" s="1"/>
  <c r="AV41" i="6"/>
  <c r="AV29" i="7"/>
  <c r="AV33" i="7" s="1"/>
  <c r="AV35" i="7" s="1"/>
  <c r="AV37" i="7" s="1"/>
  <c r="AW56" i="6" s="1"/>
  <c r="E29" i="7"/>
  <c r="E33" i="7" s="1"/>
  <c r="E35" i="7" s="1"/>
  <c r="E37" i="7" s="1"/>
  <c r="F56" i="6" s="1"/>
  <c r="F55" i="5"/>
  <c r="F12" i="8" s="1"/>
  <c r="F39" i="8" s="1"/>
  <c r="AE55" i="5"/>
  <c r="AE12" i="8" s="1"/>
  <c r="AD29" i="7"/>
  <c r="AD33" i="7" s="1"/>
  <c r="AD35" i="7" s="1"/>
  <c r="AD37" i="7" s="1"/>
  <c r="AE56" i="6" s="1"/>
  <c r="K19" i="7"/>
  <c r="K29" i="7" s="1"/>
  <c r="K33" i="7" s="1"/>
  <c r="K35" i="7" s="1"/>
  <c r="K37" i="7" s="1"/>
  <c r="L56" i="6" s="1"/>
  <c r="AM43" i="6"/>
  <c r="AM41" i="6" s="1"/>
  <c r="AM36" i="5" s="1"/>
  <c r="AL3" i="7"/>
  <c r="AL19" i="7" s="1"/>
  <c r="AT55" i="5"/>
  <c r="AT12" i="8" s="1"/>
  <c r="AP47" i="6"/>
  <c r="V36" i="5"/>
  <c r="Y47" i="6"/>
  <c r="AG47" i="6"/>
  <c r="AH29" i="7"/>
  <c r="AH33" i="7" s="1"/>
  <c r="AH35" i="7" s="1"/>
  <c r="AH37" i="7" s="1"/>
  <c r="AI56" i="6" s="1"/>
  <c r="AI55" i="5"/>
  <c r="AI12" i="8" s="1"/>
  <c r="O43" i="6"/>
  <c r="N3" i="7"/>
  <c r="N19" i="7" s="1"/>
  <c r="T41" i="6"/>
  <c r="AC3" i="7"/>
  <c r="AC19" i="7" s="1"/>
  <c r="AD43" i="6"/>
  <c r="AD41" i="6" s="1"/>
  <c r="AP55" i="5"/>
  <c r="AP12" i="8" s="1"/>
  <c r="AO29" i="7"/>
  <c r="AO33" i="7" s="1"/>
  <c r="AO35" i="7" s="1"/>
  <c r="AO37" i="7" s="1"/>
  <c r="AP56" i="6" s="1"/>
  <c r="AS55" i="5"/>
  <c r="AS12" i="8" s="1"/>
  <c r="AK55" i="5"/>
  <c r="AK12" i="8" s="1"/>
  <c r="BH55" i="5"/>
  <c r="BH12" i="8" s="1"/>
  <c r="P29" i="7"/>
  <c r="P33" i="7" s="1"/>
  <c r="P35" i="7" s="1"/>
  <c r="P37" i="7" s="1"/>
  <c r="Q56" i="6" s="1"/>
  <c r="Q55" i="5"/>
  <c r="Q12" i="8" s="1"/>
  <c r="G43" i="6"/>
  <c r="F3" i="7"/>
  <c r="L55" i="5"/>
  <c r="L12" i="8" s="1"/>
  <c r="T55" i="5"/>
  <c r="T12" i="8" s="1"/>
  <c r="W29" i="7"/>
  <c r="W33" i="7" s="1"/>
  <c r="W35" i="7" s="1"/>
  <c r="W37" i="7" s="1"/>
  <c r="X56" i="6" s="1"/>
  <c r="X55" i="5"/>
  <c r="X12" i="8" s="1"/>
  <c r="F47" i="6"/>
  <c r="C41" i="5"/>
  <c r="K47" i="6"/>
  <c r="T47" i="6"/>
  <c r="W41" i="6"/>
  <c r="W36" i="5" s="1"/>
  <c r="X47" i="6"/>
  <c r="AD47" i="6"/>
  <c r="AE41" i="6"/>
  <c r="AE36" i="5" s="1"/>
  <c r="AT41" i="6"/>
  <c r="AK41" i="6"/>
  <c r="BF3" i="7"/>
  <c r="BF19" i="7" s="1"/>
  <c r="AC55" i="5"/>
  <c r="AC12" i="8" s="1"/>
  <c r="E41" i="6"/>
  <c r="E36" i="5" s="1"/>
  <c r="H41" i="6"/>
  <c r="R41" i="6"/>
  <c r="R36" i="5" s="1"/>
  <c r="AT47" i="6"/>
  <c r="AK47" i="6"/>
  <c r="AN47" i="6"/>
  <c r="AQ47" i="6"/>
  <c r="AI47" i="6"/>
  <c r="AL47" i="6"/>
  <c r="AR41" i="6"/>
  <c r="AR36" i="5" s="1"/>
  <c r="AJ41" i="6"/>
  <c r="AS41" i="6"/>
  <c r="AW47" i="6"/>
  <c r="AW41" i="6"/>
  <c r="AW36" i="5" s="1"/>
  <c r="BM3" i="7"/>
  <c r="BM19" i="7" s="1"/>
  <c r="D3" i="7"/>
  <c r="D19" i="7" s="1"/>
  <c r="H47" i="6"/>
  <c r="I47" i="6"/>
  <c r="I41" i="6"/>
  <c r="N47" i="6"/>
  <c r="AA3" i="7"/>
  <c r="AA19" i="7" s="1"/>
  <c r="AK3" i="7"/>
  <c r="AK19" i="7" s="1"/>
  <c r="AK29" i="7" s="1"/>
  <c r="AK33" i="7" s="1"/>
  <c r="AK35" i="7" s="1"/>
  <c r="AK37" i="7" s="1"/>
  <c r="AL56" i="6" s="1"/>
  <c r="BB29" i="7"/>
  <c r="BB33" i="7" s="1"/>
  <c r="BB35" i="7" s="1"/>
  <c r="BB37" i="7" s="1"/>
  <c r="BC56" i="6" s="1"/>
  <c r="BY12" i="8"/>
  <c r="C41" i="6"/>
  <c r="D36" i="5" s="1"/>
  <c r="J41" i="6"/>
  <c r="J36" i="5" s="1"/>
  <c r="L41" i="6"/>
  <c r="O29" i="7"/>
  <c r="O33" i="7" s="1"/>
  <c r="O35" i="7" s="1"/>
  <c r="O37" i="7" s="1"/>
  <c r="P56" i="6" s="1"/>
  <c r="Z3" i="7"/>
  <c r="Z19" i="7" s="1"/>
  <c r="AR47" i="6"/>
  <c r="AJ47" i="6"/>
  <c r="AP41" i="6"/>
  <c r="AP36" i="5" s="1"/>
  <c r="AS47" i="6"/>
  <c r="BD41" i="6"/>
  <c r="BA29" i="7"/>
  <c r="BA33" i="7" s="1"/>
  <c r="BA35" i="7" s="1"/>
  <c r="BA37" i="7" s="1"/>
  <c r="BB56" i="6" s="1"/>
  <c r="BG47" i="6"/>
  <c r="BF41" i="6"/>
  <c r="BF36" i="5" s="1"/>
  <c r="Z55" i="5"/>
  <c r="Z12" i="8" s="1"/>
  <c r="E47" i="6"/>
  <c r="F19" i="7"/>
  <c r="G3" i="7"/>
  <c r="G19" i="7" s="1"/>
  <c r="J3" i="7"/>
  <c r="AI41" i="6"/>
  <c r="BC41" i="6"/>
  <c r="BS19" i="7"/>
  <c r="BS29" i="7" s="1"/>
  <c r="BS33" i="7" s="1"/>
  <c r="BS35" i="7" s="1"/>
  <c r="BS37" i="7" s="1"/>
  <c r="BT56" i="6" s="1"/>
  <c r="G47" i="6"/>
  <c r="O41" i="6"/>
  <c r="O36" i="5" s="1"/>
  <c r="P47" i="6"/>
  <c r="O47" i="6"/>
  <c r="V47" i="6"/>
  <c r="Z47" i="6"/>
  <c r="AC47" i="6"/>
  <c r="AC45" i="6"/>
  <c r="X19" i="7"/>
  <c r="X29" i="7" s="1"/>
  <c r="X33" i="7" s="1"/>
  <c r="X35" i="7" s="1"/>
  <c r="X37" i="7" s="1"/>
  <c r="Y56" i="6" s="1"/>
  <c r="AE47" i="6"/>
  <c r="AH41" i="6"/>
  <c r="AH36" i="5" s="1"/>
  <c r="AA36" i="5"/>
  <c r="Z36" i="5"/>
  <c r="C36" i="5"/>
  <c r="M36" i="5"/>
  <c r="BH36" i="5"/>
  <c r="T36" i="5"/>
  <c r="AF36" i="5"/>
  <c r="AG36" i="5"/>
  <c r="AQ36" i="5"/>
  <c r="BA36" i="5"/>
  <c r="AZ36" i="5"/>
  <c r="AJ36" i="5"/>
  <c r="D47" i="6"/>
  <c r="R45" i="6"/>
  <c r="AC41" i="6"/>
  <c r="AC36" i="5" s="1"/>
  <c r="AM45" i="6"/>
  <c r="AO36" i="5"/>
  <c r="AE45" i="6"/>
  <c r="BB41" i="6"/>
  <c r="L36" i="5"/>
  <c r="T45" i="6"/>
  <c r="AR45" i="6"/>
  <c r="AQ45" i="6"/>
  <c r="AI45" i="6"/>
  <c r="C47" i="6"/>
  <c r="AL36" i="5"/>
  <c r="CH12" i="8"/>
  <c r="M48" i="5"/>
  <c r="M16" i="8" s="1"/>
  <c r="D45" i="6"/>
  <c r="V36" i="6"/>
  <c r="Z16" i="5"/>
  <c r="Z9" i="8" s="1"/>
  <c r="BG48" i="5"/>
  <c r="BG16" i="8" s="1"/>
  <c r="Z31" i="6"/>
  <c r="BH42" i="5"/>
  <c r="BU29" i="6"/>
  <c r="BG36" i="6"/>
  <c r="AD48" i="5"/>
  <c r="AD16" i="8" s="1"/>
  <c r="AD47" i="5"/>
  <c r="AD15" i="8" s="1"/>
  <c r="D47" i="5"/>
  <c r="D15" i="8" s="1"/>
  <c r="D43" i="8" s="1"/>
  <c r="C13" i="4"/>
  <c r="D52" i="5" s="1"/>
  <c r="AO45" i="6"/>
  <c r="AC48" i="5"/>
  <c r="AC16" i="8" s="1"/>
  <c r="AC7" i="6"/>
  <c r="AJ6" i="6"/>
  <c r="AB39" i="4"/>
  <c r="AC10" i="6" s="1"/>
  <c r="BV26" i="4"/>
  <c r="BB47" i="5"/>
  <c r="BB15" i="8" s="1"/>
  <c r="N47" i="5"/>
  <c r="N15" i="8" s="1"/>
  <c r="AO6" i="6"/>
  <c r="AL48" i="5"/>
  <c r="AL16" i="8" s="1"/>
  <c r="AP6" i="6"/>
  <c r="AQ40" i="5" s="1"/>
  <c r="W32" i="5"/>
  <c r="AN39" i="4"/>
  <c r="AN51" i="4" s="1"/>
  <c r="AE48" i="5"/>
  <c r="AE16" i="8" s="1"/>
  <c r="AH6" i="6"/>
  <c r="AA31" i="6"/>
  <c r="AE42" i="5"/>
  <c r="AE36" i="6"/>
  <c r="C50" i="4"/>
  <c r="W47" i="5"/>
  <c r="W15" i="8" s="1"/>
  <c r="T16" i="5"/>
  <c r="T9" i="8" s="1"/>
  <c r="AS6" i="6"/>
  <c r="AT31" i="5" s="1"/>
  <c r="AT32" i="5"/>
  <c r="AX33" i="5"/>
  <c r="AC36" i="6"/>
  <c r="AI16" i="5"/>
  <c r="AI9" i="8" s="1"/>
  <c r="F31" i="4"/>
  <c r="G6" i="6" s="1"/>
  <c r="AS36" i="6"/>
  <c r="BF7" i="6"/>
  <c r="AS48" i="5"/>
  <c r="AS16" i="8" s="1"/>
  <c r="AX6" i="6"/>
  <c r="AY40" i="5" s="1"/>
  <c r="Q32" i="5"/>
  <c r="F19" i="6"/>
  <c r="AY45" i="6"/>
  <c r="BL45" i="6"/>
  <c r="Q36" i="6"/>
  <c r="Q47" i="5"/>
  <c r="Q15" i="8" s="1"/>
  <c r="AF32" i="5"/>
  <c r="AP45" i="6"/>
  <c r="AP42" i="5"/>
  <c r="AX42" i="5"/>
  <c r="AZ6" i="6"/>
  <c r="AZ31" i="5" s="1"/>
  <c r="AX45" i="6"/>
  <c r="AX31" i="6"/>
  <c r="AP31" i="6"/>
  <c r="AG41" i="5"/>
  <c r="AN36" i="6"/>
  <c r="AH39" i="4"/>
  <c r="AZ45" i="6"/>
  <c r="AI6" i="6"/>
  <c r="D27" i="6"/>
  <c r="AM36" i="6"/>
  <c r="N45" i="6"/>
  <c r="Y48" i="5"/>
  <c r="Y16" i="8" s="1"/>
  <c r="AM48" i="5"/>
  <c r="AM16" i="8" s="1"/>
  <c r="AP39" i="4"/>
  <c r="AQ10" i="6" s="1"/>
  <c r="AU42" i="5"/>
  <c r="BB7" i="6"/>
  <c r="BC33" i="5" s="1"/>
  <c r="U10" i="6"/>
  <c r="R39" i="4"/>
  <c r="R51" i="4" s="1"/>
  <c r="AD39" i="4"/>
  <c r="AE10" i="6" s="1"/>
  <c r="AF31" i="6"/>
  <c r="AO31" i="6"/>
  <c r="AF45" i="6"/>
  <c r="H32" i="6"/>
  <c r="M39" i="4"/>
  <c r="M51" i="4" s="1"/>
  <c r="AV7" i="6"/>
  <c r="Q39" i="4"/>
  <c r="Q51" i="4" s="1"/>
  <c r="BA39" i="4"/>
  <c r="BB10" i="6" s="1"/>
  <c r="BC6" i="6"/>
  <c r="BD40" i="5" s="1"/>
  <c r="N48" i="5"/>
  <c r="N16" i="8" s="1"/>
  <c r="D32" i="5"/>
  <c r="I39" i="4"/>
  <c r="U47" i="5"/>
  <c r="U15" i="8" s="1"/>
  <c r="BH41" i="5"/>
  <c r="BT45" i="6"/>
  <c r="J31" i="6"/>
  <c r="N41" i="5"/>
  <c r="U16" i="5"/>
  <c r="U9" i="8" s="1"/>
  <c r="AA42" i="5"/>
  <c r="D48" i="5"/>
  <c r="D16" i="8" s="1"/>
  <c r="D44" i="8" s="1"/>
  <c r="M41" i="5"/>
  <c r="S39" i="4"/>
  <c r="S51" i="4" s="1"/>
  <c r="AC26" i="4"/>
  <c r="AD56" i="5" s="1"/>
  <c r="AD13" i="8" s="1"/>
  <c r="AY39" i="4"/>
  <c r="AZ10" i="6" s="1"/>
  <c r="BM45" i="6"/>
  <c r="BD42" i="5"/>
  <c r="G32" i="6"/>
  <c r="G45" i="6" s="1"/>
  <c r="AU41" i="5"/>
  <c r="AR32" i="5"/>
  <c r="AE26" i="6"/>
  <c r="AV39" i="4"/>
  <c r="AV51" i="4" s="1"/>
  <c r="AV48" i="5"/>
  <c r="AV16" i="8" s="1"/>
  <c r="O47" i="5"/>
  <c r="O15" i="8" s="1"/>
  <c r="BB41" i="5"/>
  <c r="AV36" i="6"/>
  <c r="AT7" i="6"/>
  <c r="AT33" i="5" s="1"/>
  <c r="AI36" i="6"/>
  <c r="U36" i="6"/>
  <c r="T6" i="6"/>
  <c r="T40" i="5" s="1"/>
  <c r="AH51" i="4"/>
  <c r="BA31" i="6"/>
  <c r="BE41" i="5"/>
  <c r="BE26" i="6"/>
  <c r="K41" i="5"/>
  <c r="AX41" i="5"/>
  <c r="AX32" i="5"/>
  <c r="BD17" i="6"/>
  <c r="BD14" i="6" s="1"/>
  <c r="BD6" i="5" s="1"/>
  <c r="BD4" i="8" s="1"/>
  <c r="F32" i="6"/>
  <c r="F31" i="6" s="1"/>
  <c r="V33" i="5"/>
  <c r="AH42" i="5"/>
  <c r="AY26" i="4"/>
  <c r="I51" i="4"/>
  <c r="X39" i="4"/>
  <c r="X51" i="4" s="1"/>
  <c r="BD36" i="6"/>
  <c r="S16" i="5"/>
  <c r="S9" i="8" s="1"/>
  <c r="BH48" i="5"/>
  <c r="BH16" i="8" s="1"/>
  <c r="AR16" i="5"/>
  <c r="AR9" i="8" s="1"/>
  <c r="T31" i="4"/>
  <c r="U6" i="6" s="1"/>
  <c r="V31" i="5" s="1"/>
  <c r="E27" i="6"/>
  <c r="H39" i="4"/>
  <c r="E10" i="6"/>
  <c r="AI10" i="6"/>
  <c r="AC16" i="5"/>
  <c r="AC9" i="8" s="1"/>
  <c r="G32" i="4"/>
  <c r="G39" i="4" s="1"/>
  <c r="G51" i="4" s="1"/>
  <c r="BD47" i="5"/>
  <c r="BD15" i="8" s="1"/>
  <c r="BG7" i="6"/>
  <c r="AF6" i="6"/>
  <c r="O48" i="5"/>
  <c r="O16" i="8" s="1"/>
  <c r="X32" i="5"/>
  <c r="Z32" i="5"/>
  <c r="AU26" i="4"/>
  <c r="AV56" i="5" s="1"/>
  <c r="AV13" i="8" s="1"/>
  <c r="BH47" i="5"/>
  <c r="BH15" i="8" s="1"/>
  <c r="X26" i="6"/>
  <c r="X19" i="5" s="1"/>
  <c r="BG32" i="5"/>
  <c r="BH31" i="6"/>
  <c r="I33" i="5"/>
  <c r="J16" i="5"/>
  <c r="K42" i="5"/>
  <c r="R33" i="5"/>
  <c r="AB33" i="5"/>
  <c r="AL42" i="5"/>
  <c r="AY32" i="5"/>
  <c r="AZ26" i="6"/>
  <c r="BB17" i="6"/>
  <c r="BB14" i="6" s="1"/>
  <c r="BB6" i="5" s="1"/>
  <c r="BB4" i="8" s="1"/>
  <c r="BF41" i="5"/>
  <c r="BO45" i="6"/>
  <c r="C31" i="6"/>
  <c r="C44" i="5" s="1"/>
  <c r="U42" i="5"/>
  <c r="Z26" i="6"/>
  <c r="BQ32" i="5"/>
  <c r="L42" i="5"/>
  <c r="AE41" i="5"/>
  <c r="AI42" i="5"/>
  <c r="T32" i="5"/>
  <c r="D42" i="5"/>
  <c r="J41" i="5"/>
  <c r="J33" i="5"/>
  <c r="L33" i="5"/>
  <c r="S33" i="5"/>
  <c r="W41" i="5"/>
  <c r="K45" i="6"/>
  <c r="BF45" i="6"/>
  <c r="Z42" i="5"/>
  <c r="AD32" i="5"/>
  <c r="C45" i="6"/>
  <c r="V42" i="5"/>
  <c r="BA45" i="6"/>
  <c r="O31" i="6"/>
  <c r="AJ45" i="6"/>
  <c r="AM41" i="5"/>
  <c r="AS32" i="5"/>
  <c r="AV41" i="5"/>
  <c r="AZ17" i="6"/>
  <c r="AZ14" i="6" s="1"/>
  <c r="AZ15" i="6" s="1"/>
  <c r="S40" i="5"/>
  <c r="E32" i="5"/>
  <c r="M33" i="5"/>
  <c r="T42" i="5"/>
  <c r="AC31" i="6"/>
  <c r="AB45" i="6"/>
  <c r="AT45" i="6"/>
  <c r="K31" i="6"/>
  <c r="P32" i="5"/>
  <c r="AJ31" i="6"/>
  <c r="AK26" i="6"/>
  <c r="AK19" i="5" s="1"/>
  <c r="AV26" i="6"/>
  <c r="AV19" i="5" s="1"/>
  <c r="BM31" i="6"/>
  <c r="BH45" i="6"/>
  <c r="AB42" i="5"/>
  <c r="Y16" i="5"/>
  <c r="Y9" i="8" s="1"/>
  <c r="J26" i="6"/>
  <c r="L17" i="6"/>
  <c r="L14" i="6" s="1"/>
  <c r="L6" i="5" s="1"/>
  <c r="L4" i="8" s="1"/>
  <c r="P41" i="5"/>
  <c r="BC31" i="6"/>
  <c r="AQ33" i="5"/>
  <c r="Y32" i="5"/>
  <c r="AA33" i="5"/>
  <c r="BH16" i="5"/>
  <c r="BH9" i="8" s="1"/>
  <c r="AE16" i="5"/>
  <c r="AE9" i="8" s="1"/>
  <c r="C26" i="6"/>
  <c r="C19" i="5" s="1"/>
  <c r="C22" i="8" s="1"/>
  <c r="C51" i="8" s="1"/>
  <c r="D26" i="6"/>
  <c r="G41" i="5"/>
  <c r="E42" i="5"/>
  <c r="D33" i="5"/>
  <c r="AO42" i="5"/>
  <c r="AJ32" i="5"/>
  <c r="AS26" i="6"/>
  <c r="BN6" i="6"/>
  <c r="BW15" i="8"/>
  <c r="H33" i="5"/>
  <c r="AL45" i="6"/>
  <c r="L41" i="5"/>
  <c r="AR41" i="5"/>
  <c r="AK41" i="5"/>
  <c r="AW42" i="5"/>
  <c r="BF32" i="5"/>
  <c r="BL32" i="5"/>
  <c r="T26" i="6"/>
  <c r="AF26" i="6"/>
  <c r="AF17" i="6"/>
  <c r="AF14" i="6" s="1"/>
  <c r="AF8" i="5" s="1"/>
  <c r="AF7" i="8" s="1"/>
  <c r="L31" i="6"/>
  <c r="AD31" i="6"/>
  <c r="BE17" i="6"/>
  <c r="BE14" i="6" s="1"/>
  <c r="M31" i="6"/>
  <c r="W42" i="5"/>
  <c r="X41" i="5"/>
  <c r="Y31" i="6"/>
  <c r="Z44" i="5" s="1"/>
  <c r="Y41" i="5"/>
  <c r="BG26" i="6"/>
  <c r="BG19" i="5" s="1"/>
  <c r="BM39" i="4"/>
  <c r="BN10" i="6" s="1"/>
  <c r="O41" i="5"/>
  <c r="AR36" i="6"/>
  <c r="L48" i="5"/>
  <c r="L16" i="8" s="1"/>
  <c r="AY7" i="6"/>
  <c r="AZ33" i="5" s="1"/>
  <c r="AL39" i="4"/>
  <c r="AM10" i="6" s="1"/>
  <c r="O45" i="6"/>
  <c r="AH41" i="5"/>
  <c r="AQ47" i="5"/>
  <c r="AQ15" i="8" s="1"/>
  <c r="AP40" i="5"/>
  <c r="AC39" i="4"/>
  <c r="AD10" i="6" s="1"/>
  <c r="D31" i="6"/>
  <c r="I41" i="5"/>
  <c r="N39" i="4"/>
  <c r="R32" i="5"/>
  <c r="Q41" i="5"/>
  <c r="V17" i="6"/>
  <c r="V14" i="6" s="1"/>
  <c r="V15" i="6" s="1"/>
  <c r="Y17" i="6"/>
  <c r="Y14" i="6" s="1"/>
  <c r="Y8" i="5" s="1"/>
  <c r="Y7" i="8" s="1"/>
  <c r="AE31" i="6"/>
  <c r="AR17" i="6"/>
  <c r="AR14" i="6" s="1"/>
  <c r="AR6" i="5" s="1"/>
  <c r="AR4" i="8" s="1"/>
  <c r="AJ17" i="6"/>
  <c r="AJ14" i="6" s="1"/>
  <c r="AJ8" i="5" s="1"/>
  <c r="AJ7" i="8" s="1"/>
  <c r="AU26" i="6"/>
  <c r="L36" i="6"/>
  <c r="AR48" i="5"/>
  <c r="AR16" i="8" s="1"/>
  <c r="AM6" i="6"/>
  <c r="AN31" i="5" s="1"/>
  <c r="C40" i="5"/>
  <c r="AV45" i="6"/>
  <c r="AI48" i="5"/>
  <c r="AI16" i="8" s="1"/>
  <c r="M17" i="6"/>
  <c r="M14" i="6" s="1"/>
  <c r="M15" i="6" s="1"/>
  <c r="AE39" i="4"/>
  <c r="AF10" i="6" s="1"/>
  <c r="W39" i="4"/>
  <c r="W51" i="4" s="1"/>
  <c r="AQ26" i="4"/>
  <c r="AR56" i="5" s="1"/>
  <c r="AR13" i="8" s="1"/>
  <c r="AO26" i="4"/>
  <c r="AP57" i="5" s="1"/>
  <c r="AP18" i="8" s="1"/>
  <c r="AW32" i="5"/>
  <c r="BI39" i="4"/>
  <c r="BJ10" i="6" s="1"/>
  <c r="Z41" i="5"/>
  <c r="AX39" i="4"/>
  <c r="AY10" i="6" s="1"/>
  <c r="AE32" i="5"/>
  <c r="X17" i="6"/>
  <c r="X14" i="6" s="1"/>
  <c r="X15" i="6" s="1"/>
  <c r="AG48" i="5"/>
  <c r="AG16" i="8" s="1"/>
  <c r="Z47" i="5"/>
  <c r="Z15" i="8" s="1"/>
  <c r="W40" i="5"/>
  <c r="S41" i="5"/>
  <c r="X26" i="4"/>
  <c r="Y5" i="6" s="1"/>
  <c r="Y14" i="5" s="1"/>
  <c r="AG17" i="6"/>
  <c r="AG14" i="6" s="1"/>
  <c r="AE6" i="6"/>
  <c r="AQ31" i="5"/>
  <c r="AT31" i="6"/>
  <c r="H26" i="6"/>
  <c r="AL31" i="6"/>
  <c r="AT26" i="6"/>
  <c r="AT19" i="5" s="1"/>
  <c r="AZ42" i="5"/>
  <c r="BC26" i="6"/>
  <c r="BD41" i="5"/>
  <c r="BB32" i="5"/>
  <c r="BF26" i="6"/>
  <c r="BF19" i="5" s="1"/>
  <c r="BG17" i="6"/>
  <c r="BG14" i="6" s="1"/>
  <c r="BG15" i="6" s="1"/>
  <c r="AJ41" i="5"/>
  <c r="BA17" i="6"/>
  <c r="BA14" i="6" s="1"/>
  <c r="BA6" i="5" s="1"/>
  <c r="BA4" i="8" s="1"/>
  <c r="BJ6" i="6"/>
  <c r="AU45" i="6"/>
  <c r="Y36" i="6"/>
  <c r="AE7" i="6"/>
  <c r="AF33" i="5" s="1"/>
  <c r="BH7" i="6"/>
  <c r="E45" i="6"/>
  <c r="M42" i="5"/>
  <c r="Q31" i="6"/>
  <c r="AD17" i="6"/>
  <c r="AD14" i="6" s="1"/>
  <c r="AD6" i="5" s="1"/>
  <c r="AD4" i="8" s="1"/>
  <c r="AE26" i="4"/>
  <c r="AF56" i="5" s="1"/>
  <c r="AF13" i="8" s="1"/>
  <c r="AR26" i="6"/>
  <c r="AJ26" i="6"/>
  <c r="AM26" i="6"/>
  <c r="AI17" i="6"/>
  <c r="AI14" i="6" s="1"/>
  <c r="AI6" i="5" s="1"/>
  <c r="AI4" i="8" s="1"/>
  <c r="AR26" i="4"/>
  <c r="AS56" i="5" s="1"/>
  <c r="AS13" i="8" s="1"/>
  <c r="K26" i="4"/>
  <c r="L56" i="5" s="1"/>
  <c r="L13" i="8" s="1"/>
  <c r="BE48" i="5"/>
  <c r="BE16" i="8" s="1"/>
  <c r="AQ36" i="6"/>
  <c r="I42" i="5"/>
  <c r="AI41" i="5"/>
  <c r="BN36" i="6"/>
  <c r="H6" i="6"/>
  <c r="BE40" i="5"/>
  <c r="BF40" i="5"/>
  <c r="G36" i="6"/>
  <c r="G47" i="5"/>
  <c r="G15" i="8" s="1"/>
  <c r="G48" i="5"/>
  <c r="G16" i="8" s="1"/>
  <c r="X40" i="5"/>
  <c r="L45" i="6"/>
  <c r="BG45" i="6"/>
  <c r="BG31" i="6"/>
  <c r="V39" i="4"/>
  <c r="V51" i="4" s="1"/>
  <c r="U8" i="6"/>
  <c r="V32" i="5" s="1"/>
  <c r="P26" i="4"/>
  <c r="C16" i="5"/>
  <c r="C9" i="8" s="1"/>
  <c r="C35" i="8" s="1"/>
  <c r="C36" i="8" s="1"/>
  <c r="BE47" i="5"/>
  <c r="BE15" i="8" s="1"/>
  <c r="M47" i="5"/>
  <c r="M15" i="8" s="1"/>
  <c r="AA16" i="5"/>
  <c r="AA9" i="8" s="1"/>
  <c r="AD16" i="5"/>
  <c r="AD9" i="8" s="1"/>
  <c r="AL41" i="5"/>
  <c r="AU17" i="6"/>
  <c r="AU14" i="6" s="1"/>
  <c r="AU6" i="5" s="1"/>
  <c r="AU4" i="8" s="1"/>
  <c r="W33" i="5"/>
  <c r="AG32" i="5"/>
  <c r="BB39" i="4"/>
  <c r="BB51" i="4" s="1"/>
  <c r="BE42" i="5"/>
  <c r="X31" i="5"/>
  <c r="AP26" i="4"/>
  <c r="AQ5" i="6" s="1"/>
  <c r="AQ26" i="5" s="1"/>
  <c r="BE7" i="6"/>
  <c r="AK32" i="5"/>
  <c r="AW33" i="5"/>
  <c r="AK31" i="6"/>
  <c r="AK34" i="5" s="1"/>
  <c r="AB26" i="4"/>
  <c r="AY31" i="6"/>
  <c r="AT36" i="6"/>
  <c r="C36" i="6"/>
  <c r="G42" i="5"/>
  <c r="P31" i="6"/>
  <c r="AA39" i="4"/>
  <c r="AA51" i="4" s="1"/>
  <c r="AK39" i="4"/>
  <c r="AL10" i="6" s="1"/>
  <c r="AM39" i="4"/>
  <c r="AN10" i="6" s="1"/>
  <c r="AU31" i="6"/>
  <c r="BN42" i="5"/>
  <c r="BS45" i="6"/>
  <c r="BG41" i="5"/>
  <c r="I31" i="6"/>
  <c r="AZ47" i="5"/>
  <c r="AZ15" i="8" s="1"/>
  <c r="T39" i="4"/>
  <c r="T51" i="4" s="1"/>
  <c r="AB47" i="5"/>
  <c r="AB15" i="8" s="1"/>
  <c r="AT47" i="5"/>
  <c r="AT15" i="8" s="1"/>
  <c r="AK45" i="6"/>
  <c r="R48" i="5"/>
  <c r="R16" i="8" s="1"/>
  <c r="E32" i="4"/>
  <c r="B39" i="4"/>
  <c r="B51" i="4" s="1"/>
  <c r="B26" i="4"/>
  <c r="C56" i="5" s="1"/>
  <c r="C13" i="8" s="1"/>
  <c r="C40" i="8" s="1"/>
  <c r="C17" i="6"/>
  <c r="C14" i="6" s="1"/>
  <c r="F42" i="5"/>
  <c r="E33" i="5"/>
  <c r="J32" i="5"/>
  <c r="AS26" i="4"/>
  <c r="AT56" i="5" s="1"/>
  <c r="AT13" i="8" s="1"/>
  <c r="AJ26" i="4"/>
  <c r="AK57" i="5" s="1"/>
  <c r="AK18" i="8" s="1"/>
  <c r="BN33" i="5"/>
  <c r="BY16" i="8"/>
  <c r="M45" i="6"/>
  <c r="X36" i="6"/>
  <c r="AB48" i="5"/>
  <c r="AB16" i="8" s="1"/>
  <c r="D31" i="4"/>
  <c r="D39" i="4" s="1"/>
  <c r="D51" i="4" s="1"/>
  <c r="AP31" i="5"/>
  <c r="AD7" i="6"/>
  <c r="AD33" i="5" s="1"/>
  <c r="AW6" i="6"/>
  <c r="R47" i="5"/>
  <c r="R15" i="8" s="1"/>
  <c r="X48" i="5"/>
  <c r="X16" i="8" s="1"/>
  <c r="AC42" i="5"/>
  <c r="Y40" i="5"/>
  <c r="AQ17" i="6"/>
  <c r="AQ14" i="6" s="1"/>
  <c r="AQ15" i="6" s="1"/>
  <c r="AN32" i="5"/>
  <c r="AS41" i="5"/>
  <c r="AO31" i="5"/>
  <c r="F17" i="6"/>
  <c r="F14" i="6" s="1"/>
  <c r="F6" i="5" s="1"/>
  <c r="F4" i="8" s="1"/>
  <c r="F29" i="8" s="1"/>
  <c r="Y31" i="5"/>
  <c r="AN7" i="6"/>
  <c r="AO33" i="5" s="1"/>
  <c r="H41" i="5"/>
  <c r="I16" i="5"/>
  <c r="AD45" i="6"/>
  <c r="H8" i="6"/>
  <c r="I32" i="5" s="1"/>
  <c r="T41" i="5"/>
  <c r="W26" i="6"/>
  <c r="W19" i="5" s="1"/>
  <c r="AD26" i="6"/>
  <c r="AD19" i="5" s="1"/>
  <c r="U39" i="4"/>
  <c r="U51" i="4" s="1"/>
  <c r="AO39" i="4"/>
  <c r="AQ41" i="5"/>
  <c r="AL26" i="6"/>
  <c r="AM17" i="6"/>
  <c r="AM14" i="6" s="1"/>
  <c r="AT17" i="6"/>
  <c r="AT14" i="6" s="1"/>
  <c r="AT8" i="5" s="1"/>
  <c r="AT7" i="8" s="1"/>
  <c r="AN17" i="6"/>
  <c r="AN14" i="6" s="1"/>
  <c r="BN45" i="6"/>
  <c r="W31" i="5"/>
  <c r="AA26" i="6"/>
  <c r="AA19" i="5" s="1"/>
  <c r="BA32" i="5"/>
  <c r="AO40" i="5"/>
  <c r="O32" i="5"/>
  <c r="H51" i="4"/>
  <c r="K33" i="5"/>
  <c r="P42" i="5"/>
  <c r="K39" i="4"/>
  <c r="K51" i="4" s="1"/>
  <c r="S26" i="6"/>
  <c r="S19" i="5" s="1"/>
  <c r="X33" i="5"/>
  <c r="AB31" i="6"/>
  <c r="AB34" i="5" s="1"/>
  <c r="AB26" i="6"/>
  <c r="Z17" i="6"/>
  <c r="Z14" i="6" s="1"/>
  <c r="Z6" i="5" s="1"/>
  <c r="Z4" i="8" s="1"/>
  <c r="AN26" i="6"/>
  <c r="AN19" i="5" s="1"/>
  <c r="BS32" i="5"/>
  <c r="BK32" i="5"/>
  <c r="N40" i="5"/>
  <c r="N31" i="5"/>
  <c r="AE40" i="5"/>
  <c r="AK31" i="5"/>
  <c r="H42" i="5"/>
  <c r="BC17" i="6"/>
  <c r="BC14" i="6" s="1"/>
  <c r="BC41" i="5"/>
  <c r="BA36" i="6"/>
  <c r="BA48" i="5"/>
  <c r="BA16" i="8" s="1"/>
  <c r="BX15" i="8"/>
  <c r="BX16" i="8"/>
  <c r="CD15" i="8"/>
  <c r="CD16" i="8"/>
  <c r="M31" i="5"/>
  <c r="M40" i="5"/>
  <c r="AZ56" i="5"/>
  <c r="AZ13" i="8" s="1"/>
  <c r="AZ57" i="5"/>
  <c r="AZ18" i="8" s="1"/>
  <c r="AF41" i="5"/>
  <c r="AE17" i="6"/>
  <c r="AE14" i="6" s="1"/>
  <c r="AE15" i="6" s="1"/>
  <c r="AP47" i="5"/>
  <c r="AP15" i="8" s="1"/>
  <c r="AP36" i="6"/>
  <c r="AV26" i="4"/>
  <c r="AW47" i="5"/>
  <c r="AW15" i="8" s="1"/>
  <c r="AW48" i="5"/>
  <c r="AW16" i="8" s="1"/>
  <c r="AW36" i="6"/>
  <c r="AX26" i="4"/>
  <c r="AY57" i="5" s="1"/>
  <c r="AY18" i="8" s="1"/>
  <c r="AY48" i="5"/>
  <c r="AY16" i="8" s="1"/>
  <c r="AY26" i="6"/>
  <c r="AY19" i="5" s="1"/>
  <c r="AY41" i="5"/>
  <c r="AY17" i="6"/>
  <c r="AY14" i="6" s="1"/>
  <c r="AZ32" i="5"/>
  <c r="D17" i="6"/>
  <c r="AG6" i="6"/>
  <c r="AG7" i="6"/>
  <c r="AH33" i="5" s="1"/>
  <c r="AZ5" i="6"/>
  <c r="AZ14" i="5" s="1"/>
  <c r="L16" i="5"/>
  <c r="L9" i="8" s="1"/>
  <c r="I36" i="6"/>
  <c r="AC17" i="6"/>
  <c r="AC14" i="6" s="1"/>
  <c r="AC8" i="5" s="1"/>
  <c r="AC7" i="8" s="1"/>
  <c r="AC41" i="5"/>
  <c r="AD41" i="5"/>
  <c r="AA47" i="5"/>
  <c r="AA15" i="8" s="1"/>
  <c r="AA48" i="5"/>
  <c r="AA16" i="8" s="1"/>
  <c r="AA36" i="6"/>
  <c r="Z26" i="4"/>
  <c r="AA57" i="5" s="1"/>
  <c r="AA18" i="8" s="1"/>
  <c r="BD7" i="6"/>
  <c r="BD33" i="5" s="1"/>
  <c r="BC39" i="4"/>
  <c r="BH40" i="5"/>
  <c r="BH31" i="5"/>
  <c r="BF31" i="5"/>
  <c r="BE31" i="5"/>
  <c r="AO52" i="5"/>
  <c r="AN26" i="4"/>
  <c r="Z6" i="6"/>
  <c r="AA31" i="5" s="1"/>
  <c r="Y39" i="4"/>
  <c r="Y51" i="4" s="1"/>
  <c r="L40" i="5"/>
  <c r="R31" i="6"/>
  <c r="R16" i="5"/>
  <c r="R9" i="8" s="1"/>
  <c r="T48" i="5"/>
  <c r="T16" i="8" s="1"/>
  <c r="T47" i="5"/>
  <c r="T15" i="8" s="1"/>
  <c r="T36" i="6"/>
  <c r="N51" i="4"/>
  <c r="X16" i="5"/>
  <c r="X9" i="8" s="1"/>
  <c r="X45" i="6"/>
  <c r="Y33" i="5"/>
  <c r="Z33" i="5"/>
  <c r="AS31" i="6"/>
  <c r="BE16" i="5"/>
  <c r="BE9" i="8" s="1"/>
  <c r="BE45" i="6"/>
  <c r="BE31" i="6"/>
  <c r="BG40" i="5"/>
  <c r="BG31" i="5"/>
  <c r="AZ23" i="6"/>
  <c r="BE19" i="5"/>
  <c r="AE31" i="5"/>
  <c r="L31" i="5"/>
  <c r="F52" i="5"/>
  <c r="E26" i="4"/>
  <c r="F56" i="5" s="1"/>
  <c r="F13" i="8" s="1"/>
  <c r="F40" i="8" s="1"/>
  <c r="J6" i="6"/>
  <c r="K36" i="6"/>
  <c r="K48" i="5"/>
  <c r="K16" i="8" s="1"/>
  <c r="N32" i="5"/>
  <c r="P36" i="6"/>
  <c r="O26" i="4"/>
  <c r="P57" i="5" s="1"/>
  <c r="P18" i="8" s="1"/>
  <c r="P47" i="5"/>
  <c r="P15" i="8" s="1"/>
  <c r="P48" i="5"/>
  <c r="P16" i="8" s="1"/>
  <c r="S32" i="5"/>
  <c r="Q45" i="6"/>
  <c r="Q16" i="5"/>
  <c r="Q9" i="8" s="1"/>
  <c r="S48" i="5"/>
  <c r="S16" i="8" s="1"/>
  <c r="R26" i="4"/>
  <c r="S36" i="6"/>
  <c r="BB16" i="5"/>
  <c r="BB9" i="8" s="1"/>
  <c r="BB45" i="6"/>
  <c r="AH31" i="6"/>
  <c r="AX17" i="6"/>
  <c r="AX14" i="6" s="1"/>
  <c r="AX8" i="5" s="1"/>
  <c r="AX7" i="8" s="1"/>
  <c r="J42" i="5"/>
  <c r="AV17" i="6"/>
  <c r="AV14" i="6" s="1"/>
  <c r="BA26" i="6"/>
  <c r="BD31" i="6"/>
  <c r="BB31" i="6"/>
  <c r="BO31" i="6"/>
  <c r="BW16" i="8"/>
  <c r="CB15" i="8"/>
  <c r="AL17" i="6"/>
  <c r="AL14" i="6" s="1"/>
  <c r="AZ48" i="5"/>
  <c r="AZ16" i="8" s="1"/>
  <c r="AK7" i="6"/>
  <c r="AK33" i="5" s="1"/>
  <c r="E26" i="6"/>
  <c r="N33" i="5"/>
  <c r="T31" i="6"/>
  <c r="AK17" i="6"/>
  <c r="AK14" i="6" s="1"/>
  <c r="AK15" i="6" s="1"/>
  <c r="BC42" i="5"/>
  <c r="BM32" i="5"/>
  <c r="BJ33" i="5"/>
  <c r="AP51" i="4"/>
  <c r="AO36" i="6"/>
  <c r="AH45" i="6"/>
  <c r="Z36" i="6"/>
  <c r="CC16" i="8"/>
  <c r="AO47" i="5"/>
  <c r="AO15" i="8" s="1"/>
  <c r="Q26" i="4"/>
  <c r="AS45" i="6"/>
  <c r="AU39" i="4"/>
  <c r="BF17" i="6"/>
  <c r="BF14" i="6" s="1"/>
  <c r="BF8" i="5" s="1"/>
  <c r="BF7" i="8" s="1"/>
  <c r="BR32" i="5"/>
  <c r="BJ32" i="5"/>
  <c r="BD45" i="6"/>
  <c r="F26" i="4"/>
  <c r="G5" i="6" s="1"/>
  <c r="I26" i="6"/>
  <c r="I19" i="5" s="1"/>
  <c r="M26" i="6"/>
  <c r="O17" i="6"/>
  <c r="O14" i="6" s="1"/>
  <c r="O6" i="5" s="1"/>
  <c r="O4" i="8" s="1"/>
  <c r="S42" i="5"/>
  <c r="R26" i="6"/>
  <c r="R19" i="5" s="1"/>
  <c r="U31" i="6"/>
  <c r="W17" i="6"/>
  <c r="W14" i="6" s="1"/>
  <c r="AC26" i="6"/>
  <c r="AB17" i="6"/>
  <c r="AB14" i="6" s="1"/>
  <c r="AB6" i="5" s="1"/>
  <c r="AB4" i="8" s="1"/>
  <c r="AA26" i="4"/>
  <c r="AB57" i="5" s="1"/>
  <c r="AB18" i="8" s="1"/>
  <c r="W26" i="4"/>
  <c r="X57" i="5" s="1"/>
  <c r="X18" i="8" s="1"/>
  <c r="AH26" i="6"/>
  <c r="AH17" i="6"/>
  <c r="AH14" i="6" s="1"/>
  <c r="AH6" i="5" s="1"/>
  <c r="AH4" i="8" s="1"/>
  <c r="AG39" i="4"/>
  <c r="AG51" i="4" s="1"/>
  <c r="AH26" i="4"/>
  <c r="AI5" i="6" s="1"/>
  <c r="AI25" i="5" s="1"/>
  <c r="AL26" i="4"/>
  <c r="AM56" i="5" s="1"/>
  <c r="AM13" i="8" s="1"/>
  <c r="AP17" i="6"/>
  <c r="AP14" i="6" s="1"/>
  <c r="AP8" i="5" s="1"/>
  <c r="AP7" i="8" s="1"/>
  <c r="AO41" i="5"/>
  <c r="AT26" i="4"/>
  <c r="AU56" i="5" s="1"/>
  <c r="AU13" i="8" s="1"/>
  <c r="AW31" i="6"/>
  <c r="AW26" i="6"/>
  <c r="AW17" i="6"/>
  <c r="AW14" i="6" s="1"/>
  <c r="AW15" i="6" s="1"/>
  <c r="BD26" i="6"/>
  <c r="BD19" i="5" s="1"/>
  <c r="BH17" i="6"/>
  <c r="BH14" i="6" s="1"/>
  <c r="BH8" i="5" s="1"/>
  <c r="BH7" i="8" s="1"/>
  <c r="BU39" i="4"/>
  <c r="BV10" i="6" s="1"/>
  <c r="CB39" i="4"/>
  <c r="CD12" i="8"/>
  <c r="CC12" i="8"/>
  <c r="CB26" i="4"/>
  <c r="BZ12" i="8"/>
  <c r="BX12" i="8"/>
  <c r="CA12" i="8"/>
  <c r="CB12" i="8"/>
  <c r="BW12" i="8"/>
  <c r="BV12" i="8"/>
  <c r="CA26" i="4"/>
  <c r="BZ16" i="8"/>
  <c r="BZ26" i="4"/>
  <c r="BY26" i="4"/>
  <c r="CA15" i="8"/>
  <c r="CA39" i="4"/>
  <c r="BZ39" i="4"/>
  <c r="BY39" i="4"/>
  <c r="BV39" i="4"/>
  <c r="BW10" i="6" s="1"/>
  <c r="BX39" i="4"/>
  <c r="BY10" i="6" s="1"/>
  <c r="BW39" i="4"/>
  <c r="BX10" i="6" s="1"/>
  <c r="BB42" i="5"/>
  <c r="BA42" i="5"/>
  <c r="G33" i="5"/>
  <c r="F33" i="5"/>
  <c r="AL52" i="5"/>
  <c r="AK26" i="4"/>
  <c r="AJ33" i="5"/>
  <c r="AX48" i="5"/>
  <c r="AX16" i="8" s="1"/>
  <c r="AW26" i="4"/>
  <c r="AX57" i="5" s="1"/>
  <c r="AX18" i="8" s="1"/>
  <c r="AX36" i="6"/>
  <c r="H48" i="5"/>
  <c r="H16" i="8" s="1"/>
  <c r="G26" i="4"/>
  <c r="H57" i="5" s="1"/>
  <c r="H18" i="8" s="1"/>
  <c r="H47" i="5"/>
  <c r="H15" i="8" s="1"/>
  <c r="H36" i="6"/>
  <c r="E47" i="5"/>
  <c r="E15" i="8" s="1"/>
  <c r="E43" i="8" s="1"/>
  <c r="D26" i="4"/>
  <c r="E57" i="5" s="1"/>
  <c r="E18" i="8" s="1"/>
  <c r="E46" i="8" s="1"/>
  <c r="E36" i="6"/>
  <c r="AA44" i="5"/>
  <c r="V41" i="5"/>
  <c r="U17" i="6"/>
  <c r="U14" i="6" s="1"/>
  <c r="U8" i="5" s="1"/>
  <c r="U7" i="8" s="1"/>
  <c r="Y42" i="5"/>
  <c r="X42" i="5"/>
  <c r="AA17" i="6"/>
  <c r="AA14" i="6" s="1"/>
  <c r="AB41" i="5"/>
  <c r="AA41" i="5"/>
  <c r="AM42" i="5"/>
  <c r="AL32" i="5"/>
  <c r="AM32" i="5"/>
  <c r="AT42" i="5"/>
  <c r="AS42" i="5"/>
  <c r="H45" i="6"/>
  <c r="H16" i="5"/>
  <c r="H9" i="8" s="1"/>
  <c r="H31" i="6"/>
  <c r="AD40" i="5"/>
  <c r="AD31" i="5"/>
  <c r="E31" i="4"/>
  <c r="F8" i="6"/>
  <c r="N26" i="4"/>
  <c r="O5" i="6" s="1"/>
  <c r="O25" i="5" s="1"/>
  <c r="AJ36" i="6"/>
  <c r="AJ48" i="5"/>
  <c r="AJ16" i="8" s="1"/>
  <c r="AI26" i="4"/>
  <c r="AJ57" i="5" s="1"/>
  <c r="AJ18" i="8" s="1"/>
  <c r="AJ47" i="5"/>
  <c r="AJ15" i="8" s="1"/>
  <c r="AQ26" i="6"/>
  <c r="BS9" i="6"/>
  <c r="BT42" i="5" s="1"/>
  <c r="BS7" i="6"/>
  <c r="BS33" i="5" s="1"/>
  <c r="BS10" i="6"/>
  <c r="BS6" i="6"/>
  <c r="BT40" i="5" s="1"/>
  <c r="W45" i="6"/>
  <c r="W16" i="5"/>
  <c r="W9" i="8" s="1"/>
  <c r="W31" i="6"/>
  <c r="P31" i="5"/>
  <c r="P40" i="5"/>
  <c r="X6" i="5"/>
  <c r="X4" i="8" s="1"/>
  <c r="X8" i="5"/>
  <c r="X7" i="8" s="1"/>
  <c r="C26" i="4"/>
  <c r="D5" i="6" s="1"/>
  <c r="AN31" i="6"/>
  <c r="AN16" i="5"/>
  <c r="AN9" i="8" s="1"/>
  <c r="AN45" i="6"/>
  <c r="U48" i="5"/>
  <c r="U16" i="8" s="1"/>
  <c r="T26" i="4"/>
  <c r="AH32" i="5"/>
  <c r="AI32" i="5"/>
  <c r="AP33" i="5"/>
  <c r="BF42" i="5"/>
  <c r="BG42" i="5"/>
  <c r="AU47" i="5"/>
  <c r="AU15" i="8" s="1"/>
  <c r="AT31" i="4"/>
  <c r="AU48" i="5"/>
  <c r="AU16" i="8" s="1"/>
  <c r="AU8" i="6"/>
  <c r="BG52" i="5"/>
  <c r="BF26" i="4"/>
  <c r="O31" i="5"/>
  <c r="O40" i="5"/>
  <c r="Q33" i="5"/>
  <c r="AG26" i="4"/>
  <c r="AH36" i="6"/>
  <c r="AH47" i="5"/>
  <c r="AH15" i="8" s="1"/>
  <c r="AH48" i="5"/>
  <c r="AH16" i="8" s="1"/>
  <c r="AG16" i="5"/>
  <c r="AG9" i="8" s="1"/>
  <c r="AG31" i="6"/>
  <c r="AG45" i="6"/>
  <c r="BV15" i="8"/>
  <c r="BU26" i="4"/>
  <c r="I26" i="4"/>
  <c r="J57" i="5" s="1"/>
  <c r="J18" i="8" s="1"/>
  <c r="J48" i="5"/>
  <c r="J16" i="8" s="1"/>
  <c r="J47" i="5"/>
  <c r="J15" i="8" s="1"/>
  <c r="J36" i="6"/>
  <c r="BC48" i="5"/>
  <c r="BC16" i="8" s="1"/>
  <c r="BC47" i="5"/>
  <c r="BC15" i="8" s="1"/>
  <c r="BC36" i="6"/>
  <c r="BB26" i="4"/>
  <c r="BC5" i="6" s="1"/>
  <c r="BC25" i="5" s="1"/>
  <c r="BD32" i="5"/>
  <c r="BE32" i="5"/>
  <c r="BP32" i="5"/>
  <c r="E31" i="6"/>
  <c r="AJ39" i="4"/>
  <c r="AK10" i="6" s="1"/>
  <c r="AP26" i="6"/>
  <c r="AP19" i="5" s="1"/>
  <c r="AZ31" i="6"/>
  <c r="BN32" i="5"/>
  <c r="BX26" i="4"/>
  <c r="BA47" i="5"/>
  <c r="BA15" i="8" s="1"/>
  <c r="BW26" i="4"/>
  <c r="V26" i="6"/>
  <c r="V19" i="5" s="1"/>
  <c r="AN42" i="5"/>
  <c r="AG26" i="6"/>
  <c r="BU7" i="6"/>
  <c r="AW45" i="6"/>
  <c r="L26" i="4"/>
  <c r="AI26" i="6"/>
  <c r="BE39" i="4"/>
  <c r="BF10" i="6" s="1"/>
  <c r="B127" i="30"/>
  <c r="D124" i="30"/>
  <c r="B106" i="30"/>
  <c r="D103" i="30"/>
  <c r="B85" i="30"/>
  <c r="D82" i="30"/>
  <c r="B63" i="30"/>
  <c r="D60" i="30"/>
  <c r="B41" i="30"/>
  <c r="BQ41" i="6"/>
  <c r="C48" i="5"/>
  <c r="C16" i="8" s="1"/>
  <c r="C44" i="8" s="1"/>
  <c r="F47" i="5"/>
  <c r="F15" i="8" s="1"/>
  <c r="F43" i="8" s="1"/>
  <c r="K26" i="6"/>
  <c r="K19" i="5" s="1"/>
  <c r="N31" i="6"/>
  <c r="N42" i="5"/>
  <c r="P45" i="6"/>
  <c r="R42" i="5"/>
  <c r="S31" i="6"/>
  <c r="T33" i="5"/>
  <c r="R17" i="6"/>
  <c r="R14" i="6" s="1"/>
  <c r="R8" i="5" s="1"/>
  <c r="R7" i="8" s="1"/>
  <c r="F16" i="30"/>
  <c r="Y26" i="6"/>
  <c r="Y19" i="5" s="1"/>
  <c r="AF39" i="4"/>
  <c r="Z39" i="4"/>
  <c r="Z51" i="4" s="1"/>
  <c r="AR31" i="6"/>
  <c r="AP41" i="5"/>
  <c r="AN41" i="5"/>
  <c r="AJ42" i="5"/>
  <c r="AS39" i="4"/>
  <c r="AR39" i="4"/>
  <c r="AT41" i="5"/>
  <c r="AW39" i="4"/>
  <c r="AV31" i="6"/>
  <c r="AX26" i="6"/>
  <c r="AV42" i="5"/>
  <c r="AZ41" i="5"/>
  <c r="AZ26" i="4"/>
  <c r="BF31" i="6"/>
  <c r="BS47" i="6"/>
  <c r="BT26" i="6"/>
  <c r="BT19" i="5" s="1"/>
  <c r="BL26" i="6"/>
  <c r="BL19" i="5" s="1"/>
  <c r="BQ41" i="5"/>
  <c r="BP41" i="5"/>
  <c r="BN41" i="5"/>
  <c r="BM41" i="5"/>
  <c r="BL41" i="5"/>
  <c r="BK41" i="5"/>
  <c r="BJ41" i="5"/>
  <c r="BQ42" i="5"/>
  <c r="BP42" i="5"/>
  <c r="BO42" i="5"/>
  <c r="BM42" i="5"/>
  <c r="BL42" i="5"/>
  <c r="BK42" i="5"/>
  <c r="BJ42" i="5"/>
  <c r="BI42" i="5"/>
  <c r="BI32" i="5"/>
  <c r="BQ36" i="6"/>
  <c r="BQ47" i="5"/>
  <c r="BQ15" i="8" s="1"/>
  <c r="BO47" i="5"/>
  <c r="BO15" i="8" s="1"/>
  <c r="BO48" i="5"/>
  <c r="BO16" i="8" s="1"/>
  <c r="BL48" i="5"/>
  <c r="BL16" i="8" s="1"/>
  <c r="BL47" i="5"/>
  <c r="BL15" i="8" s="1"/>
  <c r="BJ36" i="6"/>
  <c r="BJ48" i="5"/>
  <c r="BJ16" i="8" s="1"/>
  <c r="BP39" i="4"/>
  <c r="BQ10" i="6" s="1"/>
  <c r="BO3" i="7"/>
  <c r="BO19" i="7" s="1"/>
  <c r="BN55" i="5"/>
  <c r="BN12" i="8" s="1"/>
  <c r="BG8" i="4"/>
  <c r="BG26" i="4" s="1"/>
  <c r="BU26" i="6"/>
  <c r="BU19" i="5" s="1"/>
  <c r="BU42" i="5"/>
  <c r="BU32" i="5"/>
  <c r="F9" i="30"/>
  <c r="F17" i="30" s="1"/>
  <c r="D17" i="30"/>
  <c r="BU17" i="6"/>
  <c r="BU14" i="6" s="1"/>
  <c r="BV35" i="5" s="1"/>
  <c r="BU41" i="5"/>
  <c r="BU40" i="5"/>
  <c r="BU31" i="5"/>
  <c r="BU31" i="6"/>
  <c r="BU36" i="6"/>
  <c r="BU48" i="5"/>
  <c r="BU16" i="8" s="1"/>
  <c r="BU47" i="6"/>
  <c r="BU41" i="6"/>
  <c r="BV36" i="5" s="1"/>
  <c r="BU45" i="6"/>
  <c r="BR42" i="5"/>
  <c r="BR47" i="6"/>
  <c r="BT47" i="6"/>
  <c r="BT41" i="6"/>
  <c r="J26" i="4"/>
  <c r="O42" i="5"/>
  <c r="N52" i="5"/>
  <c r="M26" i="4"/>
  <c r="K32" i="5"/>
  <c r="AF5" i="6"/>
  <c r="S31" i="5"/>
  <c r="AC33" i="5"/>
  <c r="AA34" i="5"/>
  <c r="F36" i="6"/>
  <c r="H26" i="4"/>
  <c r="I47" i="5"/>
  <c r="I15" i="8" s="1"/>
  <c r="E41" i="5"/>
  <c r="F41" i="5"/>
  <c r="AR7" i="6"/>
  <c r="AQ39" i="4"/>
  <c r="BS36" i="6"/>
  <c r="BS47" i="5"/>
  <c r="BS15" i="8" s="1"/>
  <c r="BK47" i="5"/>
  <c r="BK15" i="8" s="1"/>
  <c r="BK48" i="5"/>
  <c r="BK16" i="8" s="1"/>
  <c r="AD26" i="4"/>
  <c r="AZ39" i="4"/>
  <c r="BA7" i="6"/>
  <c r="BA6" i="6"/>
  <c r="BC32" i="5"/>
  <c r="BO41" i="5"/>
  <c r="BO32" i="5"/>
  <c r="G16" i="5"/>
  <c r="G31" i="6"/>
  <c r="K17" i="6"/>
  <c r="K14" i="6" s="1"/>
  <c r="O26" i="6"/>
  <c r="Q42" i="5"/>
  <c r="S26" i="4"/>
  <c r="AA32" i="5"/>
  <c r="AB32" i="5"/>
  <c r="AI33" i="5"/>
  <c r="AY36" i="6"/>
  <c r="AY47" i="5"/>
  <c r="AY15" i="8" s="1"/>
  <c r="BA26" i="4"/>
  <c r="BB48" i="5"/>
  <c r="BB16" i="8" s="1"/>
  <c r="BS48" i="5"/>
  <c r="BS16" i="8" s="1"/>
  <c r="J39" i="4"/>
  <c r="J51" i="4" s="1"/>
  <c r="M32" i="5"/>
  <c r="AP32" i="5"/>
  <c r="AQ32" i="5"/>
  <c r="C39" i="4"/>
  <c r="C51" i="4" s="1"/>
  <c r="D6" i="6"/>
  <c r="P33" i="5"/>
  <c r="O33" i="5"/>
  <c r="AM16" i="5"/>
  <c r="AM9" i="8" s="1"/>
  <c r="AM31" i="6"/>
  <c r="BQ31" i="6"/>
  <c r="BQ16" i="5"/>
  <c r="BQ9" i="8" s="1"/>
  <c r="BI31" i="6"/>
  <c r="BI16" i="5"/>
  <c r="BI9" i="8" s="1"/>
  <c r="Q26" i="6"/>
  <c r="V31" i="6"/>
  <c r="V45" i="6"/>
  <c r="U26" i="4"/>
  <c r="V47" i="5"/>
  <c r="V15" i="8" s="1"/>
  <c r="AR6" i="6"/>
  <c r="AR40" i="5" s="1"/>
  <c r="G19" i="6"/>
  <c r="G17" i="6" s="1"/>
  <c r="G14" i="6" s="1"/>
  <c r="D10" i="6"/>
  <c r="J45" i="6"/>
  <c r="O39" i="4"/>
  <c r="O51" i="4" s="1"/>
  <c r="U26" i="6"/>
  <c r="U33" i="5"/>
  <c r="X31" i="6"/>
  <c r="AK36" i="6"/>
  <c r="AK47" i="5"/>
  <c r="AK15" i="8" s="1"/>
  <c r="C42" i="5"/>
  <c r="L32" i="5"/>
  <c r="P39" i="4"/>
  <c r="P51" i="4" s="1"/>
  <c r="Q6" i="6"/>
  <c r="R40" i="5" s="1"/>
  <c r="AF47" i="5"/>
  <c r="AF15" i="8" s="1"/>
  <c r="AF48" i="5"/>
  <c r="AF16" i="8" s="1"/>
  <c r="AL6" i="6"/>
  <c r="AL7" i="6"/>
  <c r="AQ16" i="5"/>
  <c r="AQ9" i="8" s="1"/>
  <c r="AQ31" i="6"/>
  <c r="R41" i="5"/>
  <c r="AI31" i="6"/>
  <c r="AO26" i="6"/>
  <c r="AO19" i="5" s="1"/>
  <c r="AO32" i="5"/>
  <c r="BN31" i="6"/>
  <c r="BR31" i="6"/>
  <c r="BJ31" i="6"/>
  <c r="BM47" i="5"/>
  <c r="BM15" i="8" s="1"/>
  <c r="AD42" i="5"/>
  <c r="AW41" i="5"/>
  <c r="BL31" i="6"/>
  <c r="BP31" i="6"/>
  <c r="BR39" i="4"/>
  <c r="BR51" i="4" s="1"/>
  <c r="BJ39" i="4"/>
  <c r="BJ51" i="4" s="1"/>
  <c r="BQ48" i="5"/>
  <c r="BQ16" i="8" s="1"/>
  <c r="BI48" i="5"/>
  <c r="BI16" i="8" s="1"/>
  <c r="BJ16" i="5"/>
  <c r="BJ9" i="8" s="1"/>
  <c r="D41" i="5"/>
  <c r="H17" i="6"/>
  <c r="H14" i="6" s="1"/>
  <c r="L39" i="4"/>
  <c r="L51" i="4" s="1"/>
  <c r="AB6" i="6"/>
  <c r="Y26" i="4"/>
  <c r="AG42" i="5"/>
  <c r="BT41" i="5"/>
  <c r="BT32" i="5"/>
  <c r="BP48" i="5"/>
  <c r="BP16" i="8" s="1"/>
  <c r="BJ47" i="5"/>
  <c r="BJ15" i="8" s="1"/>
  <c r="AF26" i="4"/>
  <c r="AF42" i="5"/>
  <c r="AK42" i="5"/>
  <c r="AS17" i="6"/>
  <c r="AS14" i="6" s="1"/>
  <c r="AY42" i="5"/>
  <c r="BC26" i="4"/>
  <c r="BF39" i="4"/>
  <c r="BI47" i="5"/>
  <c r="BI15" i="8" s="1"/>
  <c r="BP16" i="5"/>
  <c r="BP9" i="8" s="1"/>
  <c r="AG36" i="6"/>
  <c r="G26" i="6"/>
  <c r="I17" i="6"/>
  <c r="I14" i="6" s="1"/>
  <c r="AC32" i="5"/>
  <c r="AR42" i="5"/>
  <c r="BH32" i="5"/>
  <c r="BM26" i="6"/>
  <c r="BN48" i="5"/>
  <c r="BN16" i="8" s="1"/>
  <c r="BP47" i="5"/>
  <c r="BP15" i="8" s="1"/>
  <c r="P17" i="6"/>
  <c r="P14" i="6" s="1"/>
  <c r="V26" i="4"/>
  <c r="AM26" i="4"/>
  <c r="AI39" i="4"/>
  <c r="AQ42" i="5"/>
  <c r="BD39" i="4"/>
  <c r="BI17" i="6"/>
  <c r="BI14" i="6" s="1"/>
  <c r="BI6" i="6"/>
  <c r="BK31" i="6"/>
  <c r="BQ26" i="4"/>
  <c r="BR5" i="6" s="1"/>
  <c r="BR26" i="5" s="1"/>
  <c r="BI41" i="5"/>
  <c r="BT17" i="6"/>
  <c r="BT14" i="6" s="1"/>
  <c r="BT8" i="5" s="1"/>
  <c r="BT7" i="8" s="1"/>
  <c r="BS17" i="6"/>
  <c r="BR17" i="6"/>
  <c r="BR14" i="6" s="1"/>
  <c r="BR41" i="5"/>
  <c r="BS41" i="5"/>
  <c r="BT39" i="4"/>
  <c r="BQ39" i="4"/>
  <c r="BR10" i="6" s="1"/>
  <c r="BS39" i="4"/>
  <c r="BR6" i="6"/>
  <c r="BR26" i="4"/>
  <c r="BS56" i="5" s="1"/>
  <c r="BS13" i="8" s="1"/>
  <c r="BS31" i="6"/>
  <c r="BT31" i="6"/>
  <c r="BR16" i="5"/>
  <c r="BR9" i="8" s="1"/>
  <c r="BT26" i="4"/>
  <c r="BS26" i="6"/>
  <c r="BR26" i="6"/>
  <c r="BR47" i="5"/>
  <c r="BR15" i="8" s="1"/>
  <c r="BR48" i="5"/>
  <c r="BR16" i="8" s="1"/>
  <c r="BH26" i="6"/>
  <c r="BQ26" i="6"/>
  <c r="BO26" i="4"/>
  <c r="BN26" i="4"/>
  <c r="BP47" i="6"/>
  <c r="BM29" i="7"/>
  <c r="BM33" i="7" s="1"/>
  <c r="BM35" i="7" s="1"/>
  <c r="BM37" i="7" s="1"/>
  <c r="BN56" i="6" s="1"/>
  <c r="BL47" i="6"/>
  <c r="BQ47" i="6"/>
  <c r="BI47" i="6"/>
  <c r="BM47" i="6"/>
  <c r="BK47" i="6"/>
  <c r="BO47" i="6"/>
  <c r="BJ47" i="6"/>
  <c r="BN47" i="6"/>
  <c r="BP43" i="6"/>
  <c r="BP41" i="6" s="1"/>
  <c r="BQ36" i="5" s="1"/>
  <c r="BL3" i="7"/>
  <c r="BL19" i="7" s="1"/>
  <c r="BN41" i="6"/>
  <c r="BO41" i="6"/>
  <c r="BM41" i="6"/>
  <c r="BL41" i="6"/>
  <c r="BM17" i="6"/>
  <c r="BM14" i="6" s="1"/>
  <c r="BP17" i="6"/>
  <c r="BP14" i="6" s="1"/>
  <c r="BQ17" i="6"/>
  <c r="BQ14" i="6" s="1"/>
  <c r="BJ17" i="6"/>
  <c r="BJ14" i="6" s="1"/>
  <c r="BO17" i="6"/>
  <c r="BO14" i="6" s="1"/>
  <c r="BL17" i="6"/>
  <c r="BL14" i="6" s="1"/>
  <c r="BK17" i="6"/>
  <c r="BK14" i="6" s="1"/>
  <c r="BN17" i="6"/>
  <c r="BN14" i="6" s="1"/>
  <c r="BN39" i="4"/>
  <c r="BO10" i="6" s="1"/>
  <c r="BL39" i="4"/>
  <c r="BM10" i="6" s="1"/>
  <c r="BK6" i="6"/>
  <c r="BL31" i="5" s="1"/>
  <c r="BO7" i="6"/>
  <c r="BO33" i="5" s="1"/>
  <c r="BK7" i="6"/>
  <c r="BK33" i="5" s="1"/>
  <c r="BQ7" i="6"/>
  <c r="BQ6" i="6"/>
  <c r="BO6" i="6"/>
  <c r="BM6" i="6"/>
  <c r="BH39" i="4"/>
  <c r="BO39" i="4"/>
  <c r="BP10" i="6" s="1"/>
  <c r="BK39" i="4"/>
  <c r="BM26" i="4"/>
  <c r="BN5" i="6" s="1"/>
  <c r="BL26" i="4"/>
  <c r="BK26" i="4"/>
  <c r="BJ26" i="4"/>
  <c r="BP26" i="6"/>
  <c r="BO26" i="6"/>
  <c r="BK26" i="6"/>
  <c r="BI26" i="6"/>
  <c r="BN26" i="6"/>
  <c r="BJ26" i="6"/>
  <c r="BK36" i="6"/>
  <c r="BI26" i="4"/>
  <c r="BP26" i="4"/>
  <c r="BH26" i="4"/>
  <c r="BI41" i="6"/>
  <c r="BI36" i="5" s="1"/>
  <c r="BN3" i="7"/>
  <c r="BN19" i="7" s="1"/>
  <c r="BR3" i="7"/>
  <c r="BR19" i="7" s="1"/>
  <c r="BJ3" i="7"/>
  <c r="BJ19" i="7" s="1"/>
  <c r="BQ3" i="7"/>
  <c r="BQ19" i="7" s="1"/>
  <c r="BI3" i="7"/>
  <c r="BI19" i="7" s="1"/>
  <c r="BP3" i="7"/>
  <c r="BP19" i="7" s="1"/>
  <c r="BH3" i="7"/>
  <c r="BH19" i="7" s="1"/>
  <c r="BK41" i="6"/>
  <c r="BR41" i="6"/>
  <c r="BJ41" i="6"/>
  <c r="BT7" i="6"/>
  <c r="BL7" i="6"/>
  <c r="BP6" i="6"/>
  <c r="BK45" i="6"/>
  <c r="BS41" i="6"/>
  <c r="BP45" i="6"/>
  <c r="BR45" i="6"/>
  <c r="BJ45" i="6"/>
  <c r="BQ45" i="6"/>
  <c r="BI45" i="6"/>
  <c r="BD29" i="7"/>
  <c r="BD33" i="7" s="1"/>
  <c r="BE55" i="5"/>
  <c r="BE12" i="8" s="1"/>
  <c r="BG55" i="5"/>
  <c r="BG12" i="8" s="1"/>
  <c r="BF29" i="7"/>
  <c r="BF33" i="7" s="1"/>
  <c r="C19" i="7"/>
  <c r="G41" i="6"/>
  <c r="F26" i="6"/>
  <c r="E17" i="6"/>
  <c r="E14" i="6" s="1"/>
  <c r="J47" i="6"/>
  <c r="J17" i="6"/>
  <c r="J14" i="6" s="1"/>
  <c r="J19" i="7"/>
  <c r="L47" i="6"/>
  <c r="L26" i="6"/>
  <c r="G14" i="24"/>
  <c r="M47" i="6"/>
  <c r="N26" i="6"/>
  <c r="N17" i="6"/>
  <c r="N14" i="6" s="1"/>
  <c r="P26" i="6"/>
  <c r="S17" i="6"/>
  <c r="S14" i="6" s="1"/>
  <c r="Q17" i="6"/>
  <c r="Q14" i="6" s="1"/>
  <c r="Q47" i="6"/>
  <c r="T17" i="6"/>
  <c r="T14" i="6" s="1"/>
  <c r="U36" i="5"/>
  <c r="U41" i="5"/>
  <c r="X41" i="6"/>
  <c r="AF47" i="6"/>
  <c r="AG29" i="7"/>
  <c r="AG33" i="7" s="1"/>
  <c r="AO47" i="6"/>
  <c r="AO17" i="6"/>
  <c r="AO14" i="6" s="1"/>
  <c r="AO8" i="5" s="1"/>
  <c r="AU41" i="6"/>
  <c r="AY47" i="6"/>
  <c r="AZ47" i="6"/>
  <c r="BA47" i="6"/>
  <c r="BA41" i="5"/>
  <c r="BB36" i="5"/>
  <c r="BD55" i="5"/>
  <c r="BD12" i="8" s="1"/>
  <c r="BC55" i="5"/>
  <c r="BC12" i="8" s="1"/>
  <c r="BB55" i="5"/>
  <c r="BB12" i="8" s="1"/>
  <c r="BD47" i="6"/>
  <c r="BC47" i="6"/>
  <c r="BB47" i="6"/>
  <c r="BB26" i="6"/>
  <c r="BE47" i="6"/>
  <c r="BF47" i="6"/>
  <c r="BE26" i="4"/>
  <c r="BD26" i="4"/>
  <c r="BG39" i="4"/>
  <c r="CQ9" i="5" l="1"/>
  <c r="CQ14" i="5"/>
  <c r="CQ15" i="5"/>
  <c r="CQ21" i="5"/>
  <c r="CQ24" i="5"/>
  <c r="CQ25" i="5"/>
  <c r="CQ26" i="5"/>
  <c r="CQ27" i="5"/>
  <c r="CQ30" i="5"/>
  <c r="CR30" i="5"/>
  <c r="CQ43" i="5"/>
  <c r="CR43" i="5"/>
  <c r="CT6" i="5"/>
  <c r="CT7" i="5"/>
  <c r="CT8" i="5"/>
  <c r="CT20" i="5"/>
  <c r="CT35" i="5"/>
  <c r="CU35" i="5"/>
  <c r="CT15" i="6"/>
  <c r="CT10" i="5" s="1"/>
  <c r="CS6" i="5"/>
  <c r="CS7" i="5"/>
  <c r="CS8" i="5"/>
  <c r="CS20" i="5"/>
  <c r="CS35" i="5"/>
  <c r="CS15" i="6"/>
  <c r="CS10" i="5" s="1"/>
  <c r="CR6" i="5"/>
  <c r="CR7" i="5"/>
  <c r="CR8" i="5"/>
  <c r="CR20" i="5"/>
  <c r="CR35" i="5"/>
  <c r="CR15" i="6"/>
  <c r="CR10" i="5" s="1"/>
  <c r="CQ6" i="5"/>
  <c r="CQ7" i="5"/>
  <c r="CQ8" i="5"/>
  <c r="CQ20" i="5"/>
  <c r="CQ35" i="5"/>
  <c r="CQ15" i="6"/>
  <c r="CQ10" i="5" s="1"/>
  <c r="CO6" i="5"/>
  <c r="CO4" i="8" s="1"/>
  <c r="CO7" i="5"/>
  <c r="CO5" i="8" s="1"/>
  <c r="CO8" i="5"/>
  <c r="CO7" i="8" s="1"/>
  <c r="CO20" i="5"/>
  <c r="CO35" i="5"/>
  <c r="CP35" i="5"/>
  <c r="CO15" i="6"/>
  <c r="CO10" i="5" s="1"/>
  <c r="CO6" i="8" s="1"/>
  <c r="CN6" i="5"/>
  <c r="CN4" i="8" s="1"/>
  <c r="CN7" i="5"/>
  <c r="CN5" i="8" s="1"/>
  <c r="CN8" i="5"/>
  <c r="CN7" i="8" s="1"/>
  <c r="CN20" i="5"/>
  <c r="CN35" i="5"/>
  <c r="CN15" i="6"/>
  <c r="CN10" i="5" s="1"/>
  <c r="CN6" i="8" s="1"/>
  <c r="CI25" i="5"/>
  <c r="CI7" i="5"/>
  <c r="CI5" i="8" s="1"/>
  <c r="CI21" i="5"/>
  <c r="CI10" i="5"/>
  <c r="CI6" i="8" s="1"/>
  <c r="CM27" i="5"/>
  <c r="CM9" i="5"/>
  <c r="CM15" i="5"/>
  <c r="CM24" i="5"/>
  <c r="CM25" i="5"/>
  <c r="CM26" i="5"/>
  <c r="CM14" i="5"/>
  <c r="CM21" i="5"/>
  <c r="CN30" i="5"/>
  <c r="CN43" i="5"/>
  <c r="CM7" i="5"/>
  <c r="CM5" i="8" s="1"/>
  <c r="CM10" i="5"/>
  <c r="CM6" i="8" s="1"/>
  <c r="BV44" i="5"/>
  <c r="BV34" i="5"/>
  <c r="BX56" i="5"/>
  <c r="BX5" i="6"/>
  <c r="BX57" i="5"/>
  <c r="BY56" i="5"/>
  <c r="BY5" i="6"/>
  <c r="BY57" i="5"/>
  <c r="BV56" i="5"/>
  <c r="BV5" i="6"/>
  <c r="BV54" i="5"/>
  <c r="BV57" i="5"/>
  <c r="BY51" i="4"/>
  <c r="BZ10" i="6"/>
  <c r="BZ51" i="4"/>
  <c r="CA10" i="6"/>
  <c r="CA51" i="4"/>
  <c r="CB10" i="6"/>
  <c r="BZ56" i="5"/>
  <c r="BZ13" i="8" s="1"/>
  <c r="BZ5" i="6"/>
  <c r="BZ57" i="5"/>
  <c r="CA56" i="5"/>
  <c r="CA5" i="6"/>
  <c r="CA57" i="5"/>
  <c r="CB56" i="5"/>
  <c r="CB5" i="6"/>
  <c r="CB57" i="5"/>
  <c r="CB18" i="8" s="1"/>
  <c r="CC56" i="5"/>
  <c r="CC13" i="8" s="1"/>
  <c r="CC5" i="6"/>
  <c r="CD54" i="5"/>
  <c r="CC54" i="5"/>
  <c r="CC57" i="5"/>
  <c r="CB51" i="4"/>
  <c r="CC10" i="6"/>
  <c r="BW56" i="5"/>
  <c r="BW13" i="8" s="1"/>
  <c r="BW5" i="6"/>
  <c r="BW54" i="5"/>
  <c r="BW57" i="5"/>
  <c r="BW18" i="8" s="1"/>
  <c r="CG30" i="5"/>
  <c r="CG43" i="5"/>
  <c r="CG15" i="5"/>
  <c r="CG14" i="5"/>
  <c r="CG9" i="5"/>
  <c r="CG27" i="5"/>
  <c r="CG26" i="5"/>
  <c r="CG7" i="5"/>
  <c r="CG5" i="8" s="1"/>
  <c r="CG21" i="5"/>
  <c r="CG25" i="5"/>
  <c r="CG24" i="5"/>
  <c r="CE30" i="5"/>
  <c r="CE43" i="5"/>
  <c r="CE15" i="5"/>
  <c r="CE14" i="5"/>
  <c r="CE9" i="5"/>
  <c r="CE27" i="5"/>
  <c r="CE26" i="5"/>
  <c r="CE7" i="5"/>
  <c r="CE5" i="8" s="1"/>
  <c r="CE21" i="5"/>
  <c r="CE25" i="5"/>
  <c r="CE24" i="5"/>
  <c r="CD30" i="5"/>
  <c r="CD43" i="5"/>
  <c r="CD15" i="5"/>
  <c r="CD14" i="5"/>
  <c r="CD21" i="5"/>
  <c r="CD9" i="5"/>
  <c r="CD27" i="5"/>
  <c r="CD26" i="5"/>
  <c r="CD7" i="5"/>
  <c r="CD5" i="8" s="1"/>
  <c r="CD25" i="5"/>
  <c r="CD24" i="5"/>
  <c r="CG10" i="5"/>
  <c r="CG6" i="8" s="1"/>
  <c r="CE10" i="5"/>
  <c r="CE6" i="8" s="1"/>
  <c r="CD10" i="5"/>
  <c r="CD6" i="8" s="1"/>
  <c r="CC10" i="5"/>
  <c r="CC6" i="8" s="1"/>
  <c r="CB10" i="5"/>
  <c r="CB6" i="8" s="1"/>
  <c r="CA10" i="5"/>
  <c r="CA6" i="8" s="1"/>
  <c r="BZ10" i="5"/>
  <c r="BZ6" i="8" s="1"/>
  <c r="BY10" i="5"/>
  <c r="BY6" i="8" s="1"/>
  <c r="BX10" i="5"/>
  <c r="BX6" i="8" s="1"/>
  <c r="BW10" i="5"/>
  <c r="BW6" i="8" s="1"/>
  <c r="BV10" i="5"/>
  <c r="BV6" i="8" s="1"/>
  <c r="CK35" i="7"/>
  <c r="CK37" i="7" s="1"/>
  <c r="CL56" i="6" s="1"/>
  <c r="CL54" i="5"/>
  <c r="CL11" i="8" s="1"/>
  <c r="CL30" i="5"/>
  <c r="CM30" i="5"/>
  <c r="CM43" i="5"/>
  <c r="CL43" i="5"/>
  <c r="CL15" i="5"/>
  <c r="CL14" i="5"/>
  <c r="CL21" i="5"/>
  <c r="CL9" i="5"/>
  <c r="CL27" i="5"/>
  <c r="CL26" i="5"/>
  <c r="CI35" i="7"/>
  <c r="CI37" i="7" s="1"/>
  <c r="CJ56" i="6" s="1"/>
  <c r="CJ54" i="5"/>
  <c r="CJ11" i="8" s="1"/>
  <c r="CI30" i="5"/>
  <c r="CI43" i="5"/>
  <c r="CI15" i="5"/>
  <c r="CI14" i="5"/>
  <c r="CI9" i="5"/>
  <c r="CI27" i="5"/>
  <c r="CI26" i="5"/>
  <c r="CJ30" i="5"/>
  <c r="CJ43" i="5"/>
  <c r="CJ15" i="5"/>
  <c r="CJ14" i="5"/>
  <c r="CJ9" i="5"/>
  <c r="CJ27" i="5"/>
  <c r="CJ26" i="5"/>
  <c r="CK30" i="5"/>
  <c r="CK43" i="5"/>
  <c r="CK15" i="5"/>
  <c r="CK14" i="5"/>
  <c r="CK9" i="5"/>
  <c r="CK27" i="5"/>
  <c r="CK26" i="5"/>
  <c r="CJ35" i="7"/>
  <c r="CJ37" i="7" s="1"/>
  <c r="CK56" i="6" s="1"/>
  <c r="CK54" i="5"/>
  <c r="CK11" i="8" s="1"/>
  <c r="CF30" i="5"/>
  <c r="CF43" i="5"/>
  <c r="CF15" i="5"/>
  <c r="CF14" i="5"/>
  <c r="CF9" i="5"/>
  <c r="CF27" i="5"/>
  <c r="CF26" i="5"/>
  <c r="CH30" i="5"/>
  <c r="CH26" i="5"/>
  <c r="CH43" i="5"/>
  <c r="CH15" i="5"/>
  <c r="CH14" i="5"/>
  <c r="CH9" i="5"/>
  <c r="CH27" i="5"/>
  <c r="BZ35" i="7"/>
  <c r="BZ37" i="7" s="1"/>
  <c r="CA56" i="6" s="1"/>
  <c r="CA54" i="5"/>
  <c r="BY35" i="7"/>
  <c r="BY37" i="7" s="1"/>
  <c r="BZ56" i="6" s="1"/>
  <c r="BZ54" i="5"/>
  <c r="BX35" i="7"/>
  <c r="BX37" i="7" s="1"/>
  <c r="BY56" i="6" s="1"/>
  <c r="BY54" i="5"/>
  <c r="CA35" i="7"/>
  <c r="CA37" i="7" s="1"/>
  <c r="CB56" i="6" s="1"/>
  <c r="CB54" i="5"/>
  <c r="CE35" i="7"/>
  <c r="CE37" i="7" s="1"/>
  <c r="CF56" i="6" s="1"/>
  <c r="CF54" i="5"/>
  <c r="CF11" i="8" s="1"/>
  <c r="BW35" i="7"/>
  <c r="BW37" i="7" s="1"/>
  <c r="BX56" i="6" s="1"/>
  <c r="BX54" i="5"/>
  <c r="CG35" i="7"/>
  <c r="CG37" i="7" s="1"/>
  <c r="CH56" i="6" s="1"/>
  <c r="CH54" i="5"/>
  <c r="CH11" i="8" s="1"/>
  <c r="CD35" i="7"/>
  <c r="CD37" i="7" s="1"/>
  <c r="CE56" i="6" s="1"/>
  <c r="CE54" i="5"/>
  <c r="CC25" i="5"/>
  <c r="CC33" i="5"/>
  <c r="CC24" i="5"/>
  <c r="CC31" i="5"/>
  <c r="CD40" i="5"/>
  <c r="CC40" i="5"/>
  <c r="BZ25" i="5"/>
  <c r="BZ33" i="5"/>
  <c r="BZ24" i="5"/>
  <c r="BZ31" i="5"/>
  <c r="BZ40" i="5"/>
  <c r="CA25" i="5"/>
  <c r="CA33" i="5"/>
  <c r="CA24" i="5"/>
  <c r="CA31" i="5"/>
  <c r="CA40" i="5"/>
  <c r="CB25" i="5"/>
  <c r="CB33" i="5"/>
  <c r="CB24" i="5"/>
  <c r="CB31" i="5"/>
  <c r="CB40" i="5"/>
  <c r="BW25" i="5"/>
  <c r="BW33" i="5"/>
  <c r="BW24" i="5"/>
  <c r="BW31" i="5"/>
  <c r="BW40" i="5"/>
  <c r="BX25" i="5"/>
  <c r="BX33" i="5"/>
  <c r="BX24" i="5"/>
  <c r="BX31" i="5"/>
  <c r="BX40" i="5"/>
  <c r="BY25" i="5"/>
  <c r="BY33" i="5"/>
  <c r="BY24" i="5"/>
  <c r="BY31" i="5"/>
  <c r="BY40" i="5"/>
  <c r="BV25" i="5"/>
  <c r="BV33" i="5"/>
  <c r="BV24" i="5"/>
  <c r="BV31" i="5"/>
  <c r="BV40" i="5"/>
  <c r="BC36" i="5"/>
  <c r="AI36" i="5"/>
  <c r="G29" i="7"/>
  <c r="G33" i="7" s="1"/>
  <c r="G35" i="7" s="1"/>
  <c r="G37" i="7" s="1"/>
  <c r="H56" i="6" s="1"/>
  <c r="H55" i="5"/>
  <c r="H12" i="8" s="1"/>
  <c r="AK36" i="5"/>
  <c r="AT36" i="5"/>
  <c r="N36" i="5"/>
  <c r="U55" i="5"/>
  <c r="U12" i="8" s="1"/>
  <c r="T29" i="7"/>
  <c r="T33" i="7" s="1"/>
  <c r="T35" i="7" s="1"/>
  <c r="T37" i="7" s="1"/>
  <c r="U56" i="6" s="1"/>
  <c r="BR36" i="5"/>
  <c r="K36" i="5"/>
  <c r="AX36" i="5"/>
  <c r="BD36" i="5"/>
  <c r="I36" i="5"/>
  <c r="Y55" i="5"/>
  <c r="Y12" i="8" s="1"/>
  <c r="D29" i="7"/>
  <c r="D33" i="7" s="1"/>
  <c r="D35" i="7" s="1"/>
  <c r="D37" i="7" s="1"/>
  <c r="E56" i="6" s="1"/>
  <c r="E55" i="5"/>
  <c r="E12" i="8" s="1"/>
  <c r="E39" i="8" s="1"/>
  <c r="AN36" i="5"/>
  <c r="AU29" i="7"/>
  <c r="AU33" i="7" s="1"/>
  <c r="AU35" i="7" s="1"/>
  <c r="AU37" i="7" s="1"/>
  <c r="AV56" i="6" s="1"/>
  <c r="AV55" i="5"/>
  <c r="AV12" i="8" s="1"/>
  <c r="AF29" i="7"/>
  <c r="AF33" i="7" s="1"/>
  <c r="AF35" i="7" s="1"/>
  <c r="AF37" i="7" s="1"/>
  <c r="AG56" i="6" s="1"/>
  <c r="AG55" i="5"/>
  <c r="AG12" i="8" s="1"/>
  <c r="AS36" i="5"/>
  <c r="AA55" i="5"/>
  <c r="AA12" i="8" s="1"/>
  <c r="Z29" i="7"/>
  <c r="Z33" i="7" s="1"/>
  <c r="Z35" i="7" s="1"/>
  <c r="Z37" i="7" s="1"/>
  <c r="AA56" i="6" s="1"/>
  <c r="AC29" i="7"/>
  <c r="AC33" i="7" s="1"/>
  <c r="AC35" i="7" s="1"/>
  <c r="AC37" i="7" s="1"/>
  <c r="AD56" i="6" s="1"/>
  <c r="AD55" i="5"/>
  <c r="AD12" i="8" s="1"/>
  <c r="BE36" i="5"/>
  <c r="BG36" i="5"/>
  <c r="AA29" i="7"/>
  <c r="AA33" i="7" s="1"/>
  <c r="AA35" i="7" s="1"/>
  <c r="AA37" i="7" s="1"/>
  <c r="AB56" i="6" s="1"/>
  <c r="AB55" i="5"/>
  <c r="AB12" i="8" s="1"/>
  <c r="I29" i="7"/>
  <c r="I33" i="7" s="1"/>
  <c r="I35" i="7" s="1"/>
  <c r="I37" i="7" s="1"/>
  <c r="J56" i="6" s="1"/>
  <c r="J55" i="5"/>
  <c r="J12" i="8" s="1"/>
  <c r="F29" i="7"/>
  <c r="F33" i="7" s="1"/>
  <c r="F35" i="7" s="1"/>
  <c r="F37" i="7" s="1"/>
  <c r="G56" i="6" s="1"/>
  <c r="G55" i="5"/>
  <c r="G12" i="8" s="1"/>
  <c r="AL29" i="7"/>
  <c r="AL33" i="7" s="1"/>
  <c r="AL35" i="7" s="1"/>
  <c r="AL37" i="7" s="1"/>
  <c r="AM56" i="6" s="1"/>
  <c r="AM55" i="5"/>
  <c r="AM12" i="8" s="1"/>
  <c r="P36" i="5"/>
  <c r="F36" i="5"/>
  <c r="S36" i="5"/>
  <c r="O55" i="5"/>
  <c r="O12" i="8" s="1"/>
  <c r="N29" i="7"/>
  <c r="N33" i="7" s="1"/>
  <c r="N35" i="7" s="1"/>
  <c r="N37" i="7" s="1"/>
  <c r="O56" i="6" s="1"/>
  <c r="AL55" i="5"/>
  <c r="AL12" i="8" s="1"/>
  <c r="BS36" i="5"/>
  <c r="AD36" i="5"/>
  <c r="BJ36" i="5"/>
  <c r="BO36" i="5"/>
  <c r="AZ40" i="5"/>
  <c r="AZ19" i="5"/>
  <c r="AJ40" i="5"/>
  <c r="AK40" i="5"/>
  <c r="AB51" i="4"/>
  <c r="AM35" i="5"/>
  <c r="AJ31" i="5"/>
  <c r="AX51" i="4"/>
  <c r="AX52" i="4" s="1"/>
  <c r="AI31" i="5"/>
  <c r="AE8" i="5"/>
  <c r="AE7" i="8" s="1"/>
  <c r="AU57" i="5"/>
  <c r="AU18" i="8" s="1"/>
  <c r="AI40" i="5"/>
  <c r="AF15" i="6"/>
  <c r="AZ8" i="5"/>
  <c r="AZ7" i="8" s="1"/>
  <c r="K34" i="5"/>
  <c r="BG33" i="5"/>
  <c r="AZ6" i="5"/>
  <c r="AZ4" i="8" s="1"/>
  <c r="BW11" i="8"/>
  <c r="AH19" i="5"/>
  <c r="AY31" i="5"/>
  <c r="AZ20" i="5"/>
  <c r="AX40" i="5"/>
  <c r="V40" i="5"/>
  <c r="T34" i="5"/>
  <c r="AN33" i="5"/>
  <c r="AH31" i="5"/>
  <c r="Q34" i="5"/>
  <c r="L5" i="6"/>
  <c r="BD31" i="5"/>
  <c r="K52" i="4"/>
  <c r="AF34" i="5"/>
  <c r="AR54" i="5"/>
  <c r="AR11" i="8" s="1"/>
  <c r="BC31" i="5"/>
  <c r="BF35" i="5"/>
  <c r="BC56" i="5"/>
  <c r="BC13" i="8" s="1"/>
  <c r="BC8" i="5"/>
  <c r="BC7" i="8" s="1"/>
  <c r="AT40" i="5"/>
  <c r="AS19" i="5"/>
  <c r="BC40" i="5"/>
  <c r="AO10" i="6"/>
  <c r="AQ25" i="5"/>
  <c r="BF33" i="5"/>
  <c r="BC19" i="5"/>
  <c r="Y6" i="5"/>
  <c r="Y4" i="8" s="1"/>
  <c r="D14" i="6"/>
  <c r="F39" i="4"/>
  <c r="F51" i="4" s="1"/>
  <c r="AE19" i="5"/>
  <c r="H31" i="5"/>
  <c r="J34" i="5"/>
  <c r="AP44" i="5"/>
  <c r="AY51" i="4"/>
  <c r="AY52" i="4" s="1"/>
  <c r="V8" i="5"/>
  <c r="V7" i="8" s="1"/>
  <c r="AV54" i="5"/>
  <c r="AV11" i="8" s="1"/>
  <c r="X20" i="5"/>
  <c r="AR57" i="5"/>
  <c r="AR18" i="8" s="1"/>
  <c r="AQ10" i="5"/>
  <c r="AQ6" i="8" s="1"/>
  <c r="L34" i="5"/>
  <c r="W35" i="5"/>
  <c r="AR5" i="6"/>
  <c r="AR27" i="5" s="1"/>
  <c r="AV57" i="5"/>
  <c r="AV18" i="8" s="1"/>
  <c r="U31" i="5"/>
  <c r="AY44" i="5"/>
  <c r="AP34" i="5"/>
  <c r="AZ15" i="5"/>
  <c r="AX44" i="5"/>
  <c r="V6" i="5"/>
  <c r="V4" i="8" s="1"/>
  <c r="K44" i="5"/>
  <c r="BE8" i="5"/>
  <c r="BE7" i="8" s="1"/>
  <c r="AZ27" i="5"/>
  <c r="AI57" i="5"/>
  <c r="AI18" i="8" s="1"/>
  <c r="W52" i="4"/>
  <c r="AF19" i="5"/>
  <c r="AV5" i="6"/>
  <c r="AV26" i="5" s="1"/>
  <c r="J44" i="5"/>
  <c r="AZ10" i="5"/>
  <c r="AZ6" i="8" s="1"/>
  <c r="AW10" i="6"/>
  <c r="U32" i="5"/>
  <c r="AF57" i="5"/>
  <c r="AF18" i="8" s="1"/>
  <c r="AZ7" i="5"/>
  <c r="AZ5" i="8" s="1"/>
  <c r="R52" i="4"/>
  <c r="BB8" i="5"/>
  <c r="BB7" i="8" s="1"/>
  <c r="AF35" i="5"/>
  <c r="B52" i="4"/>
  <c r="AD51" i="4"/>
  <c r="BA51" i="4"/>
  <c r="BA52" i="4" s="1"/>
  <c r="Y57" i="5"/>
  <c r="Y18" i="8" s="1"/>
  <c r="BB15" i="6"/>
  <c r="AS57" i="5"/>
  <c r="AS18" i="8" s="1"/>
  <c r="AF6" i="5"/>
  <c r="AF4" i="8" s="1"/>
  <c r="AL51" i="4"/>
  <c r="AL52" i="4" s="1"/>
  <c r="C57" i="5"/>
  <c r="C18" i="8" s="1"/>
  <c r="C46" i="8" s="1"/>
  <c r="AD57" i="5"/>
  <c r="AD18" i="8" s="1"/>
  <c r="BH33" i="5"/>
  <c r="AW31" i="5"/>
  <c r="AE51" i="4"/>
  <c r="AE52" i="4" s="1"/>
  <c r="BD8" i="5"/>
  <c r="BD7" i="8" s="1"/>
  <c r="AX31" i="5"/>
  <c r="C54" i="5"/>
  <c r="C11" i="8" s="1"/>
  <c r="C38" i="8" s="1"/>
  <c r="C41" i="8" s="1"/>
  <c r="BC10" i="6"/>
  <c r="F5" i="6"/>
  <c r="F27" i="5" s="1"/>
  <c r="F17" i="8" s="1"/>
  <c r="F45" i="8" s="1"/>
  <c r="AY35" i="5"/>
  <c r="U40" i="5"/>
  <c r="F57" i="5"/>
  <c r="F18" i="8" s="1"/>
  <c r="F46" i="8" s="1"/>
  <c r="BD15" i="6"/>
  <c r="AG35" i="5"/>
  <c r="T19" i="5"/>
  <c r="AB56" i="5"/>
  <c r="AB13" i="8" s="1"/>
  <c r="T31" i="5"/>
  <c r="AD54" i="5"/>
  <c r="AD11" i="8" s="1"/>
  <c r="AD5" i="6"/>
  <c r="AD27" i="5" s="1"/>
  <c r="BE35" i="5"/>
  <c r="C5" i="6"/>
  <c r="C14" i="5" s="1"/>
  <c r="C20" i="8" s="1"/>
  <c r="C49" i="8" s="1"/>
  <c r="BS42" i="5"/>
  <c r="BE6" i="5"/>
  <c r="BE4" i="8" s="1"/>
  <c r="AQ57" i="5"/>
  <c r="AQ18" i="8" s="1"/>
  <c r="AI20" i="5"/>
  <c r="AP52" i="4"/>
  <c r="AT54" i="5"/>
  <c r="AT11" i="8" s="1"/>
  <c r="AI15" i="6"/>
  <c r="AI10" i="5" s="1"/>
  <c r="AI6" i="8" s="1"/>
  <c r="BM34" i="5"/>
  <c r="AQ8" i="5"/>
  <c r="AQ7" i="8" s="1"/>
  <c r="Y21" i="5"/>
  <c r="AQ35" i="5"/>
  <c r="P44" i="5"/>
  <c r="L52" i="4"/>
  <c r="X52" i="4"/>
  <c r="AD44" i="5"/>
  <c r="BM51" i="4"/>
  <c r="BM52" i="4" s="1"/>
  <c r="AI8" i="5"/>
  <c r="AI7" i="8" s="1"/>
  <c r="AK5" i="6"/>
  <c r="AK14" i="5" s="1"/>
  <c r="BE20" i="5"/>
  <c r="AI56" i="5"/>
  <c r="AI13" i="8" s="1"/>
  <c r="Y56" i="5"/>
  <c r="Y13" i="8" s="1"/>
  <c r="AS54" i="5"/>
  <c r="AS11" i="8" s="1"/>
  <c r="AS5" i="6"/>
  <c r="AS26" i="5" s="1"/>
  <c r="AJ20" i="5"/>
  <c r="AQ54" i="5"/>
  <c r="AQ11" i="8" s="1"/>
  <c r="AK56" i="5"/>
  <c r="AK13" i="8" s="1"/>
  <c r="BA35" i="5"/>
  <c r="BE15" i="6"/>
  <c r="AU15" i="6"/>
  <c r="BA15" i="6"/>
  <c r="AQ15" i="5"/>
  <c r="AT57" i="5"/>
  <c r="AT18" i="8" s="1"/>
  <c r="BB35" i="5"/>
  <c r="AQ56" i="5"/>
  <c r="AQ13" i="8" s="1"/>
  <c r="Y26" i="5"/>
  <c r="E34" i="5"/>
  <c r="Y54" i="5"/>
  <c r="Y11" i="8" s="1"/>
  <c r="AT5" i="6"/>
  <c r="AT7" i="5" s="1"/>
  <c r="AT5" i="8" s="1"/>
  <c r="AJ51" i="4"/>
  <c r="AJ52" i="4" s="1"/>
  <c r="AM19" i="5"/>
  <c r="AP5" i="6"/>
  <c r="AP27" i="5" s="1"/>
  <c r="BB52" i="4"/>
  <c r="AN40" i="5"/>
  <c r="AM8" i="5"/>
  <c r="AM7" i="8" s="1"/>
  <c r="AH10" i="6"/>
  <c r="X5" i="6"/>
  <c r="X26" i="5" s="1"/>
  <c r="J19" i="5"/>
  <c r="L8" i="5"/>
  <c r="L7" i="8" s="1"/>
  <c r="CB13" i="8"/>
  <c r="AC51" i="4"/>
  <c r="AC52" i="4" s="1"/>
  <c r="P34" i="5"/>
  <c r="L15" i="6"/>
  <c r="L57" i="5"/>
  <c r="L18" i="8" s="1"/>
  <c r="BN40" i="5"/>
  <c r="BN19" i="5"/>
  <c r="AM40" i="5"/>
  <c r="AN52" i="4"/>
  <c r="F16" i="5"/>
  <c r="F9" i="8" s="1"/>
  <c r="F35" i="8" s="1"/>
  <c r="F36" i="8" s="1"/>
  <c r="F45" i="6"/>
  <c r="AV20" i="5"/>
  <c r="AE34" i="5"/>
  <c r="AR20" i="5"/>
  <c r="BT31" i="5"/>
  <c r="AU20" i="5"/>
  <c r="Y9" i="5"/>
  <c r="BC21" i="5"/>
  <c r="BC24" i="5"/>
  <c r="M8" i="5"/>
  <c r="M7" i="8" s="1"/>
  <c r="Y25" i="5"/>
  <c r="M35" i="5"/>
  <c r="BJ40" i="5"/>
  <c r="BC26" i="5"/>
  <c r="Y24" i="5"/>
  <c r="M6" i="5"/>
  <c r="M4" i="8" s="1"/>
  <c r="AH8" i="5"/>
  <c r="AH7" i="8" s="1"/>
  <c r="F26" i="5"/>
  <c r="M20" i="5"/>
  <c r="BJ19" i="5"/>
  <c r="BC27" i="5"/>
  <c r="AH15" i="6"/>
  <c r="BC9" i="5"/>
  <c r="Y15" i="5"/>
  <c r="Y27" i="5"/>
  <c r="AP6" i="5"/>
  <c r="AP4" i="8" s="1"/>
  <c r="M34" i="5"/>
  <c r="AQ9" i="5"/>
  <c r="L44" i="5"/>
  <c r="D44" i="5"/>
  <c r="AF44" i="5"/>
  <c r="AQ14" i="5"/>
  <c r="AU44" i="5"/>
  <c r="Q44" i="5"/>
  <c r="AI35" i="5"/>
  <c r="U34" i="5"/>
  <c r="AQ24" i="5"/>
  <c r="AQ27" i="5"/>
  <c r="AQ7" i="5"/>
  <c r="AQ5" i="8" s="1"/>
  <c r="C34" i="5"/>
  <c r="D20" i="5"/>
  <c r="D23" i="8" s="1"/>
  <c r="D52" i="8" s="1"/>
  <c r="R44" i="5"/>
  <c r="AC20" i="5"/>
  <c r="AQ6" i="5"/>
  <c r="AQ4" i="8" s="1"/>
  <c r="R34" i="5"/>
  <c r="AB20" i="5"/>
  <c r="I40" i="5"/>
  <c r="AN20" i="5"/>
  <c r="AH35" i="5"/>
  <c r="W6" i="5"/>
  <c r="W4" i="8" s="1"/>
  <c r="AL44" i="5"/>
  <c r="AD7" i="5"/>
  <c r="AD5" i="8" s="1"/>
  <c r="AR35" i="5"/>
  <c r="AE44" i="5"/>
  <c r="BC7" i="5"/>
  <c r="BC5" i="8" s="1"/>
  <c r="BD20" i="5"/>
  <c r="AY20" i="5"/>
  <c r="AR15" i="6"/>
  <c r="Z15" i="6"/>
  <c r="AU34" i="5"/>
  <c r="AY34" i="5"/>
  <c r="AD20" i="5"/>
  <c r="AY15" i="6"/>
  <c r="D34" i="5"/>
  <c r="AT6" i="5"/>
  <c r="AT4" i="8" s="1"/>
  <c r="D15" i="6"/>
  <c r="AC35" i="5"/>
  <c r="AG8" i="5"/>
  <c r="AG7" i="8" s="1"/>
  <c r="AD14" i="5"/>
  <c r="AD34" i="5"/>
  <c r="BG6" i="5"/>
  <c r="BG4" i="8" s="1"/>
  <c r="BF20" i="5"/>
  <c r="AM6" i="5"/>
  <c r="AM4" i="8" s="1"/>
  <c r="AY8" i="5"/>
  <c r="AY7" i="8" s="1"/>
  <c r="F14" i="5"/>
  <c r="F20" i="8" s="1"/>
  <c r="F49" i="8" s="1"/>
  <c r="AY33" i="5"/>
  <c r="AZ34" i="5"/>
  <c r="AE35" i="5"/>
  <c r="BF6" i="5"/>
  <c r="BF4" i="8" s="1"/>
  <c r="D6" i="5"/>
  <c r="D4" i="8" s="1"/>
  <c r="D29" i="8" s="1"/>
  <c r="Z20" i="5"/>
  <c r="AC19" i="5"/>
  <c r="M19" i="5"/>
  <c r="X35" i="5"/>
  <c r="H32" i="5"/>
  <c r="L10" i="5"/>
  <c r="L6" i="8" s="1"/>
  <c r="AJ19" i="5"/>
  <c r="AF20" i="5"/>
  <c r="AG33" i="5"/>
  <c r="AY6" i="5"/>
  <c r="AY4" i="8" s="1"/>
  <c r="Z34" i="5"/>
  <c r="AM15" i="6"/>
  <c r="AF31" i="5"/>
  <c r="F9" i="5"/>
  <c r="F15" i="6"/>
  <c r="F10" i="5" s="1"/>
  <c r="F6" i="8" s="1"/>
  <c r="F31" i="8" s="1"/>
  <c r="AE20" i="5"/>
  <c r="U44" i="5"/>
  <c r="AT34" i="5"/>
  <c r="AZ35" i="5"/>
  <c r="AM44" i="5"/>
  <c r="Z35" i="5"/>
  <c r="BG35" i="5"/>
  <c r="BC34" i="5"/>
  <c r="BI33" i="5"/>
  <c r="AK20" i="5"/>
  <c r="AE6" i="5"/>
  <c r="AE4" i="8" s="1"/>
  <c r="AF40" i="5"/>
  <c r="AM20" i="5"/>
  <c r="M44" i="5"/>
  <c r="BP51" i="4"/>
  <c r="BP52" i="4" s="1"/>
  <c r="AX35" i="5"/>
  <c r="AL35" i="5"/>
  <c r="AK35" i="5"/>
  <c r="W15" i="6"/>
  <c r="AD25" i="5"/>
  <c r="AD24" i="5"/>
  <c r="BI51" i="4"/>
  <c r="BI52" i="4" s="1"/>
  <c r="AK8" i="5"/>
  <c r="AK7" i="8" s="1"/>
  <c r="P52" i="4"/>
  <c r="O52" i="4"/>
  <c r="V44" i="5"/>
  <c r="X56" i="5"/>
  <c r="X13" i="8" s="1"/>
  <c r="Y15" i="6"/>
  <c r="Y10" i="5" s="1"/>
  <c r="Y6" i="8" s="1"/>
  <c r="BC20" i="5"/>
  <c r="AJ15" i="6"/>
  <c r="AK6" i="5"/>
  <c r="AK4" i="8" s="1"/>
  <c r="BG20" i="5"/>
  <c r="BC15" i="6"/>
  <c r="BC10" i="5" s="1"/>
  <c r="BC6" i="8" s="1"/>
  <c r="Y35" i="5"/>
  <c r="W8" i="5"/>
  <c r="W7" i="8" s="1"/>
  <c r="AD8" i="5"/>
  <c r="AD7" i="8" s="1"/>
  <c r="AU54" i="5"/>
  <c r="AU11" i="8" s="1"/>
  <c r="BE33" i="5"/>
  <c r="BG8" i="5"/>
  <c r="BG7" i="8" s="1"/>
  <c r="AN8" i="5"/>
  <c r="AN7" i="8" s="1"/>
  <c r="AJ35" i="5"/>
  <c r="BD35" i="5"/>
  <c r="AD26" i="5"/>
  <c r="AD21" i="5"/>
  <c r="AD35" i="5"/>
  <c r="BC6" i="5"/>
  <c r="BC4" i="8" s="1"/>
  <c r="AP56" i="5"/>
  <c r="AP13" i="8" s="1"/>
  <c r="L7" i="5"/>
  <c r="L5" i="8" s="1"/>
  <c r="AJ6" i="5"/>
  <c r="AJ4" i="8" s="1"/>
  <c r="AH52" i="4"/>
  <c r="AD15" i="6"/>
  <c r="AD10" i="5" s="1"/>
  <c r="AD6" i="8" s="1"/>
  <c r="AW6" i="5"/>
  <c r="AW4" i="8" s="1"/>
  <c r="AA52" i="4"/>
  <c r="R54" i="5"/>
  <c r="R11" i="8" s="1"/>
  <c r="BR44" i="5"/>
  <c r="BC35" i="5"/>
  <c r="G52" i="4"/>
  <c r="F52" i="4"/>
  <c r="BL33" i="5"/>
  <c r="BT20" i="5"/>
  <c r="BF15" i="6"/>
  <c r="Y7" i="5"/>
  <c r="Y5" i="8" s="1"/>
  <c r="AZ24" i="5"/>
  <c r="F21" i="5"/>
  <c r="G56" i="5"/>
  <c r="G13" i="8" s="1"/>
  <c r="AZ25" i="5"/>
  <c r="AE33" i="5"/>
  <c r="BA20" i="5"/>
  <c r="AG6" i="5"/>
  <c r="AG4" i="8" s="1"/>
  <c r="AG15" i="6"/>
  <c r="CC18" i="8"/>
  <c r="S57" i="5"/>
  <c r="S18" i="8" s="1"/>
  <c r="AV52" i="4"/>
  <c r="C20" i="5"/>
  <c r="C23" i="8" s="1"/>
  <c r="C52" i="8" s="1"/>
  <c r="D35" i="5"/>
  <c r="C8" i="5"/>
  <c r="C7" i="8" s="1"/>
  <c r="C32" i="8" s="1"/>
  <c r="C35" i="5"/>
  <c r="C15" i="6"/>
  <c r="C6" i="5"/>
  <c r="C4" i="8" s="1"/>
  <c r="C29" i="8" s="1"/>
  <c r="AW57" i="5"/>
  <c r="AW18" i="8" s="1"/>
  <c r="L24" i="5"/>
  <c r="F7" i="5"/>
  <c r="F5" i="8" s="1"/>
  <c r="F30" i="8" s="1"/>
  <c r="AM51" i="4"/>
  <c r="AM52" i="4" s="1"/>
  <c r="BO44" i="5"/>
  <c r="AW8" i="5"/>
  <c r="AW7" i="8" s="1"/>
  <c r="AC54" i="5"/>
  <c r="AC11" i="8" s="1"/>
  <c r="AW40" i="5"/>
  <c r="AW5" i="6"/>
  <c r="L26" i="5"/>
  <c r="AH44" i="5"/>
  <c r="AT25" i="5"/>
  <c r="L14" i="5"/>
  <c r="AB35" i="5"/>
  <c r="D56" i="5"/>
  <c r="D13" i="8" s="1"/>
  <c r="D40" i="8" s="1"/>
  <c r="AW56" i="5"/>
  <c r="AW13" i="8" s="1"/>
  <c r="L15" i="5"/>
  <c r="AW19" i="5"/>
  <c r="Q52" i="4"/>
  <c r="AC44" i="5"/>
  <c r="H19" i="5"/>
  <c r="L21" i="5"/>
  <c r="AC57" i="5"/>
  <c r="AC18" i="8" s="1"/>
  <c r="AC56" i="5"/>
  <c r="AC13" i="8" s="1"/>
  <c r="AC5" i="6"/>
  <c r="O56" i="5"/>
  <c r="O13" i="8" s="1"/>
  <c r="AL5" i="6"/>
  <c r="AL56" i="5"/>
  <c r="AL13" i="8" s="1"/>
  <c r="AB15" i="6"/>
  <c r="AN35" i="5"/>
  <c r="AT44" i="5"/>
  <c r="D57" i="5"/>
  <c r="D18" i="8" s="1"/>
  <c r="D46" i="8" s="1"/>
  <c r="AW54" i="5"/>
  <c r="AW11" i="8" s="1"/>
  <c r="AB44" i="5"/>
  <c r="L25" i="5"/>
  <c r="AL34" i="5"/>
  <c r="T52" i="4"/>
  <c r="W20" i="5"/>
  <c r="G43" i="5"/>
  <c r="Q57" i="5"/>
  <c r="Q18" i="8" s="1"/>
  <c r="Q5" i="6"/>
  <c r="Q7" i="5" s="1"/>
  <c r="Q5" i="8" s="1"/>
  <c r="Q56" i="5"/>
  <c r="Q13" i="8" s="1"/>
  <c r="I31" i="5"/>
  <c r="H40" i="5"/>
  <c r="BE51" i="4"/>
  <c r="BE52" i="4" s="1"/>
  <c r="AN6" i="5"/>
  <c r="AN4" i="8" s="1"/>
  <c r="R57" i="5"/>
  <c r="R18" i="8" s="1"/>
  <c r="AC34" i="5"/>
  <c r="AT20" i="5"/>
  <c r="O15" i="6"/>
  <c r="O10" i="5" s="1"/>
  <c r="O6" i="8" s="1"/>
  <c r="AK51" i="4"/>
  <c r="AK52" i="4" s="1"/>
  <c r="AW20" i="5"/>
  <c r="BZ52" i="4"/>
  <c r="AP10" i="6"/>
  <c r="AO51" i="4"/>
  <c r="AO52" i="4" s="1"/>
  <c r="E6" i="6"/>
  <c r="E19" i="5" s="1"/>
  <c r="E22" i="8" s="1"/>
  <c r="E51" i="8" s="1"/>
  <c r="E48" i="5"/>
  <c r="E16" i="8" s="1"/>
  <c r="E44" i="8" s="1"/>
  <c r="R5" i="6"/>
  <c r="R26" i="5" s="1"/>
  <c r="AU35" i="5"/>
  <c r="Y43" i="5"/>
  <c r="AT15" i="6"/>
  <c r="AN15" i="6"/>
  <c r="O8" i="5"/>
  <c r="O7" i="8" s="1"/>
  <c r="AX34" i="5"/>
  <c r="CA52" i="4"/>
  <c r="AK44" i="5"/>
  <c r="AR34" i="5"/>
  <c r="AB8" i="5"/>
  <c r="AB7" i="8" s="1"/>
  <c r="C52" i="4"/>
  <c r="R56" i="5"/>
  <c r="R13" i="8" s="1"/>
  <c r="V20" i="5"/>
  <c r="AB52" i="4"/>
  <c r="BH44" i="5"/>
  <c r="BH34" i="5"/>
  <c r="BK10" i="6"/>
  <c r="AU5" i="6"/>
  <c r="AU7" i="5" s="1"/>
  <c r="AU5" i="8" s="1"/>
  <c r="AP15" i="6"/>
  <c r="G54" i="5"/>
  <c r="G11" i="8" s="1"/>
  <c r="L9" i="5"/>
  <c r="L27" i="5"/>
  <c r="AP54" i="5"/>
  <c r="AP11" i="8" s="1"/>
  <c r="AV15" i="6"/>
  <c r="AV6" i="5"/>
  <c r="AV4" i="8" s="1"/>
  <c r="AV35" i="5"/>
  <c r="AY5" i="6"/>
  <c r="AZ30" i="5" s="1"/>
  <c r="AY56" i="5"/>
  <c r="AY13" i="8" s="1"/>
  <c r="AH40" i="5"/>
  <c r="E44" i="5"/>
  <c r="AG31" i="5"/>
  <c r="AX54" i="5"/>
  <c r="AX11" i="8" s="1"/>
  <c r="AG40" i="5"/>
  <c r="AW35" i="5"/>
  <c r="G57" i="5"/>
  <c r="G18" i="8" s="1"/>
  <c r="AL15" i="6"/>
  <c r="AL6" i="5"/>
  <c r="AL4" i="8" s="1"/>
  <c r="AL20" i="5"/>
  <c r="BC51" i="4"/>
  <c r="BC52" i="4" s="1"/>
  <c r="BD10" i="6"/>
  <c r="K40" i="5"/>
  <c r="J31" i="5"/>
  <c r="AA40" i="5"/>
  <c r="Z19" i="5"/>
  <c r="Z31" i="5"/>
  <c r="Z40" i="5"/>
  <c r="AA56" i="5"/>
  <c r="AA13" i="8" s="1"/>
  <c r="AA5" i="6"/>
  <c r="BT33" i="5"/>
  <c r="BS57" i="5"/>
  <c r="BS18" i="8" s="1"/>
  <c r="J40" i="5"/>
  <c r="K31" i="5"/>
  <c r="AP20" i="5"/>
  <c r="AH20" i="5"/>
  <c r="AU51" i="4"/>
  <c r="AU52" i="4" s="1"/>
  <c r="AV10" i="6"/>
  <c r="S5" i="6"/>
  <c r="S54" i="5"/>
  <c r="S11" i="8" s="1"/>
  <c r="S56" i="5"/>
  <c r="S13" i="8" s="1"/>
  <c r="AZ54" i="5"/>
  <c r="AZ11" i="8" s="1"/>
  <c r="AV8" i="5"/>
  <c r="AV7" i="8" s="1"/>
  <c r="BV18" i="8"/>
  <c r="Z8" i="5"/>
  <c r="Z7" i="8" s="1"/>
  <c r="AM54" i="5"/>
  <c r="AM11" i="8" s="1"/>
  <c r="AM5" i="6"/>
  <c r="AM26" i="5" s="1"/>
  <c r="AX15" i="6"/>
  <c r="AX6" i="5"/>
  <c r="AX4" i="8" s="1"/>
  <c r="P5" i="6"/>
  <c r="P43" i="5" s="1"/>
  <c r="Q54" i="5"/>
  <c r="Q11" i="8" s="1"/>
  <c r="P56" i="5"/>
  <c r="P13" i="8" s="1"/>
  <c r="BE34" i="5"/>
  <c r="BE44" i="5"/>
  <c r="AO57" i="5"/>
  <c r="AO18" i="8" s="1"/>
  <c r="AO56" i="5"/>
  <c r="AO13" i="8" s="1"/>
  <c r="AO5" i="6"/>
  <c r="AO7" i="5" s="1"/>
  <c r="AO5" i="8" s="1"/>
  <c r="BS5" i="6"/>
  <c r="BS15" i="5" s="1"/>
  <c r="AK54" i="5"/>
  <c r="AK11" i="8" s="1"/>
  <c r="AB5" i="6"/>
  <c r="AB15" i="5" s="1"/>
  <c r="AM57" i="5"/>
  <c r="AM18" i="8" s="1"/>
  <c r="BB34" i="5"/>
  <c r="BB44" i="5"/>
  <c r="AZ26" i="5"/>
  <c r="AZ9" i="5"/>
  <c r="BC44" i="5"/>
  <c r="BK19" i="5"/>
  <c r="Y20" i="5"/>
  <c r="Z52" i="4"/>
  <c r="BD34" i="5"/>
  <c r="BD44" i="5"/>
  <c r="AC6" i="5"/>
  <c r="AC4" i="8" s="1"/>
  <c r="AC7" i="5"/>
  <c r="AC5" i="8" s="1"/>
  <c r="AC15" i="6"/>
  <c r="CD18" i="8"/>
  <c r="CE11" i="8"/>
  <c r="CD13" i="8"/>
  <c r="CC11" i="8"/>
  <c r="CD11" i="8"/>
  <c r="BZ18" i="8"/>
  <c r="CA18" i="8"/>
  <c r="CA11" i="8"/>
  <c r="CA13" i="8"/>
  <c r="BY52" i="4"/>
  <c r="CB11" i="8"/>
  <c r="BL51" i="4"/>
  <c r="BL52" i="4" s="1"/>
  <c r="K20" i="5"/>
  <c r="AG52" i="4"/>
  <c r="F15" i="5"/>
  <c r="F21" i="8" s="1"/>
  <c r="F50" i="8" s="1"/>
  <c r="AS34" i="5"/>
  <c r="AZ44" i="5"/>
  <c r="BA34" i="5"/>
  <c r="BA44" i="5"/>
  <c r="AZ21" i="5"/>
  <c r="AG34" i="5"/>
  <c r="AG44" i="5"/>
  <c r="AI26" i="5"/>
  <c r="AI15" i="5"/>
  <c r="AI24" i="5"/>
  <c r="AI14" i="5"/>
  <c r="AI27" i="5"/>
  <c r="AI9" i="5"/>
  <c r="AI7" i="5"/>
  <c r="AI5" i="8" s="1"/>
  <c r="BQ51" i="4"/>
  <c r="BQ52" i="4" s="1"/>
  <c r="AG20" i="5"/>
  <c r="AG19" i="5"/>
  <c r="BC14" i="5"/>
  <c r="BC15" i="5"/>
  <c r="J5" i="6"/>
  <c r="J7" i="5" s="1"/>
  <c r="J5" i="8" s="1"/>
  <c r="J56" i="5"/>
  <c r="J13" i="8" s="1"/>
  <c r="I52" i="4"/>
  <c r="X24" i="5"/>
  <c r="X14" i="5"/>
  <c r="BC57" i="5"/>
  <c r="BC18" i="8" s="1"/>
  <c r="BS14" i="6"/>
  <c r="BS15" i="6" s="1"/>
  <c r="AS44" i="5"/>
  <c r="H56" i="5"/>
  <c r="H13" i="8" s="1"/>
  <c r="BV13" i="8"/>
  <c r="BV11" i="8"/>
  <c r="U6" i="5"/>
  <c r="U4" i="8" s="1"/>
  <c r="V35" i="5"/>
  <c r="U15" i="6"/>
  <c r="F25" i="5"/>
  <c r="G27" i="5"/>
  <c r="G14" i="5"/>
  <c r="G30" i="5"/>
  <c r="G25" i="5"/>
  <c r="G15" i="5"/>
  <c r="G9" i="5"/>
  <c r="G26" i="5"/>
  <c r="G24" i="5"/>
  <c r="H5" i="6"/>
  <c r="H9" i="5" s="1"/>
  <c r="BG56" i="5"/>
  <c r="BG13" i="8" s="1"/>
  <c r="BG57" i="5"/>
  <c r="BG18" i="8" s="1"/>
  <c r="BG5" i="6"/>
  <c r="D52" i="4"/>
  <c r="AH57" i="5"/>
  <c r="AH18" i="8" s="1"/>
  <c r="AH5" i="6"/>
  <c r="AH56" i="5"/>
  <c r="AH13" i="8" s="1"/>
  <c r="AI54" i="5"/>
  <c r="AI11" i="8" s="1"/>
  <c r="AJ5" i="6"/>
  <c r="AJ56" i="5"/>
  <c r="AJ13" i="8" s="1"/>
  <c r="AJ54" i="5"/>
  <c r="AJ11" i="8" s="1"/>
  <c r="AA7" i="5"/>
  <c r="AA5" i="8" s="1"/>
  <c r="AA15" i="6"/>
  <c r="AA6" i="5"/>
  <c r="AA4" i="8" s="1"/>
  <c r="AA35" i="5"/>
  <c r="AA8" i="5"/>
  <c r="AA7" i="8" s="1"/>
  <c r="BR34" i="5"/>
  <c r="AI19" i="5"/>
  <c r="H54" i="5"/>
  <c r="H11" i="8" s="1"/>
  <c r="BX18" i="8"/>
  <c r="BX13" i="8"/>
  <c r="BX11" i="8"/>
  <c r="AH34" i="5"/>
  <c r="U56" i="5"/>
  <c r="U13" i="8" s="1"/>
  <c r="U5" i="6"/>
  <c r="I34" i="5"/>
  <c r="I44" i="5"/>
  <c r="AA20" i="5"/>
  <c r="AX5" i="6"/>
  <c r="AX56" i="5"/>
  <c r="AX13" i="8" s="1"/>
  <c r="AY54" i="5"/>
  <c r="AY11" i="8" s="1"/>
  <c r="F34" i="5"/>
  <c r="BH35" i="5"/>
  <c r="BH15" i="6"/>
  <c r="BH6" i="5"/>
  <c r="BH4" i="8" s="1"/>
  <c r="AO44" i="5"/>
  <c r="AO34" i="5"/>
  <c r="M56" i="5"/>
  <c r="M13" i="8" s="1"/>
  <c r="M57" i="5"/>
  <c r="M18" i="8" s="1"/>
  <c r="M5" i="6"/>
  <c r="M54" i="5"/>
  <c r="M11" i="8" s="1"/>
  <c r="AV32" i="5"/>
  <c r="AU32" i="5"/>
  <c r="U57" i="5"/>
  <c r="U18" i="8" s="1"/>
  <c r="N52" i="4"/>
  <c r="O57" i="5"/>
  <c r="O18" i="8" s="1"/>
  <c r="P54" i="5"/>
  <c r="P11" i="8" s="1"/>
  <c r="F44" i="5"/>
  <c r="F32" i="5"/>
  <c r="G32" i="5"/>
  <c r="E54" i="5"/>
  <c r="E11" i="8" s="1"/>
  <c r="E38" i="8" s="1"/>
  <c r="E56" i="5"/>
  <c r="E13" i="8" s="1"/>
  <c r="E40" i="8" s="1"/>
  <c r="E5" i="6"/>
  <c r="E7" i="5" s="1"/>
  <c r="E5" i="8" s="1"/>
  <c r="E30" i="8" s="1"/>
  <c r="BZ11" i="8"/>
  <c r="BY18" i="8"/>
  <c r="BY13" i="8"/>
  <c r="BY11" i="8"/>
  <c r="AU6" i="6"/>
  <c r="AU7" i="6"/>
  <c r="AT39" i="4"/>
  <c r="AQ19" i="5"/>
  <c r="AQ20" i="5"/>
  <c r="F48" i="5"/>
  <c r="F16" i="8" s="1"/>
  <c r="F44" i="8" s="1"/>
  <c r="F6" i="6"/>
  <c r="F19" i="5" s="1"/>
  <c r="F22" i="8" s="1"/>
  <c r="F51" i="8" s="1"/>
  <c r="E39" i="4"/>
  <c r="E51" i="4" s="1"/>
  <c r="E52" i="4" s="1"/>
  <c r="AL57" i="5"/>
  <c r="AL18" i="8" s="1"/>
  <c r="AL54" i="5"/>
  <c r="AL11" i="8" s="1"/>
  <c r="F54" i="5"/>
  <c r="F11" i="8" s="1"/>
  <c r="F38" i="8" s="1"/>
  <c r="F41" i="8" s="1"/>
  <c r="BU57" i="5"/>
  <c r="BU18" i="8" s="1"/>
  <c r="BU5" i="6"/>
  <c r="BU15" i="6"/>
  <c r="BR15" i="6"/>
  <c r="BR10" i="5" s="1"/>
  <c r="BR6" i="8" s="1"/>
  <c r="BK36" i="5"/>
  <c r="BH29" i="7"/>
  <c r="BH33" i="7" s="1"/>
  <c r="BH35" i="7" s="1"/>
  <c r="BH37" i="7" s="1"/>
  <c r="BI56" i="6" s="1"/>
  <c r="BI55" i="5"/>
  <c r="BI12" i="8" s="1"/>
  <c r="BP29" i="7"/>
  <c r="BP33" i="7" s="1"/>
  <c r="BP35" i="7" s="1"/>
  <c r="BP37" i="7" s="1"/>
  <c r="BQ56" i="6" s="1"/>
  <c r="BQ55" i="5"/>
  <c r="BQ12" i="8" s="1"/>
  <c r="BI29" i="7"/>
  <c r="BI33" i="7" s="1"/>
  <c r="BI35" i="7" s="1"/>
  <c r="BI37" i="7" s="1"/>
  <c r="BJ56" i="6" s="1"/>
  <c r="BJ55" i="5"/>
  <c r="BJ12" i="8" s="1"/>
  <c r="BJ29" i="7"/>
  <c r="BJ33" i="7" s="1"/>
  <c r="BJ35" i="7" s="1"/>
  <c r="BJ37" i="7" s="1"/>
  <c r="BK56" i="6" s="1"/>
  <c r="BK55" i="5"/>
  <c r="BK12" i="8" s="1"/>
  <c r="BN29" i="7"/>
  <c r="BN33" i="7" s="1"/>
  <c r="BN35" i="7" s="1"/>
  <c r="BN37" i="7" s="1"/>
  <c r="BO56" i="6" s="1"/>
  <c r="BO55" i="5"/>
  <c r="BO12" i="8" s="1"/>
  <c r="BQ33" i="5"/>
  <c r="BR33" i="5"/>
  <c r="BL36" i="5"/>
  <c r="BM36" i="5"/>
  <c r="BN36" i="5"/>
  <c r="BL29" i="7"/>
  <c r="BL33" i="7" s="1"/>
  <c r="BL35" i="7" s="1"/>
  <c r="BL37" i="7" s="1"/>
  <c r="BM56" i="6" s="1"/>
  <c r="BM55" i="5"/>
  <c r="BM12" i="8" s="1"/>
  <c r="BP36" i="5"/>
  <c r="BK29" i="7"/>
  <c r="BK33" i="7" s="1"/>
  <c r="BK35" i="7" s="1"/>
  <c r="BK37" i="7" s="1"/>
  <c r="BL56" i="6" s="1"/>
  <c r="BL55" i="5"/>
  <c r="BL12" i="8" s="1"/>
  <c r="BO29" i="7"/>
  <c r="BO33" i="7" s="1"/>
  <c r="BO35" i="7" s="1"/>
  <c r="BO37" i="7" s="1"/>
  <c r="BP56" i="6" s="1"/>
  <c r="BP55" i="5"/>
  <c r="BP12" i="8" s="1"/>
  <c r="BT15" i="6"/>
  <c r="BU35" i="5"/>
  <c r="BM19" i="5"/>
  <c r="BR52" i="4"/>
  <c r="BU36" i="5"/>
  <c r="BU34" i="5"/>
  <c r="BU33" i="5"/>
  <c r="BF34" i="5"/>
  <c r="BF44" i="5"/>
  <c r="BG34" i="5"/>
  <c r="BG44" i="5"/>
  <c r="BA5" i="6"/>
  <c r="BA24" i="5" s="1"/>
  <c r="BA57" i="5"/>
  <c r="BA18" i="8" s="1"/>
  <c r="BA56" i="5"/>
  <c r="BA13" i="8" s="1"/>
  <c r="BA54" i="5"/>
  <c r="BA11" i="8" s="1"/>
  <c r="AX20" i="5"/>
  <c r="AX19" i="5"/>
  <c r="AV44" i="5"/>
  <c r="AV34" i="5"/>
  <c r="AW34" i="5"/>
  <c r="AW44" i="5"/>
  <c r="AX10" i="6"/>
  <c r="AW51" i="4"/>
  <c r="AW52" i="4" s="1"/>
  <c r="AS10" i="6"/>
  <c r="AR51" i="4"/>
  <c r="AT10" i="6"/>
  <c r="AS51" i="4"/>
  <c r="AS52" i="4" s="1"/>
  <c r="AG10" i="6"/>
  <c r="AF51" i="4"/>
  <c r="AF52" i="4" s="1"/>
  <c r="R20" i="5"/>
  <c r="R6" i="5"/>
  <c r="R4" i="8" s="1"/>
  <c r="R15" i="6"/>
  <c r="S34" i="5"/>
  <c r="S44" i="5"/>
  <c r="T44" i="5"/>
  <c r="O34" i="5"/>
  <c r="O44" i="5"/>
  <c r="N44" i="5"/>
  <c r="N34" i="5"/>
  <c r="BU20" i="5"/>
  <c r="BU8" i="5"/>
  <c r="BU7" i="8" s="1"/>
  <c r="BU6" i="5"/>
  <c r="BU4" i="8" s="1"/>
  <c r="BT51" i="4"/>
  <c r="BT52" i="4" s="1"/>
  <c r="BU10" i="6"/>
  <c r="BU44" i="5"/>
  <c r="BU56" i="5"/>
  <c r="BU13" i="8" s="1"/>
  <c r="BU55" i="5"/>
  <c r="BU12" i="8" s="1"/>
  <c r="BU56" i="6"/>
  <c r="BT55" i="5"/>
  <c r="BT12" i="8" s="1"/>
  <c r="BQ29" i="7"/>
  <c r="BQ33" i="7" s="1"/>
  <c r="BQ35" i="7" s="1"/>
  <c r="BQ37" i="7" s="1"/>
  <c r="BR56" i="6" s="1"/>
  <c r="BR55" i="5"/>
  <c r="BR12" i="8" s="1"/>
  <c r="BR29" i="7"/>
  <c r="BR33" i="7" s="1"/>
  <c r="BR35" i="7" s="1"/>
  <c r="BR37" i="7" s="1"/>
  <c r="BS56" i="6" s="1"/>
  <c r="BS55" i="5"/>
  <c r="BS12" i="8" s="1"/>
  <c r="BT36" i="5"/>
  <c r="BI6" i="5"/>
  <c r="BI4" i="8" s="1"/>
  <c r="BI8" i="5"/>
  <c r="BI7" i="8" s="1"/>
  <c r="BI15" i="6"/>
  <c r="BI35" i="5"/>
  <c r="BO19" i="5"/>
  <c r="BK31" i="5"/>
  <c r="BK40" i="5"/>
  <c r="G19" i="5"/>
  <c r="G20" i="5"/>
  <c r="G8" i="5"/>
  <c r="G15" i="6"/>
  <c r="G10" i="5" s="1"/>
  <c r="G35" i="5"/>
  <c r="G6" i="5"/>
  <c r="G7" i="5"/>
  <c r="BB56" i="5"/>
  <c r="BB13" i="8" s="1"/>
  <c r="BB54" i="5"/>
  <c r="BB11" i="8" s="1"/>
  <c r="BB5" i="6"/>
  <c r="BB57" i="5"/>
  <c r="BB18" i="8" s="1"/>
  <c r="O19" i="5"/>
  <c r="O20" i="5"/>
  <c r="AE56" i="5"/>
  <c r="AE13" i="8" s="1"/>
  <c r="AE54" i="5"/>
  <c r="AE11" i="8" s="1"/>
  <c r="AE5" i="6"/>
  <c r="AF30" i="5" s="1"/>
  <c r="AE57" i="5"/>
  <c r="AE18" i="8" s="1"/>
  <c r="AD52" i="4"/>
  <c r="AF54" i="5"/>
  <c r="AF11" i="8" s="1"/>
  <c r="AR33" i="5"/>
  <c r="AS33" i="5"/>
  <c r="I56" i="5"/>
  <c r="I13" i="8" s="1"/>
  <c r="I5" i="6"/>
  <c r="I7" i="5" s="1"/>
  <c r="I5" i="8" s="1"/>
  <c r="H52" i="4"/>
  <c r="I57" i="5"/>
  <c r="I18" i="8" s="1"/>
  <c r="J54" i="5"/>
  <c r="J11" i="8" s="1"/>
  <c r="I54" i="5"/>
  <c r="I11" i="8" s="1"/>
  <c r="R31" i="5"/>
  <c r="BR27" i="5"/>
  <c r="AJ34" i="5"/>
  <c r="AI34" i="5"/>
  <c r="AJ44" i="5"/>
  <c r="AI21" i="5"/>
  <c r="AI44" i="5"/>
  <c r="V5" i="6"/>
  <c r="V21" i="5" s="1"/>
  <c r="U52" i="4"/>
  <c r="V54" i="5"/>
  <c r="V11" i="8" s="1"/>
  <c r="V56" i="5"/>
  <c r="V13" i="8" s="1"/>
  <c r="V57" i="5"/>
  <c r="V18" i="8" s="1"/>
  <c r="AR10" i="6"/>
  <c r="AQ51" i="4"/>
  <c r="AQ52" i="4" s="1"/>
  <c r="BP31" i="5"/>
  <c r="BP40" i="5"/>
  <c r="BP19" i="5"/>
  <c r="BN51" i="4"/>
  <c r="BN52" i="4" s="1"/>
  <c r="BR15" i="5"/>
  <c r="BR14" i="5"/>
  <c r="BD51" i="4"/>
  <c r="BD52" i="4" s="1"/>
  <c r="BE10" i="6"/>
  <c r="AS8" i="5"/>
  <c r="AS7" i="8" s="1"/>
  <c r="AS6" i="5"/>
  <c r="AS4" i="8" s="1"/>
  <c r="AT35" i="5"/>
  <c r="AS15" i="6"/>
  <c r="AS35" i="5"/>
  <c r="AS20" i="5"/>
  <c r="BP34" i="5"/>
  <c r="BP44" i="5"/>
  <c r="W34" i="5"/>
  <c r="V34" i="5"/>
  <c r="W44" i="5"/>
  <c r="BI34" i="5"/>
  <c r="BI44" i="5"/>
  <c r="K6" i="5"/>
  <c r="K4" i="8" s="1"/>
  <c r="K15" i="6"/>
  <c r="K8" i="5"/>
  <c r="K7" i="8" s="1"/>
  <c r="L35" i="5"/>
  <c r="BL40" i="5"/>
  <c r="AF15" i="5"/>
  <c r="AF27" i="5"/>
  <c r="AF21" i="5"/>
  <c r="AF25" i="5"/>
  <c r="AF9" i="5"/>
  <c r="AF24" i="5"/>
  <c r="AF26" i="5"/>
  <c r="AF10" i="5"/>
  <c r="AF6" i="8" s="1"/>
  <c r="AF14" i="5"/>
  <c r="AF7" i="5"/>
  <c r="AF5" i="8" s="1"/>
  <c r="BR56" i="5"/>
  <c r="BR13" i="8" s="1"/>
  <c r="BL34" i="5"/>
  <c r="BL44" i="5"/>
  <c r="L54" i="5"/>
  <c r="L11" i="8" s="1"/>
  <c r="J52" i="4"/>
  <c r="K56" i="5"/>
  <c r="K13" i="8" s="1"/>
  <c r="K57" i="5"/>
  <c r="K18" i="8" s="1"/>
  <c r="K5" i="6"/>
  <c r="K7" i="5" s="1"/>
  <c r="K5" i="8" s="1"/>
  <c r="BK34" i="5"/>
  <c r="BK44" i="5"/>
  <c r="AJ10" i="6"/>
  <c r="AI51" i="4"/>
  <c r="AI52" i="4" s="1"/>
  <c r="BQ34" i="5"/>
  <c r="BQ44" i="5"/>
  <c r="N54" i="5"/>
  <c r="N11" i="8" s="1"/>
  <c r="N57" i="5"/>
  <c r="N18" i="8" s="1"/>
  <c r="N5" i="6"/>
  <c r="O30" i="5" s="1"/>
  <c r="O54" i="5"/>
  <c r="O11" i="8" s="1"/>
  <c r="N56" i="5"/>
  <c r="N13" i="8" s="1"/>
  <c r="M52" i="4"/>
  <c r="BR9" i="5"/>
  <c r="I15" i="6"/>
  <c r="I6" i="5"/>
  <c r="I4" i="8" s="1"/>
  <c r="I20" i="5"/>
  <c r="I8" i="5"/>
  <c r="I7" i="8" s="1"/>
  <c r="I35" i="5"/>
  <c r="Q40" i="5"/>
  <c r="Q24" i="5"/>
  <c r="Q31" i="5"/>
  <c r="AS40" i="5"/>
  <c r="AS31" i="5"/>
  <c r="AR31" i="5"/>
  <c r="AR19" i="5"/>
  <c r="D31" i="5"/>
  <c r="D40" i="5"/>
  <c r="D8" i="5"/>
  <c r="D7" i="8" s="1"/>
  <c r="D32" i="8" s="1"/>
  <c r="D24" i="5"/>
  <c r="BQ31" i="5"/>
  <c r="BQ40" i="5"/>
  <c r="BR57" i="5"/>
  <c r="BR18" i="8" s="1"/>
  <c r="AN56" i="5"/>
  <c r="AN13" i="8" s="1"/>
  <c r="AN57" i="5"/>
  <c r="AN18" i="8" s="1"/>
  <c r="AO54" i="5"/>
  <c r="AO11" i="8" s="1"/>
  <c r="AN54" i="5"/>
  <c r="AN11" i="8" s="1"/>
  <c r="AN5" i="6"/>
  <c r="Z56" i="5"/>
  <c r="Z13" i="8" s="1"/>
  <c r="Y52" i="4"/>
  <c r="Z57" i="5"/>
  <c r="Z18" i="8" s="1"/>
  <c r="Z5" i="6"/>
  <c r="Z54" i="5"/>
  <c r="Z11" i="8" s="1"/>
  <c r="BN34" i="5"/>
  <c r="BN44" i="5"/>
  <c r="AQ34" i="5"/>
  <c r="AQ44" i="5"/>
  <c r="AQ21" i="5"/>
  <c r="AR44" i="5"/>
  <c r="U19" i="5"/>
  <c r="U20" i="5"/>
  <c r="O26" i="5"/>
  <c r="O27" i="5"/>
  <c r="O14" i="5"/>
  <c r="O15" i="5"/>
  <c r="O9" i="5"/>
  <c r="O21" i="5"/>
  <c r="O7" i="5"/>
  <c r="O5" i="8" s="1"/>
  <c r="BA31" i="5"/>
  <c r="BA40" i="5"/>
  <c r="BA19" i="5"/>
  <c r="BB40" i="5"/>
  <c r="BB31" i="5"/>
  <c r="BA8" i="5"/>
  <c r="BA7" i="8" s="1"/>
  <c r="AW21" i="5"/>
  <c r="H6" i="5"/>
  <c r="H4" i="8" s="1"/>
  <c r="H20" i="5"/>
  <c r="H15" i="6"/>
  <c r="H8" i="5"/>
  <c r="H7" i="8" s="1"/>
  <c r="H35" i="5"/>
  <c r="AL24" i="5"/>
  <c r="AL31" i="5"/>
  <c r="AL40" i="5"/>
  <c r="AL19" i="5"/>
  <c r="BJ34" i="5"/>
  <c r="BJ44" i="5"/>
  <c r="X34" i="5"/>
  <c r="Y34" i="5"/>
  <c r="Y44" i="5"/>
  <c r="X44" i="5"/>
  <c r="AL7" i="5"/>
  <c r="AL5" i="8" s="1"/>
  <c r="AL14" i="5"/>
  <c r="AL15" i="5"/>
  <c r="AL26" i="5"/>
  <c r="AM43" i="5"/>
  <c r="G44" i="5"/>
  <c r="G34" i="5"/>
  <c r="H34" i="5"/>
  <c r="G21" i="5"/>
  <c r="H44" i="5"/>
  <c r="D7" i="5"/>
  <c r="D5" i="8" s="1"/>
  <c r="D30" i="8" s="1"/>
  <c r="D10" i="5"/>
  <c r="D6" i="8" s="1"/>
  <c r="D31" i="8" s="1"/>
  <c r="D27" i="5"/>
  <c r="D17" i="8" s="1"/>
  <c r="D45" i="8" s="1"/>
  <c r="D25" i="5"/>
  <c r="D15" i="5"/>
  <c r="D21" i="8" s="1"/>
  <c r="D50" i="8" s="1"/>
  <c r="D14" i="5"/>
  <c r="D20" i="8" s="1"/>
  <c r="D49" i="8" s="1"/>
  <c r="D9" i="5"/>
  <c r="D21" i="5"/>
  <c r="D26" i="5"/>
  <c r="BI31" i="5"/>
  <c r="BI40" i="5"/>
  <c r="AG5" i="6"/>
  <c r="AG54" i="5"/>
  <c r="AG11" i="8" s="1"/>
  <c r="AG57" i="5"/>
  <c r="AG18" i="8" s="1"/>
  <c r="AG56" i="5"/>
  <c r="AG13" i="8" s="1"/>
  <c r="BO31" i="5"/>
  <c r="BO40" i="5"/>
  <c r="BQ19" i="5"/>
  <c r="BR21" i="5"/>
  <c r="W54" i="5"/>
  <c r="W11" i="8" s="1"/>
  <c r="W56" i="5"/>
  <c r="W13" i="8" s="1"/>
  <c r="W57" i="5"/>
  <c r="W18" i="8" s="1"/>
  <c r="W5" i="6"/>
  <c r="V52" i="4"/>
  <c r="AB40" i="5"/>
  <c r="AB31" i="5"/>
  <c r="AC31" i="5"/>
  <c r="AB19" i="5"/>
  <c r="AC40" i="5"/>
  <c r="BJ31" i="5"/>
  <c r="BP33" i="5"/>
  <c r="AN34" i="5"/>
  <c r="AM34" i="5"/>
  <c r="AN44" i="5"/>
  <c r="BM33" i="5"/>
  <c r="BA33" i="5"/>
  <c r="BB33" i="5"/>
  <c r="X54" i="5"/>
  <c r="X11" i="8" s="1"/>
  <c r="BD57" i="5"/>
  <c r="BD18" i="8" s="1"/>
  <c r="BD56" i="5"/>
  <c r="BD13" i="8" s="1"/>
  <c r="BD54" i="5"/>
  <c r="BD11" i="8" s="1"/>
  <c r="BD5" i="6"/>
  <c r="BR25" i="5"/>
  <c r="BM44" i="5"/>
  <c r="Q19" i="5"/>
  <c r="BM31" i="5"/>
  <c r="BM40" i="5"/>
  <c r="BI19" i="5"/>
  <c r="P15" i="6"/>
  <c r="P6" i="5"/>
  <c r="P4" i="8" s="1"/>
  <c r="P35" i="5"/>
  <c r="P8" i="5"/>
  <c r="P7" i="8" s="1"/>
  <c r="BF51" i="4"/>
  <c r="BF52" i="4" s="1"/>
  <c r="BG10" i="6"/>
  <c r="AM33" i="5"/>
  <c r="AL33" i="5"/>
  <c r="AL8" i="5"/>
  <c r="AL7" i="8" s="1"/>
  <c r="BN31" i="5"/>
  <c r="BO34" i="5"/>
  <c r="T56" i="5"/>
  <c r="T13" i="8" s="1"/>
  <c r="T57" i="5"/>
  <c r="T18" i="8" s="1"/>
  <c r="U54" i="5"/>
  <c r="U11" i="8" s="1"/>
  <c r="T54" i="5"/>
  <c r="T11" i="8" s="1"/>
  <c r="T5" i="6"/>
  <c r="T7" i="5" s="1"/>
  <c r="T5" i="8" s="1"/>
  <c r="S52" i="4"/>
  <c r="AZ51" i="4"/>
  <c r="AZ52" i="4" s="1"/>
  <c r="BA10" i="6"/>
  <c r="AR8" i="5"/>
  <c r="AR7" i="8" s="1"/>
  <c r="O24" i="5"/>
  <c r="D19" i="5"/>
  <c r="D22" i="8" s="1"/>
  <c r="D51" i="8" s="1"/>
  <c r="BC54" i="5"/>
  <c r="BC11" i="8" s="1"/>
  <c r="AM31" i="5"/>
  <c r="BR6" i="5"/>
  <c r="BR4" i="8" s="1"/>
  <c r="BT6" i="5"/>
  <c r="BT4" i="8" s="1"/>
  <c r="BR7" i="5"/>
  <c r="BR5" i="8" s="1"/>
  <c r="BR8" i="5"/>
  <c r="BR7" i="8" s="1"/>
  <c r="BR40" i="5"/>
  <c r="BR31" i="5"/>
  <c r="BS51" i="4"/>
  <c r="BT10" i="6"/>
  <c r="BR24" i="5"/>
  <c r="BS40" i="5"/>
  <c r="BS31" i="5"/>
  <c r="BT44" i="5"/>
  <c r="BT34" i="5"/>
  <c r="BS44" i="5"/>
  <c r="BS34" i="5"/>
  <c r="BR20" i="5"/>
  <c r="BR19" i="5"/>
  <c r="BS19" i="5"/>
  <c r="BH20" i="5"/>
  <c r="BH19" i="5"/>
  <c r="BN24" i="5"/>
  <c r="BN26" i="5"/>
  <c r="BN15" i="5"/>
  <c r="BN14" i="5"/>
  <c r="BN9" i="5"/>
  <c r="BN21" i="5"/>
  <c r="BN25" i="5"/>
  <c r="BN27" i="5"/>
  <c r="BM57" i="5"/>
  <c r="BM18" i="8" s="1"/>
  <c r="BM56" i="5"/>
  <c r="BM13" i="8" s="1"/>
  <c r="BJ57" i="5"/>
  <c r="BJ18" i="8" s="1"/>
  <c r="BJ56" i="5"/>
  <c r="BJ13" i="8" s="1"/>
  <c r="BK5" i="6"/>
  <c r="BK57" i="5"/>
  <c r="BK18" i="8" s="1"/>
  <c r="BK56" i="5"/>
  <c r="BK13" i="8" s="1"/>
  <c r="BL5" i="6"/>
  <c r="BL7" i="5" s="1"/>
  <c r="BL5" i="8" s="1"/>
  <c r="BL54" i="5"/>
  <c r="BL11" i="8" s="1"/>
  <c r="BL56" i="5"/>
  <c r="BL13" i="8" s="1"/>
  <c r="BL57" i="5"/>
  <c r="BL18" i="8" s="1"/>
  <c r="BM5" i="6"/>
  <c r="BN30" i="5" s="1"/>
  <c r="BP5" i="6"/>
  <c r="BP57" i="5"/>
  <c r="BP18" i="8" s="1"/>
  <c r="BP56" i="5"/>
  <c r="BP13" i="8" s="1"/>
  <c r="BO5" i="6"/>
  <c r="BO7" i="5" s="1"/>
  <c r="BO5" i="8" s="1"/>
  <c r="BO54" i="5"/>
  <c r="BO11" i="8" s="1"/>
  <c r="BO56" i="5"/>
  <c r="BO13" i="8" s="1"/>
  <c r="BO57" i="5"/>
  <c r="BO18" i="8" s="1"/>
  <c r="BI57" i="5"/>
  <c r="BI18" i="8" s="1"/>
  <c r="BI56" i="5"/>
  <c r="BI13" i="8" s="1"/>
  <c r="BN54" i="5"/>
  <c r="BN11" i="8" s="1"/>
  <c r="BN56" i="5"/>
  <c r="BN13" i="8" s="1"/>
  <c r="BN57" i="5"/>
  <c r="BN18" i="8" s="1"/>
  <c r="BQ57" i="5"/>
  <c r="BQ18" i="8" s="1"/>
  <c r="BQ54" i="5"/>
  <c r="BQ11" i="8" s="1"/>
  <c r="BQ56" i="5"/>
  <c r="BQ13" i="8" s="1"/>
  <c r="BI20" i="5"/>
  <c r="BQ15" i="6"/>
  <c r="BQ20" i="5"/>
  <c r="BQ6" i="5"/>
  <c r="BQ4" i="8" s="1"/>
  <c r="BQ8" i="5"/>
  <c r="BQ7" i="8" s="1"/>
  <c r="BR35" i="5"/>
  <c r="BP15" i="6"/>
  <c r="BQ35" i="5"/>
  <c r="BP6" i="5"/>
  <c r="BP4" i="8" s="1"/>
  <c r="BP20" i="5"/>
  <c r="BP8" i="5"/>
  <c r="BP7" i="8" s="1"/>
  <c r="BO15" i="6"/>
  <c r="BO6" i="5"/>
  <c r="BO4" i="8" s="1"/>
  <c r="BP35" i="5"/>
  <c r="BO8" i="5"/>
  <c r="BO7" i="8" s="1"/>
  <c r="BO20" i="5"/>
  <c r="BN15" i="6"/>
  <c r="BN10" i="5" s="1"/>
  <c r="BN6" i="8" s="1"/>
  <c r="BN7" i="5"/>
  <c r="BN5" i="8" s="1"/>
  <c r="BO35" i="5"/>
  <c r="BN6" i="5"/>
  <c r="BN4" i="8" s="1"/>
  <c r="BN20" i="5"/>
  <c r="BN8" i="5"/>
  <c r="BN7" i="8" s="1"/>
  <c r="BM15" i="6"/>
  <c r="BM6" i="5"/>
  <c r="BM4" i="8" s="1"/>
  <c r="BM8" i="5"/>
  <c r="BM7" i="8" s="1"/>
  <c r="BM20" i="5"/>
  <c r="BN35" i="5"/>
  <c r="BL15" i="6"/>
  <c r="BM35" i="5"/>
  <c r="BL8" i="5"/>
  <c r="BL7" i="8" s="1"/>
  <c r="BL6" i="5"/>
  <c r="BL4" i="8" s="1"/>
  <c r="BL20" i="5"/>
  <c r="BK15" i="6"/>
  <c r="BK8" i="5"/>
  <c r="BK7" i="8" s="1"/>
  <c r="BK20" i="5"/>
  <c r="BL35" i="5"/>
  <c r="BK6" i="5"/>
  <c r="BK4" i="8" s="1"/>
  <c r="BJ15" i="6"/>
  <c r="BJ35" i="5"/>
  <c r="BK35" i="5"/>
  <c r="BJ8" i="5"/>
  <c r="BJ7" i="8" s="1"/>
  <c r="BJ6" i="5"/>
  <c r="BJ4" i="8" s="1"/>
  <c r="BJ20" i="5"/>
  <c r="BO51" i="4"/>
  <c r="BO52" i="4" s="1"/>
  <c r="BL10" i="6"/>
  <c r="BK51" i="4"/>
  <c r="BK52" i="4" s="1"/>
  <c r="BI10" i="6"/>
  <c r="BH51" i="4"/>
  <c r="BH52" i="4" s="1"/>
  <c r="BJ52" i="4"/>
  <c r="BQ5" i="6"/>
  <c r="BQ7" i="5" s="1"/>
  <c r="BQ5" i="8" s="1"/>
  <c r="BJ5" i="6"/>
  <c r="BJ7" i="5" s="1"/>
  <c r="BJ5" i="8" s="1"/>
  <c r="BI5" i="6"/>
  <c r="BG51" i="4"/>
  <c r="BG52" i="4" s="1"/>
  <c r="BH10" i="6"/>
  <c r="BE56" i="5"/>
  <c r="BE13" i="8" s="1"/>
  <c r="BE5" i="6"/>
  <c r="BE57" i="5"/>
  <c r="BE18" i="8" s="1"/>
  <c r="BF57" i="5"/>
  <c r="BF18" i="8" s="1"/>
  <c r="BF56" i="5"/>
  <c r="BF13" i="8" s="1"/>
  <c r="BF54" i="5"/>
  <c r="BF11" i="8" s="1"/>
  <c r="BF5" i="6"/>
  <c r="BH57" i="5"/>
  <c r="BH18" i="8" s="1"/>
  <c r="BH56" i="5"/>
  <c r="BH13" i="8" s="1"/>
  <c r="BH5" i="6"/>
  <c r="BH54" i="5"/>
  <c r="BH11" i="8" s="1"/>
  <c r="BB20" i="5"/>
  <c r="BB19" i="5"/>
  <c r="AU36" i="5"/>
  <c r="AV36" i="5"/>
  <c r="AO6" i="5"/>
  <c r="AO4" i="8" s="1"/>
  <c r="AO35" i="5"/>
  <c r="AO7" i="8"/>
  <c r="AO15" i="6"/>
  <c r="AO20" i="5"/>
  <c r="AP35" i="5"/>
  <c r="AG35" i="7"/>
  <c r="AG37" i="7" s="1"/>
  <c r="AH56" i="6" s="1"/>
  <c r="AH54" i="5"/>
  <c r="AH11" i="8" s="1"/>
  <c r="X36" i="5"/>
  <c r="Y36" i="5"/>
  <c r="T8" i="5"/>
  <c r="T7" i="8" s="1"/>
  <c r="T15" i="6"/>
  <c r="T35" i="5"/>
  <c r="T6" i="5"/>
  <c r="T4" i="8" s="1"/>
  <c r="U35" i="5"/>
  <c r="T20" i="5"/>
  <c r="Q15" i="6"/>
  <c r="Q35" i="5"/>
  <c r="Q20" i="5"/>
  <c r="Q8" i="5"/>
  <c r="Q7" i="8" s="1"/>
  <c r="Q6" i="5"/>
  <c r="Q4" i="8" s="1"/>
  <c r="R35" i="5"/>
  <c r="S35" i="5"/>
  <c r="S6" i="5"/>
  <c r="S4" i="8" s="1"/>
  <c r="S8" i="5"/>
  <c r="S7" i="8" s="1"/>
  <c r="S15" i="6"/>
  <c r="S20" i="5"/>
  <c r="S7" i="5"/>
  <c r="S5" i="8" s="1"/>
  <c r="P20" i="5"/>
  <c r="P19" i="5"/>
  <c r="N6" i="5"/>
  <c r="N4" i="8" s="1"/>
  <c r="N8" i="5"/>
  <c r="N7" i="8" s="1"/>
  <c r="O35" i="5"/>
  <c r="N15" i="6"/>
  <c r="N35" i="5"/>
  <c r="N19" i="5"/>
  <c r="N20" i="5"/>
  <c r="L19" i="5"/>
  <c r="L20" i="5"/>
  <c r="K55" i="5"/>
  <c r="K12" i="8" s="1"/>
  <c r="J29" i="7"/>
  <c r="J33" i="7" s="1"/>
  <c r="J15" i="6"/>
  <c r="K35" i="5"/>
  <c r="J6" i="5"/>
  <c r="J4" i="8" s="1"/>
  <c r="J8" i="5"/>
  <c r="J7" i="8" s="1"/>
  <c r="J35" i="5"/>
  <c r="J20" i="5"/>
  <c r="E20" i="5"/>
  <c r="E23" i="8" s="1"/>
  <c r="E52" i="8" s="1"/>
  <c r="E6" i="5"/>
  <c r="E4" i="8" s="1"/>
  <c r="E29" i="8" s="1"/>
  <c r="E15" i="6"/>
  <c r="E35" i="5"/>
  <c r="F35" i="5"/>
  <c r="F20" i="5"/>
  <c r="F23" i="8" s="1"/>
  <c r="F52" i="8" s="1"/>
  <c r="H36" i="5"/>
  <c r="G36" i="5"/>
  <c r="D55" i="5"/>
  <c r="D12" i="8" s="1"/>
  <c r="D39" i="8" s="1"/>
  <c r="C29" i="7"/>
  <c r="C33" i="7" s="1"/>
  <c r="BF35" i="7"/>
  <c r="BF37" i="7" s="1"/>
  <c r="BG56" i="6" s="1"/>
  <c r="BG54" i="5"/>
  <c r="BG11" i="8" s="1"/>
  <c r="BD35" i="7"/>
  <c r="BD37" i="7" s="1"/>
  <c r="BE56" i="6" s="1"/>
  <c r="BE54" i="5"/>
  <c r="BE11" i="8" s="1"/>
  <c r="BW30" i="5" l="1"/>
  <c r="BW43" i="5"/>
  <c r="BW15" i="5"/>
  <c r="BW14" i="5"/>
  <c r="BW9" i="5"/>
  <c r="BW27" i="5"/>
  <c r="BW26" i="5"/>
  <c r="BW7" i="5"/>
  <c r="BW5" i="8" s="1"/>
  <c r="BW21" i="5"/>
  <c r="CC30" i="5"/>
  <c r="CC43" i="5"/>
  <c r="CC15" i="5"/>
  <c r="CC14" i="5"/>
  <c r="CC9" i="5"/>
  <c r="CC27" i="5"/>
  <c r="CC26" i="5"/>
  <c r="CC7" i="5"/>
  <c r="CC5" i="8" s="1"/>
  <c r="CC21" i="5"/>
  <c r="CB30" i="5"/>
  <c r="CB43" i="5"/>
  <c r="CB15" i="5"/>
  <c r="CB14" i="5"/>
  <c r="CB9" i="5"/>
  <c r="CB27" i="5"/>
  <c r="CB26" i="5"/>
  <c r="CB7" i="5"/>
  <c r="CB5" i="8" s="1"/>
  <c r="CB21" i="5"/>
  <c r="CA30" i="5"/>
  <c r="CA43" i="5"/>
  <c r="CA15" i="5"/>
  <c r="CA14" i="5"/>
  <c r="CA9" i="5"/>
  <c r="CA27" i="5"/>
  <c r="CA26" i="5"/>
  <c r="CA7" i="5"/>
  <c r="CA5" i="8" s="1"/>
  <c r="CA21" i="5"/>
  <c r="BZ30" i="5"/>
  <c r="BZ43" i="5"/>
  <c r="BZ15" i="5"/>
  <c r="BZ14" i="5"/>
  <c r="BZ9" i="5"/>
  <c r="BZ27" i="5"/>
  <c r="BZ26" i="5"/>
  <c r="BZ7" i="5"/>
  <c r="BZ5" i="8" s="1"/>
  <c r="BZ21" i="5"/>
  <c r="CC51" i="4"/>
  <c r="BV30" i="5"/>
  <c r="BV43" i="5"/>
  <c r="BV15" i="5"/>
  <c r="BV14" i="5"/>
  <c r="BV21" i="5"/>
  <c r="BV9" i="5"/>
  <c r="BV27" i="5"/>
  <c r="BV26" i="5"/>
  <c r="BV7" i="5"/>
  <c r="BV5" i="8" s="1"/>
  <c r="BY30" i="5"/>
  <c r="BY43" i="5"/>
  <c r="BY15" i="5"/>
  <c r="BY14" i="5"/>
  <c r="BY9" i="5"/>
  <c r="BY27" i="5"/>
  <c r="BY26" i="5"/>
  <c r="BY7" i="5"/>
  <c r="BY5" i="8" s="1"/>
  <c r="BY21" i="5"/>
  <c r="BX30" i="5"/>
  <c r="BX43" i="5"/>
  <c r="BX15" i="5"/>
  <c r="BX14" i="5"/>
  <c r="BX9" i="5"/>
  <c r="BX27" i="5"/>
  <c r="BX26" i="5"/>
  <c r="BX7" i="5"/>
  <c r="BX5" i="8" s="1"/>
  <c r="BX21" i="5"/>
  <c r="BM54" i="5"/>
  <c r="BM11" i="8" s="1"/>
  <c r="BK54" i="5"/>
  <c r="BK11" i="8" s="1"/>
  <c r="AA54" i="5"/>
  <c r="AA11" i="8" s="1"/>
  <c r="AB54" i="5"/>
  <c r="AB11" i="8" s="1"/>
  <c r="BI54" i="5"/>
  <c r="BI11" i="8" s="1"/>
  <c r="BR54" i="5"/>
  <c r="BR11" i="8" s="1"/>
  <c r="BP54" i="5"/>
  <c r="BP11" i="8" s="1"/>
  <c r="BJ54" i="5"/>
  <c r="BJ11" i="8" s="1"/>
  <c r="F47" i="8"/>
  <c r="AD15" i="5"/>
  <c r="S10" i="5"/>
  <c r="S6" i="8" s="1"/>
  <c r="AM9" i="5"/>
  <c r="AS7" i="5"/>
  <c r="AS5" i="8" s="1"/>
  <c r="AT43" i="5"/>
  <c r="AD9" i="5"/>
  <c r="AT24" i="5"/>
  <c r="AR24" i="5"/>
  <c r="AP14" i="5"/>
  <c r="AV27" i="5"/>
  <c r="AV21" i="5"/>
  <c r="AK26" i="5"/>
  <c r="AP10" i="5"/>
  <c r="AP6" i="8" s="1"/>
  <c r="AR25" i="5"/>
  <c r="AR14" i="5"/>
  <c r="AP15" i="5"/>
  <c r="AK27" i="5"/>
  <c r="AR9" i="5"/>
  <c r="P7" i="5"/>
  <c r="P5" i="8" s="1"/>
  <c r="AK24" i="5"/>
  <c r="AK10" i="5"/>
  <c r="AK6" i="8" s="1"/>
  <c r="AR26" i="5"/>
  <c r="AK15" i="5"/>
  <c r="AR43" i="5"/>
  <c r="AR21" i="5"/>
  <c r="AR15" i="5"/>
  <c r="AK21" i="5"/>
  <c r="AR30" i="5"/>
  <c r="AK9" i="5"/>
  <c r="AK7" i="5"/>
  <c r="AK5" i="8" s="1"/>
  <c r="AR7" i="5"/>
  <c r="AR5" i="8" s="1"/>
  <c r="AR10" i="5"/>
  <c r="AR6" i="8" s="1"/>
  <c r="AK25" i="5"/>
  <c r="AK43" i="5"/>
  <c r="AP25" i="5"/>
  <c r="AV14" i="5"/>
  <c r="AQ30" i="5"/>
  <c r="AV7" i="5"/>
  <c r="AV5" i="8" s="1"/>
  <c r="AV9" i="5"/>
  <c r="AP9" i="5"/>
  <c r="AV10" i="5"/>
  <c r="AV6" i="8" s="1"/>
  <c r="AV24" i="5"/>
  <c r="AQ43" i="5"/>
  <c r="AV25" i="5"/>
  <c r="AP21" i="5"/>
  <c r="AW30" i="5"/>
  <c r="AP26" i="5"/>
  <c r="AV15" i="5"/>
  <c r="AP7" i="5"/>
  <c r="AP5" i="8" s="1"/>
  <c r="AP24" i="5"/>
  <c r="AB24" i="5"/>
  <c r="C25" i="5"/>
  <c r="AL10" i="5"/>
  <c r="AL6" i="8" s="1"/>
  <c r="BT35" i="5"/>
  <c r="C21" i="5"/>
  <c r="BS20" i="5"/>
  <c r="D43" i="5"/>
  <c r="BS6" i="5"/>
  <c r="BS4" i="8" s="1"/>
  <c r="AH10" i="5"/>
  <c r="AH6" i="8" s="1"/>
  <c r="C26" i="5"/>
  <c r="AL30" i="5"/>
  <c r="D30" i="5"/>
  <c r="AU30" i="5"/>
  <c r="AZ43" i="5"/>
  <c r="C15" i="5"/>
  <c r="C21" i="8" s="1"/>
  <c r="C50" i="8" s="1"/>
  <c r="C53" i="8" s="1"/>
  <c r="C27" i="5"/>
  <c r="C17" i="8" s="1"/>
  <c r="C45" i="8" s="1"/>
  <c r="C47" i="8" s="1"/>
  <c r="C43" i="5"/>
  <c r="C7" i="5"/>
  <c r="C5" i="8" s="1"/>
  <c r="C30" i="8" s="1"/>
  <c r="C24" i="5"/>
  <c r="BS35" i="5"/>
  <c r="C9" i="5"/>
  <c r="C10" i="5"/>
  <c r="C6" i="8" s="1"/>
  <c r="C31" i="8" s="1"/>
  <c r="C30" i="5"/>
  <c r="X21" i="5"/>
  <c r="AT26" i="5"/>
  <c r="AT10" i="5"/>
  <c r="AT6" i="8" s="1"/>
  <c r="AS14" i="5"/>
  <c r="AS27" i="5"/>
  <c r="AS9" i="5"/>
  <c r="X15" i="5"/>
  <c r="AT15" i="5"/>
  <c r="AS15" i="5"/>
  <c r="AS30" i="5"/>
  <c r="Y30" i="5"/>
  <c r="AS10" i="5"/>
  <c r="AS6" i="8" s="1"/>
  <c r="X9" i="5"/>
  <c r="AT9" i="5"/>
  <c r="X7" i="5"/>
  <c r="X5" i="8" s="1"/>
  <c r="AS25" i="5"/>
  <c r="X25" i="5"/>
  <c r="AT14" i="5"/>
  <c r="AS43" i="5"/>
  <c r="X10" i="5"/>
  <c r="X6" i="8" s="1"/>
  <c r="X27" i="5"/>
  <c r="AT21" i="5"/>
  <c r="AT27" i="5"/>
  <c r="AS24" i="5"/>
  <c r="AT30" i="5"/>
  <c r="AS21" i="5"/>
  <c r="H27" i="5"/>
  <c r="H24" i="5"/>
  <c r="J10" i="5"/>
  <c r="J6" i="8" s="1"/>
  <c r="D47" i="8"/>
  <c r="BS8" i="5"/>
  <c r="BS7" i="8" s="1"/>
  <c r="AO10" i="5"/>
  <c r="AO6" i="8" s="1"/>
  <c r="AW10" i="5"/>
  <c r="AW6" i="8" s="1"/>
  <c r="AW25" i="5"/>
  <c r="AP43" i="5"/>
  <c r="AW14" i="5"/>
  <c r="E40" i="5"/>
  <c r="AY10" i="5"/>
  <c r="AY6" i="8" s="1"/>
  <c r="AX43" i="5"/>
  <c r="AP30" i="5"/>
  <c r="E8" i="5"/>
  <c r="E7" i="8" s="1"/>
  <c r="E32" i="8" s="1"/>
  <c r="AW43" i="5"/>
  <c r="E31" i="5"/>
  <c r="AW7" i="5"/>
  <c r="AW5" i="8" s="1"/>
  <c r="R30" i="5"/>
  <c r="BS25" i="5"/>
  <c r="H7" i="5"/>
  <c r="H5" i="8" s="1"/>
  <c r="P30" i="5"/>
  <c r="H21" i="5"/>
  <c r="H43" i="5"/>
  <c r="H10" i="5"/>
  <c r="H6" i="8" s="1"/>
  <c r="H15" i="5"/>
  <c r="BS27" i="5"/>
  <c r="BS14" i="5"/>
  <c r="P10" i="5"/>
  <c r="P6" i="8" s="1"/>
  <c r="H26" i="5"/>
  <c r="R25" i="5"/>
  <c r="BS21" i="5"/>
  <c r="R7" i="5"/>
  <c r="R5" i="8" s="1"/>
  <c r="H25" i="5"/>
  <c r="H30" i="5"/>
  <c r="R9" i="5"/>
  <c r="H14" i="5"/>
  <c r="I10" i="5"/>
  <c r="I6" i="8" s="1"/>
  <c r="BS24" i="5"/>
  <c r="AL21" i="5"/>
  <c r="AW24" i="5"/>
  <c r="AX30" i="5"/>
  <c r="R27" i="5"/>
  <c r="R10" i="5"/>
  <c r="R6" i="8" s="1"/>
  <c r="AA10" i="5"/>
  <c r="AA6" i="8" s="1"/>
  <c r="AC10" i="5"/>
  <c r="AC6" i="8" s="1"/>
  <c r="S30" i="5"/>
  <c r="Q10" i="5"/>
  <c r="Q6" i="8" s="1"/>
  <c r="BS9" i="5"/>
  <c r="BS30" i="5"/>
  <c r="AL25" i="5"/>
  <c r="AL27" i="5"/>
  <c r="AL9" i="5"/>
  <c r="AW27" i="5"/>
  <c r="AW26" i="5"/>
  <c r="R15" i="5"/>
  <c r="BM7" i="5"/>
  <c r="BM5" i="8" s="1"/>
  <c r="BS26" i="5"/>
  <c r="AL43" i="5"/>
  <c r="AW9" i="5"/>
  <c r="AW15" i="5"/>
  <c r="R43" i="5"/>
  <c r="BS43" i="5"/>
  <c r="BS7" i="5"/>
  <c r="BS5" i="8" s="1"/>
  <c r="BA25" i="5"/>
  <c r="BS10" i="5"/>
  <c r="BS6" i="8" s="1"/>
  <c r="AU15" i="5"/>
  <c r="E10" i="5"/>
  <c r="E6" i="8" s="1"/>
  <c r="E31" i="8" s="1"/>
  <c r="AU27" i="5"/>
  <c r="Q15" i="5"/>
  <c r="Q14" i="5"/>
  <c r="Q21" i="5"/>
  <c r="Q9" i="5"/>
  <c r="Q26" i="5"/>
  <c r="Q27" i="5"/>
  <c r="Q25" i="5"/>
  <c r="E30" i="5"/>
  <c r="AV30" i="5"/>
  <c r="AU14" i="5"/>
  <c r="AU10" i="5"/>
  <c r="AU6" i="8" s="1"/>
  <c r="AU9" i="5"/>
  <c r="R24" i="5"/>
  <c r="R14" i="5"/>
  <c r="R21" i="5"/>
  <c r="AC26" i="5"/>
  <c r="AC15" i="5"/>
  <c r="AC14" i="5"/>
  <c r="AD43" i="5"/>
  <c r="AC24" i="5"/>
  <c r="AC27" i="5"/>
  <c r="AC9" i="5"/>
  <c r="AD30" i="5"/>
  <c r="AC21" i="5"/>
  <c r="AC25" i="5"/>
  <c r="S43" i="5"/>
  <c r="BU10" i="5"/>
  <c r="BU6" i="8" s="1"/>
  <c r="AU26" i="5"/>
  <c r="AU43" i="5"/>
  <c r="AV43" i="5"/>
  <c r="AK30" i="5"/>
  <c r="AU21" i="5"/>
  <c r="AM10" i="5"/>
  <c r="AM6" i="8" s="1"/>
  <c r="BK10" i="5"/>
  <c r="BK6" i="8" s="1"/>
  <c r="AF43" i="5"/>
  <c r="AM30" i="5"/>
  <c r="AB9" i="5"/>
  <c r="AB21" i="5"/>
  <c r="AB7" i="5"/>
  <c r="AB5" i="8" s="1"/>
  <c r="AB25" i="5"/>
  <c r="AB27" i="5"/>
  <c r="AB43" i="5"/>
  <c r="AC43" i="5"/>
  <c r="AB14" i="5"/>
  <c r="BL10" i="5"/>
  <c r="BL6" i="8" s="1"/>
  <c r="AC30" i="5"/>
  <c r="S25" i="5"/>
  <c r="S24" i="5"/>
  <c r="S14" i="5"/>
  <c r="S27" i="5"/>
  <c r="S9" i="5"/>
  <c r="S26" i="5"/>
  <c r="S15" i="5"/>
  <c r="S21" i="5"/>
  <c r="AM27" i="5"/>
  <c r="AM24" i="5"/>
  <c r="AM14" i="5"/>
  <c r="AM25" i="5"/>
  <c r="AM21" i="5"/>
  <c r="AB26" i="5"/>
  <c r="AY27" i="5"/>
  <c r="AY15" i="5"/>
  <c r="AY14" i="5"/>
  <c r="AY24" i="5"/>
  <c r="AY21" i="5"/>
  <c r="AY25" i="5"/>
  <c r="AY9" i="5"/>
  <c r="AY7" i="5"/>
  <c r="AY5" i="8" s="1"/>
  <c r="AY26" i="5"/>
  <c r="BO10" i="5"/>
  <c r="BO6" i="8" s="1"/>
  <c r="AM15" i="5"/>
  <c r="AB30" i="5"/>
  <c r="P9" i="5"/>
  <c r="P26" i="5"/>
  <c r="P15" i="5"/>
  <c r="P27" i="5"/>
  <c r="P14" i="5"/>
  <c r="P24" i="5"/>
  <c r="P21" i="5"/>
  <c r="P25" i="5"/>
  <c r="Q30" i="5"/>
  <c r="Q43" i="5"/>
  <c r="AA25" i="5"/>
  <c r="AA27" i="5"/>
  <c r="AA24" i="5"/>
  <c r="AA14" i="5"/>
  <c r="AA26" i="5"/>
  <c r="AA9" i="5"/>
  <c r="AA21" i="5"/>
  <c r="AA15" i="5"/>
  <c r="AB10" i="5"/>
  <c r="AB6" i="8" s="1"/>
  <c r="AM7" i="5"/>
  <c r="AM5" i="8" s="1"/>
  <c r="AO9" i="5"/>
  <c r="AO27" i="5"/>
  <c r="AO21" i="5"/>
  <c r="AO15" i="5"/>
  <c r="AO26" i="5"/>
  <c r="AO14" i="5"/>
  <c r="AO24" i="5"/>
  <c r="AO25" i="5"/>
  <c r="F43" i="5"/>
  <c r="E43" i="5"/>
  <c r="E41" i="8"/>
  <c r="U10" i="5"/>
  <c r="U6" i="8" s="1"/>
  <c r="V10" i="5"/>
  <c r="V6" i="8" s="1"/>
  <c r="U25" i="5"/>
  <c r="U15" i="5"/>
  <c r="U27" i="5"/>
  <c r="U24" i="5"/>
  <c r="U26" i="5"/>
  <c r="U14" i="5"/>
  <c r="U21" i="5"/>
  <c r="U9" i="5"/>
  <c r="BV7" i="8"/>
  <c r="AU10" i="6"/>
  <c r="AT51" i="4"/>
  <c r="AT52" i="4" s="1"/>
  <c r="AX10" i="5"/>
  <c r="AX6" i="8" s="1"/>
  <c r="AX21" i="5"/>
  <c r="AX24" i="5"/>
  <c r="AX27" i="5"/>
  <c r="AX7" i="5"/>
  <c r="AX5" i="8" s="1"/>
  <c r="AX25" i="5"/>
  <c r="AX9" i="5"/>
  <c r="AX15" i="5"/>
  <c r="AX26" i="5"/>
  <c r="AY30" i="5"/>
  <c r="AX14" i="5"/>
  <c r="AY43" i="5"/>
  <c r="J14" i="5"/>
  <c r="J9" i="5"/>
  <c r="J26" i="5"/>
  <c r="J25" i="5"/>
  <c r="J27" i="5"/>
  <c r="J24" i="5"/>
  <c r="J15" i="5"/>
  <c r="J21" i="5"/>
  <c r="O43" i="5"/>
  <c r="AU33" i="5"/>
  <c r="AU25" i="5"/>
  <c r="AV33" i="5"/>
  <c r="BG25" i="5"/>
  <c r="BG24" i="5"/>
  <c r="BG26" i="5"/>
  <c r="BG7" i="5"/>
  <c r="BG5" i="8" s="1"/>
  <c r="BG14" i="5"/>
  <c r="BG27" i="5"/>
  <c r="BG21" i="5"/>
  <c r="BG10" i="5"/>
  <c r="BG6" i="8" s="1"/>
  <c r="BG9" i="5"/>
  <c r="BG15" i="5"/>
  <c r="BV4" i="8"/>
  <c r="AU8" i="5"/>
  <c r="AU7" i="8" s="1"/>
  <c r="AU31" i="5"/>
  <c r="AU24" i="5"/>
  <c r="AU40" i="5"/>
  <c r="AV40" i="5"/>
  <c r="AV31" i="5"/>
  <c r="AU19" i="5"/>
  <c r="N10" i="5"/>
  <c r="N6" i="8" s="1"/>
  <c r="U7" i="5"/>
  <c r="U5" i="8" s="1"/>
  <c r="T10" i="5"/>
  <c r="T6" i="8" s="1"/>
  <c r="N7" i="5"/>
  <c r="N5" i="8" s="1"/>
  <c r="E15" i="5"/>
  <c r="E21" i="8" s="1"/>
  <c r="E50" i="8" s="1"/>
  <c r="E27" i="5"/>
  <c r="E17" i="8" s="1"/>
  <c r="E45" i="8" s="1"/>
  <c r="E47" i="8" s="1"/>
  <c r="E14" i="5"/>
  <c r="E20" i="8" s="1"/>
  <c r="E49" i="8" s="1"/>
  <c r="E24" i="5"/>
  <c r="E25" i="5"/>
  <c r="E26" i="5"/>
  <c r="F30" i="5"/>
  <c r="E9" i="5"/>
  <c r="AJ26" i="5"/>
  <c r="AJ27" i="5"/>
  <c r="AJ21" i="5"/>
  <c r="AJ9" i="5"/>
  <c r="AJ24" i="5"/>
  <c r="AJ7" i="5"/>
  <c r="AJ5" i="8" s="1"/>
  <c r="AJ14" i="5"/>
  <c r="AJ30" i="5"/>
  <c r="AJ43" i="5"/>
  <c r="AJ15" i="5"/>
  <c r="AJ10" i="5"/>
  <c r="AJ6" i="8" s="1"/>
  <c r="AJ25" i="5"/>
  <c r="F31" i="5"/>
  <c r="G40" i="5"/>
  <c r="F40" i="5"/>
  <c r="G31" i="5"/>
  <c r="F24" i="5"/>
  <c r="F8" i="5"/>
  <c r="F7" i="8" s="1"/>
  <c r="F32" i="8" s="1"/>
  <c r="F33" i="8" s="1"/>
  <c r="E21" i="5"/>
  <c r="M43" i="5"/>
  <c r="M30" i="5"/>
  <c r="M26" i="5"/>
  <c r="M10" i="5"/>
  <c r="M6" i="8" s="1"/>
  <c r="M15" i="5"/>
  <c r="M9" i="5"/>
  <c r="M27" i="5"/>
  <c r="M24" i="5"/>
  <c r="M25" i="5"/>
  <c r="M14" i="5"/>
  <c r="M21" i="5"/>
  <c r="M7" i="5"/>
  <c r="M5" i="8" s="1"/>
  <c r="AH24" i="5"/>
  <c r="AH27" i="5"/>
  <c r="AH9" i="5"/>
  <c r="AH21" i="5"/>
  <c r="AI30" i="5"/>
  <c r="AH26" i="5"/>
  <c r="AH14" i="5"/>
  <c r="AH15" i="5"/>
  <c r="AH25" i="5"/>
  <c r="AI43" i="5"/>
  <c r="AH7" i="5"/>
  <c r="AH5" i="8" s="1"/>
  <c r="D53" i="8"/>
  <c r="BA9" i="5"/>
  <c r="BA27" i="5"/>
  <c r="BA15" i="5"/>
  <c r="BA21" i="5"/>
  <c r="BA30" i="5"/>
  <c r="BA43" i="5"/>
  <c r="BA7" i="5"/>
  <c r="BA5" i="8" s="1"/>
  <c r="BA14" i="5"/>
  <c r="BA26" i="5"/>
  <c r="BA10" i="5"/>
  <c r="BA6" i="8" s="1"/>
  <c r="BU7" i="5"/>
  <c r="BU5" i="8" s="1"/>
  <c r="BU21" i="5"/>
  <c r="BU9" i="5"/>
  <c r="BU24" i="5"/>
  <c r="BU25" i="5"/>
  <c r="BU14" i="5"/>
  <c r="BU26" i="5"/>
  <c r="BU15" i="5"/>
  <c r="BU27" i="5"/>
  <c r="BS54" i="5"/>
  <c r="BS11" i="8" s="1"/>
  <c r="BJ10" i="5"/>
  <c r="BJ6" i="8" s="1"/>
  <c r="AG9" i="5"/>
  <c r="AG21" i="5"/>
  <c r="AG27" i="5"/>
  <c r="AG26" i="5"/>
  <c r="AG24" i="5"/>
  <c r="AG14" i="5"/>
  <c r="AG15" i="5"/>
  <c r="AG43" i="5"/>
  <c r="AG30" i="5"/>
  <c r="AG7" i="5"/>
  <c r="AG5" i="8" s="1"/>
  <c r="AH43" i="5"/>
  <c r="AG10" i="5"/>
  <c r="AG6" i="8" s="1"/>
  <c r="AG25" i="5"/>
  <c r="AH30" i="5"/>
  <c r="AA43" i="5"/>
  <c r="Z15" i="5"/>
  <c r="AA30" i="5"/>
  <c r="Z9" i="5"/>
  <c r="Z30" i="5"/>
  <c r="Z27" i="5"/>
  <c r="Z43" i="5"/>
  <c r="Z24" i="5"/>
  <c r="Z14" i="5"/>
  <c r="Z21" i="5"/>
  <c r="Z25" i="5"/>
  <c r="Z26" i="5"/>
  <c r="Z7" i="5"/>
  <c r="Z5" i="8" s="1"/>
  <c r="Z10" i="5"/>
  <c r="Z6" i="8" s="1"/>
  <c r="V25" i="5"/>
  <c r="V26" i="5"/>
  <c r="V14" i="5"/>
  <c r="V9" i="5"/>
  <c r="V43" i="5"/>
  <c r="V15" i="5"/>
  <c r="V27" i="5"/>
  <c r="V24" i="5"/>
  <c r="V30" i="5"/>
  <c r="V7" i="5"/>
  <c r="V5" i="8" s="1"/>
  <c r="T9" i="5"/>
  <c r="U43" i="5"/>
  <c r="T15" i="5"/>
  <c r="T27" i="5"/>
  <c r="T26" i="5"/>
  <c r="T30" i="5"/>
  <c r="T14" i="5"/>
  <c r="T24" i="5"/>
  <c r="T25" i="5"/>
  <c r="T21" i="5"/>
  <c r="U30" i="5"/>
  <c r="T43" i="5"/>
  <c r="BD26" i="5"/>
  <c r="BD14" i="5"/>
  <c r="BD25" i="5"/>
  <c r="BD21" i="5"/>
  <c r="BD15" i="5"/>
  <c r="BD30" i="5"/>
  <c r="BD10" i="5"/>
  <c r="BD6" i="8" s="1"/>
  <c r="BD7" i="5"/>
  <c r="BD5" i="8" s="1"/>
  <c r="BD27" i="5"/>
  <c r="BD43" i="5"/>
  <c r="BD9" i="5"/>
  <c r="BD24" i="5"/>
  <c r="W14" i="5"/>
  <c r="W9" i="5"/>
  <c r="W27" i="5"/>
  <c r="W25" i="5"/>
  <c r="W7" i="5"/>
  <c r="W5" i="8" s="1"/>
  <c r="W30" i="5"/>
  <c r="W21" i="5"/>
  <c r="W26" i="5"/>
  <c r="W10" i="5"/>
  <c r="W6" i="8" s="1"/>
  <c r="W43" i="5"/>
  <c r="W24" i="5"/>
  <c r="X43" i="5"/>
  <c r="X30" i="5"/>
  <c r="W15" i="5"/>
  <c r="K21" i="5"/>
  <c r="K25" i="5"/>
  <c r="K9" i="5"/>
  <c r="K15" i="5"/>
  <c r="K43" i="5"/>
  <c r="K24" i="5"/>
  <c r="K30" i="5"/>
  <c r="K27" i="5"/>
  <c r="L43" i="5"/>
  <c r="K14" i="5"/>
  <c r="L30" i="5"/>
  <c r="K26" i="5"/>
  <c r="K10" i="5"/>
  <c r="K6" i="8" s="1"/>
  <c r="BB27" i="5"/>
  <c r="BB9" i="5"/>
  <c r="BB24" i="5"/>
  <c r="BB26" i="5"/>
  <c r="BB14" i="5"/>
  <c r="BB25" i="5"/>
  <c r="BB30" i="5"/>
  <c r="BB21" i="5"/>
  <c r="BB43" i="5"/>
  <c r="BB15" i="5"/>
  <c r="BC43" i="5"/>
  <c r="BC30" i="5"/>
  <c r="BB7" i="5"/>
  <c r="BB5" i="8" s="1"/>
  <c r="BB10" i="5"/>
  <c r="BB6" i="8" s="1"/>
  <c r="D33" i="8"/>
  <c r="AN10" i="5"/>
  <c r="AN6" i="8" s="1"/>
  <c r="AN26" i="5"/>
  <c r="AO30" i="5"/>
  <c r="AN15" i="5"/>
  <c r="AO43" i="5"/>
  <c r="AN9" i="5"/>
  <c r="AN7" i="5"/>
  <c r="AN5" i="8" s="1"/>
  <c r="AN43" i="5"/>
  <c r="AN14" i="5"/>
  <c r="AN24" i="5"/>
  <c r="AN30" i="5"/>
  <c r="AN25" i="5"/>
  <c r="AN21" i="5"/>
  <c r="AN27" i="5"/>
  <c r="I25" i="5"/>
  <c r="I9" i="5"/>
  <c r="I14" i="5"/>
  <c r="I27" i="5"/>
  <c r="I26" i="5"/>
  <c r="I21" i="5"/>
  <c r="J43" i="5"/>
  <c r="I15" i="5"/>
  <c r="J30" i="5"/>
  <c r="I43" i="5"/>
  <c r="I30" i="5"/>
  <c r="I24" i="5"/>
  <c r="AE25" i="5"/>
  <c r="AE15" i="5"/>
  <c r="AE27" i="5"/>
  <c r="AE26" i="5"/>
  <c r="AE9" i="5"/>
  <c r="AE30" i="5"/>
  <c r="AE43" i="5"/>
  <c r="AE14" i="5"/>
  <c r="AE24" i="5"/>
  <c r="AE21" i="5"/>
  <c r="AE7" i="5"/>
  <c r="AE5" i="8" s="1"/>
  <c r="AE10" i="5"/>
  <c r="AE6" i="8" s="1"/>
  <c r="F53" i="8"/>
  <c r="N43" i="5"/>
  <c r="N14" i="5"/>
  <c r="N26" i="5"/>
  <c r="N25" i="5"/>
  <c r="N21" i="5"/>
  <c r="N9" i="5"/>
  <c r="N24" i="5"/>
  <c r="N30" i="5"/>
  <c r="N15" i="5"/>
  <c r="N27" i="5"/>
  <c r="BI15" i="5"/>
  <c r="BI43" i="5"/>
  <c r="BI9" i="5"/>
  <c r="BI24" i="5"/>
  <c r="BI26" i="5"/>
  <c r="BI30" i="5"/>
  <c r="BI14" i="5"/>
  <c r="BI21" i="5"/>
  <c r="BI25" i="5"/>
  <c r="BI27" i="5"/>
  <c r="BI7" i="5"/>
  <c r="BI5" i="8" s="1"/>
  <c r="BI10" i="5"/>
  <c r="BI6" i="8" s="1"/>
  <c r="BM14" i="5"/>
  <c r="BM43" i="5"/>
  <c r="BM9" i="5"/>
  <c r="BM21" i="5"/>
  <c r="BM25" i="5"/>
  <c r="BM27" i="5"/>
  <c r="BM15" i="5"/>
  <c r="BM24" i="5"/>
  <c r="BM26" i="5"/>
  <c r="BM30" i="5"/>
  <c r="BN43" i="5"/>
  <c r="BJ21" i="5"/>
  <c r="BJ25" i="5"/>
  <c r="BJ27" i="5"/>
  <c r="BJ14" i="5"/>
  <c r="BJ15" i="5"/>
  <c r="BJ43" i="5"/>
  <c r="BJ24" i="5"/>
  <c r="BJ26" i="5"/>
  <c r="BJ30" i="5"/>
  <c r="BJ9" i="5"/>
  <c r="BK30" i="5"/>
  <c r="BK21" i="5"/>
  <c r="BK25" i="5"/>
  <c r="BK27" i="5"/>
  <c r="BK15" i="5"/>
  <c r="BK24" i="5"/>
  <c r="BK26" i="5"/>
  <c r="BK43" i="5"/>
  <c r="BK14" i="5"/>
  <c r="BK9" i="5"/>
  <c r="BQ15" i="5"/>
  <c r="BQ43" i="5"/>
  <c r="BR43" i="5"/>
  <c r="BQ24" i="5"/>
  <c r="BQ26" i="5"/>
  <c r="BQ30" i="5"/>
  <c r="BQ9" i="5"/>
  <c r="BQ14" i="5"/>
  <c r="BR30" i="5"/>
  <c r="BQ21" i="5"/>
  <c r="BQ25" i="5"/>
  <c r="BQ27" i="5"/>
  <c r="BM10" i="5"/>
  <c r="BM6" i="8" s="1"/>
  <c r="BQ10" i="5"/>
  <c r="BQ6" i="8" s="1"/>
  <c r="BO25" i="5"/>
  <c r="BO24" i="5"/>
  <c r="BO26" i="5"/>
  <c r="BO30" i="5"/>
  <c r="BO14" i="5"/>
  <c r="BO9" i="5"/>
  <c r="BO21" i="5"/>
  <c r="BO27" i="5"/>
  <c r="BO15" i="5"/>
  <c r="BO43" i="5"/>
  <c r="BP43" i="5"/>
  <c r="BP24" i="5"/>
  <c r="BP26" i="5"/>
  <c r="BP30" i="5"/>
  <c r="BP14" i="5"/>
  <c r="BP9" i="5"/>
  <c r="BP21" i="5"/>
  <c r="BP25" i="5"/>
  <c r="BP27" i="5"/>
  <c r="BP15" i="5"/>
  <c r="BP7" i="5"/>
  <c r="BP5" i="8" s="1"/>
  <c r="BP10" i="5"/>
  <c r="BP6" i="8" s="1"/>
  <c r="BL9" i="5"/>
  <c r="BL21" i="5"/>
  <c r="BL25" i="5"/>
  <c r="BL27" i="5"/>
  <c r="BL15" i="5"/>
  <c r="BL43" i="5"/>
  <c r="BL24" i="5"/>
  <c r="BL26" i="5"/>
  <c r="BL30" i="5"/>
  <c r="BL14" i="5"/>
  <c r="BK7" i="5"/>
  <c r="BK5" i="8" s="1"/>
  <c r="C35" i="7"/>
  <c r="C37" i="7" s="1"/>
  <c r="D56" i="6" s="1"/>
  <c r="D54" i="5"/>
  <c r="D11" i="8" s="1"/>
  <c r="D38" i="8" s="1"/>
  <c r="D41" i="8" s="1"/>
  <c r="J35" i="7"/>
  <c r="J37" i="7" s="1"/>
  <c r="K56" i="6" s="1"/>
  <c r="K54" i="5"/>
  <c r="K11" i="8" s="1"/>
  <c r="BH10" i="5"/>
  <c r="BH6" i="8" s="1"/>
  <c r="BH9" i="5"/>
  <c r="BH21" i="5"/>
  <c r="BH25" i="5"/>
  <c r="BH26" i="5"/>
  <c r="BH14" i="5"/>
  <c r="BH15" i="5"/>
  <c r="BH27" i="5"/>
  <c r="BH24" i="5"/>
  <c r="BH7" i="5"/>
  <c r="BH5" i="8" s="1"/>
  <c r="BH30" i="5"/>
  <c r="BH43" i="5"/>
  <c r="BF25" i="5"/>
  <c r="BF30" i="5"/>
  <c r="BF15" i="5"/>
  <c r="BF14" i="5"/>
  <c r="BF7" i="5"/>
  <c r="BF5" i="8" s="1"/>
  <c r="BF21" i="5"/>
  <c r="BF10" i="5"/>
  <c r="BF6" i="8" s="1"/>
  <c r="BF27" i="5"/>
  <c r="BF26" i="5"/>
  <c r="BF9" i="5"/>
  <c r="BF24" i="5"/>
  <c r="BF43" i="5"/>
  <c r="BG30" i="5"/>
  <c r="BG43" i="5"/>
  <c r="BE10" i="5"/>
  <c r="BE6" i="8" s="1"/>
  <c r="BE14" i="5"/>
  <c r="BE24" i="5"/>
  <c r="BE7" i="5"/>
  <c r="BE5" i="8" s="1"/>
  <c r="BE9" i="5"/>
  <c r="BE26" i="5"/>
  <c r="BE15" i="5"/>
  <c r="BE21" i="5"/>
  <c r="BE27" i="5"/>
  <c r="BE25" i="5"/>
  <c r="BE30" i="5"/>
  <c r="BE43" i="5"/>
  <c r="C33" i="8" l="1"/>
  <c r="E33" i="8"/>
  <c r="E53" i="8"/>
  <c r="BS4" i="4" l="1"/>
  <c r="BS26" i="4" s="1"/>
  <c r="BT54" i="5" l="1"/>
  <c r="BT11" i="8" s="1"/>
  <c r="BS52" i="4"/>
  <c r="BT5" i="6"/>
  <c r="BT56" i="5"/>
  <c r="BT13" i="8" s="1"/>
  <c r="BU54" i="5"/>
  <c r="BU11" i="8" s="1"/>
  <c r="BT57" i="5"/>
  <c r="BT18" i="8" s="1"/>
  <c r="BT48" i="5"/>
  <c r="BT16" i="8" s="1"/>
  <c r="BT36" i="6"/>
  <c r="BT47" i="5"/>
  <c r="BT15" i="8" s="1"/>
  <c r="BT7" i="5" l="1"/>
  <c r="BT5" i="8" s="1"/>
  <c r="BT10" i="5"/>
  <c r="BT6" i="8" s="1"/>
  <c r="BT24" i="5"/>
  <c r="BT15" i="5"/>
  <c r="BT30" i="5"/>
  <c r="BT43" i="5"/>
  <c r="BT27" i="5"/>
  <c r="BT25" i="5"/>
  <c r="BT9" i="5"/>
  <c r="BT21" i="5"/>
  <c r="BT14" i="5"/>
  <c r="BT26" i="5"/>
  <c r="BU30" i="5"/>
  <c r="BU4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IORETA</author>
  </authors>
  <commentList>
    <comment ref="F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6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End Date Of Reporting Month</t>
        </r>
      </text>
    </comment>
  </commentList>
</comments>
</file>

<file path=xl/sharedStrings.xml><?xml version="1.0" encoding="utf-8"?>
<sst xmlns="http://schemas.openxmlformats.org/spreadsheetml/2006/main" count="770" uniqueCount="289">
  <si>
    <t>MENTOR SACCO LTD</t>
  </si>
  <si>
    <t>STATEMENT OF FINANCIAL POSITION</t>
  </si>
  <si>
    <t>2011 AUDITED</t>
  </si>
  <si>
    <t>2012 AUDITED</t>
  </si>
  <si>
    <t>2013 AUDITED</t>
  </si>
  <si>
    <t>2014 AUDITED</t>
  </si>
  <si>
    <t>Audited 2015</t>
  </si>
  <si>
    <t>Audited 2016</t>
  </si>
  <si>
    <t>Audited 2017</t>
  </si>
  <si>
    <t>Audited 2018</t>
  </si>
  <si>
    <t>Audited-19</t>
  </si>
  <si>
    <t>Audited-20</t>
  </si>
  <si>
    <t>Audited 2021</t>
  </si>
  <si>
    <t>Audited 2022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</si>
  <si>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</si>
  <si>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</si>
  <si>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</si>
  <si>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</si>
  <si>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</si>
  <si>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</si>
  <si>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</si>
  <si>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with other SACCO Societies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</si>
  <si>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</si>
  <si>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</si>
  <si>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</si>
  <si>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</si>
  <si>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</si>
  <si>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</si>
  <si>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</si>
  <si>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</si>
  <si>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</si>
  <si>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</si>
  <si>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</si>
  <si>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</si>
  <si>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</si>
  <si>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</si>
  <si>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</si>
  <si>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</si>
  <si>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</si>
  <si>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</si>
  <si>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</si>
  <si>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</si>
  <si>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</si>
  <si>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</si>
  <si>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</si>
  <si>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</si>
  <si>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</si>
  <si>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</si>
  <si>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</si>
  <si>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</si>
  <si>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</si>
  <si>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</si>
  <si>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</si>
  <si>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</si>
  <si>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</si>
  <si>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</si>
  <si>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</si>
  <si>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</si>
  <si>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</si>
  <si>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</si>
  <si>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</si>
  <si>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</si>
  <si>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audited 2015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</si>
  <si>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</si>
  <si>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</si>
  <si>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</si>
  <si>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</si>
  <si>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</si>
  <si>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</si>
  <si>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</si>
  <si>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</si>
  <si>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</si>
  <si>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</si>
  <si>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</si>
  <si>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</si>
  <si>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</si>
  <si>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</si>
  <si>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</si>
  <si>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</si>
  <si>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</si>
  <si>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</si>
  <si>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</si>
  <si>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</si>
  <si>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</si>
  <si>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</si>
  <si>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</si>
  <si>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</si>
  <si>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</si>
  <si>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</si>
  <si>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</si>
  <si>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</si>
  <si>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</si>
  <si>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</si>
  <si>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9"/>
        <rFont val="Cambria"/>
        <family val="1"/>
        <scheme val="major"/>
      </rPr>
      <t>(Incomes taxes &amp; Other payable to KRA)</t>
    </r>
  </si>
  <si>
    <t>Net Income (After Taxes before Donations)</t>
  </si>
  <si>
    <t>Donations</t>
  </si>
  <si>
    <t>Net Income/(After Taxes and Donations)</t>
  </si>
  <si>
    <t>MENTOR SACCO</t>
  </si>
  <si>
    <t>Year</t>
  </si>
  <si>
    <t>2012 audited</t>
  </si>
  <si>
    <t>2013 audited</t>
  </si>
  <si>
    <t>2014 audited</t>
  </si>
  <si>
    <t>audited2015</t>
  </si>
  <si>
    <t>Audited-2019</t>
  </si>
  <si>
    <t>Membership</t>
  </si>
  <si>
    <t>Total Deposits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</si>
  <si>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</si>
  <si>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</si>
  <si>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</si>
  <si>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</si>
  <si>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</si>
  <si>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</si>
  <si>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</si>
  <si>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</si>
  <si>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</si>
  <si>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</si>
  <si>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</si>
  <si>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</si>
  <si>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</si>
  <si>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</si>
  <si>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</si>
  <si>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</si>
  <si>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</si>
  <si>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</si>
  <si>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</si>
  <si>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</si>
  <si>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</si>
  <si>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</si>
  <si>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</si>
  <si>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</si>
  <si>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</si>
  <si>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</si>
  <si>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</si>
  <si>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</si>
  <si>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</si>
  <si>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</si>
  <si>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</si>
  <si>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</si>
  <si>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</si>
  <si>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</si>
  <si>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</si>
  <si>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</si>
  <si>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</si>
  <si>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</si>
  <si>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</si>
  <si>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</si>
  <si>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</si>
  <si>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</si>
  <si>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LLP</t>
  </si>
  <si>
    <t>Net Surplus</t>
  </si>
  <si>
    <t>MENTOR SACCO SOCIETY LTD</t>
  </si>
  <si>
    <t xml:space="preserve"> Sacco Financial Performance </t>
  </si>
  <si>
    <t>FINANCIAL SOUNDNESS INDICATORS</t>
  </si>
  <si>
    <t>Prude.  Std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</si>
  <si>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</si>
  <si>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</si>
  <si>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</si>
  <si>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</si>
  <si>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</si>
  <si>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</si>
  <si>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</si>
  <si>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</si>
  <si>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</si>
  <si>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</si>
  <si>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</si>
  <si>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</si>
  <si>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</si>
  <si>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</si>
  <si>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</si>
  <si>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</si>
  <si>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</si>
  <si>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</si>
  <si>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</si>
  <si>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</si>
  <si>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</si>
  <si>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</si>
  <si>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</si>
  <si>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</si>
  <si>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FUNDING MIX</t>
  </si>
  <si>
    <t>Total Deposits/Total Assets</t>
  </si>
  <si>
    <t>BOSA Deposits/Total Assets</t>
  </si>
  <si>
    <t>FOSA Deposits/Total Assets</t>
  </si>
  <si>
    <t>External Borrowing/Total assets</t>
  </si>
  <si>
    <t>≤ 25%</t>
  </si>
  <si>
    <t>GROWTH RATIOS</t>
  </si>
  <si>
    <t>FOSA Deposits</t>
  </si>
  <si>
    <t>BOSA Deposits</t>
  </si>
  <si>
    <t>Core capital</t>
  </si>
  <si>
    <t>Total Gross Income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</si>
  <si>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</si>
  <si>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</si>
  <si>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</si>
  <si>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</si>
  <si>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</si>
  <si>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</si>
  <si>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OpEx/Gross Loans</t>
  </si>
  <si>
    <t>Liquidity Ratio</t>
  </si>
  <si>
    <t>minimum Liquidity</t>
  </si>
  <si>
    <t>technical Liquidity</t>
  </si>
  <si>
    <t>Loan Loss Provisions Ratios</t>
  </si>
  <si>
    <t>Actual LLP / Required LLP</t>
  </si>
  <si>
    <t xml:space="preserve">Loan interest/Net Loans </t>
  </si>
  <si>
    <t>Earnings</t>
  </si>
  <si>
    <t>Return on Assets</t>
  </si>
  <si>
    <t>Cost income ration</t>
  </si>
  <si>
    <t>Operating expense ratio</t>
  </si>
  <si>
    <t>liquid assets/ta</t>
  </si>
  <si>
    <t>2011 Audited</t>
  </si>
  <si>
    <t>2012 Audited</t>
  </si>
  <si>
    <t>2013 Audited</t>
  </si>
  <si>
    <t>2014 Audited</t>
  </si>
  <si>
    <t>Audited-2018</t>
  </si>
  <si>
    <t>Audited 2019</t>
  </si>
  <si>
    <t>Audited 2020</t>
  </si>
  <si>
    <t>audited 2021</t>
  </si>
  <si>
    <t>CAPITAL</t>
  </si>
  <si>
    <t>CORE CAPITAL</t>
  </si>
  <si>
    <t>CCA</t>
  </si>
  <si>
    <t>ICA</t>
  </si>
  <si>
    <t>CCD</t>
  </si>
  <si>
    <t>Asset Quality</t>
  </si>
  <si>
    <t>NPL</t>
  </si>
  <si>
    <t>ROA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</si>
  <si>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</si>
  <si>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</si>
  <si>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</si>
  <si>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</si>
  <si>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</si>
  <si>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</si>
  <si>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</si>
  <si>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</si>
  <si>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</si>
  <si>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</si>
  <si>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</si>
  <si>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</si>
  <si>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CAELS RATINGS</t>
  </si>
  <si>
    <t>TECH LIQ</t>
  </si>
  <si>
    <t>FINAL RATING</t>
  </si>
  <si>
    <t>31/12/2021</t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</si>
  <si>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</si>
  <si>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</si>
  <si>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</si>
  <si>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</si>
  <si>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</si>
  <si>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</si>
  <si>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</si>
  <si>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</si>
  <si>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</si>
  <si>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</si>
  <si>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</si>
  <si>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</si>
  <si>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</si>
  <si>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</si>
  <si>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</si>
  <si>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</si>
  <si>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</si>
  <si>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</si>
  <si>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31/3/2022</t>
  </si>
  <si>
    <t>31/06/2022</t>
  </si>
  <si>
    <t>31/09/2022</t>
  </si>
  <si>
    <t>31/12/2022</t>
  </si>
  <si>
    <t>FORM 4 SASRA2/004</t>
  </si>
  <si>
    <t>RISK CLASSIFICATION OF ASSETS AND PROVISIONING</t>
  </si>
  <si>
    <t>NAME OF SACCO SOCIETY</t>
  </si>
  <si>
    <t xml:space="preserve">FINANCIAL YEAR </t>
  </si>
  <si>
    <t>START DATE:</t>
  </si>
  <si>
    <t>1/1/2017</t>
  </si>
  <si>
    <t>END DATE:</t>
  </si>
  <si>
    <t>31/3/2017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</si>
  <si>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</si>
  <si>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r>
      <t>Note:</t>
    </r>
    <r>
      <rPr>
        <sz val="10.5"/>
        <rFont val="Cambria"/>
        <family val="1"/>
      </rPr>
      <t xml:space="preserve"> This return should be received on or before the 15th day of the month following end of every  quarter </t>
    </r>
  </si>
  <si>
    <t>AUTHORIZATION:</t>
  </si>
  <si>
    <t xml:space="preserve"> We declare that this return, to the best of our knowledge and belief is correct.</t>
  </si>
  <si>
    <t>…………………………………………………..sign……………………………..date……………………..</t>
  </si>
  <si>
    <t>Name of Authorizing Officer</t>
  </si>
  <si>
    <t>Name of Countersigning Officer</t>
  </si>
  <si>
    <t>30/6/2017</t>
  </si>
  <si>
    <t>30/9/2017</t>
  </si>
  <si>
    <t>SACCO SOCIETY CS NUMBER</t>
  </si>
  <si>
    <t>2648</t>
  </si>
  <si>
    <t>31/12/2017</t>
  </si>
  <si>
    <t>sign ………………….…………….   date……………………………</t>
  </si>
  <si>
    <t>2017 Returns</t>
  </si>
  <si>
    <t>Growth Ratios</t>
  </si>
  <si>
    <t>External Borrowing</t>
  </si>
  <si>
    <t>Tunover</t>
  </si>
  <si>
    <t>≥ 15%</t>
  </si>
  <si>
    <t>1/1/2013</t>
  </si>
  <si>
    <t>31/12/2013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</si>
</sst>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#,##0.00_);\-#,##0.00"/>
    <numFmt numFmtId="175" formatCode="[$-10409]0.00;\-\ 0.00"/>
    <numFmt numFmtId="176" formatCode="_(* #,##0.0_);_(* \(#,##0.0\);_(* \-??_);_(@_)"/>
    <numFmt numFmtId="177" formatCode="_(* #,##0_);_(* \(#,##0\);_(* \-??_);_(@_)"/>
  </numFmts>
  <fonts count="8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b/>
      <sz val="10"/>
      <name val="Cambria"/>
      <family val="1"/>
    </font>
    <font>
      <b/>
      <sz val="10.5"/>
      <name val="Cambria"/>
      <family val="1"/>
    </font>
    <font>
      <sz val="10.5"/>
      <name val="Cambria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i/>
      <sz val="1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11"/>
      <color indexed="8"/>
      <name val="Cambria"/>
      <family val="1"/>
      <scheme val="major"/>
    </font>
    <font>
      <sz val="11"/>
      <color indexed="8"/>
      <name val="Cambria"/>
      <family val="1"/>
      <scheme val="major"/>
    </font>
    <font>
      <i/>
      <sz val="11"/>
      <color indexed="8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i/>
      <sz val="11"/>
      <name val="Cambria"/>
      <family val="1"/>
      <scheme val="maj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mbria"/>
      <family val="1"/>
      <scheme val="major"/>
    </font>
    <font>
      <b/>
      <sz val="11"/>
      <color indexed="8"/>
      <name val="Calibri"/>
      <family val="2"/>
      <scheme val="minor"/>
    </font>
    <font>
      <sz val="11"/>
      <color theme="1"/>
      <name val="Times New Roman"/>
      <family val="1"/>
    </font>
    <font>
      <sz val="9"/>
      <color indexed="8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color indexed="8"/>
      <name val="Cambria"/>
      <family val="1"/>
      <scheme val="major"/>
    </font>
    <font>
      <i/>
      <sz val="9"/>
      <name val="Cambria"/>
      <family val="1"/>
      <scheme val="major"/>
    </font>
    <font>
      <sz val="9"/>
      <color rgb="FFFF0000"/>
      <name val="Cambria"/>
      <family val="1"/>
      <scheme val="major"/>
    </font>
    <font>
      <sz val="10"/>
      <color rgb="FF000000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charset val="1"/>
    </font>
  </fonts>
  <fills count="29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AA520"/>
        <bgColor rgb="FF000000"/>
      </patternFill>
    </fill>
  </fills>
  <borders count="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696">
    <xf numFmtId="0" fontId="0" fillId="0" borderId="0"/>
    <xf numFmtId="0" fontId="6" fillId="2" borderId="0" applyNumberFormat="0" applyBorder="0" applyAlignment="0" applyProtection="0"/>
    <xf numFmtId="0" fontId="28" fillId="1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7" fillId="3" borderId="0" applyNumberFormat="0" applyBorder="0" applyAlignment="0" applyProtection="0"/>
    <xf numFmtId="0" fontId="29" fillId="1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7" fillId="4" borderId="0" applyNumberFormat="0" applyBorder="0" applyAlignment="0" applyProtection="0"/>
    <xf numFmtId="0" fontId="29" fillId="14" borderId="0" applyNumberFormat="0" applyBorder="0" applyAlignment="0" applyProtection="0"/>
    <xf numFmtId="0" fontId="8" fillId="5" borderId="2" applyNumberFormat="0" applyAlignment="0" applyProtection="0"/>
    <xf numFmtId="0" fontId="30" fillId="15" borderId="54" applyNumberFormat="0" applyAlignment="0" applyProtection="0"/>
    <xf numFmtId="43" fontId="2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9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18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1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12" fillId="6" borderId="1" applyNumberFormat="0" applyAlignment="0" applyProtection="0"/>
    <xf numFmtId="0" fontId="31" fillId="16" borderId="53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3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32" fillId="0" borderId="0"/>
    <xf numFmtId="0" fontId="2" fillId="7" borderId="3" applyNumberFormat="0" applyAlignment="0" applyProtection="0"/>
    <xf numFmtId="0" fontId="2" fillId="17" borderId="55" applyNumberFormat="0" applyFont="0" applyAlignment="0" applyProtection="0"/>
    <xf numFmtId="9" fontId="27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34" fillId="0" borderId="56" applyNumberFormat="0" applyFill="0" applyAlignment="0" applyProtection="0"/>
    <xf numFmtId="0" fontId="34" fillId="0" borderId="56" applyNumberFormat="0" applyFill="0" applyAlignment="0" applyProtection="0"/>
  </cellStyleXfs>
  <cellXfs count="527">
    <xf numFmtId="0" fontId="0" fillId="0" borderId="0" xfId="0"/>
    <xf numFmtId="17" fontId="35" fillId="0" borderId="5" xfId="0" applyNumberFormat="1" applyFont="1" applyBorder="1"/>
    <xf numFmtId="0" fontId="36" fillId="0" borderId="0" xfId="0" applyFont="1"/>
    <xf numFmtId="17" fontId="37" fillId="0" borderId="0" xfId="505" applyNumberFormat="1" applyFont="1"/>
    <xf numFmtId="0" fontId="35" fillId="0" borderId="6" xfId="0" applyFont="1" applyBorder="1"/>
    <xf numFmtId="0" fontId="36" fillId="0" borderId="7" xfId="0" applyFont="1" applyBorder="1"/>
    <xf numFmtId="0" fontId="35" fillId="0" borderId="8" xfId="0" applyFont="1" applyBorder="1"/>
    <xf numFmtId="0" fontId="38" fillId="0" borderId="9" xfId="0" applyFont="1" applyBorder="1"/>
    <xf numFmtId="166" fontId="36" fillId="0" borderId="10" xfId="53" applyNumberFormat="1" applyFont="1" applyBorder="1"/>
    <xf numFmtId="0" fontId="38" fillId="0" borderId="8" xfId="0" applyFont="1" applyBorder="1"/>
    <xf numFmtId="166" fontId="36" fillId="0" borderId="11" xfId="53" applyNumberFormat="1" applyFont="1" applyBorder="1"/>
    <xf numFmtId="172" fontId="38" fillId="0" borderId="8" xfId="0" applyNumberFormat="1" applyFont="1" applyBorder="1"/>
    <xf numFmtId="172" fontId="38" fillId="0" borderId="6" xfId="0" applyNumberFormat="1" applyFont="1" applyBorder="1"/>
    <xf numFmtId="0" fontId="38" fillId="0" borderId="12" xfId="0" applyFont="1" applyBorder="1"/>
    <xf numFmtId="172" fontId="38" fillId="0" borderId="13" xfId="0" applyNumberFormat="1" applyFont="1" applyBorder="1"/>
    <xf numFmtId="0" fontId="39" fillId="0" borderId="14" xfId="0" applyFont="1" applyBorder="1"/>
    <xf numFmtId="172" fontId="38" fillId="0" borderId="15" xfId="0" applyNumberFormat="1" applyFont="1" applyBorder="1"/>
    <xf numFmtId="172" fontId="38" fillId="0" borderId="16" xfId="0" applyNumberFormat="1" applyFont="1" applyBorder="1"/>
    <xf numFmtId="172" fontId="39" fillId="0" borderId="6" xfId="0" applyNumberFormat="1" applyFont="1" applyBorder="1"/>
    <xf numFmtId="38" fontId="36" fillId="0" borderId="0" xfId="53" applyNumberFormat="1" applyFont="1" applyBorder="1"/>
    <xf numFmtId="38" fontId="35" fillId="0" borderId="0" xfId="53" applyNumberFormat="1" applyFont="1" applyBorder="1"/>
    <xf numFmtId="9" fontId="40" fillId="0" borderId="11" xfId="685" applyFont="1" applyBorder="1"/>
    <xf numFmtId="0" fontId="4" fillId="0" borderId="0" xfId="0" applyFont="1"/>
    <xf numFmtId="0" fontId="3" fillId="0" borderId="17" xfId="0" applyFont="1" applyBorder="1" applyAlignment="1">
      <alignment wrapText="1"/>
    </xf>
    <xf numFmtId="0" fontId="5" fillId="0" borderId="17" xfId="0" applyFont="1" applyBorder="1" applyAlignment="1">
      <alignment wrapText="1"/>
    </xf>
    <xf numFmtId="43" fontId="36" fillId="0" borderId="0" xfId="53" applyFont="1" applyBorder="1"/>
    <xf numFmtId="43" fontId="36" fillId="0" borderId="18" xfId="53" applyFont="1" applyBorder="1"/>
    <xf numFmtId="43" fontId="36" fillId="0" borderId="5" xfId="53" applyFont="1" applyBorder="1"/>
    <xf numFmtId="43" fontId="36" fillId="0" borderId="11" xfId="53" applyFont="1" applyBorder="1"/>
    <xf numFmtId="43" fontId="36" fillId="0" borderId="19" xfId="53" applyFont="1" applyBorder="1"/>
    <xf numFmtId="43" fontId="36" fillId="0" borderId="20" xfId="53" applyFont="1" applyBorder="1"/>
    <xf numFmtId="0" fontId="33" fillId="0" borderId="0" xfId="0" applyFont="1"/>
    <xf numFmtId="43" fontId="38" fillId="0" borderId="5" xfId="53" applyFont="1" applyBorder="1"/>
    <xf numFmtId="0" fontId="3" fillId="0" borderId="21" xfId="0" applyFont="1" applyBorder="1" applyAlignment="1">
      <alignment wrapText="1"/>
    </xf>
    <xf numFmtId="43" fontId="36" fillId="0" borderId="11" xfId="53" applyFont="1" applyFill="1" applyBorder="1"/>
    <xf numFmtId="43" fontId="36" fillId="18" borderId="5" xfId="53" applyFont="1" applyFill="1" applyBorder="1"/>
    <xf numFmtId="43" fontId="36" fillId="19" borderId="11" xfId="53" applyFont="1" applyFill="1" applyBorder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1" fontId="3" fillId="0" borderId="17" xfId="0" applyNumberFormat="1" applyFont="1" applyBorder="1" applyAlignment="1">
      <alignment wrapText="1"/>
    </xf>
    <xf numFmtId="49" fontId="0" fillId="0" borderId="0" xfId="0" applyNumberFormat="1"/>
    <xf numFmtId="43" fontId="3" fillId="0" borderId="17" xfId="0" applyNumberFormat="1" applyFont="1" applyBorder="1" applyAlignment="1">
      <alignment wrapText="1"/>
    </xf>
    <xf numFmtId="1" fontId="3" fillId="0" borderId="17" xfId="0" applyNumberFormat="1" applyFont="1" applyBorder="1" applyAlignment="1">
      <alignment horizontal="center" wrapText="1"/>
    </xf>
    <xf numFmtId="0" fontId="3" fillId="0" borderId="22" xfId="0" applyFont="1" applyBorder="1" applyAlignment="1">
      <alignment wrapText="1"/>
    </xf>
    <xf numFmtId="0" fontId="3" fillId="0" borderId="23" xfId="0" applyFont="1" applyBorder="1" applyAlignment="1">
      <alignment wrapText="1"/>
    </xf>
    <xf numFmtId="0" fontId="16" fillId="0" borderId="0" xfId="0" applyFont="1" applyAlignment="1">
      <alignment horizontal="left" wrapText="1"/>
    </xf>
    <xf numFmtId="0" fontId="1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  <xf numFmtId="0" fontId="41" fillId="20" borderId="14" xfId="647" applyFont="1" applyFill="1" applyBorder="1" applyAlignment="1">
      <alignment horizontal="center" wrapText="1"/>
    </xf>
    <xf numFmtId="0" fontId="41" fillId="20" borderId="18" xfId="647" applyFont="1" applyFill="1" applyBorder="1" applyAlignment="1">
      <alignment horizontal="center"/>
    </xf>
    <xf numFmtId="0" fontId="33" fillId="0" borderId="15" xfId="0" applyFont="1" applyBorder="1"/>
    <xf numFmtId="0" fontId="33" fillId="0" borderId="24" xfId="0" applyFont="1" applyBorder="1"/>
    <xf numFmtId="0" fontId="0" fillId="0" borderId="9" xfId="0" applyBorder="1"/>
    <xf numFmtId="0" fontId="42" fillId="0" borderId="5" xfId="647" applyFont="1" applyBorder="1" applyAlignment="1">
      <alignment horizontal="center"/>
    </xf>
    <xf numFmtId="43" fontId="27" fillId="0" borderId="5" xfId="53" applyFont="1" applyFill="1" applyBorder="1" applyAlignment="1">
      <alignment horizontal="right"/>
    </xf>
    <xf numFmtId="173" fontId="27" fillId="0" borderId="5" xfId="685" applyNumberFormat="1" applyFont="1" applyFill="1" applyBorder="1" applyAlignment="1">
      <alignment horizontal="right"/>
    </xf>
    <xf numFmtId="173" fontId="2" fillId="0" borderId="5" xfId="687" applyNumberFormat="1" applyFont="1" applyFill="1" applyBorder="1" applyAlignment="1">
      <alignment horizontal="right"/>
    </xf>
    <xf numFmtId="0" fontId="0" fillId="0" borderId="5" xfId="0" applyBorder="1"/>
    <xf numFmtId="9" fontId="42" fillId="0" borderId="5" xfId="647" applyNumberFormat="1" applyFont="1" applyBorder="1" applyAlignment="1">
      <alignment horizontal="center"/>
    </xf>
    <xf numFmtId="173" fontId="27" fillId="0" borderId="5" xfId="685" applyNumberFormat="1" applyFont="1" applyFill="1" applyBorder="1"/>
    <xf numFmtId="0" fontId="0" fillId="0" borderId="12" xfId="0" applyBorder="1"/>
    <xf numFmtId="0" fontId="42" fillId="0" borderId="11" xfId="647" applyFont="1" applyBorder="1" applyAlignment="1">
      <alignment horizontal="center"/>
    </xf>
    <xf numFmtId="0" fontId="41" fillId="20" borderId="9" xfId="647" applyFont="1" applyFill="1" applyBorder="1" applyAlignment="1">
      <alignment horizontal="center" wrapText="1"/>
    </xf>
    <xf numFmtId="0" fontId="41" fillId="20" borderId="5" xfId="647" applyFont="1" applyFill="1" applyBorder="1" applyAlignment="1">
      <alignment horizontal="center"/>
    </xf>
    <xf numFmtId="0" fontId="33" fillId="0" borderId="9" xfId="0" applyFont="1" applyBorder="1"/>
    <xf numFmtId="0" fontId="33" fillId="0" borderId="5" xfId="0" applyFont="1" applyBorder="1"/>
    <xf numFmtId="43" fontId="27" fillId="0" borderId="5" xfId="53" applyFont="1" applyFill="1" applyBorder="1" applyAlignment="1">
      <alignment horizontal="center"/>
    </xf>
    <xf numFmtId="173" fontId="27" fillId="0" borderId="5" xfId="685" applyNumberFormat="1" applyFont="1" applyFill="1" applyBorder="1" applyAlignment="1">
      <alignment horizontal="center"/>
    </xf>
    <xf numFmtId="0" fontId="27" fillId="0" borderId="5" xfId="685" applyNumberFormat="1" applyFont="1" applyFill="1" applyBorder="1" applyAlignment="1">
      <alignment horizontal="right"/>
    </xf>
    <xf numFmtId="173" fontId="2" fillId="0" borderId="5" xfId="687" applyNumberFormat="1" applyFont="1" applyFill="1" applyBorder="1" applyAlignment="1">
      <alignment horizontal="center"/>
    </xf>
    <xf numFmtId="2" fontId="2" fillId="0" borderId="5" xfId="687" applyNumberFormat="1" applyFont="1" applyFill="1" applyBorder="1" applyAlignment="1">
      <alignment horizontal="center"/>
    </xf>
    <xf numFmtId="2" fontId="27" fillId="0" borderId="5" xfId="685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33" fillId="0" borderId="12" xfId="0" applyFont="1" applyBorder="1"/>
    <xf numFmtId="0" fontId="33" fillId="0" borderId="11" xfId="0" applyFont="1" applyBorder="1"/>
    <xf numFmtId="2" fontId="33" fillId="0" borderId="11" xfId="0" applyNumberFormat="1" applyFont="1" applyBorder="1"/>
    <xf numFmtId="43" fontId="27" fillId="0" borderId="17" xfId="53" applyBorder="1" applyAlignment="1">
      <alignment wrapText="1"/>
    </xf>
    <xf numFmtId="43" fontId="43" fillId="21" borderId="5" xfId="53" applyFont="1" applyFill="1" applyBorder="1" applyAlignment="1">
      <alignment horizontal="left" wrapText="1"/>
    </xf>
    <xf numFmtId="43" fontId="43" fillId="0" borderId="5" xfId="56" applyFont="1" applyFill="1" applyBorder="1" applyAlignment="1">
      <alignment horizontal="left" wrapText="1"/>
    </xf>
    <xf numFmtId="43" fontId="44" fillId="0" borderId="5" xfId="56" applyFont="1" applyFill="1" applyBorder="1" applyAlignment="1">
      <alignment horizontal="left" wrapText="1"/>
    </xf>
    <xf numFmtId="43" fontId="44" fillId="0" borderId="5" xfId="56" applyFont="1" applyFill="1" applyBorder="1" applyAlignment="1">
      <alignment horizontal="left"/>
    </xf>
    <xf numFmtId="2" fontId="3" fillId="0" borderId="17" xfId="0" applyNumberFormat="1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43" fontId="36" fillId="0" borderId="25" xfId="53" applyFont="1" applyBorder="1"/>
    <xf numFmtId="43" fontId="45" fillId="0" borderId="18" xfId="53" applyFont="1" applyBorder="1"/>
    <xf numFmtId="0" fontId="46" fillId="0" borderId="0" xfId="0" applyFont="1" applyAlignment="1">
      <alignment horizontal="center" wrapText="1"/>
    </xf>
    <xf numFmtId="43" fontId="4" fillId="0" borderId="0" xfId="0" applyNumberFormat="1" applyFont="1"/>
    <xf numFmtId="9" fontId="4" fillId="0" borderId="0" xfId="685" applyFont="1"/>
    <xf numFmtId="17" fontId="33" fillId="20" borderId="26" xfId="0" applyNumberFormat="1" applyFont="1" applyFill="1" applyBorder="1" applyAlignment="1">
      <alignment wrapText="1"/>
    </xf>
    <xf numFmtId="43" fontId="36" fillId="0" borderId="27" xfId="53" applyFont="1" applyBorder="1"/>
    <xf numFmtId="43" fontId="36" fillId="0" borderId="28" xfId="53" applyFont="1" applyBorder="1"/>
    <xf numFmtId="49" fontId="0" fillId="0" borderId="0" xfId="0" applyNumberFormat="1" applyAlignment="1">
      <alignment horizontal="right"/>
    </xf>
    <xf numFmtId="43" fontId="33" fillId="0" borderId="17" xfId="53" applyFont="1" applyBorder="1" applyAlignment="1">
      <alignment wrapText="1"/>
    </xf>
    <xf numFmtId="0" fontId="5" fillId="0" borderId="17" xfId="0" applyFont="1" applyBorder="1" applyAlignment="1">
      <alignment horizontal="left" wrapText="1"/>
    </xf>
    <xf numFmtId="9" fontId="15" fillId="0" borderId="0" xfId="685" applyFont="1"/>
    <xf numFmtId="0" fontId="15" fillId="0" borderId="0" xfId="0" applyFont="1"/>
    <xf numFmtId="0" fontId="47" fillId="0" borderId="5" xfId="0" applyFont="1" applyBorder="1"/>
    <xf numFmtId="43" fontId="47" fillId="0" borderId="5" xfId="56" applyFont="1" applyBorder="1"/>
    <xf numFmtId="17" fontId="47" fillId="0" borderId="32" xfId="0" applyNumberFormat="1" applyFont="1" applyBorder="1"/>
    <xf numFmtId="0" fontId="48" fillId="0" borderId="5" xfId="0" applyFont="1" applyBorder="1"/>
    <xf numFmtId="166" fontId="49" fillId="0" borderId="5" xfId="53" applyNumberFormat="1" applyFont="1" applyBorder="1"/>
    <xf numFmtId="43" fontId="49" fillId="0" borderId="5" xfId="53" applyFont="1" applyBorder="1"/>
    <xf numFmtId="43" fontId="48" fillId="0" borderId="5" xfId="53" applyFont="1" applyBorder="1"/>
    <xf numFmtId="43" fontId="49" fillId="0" borderId="5" xfId="53" applyFont="1" applyFill="1" applyBorder="1"/>
    <xf numFmtId="9" fontId="49" fillId="0" borderId="5" xfId="687" applyFont="1" applyBorder="1"/>
    <xf numFmtId="0" fontId="49" fillId="0" borderId="5" xfId="0" applyFont="1" applyBorder="1"/>
    <xf numFmtId="0" fontId="50" fillId="0" borderId="5" xfId="0" applyFont="1" applyBorder="1"/>
    <xf numFmtId="0" fontId="51" fillId="0" borderId="5" xfId="0" applyFont="1" applyBorder="1"/>
    <xf numFmtId="0" fontId="52" fillId="0" borderId="33" xfId="0" applyFont="1" applyBorder="1"/>
    <xf numFmtId="0" fontId="48" fillId="22" borderId="15" xfId="647" applyFont="1" applyFill="1" applyBorder="1" applyAlignment="1">
      <alignment horizontal="left" vertical="center"/>
    </xf>
    <xf numFmtId="173" fontId="49" fillId="0" borderId="5" xfId="0" applyNumberFormat="1" applyFont="1" applyBorder="1"/>
    <xf numFmtId="0" fontId="48" fillId="22" borderId="5" xfId="647" applyFont="1" applyFill="1" applyBorder="1" applyAlignment="1">
      <alignment horizontal="left" vertical="center"/>
    </xf>
    <xf numFmtId="9" fontId="49" fillId="0" borderId="5" xfId="0" applyNumberFormat="1" applyFont="1" applyBorder="1"/>
    <xf numFmtId="17" fontId="33" fillId="0" borderId="32" xfId="0" applyNumberFormat="1" applyFont="1" applyBorder="1"/>
    <xf numFmtId="43" fontId="47" fillId="0" borderId="5" xfId="53" applyFont="1" applyBorder="1"/>
    <xf numFmtId="43" fontId="47" fillId="0" borderId="5" xfId="53" applyFont="1" applyFill="1" applyBorder="1"/>
    <xf numFmtId="0" fontId="53" fillId="0" borderId="0" xfId="647" applyFont="1" applyAlignment="1">
      <alignment horizontal="left" vertical="center"/>
    </xf>
    <xf numFmtId="0" fontId="48" fillId="0" borderId="0" xfId="647" applyFont="1" applyAlignment="1">
      <alignment horizontal="right" vertical="center"/>
    </xf>
    <xf numFmtId="0" fontId="53" fillId="0" borderId="34" xfId="647" applyFont="1" applyBorder="1" applyAlignment="1">
      <alignment horizontal="right" vertical="center"/>
    </xf>
    <xf numFmtId="0" fontId="53" fillId="0" borderId="35" xfId="647" applyFont="1" applyBorder="1" applyAlignment="1">
      <alignment horizontal="right" vertical="center"/>
    </xf>
    <xf numFmtId="0" fontId="53" fillId="0" borderId="36" xfId="647" applyFont="1" applyBorder="1" applyAlignment="1">
      <alignment horizontal="right" vertical="center"/>
    </xf>
    <xf numFmtId="0" fontId="53" fillId="0" borderId="19" xfId="647" applyFont="1" applyBorder="1" applyAlignment="1">
      <alignment horizontal="right" vertical="center"/>
    </xf>
    <xf numFmtId="0" fontId="53" fillId="0" borderId="8" xfId="647" applyFont="1" applyBorder="1" applyAlignment="1">
      <alignment horizontal="right" vertical="center"/>
    </xf>
    <xf numFmtId="0" fontId="53" fillId="0" borderId="5" xfId="647" applyFont="1" applyBorder="1" applyAlignment="1">
      <alignment horizontal="right" vertical="center"/>
    </xf>
    <xf numFmtId="0" fontId="47" fillId="0" borderId="5" xfId="0" applyFont="1" applyBorder="1" applyAlignment="1">
      <alignment horizontal="right" vertical="center"/>
    </xf>
    <xf numFmtId="17" fontId="47" fillId="0" borderId="5" xfId="0" applyNumberFormat="1" applyFont="1" applyBorder="1" applyAlignment="1">
      <alignment horizontal="right" vertical="center"/>
    </xf>
    <xf numFmtId="0" fontId="53" fillId="0" borderId="37" xfId="647" applyFont="1" applyBorder="1" applyAlignment="1">
      <alignment horizontal="left" vertical="center"/>
    </xf>
    <xf numFmtId="0" fontId="53" fillId="0" borderId="12" xfId="647" applyFont="1" applyBorder="1" applyAlignment="1">
      <alignment horizontal="right" vertical="center"/>
    </xf>
    <xf numFmtId="3" fontId="53" fillId="0" borderId="38" xfId="647" applyNumberFormat="1" applyFont="1" applyBorder="1" applyAlignment="1">
      <alignment horizontal="right" vertical="center"/>
    </xf>
    <xf numFmtId="0" fontId="53" fillId="0" borderId="39" xfId="647" applyFont="1" applyBorder="1" applyAlignment="1">
      <alignment horizontal="right" vertical="center"/>
    </xf>
    <xf numFmtId="0" fontId="53" fillId="0" borderId="11" xfId="647" applyFont="1" applyBorder="1" applyAlignment="1">
      <alignment horizontal="right" vertical="center"/>
    </xf>
    <xf numFmtId="0" fontId="48" fillId="0" borderId="37" xfId="647" applyFont="1" applyBorder="1" applyAlignment="1">
      <alignment horizontal="left" vertical="center"/>
    </xf>
    <xf numFmtId="0" fontId="54" fillId="0" borderId="40" xfId="647" applyFont="1" applyBorder="1" applyAlignment="1">
      <alignment horizontal="right" vertical="center"/>
    </xf>
    <xf numFmtId="166" fontId="48" fillId="0" borderId="32" xfId="53" applyNumberFormat="1" applyFont="1" applyFill="1" applyBorder="1" applyAlignment="1">
      <alignment horizontal="right" vertical="center"/>
    </xf>
    <xf numFmtId="0" fontId="54" fillId="0" borderId="9" xfId="647" applyFont="1" applyBorder="1" applyAlignment="1">
      <alignment horizontal="right" vertical="center"/>
    </xf>
    <xf numFmtId="173" fontId="54" fillId="0" borderId="5" xfId="687" applyNumberFormat="1" applyFont="1" applyFill="1" applyBorder="1" applyAlignment="1">
      <alignment horizontal="right" vertical="center"/>
    </xf>
    <xf numFmtId="0" fontId="48" fillId="22" borderId="37" xfId="647" applyFont="1" applyFill="1" applyBorder="1" applyAlignment="1">
      <alignment horizontal="left" vertical="center"/>
    </xf>
    <xf numFmtId="0" fontId="53" fillId="0" borderId="9" xfId="647" applyFont="1" applyBorder="1" applyAlignment="1">
      <alignment horizontal="right" vertical="center"/>
    </xf>
    <xf numFmtId="0" fontId="54" fillId="23" borderId="9" xfId="647" applyFont="1" applyFill="1" applyBorder="1" applyAlignment="1">
      <alignment horizontal="right" vertical="center"/>
    </xf>
    <xf numFmtId="173" fontId="54" fillId="23" borderId="9" xfId="687" applyNumberFormat="1" applyFont="1" applyFill="1" applyBorder="1" applyAlignment="1">
      <alignment horizontal="right" vertical="center"/>
    </xf>
    <xf numFmtId="173" fontId="54" fillId="0" borderId="5" xfId="687" applyNumberFormat="1" applyFont="1" applyBorder="1" applyAlignment="1">
      <alignment horizontal="right" vertical="center"/>
    </xf>
    <xf numFmtId="173" fontId="54" fillId="0" borderId="9" xfId="687" applyNumberFormat="1" applyFont="1" applyBorder="1" applyAlignment="1">
      <alignment horizontal="right" vertical="center"/>
    </xf>
    <xf numFmtId="14" fontId="53" fillId="0" borderId="5" xfId="647" applyNumberFormat="1" applyFont="1" applyBorder="1" applyAlignment="1">
      <alignment horizontal="right" vertical="center"/>
    </xf>
    <xf numFmtId="0" fontId="55" fillId="0" borderId="37" xfId="647" applyFont="1" applyBorder="1" applyAlignment="1">
      <alignment horizontal="left" vertical="center"/>
    </xf>
    <xf numFmtId="173" fontId="56" fillId="0" borderId="9" xfId="687" applyNumberFormat="1" applyFont="1" applyBorder="1" applyAlignment="1">
      <alignment horizontal="right" vertical="center"/>
    </xf>
    <xf numFmtId="173" fontId="56" fillId="0" borderId="5" xfId="687" applyNumberFormat="1" applyFont="1" applyBorder="1" applyAlignment="1">
      <alignment horizontal="right" vertical="center"/>
    </xf>
    <xf numFmtId="173" fontId="56" fillId="0" borderId="5" xfId="687" applyNumberFormat="1" applyFont="1" applyFill="1" applyBorder="1" applyAlignment="1">
      <alignment horizontal="right" vertical="center"/>
    </xf>
    <xf numFmtId="173" fontId="48" fillId="0" borderId="5" xfId="687" applyNumberFormat="1" applyFont="1" applyFill="1" applyBorder="1" applyAlignment="1">
      <alignment horizontal="right" vertical="center"/>
    </xf>
    <xf numFmtId="0" fontId="53" fillId="0" borderId="15" xfId="647" applyFont="1" applyBorder="1" applyAlignment="1">
      <alignment horizontal="left" vertical="center"/>
    </xf>
    <xf numFmtId="0" fontId="57" fillId="0" borderId="0" xfId="647" applyFont="1"/>
    <xf numFmtId="0" fontId="58" fillId="0" borderId="0" xfId="647" applyFont="1" applyAlignment="1">
      <alignment horizontal="center"/>
    </xf>
    <xf numFmtId="0" fontId="58" fillId="0" borderId="0" xfId="647" applyFont="1"/>
    <xf numFmtId="0" fontId="59" fillId="0" borderId="0" xfId="647" applyFont="1"/>
    <xf numFmtId="0" fontId="59" fillId="0" borderId="34" xfId="647" applyFont="1" applyBorder="1"/>
    <xf numFmtId="0" fontId="59" fillId="0" borderId="35" xfId="647" applyFont="1" applyBorder="1" applyAlignment="1">
      <alignment horizontal="center"/>
    </xf>
    <xf numFmtId="0" fontId="59" fillId="0" borderId="19" xfId="647" applyFont="1" applyBorder="1" applyAlignment="1">
      <alignment horizontal="center"/>
    </xf>
    <xf numFmtId="17" fontId="37" fillId="0" borderId="5" xfId="0" applyNumberFormat="1" applyFont="1" applyBorder="1"/>
    <xf numFmtId="166" fontId="58" fillId="0" borderId="5" xfId="53" applyNumberFormat="1" applyFont="1" applyFill="1" applyBorder="1" applyAlignment="1">
      <alignment horizontal="right"/>
    </xf>
    <xf numFmtId="173" fontId="60" fillId="0" borderId="5" xfId="687" applyNumberFormat="1" applyFont="1" applyFill="1" applyBorder="1"/>
    <xf numFmtId="0" fontId="59" fillId="0" borderId="5" xfId="647" applyFont="1" applyBorder="1"/>
    <xf numFmtId="0" fontId="59" fillId="20" borderId="0" xfId="647" applyFont="1" applyFill="1"/>
    <xf numFmtId="173" fontId="60" fillId="0" borderId="5" xfId="687" applyNumberFormat="1" applyFont="1" applyBorder="1"/>
    <xf numFmtId="14" fontId="59" fillId="9" borderId="5" xfId="647" applyNumberFormat="1" applyFont="1" applyFill="1" applyBorder="1" applyAlignment="1">
      <alignment horizontal="center"/>
    </xf>
    <xf numFmtId="173" fontId="61" fillId="0" borderId="5" xfId="687" applyNumberFormat="1" applyFont="1" applyBorder="1"/>
    <xf numFmtId="173" fontId="61" fillId="0" borderId="5" xfId="687" applyNumberFormat="1" applyFont="1" applyFill="1" applyBorder="1"/>
    <xf numFmtId="173" fontId="58" fillId="0" borderId="5" xfId="687" applyNumberFormat="1" applyFont="1" applyFill="1" applyBorder="1"/>
    <xf numFmtId="173" fontId="60" fillId="0" borderId="5" xfId="687" applyNumberFormat="1" applyFont="1" applyBorder="1" applyAlignment="1">
      <alignment horizontal="right"/>
    </xf>
    <xf numFmtId="9" fontId="60" fillId="0" borderId="5" xfId="687" applyFont="1" applyBorder="1" applyAlignment="1">
      <alignment horizontal="right"/>
    </xf>
    <xf numFmtId="0" fontId="58" fillId="0" borderId="5" xfId="685" applyNumberFormat="1" applyFont="1" applyBorder="1" applyAlignment="1">
      <alignment horizontal="right"/>
    </xf>
    <xf numFmtId="166" fontId="60" fillId="0" borderId="5" xfId="56" applyNumberFormat="1" applyFont="1" applyBorder="1" applyAlignment="1">
      <alignment horizontal="right"/>
    </xf>
    <xf numFmtId="14" fontId="59" fillId="9" borderId="5" xfId="647" applyNumberFormat="1" applyFont="1" applyFill="1" applyBorder="1" applyAlignment="1">
      <alignment horizontal="right"/>
    </xf>
    <xf numFmtId="9" fontId="58" fillId="0" borderId="5" xfId="687" applyFont="1" applyBorder="1" applyAlignment="1">
      <alignment horizontal="right"/>
    </xf>
    <xf numFmtId="0" fontId="58" fillId="0" borderId="5" xfId="647" applyFont="1" applyBorder="1" applyAlignment="1">
      <alignment horizontal="right"/>
    </xf>
    <xf numFmtId="173" fontId="58" fillId="0" borderId="5" xfId="687" applyNumberFormat="1" applyFont="1" applyBorder="1" applyAlignment="1">
      <alignment horizontal="right"/>
    </xf>
    <xf numFmtId="173" fontId="57" fillId="0" borderId="5" xfId="687" applyNumberFormat="1" applyFont="1" applyBorder="1"/>
    <xf numFmtId="0" fontId="57" fillId="0" borderId="5" xfId="647" applyFont="1" applyBorder="1" applyAlignment="1">
      <alignment horizontal="center"/>
    </xf>
    <xf numFmtId="173" fontId="58" fillId="0" borderId="5" xfId="687" applyNumberFormat="1" applyFont="1" applyBorder="1"/>
    <xf numFmtId="0" fontId="58" fillId="0" borderId="5" xfId="647" applyFont="1" applyBorder="1" applyAlignment="1">
      <alignment horizontal="center"/>
    </xf>
    <xf numFmtId="9" fontId="58" fillId="0" borderId="5" xfId="685" applyFont="1" applyBorder="1"/>
    <xf numFmtId="173" fontId="58" fillId="0" borderId="5" xfId="685" applyNumberFormat="1" applyFont="1" applyBorder="1"/>
    <xf numFmtId="9" fontId="3" fillId="0" borderId="17" xfId="685" applyFont="1" applyBorder="1" applyAlignment="1">
      <alignment horizontal="left" wrapText="1"/>
    </xf>
    <xf numFmtId="9" fontId="5" fillId="0" borderId="17" xfId="685" applyFont="1" applyBorder="1" applyAlignment="1">
      <alignment horizontal="left" wrapText="1"/>
    </xf>
    <xf numFmtId="49" fontId="5" fillId="0" borderId="17" xfId="0" applyNumberFormat="1" applyFont="1" applyBorder="1" applyAlignment="1" applyProtection="1">
      <alignment horizontal="right" wrapText="1"/>
      <protection locked="0"/>
    </xf>
    <xf numFmtId="0" fontId="5" fillId="0" borderId="41" xfId="0" applyFont="1" applyBorder="1" applyAlignment="1" applyProtection="1">
      <alignment horizontal="right" wrapText="1"/>
      <protection locked="0"/>
    </xf>
    <xf numFmtId="49" fontId="21" fillId="0" borderId="5" xfId="0" applyNumberFormat="1" applyFont="1" applyBorder="1" applyAlignment="1" applyProtection="1">
      <alignment horizontal="right"/>
      <protection locked="0"/>
    </xf>
    <xf numFmtId="0" fontId="3" fillId="0" borderId="17" xfId="0" applyFont="1" applyBorder="1" applyAlignment="1" applyProtection="1">
      <alignment wrapText="1"/>
      <protection locked="0"/>
    </xf>
    <xf numFmtId="2" fontId="3" fillId="0" borderId="17" xfId="0" applyNumberFormat="1" applyFont="1" applyBorder="1" applyAlignment="1">
      <alignment horizontal="center" wrapText="1"/>
    </xf>
    <xf numFmtId="0" fontId="5" fillId="24" borderId="17" xfId="0" applyFont="1" applyFill="1" applyBorder="1" applyAlignment="1">
      <alignment wrapText="1"/>
    </xf>
    <xf numFmtId="2" fontId="5" fillId="0" borderId="17" xfId="0" applyNumberFormat="1" applyFont="1" applyBorder="1" applyAlignment="1">
      <alignment wrapText="1"/>
    </xf>
    <xf numFmtId="0" fontId="15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43" fontId="3" fillId="0" borderId="17" xfId="53" applyFont="1" applyBorder="1" applyAlignment="1" applyProtection="1">
      <alignment wrapText="1"/>
      <protection locked="0"/>
    </xf>
    <xf numFmtId="43" fontId="3" fillId="0" borderId="17" xfId="53" applyFont="1" applyBorder="1" applyAlignment="1" applyProtection="1">
      <alignment wrapText="1"/>
    </xf>
    <xf numFmtId="43" fontId="5" fillId="24" borderId="17" xfId="53" applyFont="1" applyFill="1" applyBorder="1" applyAlignment="1" applyProtection="1">
      <alignment wrapText="1"/>
    </xf>
    <xf numFmtId="17" fontId="35" fillId="0" borderId="5" xfId="0" applyNumberFormat="1" applyFont="1" applyBorder="1" applyAlignment="1">
      <alignment horizontal="right"/>
    </xf>
    <xf numFmtId="17" fontId="33" fillId="0" borderId="0" xfId="0" applyNumberFormat="1" applyFont="1"/>
    <xf numFmtId="17" fontId="33" fillId="0" borderId="5" xfId="0" applyNumberFormat="1" applyFont="1" applyBorder="1"/>
    <xf numFmtId="0" fontId="47" fillId="0" borderId="5" xfId="0" applyFont="1" applyBorder="1" applyAlignment="1">
      <alignment horizontal="right"/>
    </xf>
    <xf numFmtId="0" fontId="47" fillId="0" borderId="25" xfId="0" applyFont="1" applyBorder="1"/>
    <xf numFmtId="0" fontId="47" fillId="0" borderId="25" xfId="0" applyFont="1" applyBorder="1" applyAlignment="1">
      <alignment horizontal="center"/>
    </xf>
    <xf numFmtId="17" fontId="47" fillId="0" borderId="5" xfId="0" applyNumberFormat="1" applyFont="1" applyBorder="1"/>
    <xf numFmtId="9" fontId="5" fillId="0" borderId="17" xfId="685" applyFont="1" applyBorder="1" applyAlignment="1" applyProtection="1">
      <alignment horizontal="center" wrapText="1"/>
    </xf>
    <xf numFmtId="43" fontId="5" fillId="0" borderId="17" xfId="53" applyFont="1" applyBorder="1" applyAlignment="1" applyProtection="1">
      <alignment wrapText="1"/>
    </xf>
    <xf numFmtId="166" fontId="5" fillId="24" borderId="17" xfId="53" applyNumberFormat="1" applyFont="1" applyFill="1" applyBorder="1" applyAlignment="1" applyProtection="1">
      <alignment wrapText="1"/>
    </xf>
    <xf numFmtId="0" fontId="16" fillId="0" borderId="17" xfId="0" applyFont="1" applyBorder="1" applyAlignment="1">
      <alignment horizontal="left" wrapText="1"/>
    </xf>
    <xf numFmtId="0" fontId="3" fillId="0" borderId="42" xfId="0" applyFont="1" applyBorder="1" applyAlignment="1">
      <alignment wrapText="1"/>
    </xf>
    <xf numFmtId="0" fontId="5" fillId="0" borderId="42" xfId="0" applyFont="1" applyBorder="1" applyAlignment="1">
      <alignment wrapText="1"/>
    </xf>
    <xf numFmtId="17" fontId="15" fillId="0" borderId="0" xfId="0" applyNumberFormat="1" applyFont="1"/>
    <xf numFmtId="9" fontId="16" fillId="0" borderId="0" xfId="685" applyFont="1" applyBorder="1" applyAlignment="1">
      <alignment horizontal="left" wrapText="1"/>
    </xf>
    <xf numFmtId="173" fontId="62" fillId="0" borderId="5" xfId="687" applyNumberFormat="1" applyFont="1" applyFill="1" applyBorder="1"/>
    <xf numFmtId="0" fontId="59" fillId="0" borderId="25" xfId="647" applyFont="1" applyBorder="1" applyAlignment="1">
      <alignment wrapText="1"/>
    </xf>
    <xf numFmtId="0" fontId="59" fillId="0" borderId="0" xfId="647" applyFont="1" applyAlignment="1">
      <alignment wrapText="1"/>
    </xf>
    <xf numFmtId="0" fontId="59" fillId="9" borderId="5" xfId="647" applyFont="1" applyFill="1" applyBorder="1" applyAlignment="1">
      <alignment horizontal="center"/>
    </xf>
    <xf numFmtId="17" fontId="37" fillId="0" borderId="5" xfId="0" applyNumberFormat="1" applyFont="1" applyBorder="1" applyAlignment="1">
      <alignment wrapText="1"/>
    </xf>
    <xf numFmtId="0" fontId="59" fillId="0" borderId="5" xfId="647" applyFont="1" applyBorder="1" applyAlignment="1">
      <alignment horizontal="center"/>
    </xf>
    <xf numFmtId="3" fontId="59" fillId="0" borderId="5" xfId="647" applyNumberFormat="1" applyFont="1" applyBorder="1"/>
    <xf numFmtId="0" fontId="60" fillId="0" borderId="5" xfId="647" applyFont="1" applyBorder="1" applyAlignment="1">
      <alignment horizontal="center"/>
    </xf>
    <xf numFmtId="9" fontId="60" fillId="0" borderId="5" xfId="687" applyFont="1" applyBorder="1" applyAlignment="1">
      <alignment horizontal="center"/>
    </xf>
    <xf numFmtId="0" fontId="60" fillId="20" borderId="5" xfId="647" applyFont="1" applyFill="1" applyBorder="1" applyAlignment="1">
      <alignment horizontal="center"/>
    </xf>
    <xf numFmtId="173" fontId="60" fillId="20" borderId="5" xfId="687" applyNumberFormat="1" applyFont="1" applyFill="1" applyBorder="1"/>
    <xf numFmtId="173" fontId="60" fillId="0" borderId="5" xfId="687" applyNumberFormat="1" applyFont="1" applyBorder="1" applyAlignment="1">
      <alignment horizontal="center"/>
    </xf>
    <xf numFmtId="173" fontId="61" fillId="0" borderId="5" xfId="687" applyNumberFormat="1" applyFont="1" applyBorder="1" applyAlignment="1">
      <alignment horizontal="center"/>
    </xf>
    <xf numFmtId="9" fontId="60" fillId="0" borderId="5" xfId="647" applyNumberFormat="1" applyFont="1" applyBorder="1" applyAlignment="1">
      <alignment horizontal="center"/>
    </xf>
    <xf numFmtId="0" fontId="38" fillId="0" borderId="15" xfId="0" applyFont="1" applyBorder="1"/>
    <xf numFmtId="0" fontId="38" fillId="0" borderId="16" xfId="0" applyFont="1" applyBorder="1"/>
    <xf numFmtId="172" fontId="38" fillId="18" borderId="15" xfId="0" applyNumberFormat="1" applyFont="1" applyFill="1" applyBorder="1"/>
    <xf numFmtId="172" fontId="38" fillId="19" borderId="16" xfId="0" applyNumberFormat="1" applyFont="1" applyFill="1" applyBorder="1"/>
    <xf numFmtId="172" fontId="38" fillId="0" borderId="15" xfId="0" applyNumberFormat="1" applyFont="1" applyBorder="1" applyAlignment="1">
      <alignment horizontal="right"/>
    </xf>
    <xf numFmtId="172" fontId="38" fillId="0" borderId="16" xfId="0" applyNumberFormat="1" applyFont="1" applyBorder="1" applyAlignment="1">
      <alignment horizontal="right"/>
    </xf>
    <xf numFmtId="0" fontId="36" fillId="0" borderId="19" xfId="0" applyFont="1" applyBorder="1"/>
    <xf numFmtId="43" fontId="35" fillId="0" borderId="9" xfId="56" applyFont="1" applyBorder="1"/>
    <xf numFmtId="17" fontId="35" fillId="0" borderId="10" xfId="0" applyNumberFormat="1" applyFont="1" applyBorder="1" applyAlignment="1">
      <alignment horizontal="right"/>
    </xf>
    <xf numFmtId="166" fontId="36" fillId="0" borderId="0" xfId="53" applyNumberFormat="1" applyFont="1" applyBorder="1"/>
    <xf numFmtId="3" fontId="36" fillId="0" borderId="44" xfId="0" applyNumberFormat="1" applyFont="1" applyBorder="1"/>
    <xf numFmtId="43" fontId="36" fillId="0" borderId="10" xfId="53" applyFont="1" applyBorder="1"/>
    <xf numFmtId="0" fontId="63" fillId="0" borderId="9" xfId="0" applyFont="1" applyBorder="1"/>
    <xf numFmtId="43" fontId="38" fillId="0" borderId="10" xfId="53" applyFont="1" applyBorder="1"/>
    <xf numFmtId="43" fontId="36" fillId="0" borderId="45" xfId="53" applyFont="1" applyFill="1" applyBorder="1"/>
    <xf numFmtId="43" fontId="36" fillId="0" borderId="44" xfId="53" applyFont="1" applyBorder="1"/>
    <xf numFmtId="0" fontId="35" fillId="0" borderId="14" xfId="0" applyFont="1" applyBorder="1"/>
    <xf numFmtId="43" fontId="36" fillId="0" borderId="46" xfId="53" applyFont="1" applyBorder="1"/>
    <xf numFmtId="0" fontId="35" fillId="18" borderId="9" xfId="0" applyFont="1" applyFill="1" applyBorder="1"/>
    <xf numFmtId="43" fontId="36" fillId="18" borderId="10" xfId="53" applyFont="1" applyFill="1" applyBorder="1"/>
    <xf numFmtId="0" fontId="35" fillId="19" borderId="12" xfId="0" applyFont="1" applyFill="1" applyBorder="1"/>
    <xf numFmtId="43" fontId="36" fillId="19" borderId="45" xfId="53" applyFont="1" applyFill="1" applyBorder="1"/>
    <xf numFmtId="43" fontId="36" fillId="0" borderId="7" xfId="53" applyFont="1" applyBorder="1"/>
    <xf numFmtId="9" fontId="63" fillId="0" borderId="9" xfId="687" applyFont="1" applyBorder="1"/>
    <xf numFmtId="0" fontId="64" fillId="0" borderId="9" xfId="0" applyFont="1" applyBorder="1"/>
    <xf numFmtId="0" fontId="63" fillId="0" borderId="12" xfId="0" applyFont="1" applyBorder="1"/>
    <xf numFmtId="43" fontId="36" fillId="0" borderId="47" xfId="53" applyFont="1" applyBorder="1"/>
    <xf numFmtId="166" fontId="63" fillId="0" borderId="8" xfId="0" applyNumberFormat="1" applyFont="1" applyBorder="1"/>
    <xf numFmtId="0" fontId="64" fillId="0" borderId="14" xfId="0" applyFont="1" applyBorder="1"/>
    <xf numFmtId="43" fontId="36" fillId="0" borderId="26" xfId="53" applyFont="1" applyBorder="1"/>
    <xf numFmtId="43" fontId="36" fillId="0" borderId="45" xfId="53" applyFont="1" applyBorder="1"/>
    <xf numFmtId="0" fontId="63" fillId="0" borderId="8" xfId="0" applyFont="1" applyBorder="1"/>
    <xf numFmtId="0" fontId="38" fillId="0" borderId="14" xfId="0" applyFont="1" applyBorder="1"/>
    <xf numFmtId="0" fontId="65" fillId="0" borderId="9" xfId="0" applyFont="1" applyBorder="1"/>
    <xf numFmtId="43" fontId="35" fillId="0" borderId="8" xfId="56" applyFont="1" applyBorder="1"/>
    <xf numFmtId="38" fontId="36" fillId="0" borderId="44" xfId="53" applyNumberFormat="1" applyFont="1" applyBorder="1"/>
    <xf numFmtId="9" fontId="40" fillId="0" borderId="45" xfId="685" applyFont="1" applyBorder="1"/>
    <xf numFmtId="38" fontId="35" fillId="0" borderId="44" xfId="53" applyNumberFormat="1" applyFont="1" applyBorder="1"/>
    <xf numFmtId="0" fontId="39" fillId="0" borderId="6" xfId="0" applyFont="1" applyBorder="1"/>
    <xf numFmtId="43" fontId="45" fillId="0" borderId="26" xfId="53" applyFont="1" applyBorder="1"/>
    <xf numFmtId="43" fontId="36" fillId="0" borderId="48" xfId="53" applyFont="1" applyBorder="1"/>
    <xf numFmtId="0" fontId="38" fillId="0" borderId="49" xfId="0" applyFont="1" applyBorder="1"/>
    <xf numFmtId="166" fontId="36" fillId="0" borderId="45" xfId="53" applyNumberFormat="1" applyFont="1" applyBorder="1"/>
    <xf numFmtId="0" fontId="36" fillId="0" borderId="8" xfId="0" applyFont="1" applyBorder="1"/>
    <xf numFmtId="0" fontId="36" fillId="0" borderId="44" xfId="0" applyFont="1" applyBorder="1"/>
    <xf numFmtId="0" fontId="36" fillId="0" borderId="50" xfId="0" applyFont="1" applyBorder="1"/>
    <xf numFmtId="43" fontId="36" fillId="0" borderId="51" xfId="53" applyFont="1" applyBorder="1"/>
    <xf numFmtId="43" fontId="36" fillId="0" borderId="52" xfId="53" applyFont="1" applyBorder="1"/>
    <xf numFmtId="0" fontId="57" fillId="0" borderId="6" xfId="647" applyFont="1" applyBorder="1"/>
    <xf numFmtId="0" fontId="58" fillId="0" borderId="19" xfId="647" applyFont="1" applyBorder="1" applyAlignment="1">
      <alignment horizontal="center"/>
    </xf>
    <xf numFmtId="166" fontId="58" fillId="0" borderId="19" xfId="647" applyNumberFormat="1" applyFont="1" applyBorder="1"/>
    <xf numFmtId="0" fontId="58" fillId="0" borderId="19" xfId="647" applyFont="1" applyBorder="1"/>
    <xf numFmtId="0" fontId="58" fillId="0" borderId="7" xfId="647" applyFont="1" applyBorder="1"/>
    <xf numFmtId="0" fontId="59" fillId="0" borderId="8" xfId="647" applyFont="1" applyBorder="1"/>
    <xf numFmtId="0" fontId="58" fillId="0" borderId="44" xfId="647" applyFont="1" applyBorder="1"/>
    <xf numFmtId="0" fontId="59" fillId="0" borderId="44" xfId="647" applyFont="1" applyBorder="1"/>
    <xf numFmtId="0" fontId="59" fillId="9" borderId="9" xfId="647" applyFont="1" applyFill="1" applyBorder="1"/>
    <xf numFmtId="0" fontId="59" fillId="0" borderId="10" xfId="647" applyFont="1" applyBorder="1"/>
    <xf numFmtId="0" fontId="59" fillId="0" borderId="9" xfId="647" applyFont="1" applyBorder="1"/>
    <xf numFmtId="0" fontId="58" fillId="0" borderId="9" xfId="647" applyFont="1" applyBorder="1"/>
    <xf numFmtId="166" fontId="58" fillId="0" borderId="10" xfId="53" applyNumberFormat="1" applyFont="1" applyFill="1" applyBorder="1" applyAlignment="1">
      <alignment horizontal="right"/>
    </xf>
    <xf numFmtId="173" fontId="58" fillId="0" borderId="10" xfId="687" applyNumberFormat="1" applyFont="1" applyFill="1" applyBorder="1"/>
    <xf numFmtId="173" fontId="60" fillId="0" borderId="10" xfId="687" applyNumberFormat="1" applyFont="1" applyFill="1" applyBorder="1"/>
    <xf numFmtId="0" fontId="58" fillId="22" borderId="9" xfId="647" applyFont="1" applyFill="1" applyBorder="1"/>
    <xf numFmtId="173" fontId="62" fillId="0" borderId="10" xfId="687" applyNumberFormat="1" applyFont="1" applyFill="1" applyBorder="1"/>
    <xf numFmtId="0" fontId="58" fillId="20" borderId="9" xfId="647" applyFont="1" applyFill="1" applyBorder="1"/>
    <xf numFmtId="173" fontId="60" fillId="20" borderId="10" xfId="687" applyNumberFormat="1" applyFont="1" applyFill="1" applyBorder="1"/>
    <xf numFmtId="173" fontId="60" fillId="0" borderId="10" xfId="687" applyNumberFormat="1" applyFont="1" applyBorder="1"/>
    <xf numFmtId="14" fontId="59" fillId="9" borderId="10" xfId="647" applyNumberFormat="1" applyFont="1" applyFill="1" applyBorder="1" applyAlignment="1">
      <alignment horizontal="center"/>
    </xf>
    <xf numFmtId="0" fontId="66" fillId="0" borderId="9" xfId="647" applyFont="1" applyBorder="1"/>
    <xf numFmtId="173" fontId="61" fillId="0" borderId="10" xfId="687" applyNumberFormat="1" applyFont="1" applyBorder="1"/>
    <xf numFmtId="173" fontId="61" fillId="0" borderId="10" xfId="687" applyNumberFormat="1" applyFont="1" applyFill="1" applyBorder="1"/>
    <xf numFmtId="173" fontId="60" fillId="0" borderId="10" xfId="687" applyNumberFormat="1" applyFont="1" applyBorder="1" applyAlignment="1">
      <alignment horizontal="right"/>
    </xf>
    <xf numFmtId="0" fontId="61" fillId="22" borderId="9" xfId="647" applyFont="1" applyFill="1" applyBorder="1"/>
    <xf numFmtId="9" fontId="60" fillId="0" borderId="10" xfId="687" applyFont="1" applyBorder="1" applyAlignment="1">
      <alignment horizontal="right"/>
    </xf>
    <xf numFmtId="0" fontId="58" fillId="0" borderId="10" xfId="685" applyNumberFormat="1" applyFont="1" applyBorder="1" applyAlignment="1">
      <alignment horizontal="right"/>
    </xf>
    <xf numFmtId="166" fontId="60" fillId="0" borderId="10" xfId="56" applyNumberFormat="1" applyFont="1" applyBorder="1" applyAlignment="1">
      <alignment horizontal="right"/>
    </xf>
    <xf numFmtId="0" fontId="57" fillId="22" borderId="9" xfId="647" applyFont="1" applyFill="1" applyBorder="1"/>
    <xf numFmtId="14" fontId="59" fillId="9" borderId="10" xfId="647" applyNumberFormat="1" applyFont="1" applyFill="1" applyBorder="1" applyAlignment="1">
      <alignment horizontal="right"/>
    </xf>
    <xf numFmtId="0" fontId="66" fillId="22" borderId="9" xfId="647" applyFont="1" applyFill="1" applyBorder="1"/>
    <xf numFmtId="9" fontId="58" fillId="0" borderId="10" xfId="687" applyFont="1" applyBorder="1" applyAlignment="1">
      <alignment horizontal="right"/>
    </xf>
    <xf numFmtId="0" fontId="58" fillId="0" borderId="10" xfId="647" applyFont="1" applyBorder="1" applyAlignment="1">
      <alignment horizontal="right"/>
    </xf>
    <xf numFmtId="173" fontId="58" fillId="0" borderId="10" xfId="687" applyNumberFormat="1" applyFont="1" applyBorder="1" applyAlignment="1">
      <alignment horizontal="right"/>
    </xf>
    <xf numFmtId="173" fontId="58" fillId="0" borderId="9" xfId="687" applyNumberFormat="1" applyFont="1" applyBorder="1"/>
    <xf numFmtId="173" fontId="58" fillId="0" borderId="10" xfId="687" applyNumberFormat="1" applyFont="1" applyBorder="1"/>
    <xf numFmtId="173" fontId="57" fillId="0" borderId="9" xfId="687" applyNumberFormat="1" applyFont="1" applyBorder="1"/>
    <xf numFmtId="173" fontId="57" fillId="0" borderId="10" xfId="687" applyNumberFormat="1" applyFont="1" applyBorder="1"/>
    <xf numFmtId="9" fontId="58" fillId="0" borderId="10" xfId="685" applyFont="1" applyBorder="1"/>
    <xf numFmtId="173" fontId="58" fillId="0" borderId="10" xfId="685" applyNumberFormat="1" applyFont="1" applyBorder="1"/>
    <xf numFmtId="0" fontId="58" fillId="0" borderId="12" xfId="647" applyFont="1" applyBorder="1"/>
    <xf numFmtId="0" fontId="58" fillId="0" borderId="11" xfId="647" applyFont="1" applyBorder="1" applyAlignment="1">
      <alignment horizontal="center"/>
    </xf>
    <xf numFmtId="9" fontId="58" fillId="0" borderId="11" xfId="685" applyFont="1" applyBorder="1"/>
    <xf numFmtId="9" fontId="58" fillId="0" borderId="45" xfId="685" applyFont="1" applyBorder="1"/>
    <xf numFmtId="17" fontId="35" fillId="0" borderId="0" xfId="0" applyNumberFormat="1" applyFont="1"/>
    <xf numFmtId="17" fontId="59" fillId="0" borderId="0" xfId="647" applyNumberFormat="1" applyFont="1"/>
    <xf numFmtId="17" fontId="67" fillId="0" borderId="5" xfId="0" applyNumberFormat="1" applyFont="1" applyBorder="1" applyAlignment="1">
      <alignment horizontal="center" vertical="center"/>
    </xf>
    <xf numFmtId="166" fontId="67" fillId="21" borderId="5" xfId="53" applyNumberFormat="1" applyFont="1" applyFill="1" applyBorder="1"/>
    <xf numFmtId="167" fontId="67" fillId="10" borderId="5" xfId="54" applyFont="1" applyFill="1" applyBorder="1" applyAlignment="1" applyProtection="1"/>
    <xf numFmtId="166" fontId="68" fillId="0" borderId="5" xfId="56" applyNumberFormat="1" applyFont="1" applyFill="1" applyBorder="1"/>
    <xf numFmtId="167" fontId="68" fillId="0" borderId="5" xfId="54" applyFont="1" applyFill="1" applyBorder="1" applyAlignment="1" applyProtection="1">
      <protection locked="0"/>
    </xf>
    <xf numFmtId="43" fontId="68" fillId="0" borderId="5" xfId="53" applyFont="1" applyBorder="1" applyAlignment="1" applyProtection="1">
      <alignment vertical="top" wrapText="1"/>
      <protection locked="0"/>
    </xf>
    <xf numFmtId="3" fontId="68" fillId="0" borderId="5" xfId="596" applyNumberFormat="1" applyFont="1" applyBorder="1" applyAlignment="1" applyProtection="1">
      <alignment vertical="top" wrapText="1"/>
      <protection locked="0"/>
    </xf>
    <xf numFmtId="43" fontId="68" fillId="0" borderId="5" xfId="53" applyFont="1" applyFill="1" applyBorder="1"/>
    <xf numFmtId="166" fontId="67" fillId="21" borderId="5" xfId="54" applyNumberFormat="1" applyFont="1" applyFill="1" applyBorder="1" applyAlignment="1" applyProtection="1"/>
    <xf numFmtId="168" fontId="69" fillId="0" borderId="5" xfId="596" applyNumberFormat="1" applyFont="1" applyBorder="1" applyAlignment="1" applyProtection="1">
      <alignment vertical="top" wrapText="1" readingOrder="1"/>
      <protection locked="0"/>
    </xf>
    <xf numFmtId="0" fontId="68" fillId="0" borderId="5" xfId="0" applyFont="1" applyBorder="1"/>
    <xf numFmtId="168" fontId="68" fillId="0" borderId="5" xfId="596" applyNumberFormat="1" applyFont="1" applyBorder="1" applyAlignment="1" applyProtection="1">
      <alignment vertical="top" wrapText="1" readingOrder="1"/>
      <protection locked="0"/>
    </xf>
    <xf numFmtId="43" fontId="67" fillId="21" borderId="5" xfId="56" applyFont="1" applyFill="1" applyBorder="1" applyAlignment="1">
      <alignment horizontal="left" wrapText="1"/>
    </xf>
    <xf numFmtId="168" fontId="69" fillId="11" borderId="5" xfId="596" applyNumberFormat="1" applyFont="1" applyFill="1" applyBorder="1" applyAlignment="1" applyProtection="1">
      <alignment vertical="top" wrapText="1" readingOrder="1"/>
      <protection locked="0"/>
    </xf>
    <xf numFmtId="43" fontId="67" fillId="21" borderId="5" xfId="53" applyFont="1" applyFill="1" applyBorder="1"/>
    <xf numFmtId="0" fontId="68" fillId="0" borderId="5" xfId="596" applyFont="1" applyBorder="1" applyAlignment="1" applyProtection="1">
      <alignment vertical="top" wrapText="1"/>
      <protection locked="0"/>
    </xf>
    <xf numFmtId="167" fontId="68" fillId="25" borderId="5" xfId="54" applyFont="1" applyFill="1" applyBorder="1" applyAlignment="1" applyProtection="1">
      <protection locked="0"/>
    </xf>
    <xf numFmtId="168" fontId="69" fillId="0" borderId="5" xfId="0" applyNumberFormat="1" applyFont="1" applyBorder="1" applyAlignment="1" applyProtection="1">
      <alignment wrapText="1" readingOrder="1"/>
      <protection locked="0"/>
    </xf>
    <xf numFmtId="168" fontId="69" fillId="0" borderId="5" xfId="0" applyNumberFormat="1" applyFont="1" applyBorder="1" applyAlignment="1" applyProtection="1">
      <alignment vertical="top" wrapText="1" readingOrder="1"/>
      <protection locked="0"/>
    </xf>
    <xf numFmtId="43" fontId="67" fillId="10" borderId="5" xfId="53" applyFont="1" applyFill="1" applyBorder="1" applyAlignment="1" applyProtection="1"/>
    <xf numFmtId="0" fontId="0" fillId="0" borderId="5" xfId="0" applyBorder="1" applyAlignment="1" applyProtection="1">
      <alignment vertical="top" wrapText="1"/>
      <protection locked="0"/>
    </xf>
    <xf numFmtId="43" fontId="67" fillId="21" borderId="5" xfId="53" applyFont="1" applyFill="1" applyBorder="1" applyAlignment="1" applyProtection="1"/>
    <xf numFmtId="175" fontId="69" fillId="0" borderId="5" xfId="0" applyNumberFormat="1" applyFont="1" applyBorder="1" applyAlignment="1" applyProtection="1">
      <alignment vertical="top" wrapText="1" readingOrder="1"/>
      <protection locked="0"/>
    </xf>
    <xf numFmtId="175" fontId="69" fillId="0" borderId="5" xfId="596" applyNumberFormat="1" applyFont="1" applyBorder="1" applyAlignment="1" applyProtection="1">
      <alignment vertical="top" wrapText="1" readingOrder="1"/>
      <protection locked="0"/>
    </xf>
    <xf numFmtId="168" fontId="24" fillId="0" borderId="5" xfId="477" applyNumberFormat="1" applyFont="1" applyBorder="1" applyAlignment="1" applyProtection="1">
      <alignment vertical="top" wrapText="1" readingOrder="1"/>
      <protection locked="0"/>
    </xf>
    <xf numFmtId="2" fontId="68" fillId="0" borderId="5" xfId="0" applyNumberFormat="1" applyFont="1" applyBorder="1"/>
    <xf numFmtId="17" fontId="59" fillId="0" borderId="5" xfId="647" applyNumberFormat="1" applyFont="1" applyBorder="1"/>
    <xf numFmtId="0" fontId="59" fillId="0" borderId="5" xfId="647" applyFont="1" applyBorder="1" applyAlignment="1">
      <alignment horizontal="right"/>
    </xf>
    <xf numFmtId="0" fontId="67" fillId="0" borderId="5" xfId="0" applyFont="1" applyBorder="1" applyAlignment="1">
      <alignment horizontal="center" vertical="center"/>
    </xf>
    <xf numFmtId="17" fontId="35" fillId="0" borderId="0" xfId="0" applyNumberFormat="1" applyFont="1" applyAlignment="1">
      <alignment horizontal="right"/>
    </xf>
    <xf numFmtId="43" fontId="67" fillId="0" borderId="5" xfId="56" applyFont="1" applyFill="1" applyBorder="1" applyAlignment="1">
      <alignment horizontal="left" wrapText="1"/>
    </xf>
    <xf numFmtId="167" fontId="67" fillId="0" borderId="5" xfId="54" applyFont="1" applyFill="1" applyBorder="1" applyAlignment="1" applyProtection="1">
      <protection locked="0"/>
    </xf>
    <xf numFmtId="167" fontId="67" fillId="0" borderId="5" xfId="54" applyFont="1" applyFill="1" applyBorder="1" applyAlignment="1" applyProtection="1"/>
    <xf numFmtId="173" fontId="70" fillId="0" borderId="10" xfId="687" applyNumberFormat="1" applyFont="1" applyFill="1" applyBorder="1"/>
    <xf numFmtId="168" fontId="71" fillId="0" borderId="5" xfId="0" applyNumberFormat="1" applyFont="1" applyBorder="1" applyAlignment="1" applyProtection="1">
      <alignment vertical="top" wrapText="1" readingOrder="1"/>
      <protection locked="0"/>
    </xf>
    <xf numFmtId="168" fontId="68" fillId="0" borderId="5" xfId="0" applyNumberFormat="1" applyFont="1" applyBorder="1" applyAlignment="1" applyProtection="1">
      <alignment vertical="top" wrapText="1" readingOrder="1"/>
      <protection locked="0"/>
    </xf>
    <xf numFmtId="0" fontId="59" fillId="0" borderId="0" xfId="647" applyFont="1" applyAlignment="1">
      <alignment horizontal="right"/>
    </xf>
    <xf numFmtId="3" fontId="35" fillId="0" borderId="5" xfId="0" applyNumberFormat="1" applyFont="1" applyBorder="1"/>
    <xf numFmtId="166" fontId="68" fillId="0" borderId="5" xfId="53" applyNumberFormat="1" applyFont="1" applyFill="1" applyBorder="1"/>
    <xf numFmtId="166" fontId="35" fillId="0" borderId="5" xfId="53" applyNumberFormat="1" applyFont="1" applyBorder="1"/>
    <xf numFmtId="0" fontId="36" fillId="26" borderId="5" xfId="0" applyFont="1" applyFill="1" applyBorder="1"/>
    <xf numFmtId="0" fontId="35" fillId="0" borderId="0" xfId="0" applyFont="1"/>
    <xf numFmtId="43" fontId="68" fillId="0" borderId="5" xfId="53" applyFont="1" applyBorder="1"/>
    <xf numFmtId="166" fontId="67" fillId="10" borderId="5" xfId="53" applyNumberFormat="1" applyFont="1" applyFill="1" applyBorder="1" applyAlignment="1" applyProtection="1"/>
    <xf numFmtId="166" fontId="0" fillId="0" borderId="5" xfId="53" applyNumberFormat="1" applyFont="1" applyBorder="1" applyAlignment="1" applyProtection="1">
      <alignment vertical="top" wrapText="1"/>
      <protection locked="0"/>
    </xf>
    <xf numFmtId="166" fontId="26" fillId="0" borderId="5" xfId="53" applyNumberFormat="1" applyFont="1" applyBorder="1" applyAlignment="1" applyProtection="1">
      <alignment vertical="top" wrapText="1" readingOrder="1"/>
      <protection locked="0"/>
    </xf>
    <xf numFmtId="166" fontId="24" fillId="0" borderId="5" xfId="53" applyNumberFormat="1" applyFont="1" applyBorder="1" applyAlignment="1" applyProtection="1">
      <alignment vertical="top" wrapText="1" readingOrder="1"/>
      <protection locked="0"/>
    </xf>
    <xf numFmtId="166" fontId="68" fillId="0" borderId="5" xfId="53" applyNumberFormat="1" applyFont="1" applyBorder="1"/>
    <xf numFmtId="166" fontId="69" fillId="0" borderId="5" xfId="53" applyNumberFormat="1" applyFont="1" applyBorder="1" applyAlignment="1" applyProtection="1">
      <alignment vertical="top" wrapText="1" readingOrder="1"/>
      <protection locked="0"/>
    </xf>
    <xf numFmtId="166" fontId="67" fillId="21" borderId="5" xfId="53" applyNumberFormat="1" applyFont="1" applyFill="1" applyBorder="1" applyAlignment="1" applyProtection="1"/>
    <xf numFmtId="166" fontId="72" fillId="0" borderId="5" xfId="53" applyNumberFormat="1" applyFont="1" applyBorder="1"/>
    <xf numFmtId="166" fontId="68" fillId="22" borderId="5" xfId="53" applyNumberFormat="1" applyFont="1" applyFill="1" applyBorder="1" applyAlignment="1" applyProtection="1">
      <protection locked="0"/>
    </xf>
    <xf numFmtId="43" fontId="68" fillId="0" borderId="5" xfId="53" applyFont="1" applyBorder="1" applyAlignment="1">
      <alignment wrapText="1"/>
    </xf>
    <xf numFmtId="43" fontId="45" fillId="21" borderId="0" xfId="53" applyFont="1" applyFill="1"/>
    <xf numFmtId="0" fontId="45" fillId="0" borderId="0" xfId="0" applyFont="1"/>
    <xf numFmtId="168" fontId="73" fillId="0" borderId="31" xfId="0" applyNumberFormat="1" applyFont="1" applyBorder="1" applyAlignment="1" applyProtection="1">
      <alignment vertical="top" wrapText="1" readingOrder="1"/>
      <protection locked="0"/>
    </xf>
    <xf numFmtId="168" fontId="73" fillId="0" borderId="31" xfId="518" applyNumberFormat="1" applyFont="1" applyBorder="1" applyAlignment="1" applyProtection="1">
      <alignment vertical="top" wrapText="1" readingOrder="1"/>
      <protection locked="0"/>
    </xf>
    <xf numFmtId="168" fontId="73" fillId="0" borderId="31" xfId="540" applyNumberFormat="1" applyFont="1" applyBorder="1" applyAlignment="1" applyProtection="1">
      <alignment vertical="top" wrapText="1" readingOrder="1"/>
      <protection locked="0"/>
    </xf>
    <xf numFmtId="168" fontId="73" fillId="0" borderId="43" xfId="0" applyNumberFormat="1" applyFont="1" applyBorder="1" applyAlignment="1" applyProtection="1">
      <alignment vertical="top" wrapText="1" readingOrder="1"/>
      <protection locked="0"/>
    </xf>
    <xf numFmtId="168" fontId="73" fillId="0" borderId="5" xfId="0" applyNumberFormat="1" applyFont="1" applyBorder="1" applyAlignment="1" applyProtection="1">
      <alignment vertical="top" wrapText="1" readingOrder="1"/>
      <protection locked="0"/>
    </xf>
    <xf numFmtId="168" fontId="73" fillId="0" borderId="31" xfId="477" applyNumberFormat="1" applyFont="1" applyBorder="1" applyAlignment="1" applyProtection="1">
      <alignment vertical="top" wrapText="1" readingOrder="1"/>
      <protection locked="0"/>
    </xf>
    <xf numFmtId="168" fontId="73" fillId="0" borderId="43" xfId="477" applyNumberFormat="1" applyFont="1" applyBorder="1" applyAlignment="1" applyProtection="1">
      <alignment vertical="top" wrapText="1" readingOrder="1"/>
      <protection locked="0"/>
    </xf>
    <xf numFmtId="0" fontId="74" fillId="0" borderId="0" xfId="0" applyFont="1"/>
    <xf numFmtId="166" fontId="74" fillId="0" borderId="5" xfId="53" applyNumberFormat="1" applyFont="1" applyBorder="1"/>
    <xf numFmtId="168" fontId="73" fillId="0" borderId="31" xfId="558" applyNumberFormat="1" applyFont="1" applyBorder="1" applyAlignment="1" applyProtection="1">
      <alignment vertical="top" wrapText="1" readingOrder="1"/>
      <protection locked="0"/>
    </xf>
    <xf numFmtId="168" fontId="73" fillId="0" borderId="31" xfId="0" applyNumberFormat="1" applyFont="1" applyBorder="1" applyAlignment="1" applyProtection="1">
      <alignment wrapText="1" readingOrder="1"/>
      <protection locked="0"/>
    </xf>
    <xf numFmtId="168" fontId="73" fillId="0" borderId="31" xfId="477" applyNumberFormat="1" applyFont="1" applyBorder="1" applyAlignment="1" applyProtection="1">
      <alignment wrapText="1" readingOrder="1"/>
      <protection locked="0"/>
    </xf>
    <xf numFmtId="168" fontId="73" fillId="0" borderId="43" xfId="477" applyNumberFormat="1" applyFont="1" applyBorder="1" applyAlignment="1" applyProtection="1">
      <alignment wrapText="1" readingOrder="1"/>
      <protection locked="0"/>
    </xf>
    <xf numFmtId="168" fontId="75" fillId="11" borderId="31" xfId="0" applyNumberFormat="1" applyFont="1" applyFill="1" applyBorder="1" applyAlignment="1" applyProtection="1">
      <alignment vertical="top" wrapText="1" readingOrder="1"/>
      <protection locked="0"/>
    </xf>
    <xf numFmtId="168" fontId="75" fillId="11" borderId="31" xfId="518" applyNumberFormat="1" applyFont="1" applyFill="1" applyBorder="1" applyAlignment="1" applyProtection="1">
      <alignment vertical="top" wrapText="1" readingOrder="1"/>
      <protection locked="0"/>
    </xf>
    <xf numFmtId="168" fontId="75" fillId="11" borderId="31" xfId="559" applyNumberFormat="1" applyFont="1" applyFill="1" applyBorder="1" applyAlignment="1" applyProtection="1">
      <alignment vertical="top" wrapText="1" readingOrder="1"/>
      <protection locked="0"/>
    </xf>
    <xf numFmtId="168" fontId="75" fillId="11" borderId="43" xfId="0" applyNumberFormat="1" applyFont="1" applyFill="1" applyBorder="1" applyAlignment="1" applyProtection="1">
      <alignment vertical="top" wrapText="1" readingOrder="1"/>
      <protection locked="0"/>
    </xf>
    <xf numFmtId="168" fontId="75" fillId="0" borderId="5" xfId="0" applyNumberFormat="1" applyFont="1" applyBorder="1" applyAlignment="1" applyProtection="1">
      <alignment vertical="top" wrapText="1" readingOrder="1"/>
      <protection locked="0"/>
    </xf>
    <xf numFmtId="168" fontId="75" fillId="11" borderId="31" xfId="477" applyNumberFormat="1" applyFont="1" applyFill="1" applyBorder="1" applyAlignment="1" applyProtection="1">
      <alignment vertical="top" wrapText="1" readingOrder="1"/>
      <protection locked="0"/>
    </xf>
    <xf numFmtId="168" fontId="75" fillId="11" borderId="31" xfId="477" applyNumberFormat="1" applyFont="1" applyFill="1" applyBorder="1" applyAlignment="1" applyProtection="1">
      <alignment wrapText="1" readingOrder="1"/>
      <protection locked="0"/>
    </xf>
    <xf numFmtId="168" fontId="75" fillId="11" borderId="43" xfId="477" applyNumberFormat="1" applyFont="1" applyFill="1" applyBorder="1" applyAlignment="1" applyProtection="1">
      <alignment wrapText="1" readingOrder="1"/>
      <protection locked="0"/>
    </xf>
    <xf numFmtId="168" fontId="75" fillId="11" borderId="31" xfId="0" applyNumberFormat="1" applyFont="1" applyFill="1" applyBorder="1" applyAlignment="1" applyProtection="1">
      <alignment wrapText="1" readingOrder="1"/>
      <protection locked="0"/>
    </xf>
    <xf numFmtId="168" fontId="73" fillId="0" borderId="31" xfId="560" applyNumberFormat="1" applyFont="1" applyBorder="1" applyAlignment="1" applyProtection="1">
      <alignment vertical="top" wrapText="1" readingOrder="1"/>
      <protection locked="0"/>
    </xf>
    <xf numFmtId="168" fontId="73" fillId="0" borderId="5" xfId="563" applyNumberFormat="1" applyFont="1" applyBorder="1" applyAlignment="1" applyProtection="1">
      <alignment vertical="top" wrapText="1" readingOrder="1"/>
      <protection locked="0"/>
    </xf>
    <xf numFmtId="168" fontId="73" fillId="0" borderId="30" xfId="0" applyNumberFormat="1" applyFont="1" applyBorder="1" applyAlignment="1" applyProtection="1">
      <alignment vertical="top" wrapText="1" readingOrder="1"/>
      <protection locked="0"/>
    </xf>
    <xf numFmtId="166" fontId="73" fillId="0" borderId="5" xfId="53" applyNumberFormat="1" applyFont="1" applyBorder="1" applyAlignment="1" applyProtection="1">
      <alignment vertical="top" wrapText="1" readingOrder="1"/>
      <protection locked="0"/>
    </xf>
    <xf numFmtId="168" fontId="73" fillId="0" borderId="31" xfId="564" applyNumberFormat="1" applyFont="1" applyBorder="1" applyAlignment="1" applyProtection="1">
      <alignment vertical="top" wrapText="1" readingOrder="1"/>
      <protection locked="0"/>
    </xf>
    <xf numFmtId="0" fontId="74" fillId="0" borderId="5" xfId="0" applyFont="1" applyBorder="1"/>
    <xf numFmtId="43" fontId="74" fillId="0" borderId="0" xfId="0" applyNumberFormat="1" applyFont="1"/>
    <xf numFmtId="17" fontId="43" fillId="0" borderId="0" xfId="0" applyNumberFormat="1" applyFont="1" applyAlignment="1">
      <alignment horizontal="center" vertical="center"/>
    </xf>
    <xf numFmtId="17" fontId="45" fillId="0" borderId="0" xfId="0" applyNumberFormat="1" applyFont="1"/>
    <xf numFmtId="0" fontId="45" fillId="0" borderId="0" xfId="0" applyFont="1" applyAlignment="1">
      <alignment horizontal="right"/>
    </xf>
    <xf numFmtId="17" fontId="45" fillId="0" borderId="5" xfId="0" applyNumberFormat="1" applyFont="1" applyBorder="1"/>
    <xf numFmtId="17" fontId="45" fillId="0" borderId="30" xfId="0" applyNumberFormat="1" applyFont="1" applyBorder="1"/>
    <xf numFmtId="0" fontId="45" fillId="0" borderId="5" xfId="0" applyFont="1" applyBorder="1" applyAlignment="1">
      <alignment horizontal="right"/>
    </xf>
    <xf numFmtId="17" fontId="74" fillId="0" borderId="0" xfId="0" applyNumberFormat="1" applyFont="1"/>
    <xf numFmtId="17" fontId="45" fillId="0" borderId="0" xfId="0" applyNumberFormat="1" applyFont="1" applyAlignment="1">
      <alignment horizontal="right"/>
    </xf>
    <xf numFmtId="43" fontId="45" fillId="21" borderId="5" xfId="53" applyFont="1" applyFill="1" applyBorder="1"/>
    <xf numFmtId="43" fontId="43" fillId="8" borderId="5" xfId="53" applyFont="1" applyFill="1" applyBorder="1" applyAlignment="1" applyProtection="1"/>
    <xf numFmtId="166" fontId="43" fillId="8" borderId="5" xfId="53" applyNumberFormat="1" applyFont="1" applyFill="1" applyBorder="1" applyAlignment="1" applyProtection="1"/>
    <xf numFmtId="176" fontId="43" fillId="8" borderId="5" xfId="54" applyNumberFormat="1" applyFont="1" applyFill="1" applyBorder="1" applyAlignment="1" applyProtection="1"/>
    <xf numFmtId="43" fontId="44" fillId="0" borderId="5" xfId="56" applyFont="1" applyFill="1" applyBorder="1"/>
    <xf numFmtId="174" fontId="73" fillId="0" borderId="5" xfId="0" applyNumberFormat="1" applyFont="1" applyBorder="1" applyAlignment="1" applyProtection="1">
      <alignment horizontal="right" vertical="center"/>
      <protection locked="0"/>
    </xf>
    <xf numFmtId="174" fontId="73" fillId="0" borderId="30" xfId="0" applyNumberFormat="1" applyFont="1" applyBorder="1" applyAlignment="1" applyProtection="1">
      <alignment horizontal="right" vertical="center"/>
      <protection locked="0"/>
    </xf>
    <xf numFmtId="174" fontId="73" fillId="0" borderId="24" xfId="0" applyNumberFormat="1" applyFont="1" applyBorder="1" applyAlignment="1" applyProtection="1">
      <alignment horizontal="right" vertical="center"/>
      <protection locked="0"/>
    </xf>
    <xf numFmtId="43" fontId="74" fillId="0" borderId="5" xfId="53" applyFont="1" applyBorder="1"/>
    <xf numFmtId="43" fontId="74" fillId="0" borderId="29" xfId="53" applyFont="1" applyBorder="1"/>
    <xf numFmtId="43" fontId="74" fillId="0" borderId="0" xfId="53" applyFont="1"/>
    <xf numFmtId="176" fontId="44" fillId="0" borderId="5" xfId="54" applyNumberFormat="1" applyFont="1" applyBorder="1" applyAlignment="1" applyProtection="1">
      <alignment horizontal="right" vertical="center"/>
      <protection locked="0"/>
    </xf>
    <xf numFmtId="176" fontId="44" fillId="0" borderId="30" xfId="54" applyNumberFormat="1" applyFont="1" applyBorder="1" applyAlignment="1" applyProtection="1">
      <alignment horizontal="right" vertical="center"/>
      <protection locked="0"/>
    </xf>
    <xf numFmtId="176" fontId="44" fillId="0" borderId="24" xfId="54" applyNumberFormat="1" applyFont="1" applyBorder="1" applyAlignment="1" applyProtection="1">
      <alignment horizontal="right" vertical="center"/>
      <protection locked="0"/>
    </xf>
    <xf numFmtId="43" fontId="43" fillId="8" borderId="30" xfId="53" applyFont="1" applyFill="1" applyBorder="1" applyAlignment="1" applyProtection="1"/>
    <xf numFmtId="168" fontId="73" fillId="0" borderId="5" xfId="477" applyNumberFormat="1" applyFont="1" applyBorder="1" applyAlignment="1" applyProtection="1">
      <alignment vertical="top" wrapText="1" readingOrder="1"/>
      <protection locked="0"/>
    </xf>
    <xf numFmtId="43" fontId="44" fillId="0" borderId="5" xfId="56" applyFont="1" applyFill="1" applyBorder="1" applyAlignment="1">
      <alignment wrapText="1"/>
    </xf>
    <xf numFmtId="168" fontId="73" fillId="0" borderId="5" xfId="477" applyNumberFormat="1" applyFont="1" applyBorder="1" applyAlignment="1" applyProtection="1">
      <alignment wrapText="1" readingOrder="1"/>
      <protection locked="0"/>
    </xf>
    <xf numFmtId="4" fontId="74" fillId="0" borderId="0" xfId="0" applyNumberFormat="1" applyFont="1" applyProtection="1">
      <protection locked="0"/>
    </xf>
    <xf numFmtId="43" fontId="74" fillId="0" borderId="5" xfId="53" applyFont="1" applyBorder="1" applyAlignment="1">
      <alignment readingOrder="1"/>
    </xf>
    <xf numFmtId="43" fontId="43" fillId="0" borderId="5" xfId="56" applyFont="1" applyFill="1" applyBorder="1" applyAlignment="1">
      <alignment wrapText="1"/>
    </xf>
    <xf numFmtId="174" fontId="75" fillId="0" borderId="5" xfId="0" applyNumberFormat="1" applyFont="1" applyBorder="1" applyAlignment="1" applyProtection="1">
      <alignment horizontal="right" vertical="center"/>
      <protection locked="0"/>
    </xf>
    <xf numFmtId="174" fontId="75" fillId="0" borderId="30" xfId="0" applyNumberFormat="1" applyFont="1" applyBorder="1" applyAlignment="1" applyProtection="1">
      <alignment horizontal="right" vertical="center"/>
      <protection locked="0"/>
    </xf>
    <xf numFmtId="174" fontId="75" fillId="0" borderId="24" xfId="0" applyNumberFormat="1" applyFont="1" applyBorder="1" applyAlignment="1" applyProtection="1">
      <alignment horizontal="right" vertical="center"/>
      <protection locked="0"/>
    </xf>
    <xf numFmtId="43" fontId="45" fillId="0" borderId="5" xfId="53" applyFont="1" applyBorder="1"/>
    <xf numFmtId="43" fontId="45" fillId="0" borderId="29" xfId="53" applyFont="1" applyBorder="1"/>
    <xf numFmtId="4" fontId="45" fillId="0" borderId="0" xfId="0" applyNumberFormat="1" applyFont="1" applyProtection="1">
      <protection locked="0"/>
    </xf>
    <xf numFmtId="43" fontId="45" fillId="0" borderId="5" xfId="53" applyFont="1" applyBorder="1" applyAlignment="1">
      <alignment readingOrder="1"/>
    </xf>
    <xf numFmtId="43" fontId="45" fillId="0" borderId="0" xfId="53" applyFont="1"/>
    <xf numFmtId="166" fontId="45" fillId="0" borderId="5" xfId="53" applyNumberFormat="1" applyFont="1" applyBorder="1"/>
    <xf numFmtId="43" fontId="77" fillId="0" borderId="5" xfId="56" applyFont="1" applyFill="1" applyBorder="1"/>
    <xf numFmtId="176" fontId="44" fillId="0" borderId="30" xfId="54" applyNumberFormat="1" applyFont="1" applyFill="1" applyBorder="1" applyAlignment="1" applyProtection="1">
      <protection locked="0"/>
    </xf>
    <xf numFmtId="176" fontId="44" fillId="0" borderId="24" xfId="54" applyNumberFormat="1" applyFont="1" applyFill="1" applyBorder="1" applyAlignment="1" applyProtection="1">
      <protection locked="0"/>
    </xf>
    <xf numFmtId="176" fontId="44" fillId="0" borderId="5" xfId="54" applyNumberFormat="1" applyFont="1" applyFill="1" applyBorder="1" applyAlignment="1" applyProtection="1">
      <protection locked="0"/>
    </xf>
    <xf numFmtId="2" fontId="74" fillId="0" borderId="5" xfId="0" applyNumberFormat="1" applyFont="1" applyBorder="1"/>
    <xf numFmtId="3" fontId="74" fillId="0" borderId="5" xfId="0" applyNumberFormat="1" applyFont="1" applyBorder="1"/>
    <xf numFmtId="43" fontId="74" fillId="0" borderId="5" xfId="54" applyNumberFormat="1" applyFont="1" applyBorder="1"/>
    <xf numFmtId="177" fontId="44" fillId="0" borderId="5" xfId="0" applyNumberFormat="1" applyFont="1" applyBorder="1"/>
    <xf numFmtId="43" fontId="74" fillId="0" borderId="30" xfId="53" applyFont="1" applyBorder="1"/>
    <xf numFmtId="43" fontId="74" fillId="0" borderId="24" xfId="53" applyFont="1" applyBorder="1"/>
    <xf numFmtId="166" fontId="73" fillId="0" borderId="31" xfId="53" applyNumberFormat="1" applyFont="1" applyBorder="1" applyAlignment="1" applyProtection="1">
      <alignment vertical="top" wrapText="1" readingOrder="1"/>
      <protection locked="0"/>
    </xf>
    <xf numFmtId="174" fontId="75" fillId="8" borderId="30" xfId="0" applyNumberFormat="1" applyFont="1" applyFill="1" applyBorder="1" applyAlignment="1" applyProtection="1">
      <alignment horizontal="right" vertical="center"/>
      <protection locked="0"/>
    </xf>
    <xf numFmtId="43" fontId="75" fillId="8" borderId="5" xfId="53" applyFont="1" applyFill="1" applyBorder="1" applyAlignment="1" applyProtection="1">
      <alignment horizontal="right" vertical="center"/>
      <protection locked="0"/>
    </xf>
    <xf numFmtId="43" fontId="75" fillId="8" borderId="30" xfId="53" applyFont="1" applyFill="1" applyBorder="1" applyAlignment="1" applyProtection="1">
      <alignment horizontal="right" vertical="center"/>
      <protection locked="0"/>
    </xf>
    <xf numFmtId="166" fontId="75" fillId="8" borderId="5" xfId="53" applyNumberFormat="1" applyFont="1" applyFill="1" applyBorder="1" applyAlignment="1" applyProtection="1">
      <alignment horizontal="right" vertical="center"/>
      <protection locked="0"/>
    </xf>
    <xf numFmtId="176" fontId="43" fillId="8" borderId="30" xfId="54" applyNumberFormat="1" applyFont="1" applyFill="1" applyBorder="1" applyAlignment="1" applyProtection="1"/>
    <xf numFmtId="43" fontId="45" fillId="0" borderId="30" xfId="53" applyFont="1" applyBorder="1"/>
    <xf numFmtId="43" fontId="45" fillId="0" borderId="24" xfId="53" applyFont="1" applyBorder="1"/>
    <xf numFmtId="0" fontId="36" fillId="0" borderId="7" xfId="53" applyNumberFormat="1" applyFont="1" applyBorder="1"/>
    <xf numFmtId="43" fontId="67" fillId="22" borderId="5" xfId="53" applyFont="1" applyFill="1" applyBorder="1"/>
    <xf numFmtId="168" fontId="80" fillId="11" borderId="31" xfId="0" applyNumberFormat="1" applyFont="1" applyFill="1" applyBorder="1" applyAlignment="1" applyProtection="1">
      <alignment vertical="top" wrapText="1" readingOrder="1"/>
      <protection locked="0"/>
    </xf>
    <xf numFmtId="168" fontId="80" fillId="0" borderId="31" xfId="0" applyNumberFormat="1" applyFont="1" applyBorder="1" applyAlignment="1" applyProtection="1">
      <alignment vertical="top" wrapText="1" readingOrder="1"/>
      <protection locked="0"/>
    </xf>
    <xf numFmtId="168" fontId="82" fillId="0" borderId="31" xfId="0" applyNumberFormat="1" applyFont="1" applyBorder="1" applyAlignment="1" applyProtection="1">
      <alignment vertical="top" wrapText="1" readingOrder="1"/>
      <protection locked="0"/>
    </xf>
    <xf numFmtId="166" fontId="74" fillId="0" borderId="0" xfId="53" applyNumberFormat="1" applyFont="1"/>
    <xf numFmtId="166" fontId="45" fillId="0" borderId="0" xfId="53" applyNumberFormat="1" applyFont="1"/>
    <xf numFmtId="0" fontId="67" fillId="0" borderId="5" xfId="0" applyFont="1" applyBorder="1"/>
    <xf numFmtId="4" fontId="68" fillId="0" borderId="5" xfId="0" applyNumberFormat="1" applyFont="1" applyBorder="1"/>
    <xf numFmtId="0" fontId="67" fillId="0" borderId="5" xfId="0" applyFont="1" applyBorder="1" applyAlignment="1" applyProtection="1">
      <alignment vertical="top" wrapText="1" readingOrder="1"/>
      <protection locked="0"/>
    </xf>
    <xf numFmtId="43" fontId="68" fillId="0" borderId="5" xfId="0" applyNumberFormat="1" applyFont="1" applyBorder="1"/>
    <xf numFmtId="0" fontId="67" fillId="0" borderId="5" xfId="0" applyFont="1" applyBorder="1" applyAlignment="1" applyProtection="1">
      <alignment horizontal="center" vertical="center" wrapText="1"/>
      <protection locked="0"/>
    </xf>
    <xf numFmtId="0" fontId="68" fillId="0" borderId="5" xfId="0" applyFont="1" applyBorder="1" applyAlignment="1">
      <alignment horizontal="center" vertical="center"/>
    </xf>
    <xf numFmtId="0" fontId="67" fillId="21" borderId="5" xfId="0" applyFont="1" applyFill="1" applyBorder="1"/>
    <xf numFmtId="43" fontId="68" fillId="0" borderId="5" xfId="56" applyFont="1" applyFill="1" applyBorder="1" applyAlignment="1">
      <alignment horizontal="left"/>
    </xf>
    <xf numFmtId="43" fontId="68" fillId="0" borderId="5" xfId="53" applyFont="1" applyFill="1" applyBorder="1" applyAlignment="1" applyProtection="1">
      <protection locked="0"/>
    </xf>
    <xf numFmtId="168" fontId="69" fillId="0" borderId="5" xfId="518" applyNumberFormat="1" applyFont="1" applyBorder="1" applyAlignment="1" applyProtection="1">
      <alignment vertical="top" wrapText="1" readingOrder="1"/>
      <protection locked="0"/>
    </xf>
    <xf numFmtId="4" fontId="0" fillId="0" borderId="5" xfId="0" applyNumberFormat="1" applyBorder="1"/>
    <xf numFmtId="3" fontId="68" fillId="0" borderId="5" xfId="0" applyNumberFormat="1" applyFont="1" applyBorder="1"/>
    <xf numFmtId="168" fontId="24" fillId="0" borderId="5" xfId="0" applyNumberFormat="1" applyFont="1" applyBorder="1" applyAlignment="1" applyProtection="1">
      <alignment vertical="top" wrapText="1" readingOrder="1"/>
      <protection locked="0"/>
    </xf>
    <xf numFmtId="4" fontId="78" fillId="0" borderId="5" xfId="0" applyNumberFormat="1" applyFont="1" applyBorder="1" applyAlignment="1">
      <alignment wrapText="1" readingOrder="1"/>
    </xf>
    <xf numFmtId="168" fontId="79" fillId="0" borderId="5" xfId="0" applyNumberFormat="1" applyFont="1" applyBorder="1" applyAlignment="1" applyProtection="1">
      <alignment vertical="top" wrapText="1" readingOrder="1"/>
      <protection locked="0"/>
    </xf>
    <xf numFmtId="43" fontId="69" fillId="0" borderId="5" xfId="0" applyNumberFormat="1" applyFont="1" applyBorder="1" applyAlignment="1" applyProtection="1">
      <alignment vertical="top" wrapText="1" readingOrder="1"/>
      <protection locked="0"/>
    </xf>
    <xf numFmtId="43" fontId="67" fillId="0" borderId="5" xfId="53" applyFont="1" applyFill="1" applyBorder="1" applyAlignment="1" applyProtection="1">
      <protection locked="0"/>
    </xf>
    <xf numFmtId="168" fontId="26" fillId="0" borderId="5" xfId="0" applyNumberFormat="1" applyFont="1" applyBorder="1" applyAlignment="1" applyProtection="1">
      <alignment vertical="top" wrapText="1" readingOrder="1"/>
      <protection locked="0"/>
    </xf>
    <xf numFmtId="43" fontId="68" fillId="0" borderId="5" xfId="56" applyFont="1" applyFill="1" applyBorder="1" applyAlignment="1">
      <alignment horizontal="left" wrapText="1"/>
    </xf>
    <xf numFmtId="0" fontId="78" fillId="0" borderId="5" xfId="0" applyFont="1" applyBorder="1" applyAlignment="1">
      <alignment wrapText="1" readingOrder="1"/>
    </xf>
    <xf numFmtId="43" fontId="67" fillId="0" borderId="5" xfId="56" applyFont="1" applyFill="1" applyBorder="1" applyAlignment="1">
      <alignment horizontal="left"/>
    </xf>
    <xf numFmtId="168" fontId="79" fillId="11" borderId="5" xfId="0" applyNumberFormat="1" applyFont="1" applyFill="1" applyBorder="1" applyAlignment="1" applyProtection="1">
      <alignment vertical="top" wrapText="1" readingOrder="1"/>
      <protection locked="0"/>
    </xf>
    <xf numFmtId="4" fontId="78" fillId="27" borderId="5" xfId="0" applyNumberFormat="1" applyFont="1" applyFill="1" applyBorder="1" applyAlignment="1">
      <alignment wrapText="1" readingOrder="1"/>
    </xf>
    <xf numFmtId="168" fontId="69" fillId="0" borderId="5" xfId="518" applyNumberFormat="1" applyFont="1" applyBorder="1" applyAlignment="1" applyProtection="1">
      <alignment wrapText="1" readingOrder="1"/>
      <protection locked="0"/>
    </xf>
    <xf numFmtId="43" fontId="78" fillId="0" borderId="5" xfId="53" applyFont="1" applyBorder="1" applyAlignment="1">
      <alignment wrapText="1" readingOrder="1"/>
    </xf>
    <xf numFmtId="167" fontId="2" fillId="0" borderId="5" xfId="54" applyBorder="1"/>
    <xf numFmtId="168" fontId="81" fillId="0" borderId="5" xfId="0" applyNumberFormat="1" applyFont="1" applyBorder="1" applyAlignment="1" applyProtection="1">
      <alignment vertical="top" wrapText="1" readingOrder="1"/>
      <protection locked="0"/>
    </xf>
    <xf numFmtId="43" fontId="69" fillId="0" borderId="5" xfId="53" applyFont="1" applyBorder="1" applyAlignment="1" applyProtection="1">
      <alignment vertical="top" wrapText="1" readingOrder="1"/>
      <protection locked="0"/>
    </xf>
    <xf numFmtId="167" fontId="68" fillId="0" borderId="5" xfId="54" applyFont="1" applyFill="1" applyBorder="1" applyAlignment="1" applyProtection="1">
      <alignment vertical="center"/>
      <protection locked="0"/>
    </xf>
    <xf numFmtId="175" fontId="69" fillId="0" borderId="5" xfId="518" applyNumberFormat="1" applyFont="1" applyBorder="1" applyAlignment="1" applyProtection="1">
      <alignment vertical="top" wrapText="1" readingOrder="1"/>
      <protection locked="0"/>
    </xf>
    <xf numFmtId="175" fontId="24" fillId="0" borderId="5" xfId="477" applyNumberFormat="1" applyFont="1" applyBorder="1" applyAlignment="1" applyProtection="1">
      <alignment vertical="top" wrapText="1" readingOrder="1"/>
      <protection locked="0"/>
    </xf>
    <xf numFmtId="175" fontId="24" fillId="0" borderId="5" xfId="0" applyNumberFormat="1" applyFont="1" applyBorder="1" applyAlignment="1" applyProtection="1">
      <alignment vertical="top" wrapText="1" readingOrder="1"/>
      <protection locked="0"/>
    </xf>
    <xf numFmtId="43" fontId="78" fillId="27" borderId="5" xfId="53" applyFont="1" applyFill="1" applyBorder="1" applyAlignment="1">
      <alignment wrapText="1" readingOrder="1"/>
    </xf>
    <xf numFmtId="175" fontId="79" fillId="0" borderId="5" xfId="0" applyNumberFormat="1" applyFont="1" applyBorder="1" applyAlignment="1" applyProtection="1">
      <alignment vertical="top" wrapText="1" readingOrder="1"/>
      <protection locked="0"/>
    </xf>
    <xf numFmtId="166" fontId="0" fillId="0" borderId="5" xfId="53" applyNumberFormat="1" applyFont="1" applyBorder="1" applyAlignment="1" applyProtection="1">
      <alignment vertical="top" wrapText="1" readingOrder="1"/>
      <protection locked="0"/>
    </xf>
    <xf numFmtId="43" fontId="68" fillId="0" borderId="5" xfId="53" applyFont="1" applyFill="1" applyBorder="1" applyAlignment="1" applyProtection="1"/>
    <xf numFmtId="166" fontId="68" fillId="0" borderId="5" xfId="53" applyNumberFormat="1" applyFont="1" applyFill="1" applyBorder="1" applyAlignment="1" applyProtection="1"/>
    <xf numFmtId="168" fontId="68" fillId="0" borderId="5" xfId="0" applyNumberFormat="1" applyFont="1" applyBorder="1"/>
    <xf numFmtId="43" fontId="67" fillId="0" borderId="5" xfId="53" applyFont="1" applyFill="1" applyBorder="1"/>
    <xf numFmtId="43" fontId="36" fillId="0" borderId="0" xfId="0" applyNumberFormat="1" applyFont="1"/>
    <xf numFmtId="0" fontId="78" fillId="0" borderId="57" xfId="0" applyFont="1" applyBorder="1" applyAlignment="1">
      <alignment wrapText="1" readingOrder="1"/>
    </xf>
    <xf numFmtId="4" fontId="78" fillId="0" borderId="57" xfId="0" applyNumberFormat="1" applyFont="1" applyBorder="1" applyAlignment="1">
      <alignment wrapText="1" readingOrder="1"/>
    </xf>
    <xf numFmtId="0" fontId="78" fillId="0" borderId="58" xfId="0" applyFont="1" applyBorder="1" applyAlignment="1">
      <alignment wrapText="1" readingOrder="1"/>
    </xf>
    <xf numFmtId="4" fontId="78" fillId="0" borderId="58" xfId="0" applyNumberFormat="1" applyFont="1" applyBorder="1" applyAlignment="1">
      <alignment wrapText="1" readingOrder="1"/>
    </xf>
    <xf numFmtId="0" fontId="83" fillId="0" borderId="57" xfId="0" applyFont="1" applyBorder="1" applyAlignment="1">
      <alignment wrapText="1" readingOrder="1"/>
    </xf>
    <xf numFmtId="4" fontId="83" fillId="0" borderId="57" xfId="0" applyNumberFormat="1" applyFont="1" applyBorder="1" applyAlignment="1">
      <alignment wrapText="1" readingOrder="1"/>
    </xf>
    <xf numFmtId="0" fontId="83" fillId="0" borderId="58" xfId="0" applyFont="1" applyBorder="1" applyAlignment="1">
      <alignment wrapText="1" readingOrder="1"/>
    </xf>
    <xf numFmtId="4" fontId="83" fillId="0" borderId="58" xfId="0" applyNumberFormat="1" applyFont="1" applyBorder="1" applyAlignment="1">
      <alignment wrapText="1" readingOrder="1"/>
    </xf>
    <xf numFmtId="4" fontId="83" fillId="28" borderId="58" xfId="0" applyNumberFormat="1" applyFont="1" applyFill="1" applyBorder="1" applyAlignment="1">
      <alignment wrapText="1" readingOrder="1"/>
    </xf>
    <xf numFmtId="0" fontId="46" fillId="0" borderId="14" xfId="0" applyFont="1" applyBorder="1" applyAlignment="1">
      <alignment horizontal="center" wrapText="1"/>
    </xf>
    <xf numFmtId="0" fontId="46" fillId="0" borderId="18" xfId="0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5" fillId="0" borderId="17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16" fillId="0" borderId="17" xfId="0" applyFont="1" applyBorder="1" applyAlignment="1">
      <alignment horizontal="left" wrapText="1"/>
    </xf>
    <xf numFmtId="0" fontId="4" fillId="0" borderId="0" xfId="0" applyFont="1" applyAlignment="1" applyProtection="1">
      <alignment horizontal="left" wrapText="1"/>
      <protection locked="0"/>
    </xf>
    <xf numFmtId="0" fontId="3" fillId="0" borderId="42" xfId="0" applyFont="1" applyBorder="1" applyAlignment="1">
      <alignment horizontal="center" wrapText="1"/>
    </xf>
    <xf numFmtId="0" fontId="78" fillId="0" borderId="57" xfId="0" applyFont="1" applyFill="1" applyBorder="1" applyAlignment="1">
      <alignment wrapText="1" readingOrder="1"/>
    </xf>
    <xf numFmtId="0" fontId="78" fillId="0" borderId="58" xfId="0" applyFont="1" applyFill="1" applyBorder="1" applyAlignment="1">
      <alignment wrapText="1" readingOrder="1"/>
    </xf>
    <xf numFmtId="4" fontId="78" fillId="0" borderId="58" xfId="0" applyNumberFormat="1" applyFont="1" applyFill="1" applyBorder="1" applyAlignment="1">
      <alignment wrapText="1" readingOrder="1"/>
    </xf>
  </cellXfs>
  <cellStyles count="696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2" xfId="70" xr:uid="{00000000-0005-0000-0000-000045000000}"/>
    <cellStyle name="Comma 10 2 2" xfId="71" xr:uid="{00000000-0005-0000-0000-000046000000}"/>
    <cellStyle name="Comma 10 3" xfId="72" xr:uid="{00000000-0005-0000-0000-000047000000}"/>
    <cellStyle name="Comma 10 3 2" xfId="73" xr:uid="{00000000-0005-0000-0000-000048000000}"/>
    <cellStyle name="Comma 10 4" xfId="74" xr:uid="{00000000-0005-0000-0000-000049000000}"/>
    <cellStyle name="Comma 10 4 2" xfId="75" xr:uid="{00000000-0005-0000-0000-00004A000000}"/>
    <cellStyle name="Comma 10 5" xfId="76" xr:uid="{00000000-0005-0000-0000-00004B000000}"/>
    <cellStyle name="Comma 10 5 2" xfId="77" xr:uid="{00000000-0005-0000-0000-00004C000000}"/>
    <cellStyle name="Comma 10 6" xfId="78" xr:uid="{00000000-0005-0000-0000-00004D000000}"/>
    <cellStyle name="Comma 10 6 2" xfId="79" xr:uid="{00000000-0005-0000-0000-00004E000000}"/>
    <cellStyle name="Comma 10 7" xfId="80" xr:uid="{00000000-0005-0000-0000-00004F000000}"/>
    <cellStyle name="Comma 10 7 2" xfId="81" xr:uid="{00000000-0005-0000-0000-000050000000}"/>
    <cellStyle name="Comma 10 8" xfId="82" xr:uid="{00000000-0005-0000-0000-000051000000}"/>
    <cellStyle name="Comma 10 8 2" xfId="83" xr:uid="{00000000-0005-0000-0000-000052000000}"/>
    <cellStyle name="Comma 10 9" xfId="84" xr:uid="{00000000-0005-0000-0000-000053000000}"/>
    <cellStyle name="Comma 10 9 2" xfId="85" xr:uid="{00000000-0005-0000-0000-000054000000}"/>
    <cellStyle name="Comma 11" xfId="86" xr:uid="{00000000-0005-0000-0000-000055000000}"/>
    <cellStyle name="Comma 11 10" xfId="87" xr:uid="{00000000-0005-0000-0000-000056000000}"/>
    <cellStyle name="Comma 11 10 2" xfId="88" xr:uid="{00000000-0005-0000-0000-000057000000}"/>
    <cellStyle name="Comma 11 11" xfId="89" xr:uid="{00000000-0005-0000-0000-000058000000}"/>
    <cellStyle name="Comma 11 11 2" xfId="90" xr:uid="{00000000-0005-0000-0000-000059000000}"/>
    <cellStyle name="Comma 11 12" xfId="91" xr:uid="{00000000-0005-0000-0000-00005A000000}"/>
    <cellStyle name="Comma 11 12 2" xfId="92" xr:uid="{00000000-0005-0000-0000-00005B000000}"/>
    <cellStyle name="Comma 11 13" xfId="93" xr:uid="{00000000-0005-0000-0000-00005C000000}"/>
    <cellStyle name="Comma 11 13 2" xfId="94" xr:uid="{00000000-0005-0000-0000-00005D000000}"/>
    <cellStyle name="Comma 11 14" xfId="95" xr:uid="{00000000-0005-0000-0000-00005E000000}"/>
    <cellStyle name="Comma 11 14 2" xfId="96" xr:uid="{00000000-0005-0000-0000-00005F000000}"/>
    <cellStyle name="Comma 11 15" xfId="97" xr:uid="{00000000-0005-0000-0000-000060000000}"/>
    <cellStyle name="Comma 11 15 2" xfId="98" xr:uid="{00000000-0005-0000-0000-000061000000}"/>
    <cellStyle name="Comma 11 16" xfId="99" xr:uid="{00000000-0005-0000-0000-000062000000}"/>
    <cellStyle name="Comma 11 16 2" xfId="100" xr:uid="{00000000-0005-0000-0000-000063000000}"/>
    <cellStyle name="Comma 11 17" xfId="101" xr:uid="{00000000-0005-0000-0000-000064000000}"/>
    <cellStyle name="Comma 11 17 2" xfId="102" xr:uid="{00000000-0005-0000-0000-000065000000}"/>
    <cellStyle name="Comma 11 18" xfId="103" xr:uid="{00000000-0005-0000-0000-000066000000}"/>
    <cellStyle name="Comma 11 2" xfId="104" xr:uid="{00000000-0005-0000-0000-000067000000}"/>
    <cellStyle name="Comma 11 2 2" xfId="105" xr:uid="{00000000-0005-0000-0000-000068000000}"/>
    <cellStyle name="Comma 11 2 2 2" xfId="106" xr:uid="{00000000-0005-0000-0000-000069000000}"/>
    <cellStyle name="Comma 11 2 3" xfId="107" xr:uid="{00000000-0005-0000-0000-00006A000000}"/>
    <cellStyle name="Comma 11 3" xfId="108" xr:uid="{00000000-0005-0000-0000-00006B000000}"/>
    <cellStyle name="Comma 11 3 2" xfId="109" xr:uid="{00000000-0005-0000-0000-00006C000000}"/>
    <cellStyle name="Comma 11 4" xfId="110" xr:uid="{00000000-0005-0000-0000-00006D000000}"/>
    <cellStyle name="Comma 11 4 2" xfId="111" xr:uid="{00000000-0005-0000-0000-00006E000000}"/>
    <cellStyle name="Comma 11 5" xfId="112" xr:uid="{00000000-0005-0000-0000-00006F000000}"/>
    <cellStyle name="Comma 11 5 2" xfId="113" xr:uid="{00000000-0005-0000-0000-000070000000}"/>
    <cellStyle name="Comma 11 6" xfId="114" xr:uid="{00000000-0005-0000-0000-000071000000}"/>
    <cellStyle name="Comma 11 6 2" xfId="115" xr:uid="{00000000-0005-0000-0000-000072000000}"/>
    <cellStyle name="Comma 11 7" xfId="116" xr:uid="{00000000-0005-0000-0000-000073000000}"/>
    <cellStyle name="Comma 11 7 2" xfId="117" xr:uid="{00000000-0005-0000-0000-000074000000}"/>
    <cellStyle name="Comma 11 8" xfId="118" xr:uid="{00000000-0005-0000-0000-000075000000}"/>
    <cellStyle name="Comma 11 8 2" xfId="119" xr:uid="{00000000-0005-0000-0000-000076000000}"/>
    <cellStyle name="Comma 11 9" xfId="120" xr:uid="{00000000-0005-0000-0000-000077000000}"/>
    <cellStyle name="Comma 11 9 2" xfId="121" xr:uid="{00000000-0005-0000-0000-000078000000}"/>
    <cellStyle name="Comma 12" xfId="122" xr:uid="{00000000-0005-0000-0000-000079000000}"/>
    <cellStyle name="Comma 12 2" xfId="123" xr:uid="{00000000-0005-0000-0000-00007A000000}"/>
    <cellStyle name="Comma 13" xfId="124" xr:uid="{00000000-0005-0000-0000-00007B000000}"/>
    <cellStyle name="Comma 13 2" xfId="125" xr:uid="{00000000-0005-0000-0000-00007C000000}"/>
    <cellStyle name="Comma 14" xfId="126" xr:uid="{00000000-0005-0000-0000-00007D000000}"/>
    <cellStyle name="Comma 14 2" xfId="127" xr:uid="{00000000-0005-0000-0000-00007E000000}"/>
    <cellStyle name="Comma 15" xfId="128" xr:uid="{00000000-0005-0000-0000-00007F000000}"/>
    <cellStyle name="Comma 15 2" xfId="129" xr:uid="{00000000-0005-0000-0000-000080000000}"/>
    <cellStyle name="Comma 16" xfId="130" xr:uid="{00000000-0005-0000-0000-000081000000}"/>
    <cellStyle name="Comma 16 10" xfId="131" xr:uid="{00000000-0005-0000-0000-000082000000}"/>
    <cellStyle name="Comma 16 10 2" xfId="132" xr:uid="{00000000-0005-0000-0000-000083000000}"/>
    <cellStyle name="Comma 16 11" xfId="133" xr:uid="{00000000-0005-0000-0000-000084000000}"/>
    <cellStyle name="Comma 16 11 2" xfId="134" xr:uid="{00000000-0005-0000-0000-000085000000}"/>
    <cellStyle name="Comma 16 12" xfId="135" xr:uid="{00000000-0005-0000-0000-000086000000}"/>
    <cellStyle name="Comma 16 12 2" xfId="136" xr:uid="{00000000-0005-0000-0000-000087000000}"/>
    <cellStyle name="Comma 16 13" xfId="137" xr:uid="{00000000-0005-0000-0000-000088000000}"/>
    <cellStyle name="Comma 16 13 2" xfId="138" xr:uid="{00000000-0005-0000-0000-000089000000}"/>
    <cellStyle name="Comma 16 14" xfId="139" xr:uid="{00000000-0005-0000-0000-00008A000000}"/>
    <cellStyle name="Comma 16 14 2" xfId="140" xr:uid="{00000000-0005-0000-0000-00008B000000}"/>
    <cellStyle name="Comma 16 15" xfId="141" xr:uid="{00000000-0005-0000-0000-00008C000000}"/>
    <cellStyle name="Comma 16 15 2" xfId="142" xr:uid="{00000000-0005-0000-0000-00008D000000}"/>
    <cellStyle name="Comma 16 16" xfId="143" xr:uid="{00000000-0005-0000-0000-00008E000000}"/>
    <cellStyle name="Comma 16 16 2" xfId="144" xr:uid="{00000000-0005-0000-0000-00008F000000}"/>
    <cellStyle name="Comma 16 17" xfId="145" xr:uid="{00000000-0005-0000-0000-000090000000}"/>
    <cellStyle name="Comma 16 2" xfId="146" xr:uid="{00000000-0005-0000-0000-000091000000}"/>
    <cellStyle name="Comma 16 2 2" xfId="147" xr:uid="{00000000-0005-0000-0000-000092000000}"/>
    <cellStyle name="Comma 16 3" xfId="148" xr:uid="{00000000-0005-0000-0000-000093000000}"/>
    <cellStyle name="Comma 16 3 2" xfId="149" xr:uid="{00000000-0005-0000-0000-000094000000}"/>
    <cellStyle name="Comma 16 4" xfId="150" xr:uid="{00000000-0005-0000-0000-000095000000}"/>
    <cellStyle name="Comma 16 4 2" xfId="151" xr:uid="{00000000-0005-0000-0000-000096000000}"/>
    <cellStyle name="Comma 16 5" xfId="152" xr:uid="{00000000-0005-0000-0000-000097000000}"/>
    <cellStyle name="Comma 16 5 2" xfId="153" xr:uid="{00000000-0005-0000-0000-000098000000}"/>
    <cellStyle name="Comma 16 6" xfId="154" xr:uid="{00000000-0005-0000-0000-000099000000}"/>
    <cellStyle name="Comma 16 6 2" xfId="155" xr:uid="{00000000-0005-0000-0000-00009A000000}"/>
    <cellStyle name="Comma 16 7" xfId="156" xr:uid="{00000000-0005-0000-0000-00009B000000}"/>
    <cellStyle name="Comma 16 7 2" xfId="157" xr:uid="{00000000-0005-0000-0000-00009C000000}"/>
    <cellStyle name="Comma 16 8" xfId="158" xr:uid="{00000000-0005-0000-0000-00009D000000}"/>
    <cellStyle name="Comma 16 8 2" xfId="159" xr:uid="{00000000-0005-0000-0000-00009E000000}"/>
    <cellStyle name="Comma 16 9" xfId="160" xr:uid="{00000000-0005-0000-0000-00009F000000}"/>
    <cellStyle name="Comma 16 9 2" xfId="161" xr:uid="{00000000-0005-0000-0000-0000A0000000}"/>
    <cellStyle name="Comma 17" xfId="162" xr:uid="{00000000-0005-0000-0000-0000A1000000}"/>
    <cellStyle name="Comma 17 10" xfId="163" xr:uid="{00000000-0005-0000-0000-0000A2000000}"/>
    <cellStyle name="Comma 17 10 2" xfId="164" xr:uid="{00000000-0005-0000-0000-0000A3000000}"/>
    <cellStyle name="Comma 17 11" xfId="165" xr:uid="{00000000-0005-0000-0000-0000A4000000}"/>
    <cellStyle name="Comma 17 2" xfId="166" xr:uid="{00000000-0005-0000-0000-0000A5000000}"/>
    <cellStyle name="Comma 17 2 2" xfId="167" xr:uid="{00000000-0005-0000-0000-0000A6000000}"/>
    <cellStyle name="Comma 17 3" xfId="168" xr:uid="{00000000-0005-0000-0000-0000A7000000}"/>
    <cellStyle name="Comma 17 3 2" xfId="169" xr:uid="{00000000-0005-0000-0000-0000A8000000}"/>
    <cellStyle name="Comma 17 4" xfId="170" xr:uid="{00000000-0005-0000-0000-0000A9000000}"/>
    <cellStyle name="Comma 17 4 2" xfId="171" xr:uid="{00000000-0005-0000-0000-0000AA000000}"/>
    <cellStyle name="Comma 17 5" xfId="172" xr:uid="{00000000-0005-0000-0000-0000AB000000}"/>
    <cellStyle name="Comma 17 5 2" xfId="173" xr:uid="{00000000-0005-0000-0000-0000AC000000}"/>
    <cellStyle name="Comma 17 6" xfId="174" xr:uid="{00000000-0005-0000-0000-0000AD000000}"/>
    <cellStyle name="Comma 17 6 2" xfId="175" xr:uid="{00000000-0005-0000-0000-0000AE000000}"/>
    <cellStyle name="Comma 17 7" xfId="176" xr:uid="{00000000-0005-0000-0000-0000AF000000}"/>
    <cellStyle name="Comma 17 7 2" xfId="177" xr:uid="{00000000-0005-0000-0000-0000B0000000}"/>
    <cellStyle name="Comma 17 8" xfId="178" xr:uid="{00000000-0005-0000-0000-0000B1000000}"/>
    <cellStyle name="Comma 17 8 2" xfId="179" xr:uid="{00000000-0005-0000-0000-0000B2000000}"/>
    <cellStyle name="Comma 17 9" xfId="180" xr:uid="{00000000-0005-0000-0000-0000B3000000}"/>
    <cellStyle name="Comma 17 9 2" xfId="181" xr:uid="{00000000-0005-0000-0000-0000B4000000}"/>
    <cellStyle name="Comma 18" xfId="182" xr:uid="{00000000-0005-0000-0000-0000B5000000}"/>
    <cellStyle name="Comma 18 2" xfId="183" xr:uid="{00000000-0005-0000-0000-0000B6000000}"/>
    <cellStyle name="Comma 19" xfId="184" xr:uid="{00000000-0005-0000-0000-0000B7000000}"/>
    <cellStyle name="Comma 2" xfId="185" xr:uid="{00000000-0005-0000-0000-0000B8000000}"/>
    <cellStyle name="Comma 2 10" xfId="186" xr:uid="{00000000-0005-0000-0000-0000B9000000}"/>
    <cellStyle name="Comma 2 10 2" xfId="187" xr:uid="{00000000-0005-0000-0000-0000BA000000}"/>
    <cellStyle name="Comma 2 11" xfId="188" xr:uid="{00000000-0005-0000-0000-0000BB000000}"/>
    <cellStyle name="Comma 2 11 2" xfId="189" xr:uid="{00000000-0005-0000-0000-0000BC000000}"/>
    <cellStyle name="Comma 2 12" xfId="190" xr:uid="{00000000-0005-0000-0000-0000BD000000}"/>
    <cellStyle name="Comma 2 12 2" xfId="191" xr:uid="{00000000-0005-0000-0000-0000BE000000}"/>
    <cellStyle name="Comma 2 13" xfId="192" xr:uid="{00000000-0005-0000-0000-0000BF000000}"/>
    <cellStyle name="Comma 2 13 2" xfId="193" xr:uid="{00000000-0005-0000-0000-0000C0000000}"/>
    <cellStyle name="Comma 2 14" xfId="194" xr:uid="{00000000-0005-0000-0000-0000C1000000}"/>
    <cellStyle name="Comma 2 14 2" xfId="195" xr:uid="{00000000-0005-0000-0000-0000C2000000}"/>
    <cellStyle name="Comma 2 15" xfId="196" xr:uid="{00000000-0005-0000-0000-0000C3000000}"/>
    <cellStyle name="Comma 2 15 2" xfId="197" xr:uid="{00000000-0005-0000-0000-0000C4000000}"/>
    <cellStyle name="Comma 2 16" xfId="198" xr:uid="{00000000-0005-0000-0000-0000C5000000}"/>
    <cellStyle name="Comma 2 16 2" xfId="199" xr:uid="{00000000-0005-0000-0000-0000C6000000}"/>
    <cellStyle name="Comma 2 17" xfId="200" xr:uid="{00000000-0005-0000-0000-0000C7000000}"/>
    <cellStyle name="Comma 2 17 2" xfId="201" xr:uid="{00000000-0005-0000-0000-0000C8000000}"/>
    <cellStyle name="Comma 2 18" xfId="202" xr:uid="{00000000-0005-0000-0000-0000C9000000}"/>
    <cellStyle name="Comma 2 18 2" xfId="203" xr:uid="{00000000-0005-0000-0000-0000CA000000}"/>
    <cellStyle name="Comma 2 19" xfId="204" xr:uid="{00000000-0005-0000-0000-0000CB000000}"/>
    <cellStyle name="Comma 2 19 2" xfId="205" xr:uid="{00000000-0005-0000-0000-0000CC000000}"/>
    <cellStyle name="Comma 2 2" xfId="206" xr:uid="{00000000-0005-0000-0000-0000CD000000}"/>
    <cellStyle name="Comma 2 2 2" xfId="207" xr:uid="{00000000-0005-0000-0000-0000CE000000}"/>
    <cellStyle name="Comma 2 20" xfId="208" xr:uid="{00000000-0005-0000-0000-0000CF000000}"/>
    <cellStyle name="Comma 2 20 2" xfId="209" xr:uid="{00000000-0005-0000-0000-0000D0000000}"/>
    <cellStyle name="Comma 2 21" xfId="210" xr:uid="{00000000-0005-0000-0000-0000D1000000}"/>
    <cellStyle name="Comma 2 21 2" xfId="211" xr:uid="{00000000-0005-0000-0000-0000D2000000}"/>
    <cellStyle name="Comma 2 22" xfId="212" xr:uid="{00000000-0005-0000-0000-0000D3000000}"/>
    <cellStyle name="Comma 2 22 2" xfId="213" xr:uid="{00000000-0005-0000-0000-0000D4000000}"/>
    <cellStyle name="Comma 2 23" xfId="214" xr:uid="{00000000-0005-0000-0000-0000D5000000}"/>
    <cellStyle name="Comma 2 23 2" xfId="215" xr:uid="{00000000-0005-0000-0000-0000D6000000}"/>
    <cellStyle name="Comma 2 24" xfId="216" xr:uid="{00000000-0005-0000-0000-0000D7000000}"/>
    <cellStyle name="Comma 2 24 2" xfId="217" xr:uid="{00000000-0005-0000-0000-0000D8000000}"/>
    <cellStyle name="Comma 2 25" xfId="218" xr:uid="{00000000-0005-0000-0000-0000D9000000}"/>
    <cellStyle name="Comma 2 25 2" xfId="219" xr:uid="{00000000-0005-0000-0000-0000DA000000}"/>
    <cellStyle name="Comma 2 26" xfId="220" xr:uid="{00000000-0005-0000-0000-0000DB000000}"/>
    <cellStyle name="Comma 2 26 2" xfId="221" xr:uid="{00000000-0005-0000-0000-0000DC000000}"/>
    <cellStyle name="Comma 2 27" xfId="222" xr:uid="{00000000-0005-0000-0000-0000DD000000}"/>
    <cellStyle name="Comma 2 3" xfId="223" xr:uid="{00000000-0005-0000-0000-0000DE000000}"/>
    <cellStyle name="Comma 2 3 2" xfId="224" xr:uid="{00000000-0005-0000-0000-0000DF000000}"/>
    <cellStyle name="Comma 2 4" xfId="225" xr:uid="{00000000-0005-0000-0000-0000E0000000}"/>
    <cellStyle name="Comma 2 4 2" xfId="226" xr:uid="{00000000-0005-0000-0000-0000E1000000}"/>
    <cellStyle name="Comma 2 5" xfId="227" xr:uid="{00000000-0005-0000-0000-0000E2000000}"/>
    <cellStyle name="Comma 2 5 2" xfId="228" xr:uid="{00000000-0005-0000-0000-0000E3000000}"/>
    <cellStyle name="Comma 2 6" xfId="229" xr:uid="{00000000-0005-0000-0000-0000E4000000}"/>
    <cellStyle name="Comma 2 6 2" xfId="230" xr:uid="{00000000-0005-0000-0000-0000E5000000}"/>
    <cellStyle name="Comma 2 7" xfId="231" xr:uid="{00000000-0005-0000-0000-0000E6000000}"/>
    <cellStyle name="Comma 2 7 2" xfId="232" xr:uid="{00000000-0005-0000-0000-0000E7000000}"/>
    <cellStyle name="Comma 2 8" xfId="233" xr:uid="{00000000-0005-0000-0000-0000E8000000}"/>
    <cellStyle name="Comma 2 8 2" xfId="234" xr:uid="{00000000-0005-0000-0000-0000E9000000}"/>
    <cellStyle name="Comma 2 9" xfId="235" xr:uid="{00000000-0005-0000-0000-0000EA000000}"/>
    <cellStyle name="Comma 2 9 2" xfId="236" xr:uid="{00000000-0005-0000-0000-0000EB000000}"/>
    <cellStyle name="Comma 20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3" xfId="479" xr:uid="{00000000-0005-0000-0000-0000DF010000}"/>
    <cellStyle name="Normal 10 4" xfId="480" xr:uid="{00000000-0005-0000-0000-0000E0010000}"/>
    <cellStyle name="Normal 10 5" xfId="481" xr:uid="{00000000-0005-0000-0000-0000E1010000}"/>
    <cellStyle name="Normal 11" xfId="482" xr:uid="{00000000-0005-0000-0000-0000E2010000}"/>
    <cellStyle name="Normal 12" xfId="483" xr:uid="{00000000-0005-0000-0000-0000E3010000}"/>
    <cellStyle name="Normal 12 2" xfId="484" xr:uid="{00000000-0005-0000-0000-0000E4010000}"/>
    <cellStyle name="Normal 12 3" xfId="485" xr:uid="{00000000-0005-0000-0000-0000E5010000}"/>
    <cellStyle name="Normal 12 4" xfId="486" xr:uid="{00000000-0005-0000-0000-0000E6010000}"/>
    <cellStyle name="Normal 12 5" xfId="487" xr:uid="{00000000-0005-0000-0000-0000E7010000}"/>
    <cellStyle name="Normal 13" xfId="488" xr:uid="{00000000-0005-0000-0000-0000E8010000}"/>
    <cellStyle name="Normal 13 2" xfId="489" xr:uid="{00000000-0005-0000-0000-0000E9010000}"/>
    <cellStyle name="Normal 13 3" xfId="490" xr:uid="{00000000-0005-0000-0000-0000EA010000}"/>
    <cellStyle name="Normal 13 4" xfId="491" xr:uid="{00000000-0005-0000-0000-0000EB010000}"/>
    <cellStyle name="Normal 13 5" xfId="492" xr:uid="{00000000-0005-0000-0000-0000EC010000}"/>
    <cellStyle name="Normal 14" xfId="493" xr:uid="{00000000-0005-0000-0000-0000ED010000}"/>
    <cellStyle name="Normal 14 10" xfId="494" xr:uid="{00000000-0005-0000-0000-0000EE010000}"/>
    <cellStyle name="Normal 14 11" xfId="495" xr:uid="{00000000-0005-0000-0000-0000EF010000}"/>
    <cellStyle name="Normal 14 12" xfId="496" xr:uid="{00000000-0005-0000-0000-0000F0010000}"/>
    <cellStyle name="Normal 14 2" xfId="497" xr:uid="{00000000-0005-0000-0000-0000F1010000}"/>
    <cellStyle name="Normal 14 3" xfId="498" xr:uid="{00000000-0005-0000-0000-0000F2010000}"/>
    <cellStyle name="Normal 14 4" xfId="499" xr:uid="{00000000-0005-0000-0000-0000F3010000}"/>
    <cellStyle name="Normal 14 5" xfId="500" xr:uid="{00000000-0005-0000-0000-0000F4010000}"/>
    <cellStyle name="Normal 14 6" xfId="501" xr:uid="{00000000-0005-0000-0000-0000F5010000}"/>
    <cellStyle name="Normal 14 7" xfId="502" xr:uid="{00000000-0005-0000-0000-0000F6010000}"/>
    <cellStyle name="Normal 14 8" xfId="503" xr:uid="{00000000-0005-0000-0000-0000F7010000}"/>
    <cellStyle name="Normal 14 9" xfId="504" xr:uid="{00000000-0005-0000-0000-0000F8010000}"/>
    <cellStyle name="Normal 15" xfId="505" xr:uid="{00000000-0005-0000-0000-0000F9010000}"/>
    <cellStyle name="Normal 16" xfId="506" xr:uid="{00000000-0005-0000-0000-0000FA010000}"/>
    <cellStyle name="Normal 17" xfId="507" xr:uid="{00000000-0005-0000-0000-0000FB010000}"/>
    <cellStyle name="Normal 17 2" xfId="508" xr:uid="{00000000-0005-0000-0000-0000FC010000}"/>
    <cellStyle name="Normal 17 2 2" xfId="509" xr:uid="{00000000-0005-0000-0000-0000FD010000}"/>
    <cellStyle name="Normal 17 3" xfId="510" xr:uid="{00000000-0005-0000-0000-0000FE010000}"/>
    <cellStyle name="Normal 17 3 2" xfId="511" xr:uid="{00000000-0005-0000-0000-0000FF010000}"/>
    <cellStyle name="Normal 17 4" xfId="512" xr:uid="{00000000-0005-0000-0000-000000020000}"/>
    <cellStyle name="Normal 17 4 2" xfId="513" xr:uid="{00000000-0005-0000-0000-000001020000}"/>
    <cellStyle name="Normal 17 5" xfId="514" xr:uid="{00000000-0005-0000-0000-000002020000}"/>
    <cellStyle name="Normal 17 5 2" xfId="515" xr:uid="{00000000-0005-0000-0000-000003020000}"/>
    <cellStyle name="Normal 17 6" xfId="516" xr:uid="{00000000-0005-0000-0000-000004020000}"/>
    <cellStyle name="Normal 18" xfId="517" xr:uid="{00000000-0005-0000-0000-000005020000}"/>
    <cellStyle name="Normal 19" xfId="518" xr:uid="{00000000-0005-0000-0000-000006020000}"/>
    <cellStyle name="Normal 2" xfId="519" xr:uid="{00000000-0005-0000-0000-000007020000}"/>
    <cellStyle name="Normal 2 10" xfId="520" xr:uid="{00000000-0005-0000-0000-000008020000}"/>
    <cellStyle name="Normal 2 11" xfId="521" xr:uid="{00000000-0005-0000-0000-000009020000}"/>
    <cellStyle name="Normal 2 12" xfId="522" xr:uid="{00000000-0005-0000-0000-00000A020000}"/>
    <cellStyle name="Normal 2 13" xfId="523" xr:uid="{00000000-0005-0000-0000-00000B020000}"/>
    <cellStyle name="Normal 2 14" xfId="524" xr:uid="{00000000-0005-0000-0000-00000C020000}"/>
    <cellStyle name="Normal 2 15" xfId="525" xr:uid="{00000000-0005-0000-0000-00000D020000}"/>
    <cellStyle name="Normal 2 16" xfId="526" xr:uid="{00000000-0005-0000-0000-00000E020000}"/>
    <cellStyle name="Normal 2 17" xfId="527" xr:uid="{00000000-0005-0000-0000-00000F020000}"/>
    <cellStyle name="Normal 2 18" xfId="528" xr:uid="{00000000-0005-0000-0000-000010020000}"/>
    <cellStyle name="Normal 2 19" xfId="529" xr:uid="{00000000-0005-0000-0000-000011020000}"/>
    <cellStyle name="Normal 2 2" xfId="530" xr:uid="{00000000-0005-0000-0000-000012020000}"/>
    <cellStyle name="Normal 2 20" xfId="531" xr:uid="{00000000-0005-0000-0000-000013020000}"/>
    <cellStyle name="Normal 2 3" xfId="532" xr:uid="{00000000-0005-0000-0000-000014020000}"/>
    <cellStyle name="Normal 2 4" xfId="533" xr:uid="{00000000-0005-0000-0000-000015020000}"/>
    <cellStyle name="Normal 2 5" xfId="534" xr:uid="{00000000-0005-0000-0000-000016020000}"/>
    <cellStyle name="Normal 2 6" xfId="535" xr:uid="{00000000-0005-0000-0000-000017020000}"/>
    <cellStyle name="Normal 2 7" xfId="536" xr:uid="{00000000-0005-0000-0000-000018020000}"/>
    <cellStyle name="Normal 2 8" xfId="537" xr:uid="{00000000-0005-0000-0000-000019020000}"/>
    <cellStyle name="Normal 2 9" xfId="538" xr:uid="{00000000-0005-0000-0000-00001A020000}"/>
    <cellStyle name="Normal 2_deposits mobilized" xfId="539" xr:uid="{00000000-0005-0000-0000-00001B020000}"/>
    <cellStyle name="Normal 20" xfId="540" xr:uid="{00000000-0005-0000-0000-00001C020000}"/>
    <cellStyle name="Normal 21" xfId="541" xr:uid="{00000000-0005-0000-0000-00001D020000}"/>
    <cellStyle name="Normal 21 10" xfId="542" xr:uid="{00000000-0005-0000-0000-00001E020000}"/>
    <cellStyle name="Normal 21 11" xfId="543" xr:uid="{00000000-0005-0000-0000-00001F020000}"/>
    <cellStyle name="Normal 21 12" xfId="544" xr:uid="{00000000-0005-0000-0000-000020020000}"/>
    <cellStyle name="Normal 21 13" xfId="545" xr:uid="{00000000-0005-0000-0000-000021020000}"/>
    <cellStyle name="Normal 21 14" xfId="546" xr:uid="{00000000-0005-0000-0000-000022020000}"/>
    <cellStyle name="Normal 21 15" xfId="547" xr:uid="{00000000-0005-0000-0000-000023020000}"/>
    <cellStyle name="Normal 21 16" xfId="548" xr:uid="{00000000-0005-0000-0000-000024020000}"/>
    <cellStyle name="Normal 21 2" xfId="549" xr:uid="{00000000-0005-0000-0000-000025020000}"/>
    <cellStyle name="Normal 21 3" xfId="550" xr:uid="{00000000-0005-0000-0000-000026020000}"/>
    <cellStyle name="Normal 21 4" xfId="551" xr:uid="{00000000-0005-0000-0000-000027020000}"/>
    <cellStyle name="Normal 21 5" xfId="552" xr:uid="{00000000-0005-0000-0000-000028020000}"/>
    <cellStyle name="Normal 21 6" xfId="553" xr:uid="{00000000-0005-0000-0000-000029020000}"/>
    <cellStyle name="Normal 21 7" xfId="554" xr:uid="{00000000-0005-0000-0000-00002A020000}"/>
    <cellStyle name="Normal 21 8" xfId="555" xr:uid="{00000000-0005-0000-0000-00002B020000}"/>
    <cellStyle name="Normal 21 9" xfId="556" xr:uid="{00000000-0005-0000-0000-00002C020000}"/>
    <cellStyle name="Normal 22" xfId="557" xr:uid="{00000000-0005-0000-0000-00002D020000}"/>
    <cellStyle name="Normal 23" xfId="558" xr:uid="{00000000-0005-0000-0000-00002E020000}"/>
    <cellStyle name="Normal 24" xfId="559" xr:uid="{00000000-0005-0000-0000-00002F020000}"/>
    <cellStyle name="Normal 25" xfId="560" xr:uid="{00000000-0005-0000-0000-000030020000}"/>
    <cellStyle name="Normal 26" xfId="561" xr:uid="{00000000-0005-0000-0000-000031020000}"/>
    <cellStyle name="Normal 27" xfId="562" xr:uid="{00000000-0005-0000-0000-000032020000}"/>
    <cellStyle name="Normal 28" xfId="563" xr:uid="{00000000-0005-0000-0000-000033020000}"/>
    <cellStyle name="Normal 29" xfId="564" xr:uid="{00000000-0005-0000-0000-000034020000}"/>
    <cellStyle name="Normal 3" xfId="565" xr:uid="{00000000-0005-0000-0000-000035020000}"/>
    <cellStyle name="Normal 3 10" xfId="566" xr:uid="{00000000-0005-0000-0000-000036020000}"/>
    <cellStyle name="Normal 3 11" xfId="567" xr:uid="{00000000-0005-0000-0000-000037020000}"/>
    <cellStyle name="Normal 3 12" xfId="568" xr:uid="{00000000-0005-0000-0000-000038020000}"/>
    <cellStyle name="Normal 3 13" xfId="569" xr:uid="{00000000-0005-0000-0000-000039020000}"/>
    <cellStyle name="Normal 3 14" xfId="570" xr:uid="{00000000-0005-0000-0000-00003A020000}"/>
    <cellStyle name="Normal 3 15" xfId="571" xr:uid="{00000000-0005-0000-0000-00003B020000}"/>
    <cellStyle name="Normal 3 16" xfId="572" xr:uid="{00000000-0005-0000-0000-00003C020000}"/>
    <cellStyle name="Normal 3 17" xfId="573" xr:uid="{00000000-0005-0000-0000-00003D020000}"/>
    <cellStyle name="Normal 3 18" xfId="574" xr:uid="{00000000-0005-0000-0000-00003E020000}"/>
    <cellStyle name="Normal 3 19" xfId="575" xr:uid="{00000000-0005-0000-0000-00003F020000}"/>
    <cellStyle name="Normal 3 2" xfId="576" xr:uid="{00000000-0005-0000-0000-000040020000}"/>
    <cellStyle name="Normal 3 20" xfId="577" xr:uid="{00000000-0005-0000-0000-000041020000}"/>
    <cellStyle name="Normal 3 21" xfId="578" xr:uid="{00000000-0005-0000-0000-000042020000}"/>
    <cellStyle name="Normal 3 22" xfId="579" xr:uid="{00000000-0005-0000-0000-000043020000}"/>
    <cellStyle name="Normal 3 23" xfId="580" xr:uid="{00000000-0005-0000-0000-000044020000}"/>
    <cellStyle name="Normal 3 24" xfId="581" xr:uid="{00000000-0005-0000-0000-000045020000}"/>
    <cellStyle name="Normal 3 25" xfId="582" xr:uid="{00000000-0005-0000-0000-000046020000}"/>
    <cellStyle name="Normal 3 26" xfId="583" xr:uid="{00000000-0005-0000-0000-000047020000}"/>
    <cellStyle name="Normal 3 27" xfId="584" xr:uid="{00000000-0005-0000-0000-000048020000}"/>
    <cellStyle name="Normal 3 28" xfId="585" xr:uid="{00000000-0005-0000-0000-000049020000}"/>
    <cellStyle name="Normal 3 29" xfId="586" xr:uid="{00000000-0005-0000-0000-00004A020000}"/>
    <cellStyle name="Normal 3 3" xfId="587" xr:uid="{00000000-0005-0000-0000-00004B020000}"/>
    <cellStyle name="Normal 3 30" xfId="588" xr:uid="{00000000-0005-0000-0000-00004C020000}"/>
    <cellStyle name="Normal 3 4" xfId="589" xr:uid="{00000000-0005-0000-0000-00004D020000}"/>
    <cellStyle name="Normal 3 5" xfId="590" xr:uid="{00000000-0005-0000-0000-00004E020000}"/>
    <cellStyle name="Normal 3 6" xfId="591" xr:uid="{00000000-0005-0000-0000-00004F020000}"/>
    <cellStyle name="Normal 3 7" xfId="592" xr:uid="{00000000-0005-0000-0000-000050020000}"/>
    <cellStyle name="Normal 3 8" xfId="593" xr:uid="{00000000-0005-0000-0000-000051020000}"/>
    <cellStyle name="Normal 3 9" xfId="594" xr:uid="{00000000-0005-0000-0000-000052020000}"/>
    <cellStyle name="Normal 3_deposits mobilized" xfId="595" xr:uid="{00000000-0005-0000-0000-000053020000}"/>
    <cellStyle name="Normal 30" xfId="596" xr:uid="{00000000-0005-0000-0000-000054020000}"/>
    <cellStyle name="Normal 4" xfId="597" xr:uid="{00000000-0005-0000-0000-000055020000}"/>
    <cellStyle name="Normal 4 10" xfId="598" xr:uid="{00000000-0005-0000-0000-000056020000}"/>
    <cellStyle name="Normal 4 11" xfId="599" xr:uid="{00000000-0005-0000-0000-000057020000}"/>
    <cellStyle name="Normal 4 12" xfId="600" xr:uid="{00000000-0005-0000-0000-000058020000}"/>
    <cellStyle name="Normal 4 13" xfId="601" xr:uid="{00000000-0005-0000-0000-000059020000}"/>
    <cellStyle name="Normal 4 14" xfId="602" xr:uid="{00000000-0005-0000-0000-00005A020000}"/>
    <cellStyle name="Normal 4 15" xfId="603" xr:uid="{00000000-0005-0000-0000-00005B020000}"/>
    <cellStyle name="Normal 4 16" xfId="604" xr:uid="{00000000-0005-0000-0000-00005C020000}"/>
    <cellStyle name="Normal 4 17" xfId="605" xr:uid="{00000000-0005-0000-0000-00005D020000}"/>
    <cellStyle name="Normal 4 18" xfId="606" xr:uid="{00000000-0005-0000-0000-00005E020000}"/>
    <cellStyle name="Normal 4 19" xfId="607" xr:uid="{00000000-0005-0000-0000-00005F020000}"/>
    <cellStyle name="Normal 4 2" xfId="608" xr:uid="{00000000-0005-0000-0000-000060020000}"/>
    <cellStyle name="Normal 4 20" xfId="609" xr:uid="{00000000-0005-0000-0000-000061020000}"/>
    <cellStyle name="Normal 4 21" xfId="610" xr:uid="{00000000-0005-0000-0000-000062020000}"/>
    <cellStyle name="Normal 4 22" xfId="611" xr:uid="{00000000-0005-0000-0000-000063020000}"/>
    <cellStyle name="Normal 4 23" xfId="612" xr:uid="{00000000-0005-0000-0000-000064020000}"/>
    <cellStyle name="Normal 4 24" xfId="613" xr:uid="{00000000-0005-0000-0000-000065020000}"/>
    <cellStyle name="Normal 4 25" xfId="614" xr:uid="{00000000-0005-0000-0000-000066020000}"/>
    <cellStyle name="Normal 4 26" xfId="615" xr:uid="{00000000-0005-0000-0000-000067020000}"/>
    <cellStyle name="Normal 4 27" xfId="616" xr:uid="{00000000-0005-0000-0000-000068020000}"/>
    <cellStyle name="Normal 4 28" xfId="617" xr:uid="{00000000-0005-0000-0000-000069020000}"/>
    <cellStyle name="Normal 4 29" xfId="618" xr:uid="{00000000-0005-0000-0000-00006A020000}"/>
    <cellStyle name="Normal 4 3" xfId="619" xr:uid="{00000000-0005-0000-0000-00006B020000}"/>
    <cellStyle name="Normal 4 30" xfId="620" xr:uid="{00000000-0005-0000-0000-00006C020000}"/>
    <cellStyle name="Normal 4 4" xfId="621" xr:uid="{00000000-0005-0000-0000-00006D020000}"/>
    <cellStyle name="Normal 4 5" xfId="622" xr:uid="{00000000-0005-0000-0000-00006E020000}"/>
    <cellStyle name="Normal 4 6" xfId="623" xr:uid="{00000000-0005-0000-0000-00006F020000}"/>
    <cellStyle name="Normal 4 7" xfId="624" xr:uid="{00000000-0005-0000-0000-000070020000}"/>
    <cellStyle name="Normal 4 8" xfId="625" xr:uid="{00000000-0005-0000-0000-000071020000}"/>
    <cellStyle name="Normal 4 9" xfId="626" xr:uid="{00000000-0005-0000-0000-000072020000}"/>
    <cellStyle name="Normal 5" xfId="627" xr:uid="{00000000-0005-0000-0000-000073020000}"/>
    <cellStyle name="Normal 5 10" xfId="628" xr:uid="{00000000-0005-0000-0000-000074020000}"/>
    <cellStyle name="Normal 5 11" xfId="629" xr:uid="{00000000-0005-0000-0000-000075020000}"/>
    <cellStyle name="Normal 5 12" xfId="630" xr:uid="{00000000-0005-0000-0000-000076020000}"/>
    <cellStyle name="Normal 5 13" xfId="631" xr:uid="{00000000-0005-0000-0000-000077020000}"/>
    <cellStyle name="Normal 5 14" xfId="632" xr:uid="{00000000-0005-0000-0000-000078020000}"/>
    <cellStyle name="Normal 5 15" xfId="633" xr:uid="{00000000-0005-0000-0000-000079020000}"/>
    <cellStyle name="Normal 5 2" xfId="634" xr:uid="{00000000-0005-0000-0000-00007A020000}"/>
    <cellStyle name="Normal 5 3" xfId="635" xr:uid="{00000000-0005-0000-0000-00007B020000}"/>
    <cellStyle name="Normal 5 4" xfId="636" xr:uid="{00000000-0005-0000-0000-00007C020000}"/>
    <cellStyle name="Normal 5 5" xfId="637" xr:uid="{00000000-0005-0000-0000-00007D020000}"/>
    <cellStyle name="Normal 5 6" xfId="638" xr:uid="{00000000-0005-0000-0000-00007E020000}"/>
    <cellStyle name="Normal 5 7" xfId="639" xr:uid="{00000000-0005-0000-0000-00007F020000}"/>
    <cellStyle name="Normal 5 8" xfId="640" xr:uid="{00000000-0005-0000-0000-000080020000}"/>
    <cellStyle name="Normal 5 9" xfId="641" xr:uid="{00000000-0005-0000-0000-000081020000}"/>
    <cellStyle name="Normal 6" xfId="642" xr:uid="{00000000-0005-0000-0000-000082020000}"/>
    <cellStyle name="Normal 6 2" xfId="643" xr:uid="{00000000-0005-0000-0000-000083020000}"/>
    <cellStyle name="Normal 6 3" xfId="644" xr:uid="{00000000-0005-0000-0000-000084020000}"/>
    <cellStyle name="Normal 6 4" xfId="645" xr:uid="{00000000-0005-0000-0000-000085020000}"/>
    <cellStyle name="Normal 6 5" xfId="646" xr:uid="{00000000-0005-0000-0000-000086020000}"/>
    <cellStyle name="Normal 7" xfId="647" xr:uid="{00000000-0005-0000-0000-000087020000}"/>
    <cellStyle name="Normal 7 2" xfId="648" xr:uid="{00000000-0005-0000-0000-000088020000}"/>
    <cellStyle name="Normal 7 3" xfId="649" xr:uid="{00000000-0005-0000-0000-000089020000}"/>
    <cellStyle name="Normal 7 4" xfId="650" xr:uid="{00000000-0005-0000-0000-00008A020000}"/>
    <cellStyle name="Normal 8" xfId="651" xr:uid="{00000000-0005-0000-0000-00008B020000}"/>
    <cellStyle name="Normal 9" xfId="652" xr:uid="{00000000-0005-0000-0000-00008C020000}"/>
    <cellStyle name="Normal 9 10" xfId="653" xr:uid="{00000000-0005-0000-0000-00008D020000}"/>
    <cellStyle name="Normal 9 10 2" xfId="654" xr:uid="{00000000-0005-0000-0000-00008E020000}"/>
    <cellStyle name="Normal 9 11" xfId="655" xr:uid="{00000000-0005-0000-0000-00008F020000}"/>
    <cellStyle name="Normal 9 11 2" xfId="656" xr:uid="{00000000-0005-0000-0000-000090020000}"/>
    <cellStyle name="Normal 9 12" xfId="657" xr:uid="{00000000-0005-0000-0000-000091020000}"/>
    <cellStyle name="Normal 9 12 2" xfId="658" xr:uid="{00000000-0005-0000-0000-000092020000}"/>
    <cellStyle name="Normal 9 13" xfId="659" xr:uid="{00000000-0005-0000-0000-000093020000}"/>
    <cellStyle name="Normal 9 14" xfId="660" xr:uid="{00000000-0005-0000-0000-000094020000}"/>
    <cellStyle name="Normal 9 15" xfId="661" xr:uid="{00000000-0005-0000-0000-000095020000}"/>
    <cellStyle name="Normal 9 2" xfId="662" xr:uid="{00000000-0005-0000-0000-000096020000}"/>
    <cellStyle name="Normal 9 2 2" xfId="663" xr:uid="{00000000-0005-0000-0000-000097020000}"/>
    <cellStyle name="Normal 9 2 2 2" xfId="664" xr:uid="{00000000-0005-0000-0000-000098020000}"/>
    <cellStyle name="Normal 9 2 3" xfId="665" xr:uid="{00000000-0005-0000-0000-000099020000}"/>
    <cellStyle name="Normal 9 2 3 2" xfId="666" xr:uid="{00000000-0005-0000-0000-00009A020000}"/>
    <cellStyle name="Normal 9 2 4" xfId="667" xr:uid="{00000000-0005-0000-0000-00009B020000}"/>
    <cellStyle name="Normal 9 2 4 2" xfId="668" xr:uid="{00000000-0005-0000-0000-00009C020000}"/>
    <cellStyle name="Normal 9 3" xfId="669" xr:uid="{00000000-0005-0000-0000-00009D020000}"/>
    <cellStyle name="Normal 9 3 2" xfId="670" xr:uid="{00000000-0005-0000-0000-00009E020000}"/>
    <cellStyle name="Normal 9 4" xfId="671" xr:uid="{00000000-0005-0000-0000-00009F020000}"/>
    <cellStyle name="Normal 9 4 2" xfId="672" xr:uid="{00000000-0005-0000-0000-0000A0020000}"/>
    <cellStyle name="Normal 9 5" xfId="673" xr:uid="{00000000-0005-0000-0000-0000A1020000}"/>
    <cellStyle name="Normal 9 5 2" xfId="674" xr:uid="{00000000-0005-0000-0000-0000A2020000}"/>
    <cellStyle name="Normal 9 6" xfId="675" xr:uid="{00000000-0005-0000-0000-0000A3020000}"/>
    <cellStyle name="Normal 9 6 2" xfId="676" xr:uid="{00000000-0005-0000-0000-0000A4020000}"/>
    <cellStyle name="Normal 9 7" xfId="677" xr:uid="{00000000-0005-0000-0000-0000A5020000}"/>
    <cellStyle name="Normal 9 7 2" xfId="678" xr:uid="{00000000-0005-0000-0000-0000A6020000}"/>
    <cellStyle name="Normal 9 8" xfId="679" xr:uid="{00000000-0005-0000-0000-0000A7020000}"/>
    <cellStyle name="Normal 9 8 2" xfId="680" xr:uid="{00000000-0005-0000-0000-0000A8020000}"/>
    <cellStyle name="Normal 9 9" xfId="681" xr:uid="{00000000-0005-0000-0000-0000A9020000}"/>
    <cellStyle name="Normal 9 9 2" xfId="682" xr:uid="{00000000-0005-0000-0000-0000AA020000}"/>
    <cellStyle name="Note 2" xfId="683" xr:uid="{00000000-0005-0000-0000-0000AB020000}"/>
    <cellStyle name="Note 2 2" xfId="684" xr:uid="{00000000-0005-0000-0000-0000AC020000}"/>
    <cellStyle name="Percent" xfId="685" builtinId="5"/>
    <cellStyle name="Percent 2" xfId="686" xr:uid="{00000000-0005-0000-0000-0000AE020000}"/>
    <cellStyle name="Percent 2 2" xfId="687" xr:uid="{00000000-0005-0000-0000-0000AF020000}"/>
    <cellStyle name="Percent 3" xfId="688" xr:uid="{00000000-0005-0000-0000-0000B0020000}"/>
    <cellStyle name="Percent 3 2" xfId="689" xr:uid="{00000000-0005-0000-0000-0000B1020000}"/>
    <cellStyle name="Percent 4" xfId="690" xr:uid="{00000000-0005-0000-0000-0000B2020000}"/>
    <cellStyle name="Percent 5" xfId="691" xr:uid="{00000000-0005-0000-0000-0000B3020000}"/>
    <cellStyle name="Total 2" xfId="692" xr:uid="{00000000-0005-0000-0000-0000B4020000}"/>
    <cellStyle name="Total 2 2" xfId="693" xr:uid="{00000000-0005-0000-0000-0000B5020000}"/>
    <cellStyle name="Total 2 2 2" xfId="694" xr:uid="{00000000-0005-0000-0000-0000B6020000}"/>
    <cellStyle name="Total 2 3" xfId="695" xr:uid="{00000000-0005-0000-0000-0000B7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3"/>
  <sheetViews>
    <sheetView tabSelected="1" zoomScale="80" zoomScaleNormal="80" zoomScaleSheetLayoutView="100" workbookViewId="0">
      <pane xSplit="1" topLeftCell="CL35" activePane="topRight" state="frozen"/>
      <selection pane="topRight" activeCell="CQ41" sqref="CQ41"/>
    </sheetView>
  </sheetViews>
  <sheetFormatPr defaultColWidth="9.140625" defaultRowHeight="14.45" outlineLevelCol="1"/>
  <cols>
    <col min="1" max="1" width="42.28515625" style="467" customWidth="1"/>
    <col min="2" max="7" width="20.42578125" style="330" hidden="1" customWidth="1"/>
    <col min="8" max="18" width="19.140625" style="330" hidden="1" customWidth="1"/>
    <col min="19" max="19" width="20.28515625" style="330" hidden="1" customWidth="1"/>
    <col min="20" max="20" width="20.42578125" style="330" hidden="1" customWidth="1"/>
    <col min="21" max="21" width="21.85546875" style="330" hidden="1" customWidth="1"/>
    <col min="22" max="30" width="20.42578125" style="330" hidden="1" customWidth="1"/>
    <col min="31" max="32" width="21.85546875" style="330" hidden="1" customWidth="1"/>
    <col min="33" max="33" width="19.5703125" style="330" hidden="1" customWidth="1"/>
    <col min="34" max="34" width="20.5703125" style="330" hidden="1" customWidth="1"/>
    <col min="35" max="35" width="17" style="330" hidden="1" customWidth="1"/>
    <col min="36" max="36" width="17.7109375" style="330" hidden="1" customWidth="1"/>
    <col min="37" max="37" width="17.42578125" style="330" hidden="1" customWidth="1"/>
    <col min="38" max="38" width="19.28515625" style="330" hidden="1" customWidth="1"/>
    <col min="39" max="39" width="17.85546875" style="330" hidden="1" customWidth="1"/>
    <col min="40" max="40" width="18" style="330" hidden="1" customWidth="1"/>
    <col min="41" max="41" width="21.42578125" style="330" hidden="1" customWidth="1"/>
    <col min="42" max="43" width="17.28515625" style="330" hidden="1" customWidth="1"/>
    <col min="44" max="44" width="18" style="330" hidden="1" customWidth="1"/>
    <col min="45" max="45" width="17.28515625" style="330" hidden="1" customWidth="1"/>
    <col min="46" max="46" width="20.85546875" style="330" hidden="1" customWidth="1"/>
    <col min="47" max="49" width="17.28515625" style="330" hidden="1" customWidth="1"/>
    <col min="50" max="50" width="20" style="330" hidden="1" customWidth="1"/>
    <col min="51" max="51" width="19.28515625" style="330" hidden="1" customWidth="1"/>
    <col min="52" max="55" width="17.28515625" style="330" hidden="1" customWidth="1"/>
    <col min="56" max="56" width="18.140625" style="330" hidden="1" customWidth="1"/>
    <col min="57" max="57" width="18.5703125" style="330" hidden="1" customWidth="1"/>
    <col min="58" max="58" width="18.28515625" style="330" hidden="1" customWidth="1"/>
    <col min="59" max="59" width="14.7109375" style="330" bestFit="1" customWidth="1"/>
    <col min="60" max="60" width="17.28515625" style="330" hidden="1" customWidth="1"/>
    <col min="61" max="61" width="17.140625" style="330" hidden="1" customWidth="1"/>
    <col min="62" max="67" width="17.28515625" style="330" hidden="1" customWidth="1"/>
    <col min="68" max="71" width="18.5703125" style="330" hidden="1" customWidth="1" outlineLevel="1"/>
    <col min="72" max="72" width="18.5703125" style="330" bestFit="1" customWidth="1" collapsed="1"/>
    <col min="73" max="73" width="18.42578125" style="330" hidden="1" customWidth="1"/>
    <col min="74" max="74" width="19" style="330" hidden="1" customWidth="1"/>
    <col min="75" max="75" width="17.85546875" style="330" hidden="1" customWidth="1"/>
    <col min="76" max="76" width="20.85546875" style="330" hidden="1" customWidth="1"/>
    <col min="77" max="77" width="18.42578125" style="330" hidden="1" customWidth="1"/>
    <col min="78" max="78" width="19.28515625" style="330" hidden="1" customWidth="1"/>
    <col min="79" max="79" width="19.42578125" style="330" hidden="1" customWidth="1"/>
    <col min="80" max="80" width="22" style="330" hidden="1" customWidth="1"/>
    <col min="81" max="81" width="18.42578125" style="330" hidden="1" customWidth="1"/>
    <col min="82" max="83" width="18.5703125" style="330" hidden="1" customWidth="1"/>
    <col min="84" max="84" width="18.5703125" style="330" bestFit="1" customWidth="1"/>
    <col min="85" max="85" width="18.5703125" style="330" customWidth="1"/>
    <col min="86" max="88" width="16.7109375" style="330" bestFit="1" customWidth="1"/>
    <col min="89" max="91" width="17.7109375" style="330" bestFit="1" customWidth="1"/>
    <col min="92" max="92" width="19.140625" style="330" customWidth="1"/>
    <col min="93" max="93" width="20.5703125" style="330" customWidth="1"/>
    <col min="94" max="94" width="18" style="330" customWidth="1"/>
    <col min="95" max="16384" width="9.140625" style="330"/>
  </cols>
  <sheetData>
    <row r="1" spans="1:99">
      <c r="A1" s="467" t="s">
        <v>0</v>
      </c>
      <c r="AA1" s="468">
        <f>W29+W36+W37</f>
        <v>325505111.88</v>
      </c>
    </row>
    <row r="2" spans="1:99">
      <c r="A2" s="469" t="s">
        <v>1</v>
      </c>
      <c r="B2" s="469"/>
      <c r="T2" s="470">
        <f>G29+G37</f>
        <v>599293835</v>
      </c>
      <c r="AV2" s="327"/>
    </row>
    <row r="3" spans="1:99" s="472" customFormat="1">
      <c r="A3" s="471"/>
      <c r="B3" s="320" t="s">
        <v>2</v>
      </c>
      <c r="C3" s="320" t="s">
        <v>3</v>
      </c>
      <c r="D3" s="320" t="s">
        <v>4</v>
      </c>
      <c r="E3" s="320" t="s">
        <v>5</v>
      </c>
      <c r="F3" s="320" t="s">
        <v>6</v>
      </c>
      <c r="G3" s="320" t="s">
        <v>7</v>
      </c>
      <c r="H3" s="320">
        <v>42736</v>
      </c>
      <c r="I3" s="320">
        <v>42767</v>
      </c>
      <c r="J3" s="320">
        <v>42795</v>
      </c>
      <c r="K3" s="320">
        <v>42826</v>
      </c>
      <c r="L3" s="320">
        <v>42856</v>
      </c>
      <c r="M3" s="320">
        <v>42887</v>
      </c>
      <c r="N3" s="320">
        <v>42917</v>
      </c>
      <c r="O3" s="320">
        <v>42948</v>
      </c>
      <c r="P3" s="320">
        <v>42979</v>
      </c>
      <c r="Q3" s="320">
        <v>43009</v>
      </c>
      <c r="R3" s="320">
        <v>43040</v>
      </c>
      <c r="S3" s="320">
        <v>43070</v>
      </c>
      <c r="T3" s="320" t="s">
        <v>8</v>
      </c>
      <c r="U3" s="320">
        <v>43101</v>
      </c>
      <c r="V3" s="320">
        <v>43132</v>
      </c>
      <c r="W3" s="320">
        <v>43160</v>
      </c>
      <c r="X3" s="320">
        <v>43191</v>
      </c>
      <c r="Y3" s="320">
        <v>43221</v>
      </c>
      <c r="Z3" s="320">
        <v>43252</v>
      </c>
      <c r="AA3" s="320">
        <v>43282</v>
      </c>
      <c r="AB3" s="320">
        <v>43313</v>
      </c>
      <c r="AC3" s="320">
        <v>43344</v>
      </c>
      <c r="AD3" s="320">
        <v>43374</v>
      </c>
      <c r="AE3" s="320">
        <v>43405</v>
      </c>
      <c r="AF3" s="320">
        <v>43435</v>
      </c>
      <c r="AG3" s="320" t="s">
        <v>9</v>
      </c>
      <c r="AH3" s="320">
        <v>43466</v>
      </c>
      <c r="AI3" s="320">
        <v>43497</v>
      </c>
      <c r="AJ3" s="320">
        <v>43525</v>
      </c>
      <c r="AK3" s="320">
        <v>43556</v>
      </c>
      <c r="AL3" s="320">
        <v>43586</v>
      </c>
      <c r="AM3" s="320">
        <v>43617</v>
      </c>
      <c r="AN3" s="320">
        <v>43647</v>
      </c>
      <c r="AO3" s="320">
        <v>43678</v>
      </c>
      <c r="AP3" s="320">
        <v>43709</v>
      </c>
      <c r="AQ3" s="320">
        <v>43739</v>
      </c>
      <c r="AR3" s="320">
        <v>43770</v>
      </c>
      <c r="AS3" s="320">
        <v>43800</v>
      </c>
      <c r="AT3" s="348" t="s">
        <v>10</v>
      </c>
      <c r="AU3" s="320">
        <v>43831</v>
      </c>
      <c r="AV3" s="320">
        <v>43862</v>
      </c>
      <c r="AW3" s="320">
        <v>43891</v>
      </c>
      <c r="AX3" s="320">
        <v>43922</v>
      </c>
      <c r="AY3" s="320">
        <v>43952</v>
      </c>
      <c r="AZ3" s="320">
        <v>43983</v>
      </c>
      <c r="BA3" s="320">
        <v>44013</v>
      </c>
      <c r="BB3" s="320">
        <v>44044</v>
      </c>
      <c r="BC3" s="320">
        <v>44075</v>
      </c>
      <c r="BD3" s="320">
        <v>44105</v>
      </c>
      <c r="BE3" s="320">
        <v>44136</v>
      </c>
      <c r="BF3" s="320">
        <v>44166</v>
      </c>
      <c r="BG3" s="320" t="s">
        <v>11</v>
      </c>
      <c r="BH3" s="320">
        <v>44197</v>
      </c>
      <c r="BI3" s="320">
        <v>44228</v>
      </c>
      <c r="BJ3" s="320">
        <v>44256</v>
      </c>
      <c r="BK3" s="320">
        <v>44287</v>
      </c>
      <c r="BL3" s="320">
        <v>44317</v>
      </c>
      <c r="BM3" s="320">
        <v>44348</v>
      </c>
      <c r="BN3" s="320">
        <v>44378</v>
      </c>
      <c r="BO3" s="320">
        <v>44409</v>
      </c>
      <c r="BP3" s="320">
        <v>44440</v>
      </c>
      <c r="BQ3" s="320">
        <v>44470</v>
      </c>
      <c r="BR3" s="320">
        <v>44501</v>
      </c>
      <c r="BS3" s="320">
        <v>44531</v>
      </c>
      <c r="BT3" s="320" t="s">
        <v>12</v>
      </c>
      <c r="BU3" s="320">
        <v>44562</v>
      </c>
      <c r="BV3" s="320">
        <v>44593</v>
      </c>
      <c r="BW3" s="320">
        <v>44621</v>
      </c>
      <c r="BX3" s="320">
        <v>44652</v>
      </c>
      <c r="BY3" s="320">
        <v>44682</v>
      </c>
      <c r="BZ3" s="320">
        <v>44713</v>
      </c>
      <c r="CA3" s="320">
        <v>44743</v>
      </c>
      <c r="CB3" s="320">
        <v>44774</v>
      </c>
      <c r="CC3" s="320">
        <v>44805</v>
      </c>
      <c r="CD3" s="320">
        <v>44835</v>
      </c>
      <c r="CE3" s="320">
        <v>44866</v>
      </c>
      <c r="CF3" s="320">
        <v>44896</v>
      </c>
      <c r="CG3" s="320" t="s">
        <v>13</v>
      </c>
      <c r="CH3" s="320">
        <v>44927</v>
      </c>
      <c r="CI3" s="320">
        <v>44958</v>
      </c>
      <c r="CJ3" s="320">
        <v>44986</v>
      </c>
      <c r="CK3" s="320">
        <v>45017</v>
      </c>
      <c r="CL3" s="320">
        <v>45047</v>
      </c>
      <c r="CM3" s="320">
        <v>45078</v>
      </c>
      <c r="CN3" s="320">
        <v>45108</v>
      </c>
      <c r="CO3" s="320">
        <v>45139</v>
      </c>
      <c r="CP3" s="320">
        <v>45170</v>
      </c>
      <c r="CQ3" s="320">
        <v>45200</v>
      </c>
      <c r="CR3" s="320">
        <v>45231</v>
      </c>
      <c r="CS3" s="320">
        <v>45261</v>
      </c>
      <c r="CT3" s="320">
        <v>45292</v>
      </c>
    </row>
    <row r="4" spans="1:99" s="473" customFormat="1">
      <c r="A4" s="332" t="s">
        <v>14</v>
      </c>
      <c r="B4" s="321">
        <f>B5+B6</f>
        <v>283849000</v>
      </c>
      <c r="C4" s="322">
        <f>SUM(C5:C6)</f>
        <v>110263000</v>
      </c>
      <c r="D4" s="322">
        <f>SUM(D5:D6)</f>
        <v>201351000</v>
      </c>
      <c r="E4" s="322">
        <f>SUM(E5:E6)</f>
        <v>182728629</v>
      </c>
      <c r="F4" s="322">
        <f>SUM(F5:F6)</f>
        <v>214035021</v>
      </c>
      <c r="G4" s="322">
        <f t="shared" ref="G4:BR4" si="0">G5+G6</f>
        <v>258656183</v>
      </c>
      <c r="H4" s="322">
        <f t="shared" si="0"/>
        <v>260390957.72999999</v>
      </c>
      <c r="I4" s="322">
        <f t="shared" si="0"/>
        <v>206001297.38999999</v>
      </c>
      <c r="J4" s="322">
        <f t="shared" si="0"/>
        <v>108016278.94</v>
      </c>
      <c r="K4" s="322">
        <f t="shared" si="0"/>
        <v>14196014.640000001</v>
      </c>
      <c r="L4" s="322">
        <f t="shared" si="0"/>
        <v>109804753.81999999</v>
      </c>
      <c r="M4" s="322">
        <f t="shared" si="0"/>
        <v>304293290.98000002</v>
      </c>
      <c r="N4" s="322">
        <f t="shared" si="0"/>
        <v>172289610.45999998</v>
      </c>
      <c r="O4" s="322">
        <f t="shared" si="0"/>
        <v>70325936.109999999</v>
      </c>
      <c r="P4" s="322">
        <f t="shared" si="0"/>
        <v>88623132.670000002</v>
      </c>
      <c r="Q4" s="322">
        <f t="shared" si="0"/>
        <v>288623367.73000002</v>
      </c>
      <c r="R4" s="322">
        <f t="shared" si="0"/>
        <v>108664374.8</v>
      </c>
      <c r="S4" s="322">
        <f t="shared" si="0"/>
        <v>162661136.09999999</v>
      </c>
      <c r="T4" s="322">
        <f t="shared" si="0"/>
        <v>152446518</v>
      </c>
      <c r="U4" s="322">
        <f t="shared" si="0"/>
        <v>327420502.5</v>
      </c>
      <c r="V4" s="322">
        <f t="shared" si="0"/>
        <v>17985463.690000001</v>
      </c>
      <c r="W4" s="322">
        <f t="shared" si="0"/>
        <v>131097414.21000001</v>
      </c>
      <c r="X4" s="322">
        <f t="shared" si="0"/>
        <v>58220507.969999999</v>
      </c>
      <c r="Y4" s="322">
        <f t="shared" si="0"/>
        <v>134786587.08000001</v>
      </c>
      <c r="Z4" s="322">
        <f t="shared" si="0"/>
        <v>207860413.13</v>
      </c>
      <c r="AA4" s="322">
        <f t="shared" si="0"/>
        <v>159154119</v>
      </c>
      <c r="AB4" s="322">
        <f t="shared" si="0"/>
        <v>178538552.09</v>
      </c>
      <c r="AC4" s="322">
        <f t="shared" si="0"/>
        <v>234907073.24000001</v>
      </c>
      <c r="AD4" s="322">
        <f t="shared" si="0"/>
        <v>231449334.52999997</v>
      </c>
      <c r="AE4" s="322">
        <f t="shared" si="0"/>
        <v>238224032.16</v>
      </c>
      <c r="AF4" s="322">
        <f t="shared" si="0"/>
        <v>227857475.63999999</v>
      </c>
      <c r="AG4" s="322">
        <f t="shared" si="0"/>
        <v>227633715</v>
      </c>
      <c r="AH4" s="322">
        <f t="shared" si="0"/>
        <v>345375747.31999999</v>
      </c>
      <c r="AI4" s="322">
        <f t="shared" si="0"/>
        <v>383429691.42000002</v>
      </c>
      <c r="AJ4" s="322">
        <f t="shared" si="0"/>
        <v>408180125.5</v>
      </c>
      <c r="AK4" s="322">
        <f t="shared" si="0"/>
        <v>327287738.19999999</v>
      </c>
      <c r="AL4" s="322">
        <f t="shared" si="0"/>
        <v>558678894.47000003</v>
      </c>
      <c r="AM4" s="322">
        <f t="shared" si="0"/>
        <v>514721915.94999999</v>
      </c>
      <c r="AN4" s="322">
        <f t="shared" si="0"/>
        <v>551777681.34000003</v>
      </c>
      <c r="AO4" s="322">
        <f t="shared" si="0"/>
        <v>677373849.2700001</v>
      </c>
      <c r="AP4" s="322">
        <f t="shared" si="0"/>
        <v>584919754.44000006</v>
      </c>
      <c r="AQ4" s="322">
        <f t="shared" si="0"/>
        <v>688845544.33000004</v>
      </c>
      <c r="AR4" s="322">
        <f t="shared" si="0"/>
        <v>779358943.91999996</v>
      </c>
      <c r="AS4" s="322">
        <f t="shared" si="0"/>
        <v>798654267.08000004</v>
      </c>
      <c r="AT4" s="322">
        <f t="shared" si="0"/>
        <v>798832746</v>
      </c>
      <c r="AU4" s="322">
        <f t="shared" si="0"/>
        <v>739153746.36000001</v>
      </c>
      <c r="AV4" s="322">
        <f t="shared" si="0"/>
        <v>722396012.01999998</v>
      </c>
      <c r="AW4" s="322">
        <f t="shared" si="0"/>
        <v>721787021.30000007</v>
      </c>
      <c r="AX4" s="322">
        <f t="shared" si="0"/>
        <v>956320676.10000002</v>
      </c>
      <c r="AY4" s="322">
        <f t="shared" si="0"/>
        <v>1078715054.8099999</v>
      </c>
      <c r="AZ4" s="322">
        <f t="shared" si="0"/>
        <v>1306332937.6099999</v>
      </c>
      <c r="BA4" s="322">
        <f t="shared" si="0"/>
        <v>1232256091.01</v>
      </c>
      <c r="BB4" s="322">
        <f t="shared" si="0"/>
        <v>1126064986.55</v>
      </c>
      <c r="BC4" s="322">
        <f t="shared" si="0"/>
        <v>1232008220.8899999</v>
      </c>
      <c r="BD4" s="322">
        <f t="shared" si="0"/>
        <v>1178815515.8699999</v>
      </c>
      <c r="BE4" s="322">
        <f t="shared" si="0"/>
        <v>1392870797.4399998</v>
      </c>
      <c r="BF4" s="322">
        <f t="shared" si="0"/>
        <v>1280519269</v>
      </c>
      <c r="BG4" s="363">
        <f t="shared" si="0"/>
        <v>1280519269</v>
      </c>
      <c r="BH4" s="322">
        <f t="shared" si="0"/>
        <v>1330371299.55</v>
      </c>
      <c r="BI4" s="322">
        <f t="shared" si="0"/>
        <v>1326707292.6799998</v>
      </c>
      <c r="BJ4" s="322">
        <f t="shared" si="0"/>
        <v>1346688130.1199999</v>
      </c>
      <c r="BK4" s="322">
        <f t="shared" si="0"/>
        <v>1555455750.6800001</v>
      </c>
      <c r="BL4" s="322">
        <f t="shared" si="0"/>
        <v>1434043358.4199998</v>
      </c>
      <c r="BM4" s="322">
        <f t="shared" si="0"/>
        <v>1658811357.21</v>
      </c>
      <c r="BN4" s="322">
        <f t="shared" si="0"/>
        <v>1777347274.0800002</v>
      </c>
      <c r="BO4" s="322">
        <f t="shared" si="0"/>
        <v>1836323771.3900001</v>
      </c>
      <c r="BP4" s="322">
        <f t="shared" si="0"/>
        <v>2187033704.23</v>
      </c>
      <c r="BQ4" s="322">
        <f t="shared" si="0"/>
        <v>1994013882.1800001</v>
      </c>
      <c r="BR4" s="322">
        <f t="shared" si="0"/>
        <v>2028601543.9300001</v>
      </c>
      <c r="BS4" s="322">
        <f t="shared" ref="BS4:CT4" si="1">BS5+BS6</f>
        <v>2224711816.1100001</v>
      </c>
      <c r="BT4" s="322">
        <f t="shared" si="1"/>
        <v>2224711816</v>
      </c>
      <c r="BU4" s="322">
        <f t="shared" si="1"/>
        <v>1895585739.3599999</v>
      </c>
      <c r="BV4" s="322">
        <f t="shared" si="1"/>
        <v>1829376698.25</v>
      </c>
      <c r="BW4" s="322">
        <f t="shared" si="1"/>
        <v>1663178472.8700001</v>
      </c>
      <c r="BX4" s="322">
        <f t="shared" si="1"/>
        <v>1594540736.79</v>
      </c>
      <c r="BY4" s="322">
        <f t="shared" si="1"/>
        <v>1681950498.25</v>
      </c>
      <c r="BZ4" s="322">
        <f t="shared" si="1"/>
        <v>1986623186.6299999</v>
      </c>
      <c r="CA4" s="322">
        <f t="shared" si="1"/>
        <v>1902885777.4400001</v>
      </c>
      <c r="CB4" s="322">
        <f t="shared" si="1"/>
        <v>1926841469.79</v>
      </c>
      <c r="CC4" s="322">
        <f t="shared" si="1"/>
        <v>1866075483.21</v>
      </c>
      <c r="CD4" s="322">
        <f t="shared" si="1"/>
        <v>1917337634.1499999</v>
      </c>
      <c r="CE4" s="322">
        <f t="shared" si="1"/>
        <v>2046569759.3199999</v>
      </c>
      <c r="CF4" s="322">
        <f t="shared" si="1"/>
        <v>2031301430.1399999</v>
      </c>
      <c r="CG4" s="322">
        <f t="shared" si="1"/>
        <v>2033555086</v>
      </c>
      <c r="CH4" s="363">
        <f t="shared" si="1"/>
        <v>1669075862.79</v>
      </c>
      <c r="CI4" s="363">
        <f t="shared" si="1"/>
        <v>1607116488.74</v>
      </c>
      <c r="CJ4" s="363">
        <f t="shared" si="1"/>
        <v>1513335311.3900001</v>
      </c>
      <c r="CK4" s="322">
        <f t="shared" si="1"/>
        <v>1574519159.3999999</v>
      </c>
      <c r="CL4" s="322">
        <f t="shared" si="1"/>
        <v>1749630776.3399999</v>
      </c>
      <c r="CM4" s="322">
        <f t="shared" si="1"/>
        <v>2152861506.79</v>
      </c>
      <c r="CN4" s="322">
        <f t="shared" si="1"/>
        <v>2220880111.0799999</v>
      </c>
      <c r="CO4" s="322">
        <f t="shared" si="1"/>
        <v>2200541989.1199999</v>
      </c>
      <c r="CP4" s="322">
        <f t="shared" si="1"/>
        <v>2220625440.46</v>
      </c>
      <c r="CQ4" s="322">
        <f t="shared" si="1"/>
        <v>0</v>
      </c>
      <c r="CR4" s="322">
        <f t="shared" si="1"/>
        <v>0</v>
      </c>
      <c r="CS4" s="322">
        <f t="shared" si="1"/>
        <v>0</v>
      </c>
      <c r="CT4" s="322">
        <f t="shared" si="1"/>
        <v>0</v>
      </c>
    </row>
    <row r="5" spans="1:99" ht="15">
      <c r="A5" s="474" t="s">
        <v>15</v>
      </c>
      <c r="B5" s="323">
        <v>11890000</v>
      </c>
      <c r="C5" s="324">
        <v>11448000</v>
      </c>
      <c r="D5" s="324">
        <v>9314000</v>
      </c>
      <c r="E5" s="324">
        <v>13696359</v>
      </c>
      <c r="F5" s="324">
        <v>14717887</v>
      </c>
      <c r="G5" s="324">
        <v>13984867</v>
      </c>
      <c r="H5" s="324">
        <v>35143308.850000001</v>
      </c>
      <c r="I5" s="475">
        <v>26264561.449999999</v>
      </c>
      <c r="J5" s="324">
        <v>44358498.75</v>
      </c>
      <c r="K5" s="324">
        <v>43330868.75</v>
      </c>
      <c r="L5" s="476">
        <v>49061791.039999999</v>
      </c>
      <c r="M5" s="476">
        <v>36316106.609999999</v>
      </c>
      <c r="N5" s="476">
        <v>22025162.609999999</v>
      </c>
      <c r="O5" s="476">
        <v>37004143.109999999</v>
      </c>
      <c r="P5" s="476">
        <v>70548603.640000001</v>
      </c>
      <c r="Q5" s="338">
        <v>58248805.640000001</v>
      </c>
      <c r="R5" s="338">
        <v>43484490.640000001</v>
      </c>
      <c r="S5" s="338">
        <v>48699123.969999999</v>
      </c>
      <c r="T5" s="324">
        <v>38502052</v>
      </c>
      <c r="U5" s="338">
        <v>94212112.519999996</v>
      </c>
      <c r="V5" s="338">
        <v>30945812.260000002</v>
      </c>
      <c r="W5" s="338">
        <v>46177857.759999998</v>
      </c>
      <c r="X5" s="338">
        <v>46531908.759999998</v>
      </c>
      <c r="Y5" s="338">
        <v>50359865.880000003</v>
      </c>
      <c r="Z5" s="338">
        <v>45193442.880000003</v>
      </c>
      <c r="AA5" s="338">
        <v>57753552.590000004</v>
      </c>
      <c r="AB5" s="338">
        <v>48345214.490000002</v>
      </c>
      <c r="AC5" s="338">
        <v>29655766.34</v>
      </c>
      <c r="AD5" s="338">
        <v>47543124.829999998</v>
      </c>
      <c r="AE5" s="329">
        <v>49112474.350000001</v>
      </c>
      <c r="AF5" s="329">
        <v>40714605.979999997</v>
      </c>
      <c r="AG5" s="325">
        <v>40714606</v>
      </c>
      <c r="AH5" s="344">
        <v>35588027.990000002</v>
      </c>
      <c r="AI5" s="344">
        <v>52941129.259999998</v>
      </c>
      <c r="AJ5" s="344">
        <v>51049723.289999999</v>
      </c>
      <c r="AK5" s="344">
        <v>40476883.920000002</v>
      </c>
      <c r="AL5" s="344">
        <v>44279601.560000002</v>
      </c>
      <c r="AM5" s="344">
        <v>48540717.640000001</v>
      </c>
      <c r="AN5" s="344">
        <v>70466475.760000005</v>
      </c>
      <c r="AO5" s="344">
        <v>37316349.07</v>
      </c>
      <c r="AP5" s="344">
        <v>41215416.090000004</v>
      </c>
      <c r="AQ5" s="344">
        <v>43392513.75</v>
      </c>
      <c r="AR5" s="477">
        <v>31611042.289999999</v>
      </c>
      <c r="AS5" s="344">
        <v>36928069.979999997</v>
      </c>
      <c r="AT5" s="478">
        <v>37108170</v>
      </c>
      <c r="AU5" s="479">
        <v>70501994.469999999</v>
      </c>
      <c r="AV5" s="479">
        <v>68837450.790000007</v>
      </c>
      <c r="AW5" s="479">
        <v>56149988.840000004</v>
      </c>
      <c r="AX5" s="479">
        <v>90734149.400000006</v>
      </c>
      <c r="AY5" s="479">
        <v>54762587.219999999</v>
      </c>
      <c r="AZ5" s="479">
        <v>50711831.100000001</v>
      </c>
      <c r="BA5" s="479">
        <v>75916161.790000007</v>
      </c>
      <c r="BB5" s="338">
        <v>77209065.5</v>
      </c>
      <c r="BC5" s="479">
        <v>64098526.590000004</v>
      </c>
      <c r="BD5" s="479">
        <v>89383375.310000002</v>
      </c>
      <c r="BE5" s="479">
        <v>69358932.319999993</v>
      </c>
      <c r="BF5" s="479">
        <v>95087912.459999993</v>
      </c>
      <c r="BG5" s="364">
        <v>95087912</v>
      </c>
      <c r="BH5" s="362">
        <v>93608224.200000003</v>
      </c>
      <c r="BI5" s="327">
        <v>96070442.829999998</v>
      </c>
      <c r="BJ5" s="362">
        <v>65165218.340000004</v>
      </c>
      <c r="BK5" s="362">
        <v>85967748.769999996</v>
      </c>
      <c r="BL5" s="362">
        <v>100359763.34</v>
      </c>
      <c r="BM5" s="362">
        <v>69289471.120000005</v>
      </c>
      <c r="BN5" s="362">
        <v>59743887.700000003</v>
      </c>
      <c r="BO5" s="362">
        <v>54801305.469999999</v>
      </c>
      <c r="BP5" s="362">
        <v>72432907.5</v>
      </c>
      <c r="BQ5" s="362">
        <v>76585214.200000003</v>
      </c>
      <c r="BR5" s="362">
        <v>61423807.039999999</v>
      </c>
      <c r="BS5" s="362">
        <v>71614009.769999996</v>
      </c>
      <c r="BT5" s="362">
        <v>71614010</v>
      </c>
      <c r="BU5" s="480">
        <v>55238332.789999999</v>
      </c>
      <c r="BV5" s="480">
        <v>90694611.579999998</v>
      </c>
      <c r="BW5" s="480">
        <v>61292453.939999998</v>
      </c>
      <c r="BX5" s="480">
        <v>87027469.859999999</v>
      </c>
      <c r="BY5" s="330">
        <v>59032999.229999997</v>
      </c>
      <c r="BZ5" s="330">
        <v>44678208.579999998</v>
      </c>
      <c r="CA5" s="330">
        <v>88328945.959999993</v>
      </c>
      <c r="CB5" s="468">
        <v>97253997.760000005</v>
      </c>
      <c r="CC5" s="481">
        <v>103766836.22</v>
      </c>
      <c r="CD5" s="481">
        <v>88603868.319999993</v>
      </c>
      <c r="CE5" s="481">
        <v>76011279.590000004</v>
      </c>
      <c r="CF5" s="481">
        <v>111300302.56</v>
      </c>
      <c r="CG5" s="481">
        <v>112430117</v>
      </c>
      <c r="CH5" s="364">
        <v>54774549.609999999</v>
      </c>
      <c r="CI5" s="367">
        <v>88163721.310000002</v>
      </c>
      <c r="CJ5" s="367">
        <v>127308359.41</v>
      </c>
      <c r="CK5" s="367">
        <v>77437438.609999999</v>
      </c>
      <c r="CL5" s="367">
        <v>90238415.840000004</v>
      </c>
      <c r="CM5" s="367">
        <v>96989476.510000005</v>
      </c>
      <c r="CN5" s="508">
        <v>88377094.640000001</v>
      </c>
      <c r="CO5" s="508">
        <v>128042572.06999999</v>
      </c>
      <c r="CP5" s="508">
        <v>68546524.159999996</v>
      </c>
    </row>
    <row r="6" spans="1:99" ht="15">
      <c r="A6" s="474" t="s">
        <v>16</v>
      </c>
      <c r="B6" s="323">
        <v>271959000</v>
      </c>
      <c r="C6" s="324">
        <f>81972000+16843000</f>
        <v>98815000</v>
      </c>
      <c r="D6" s="324">
        <v>192037000</v>
      </c>
      <c r="E6" s="324">
        <f>50323695+118708575</f>
        <v>169032270</v>
      </c>
      <c r="F6" s="324">
        <f>118899613+80417521</f>
        <v>199317134</v>
      </c>
      <c r="G6" s="324">
        <f>181414760+63256556</f>
        <v>244671316</v>
      </c>
      <c r="H6" s="324">
        <v>225247648.88</v>
      </c>
      <c r="I6" s="475">
        <v>179736735.94</v>
      </c>
      <c r="J6" s="324">
        <v>63657780.189999998</v>
      </c>
      <c r="K6" s="324">
        <v>-29134854.109999999</v>
      </c>
      <c r="L6" s="476">
        <v>60742962.780000001</v>
      </c>
      <c r="M6" s="476">
        <v>267977184.37</v>
      </c>
      <c r="N6" s="476">
        <v>150264447.84999999</v>
      </c>
      <c r="O6" s="476">
        <v>33321793</v>
      </c>
      <c r="P6" s="476">
        <v>18074529.030000001</v>
      </c>
      <c r="Q6" s="338">
        <v>230374562.09</v>
      </c>
      <c r="R6" s="338">
        <v>65179884.159999996</v>
      </c>
      <c r="S6" s="338">
        <v>113962012.13</v>
      </c>
      <c r="T6" s="324">
        <v>113944466</v>
      </c>
      <c r="U6" s="338">
        <v>233208389.97999999</v>
      </c>
      <c r="V6" s="482">
        <v>-12960348.57</v>
      </c>
      <c r="W6" s="338">
        <v>84919556.450000003</v>
      </c>
      <c r="X6" s="338">
        <v>11688599.210000001</v>
      </c>
      <c r="Y6" s="338">
        <v>84426721.200000003</v>
      </c>
      <c r="Z6" s="338">
        <v>162666970.25</v>
      </c>
      <c r="AA6" s="338">
        <v>101400566.41</v>
      </c>
      <c r="AB6" s="338">
        <v>130193337.59999999</v>
      </c>
      <c r="AC6" s="338">
        <v>205251306.90000001</v>
      </c>
      <c r="AD6" s="338">
        <v>183906209.69999999</v>
      </c>
      <c r="AE6" s="329">
        <v>189111557.81</v>
      </c>
      <c r="AF6" s="329">
        <v>187142869.66</v>
      </c>
      <c r="AG6" s="326">
        <f>123605753+63313356</f>
        <v>186919109</v>
      </c>
      <c r="AH6" s="344">
        <v>309787719.32999998</v>
      </c>
      <c r="AI6" s="344">
        <v>330488562.16000003</v>
      </c>
      <c r="AJ6" s="344">
        <v>357130402.20999998</v>
      </c>
      <c r="AK6" s="344">
        <v>286810854.27999997</v>
      </c>
      <c r="AL6" s="344">
        <v>514399292.91000003</v>
      </c>
      <c r="AM6" s="344">
        <v>466181198.31</v>
      </c>
      <c r="AN6" s="344">
        <v>481311205.57999998</v>
      </c>
      <c r="AO6" s="344">
        <v>640057500.20000005</v>
      </c>
      <c r="AP6" s="344">
        <v>543704338.35000002</v>
      </c>
      <c r="AQ6" s="344">
        <v>645453030.58000004</v>
      </c>
      <c r="AR6" s="477">
        <v>747747901.63</v>
      </c>
      <c r="AS6" s="344">
        <v>761726197.10000002</v>
      </c>
      <c r="AT6" s="327">
        <v>761724576</v>
      </c>
      <c r="AU6" s="479">
        <v>668651751.88999999</v>
      </c>
      <c r="AV6" s="479">
        <v>653558561.23000002</v>
      </c>
      <c r="AW6" s="479">
        <v>665637032.46000004</v>
      </c>
      <c r="AX6" s="479">
        <v>865586526.70000005</v>
      </c>
      <c r="AY6" s="479">
        <v>1023952467.59</v>
      </c>
      <c r="AZ6" s="479">
        <v>1255621106.51</v>
      </c>
      <c r="BA6" s="479">
        <v>1156339929.22</v>
      </c>
      <c r="BB6" s="355">
        <v>1048855921.05</v>
      </c>
      <c r="BC6" s="479">
        <v>1167909694.3</v>
      </c>
      <c r="BD6" s="479">
        <v>1089432140.5599999</v>
      </c>
      <c r="BE6" s="479">
        <v>1323511865.1199999</v>
      </c>
      <c r="BF6" s="479">
        <v>1185431356.54</v>
      </c>
      <c r="BG6" s="364">
        <v>1185431357</v>
      </c>
      <c r="BH6" s="362">
        <v>1236763075.3499999</v>
      </c>
      <c r="BI6" s="362">
        <v>1230636849.8499999</v>
      </c>
      <c r="BJ6" s="362">
        <v>1281522911.78</v>
      </c>
      <c r="BK6" s="362">
        <v>1469488001.9100001</v>
      </c>
      <c r="BL6" s="362">
        <v>1333683595.0799999</v>
      </c>
      <c r="BM6" s="362">
        <v>1589521886.0899999</v>
      </c>
      <c r="BN6" s="362">
        <v>1717603386.3800001</v>
      </c>
      <c r="BO6" s="362">
        <v>1781522465.9200001</v>
      </c>
      <c r="BP6" s="362">
        <v>2114600796.73</v>
      </c>
      <c r="BQ6" s="362">
        <v>1917428667.98</v>
      </c>
      <c r="BR6" s="362">
        <v>1967177736.8900001</v>
      </c>
      <c r="BS6" s="362">
        <v>2153097806.3400002</v>
      </c>
      <c r="BT6" s="362">
        <f>2224711816-BT5</f>
        <v>2153097806</v>
      </c>
      <c r="BU6" s="480">
        <v>1840347406.5699999</v>
      </c>
      <c r="BV6" s="480">
        <v>1738682086.6700001</v>
      </c>
      <c r="BW6" s="480">
        <v>1601886018.9300001</v>
      </c>
      <c r="BX6" s="480">
        <v>1507513266.9300001</v>
      </c>
      <c r="BY6" s="330">
        <v>1622917499.02</v>
      </c>
      <c r="BZ6" s="330">
        <v>1941944978.05</v>
      </c>
      <c r="CA6" s="330">
        <v>1814556831.48</v>
      </c>
      <c r="CB6" s="468">
        <v>1829587472.03</v>
      </c>
      <c r="CC6" s="481">
        <v>1762308646.99</v>
      </c>
      <c r="CD6" s="481">
        <v>1828733765.8299999</v>
      </c>
      <c r="CE6" s="481">
        <v>1970558479.73</v>
      </c>
      <c r="CF6" s="481">
        <v>1920001127.5799999</v>
      </c>
      <c r="CG6" s="481">
        <f>2033555086-CG5</f>
        <v>1921124969</v>
      </c>
      <c r="CH6" s="364">
        <v>1614301313.1800001</v>
      </c>
      <c r="CI6" s="367">
        <v>1518952767.4300001</v>
      </c>
      <c r="CJ6" s="367">
        <v>1386026951.98</v>
      </c>
      <c r="CK6" s="367">
        <v>1497081720.79</v>
      </c>
      <c r="CL6" s="367">
        <v>1659392360.5</v>
      </c>
      <c r="CM6" s="367">
        <v>2055872030.28</v>
      </c>
      <c r="CN6" s="510">
        <v>2132503016.4400001</v>
      </c>
      <c r="CO6" s="510">
        <v>2072499417.05</v>
      </c>
      <c r="CP6" s="510">
        <v>2152078916.3000002</v>
      </c>
    </row>
    <row r="7" spans="1:99" ht="15">
      <c r="A7" s="350" t="s">
        <v>17</v>
      </c>
      <c r="B7" s="351">
        <v>80742000</v>
      </c>
      <c r="C7" s="351">
        <v>157802000</v>
      </c>
      <c r="D7" s="351">
        <v>350424933.30000001</v>
      </c>
      <c r="E7" s="351">
        <v>270176551</v>
      </c>
      <c r="F7" s="351">
        <v>229086382</v>
      </c>
      <c r="G7" s="351">
        <v>214520369</v>
      </c>
      <c r="H7" s="351">
        <v>139991133.56999999</v>
      </c>
      <c r="I7" s="483">
        <v>123524111.20999999</v>
      </c>
      <c r="J7" s="351">
        <v>207809445.97</v>
      </c>
      <c r="K7" s="351">
        <v>225506662.31999999</v>
      </c>
      <c r="L7" s="351">
        <v>107020574.56999999</v>
      </c>
      <c r="M7" s="351">
        <v>120996010.19</v>
      </c>
      <c r="N7" s="351">
        <v>215943073.50999999</v>
      </c>
      <c r="O7" s="351">
        <v>200805322.80000001</v>
      </c>
      <c r="P7" s="351">
        <v>238798957.36000001</v>
      </c>
      <c r="Q7" s="351">
        <v>124969834.06999999</v>
      </c>
      <c r="R7" s="351">
        <v>241575641.86000001</v>
      </c>
      <c r="S7" s="351">
        <v>145947990.22</v>
      </c>
      <c r="T7" s="351">
        <v>145940535</v>
      </c>
      <c r="U7" s="351">
        <v>317761368.33999997</v>
      </c>
      <c r="V7" s="351">
        <v>243019113.21000001</v>
      </c>
      <c r="W7" s="351">
        <v>124307029.81</v>
      </c>
      <c r="X7" s="351">
        <v>120359566.16</v>
      </c>
      <c r="Y7" s="351">
        <v>110099700.77</v>
      </c>
      <c r="Z7" s="351">
        <v>116776771.17</v>
      </c>
      <c r="AA7" s="351">
        <v>262167687.47</v>
      </c>
      <c r="AB7" s="351">
        <v>131446139.67</v>
      </c>
      <c r="AC7" s="351">
        <v>127482758.75</v>
      </c>
      <c r="AD7" s="351">
        <v>245668088.72</v>
      </c>
      <c r="AE7" s="329">
        <v>275926581.32999998</v>
      </c>
      <c r="AF7" s="351">
        <v>324137388.66000003</v>
      </c>
      <c r="AG7" s="351">
        <v>326646200</v>
      </c>
      <c r="AH7" s="344">
        <v>333608067.61000001</v>
      </c>
      <c r="AI7" s="352">
        <v>301890811.89999998</v>
      </c>
      <c r="AJ7" s="352">
        <v>320941466.37</v>
      </c>
      <c r="AK7" s="352">
        <v>311272786.5</v>
      </c>
      <c r="AL7" s="352">
        <v>162311575.31999999</v>
      </c>
      <c r="AM7" s="352">
        <v>324886252.23000002</v>
      </c>
      <c r="AN7" s="352">
        <v>458611511.63</v>
      </c>
      <c r="AO7" s="352">
        <v>186891145.80000001</v>
      </c>
      <c r="AP7" s="352">
        <v>311949667.95999998</v>
      </c>
      <c r="AQ7" s="352">
        <v>334529792.47000003</v>
      </c>
      <c r="AR7" s="352">
        <v>233692361.72</v>
      </c>
      <c r="AS7" s="352">
        <v>156799866.68000001</v>
      </c>
      <c r="AT7" s="351">
        <v>221973821</v>
      </c>
      <c r="AU7" s="351">
        <v>346666809.88999999</v>
      </c>
      <c r="AV7" s="351">
        <v>359949369.38999999</v>
      </c>
      <c r="AW7" s="351">
        <v>368226316.77999997</v>
      </c>
      <c r="AX7" s="351">
        <v>375302460.01999998</v>
      </c>
      <c r="AY7" s="484">
        <v>395332277.06</v>
      </c>
      <c r="AZ7" s="484">
        <v>228119183.40000001</v>
      </c>
      <c r="BA7" s="484">
        <v>414059694.88999999</v>
      </c>
      <c r="BB7" s="354">
        <v>423902656.61000001</v>
      </c>
      <c r="BC7" s="484">
        <v>300897621.04000002</v>
      </c>
      <c r="BD7" s="484">
        <v>402142014.58999997</v>
      </c>
      <c r="BE7" s="484">
        <v>227848261.15000001</v>
      </c>
      <c r="BF7" s="484">
        <v>423998768.27999997</v>
      </c>
      <c r="BG7" s="365">
        <v>487149053</v>
      </c>
      <c r="BH7" s="362">
        <v>461236533.10000002</v>
      </c>
      <c r="BI7" s="362">
        <v>443124185.13</v>
      </c>
      <c r="BJ7" s="362">
        <v>457910429.35000002</v>
      </c>
      <c r="BK7" s="362">
        <v>242669688.80000001</v>
      </c>
      <c r="BL7" s="362">
        <v>464824514.54000002</v>
      </c>
      <c r="BM7" s="362">
        <v>258758417.22</v>
      </c>
      <c r="BN7" s="362">
        <v>428314247.73000002</v>
      </c>
      <c r="BO7" s="362">
        <v>414595335.81</v>
      </c>
      <c r="BP7" s="362">
        <v>207477151.56</v>
      </c>
      <c r="BQ7" s="362">
        <v>406807652.19</v>
      </c>
      <c r="BR7" s="362">
        <v>407466452.79000002</v>
      </c>
      <c r="BS7" s="362">
        <v>184788031.24000001</v>
      </c>
      <c r="BT7" s="362">
        <v>187408031</v>
      </c>
      <c r="BU7" s="480">
        <v>378612212.76999998</v>
      </c>
      <c r="BV7" s="480">
        <v>436211379.42000002</v>
      </c>
      <c r="BW7" s="480">
        <v>415757860.45999998</v>
      </c>
      <c r="BX7" s="480">
        <v>427326274.75999999</v>
      </c>
      <c r="BY7" s="330">
        <v>469370898.51999998</v>
      </c>
      <c r="BZ7" s="330">
        <v>230242342.56999999</v>
      </c>
      <c r="CA7" s="330">
        <v>468294518.58999997</v>
      </c>
      <c r="CB7" s="468">
        <v>466614669</v>
      </c>
      <c r="CC7" s="481">
        <v>486065018.57999998</v>
      </c>
      <c r="CD7" s="481">
        <v>517952755.99000001</v>
      </c>
      <c r="CE7" s="481">
        <v>504095176.56</v>
      </c>
      <c r="CF7" s="481">
        <v>482573746.26999998</v>
      </c>
      <c r="CG7" s="481">
        <v>400156900</v>
      </c>
      <c r="CH7" s="364">
        <v>512873875.32999998</v>
      </c>
      <c r="CI7" s="367">
        <v>552536624.57000005</v>
      </c>
      <c r="CJ7" s="367">
        <v>628776017.66999996</v>
      </c>
      <c r="CK7" s="367">
        <v>594597694.60000002</v>
      </c>
      <c r="CL7" s="367">
        <v>535171122.26999998</v>
      </c>
      <c r="CM7" s="367">
        <v>385352509.24000001</v>
      </c>
      <c r="CN7" s="510">
        <v>564840336.98000002</v>
      </c>
      <c r="CO7" s="510">
        <v>640194522.70000005</v>
      </c>
      <c r="CP7" s="510">
        <v>585997598.34000003</v>
      </c>
    </row>
    <row r="8" spans="1:99" s="473" customFormat="1">
      <c r="A8" s="332" t="s">
        <v>18</v>
      </c>
      <c r="B8" s="328">
        <f>SUM(B9:B12)</f>
        <v>140316000</v>
      </c>
      <c r="C8" s="328">
        <f>SUM(C9:C12)</f>
        <v>136004000</v>
      </c>
      <c r="D8" s="322">
        <f>SUM(D9:D12)</f>
        <v>269992000</v>
      </c>
      <c r="E8" s="322">
        <f>SUM(E9:E12)</f>
        <v>267823506</v>
      </c>
      <c r="F8" s="322">
        <f>SUM(F9:F12)</f>
        <v>249273506</v>
      </c>
      <c r="G8" s="322">
        <v>232172149</v>
      </c>
      <c r="H8" s="322">
        <f t="shared" ref="H8:BS8" si="2">SUM(H9:H12)</f>
        <v>220735788.19999999</v>
      </c>
      <c r="I8" s="322">
        <f t="shared" si="2"/>
        <v>193214051</v>
      </c>
      <c r="J8" s="322">
        <f t="shared" si="2"/>
        <v>193214051</v>
      </c>
      <c r="K8" s="322">
        <f t="shared" si="2"/>
        <v>193214051</v>
      </c>
      <c r="L8" s="322">
        <f t="shared" si="2"/>
        <v>194114051</v>
      </c>
      <c r="M8" s="322">
        <f t="shared" si="2"/>
        <v>194114051</v>
      </c>
      <c r="N8" s="322">
        <f t="shared" si="2"/>
        <v>194114051</v>
      </c>
      <c r="O8" s="322">
        <f t="shared" si="2"/>
        <v>194514051</v>
      </c>
      <c r="P8" s="322">
        <f t="shared" si="2"/>
        <v>194514051</v>
      </c>
      <c r="Q8" s="322">
        <f t="shared" si="2"/>
        <v>194614051</v>
      </c>
      <c r="R8" s="322">
        <f t="shared" si="2"/>
        <v>195114051</v>
      </c>
      <c r="S8" s="322">
        <f t="shared" si="2"/>
        <v>195614051</v>
      </c>
      <c r="T8" s="322">
        <f t="shared" si="2"/>
        <v>212113083</v>
      </c>
      <c r="U8" s="322">
        <f t="shared" si="2"/>
        <v>391228102</v>
      </c>
      <c r="V8" s="322">
        <f t="shared" si="2"/>
        <v>236613083</v>
      </c>
      <c r="W8" s="322">
        <f t="shared" si="2"/>
        <v>236713083</v>
      </c>
      <c r="X8" s="322">
        <f t="shared" si="2"/>
        <v>238990740</v>
      </c>
      <c r="Y8" s="322">
        <f t="shared" si="2"/>
        <v>239090740</v>
      </c>
      <c r="Z8" s="322">
        <f t="shared" si="2"/>
        <v>239190740</v>
      </c>
      <c r="AA8" s="322">
        <f t="shared" si="2"/>
        <v>239290740</v>
      </c>
      <c r="AB8" s="322">
        <f t="shared" si="2"/>
        <v>239290740</v>
      </c>
      <c r="AC8" s="322">
        <f t="shared" si="2"/>
        <v>215690740</v>
      </c>
      <c r="AD8" s="322">
        <f t="shared" si="2"/>
        <v>215790740</v>
      </c>
      <c r="AE8" s="322">
        <f t="shared" si="2"/>
        <v>215890740</v>
      </c>
      <c r="AF8" s="322">
        <f t="shared" si="2"/>
        <v>215990740</v>
      </c>
      <c r="AG8" s="322">
        <f t="shared" si="2"/>
        <v>195044836</v>
      </c>
      <c r="AH8" s="322">
        <f t="shared" si="2"/>
        <v>216688611</v>
      </c>
      <c r="AI8" s="322">
        <f t="shared" si="2"/>
        <v>195942707</v>
      </c>
      <c r="AJ8" s="322">
        <f t="shared" si="2"/>
        <v>196142707</v>
      </c>
      <c r="AK8" s="322">
        <f t="shared" si="2"/>
        <v>196842707</v>
      </c>
      <c r="AL8" s="322">
        <f t="shared" si="2"/>
        <v>197042707</v>
      </c>
      <c r="AM8" s="322">
        <f t="shared" si="2"/>
        <v>197242707</v>
      </c>
      <c r="AN8" s="322">
        <f t="shared" si="2"/>
        <v>197442707</v>
      </c>
      <c r="AO8" s="322">
        <f t="shared" si="2"/>
        <v>197642707</v>
      </c>
      <c r="AP8" s="322">
        <f t="shared" si="2"/>
        <v>197842707</v>
      </c>
      <c r="AQ8" s="322">
        <f t="shared" si="2"/>
        <v>198143458.75</v>
      </c>
      <c r="AR8" s="322">
        <f t="shared" si="2"/>
        <v>198343458.75</v>
      </c>
      <c r="AS8" s="322">
        <f t="shared" si="2"/>
        <v>198543458.75</v>
      </c>
      <c r="AT8" s="322">
        <f t="shared" si="2"/>
        <v>217351361</v>
      </c>
      <c r="AU8" s="322">
        <f t="shared" si="2"/>
        <v>198743458.75</v>
      </c>
      <c r="AV8" s="322">
        <f t="shared" si="2"/>
        <v>217667338</v>
      </c>
      <c r="AW8" s="322">
        <f t="shared" si="2"/>
        <v>218267309</v>
      </c>
      <c r="AX8" s="322">
        <f t="shared" si="2"/>
        <v>218467309</v>
      </c>
      <c r="AY8" s="322">
        <f t="shared" si="2"/>
        <v>218667309</v>
      </c>
      <c r="AZ8" s="322">
        <f t="shared" si="2"/>
        <v>218867309</v>
      </c>
      <c r="BA8" s="322">
        <f t="shared" si="2"/>
        <v>219067309</v>
      </c>
      <c r="BB8" s="322">
        <f t="shared" si="2"/>
        <v>219267309</v>
      </c>
      <c r="BC8" s="322">
        <f t="shared" si="2"/>
        <v>219467309</v>
      </c>
      <c r="BD8" s="322">
        <f t="shared" si="2"/>
        <v>219667309</v>
      </c>
      <c r="BE8" s="322">
        <f t="shared" si="2"/>
        <v>220767309</v>
      </c>
      <c r="BF8" s="322">
        <f t="shared" si="2"/>
        <v>221917309</v>
      </c>
      <c r="BG8" s="363">
        <f t="shared" si="2"/>
        <v>172957020</v>
      </c>
      <c r="BH8" s="322">
        <f t="shared" si="2"/>
        <v>172414104</v>
      </c>
      <c r="BI8" s="322">
        <f t="shared" si="2"/>
        <v>172614104</v>
      </c>
      <c r="BJ8" s="322">
        <f t="shared" si="2"/>
        <v>174383138</v>
      </c>
      <c r="BK8" s="322">
        <f t="shared" si="2"/>
        <v>174583138.47999999</v>
      </c>
      <c r="BL8" s="322">
        <f t="shared" si="2"/>
        <v>175783138.47999999</v>
      </c>
      <c r="BM8" s="322">
        <f t="shared" si="2"/>
        <v>175983138.47999999</v>
      </c>
      <c r="BN8" s="322">
        <f t="shared" si="2"/>
        <v>176483138.47999999</v>
      </c>
      <c r="BO8" s="322">
        <f t="shared" si="2"/>
        <v>176983138.47999999</v>
      </c>
      <c r="BP8" s="322">
        <f t="shared" si="2"/>
        <v>177483138.47999999</v>
      </c>
      <c r="BQ8" s="322">
        <f t="shared" si="2"/>
        <v>177983138.47999999</v>
      </c>
      <c r="BR8" s="322">
        <f t="shared" si="2"/>
        <v>178483138.47999999</v>
      </c>
      <c r="BS8" s="322">
        <f t="shared" si="2"/>
        <v>178988138.47999999</v>
      </c>
      <c r="BT8" s="322">
        <f t="shared" ref="BT8:CT8" si="3">SUM(BT9:BT12)</f>
        <v>284566699</v>
      </c>
      <c r="BU8" s="322">
        <f t="shared" si="3"/>
        <v>191033296.47999999</v>
      </c>
      <c r="BV8" s="322">
        <f t="shared" si="3"/>
        <v>191338296.47999999</v>
      </c>
      <c r="BW8" s="322">
        <f t="shared" si="3"/>
        <v>191648296.95999998</v>
      </c>
      <c r="BX8" s="322">
        <f t="shared" si="3"/>
        <v>191953296.47999999</v>
      </c>
      <c r="BY8" s="322">
        <f t="shared" si="3"/>
        <v>192258296.47999999</v>
      </c>
      <c r="BZ8" s="322">
        <f t="shared" si="3"/>
        <v>192563296.47999999</v>
      </c>
      <c r="CA8" s="322">
        <f t="shared" si="3"/>
        <v>192868296.47999999</v>
      </c>
      <c r="CB8" s="322">
        <f t="shared" si="3"/>
        <v>193173296.47999999</v>
      </c>
      <c r="CC8" s="322">
        <f t="shared" si="3"/>
        <v>198834416.47999999</v>
      </c>
      <c r="CD8" s="322">
        <f t="shared" si="3"/>
        <v>199139416.47999999</v>
      </c>
      <c r="CE8" s="322">
        <f t="shared" si="3"/>
        <v>199444416.47999999</v>
      </c>
      <c r="CF8" s="322">
        <f t="shared" si="3"/>
        <v>199749416.47999999</v>
      </c>
      <c r="CG8" s="322">
        <f t="shared" si="3"/>
        <v>197057330</v>
      </c>
      <c r="CH8" s="363">
        <f t="shared" si="3"/>
        <v>196309640</v>
      </c>
      <c r="CI8" s="363">
        <f t="shared" si="3"/>
        <v>197662330.47999999</v>
      </c>
      <c r="CJ8" s="363">
        <f t="shared" si="3"/>
        <v>197972330.47999999</v>
      </c>
      <c r="CK8" s="363">
        <f t="shared" si="3"/>
        <v>203483752.47999999</v>
      </c>
      <c r="CL8" s="363">
        <f t="shared" si="3"/>
        <v>203793752.47999999</v>
      </c>
      <c r="CM8" s="363">
        <f t="shared" si="3"/>
        <v>204098752.47999999</v>
      </c>
      <c r="CN8" s="322">
        <f t="shared" si="3"/>
        <v>204403752.47999999</v>
      </c>
      <c r="CO8" s="322">
        <f t="shared" si="3"/>
        <v>204708752.47999999</v>
      </c>
      <c r="CP8" s="322">
        <f t="shared" si="3"/>
        <v>205113752.47999999</v>
      </c>
      <c r="CQ8" s="322">
        <f t="shared" si="3"/>
        <v>0</v>
      </c>
      <c r="CR8" s="322">
        <f t="shared" si="3"/>
        <v>0</v>
      </c>
      <c r="CS8" s="322">
        <f t="shared" si="3"/>
        <v>0</v>
      </c>
      <c r="CT8" s="322">
        <f t="shared" si="3"/>
        <v>0</v>
      </c>
    </row>
    <row r="9" spans="1:99" ht="15">
      <c r="A9" s="485" t="s">
        <v>19</v>
      </c>
      <c r="B9" s="323">
        <v>0</v>
      </c>
      <c r="C9" s="324"/>
      <c r="D9" s="324"/>
      <c r="E9" s="324"/>
      <c r="F9" s="324"/>
      <c r="G9" s="324"/>
      <c r="H9" s="324">
        <v>0</v>
      </c>
      <c r="I9" s="324">
        <v>0</v>
      </c>
      <c r="J9" s="324">
        <v>0</v>
      </c>
      <c r="K9" s="324"/>
      <c r="L9" s="476">
        <v>0</v>
      </c>
      <c r="M9" s="476">
        <v>0</v>
      </c>
      <c r="N9" s="476">
        <v>0</v>
      </c>
      <c r="O9" s="476">
        <v>0</v>
      </c>
      <c r="P9" s="476">
        <v>0</v>
      </c>
      <c r="Q9" s="338">
        <v>0</v>
      </c>
      <c r="R9" s="338">
        <v>0</v>
      </c>
      <c r="S9" s="338">
        <v>0</v>
      </c>
      <c r="T9" s="338">
        <v>0</v>
      </c>
      <c r="U9" s="338">
        <v>0</v>
      </c>
      <c r="V9" s="338">
        <v>0</v>
      </c>
      <c r="W9" s="338">
        <v>0</v>
      </c>
      <c r="X9" s="338">
        <v>0</v>
      </c>
      <c r="Y9" s="338">
        <v>0</v>
      </c>
      <c r="Z9" s="338">
        <v>0</v>
      </c>
      <c r="AA9" s="338">
        <v>0</v>
      </c>
      <c r="AB9" s="338">
        <v>0</v>
      </c>
      <c r="AC9" s="338">
        <v>0</v>
      </c>
      <c r="AD9" s="338">
        <v>0</v>
      </c>
      <c r="AE9" s="329">
        <v>0</v>
      </c>
      <c r="AF9" s="329">
        <v>0</v>
      </c>
      <c r="AG9" s="329">
        <v>0</v>
      </c>
      <c r="AH9" s="338">
        <v>0</v>
      </c>
      <c r="AI9" s="338">
        <v>0</v>
      </c>
      <c r="AJ9" s="338">
        <v>0</v>
      </c>
      <c r="AK9" s="338">
        <v>0</v>
      </c>
      <c r="AL9" s="338">
        <v>0</v>
      </c>
      <c r="AM9" s="338">
        <v>0</v>
      </c>
      <c r="AN9" s="338">
        <v>0</v>
      </c>
      <c r="AO9" s="338">
        <v>0</v>
      </c>
      <c r="AP9" s="338">
        <v>0</v>
      </c>
      <c r="AQ9" s="338">
        <v>0</v>
      </c>
      <c r="AR9" s="338">
        <v>0</v>
      </c>
      <c r="AS9" s="338">
        <v>0</v>
      </c>
      <c r="AT9" s="345">
        <v>0</v>
      </c>
      <c r="AU9" s="345">
        <v>0</v>
      </c>
      <c r="AV9" s="345">
        <v>0</v>
      </c>
      <c r="AW9" s="345">
        <v>0</v>
      </c>
      <c r="AX9" s="479">
        <v>0</v>
      </c>
      <c r="AY9" s="479">
        <v>0</v>
      </c>
      <c r="AZ9" s="479">
        <v>0</v>
      </c>
      <c r="BA9" s="479">
        <v>0</v>
      </c>
      <c r="BB9" s="479">
        <v>0</v>
      </c>
      <c r="BC9" s="479">
        <v>0</v>
      </c>
      <c r="BD9" s="479">
        <v>0</v>
      </c>
      <c r="BE9" s="479">
        <v>0</v>
      </c>
      <c r="BF9" s="479">
        <v>0</v>
      </c>
      <c r="BG9" s="366">
        <v>0</v>
      </c>
      <c r="BH9" s="362">
        <v>0</v>
      </c>
      <c r="BI9" s="362">
        <v>0</v>
      </c>
      <c r="BJ9" s="362">
        <v>0</v>
      </c>
      <c r="BK9" s="362">
        <v>0</v>
      </c>
      <c r="BL9" s="362">
        <v>0</v>
      </c>
      <c r="BM9" s="362">
        <v>0</v>
      </c>
      <c r="BN9" s="362">
        <v>0</v>
      </c>
      <c r="BO9" s="362">
        <v>0</v>
      </c>
      <c r="BP9" s="362">
        <v>0</v>
      </c>
      <c r="BQ9" s="362">
        <v>0</v>
      </c>
      <c r="BR9" s="362">
        <v>0</v>
      </c>
      <c r="BS9" s="362">
        <v>0</v>
      </c>
      <c r="BT9" s="362"/>
      <c r="BU9" s="486">
        <v>0</v>
      </c>
      <c r="BV9" s="486">
        <v>0</v>
      </c>
      <c r="BW9" s="486">
        <v>0</v>
      </c>
      <c r="BX9" s="486">
        <v>0</v>
      </c>
      <c r="BY9" s="330">
        <v>0</v>
      </c>
      <c r="BZ9" s="330">
        <v>0</v>
      </c>
      <c r="CA9" s="330">
        <v>0</v>
      </c>
      <c r="CB9" s="330">
        <v>0</v>
      </c>
      <c r="CC9" s="481">
        <v>0</v>
      </c>
      <c r="CD9" s="481">
        <v>0</v>
      </c>
      <c r="CE9" s="481">
        <v>0</v>
      </c>
      <c r="CF9" s="481">
        <v>0</v>
      </c>
      <c r="CG9" s="481"/>
      <c r="CH9" s="364">
        <v>0</v>
      </c>
      <c r="CI9" s="367">
        <v>0</v>
      </c>
      <c r="CJ9" s="367">
        <v>0</v>
      </c>
      <c r="CK9" s="367">
        <v>0</v>
      </c>
      <c r="CL9" s="367">
        <v>0</v>
      </c>
      <c r="CM9" s="367">
        <v>0</v>
      </c>
      <c r="CN9" s="507">
        <v>0</v>
      </c>
      <c r="CO9" s="507">
        <v>0</v>
      </c>
      <c r="CP9" s="507">
        <v>0</v>
      </c>
    </row>
    <row r="10" spans="1:99" ht="15">
      <c r="A10" s="474" t="s">
        <v>20</v>
      </c>
      <c r="B10" s="323">
        <v>140316000</v>
      </c>
      <c r="C10" s="324"/>
      <c r="D10" s="324"/>
      <c r="E10" s="324"/>
      <c r="F10" s="324"/>
      <c r="G10" s="324"/>
      <c r="H10" s="324">
        <v>0</v>
      </c>
      <c r="I10" s="324">
        <v>0</v>
      </c>
      <c r="J10" s="324">
        <v>0</v>
      </c>
      <c r="K10" s="324"/>
      <c r="L10" s="476">
        <v>0</v>
      </c>
      <c r="M10" s="476">
        <v>0</v>
      </c>
      <c r="N10" s="476">
        <v>0</v>
      </c>
      <c r="O10" s="476">
        <v>0</v>
      </c>
      <c r="P10" s="476">
        <v>0</v>
      </c>
      <c r="Q10" s="338">
        <v>0</v>
      </c>
      <c r="R10" s="338">
        <v>0</v>
      </c>
      <c r="S10" s="338">
        <v>0</v>
      </c>
      <c r="T10" s="338">
        <v>0</v>
      </c>
      <c r="U10" s="338">
        <v>0</v>
      </c>
      <c r="V10" s="338">
        <v>0</v>
      </c>
      <c r="W10" s="338">
        <v>0</v>
      </c>
      <c r="X10" s="338">
        <v>0</v>
      </c>
      <c r="Y10" s="338">
        <v>0</v>
      </c>
      <c r="Z10" s="338">
        <v>0</v>
      </c>
      <c r="AA10" s="338">
        <v>0</v>
      </c>
      <c r="AB10" s="338">
        <v>0</v>
      </c>
      <c r="AC10" s="338">
        <v>0</v>
      </c>
      <c r="AD10" s="338">
        <v>0</v>
      </c>
      <c r="AE10" s="329">
        <v>0</v>
      </c>
      <c r="AF10" s="329">
        <v>0</v>
      </c>
      <c r="AG10" s="329">
        <v>0</v>
      </c>
      <c r="AH10" s="338">
        <v>0</v>
      </c>
      <c r="AI10" s="338">
        <v>0</v>
      </c>
      <c r="AJ10" s="338">
        <v>0</v>
      </c>
      <c r="AK10" s="338">
        <v>0</v>
      </c>
      <c r="AL10" s="338">
        <v>0</v>
      </c>
      <c r="AM10" s="338">
        <v>0</v>
      </c>
      <c r="AN10" s="338">
        <v>0</v>
      </c>
      <c r="AO10" s="338">
        <v>0</v>
      </c>
      <c r="AP10" s="338">
        <v>0</v>
      </c>
      <c r="AQ10" s="338">
        <v>0</v>
      </c>
      <c r="AR10" s="338">
        <v>0</v>
      </c>
      <c r="AS10" s="338">
        <v>0</v>
      </c>
      <c r="AT10" s="345">
        <v>0</v>
      </c>
      <c r="AU10" s="345">
        <v>0</v>
      </c>
      <c r="AV10" s="345">
        <v>0</v>
      </c>
      <c r="AW10" s="345">
        <v>0</v>
      </c>
      <c r="AX10" s="479">
        <v>0</v>
      </c>
      <c r="AY10" s="479">
        <v>0</v>
      </c>
      <c r="AZ10" s="479">
        <v>0</v>
      </c>
      <c r="BA10" s="479">
        <v>0</v>
      </c>
      <c r="BB10" s="479">
        <v>0</v>
      </c>
      <c r="BC10" s="479">
        <v>0</v>
      </c>
      <c r="BD10" s="479">
        <v>0</v>
      </c>
      <c r="BE10" s="479">
        <v>0</v>
      </c>
      <c r="BF10" s="479">
        <v>0</v>
      </c>
      <c r="BG10" s="366">
        <v>0</v>
      </c>
      <c r="BH10" s="362">
        <v>0</v>
      </c>
      <c r="BI10" s="362">
        <v>0</v>
      </c>
      <c r="BJ10" s="362">
        <v>0</v>
      </c>
      <c r="BK10" s="362">
        <v>0</v>
      </c>
      <c r="BL10" s="362">
        <v>0</v>
      </c>
      <c r="BM10" s="362">
        <v>0</v>
      </c>
      <c r="BN10" s="362">
        <v>0</v>
      </c>
      <c r="BO10" s="362">
        <v>0</v>
      </c>
      <c r="BP10" s="362">
        <v>0</v>
      </c>
      <c r="BQ10" s="362">
        <v>0</v>
      </c>
      <c r="BR10" s="362">
        <v>0</v>
      </c>
      <c r="BS10" s="362">
        <v>0</v>
      </c>
      <c r="BT10" s="362"/>
      <c r="BU10" s="486">
        <v>0</v>
      </c>
      <c r="BV10" s="486">
        <v>0</v>
      </c>
      <c r="BW10" s="486">
        <v>0</v>
      </c>
      <c r="BX10" s="486">
        <v>0</v>
      </c>
      <c r="BY10" s="330">
        <v>0</v>
      </c>
      <c r="BZ10" s="330">
        <v>0</v>
      </c>
      <c r="CA10" s="330">
        <v>0</v>
      </c>
      <c r="CB10" s="330">
        <v>0</v>
      </c>
      <c r="CC10" s="481">
        <v>0</v>
      </c>
      <c r="CD10" s="481">
        <v>0</v>
      </c>
      <c r="CE10" s="481">
        <v>0</v>
      </c>
      <c r="CF10" s="481">
        <v>0</v>
      </c>
      <c r="CG10" s="481"/>
      <c r="CH10" s="364">
        <v>0</v>
      </c>
      <c r="CI10" s="367">
        <v>0</v>
      </c>
      <c r="CJ10" s="367">
        <v>0</v>
      </c>
      <c r="CK10" s="367">
        <v>0</v>
      </c>
      <c r="CL10" s="367">
        <v>0</v>
      </c>
      <c r="CM10" s="367">
        <v>0</v>
      </c>
      <c r="CN10" s="509">
        <v>0</v>
      </c>
      <c r="CO10" s="509">
        <v>0</v>
      </c>
      <c r="CP10" s="509">
        <v>0</v>
      </c>
    </row>
    <row r="11" spans="1:99" ht="15">
      <c r="A11" s="485" t="s">
        <v>21</v>
      </c>
      <c r="B11" s="323">
        <v>0</v>
      </c>
      <c r="C11" s="324"/>
      <c r="D11" s="324"/>
      <c r="E11" s="324"/>
      <c r="F11" s="324"/>
      <c r="G11" s="324"/>
      <c r="H11" s="324">
        <v>0</v>
      </c>
      <c r="I11" s="324">
        <v>0</v>
      </c>
      <c r="J11" s="324">
        <v>0</v>
      </c>
      <c r="K11" s="324"/>
      <c r="L11" s="476">
        <v>0</v>
      </c>
      <c r="M11" s="476">
        <v>0</v>
      </c>
      <c r="N11" s="476">
        <v>0</v>
      </c>
      <c r="O11" s="476">
        <v>0</v>
      </c>
      <c r="P11" s="476">
        <v>0</v>
      </c>
      <c r="Q11" s="338">
        <v>0</v>
      </c>
      <c r="R11" s="338">
        <v>0</v>
      </c>
      <c r="S11" s="338">
        <v>0</v>
      </c>
      <c r="T11" s="338">
        <v>0</v>
      </c>
      <c r="U11" s="338">
        <v>0</v>
      </c>
      <c r="V11" s="338">
        <v>0</v>
      </c>
      <c r="W11" s="338">
        <v>0</v>
      </c>
      <c r="X11" s="338">
        <v>0</v>
      </c>
      <c r="Y11" s="338">
        <v>0</v>
      </c>
      <c r="Z11" s="338">
        <v>0</v>
      </c>
      <c r="AA11" s="338">
        <v>0</v>
      </c>
      <c r="AB11" s="338">
        <v>0</v>
      </c>
      <c r="AC11" s="338">
        <v>0</v>
      </c>
      <c r="AD11" s="338">
        <v>0</v>
      </c>
      <c r="AE11" s="329">
        <v>0</v>
      </c>
      <c r="AF11" s="329">
        <v>0</v>
      </c>
      <c r="AG11" s="329">
        <v>5050000</v>
      </c>
      <c r="AH11" s="338">
        <v>0</v>
      </c>
      <c r="AI11" s="338">
        <v>0</v>
      </c>
      <c r="AJ11" s="338">
        <v>0</v>
      </c>
      <c r="AK11" s="338">
        <v>0</v>
      </c>
      <c r="AL11" s="338">
        <v>0</v>
      </c>
      <c r="AM11" s="338">
        <v>0</v>
      </c>
      <c r="AN11" s="338">
        <v>0</v>
      </c>
      <c r="AO11" s="338">
        <v>0</v>
      </c>
      <c r="AP11" s="338">
        <v>0</v>
      </c>
      <c r="AQ11" s="338">
        <v>0</v>
      </c>
      <c r="AR11" s="338">
        <v>0</v>
      </c>
      <c r="AS11" s="338">
        <v>0</v>
      </c>
      <c r="AT11" s="327">
        <f>15748623</f>
        <v>15748623</v>
      </c>
      <c r="AU11" s="345">
        <v>0</v>
      </c>
      <c r="AV11" s="345">
        <v>0</v>
      </c>
      <c r="AW11" s="345">
        <v>0</v>
      </c>
      <c r="AX11" s="479">
        <v>0</v>
      </c>
      <c r="AY11" s="479">
        <v>0</v>
      </c>
      <c r="AZ11" s="479">
        <v>0</v>
      </c>
      <c r="BA11" s="479">
        <v>0</v>
      </c>
      <c r="BB11" s="479">
        <v>0</v>
      </c>
      <c r="BC11" s="479">
        <v>0</v>
      </c>
      <c r="BD11" s="479">
        <v>0</v>
      </c>
      <c r="BE11" s="479">
        <v>0</v>
      </c>
      <c r="BF11" s="479">
        <v>0</v>
      </c>
      <c r="BG11" s="367">
        <f>149997404+10000000+2101780</f>
        <v>162099184</v>
      </c>
      <c r="BH11" s="362">
        <v>0</v>
      </c>
      <c r="BI11" s="362">
        <v>0</v>
      </c>
      <c r="BJ11" s="362">
        <v>0</v>
      </c>
      <c r="BK11" s="362">
        <v>0</v>
      </c>
      <c r="BL11" s="362">
        <v>0</v>
      </c>
      <c r="BM11" s="362">
        <v>0</v>
      </c>
      <c r="BN11" s="362">
        <v>0</v>
      </c>
      <c r="BO11" s="362">
        <v>0</v>
      </c>
      <c r="BP11" s="362">
        <v>0</v>
      </c>
      <c r="BQ11" s="362">
        <v>0</v>
      </c>
      <c r="BR11" s="362">
        <v>0</v>
      </c>
      <c r="BS11" s="362">
        <v>0</v>
      </c>
      <c r="BT11" s="362">
        <f>255575965+12805000+2101780</f>
        <v>270482745</v>
      </c>
      <c r="BU11" s="480">
        <v>17883954.48</v>
      </c>
      <c r="BV11" s="480">
        <v>17883954.48</v>
      </c>
      <c r="BW11" s="480">
        <v>17883954.48</v>
      </c>
      <c r="BX11" s="480">
        <v>17883954.48</v>
      </c>
      <c r="BY11" s="330">
        <v>17883954.48</v>
      </c>
      <c r="BZ11" s="330">
        <v>17883954.48</v>
      </c>
      <c r="CA11" s="330">
        <v>17883954.48</v>
      </c>
      <c r="CB11" s="468">
        <v>17883954.48</v>
      </c>
      <c r="CC11" s="481">
        <v>17883954.48</v>
      </c>
      <c r="CD11" s="481">
        <v>17883954.48</v>
      </c>
      <c r="CE11" s="481">
        <v>17883954.48</v>
      </c>
      <c r="CF11" s="481">
        <v>17883954.48</v>
      </c>
      <c r="CG11" s="481">
        <f>197057330-CG12</f>
        <v>178120686</v>
      </c>
      <c r="CH11" s="364">
        <v>178425686</v>
      </c>
      <c r="CI11" s="367">
        <v>178725686</v>
      </c>
      <c r="CJ11" s="367">
        <v>179035686</v>
      </c>
      <c r="CK11" s="367">
        <v>179335686</v>
      </c>
      <c r="CL11" s="367">
        <v>179645686</v>
      </c>
      <c r="CM11" s="367">
        <v>179950686</v>
      </c>
      <c r="CN11" s="510">
        <v>180255686</v>
      </c>
      <c r="CO11" s="510">
        <v>180560686</v>
      </c>
      <c r="CP11" s="510">
        <v>180965686</v>
      </c>
    </row>
    <row r="12" spans="1:99" ht="15">
      <c r="A12" s="485" t="s">
        <v>22</v>
      </c>
      <c r="B12" s="323">
        <v>0</v>
      </c>
      <c r="C12" s="324">
        <f>132292000+143968000-140256000</f>
        <v>136004000</v>
      </c>
      <c r="D12" s="324">
        <f>184621000+18684000+5881000+2491000+21000+50000+300000+57944000</f>
        <v>269992000</v>
      </c>
      <c r="E12" s="324">
        <v>267823506</v>
      </c>
      <c r="F12" s="324">
        <v>249273506</v>
      </c>
      <c r="G12" s="324"/>
      <c r="H12" s="324">
        <v>220735788.19999999</v>
      </c>
      <c r="I12" s="324">
        <v>193214051</v>
      </c>
      <c r="J12" s="324">
        <v>193214051</v>
      </c>
      <c r="K12" s="324">
        <v>193214051</v>
      </c>
      <c r="L12" s="476">
        <v>194114051</v>
      </c>
      <c r="M12" s="476">
        <v>194114051</v>
      </c>
      <c r="N12" s="476">
        <v>194114051</v>
      </c>
      <c r="O12" s="476">
        <v>194514051</v>
      </c>
      <c r="P12" s="476">
        <v>194514051</v>
      </c>
      <c r="Q12" s="338">
        <v>194614051</v>
      </c>
      <c r="R12" s="338">
        <v>195114051</v>
      </c>
      <c r="S12" s="338">
        <v>195614051</v>
      </c>
      <c r="T12" s="324">
        <v>212113083</v>
      </c>
      <c r="U12" s="338">
        <v>391228102</v>
      </c>
      <c r="V12" s="338">
        <v>236613083</v>
      </c>
      <c r="W12" s="338">
        <v>236713083</v>
      </c>
      <c r="X12" s="338">
        <v>238990740</v>
      </c>
      <c r="Y12" s="338">
        <v>239090740</v>
      </c>
      <c r="Z12" s="338">
        <v>239190740</v>
      </c>
      <c r="AA12" s="338">
        <v>239290740</v>
      </c>
      <c r="AB12" s="338">
        <v>239290740</v>
      </c>
      <c r="AC12" s="338">
        <v>215690740</v>
      </c>
      <c r="AD12" s="338">
        <v>215790740</v>
      </c>
      <c r="AE12" s="329">
        <v>215890740</v>
      </c>
      <c r="AF12" s="329">
        <v>215990740</v>
      </c>
      <c r="AG12" s="325">
        <v>189994836</v>
      </c>
      <c r="AH12" s="344">
        <v>216688611</v>
      </c>
      <c r="AI12" s="344">
        <v>195942707</v>
      </c>
      <c r="AJ12" s="344">
        <v>196142707</v>
      </c>
      <c r="AK12" s="344">
        <v>196842707</v>
      </c>
      <c r="AL12" s="344">
        <v>197042707</v>
      </c>
      <c r="AM12" s="344">
        <v>197242707</v>
      </c>
      <c r="AN12" s="344">
        <v>197442707</v>
      </c>
      <c r="AO12" s="344">
        <v>197642707</v>
      </c>
      <c r="AP12" s="344">
        <v>197842707</v>
      </c>
      <c r="AQ12" s="344">
        <v>198143458.75</v>
      </c>
      <c r="AR12" s="477">
        <v>198343458.75</v>
      </c>
      <c r="AS12" s="344">
        <v>198543458.75</v>
      </c>
      <c r="AT12" s="327">
        <v>201602738</v>
      </c>
      <c r="AU12" s="479">
        <v>198743458.75</v>
      </c>
      <c r="AV12" s="479">
        <v>217667338</v>
      </c>
      <c r="AW12" s="479">
        <v>218267309</v>
      </c>
      <c r="AX12" s="479">
        <v>218467309</v>
      </c>
      <c r="AY12" s="479">
        <v>218667309</v>
      </c>
      <c r="AZ12" s="479">
        <v>218867309</v>
      </c>
      <c r="BA12" s="479">
        <v>219067309</v>
      </c>
      <c r="BB12" s="338">
        <v>219267309</v>
      </c>
      <c r="BC12" s="479">
        <v>219467309</v>
      </c>
      <c r="BD12" s="479">
        <v>219667309</v>
      </c>
      <c r="BE12" s="479">
        <v>220767309</v>
      </c>
      <c r="BF12" s="479">
        <v>221917309</v>
      </c>
      <c r="BG12" s="367">
        <f>206000+10651836</f>
        <v>10857836</v>
      </c>
      <c r="BH12" s="362">
        <v>172414104</v>
      </c>
      <c r="BI12" s="362">
        <v>172614104</v>
      </c>
      <c r="BJ12" s="362">
        <v>174383138</v>
      </c>
      <c r="BK12" s="362">
        <v>174583138.47999999</v>
      </c>
      <c r="BL12" s="362">
        <v>175783138.47999999</v>
      </c>
      <c r="BM12" s="362">
        <v>175983138.47999999</v>
      </c>
      <c r="BN12" s="362">
        <v>176483138.47999999</v>
      </c>
      <c r="BO12" s="362">
        <v>176983138.47999999</v>
      </c>
      <c r="BP12" s="362">
        <v>177483138.47999999</v>
      </c>
      <c r="BQ12" s="362">
        <v>177983138.47999999</v>
      </c>
      <c r="BR12" s="362">
        <v>178483138.47999999</v>
      </c>
      <c r="BS12" s="362">
        <v>178988138.47999999</v>
      </c>
      <c r="BT12" s="362">
        <v>14083954</v>
      </c>
      <c r="BU12" s="480">
        <v>173149342</v>
      </c>
      <c r="BV12" s="480">
        <v>173454342</v>
      </c>
      <c r="BW12" s="480">
        <v>173764342.47999999</v>
      </c>
      <c r="BX12" s="480">
        <v>174069342</v>
      </c>
      <c r="BY12" s="330">
        <v>174374342</v>
      </c>
      <c r="BZ12" s="330">
        <v>174679342</v>
      </c>
      <c r="CA12" s="330">
        <v>174984342</v>
      </c>
      <c r="CB12" s="468">
        <v>175289342</v>
      </c>
      <c r="CC12" s="481">
        <v>180950462</v>
      </c>
      <c r="CD12" s="481">
        <v>181255462</v>
      </c>
      <c r="CE12" s="481">
        <v>181560462</v>
      </c>
      <c r="CF12" s="481">
        <v>181865462</v>
      </c>
      <c r="CG12" s="481">
        <v>18936644</v>
      </c>
      <c r="CH12" s="364">
        <v>17883954</v>
      </c>
      <c r="CI12" s="367">
        <v>18936644.48</v>
      </c>
      <c r="CJ12" s="367">
        <v>18936644.48</v>
      </c>
      <c r="CK12" s="367">
        <v>24148066.48</v>
      </c>
      <c r="CL12" s="367">
        <v>24148066.48</v>
      </c>
      <c r="CM12" s="367">
        <v>24148066.48</v>
      </c>
      <c r="CN12" s="510">
        <v>24148066.48</v>
      </c>
      <c r="CO12" s="510">
        <v>24148066.48</v>
      </c>
      <c r="CP12" s="510">
        <v>24148066.48</v>
      </c>
    </row>
    <row r="13" spans="1:99" s="473" customFormat="1">
      <c r="A13" s="332" t="s">
        <v>23</v>
      </c>
      <c r="B13" s="321">
        <f t="shared" ref="B13:BM13" si="4">B14-B15</f>
        <v>1447463000</v>
      </c>
      <c r="C13" s="321">
        <f t="shared" si="4"/>
        <v>1669487000</v>
      </c>
      <c r="D13" s="322">
        <f t="shared" si="4"/>
        <v>1976393000</v>
      </c>
      <c r="E13" s="322">
        <f t="shared" si="4"/>
        <v>2511315580</v>
      </c>
      <c r="F13" s="322">
        <f t="shared" si="4"/>
        <v>3150143542</v>
      </c>
      <c r="G13" s="322">
        <f t="shared" si="4"/>
        <v>4068599457</v>
      </c>
      <c r="H13" s="322">
        <f t="shared" si="4"/>
        <v>4045355415.5999999</v>
      </c>
      <c r="I13" s="322">
        <f t="shared" si="4"/>
        <v>4060404046.25</v>
      </c>
      <c r="J13" s="322">
        <f t="shared" si="4"/>
        <v>4059459082.1399999</v>
      </c>
      <c r="K13" s="322">
        <f t="shared" si="4"/>
        <v>4124169091</v>
      </c>
      <c r="L13" s="322">
        <f t="shared" si="4"/>
        <v>4171484658.0999999</v>
      </c>
      <c r="M13" s="322">
        <f t="shared" si="4"/>
        <v>4283848822.8500004</v>
      </c>
      <c r="N13" s="322">
        <f t="shared" si="4"/>
        <v>4393427422.7299995</v>
      </c>
      <c r="O13" s="322">
        <f t="shared" si="4"/>
        <v>4697765951.04</v>
      </c>
      <c r="P13" s="322">
        <f t="shared" si="4"/>
        <v>4772668599.8199997</v>
      </c>
      <c r="Q13" s="322">
        <f t="shared" si="4"/>
        <v>4889238263.6400003</v>
      </c>
      <c r="R13" s="322">
        <f t="shared" si="4"/>
        <v>5073990552.5299997</v>
      </c>
      <c r="S13" s="322">
        <f t="shared" si="4"/>
        <v>5189103210.1099997</v>
      </c>
      <c r="T13" s="322">
        <f t="shared" si="4"/>
        <v>5189103210</v>
      </c>
      <c r="U13" s="322">
        <f t="shared" si="4"/>
        <v>10425962227.540001</v>
      </c>
      <c r="V13" s="322">
        <f t="shared" si="4"/>
        <v>5181271630.7399998</v>
      </c>
      <c r="W13" s="322">
        <f t="shared" si="4"/>
        <v>5170869912.7799997</v>
      </c>
      <c r="X13" s="322">
        <f t="shared" si="4"/>
        <v>5270804634.6700001</v>
      </c>
      <c r="Y13" s="322">
        <f t="shared" si="4"/>
        <v>5272383369.8000002</v>
      </c>
      <c r="Z13" s="322">
        <f t="shared" si="4"/>
        <v>5308675981.0500002</v>
      </c>
      <c r="AA13" s="322">
        <f t="shared" si="4"/>
        <v>5353073666.9899998</v>
      </c>
      <c r="AB13" s="322">
        <f t="shared" si="4"/>
        <v>5573318513.3699999</v>
      </c>
      <c r="AC13" s="322">
        <f t="shared" si="4"/>
        <v>5550585990.25</v>
      </c>
      <c r="AD13" s="322">
        <f t="shared" si="4"/>
        <v>5548137658.4700003</v>
      </c>
      <c r="AE13" s="322">
        <f t="shared" si="4"/>
        <v>5629804890.8999996</v>
      </c>
      <c r="AF13" s="322">
        <f t="shared" si="4"/>
        <v>5687082015.0900002</v>
      </c>
      <c r="AG13" s="322">
        <f t="shared" si="4"/>
        <v>5687082015.0900002</v>
      </c>
      <c r="AH13" s="322">
        <f t="shared" si="4"/>
        <v>5666783518.3299999</v>
      </c>
      <c r="AI13" s="322">
        <f t="shared" si="4"/>
        <v>5559480824.9300003</v>
      </c>
      <c r="AJ13" s="322">
        <f t="shared" si="4"/>
        <v>5540853527.3400002</v>
      </c>
      <c r="AK13" s="322">
        <f t="shared" si="4"/>
        <v>5582351910.9899998</v>
      </c>
      <c r="AL13" s="322">
        <f t="shared" si="4"/>
        <v>5558044868.5900002</v>
      </c>
      <c r="AM13" s="322">
        <f t="shared" si="4"/>
        <v>5565386337.9099998</v>
      </c>
      <c r="AN13" s="322">
        <f t="shared" si="4"/>
        <v>5553254783.6599998</v>
      </c>
      <c r="AO13" s="322">
        <f t="shared" si="4"/>
        <v>5707779935.8199997</v>
      </c>
      <c r="AP13" s="322">
        <f t="shared" si="4"/>
        <v>5725379039</v>
      </c>
      <c r="AQ13" s="322">
        <f t="shared" si="4"/>
        <v>5693901159.9899998</v>
      </c>
      <c r="AR13" s="322">
        <f t="shared" si="4"/>
        <v>5840389294.8199997</v>
      </c>
      <c r="AS13" s="322">
        <f t="shared" si="4"/>
        <v>6038432075.5799999</v>
      </c>
      <c r="AT13" s="322">
        <f t="shared" si="4"/>
        <v>5971399711</v>
      </c>
      <c r="AU13" s="322">
        <f t="shared" si="4"/>
        <v>6006166531.0900002</v>
      </c>
      <c r="AV13" s="322">
        <f t="shared" si="4"/>
        <v>5856441034.5699997</v>
      </c>
      <c r="AW13" s="322">
        <f t="shared" si="4"/>
        <v>5803933359.2200003</v>
      </c>
      <c r="AX13" s="322">
        <f t="shared" si="4"/>
        <v>5711711866.7399998</v>
      </c>
      <c r="AY13" s="322">
        <f t="shared" si="4"/>
        <v>5637933047.8999996</v>
      </c>
      <c r="AZ13" s="322">
        <f t="shared" si="4"/>
        <v>5672370227.4200001</v>
      </c>
      <c r="BA13" s="322">
        <f t="shared" si="4"/>
        <v>5713696846.2200003</v>
      </c>
      <c r="BB13" s="322">
        <f t="shared" si="4"/>
        <v>5956558402.8699999</v>
      </c>
      <c r="BC13" s="322">
        <f t="shared" si="4"/>
        <v>6062889217.4399996</v>
      </c>
      <c r="BD13" s="322">
        <f t="shared" si="4"/>
        <v>6136261589.1800003</v>
      </c>
      <c r="BE13" s="322">
        <f t="shared" si="4"/>
        <v>6173124684.1300001</v>
      </c>
      <c r="BF13" s="322">
        <f t="shared" si="4"/>
        <v>6255768776.3900003</v>
      </c>
      <c r="BG13" s="363">
        <f t="shared" si="4"/>
        <v>6240738492</v>
      </c>
      <c r="BH13" s="322">
        <f t="shared" si="4"/>
        <v>6152210060.8400002</v>
      </c>
      <c r="BI13" s="322">
        <f t="shared" si="4"/>
        <v>6084851099.4700003</v>
      </c>
      <c r="BJ13" s="322">
        <f t="shared" si="4"/>
        <v>6105553112.6300001</v>
      </c>
      <c r="BK13" s="322">
        <f t="shared" si="4"/>
        <v>6200268097.3000002</v>
      </c>
      <c r="BL13" s="322">
        <f t="shared" si="4"/>
        <v>6228780340.7299995</v>
      </c>
      <c r="BM13" s="322">
        <f t="shared" si="4"/>
        <v>6292036334.4399996</v>
      </c>
      <c r="BN13" s="322">
        <f t="shared" ref="BN13:CT13" si="5">BN14-BN15</f>
        <v>6346485470.6300001</v>
      </c>
      <c r="BO13" s="322">
        <f t="shared" si="5"/>
        <v>6357350217.8900003</v>
      </c>
      <c r="BP13" s="322">
        <f t="shared" si="5"/>
        <v>6404906431.21</v>
      </c>
      <c r="BQ13" s="322">
        <f t="shared" si="5"/>
        <v>6596883034.04</v>
      </c>
      <c r="BR13" s="322">
        <f t="shared" si="5"/>
        <v>6721148939.8400002</v>
      </c>
      <c r="BS13" s="322">
        <f t="shared" si="5"/>
        <v>6925052503.7299995</v>
      </c>
      <c r="BT13" s="322">
        <f t="shared" si="5"/>
        <v>6975052504</v>
      </c>
      <c r="BU13" s="322">
        <f t="shared" si="5"/>
        <v>6892902231.4899998</v>
      </c>
      <c r="BV13" s="322">
        <f t="shared" si="5"/>
        <v>6922668396.9899998</v>
      </c>
      <c r="BW13" s="322">
        <f t="shared" si="5"/>
        <v>7179307026.1199999</v>
      </c>
      <c r="BX13" s="322">
        <f t="shared" si="5"/>
        <v>7297914939.4700003</v>
      </c>
      <c r="BY13" s="322">
        <f t="shared" si="5"/>
        <v>7385101968.5699997</v>
      </c>
      <c r="BZ13" s="322">
        <f t="shared" si="5"/>
        <v>7477817757.1000004</v>
      </c>
      <c r="CA13" s="322">
        <f t="shared" si="5"/>
        <v>7584501035.3199997</v>
      </c>
      <c r="CB13" s="322">
        <f t="shared" si="5"/>
        <v>7690718526.9099998</v>
      </c>
      <c r="CC13" s="322">
        <f t="shared" si="5"/>
        <v>7821109377.8699999</v>
      </c>
      <c r="CD13" s="322">
        <f t="shared" si="5"/>
        <v>7925262868.8900003</v>
      </c>
      <c r="CE13" s="322">
        <f t="shared" si="5"/>
        <v>8016112593.3000002</v>
      </c>
      <c r="CF13" s="322">
        <f t="shared" si="5"/>
        <v>8233832163.2900009</v>
      </c>
      <c r="CG13" s="322">
        <f t="shared" si="5"/>
        <v>8275214583</v>
      </c>
      <c r="CH13" s="363">
        <f t="shared" si="5"/>
        <v>8270027982.3199997</v>
      </c>
      <c r="CI13" s="363">
        <f t="shared" si="5"/>
        <v>8275879958.1499996</v>
      </c>
      <c r="CJ13" s="363">
        <f t="shared" si="5"/>
        <v>8349898754.8799992</v>
      </c>
      <c r="CK13" s="363">
        <f t="shared" si="5"/>
        <v>8465553015.7099991</v>
      </c>
      <c r="CL13" s="363">
        <f t="shared" si="5"/>
        <v>8498804096.2600002</v>
      </c>
      <c r="CM13" s="363">
        <f t="shared" si="5"/>
        <v>8615764896.8799992</v>
      </c>
      <c r="CN13" s="322">
        <f t="shared" si="5"/>
        <v>8684222545.4799995</v>
      </c>
      <c r="CO13" s="322">
        <f t="shared" si="5"/>
        <v>8868140832.2299995</v>
      </c>
      <c r="CP13" s="322">
        <f t="shared" si="5"/>
        <v>9003171389.7399998</v>
      </c>
      <c r="CQ13" s="322">
        <f t="shared" si="5"/>
        <v>0</v>
      </c>
      <c r="CR13" s="322">
        <f t="shared" si="5"/>
        <v>0</v>
      </c>
      <c r="CS13" s="322">
        <f t="shared" si="5"/>
        <v>0</v>
      </c>
      <c r="CT13" s="322">
        <f t="shared" si="5"/>
        <v>0</v>
      </c>
    </row>
    <row r="14" spans="1:99" ht="15">
      <c r="A14" s="485" t="s">
        <v>24</v>
      </c>
      <c r="B14" s="323">
        <v>1458954000</v>
      </c>
      <c r="C14" s="324">
        <f>1379419000+307755000</f>
        <v>1687174000</v>
      </c>
      <c r="D14" s="324">
        <v>1994080000</v>
      </c>
      <c r="E14" s="324">
        <f>2018922702+520080194</f>
        <v>2539002896</v>
      </c>
      <c r="F14" s="324">
        <f>2549758075+633072783</f>
        <v>3182830858</v>
      </c>
      <c r="G14" s="324">
        <f>3211069464+905029993</f>
        <v>4116099457</v>
      </c>
      <c r="H14" s="324">
        <v>4090042731.5999999</v>
      </c>
      <c r="I14" s="324">
        <v>4115904046.25</v>
      </c>
      <c r="J14" s="324">
        <v>4118959082.1399999</v>
      </c>
      <c r="K14" s="324">
        <v>4187669091</v>
      </c>
      <c r="L14" s="476">
        <v>4238984658.0999999</v>
      </c>
      <c r="M14" s="476">
        <v>4355348822.8500004</v>
      </c>
      <c r="N14" s="476">
        <v>4468927422.7299995</v>
      </c>
      <c r="O14" s="476">
        <v>4777265951.04</v>
      </c>
      <c r="P14" s="476">
        <v>4856168599.8199997</v>
      </c>
      <c r="Q14" s="338">
        <v>4976738263.6400003</v>
      </c>
      <c r="R14" s="338">
        <v>5165490552.5299997</v>
      </c>
      <c r="S14" s="338">
        <v>5284603210.1099997</v>
      </c>
      <c r="T14" s="324">
        <v>5284603210</v>
      </c>
      <c r="U14" s="338">
        <v>10616962227.540001</v>
      </c>
      <c r="V14" s="338">
        <v>5286771630.7399998</v>
      </c>
      <c r="W14" s="338">
        <v>5281369912.7799997</v>
      </c>
      <c r="X14" s="338">
        <v>5386304634.6700001</v>
      </c>
      <c r="Y14" s="338">
        <v>5392883369.8000002</v>
      </c>
      <c r="Z14" s="338">
        <v>5434175981.0500002</v>
      </c>
      <c r="AA14" s="338">
        <v>5483573666.9899998</v>
      </c>
      <c r="AB14" s="338">
        <v>5708818513.3699999</v>
      </c>
      <c r="AC14" s="338">
        <v>5691085990.25</v>
      </c>
      <c r="AD14" s="338">
        <v>5693637658.4700003</v>
      </c>
      <c r="AE14" s="329">
        <v>5780304890.8999996</v>
      </c>
      <c r="AF14" s="329">
        <v>5842582015.0900002</v>
      </c>
      <c r="AG14" s="325">
        <v>5842582015.0900002</v>
      </c>
      <c r="AH14" s="344">
        <v>5831283518.3299999</v>
      </c>
      <c r="AI14" s="344">
        <v>5732980824.9300003</v>
      </c>
      <c r="AJ14" s="344">
        <v>5723353527.3400002</v>
      </c>
      <c r="AK14" s="344">
        <v>5773851910.9899998</v>
      </c>
      <c r="AL14" s="344">
        <v>5758544868.5900002</v>
      </c>
      <c r="AM14" s="344">
        <v>5774886337.9099998</v>
      </c>
      <c r="AN14" s="344">
        <v>5771754783.6599998</v>
      </c>
      <c r="AO14" s="344">
        <v>5935279935.8199997</v>
      </c>
      <c r="AP14" s="344">
        <v>5961879039</v>
      </c>
      <c r="AQ14" s="344">
        <v>5939401159.9899998</v>
      </c>
      <c r="AR14" s="477">
        <v>6094889294.8199997</v>
      </c>
      <c r="AS14" s="344">
        <v>6301932075.5799999</v>
      </c>
      <c r="AT14" s="327">
        <v>6239183746</v>
      </c>
      <c r="AU14" s="479">
        <v>6278666531.0900002</v>
      </c>
      <c r="AV14" s="479">
        <v>6137941034.5699997</v>
      </c>
      <c r="AW14" s="479">
        <v>6096827689.2200003</v>
      </c>
      <c r="AX14" s="479">
        <v>6014404306.7399998</v>
      </c>
      <c r="AY14" s="479">
        <v>5950423597.8999996</v>
      </c>
      <c r="AZ14" s="479">
        <v>5994658887.4200001</v>
      </c>
      <c r="BA14" s="479">
        <v>6045783616.2200003</v>
      </c>
      <c r="BB14" s="338">
        <v>6298443282.8699999</v>
      </c>
      <c r="BC14" s="479">
        <v>6414572207.4399996</v>
      </c>
      <c r="BD14" s="479">
        <v>6497742689.1800003</v>
      </c>
      <c r="BE14" s="479">
        <v>6544403894.1300001</v>
      </c>
      <c r="BF14" s="479">
        <v>6641130131.3900003</v>
      </c>
      <c r="BG14" s="367">
        <v>6580599847</v>
      </c>
      <c r="BH14" s="362">
        <v>6502071415.8400002</v>
      </c>
      <c r="BI14" s="362">
        <v>6438112454.4700003</v>
      </c>
      <c r="BJ14" s="362">
        <v>6465514467.6300001</v>
      </c>
      <c r="BK14" s="362">
        <v>6566929452.3000002</v>
      </c>
      <c r="BL14" s="362">
        <v>6602141695.7299995</v>
      </c>
      <c r="BM14" s="362">
        <v>6672097689.4399996</v>
      </c>
      <c r="BN14" s="362">
        <v>6733246825.6300001</v>
      </c>
      <c r="BO14" s="362">
        <v>6750811572.8900003</v>
      </c>
      <c r="BP14" s="362">
        <v>6805067786.21</v>
      </c>
      <c r="BQ14" s="362">
        <v>7003744389.04</v>
      </c>
      <c r="BR14" s="362">
        <v>7134710294.8400002</v>
      </c>
      <c r="BS14" s="362">
        <v>7345313858.7299995</v>
      </c>
      <c r="BT14" s="362">
        <v>7345313859</v>
      </c>
      <c r="BU14" s="480">
        <v>7270667586.4899998</v>
      </c>
      <c r="BV14" s="480">
        <v>7307937751.9899998</v>
      </c>
      <c r="BW14" s="480">
        <v>7572080381.1199999</v>
      </c>
      <c r="BX14" s="480">
        <v>7698192294.4700003</v>
      </c>
      <c r="BY14" s="330">
        <v>7792883323.5699997</v>
      </c>
      <c r="BZ14" s="330">
        <v>7893103112.1000004</v>
      </c>
      <c r="CA14" s="330">
        <v>8007290390.3199997</v>
      </c>
      <c r="CB14" s="468">
        <v>8121011881.9099998</v>
      </c>
      <c r="CC14" s="481">
        <v>8258906732.8699999</v>
      </c>
      <c r="CD14" s="481">
        <v>8363060223.8900003</v>
      </c>
      <c r="CE14" s="481">
        <v>8453909948.3000002</v>
      </c>
      <c r="CF14" s="481">
        <v>8671629518.2900009</v>
      </c>
      <c r="CG14" s="481">
        <v>8683011938</v>
      </c>
      <c r="CH14" s="364">
        <v>8681825337.3199997</v>
      </c>
      <c r="CI14" s="367">
        <v>8689677313.1499996</v>
      </c>
      <c r="CJ14" s="367">
        <v>8766696109.8799992</v>
      </c>
      <c r="CK14" s="367">
        <v>8885350370.7099991</v>
      </c>
      <c r="CL14" s="367">
        <v>8921601451.2600002</v>
      </c>
      <c r="CM14" s="367">
        <v>9041562251.8799992</v>
      </c>
      <c r="CN14" s="508">
        <v>9113019900.4799995</v>
      </c>
      <c r="CO14" s="508">
        <v>9299938187.2299995</v>
      </c>
      <c r="CP14" s="508">
        <v>9437968744.7399998</v>
      </c>
    </row>
    <row r="15" spans="1:99" ht="15">
      <c r="A15" s="485" t="s">
        <v>25</v>
      </c>
      <c r="B15" s="323">
        <v>11491000</v>
      </c>
      <c r="C15" s="324">
        <v>17687000</v>
      </c>
      <c r="D15" s="324">
        <v>17687000</v>
      </c>
      <c r="E15" s="324">
        <v>27687316</v>
      </c>
      <c r="F15" s="324">
        <v>32687316</v>
      </c>
      <c r="G15" s="324">
        <v>47500000</v>
      </c>
      <c r="H15" s="324">
        <v>44687316</v>
      </c>
      <c r="I15" s="324">
        <v>55500000</v>
      </c>
      <c r="J15" s="324">
        <v>59500000</v>
      </c>
      <c r="K15" s="324">
        <v>63500000</v>
      </c>
      <c r="L15" s="476">
        <v>67500000</v>
      </c>
      <c r="M15" s="476">
        <v>71500000</v>
      </c>
      <c r="N15" s="476">
        <v>75500000</v>
      </c>
      <c r="O15" s="476">
        <v>79500000</v>
      </c>
      <c r="P15" s="476">
        <v>83500000</v>
      </c>
      <c r="Q15" s="338">
        <v>87500000</v>
      </c>
      <c r="R15" s="338">
        <v>91500000</v>
      </c>
      <c r="S15" s="338">
        <v>95500000</v>
      </c>
      <c r="T15" s="324">
        <v>95500000</v>
      </c>
      <c r="U15" s="338">
        <v>191000000</v>
      </c>
      <c r="V15" s="338">
        <v>105500000</v>
      </c>
      <c r="W15" s="338">
        <v>110500000</v>
      </c>
      <c r="X15" s="338">
        <v>115500000</v>
      </c>
      <c r="Y15" s="338">
        <v>120500000</v>
      </c>
      <c r="Z15" s="338">
        <v>125500000</v>
      </c>
      <c r="AA15" s="338">
        <v>130500000</v>
      </c>
      <c r="AB15" s="338">
        <v>135500000</v>
      </c>
      <c r="AC15" s="338">
        <v>140500000</v>
      </c>
      <c r="AD15" s="338">
        <v>145500000</v>
      </c>
      <c r="AE15" s="329">
        <v>150500000</v>
      </c>
      <c r="AF15" s="329">
        <v>155500000</v>
      </c>
      <c r="AG15" s="331">
        <v>155500000</v>
      </c>
      <c r="AH15" s="344">
        <v>164500000</v>
      </c>
      <c r="AI15" s="344">
        <v>173500000</v>
      </c>
      <c r="AJ15" s="344">
        <v>182500000</v>
      </c>
      <c r="AK15" s="344">
        <v>191500000</v>
      </c>
      <c r="AL15" s="344">
        <v>200500000</v>
      </c>
      <c r="AM15" s="344">
        <v>209500000</v>
      </c>
      <c r="AN15" s="344">
        <v>218500000</v>
      </c>
      <c r="AO15" s="344">
        <v>227500000</v>
      </c>
      <c r="AP15" s="344">
        <v>236500000</v>
      </c>
      <c r="AQ15" s="344">
        <v>245500000</v>
      </c>
      <c r="AR15" s="477">
        <v>254500000</v>
      </c>
      <c r="AS15" s="344">
        <v>263500000</v>
      </c>
      <c r="AT15" s="327">
        <v>267784035</v>
      </c>
      <c r="AU15" s="479">
        <v>272500000</v>
      </c>
      <c r="AV15" s="479">
        <v>281500000</v>
      </c>
      <c r="AW15" s="479">
        <v>292894330</v>
      </c>
      <c r="AX15" s="479">
        <v>302692440</v>
      </c>
      <c r="AY15" s="479">
        <v>312490550</v>
      </c>
      <c r="AZ15" s="479">
        <v>322288660</v>
      </c>
      <c r="BA15" s="479">
        <v>332086770</v>
      </c>
      <c r="BB15" s="338">
        <v>341884880</v>
      </c>
      <c r="BC15" s="479">
        <v>351682990</v>
      </c>
      <c r="BD15" s="479">
        <v>361481100</v>
      </c>
      <c r="BE15" s="479">
        <v>371279210</v>
      </c>
      <c r="BF15" s="479">
        <v>385361355</v>
      </c>
      <c r="BG15" s="358">
        <v>339861355</v>
      </c>
      <c r="BH15" s="362">
        <v>349861355</v>
      </c>
      <c r="BI15" s="362">
        <v>353261355</v>
      </c>
      <c r="BJ15" s="362">
        <v>359961355</v>
      </c>
      <c r="BK15" s="362">
        <v>366661355</v>
      </c>
      <c r="BL15" s="362">
        <v>373361355</v>
      </c>
      <c r="BM15" s="362">
        <v>380061355</v>
      </c>
      <c r="BN15" s="362">
        <v>386761355</v>
      </c>
      <c r="BO15" s="362">
        <v>393461355</v>
      </c>
      <c r="BP15" s="362">
        <v>400161355</v>
      </c>
      <c r="BQ15" s="362">
        <v>406861355</v>
      </c>
      <c r="BR15" s="362">
        <v>413561355</v>
      </c>
      <c r="BS15" s="362">
        <v>420261355</v>
      </c>
      <c r="BT15" s="362">
        <v>370261355</v>
      </c>
      <c r="BU15" s="480">
        <v>377765355</v>
      </c>
      <c r="BV15" s="480">
        <v>385269355</v>
      </c>
      <c r="BW15" s="480">
        <v>392773355</v>
      </c>
      <c r="BX15" s="480">
        <v>400277355</v>
      </c>
      <c r="BY15" s="330">
        <v>407781355</v>
      </c>
      <c r="BZ15" s="330">
        <v>415285355</v>
      </c>
      <c r="CA15" s="330">
        <v>422789355</v>
      </c>
      <c r="CB15" s="468">
        <v>430293355</v>
      </c>
      <c r="CC15" s="481">
        <v>437797355</v>
      </c>
      <c r="CD15" s="481">
        <v>437797355</v>
      </c>
      <c r="CE15" s="481">
        <v>437797355</v>
      </c>
      <c r="CF15" s="481">
        <v>437797355</v>
      </c>
      <c r="CG15" s="481">
        <v>407797355</v>
      </c>
      <c r="CH15" s="364">
        <v>411797355</v>
      </c>
      <c r="CI15" s="367">
        <v>413797355</v>
      </c>
      <c r="CJ15" s="367">
        <v>416797355</v>
      </c>
      <c r="CK15" s="367">
        <v>419797355</v>
      </c>
      <c r="CL15" s="367">
        <v>422797355</v>
      </c>
      <c r="CM15" s="367">
        <v>425797355</v>
      </c>
      <c r="CN15" s="510">
        <v>428797355</v>
      </c>
      <c r="CO15" s="510">
        <v>431797355</v>
      </c>
      <c r="CP15" s="510">
        <v>434797355</v>
      </c>
    </row>
    <row r="16" spans="1:99" s="473" customFormat="1">
      <c r="A16" s="332" t="s">
        <v>26</v>
      </c>
      <c r="B16" s="332">
        <f t="shared" ref="B16:I16" si="6">SUM(B17:B19)</f>
        <v>0</v>
      </c>
      <c r="C16" s="332">
        <f t="shared" si="6"/>
        <v>0</v>
      </c>
      <c r="D16" s="332">
        <f t="shared" si="6"/>
        <v>0</v>
      </c>
      <c r="E16" s="332">
        <f t="shared" si="6"/>
        <v>0</v>
      </c>
      <c r="F16" s="332">
        <f t="shared" si="6"/>
        <v>0</v>
      </c>
      <c r="G16" s="332">
        <f t="shared" si="6"/>
        <v>0</v>
      </c>
      <c r="H16" s="332">
        <f t="shared" si="6"/>
        <v>0</v>
      </c>
      <c r="I16" s="332">
        <f t="shared" si="6"/>
        <v>0</v>
      </c>
      <c r="J16" s="322"/>
      <c r="K16" s="322">
        <v>0</v>
      </c>
      <c r="L16" s="322">
        <v>0</v>
      </c>
      <c r="M16" s="322">
        <v>0</v>
      </c>
      <c r="N16" s="322">
        <v>0</v>
      </c>
      <c r="O16" s="322">
        <v>0</v>
      </c>
      <c r="P16" s="322">
        <v>0</v>
      </c>
      <c r="Q16" s="322">
        <v>0</v>
      </c>
      <c r="R16" s="322">
        <v>0</v>
      </c>
      <c r="S16" s="322">
        <v>0</v>
      </c>
      <c r="T16" s="322">
        <v>0</v>
      </c>
      <c r="U16" s="322">
        <v>0</v>
      </c>
      <c r="V16" s="322">
        <v>0</v>
      </c>
      <c r="W16" s="322">
        <v>0</v>
      </c>
      <c r="X16" s="322">
        <v>0</v>
      </c>
      <c r="Y16" s="322">
        <v>0</v>
      </c>
      <c r="Z16" s="322">
        <v>0</v>
      </c>
      <c r="AA16" s="322">
        <v>0</v>
      </c>
      <c r="AB16" s="322">
        <v>0</v>
      </c>
      <c r="AC16" s="322">
        <v>0</v>
      </c>
      <c r="AD16" s="322">
        <v>0</v>
      </c>
      <c r="AE16" s="322">
        <v>0</v>
      </c>
      <c r="AF16" s="322">
        <v>0</v>
      </c>
      <c r="AG16" s="322">
        <v>0</v>
      </c>
      <c r="AH16" s="322">
        <v>0</v>
      </c>
      <c r="AI16" s="322">
        <v>0</v>
      </c>
      <c r="AJ16" s="322">
        <v>0</v>
      </c>
      <c r="AK16" s="322">
        <v>0</v>
      </c>
      <c r="AL16" s="322">
        <v>0</v>
      </c>
      <c r="AM16" s="322">
        <v>0</v>
      </c>
      <c r="AN16" s="322">
        <v>0</v>
      </c>
      <c r="AO16" s="322">
        <v>0</v>
      </c>
      <c r="AP16" s="322">
        <v>0</v>
      </c>
      <c r="AQ16" s="322">
        <v>0</v>
      </c>
      <c r="AR16" s="322">
        <v>0</v>
      </c>
      <c r="AS16" s="322">
        <v>0</v>
      </c>
      <c r="AT16" s="322">
        <v>0</v>
      </c>
      <c r="AU16" s="322">
        <v>0</v>
      </c>
      <c r="AV16" s="322">
        <v>0</v>
      </c>
      <c r="AW16" s="322">
        <v>0</v>
      </c>
      <c r="AX16" s="322">
        <v>0</v>
      </c>
      <c r="AY16" s="322">
        <v>0</v>
      </c>
      <c r="AZ16" s="322">
        <v>0</v>
      </c>
      <c r="BA16" s="322">
        <v>0</v>
      </c>
      <c r="BB16" s="322">
        <v>0</v>
      </c>
      <c r="BC16" s="322">
        <v>0</v>
      </c>
      <c r="BD16" s="322">
        <v>0</v>
      </c>
      <c r="BE16" s="322">
        <v>0</v>
      </c>
      <c r="BF16" s="322">
        <v>0</v>
      </c>
      <c r="BG16" s="363">
        <v>0</v>
      </c>
      <c r="BH16" s="322">
        <v>0</v>
      </c>
      <c r="BI16" s="322">
        <v>0</v>
      </c>
      <c r="BJ16" s="322">
        <v>0</v>
      </c>
      <c r="BK16" s="322">
        <v>0</v>
      </c>
      <c r="BL16" s="322">
        <v>0</v>
      </c>
      <c r="BM16" s="322">
        <v>0</v>
      </c>
      <c r="BN16" s="322">
        <v>0</v>
      </c>
      <c r="BO16" s="322">
        <v>0</v>
      </c>
      <c r="BP16" s="322">
        <v>0</v>
      </c>
      <c r="BQ16" s="322">
        <v>0</v>
      </c>
      <c r="BR16" s="322">
        <v>0</v>
      </c>
      <c r="BS16" s="322">
        <v>0</v>
      </c>
      <c r="BT16" s="322">
        <v>0</v>
      </c>
      <c r="BU16" s="322">
        <v>0</v>
      </c>
      <c r="BV16" s="322">
        <v>0</v>
      </c>
      <c r="BW16" s="322">
        <v>0</v>
      </c>
      <c r="BX16" s="322">
        <v>0</v>
      </c>
      <c r="BY16" s="322">
        <v>0</v>
      </c>
      <c r="BZ16" s="322">
        <v>0</v>
      </c>
      <c r="CA16" s="322">
        <v>0</v>
      </c>
      <c r="CB16" s="322">
        <v>0</v>
      </c>
      <c r="CC16" s="322">
        <v>0</v>
      </c>
      <c r="CD16" s="322">
        <v>0</v>
      </c>
      <c r="CE16" s="322">
        <v>0</v>
      </c>
      <c r="CF16" s="322">
        <v>0</v>
      </c>
      <c r="CG16" s="322">
        <v>0</v>
      </c>
      <c r="CH16" s="363">
        <v>0</v>
      </c>
      <c r="CI16" s="363">
        <v>0</v>
      </c>
      <c r="CJ16" s="363">
        <v>0</v>
      </c>
      <c r="CK16" s="363">
        <v>0</v>
      </c>
      <c r="CL16" s="363">
        <v>0</v>
      </c>
      <c r="CM16" s="363">
        <v>0</v>
      </c>
      <c r="CN16" s="322">
        <v>0</v>
      </c>
      <c r="CO16" s="322">
        <v>0</v>
      </c>
      <c r="CP16" s="322">
        <v>0</v>
      </c>
      <c r="CQ16" s="322">
        <v>0</v>
      </c>
      <c r="CR16" s="322">
        <v>0</v>
      </c>
      <c r="CS16" s="322">
        <v>0</v>
      </c>
      <c r="CT16" s="322">
        <v>0</v>
      </c>
      <c r="CU16" s="322">
        <v>0</v>
      </c>
    </row>
    <row r="17" spans="1:99" ht="15">
      <c r="A17" s="485" t="s">
        <v>27</v>
      </c>
      <c r="B17" s="323">
        <v>0</v>
      </c>
      <c r="C17" s="324"/>
      <c r="D17" s="324"/>
      <c r="E17" s="324"/>
      <c r="F17" s="324"/>
      <c r="G17" s="324"/>
      <c r="H17" s="324">
        <v>0</v>
      </c>
      <c r="I17" s="324">
        <v>0</v>
      </c>
      <c r="J17" s="324">
        <v>0</v>
      </c>
      <c r="K17" s="324">
        <v>0</v>
      </c>
      <c r="L17" s="324">
        <v>0</v>
      </c>
      <c r="M17" s="324">
        <v>0</v>
      </c>
      <c r="N17" s="324">
        <v>0</v>
      </c>
      <c r="O17" s="324">
        <v>0</v>
      </c>
      <c r="P17" s="324">
        <v>0</v>
      </c>
      <c r="Q17" s="324">
        <v>0</v>
      </c>
      <c r="R17" s="324">
        <v>0</v>
      </c>
      <c r="S17" s="324">
        <v>0</v>
      </c>
      <c r="T17" s="324">
        <v>0</v>
      </c>
      <c r="U17" s="324">
        <v>0</v>
      </c>
      <c r="V17" s="324">
        <v>0</v>
      </c>
      <c r="W17" s="324">
        <v>0</v>
      </c>
      <c r="X17" s="338">
        <v>0</v>
      </c>
      <c r="Y17" s="338">
        <v>0</v>
      </c>
      <c r="Z17" s="338">
        <v>0</v>
      </c>
      <c r="AA17" s="338">
        <v>0</v>
      </c>
      <c r="AB17" s="338">
        <v>0</v>
      </c>
      <c r="AC17" s="338">
        <v>0</v>
      </c>
      <c r="AD17" s="338">
        <v>0</v>
      </c>
      <c r="AE17" s="333">
        <v>0</v>
      </c>
      <c r="AF17" s="333">
        <v>0</v>
      </c>
      <c r="AG17" s="333">
        <v>0</v>
      </c>
      <c r="AH17" s="338">
        <v>0</v>
      </c>
      <c r="AI17" s="338">
        <v>0</v>
      </c>
      <c r="AJ17" s="338">
        <v>0</v>
      </c>
      <c r="AK17" s="338">
        <v>0</v>
      </c>
      <c r="AL17" s="338">
        <v>0</v>
      </c>
      <c r="AM17" s="338">
        <v>0</v>
      </c>
      <c r="AN17" s="338">
        <v>0</v>
      </c>
      <c r="AO17" s="338">
        <v>0</v>
      </c>
      <c r="AP17" s="338">
        <v>0</v>
      </c>
      <c r="AQ17" s="338">
        <v>0</v>
      </c>
      <c r="AR17" s="338">
        <v>0</v>
      </c>
      <c r="AS17" s="338">
        <v>0</v>
      </c>
      <c r="AT17" s="338">
        <v>0</v>
      </c>
      <c r="AU17" s="338">
        <v>0</v>
      </c>
      <c r="AV17" s="338">
        <v>0</v>
      </c>
      <c r="AW17" s="338">
        <v>0</v>
      </c>
      <c r="AX17" s="338">
        <v>0</v>
      </c>
      <c r="AY17" s="338">
        <v>0</v>
      </c>
      <c r="AZ17" s="338">
        <v>0</v>
      </c>
      <c r="BA17" s="338">
        <v>0</v>
      </c>
      <c r="BB17" s="338">
        <v>0</v>
      </c>
      <c r="BC17" s="338">
        <v>0</v>
      </c>
      <c r="BD17" s="338">
        <v>0</v>
      </c>
      <c r="BE17" s="338">
        <v>0</v>
      </c>
      <c r="BF17" s="338">
        <v>0</v>
      </c>
      <c r="BG17" s="368">
        <v>0</v>
      </c>
      <c r="BH17" s="362">
        <v>0</v>
      </c>
      <c r="BI17" s="362">
        <v>0</v>
      </c>
      <c r="BJ17" s="362">
        <v>0</v>
      </c>
      <c r="BK17" s="362">
        <v>0</v>
      </c>
      <c r="BL17" s="362">
        <v>0</v>
      </c>
      <c r="BM17" s="362">
        <v>0</v>
      </c>
      <c r="BN17" s="362">
        <v>0</v>
      </c>
      <c r="BO17" s="362">
        <v>0</v>
      </c>
      <c r="BP17" s="362">
        <v>0</v>
      </c>
      <c r="BQ17" s="362">
        <v>0</v>
      </c>
      <c r="BR17" s="362">
        <v>0</v>
      </c>
      <c r="BS17" s="362">
        <v>0</v>
      </c>
      <c r="BT17" s="362"/>
      <c r="BU17" s="486">
        <v>0</v>
      </c>
      <c r="BV17" s="486">
        <v>0</v>
      </c>
      <c r="BW17" s="486">
        <v>0</v>
      </c>
      <c r="BX17" s="486">
        <v>0</v>
      </c>
      <c r="BY17" s="330">
        <v>0</v>
      </c>
      <c r="BZ17" s="330">
        <v>0</v>
      </c>
      <c r="CA17" s="330">
        <v>0</v>
      </c>
      <c r="CB17" s="330">
        <v>0</v>
      </c>
      <c r="CC17" s="481">
        <v>0</v>
      </c>
      <c r="CD17" s="481">
        <v>0</v>
      </c>
      <c r="CE17" s="481">
        <v>0</v>
      </c>
      <c r="CF17" s="481">
        <v>0</v>
      </c>
      <c r="CG17" s="481"/>
      <c r="CH17" s="364">
        <v>0</v>
      </c>
      <c r="CI17" s="367">
        <v>0</v>
      </c>
      <c r="CJ17" s="367">
        <v>0</v>
      </c>
      <c r="CK17" s="367">
        <v>0</v>
      </c>
      <c r="CL17" s="367">
        <v>0</v>
      </c>
      <c r="CM17" s="367">
        <v>0</v>
      </c>
      <c r="CN17" s="507">
        <v>0</v>
      </c>
      <c r="CO17" s="507">
        <v>0</v>
      </c>
      <c r="CP17" s="507">
        <v>0</v>
      </c>
    </row>
    <row r="18" spans="1:99" ht="15">
      <c r="A18" s="485" t="s">
        <v>28</v>
      </c>
      <c r="B18" s="323">
        <v>0</v>
      </c>
      <c r="C18" s="324"/>
      <c r="D18" s="324"/>
      <c r="E18" s="324"/>
      <c r="F18" s="324"/>
      <c r="G18" s="324"/>
      <c r="H18" s="324">
        <v>0</v>
      </c>
      <c r="I18" s="324">
        <v>0</v>
      </c>
      <c r="J18" s="324">
        <v>0</v>
      </c>
      <c r="K18" s="324">
        <v>0</v>
      </c>
      <c r="L18" s="324">
        <v>0</v>
      </c>
      <c r="M18" s="324">
        <v>0</v>
      </c>
      <c r="N18" s="324">
        <v>0</v>
      </c>
      <c r="O18" s="324">
        <v>0</v>
      </c>
      <c r="P18" s="324">
        <v>0</v>
      </c>
      <c r="Q18" s="324">
        <v>0</v>
      </c>
      <c r="R18" s="324">
        <v>0</v>
      </c>
      <c r="S18" s="324">
        <v>0</v>
      </c>
      <c r="T18" s="324">
        <v>0</v>
      </c>
      <c r="U18" s="324">
        <v>0</v>
      </c>
      <c r="V18" s="324">
        <v>0</v>
      </c>
      <c r="W18" s="324">
        <v>0</v>
      </c>
      <c r="X18" s="338">
        <v>0</v>
      </c>
      <c r="Y18" s="338">
        <v>0</v>
      </c>
      <c r="Z18" s="338">
        <v>0</v>
      </c>
      <c r="AA18" s="338">
        <v>0</v>
      </c>
      <c r="AB18" s="338">
        <v>0</v>
      </c>
      <c r="AC18" s="338">
        <v>0</v>
      </c>
      <c r="AD18" s="338">
        <v>0</v>
      </c>
      <c r="AE18" s="329">
        <v>0</v>
      </c>
      <c r="AF18" s="329">
        <v>0</v>
      </c>
      <c r="AG18" s="329">
        <v>0</v>
      </c>
      <c r="AH18" s="338">
        <v>0</v>
      </c>
      <c r="AI18" s="338">
        <v>0</v>
      </c>
      <c r="AJ18" s="338">
        <v>0</v>
      </c>
      <c r="AK18" s="338">
        <v>0</v>
      </c>
      <c r="AL18" s="338">
        <v>0</v>
      </c>
      <c r="AM18" s="338">
        <v>0</v>
      </c>
      <c r="AN18" s="338">
        <v>0</v>
      </c>
      <c r="AO18" s="338">
        <v>0</v>
      </c>
      <c r="AP18" s="338">
        <v>0</v>
      </c>
      <c r="AQ18" s="338">
        <v>0</v>
      </c>
      <c r="AR18" s="338">
        <v>0</v>
      </c>
      <c r="AS18" s="338">
        <v>0</v>
      </c>
      <c r="AT18" s="338">
        <v>0</v>
      </c>
      <c r="AU18" s="338">
        <v>0</v>
      </c>
      <c r="AV18" s="338">
        <v>0</v>
      </c>
      <c r="AW18" s="338">
        <v>0</v>
      </c>
      <c r="AX18" s="338">
        <v>0</v>
      </c>
      <c r="AY18" s="338">
        <v>0</v>
      </c>
      <c r="AZ18" s="338">
        <v>0</v>
      </c>
      <c r="BA18" s="338">
        <v>0</v>
      </c>
      <c r="BB18" s="338">
        <v>0</v>
      </c>
      <c r="BC18" s="338">
        <v>0</v>
      </c>
      <c r="BD18" s="338">
        <v>0</v>
      </c>
      <c r="BE18" s="338">
        <v>0</v>
      </c>
      <c r="BF18" s="338">
        <v>0</v>
      </c>
      <c r="BG18" s="368">
        <v>0</v>
      </c>
      <c r="BH18" s="362">
        <v>0</v>
      </c>
      <c r="BI18" s="362">
        <v>0</v>
      </c>
      <c r="BJ18" s="362">
        <v>0</v>
      </c>
      <c r="BK18" s="362">
        <v>0</v>
      </c>
      <c r="BL18" s="362">
        <v>0</v>
      </c>
      <c r="BM18" s="362">
        <v>0</v>
      </c>
      <c r="BN18" s="362">
        <v>0</v>
      </c>
      <c r="BO18" s="362">
        <v>0</v>
      </c>
      <c r="BP18" s="362">
        <v>0</v>
      </c>
      <c r="BQ18" s="362">
        <v>0</v>
      </c>
      <c r="BR18" s="362">
        <v>0</v>
      </c>
      <c r="BS18" s="362">
        <v>0</v>
      </c>
      <c r="BT18" s="362"/>
      <c r="BU18" s="486">
        <v>0</v>
      </c>
      <c r="BV18" s="486">
        <v>0</v>
      </c>
      <c r="BW18" s="486">
        <v>0</v>
      </c>
      <c r="BX18" s="486">
        <v>0</v>
      </c>
      <c r="BY18" s="330">
        <v>0</v>
      </c>
      <c r="BZ18" s="330">
        <v>0</v>
      </c>
      <c r="CA18" s="330">
        <v>0</v>
      </c>
      <c r="CB18" s="330">
        <v>0</v>
      </c>
      <c r="CC18" s="481">
        <v>0</v>
      </c>
      <c r="CD18" s="481">
        <v>0</v>
      </c>
      <c r="CE18" s="481">
        <v>0</v>
      </c>
      <c r="CF18" s="481">
        <v>0</v>
      </c>
      <c r="CG18" s="481"/>
      <c r="CH18" s="364">
        <v>0</v>
      </c>
      <c r="CI18" s="367">
        <v>0</v>
      </c>
      <c r="CJ18" s="367">
        <v>0</v>
      </c>
      <c r="CK18" s="367">
        <v>0</v>
      </c>
      <c r="CL18" s="367">
        <v>0</v>
      </c>
      <c r="CM18" s="367">
        <v>0</v>
      </c>
      <c r="CN18" s="509">
        <v>0</v>
      </c>
      <c r="CO18" s="509">
        <v>0</v>
      </c>
      <c r="CP18" s="509">
        <v>0</v>
      </c>
    </row>
    <row r="19" spans="1:99" ht="15">
      <c r="A19" s="485" t="s">
        <v>29</v>
      </c>
      <c r="B19" s="323">
        <v>0</v>
      </c>
      <c r="C19" s="324"/>
      <c r="D19" s="324"/>
      <c r="E19" s="324"/>
      <c r="F19" s="324"/>
      <c r="G19" s="324"/>
      <c r="H19" s="324">
        <v>0</v>
      </c>
      <c r="I19" s="324">
        <v>0</v>
      </c>
      <c r="J19" s="324">
        <v>0</v>
      </c>
      <c r="K19" s="324">
        <v>0</v>
      </c>
      <c r="L19" s="324">
        <v>0</v>
      </c>
      <c r="M19" s="324">
        <v>0</v>
      </c>
      <c r="N19" s="324">
        <v>0</v>
      </c>
      <c r="O19" s="324">
        <v>0</v>
      </c>
      <c r="P19" s="324">
        <v>0</v>
      </c>
      <c r="Q19" s="324">
        <v>0</v>
      </c>
      <c r="R19" s="324">
        <v>0</v>
      </c>
      <c r="S19" s="324">
        <v>0</v>
      </c>
      <c r="T19" s="324">
        <v>0</v>
      </c>
      <c r="U19" s="324">
        <v>0</v>
      </c>
      <c r="V19" s="324">
        <v>0</v>
      </c>
      <c r="W19" s="324">
        <v>0</v>
      </c>
      <c r="X19" s="338">
        <v>0</v>
      </c>
      <c r="Y19" s="338">
        <v>0</v>
      </c>
      <c r="Z19" s="338">
        <v>0</v>
      </c>
      <c r="AA19" s="338">
        <v>0</v>
      </c>
      <c r="AB19" s="338">
        <v>0</v>
      </c>
      <c r="AC19" s="338">
        <v>0</v>
      </c>
      <c r="AD19" s="338">
        <v>0</v>
      </c>
      <c r="AE19" s="329">
        <v>0</v>
      </c>
      <c r="AF19" s="329">
        <v>0</v>
      </c>
      <c r="AG19" s="329">
        <v>0</v>
      </c>
      <c r="AH19" s="338">
        <v>0</v>
      </c>
      <c r="AI19" s="338">
        <v>0</v>
      </c>
      <c r="AJ19" s="338">
        <v>0</v>
      </c>
      <c r="AK19" s="338">
        <v>0</v>
      </c>
      <c r="AL19" s="338">
        <v>0</v>
      </c>
      <c r="AM19" s="338">
        <v>0</v>
      </c>
      <c r="AN19" s="338">
        <v>0</v>
      </c>
      <c r="AO19" s="338">
        <v>0</v>
      </c>
      <c r="AP19" s="338">
        <v>0</v>
      </c>
      <c r="AQ19" s="338">
        <v>0</v>
      </c>
      <c r="AR19" s="338">
        <v>0</v>
      </c>
      <c r="AS19" s="338">
        <v>0</v>
      </c>
      <c r="AT19" s="338">
        <v>0</v>
      </c>
      <c r="AU19" s="338">
        <v>0</v>
      </c>
      <c r="AV19" s="338">
        <v>0</v>
      </c>
      <c r="AW19" s="338">
        <v>0</v>
      </c>
      <c r="AX19" s="338">
        <v>0</v>
      </c>
      <c r="AY19" s="338">
        <v>0</v>
      </c>
      <c r="AZ19" s="338">
        <v>0</v>
      </c>
      <c r="BA19" s="338">
        <v>0</v>
      </c>
      <c r="BB19" s="338">
        <v>0</v>
      </c>
      <c r="BC19" s="338">
        <v>0</v>
      </c>
      <c r="BD19" s="338">
        <v>0</v>
      </c>
      <c r="BE19" s="338">
        <v>0</v>
      </c>
      <c r="BF19" s="338">
        <v>0</v>
      </c>
      <c r="BG19" s="368">
        <v>0</v>
      </c>
      <c r="BH19" s="362">
        <v>0</v>
      </c>
      <c r="BI19" s="362">
        <v>0</v>
      </c>
      <c r="BJ19" s="362">
        <v>0</v>
      </c>
      <c r="BK19" s="362">
        <v>0</v>
      </c>
      <c r="BL19" s="362">
        <v>0</v>
      </c>
      <c r="BM19" s="362">
        <v>0</v>
      </c>
      <c r="BN19" s="362">
        <v>0</v>
      </c>
      <c r="BO19" s="362">
        <v>0</v>
      </c>
      <c r="BP19" s="362">
        <v>0</v>
      </c>
      <c r="BQ19" s="362">
        <v>0</v>
      </c>
      <c r="BR19" s="362">
        <v>0</v>
      </c>
      <c r="BS19" s="362">
        <v>0</v>
      </c>
      <c r="BT19" s="362"/>
      <c r="BU19" s="486">
        <v>0</v>
      </c>
      <c r="BV19" s="486">
        <v>0</v>
      </c>
      <c r="BW19" s="486">
        <v>0</v>
      </c>
      <c r="BX19" s="486">
        <v>0</v>
      </c>
      <c r="BY19" s="330">
        <v>0</v>
      </c>
      <c r="BZ19" s="330">
        <v>0</v>
      </c>
      <c r="CA19" s="330">
        <v>0</v>
      </c>
      <c r="CB19" s="330">
        <v>0</v>
      </c>
      <c r="CC19" s="481">
        <v>0</v>
      </c>
      <c r="CD19" s="481">
        <v>0</v>
      </c>
      <c r="CE19" s="481">
        <v>0</v>
      </c>
      <c r="CF19" s="481">
        <v>0</v>
      </c>
      <c r="CG19" s="481"/>
      <c r="CH19" s="364">
        <v>0</v>
      </c>
      <c r="CI19" s="367">
        <v>0</v>
      </c>
      <c r="CJ19" s="367">
        <v>0</v>
      </c>
      <c r="CK19" s="367">
        <v>0</v>
      </c>
      <c r="CL19" s="367">
        <v>0</v>
      </c>
      <c r="CM19" s="367">
        <v>0</v>
      </c>
      <c r="CN19" s="509">
        <v>0</v>
      </c>
      <c r="CO19" s="509">
        <v>0</v>
      </c>
      <c r="CP19" s="509">
        <v>0</v>
      </c>
    </row>
    <row r="20" spans="1:99" s="473" customFormat="1">
      <c r="A20" s="332" t="s">
        <v>30</v>
      </c>
      <c r="B20" s="334">
        <f t="shared" ref="B20:BM20" si="7">SUM(B21:B25)</f>
        <v>30561000</v>
      </c>
      <c r="C20" s="334">
        <f t="shared" si="7"/>
        <v>172627000</v>
      </c>
      <c r="D20" s="334">
        <f t="shared" si="7"/>
        <v>36204000</v>
      </c>
      <c r="E20" s="334">
        <f t="shared" si="7"/>
        <v>51908954</v>
      </c>
      <c r="F20" s="334">
        <f t="shared" si="7"/>
        <v>83695847</v>
      </c>
      <c r="G20" s="334">
        <f t="shared" si="7"/>
        <v>103160569</v>
      </c>
      <c r="H20" s="334">
        <f t="shared" si="7"/>
        <v>287501534.32999998</v>
      </c>
      <c r="I20" s="334">
        <f t="shared" si="7"/>
        <v>283720996.96999997</v>
      </c>
      <c r="J20" s="334">
        <f t="shared" si="7"/>
        <v>311141419.69</v>
      </c>
      <c r="K20" s="334">
        <f t="shared" si="7"/>
        <v>329861668.40000004</v>
      </c>
      <c r="L20" s="334">
        <f t="shared" si="7"/>
        <v>353013676.42000002</v>
      </c>
      <c r="M20" s="334">
        <f t="shared" si="7"/>
        <v>391412687.06</v>
      </c>
      <c r="N20" s="334">
        <f t="shared" si="7"/>
        <v>424988051.46000004</v>
      </c>
      <c r="O20" s="334">
        <f t="shared" si="7"/>
        <v>467571400.16000003</v>
      </c>
      <c r="P20" s="334">
        <f t="shared" si="7"/>
        <v>497526005.30000001</v>
      </c>
      <c r="Q20" s="334">
        <f t="shared" si="7"/>
        <v>549129996.89999998</v>
      </c>
      <c r="R20" s="334">
        <f t="shared" si="7"/>
        <v>555320948.89999998</v>
      </c>
      <c r="S20" s="334">
        <f t="shared" si="7"/>
        <v>580580018.89999998</v>
      </c>
      <c r="T20" s="334">
        <f t="shared" si="7"/>
        <v>573052936</v>
      </c>
      <c r="U20" s="334">
        <f t="shared" si="7"/>
        <v>1233478407.8</v>
      </c>
      <c r="V20" s="334">
        <f t="shared" si="7"/>
        <v>614530262.64999998</v>
      </c>
      <c r="W20" s="334">
        <f t="shared" si="7"/>
        <v>615440831.64999998</v>
      </c>
      <c r="X20" s="334">
        <f t="shared" si="7"/>
        <v>615425231.64999998</v>
      </c>
      <c r="Y20" s="334">
        <f t="shared" si="7"/>
        <v>647277170.38</v>
      </c>
      <c r="Z20" s="334">
        <f t="shared" si="7"/>
        <v>656655281.38</v>
      </c>
      <c r="AA20" s="334">
        <f t="shared" si="7"/>
        <v>659471917.07999992</v>
      </c>
      <c r="AB20" s="334">
        <f t="shared" si="7"/>
        <v>659071804.18999994</v>
      </c>
      <c r="AC20" s="334">
        <f t="shared" si="7"/>
        <v>699426340.13999999</v>
      </c>
      <c r="AD20" s="334">
        <f t="shared" si="7"/>
        <v>703111902.13999999</v>
      </c>
      <c r="AE20" s="334">
        <f t="shared" si="7"/>
        <v>707038989.13999999</v>
      </c>
      <c r="AF20" s="334">
        <f t="shared" si="7"/>
        <v>760592612.99000001</v>
      </c>
      <c r="AG20" s="334">
        <f t="shared" si="7"/>
        <v>727548708.44345665</v>
      </c>
      <c r="AH20" s="334">
        <f t="shared" si="7"/>
        <v>769499148.08999991</v>
      </c>
      <c r="AI20" s="334">
        <f t="shared" si="7"/>
        <v>739881023.15999997</v>
      </c>
      <c r="AJ20" s="334">
        <f t="shared" si="7"/>
        <v>740935688.15999997</v>
      </c>
      <c r="AK20" s="334">
        <f t="shared" si="7"/>
        <v>740951763.15999997</v>
      </c>
      <c r="AL20" s="334">
        <f t="shared" si="7"/>
        <v>749359741.15999997</v>
      </c>
      <c r="AM20" s="334">
        <f t="shared" si="7"/>
        <v>752928509.65999997</v>
      </c>
      <c r="AN20" s="334">
        <f t="shared" si="7"/>
        <v>758324934.65999997</v>
      </c>
      <c r="AO20" s="334">
        <f t="shared" si="7"/>
        <v>759785794.65999997</v>
      </c>
      <c r="AP20" s="334">
        <f t="shared" si="7"/>
        <v>760613936.65999997</v>
      </c>
      <c r="AQ20" s="334">
        <f t="shared" si="7"/>
        <v>760696964.65999997</v>
      </c>
      <c r="AR20" s="334">
        <f t="shared" si="7"/>
        <v>761522872.65999997</v>
      </c>
      <c r="AS20" s="334">
        <f t="shared" si="7"/>
        <v>766123402.65999997</v>
      </c>
      <c r="AT20" s="334">
        <f t="shared" si="7"/>
        <v>731024967</v>
      </c>
      <c r="AU20" s="334">
        <f t="shared" si="7"/>
        <v>768002828.65999997</v>
      </c>
      <c r="AV20" s="334">
        <f t="shared" si="7"/>
        <v>748185394.65999997</v>
      </c>
      <c r="AW20" s="334">
        <f t="shared" si="7"/>
        <v>749455204.65999997</v>
      </c>
      <c r="AX20" s="334">
        <f t="shared" si="7"/>
        <v>752442668.65999997</v>
      </c>
      <c r="AY20" s="334">
        <f t="shared" si="7"/>
        <v>752505944.65999997</v>
      </c>
      <c r="AZ20" s="334">
        <f t="shared" si="7"/>
        <v>753825964.65999997</v>
      </c>
      <c r="BA20" s="334">
        <f t="shared" si="7"/>
        <v>756211640.65999997</v>
      </c>
      <c r="BB20" s="334">
        <f t="shared" si="7"/>
        <v>758028535.65999997</v>
      </c>
      <c r="BC20" s="334">
        <f t="shared" si="7"/>
        <v>759762720.65999997</v>
      </c>
      <c r="BD20" s="334">
        <f t="shared" si="7"/>
        <v>767900271.65999997</v>
      </c>
      <c r="BE20" s="334">
        <f t="shared" si="7"/>
        <v>774375050.65999997</v>
      </c>
      <c r="BF20" s="334">
        <f t="shared" si="7"/>
        <v>778711016.95999992</v>
      </c>
      <c r="BG20" s="321">
        <f t="shared" si="7"/>
        <v>736389904</v>
      </c>
      <c r="BH20" s="334">
        <f t="shared" si="7"/>
        <v>778748457.95999992</v>
      </c>
      <c r="BI20" s="334">
        <f t="shared" si="7"/>
        <v>741932066.36000001</v>
      </c>
      <c r="BJ20" s="334">
        <f t="shared" si="7"/>
        <v>747077159.36000001</v>
      </c>
      <c r="BK20" s="334">
        <f t="shared" si="7"/>
        <v>748005214.36000001</v>
      </c>
      <c r="BL20" s="334">
        <f t="shared" si="7"/>
        <v>750824476.45999992</v>
      </c>
      <c r="BM20" s="334">
        <f t="shared" si="7"/>
        <v>758524578.45999992</v>
      </c>
      <c r="BN20" s="334">
        <f t="shared" ref="BN20:CU20" si="8">SUM(BN21:BN25)</f>
        <v>759427729.45999992</v>
      </c>
      <c r="BO20" s="334">
        <f t="shared" si="8"/>
        <v>761596919.45999992</v>
      </c>
      <c r="BP20" s="334">
        <f t="shared" si="8"/>
        <v>765708618.45999992</v>
      </c>
      <c r="BQ20" s="334">
        <f t="shared" si="8"/>
        <v>766154585.45999992</v>
      </c>
      <c r="BR20" s="334">
        <f t="shared" si="8"/>
        <v>766318678.86000001</v>
      </c>
      <c r="BS20" s="334">
        <f t="shared" si="8"/>
        <v>769022688.86000001</v>
      </c>
      <c r="BT20" s="334">
        <f t="shared" si="8"/>
        <v>740589451</v>
      </c>
      <c r="BU20" s="334">
        <f t="shared" si="8"/>
        <v>744815946.86000001</v>
      </c>
      <c r="BV20" s="334">
        <f t="shared" si="8"/>
        <v>744906238.86000001</v>
      </c>
      <c r="BW20" s="334">
        <f t="shared" si="8"/>
        <v>746619515.86000001</v>
      </c>
      <c r="BX20" s="334">
        <f t="shared" si="8"/>
        <v>747668663.86000001</v>
      </c>
      <c r="BY20" s="334">
        <f t="shared" si="8"/>
        <v>763234347.86000001</v>
      </c>
      <c r="BZ20" s="334">
        <f t="shared" si="8"/>
        <v>767435704.86000001</v>
      </c>
      <c r="CA20" s="334">
        <f t="shared" si="8"/>
        <v>780411879.86000001</v>
      </c>
      <c r="CB20" s="334">
        <f t="shared" si="8"/>
        <v>795796157.56000006</v>
      </c>
      <c r="CC20" s="334">
        <f t="shared" si="8"/>
        <v>795819752.56000006</v>
      </c>
      <c r="CD20" s="334">
        <f t="shared" si="8"/>
        <v>800683501.56000006</v>
      </c>
      <c r="CE20" s="334">
        <f t="shared" si="8"/>
        <v>807165107.56000006</v>
      </c>
      <c r="CF20" s="334">
        <f t="shared" si="8"/>
        <v>808142194.56000006</v>
      </c>
      <c r="CG20" s="334">
        <f t="shared" si="8"/>
        <v>860834097</v>
      </c>
      <c r="CH20" s="321">
        <f t="shared" si="8"/>
        <v>782051127.56000006</v>
      </c>
      <c r="CI20" s="321">
        <f t="shared" si="8"/>
        <v>790139165.56000006</v>
      </c>
      <c r="CJ20" s="321">
        <f t="shared" si="8"/>
        <v>792267985.56000006</v>
      </c>
      <c r="CK20" s="321">
        <f t="shared" si="8"/>
        <v>795897743.36000001</v>
      </c>
      <c r="CL20" s="321">
        <f t="shared" si="8"/>
        <v>797916506.36000001</v>
      </c>
      <c r="CM20" s="321">
        <f t="shared" si="8"/>
        <v>803899420.36000001</v>
      </c>
      <c r="CN20" s="334">
        <f t="shared" si="8"/>
        <v>804787752.36000001</v>
      </c>
      <c r="CO20" s="334">
        <f t="shared" si="8"/>
        <v>806291844.36000001</v>
      </c>
      <c r="CP20" s="334">
        <f t="shared" si="8"/>
        <v>808228344.36000001</v>
      </c>
      <c r="CQ20" s="334">
        <f t="shared" si="8"/>
        <v>0</v>
      </c>
      <c r="CR20" s="334">
        <f t="shared" si="8"/>
        <v>0</v>
      </c>
      <c r="CS20" s="334">
        <f t="shared" si="8"/>
        <v>0</v>
      </c>
      <c r="CT20" s="334">
        <f t="shared" si="8"/>
        <v>0</v>
      </c>
      <c r="CU20" s="334">
        <f t="shared" si="8"/>
        <v>0</v>
      </c>
    </row>
    <row r="21" spans="1:99" ht="15">
      <c r="A21" s="485" t="s">
        <v>31</v>
      </c>
      <c r="B21" s="323">
        <v>0</v>
      </c>
      <c r="C21" s="324">
        <v>140256000</v>
      </c>
      <c r="D21" s="324"/>
      <c r="E21" s="324"/>
      <c r="F21" s="324"/>
      <c r="G21" s="324"/>
      <c r="H21" s="324">
        <v>0</v>
      </c>
      <c r="I21" s="324">
        <v>0</v>
      </c>
      <c r="J21" s="324">
        <v>0</v>
      </c>
      <c r="K21" s="324"/>
      <c r="L21" s="476">
        <v>0</v>
      </c>
      <c r="M21" s="476">
        <v>0</v>
      </c>
      <c r="N21" s="476">
        <v>0</v>
      </c>
      <c r="O21" s="476">
        <v>0</v>
      </c>
      <c r="P21" s="476">
        <v>0</v>
      </c>
      <c r="Q21" s="338">
        <v>0</v>
      </c>
      <c r="R21" s="338">
        <v>0</v>
      </c>
      <c r="S21" s="338">
        <v>0</v>
      </c>
      <c r="T21" s="338">
        <v>0</v>
      </c>
      <c r="U21" s="338">
        <v>0</v>
      </c>
      <c r="V21" s="338">
        <v>0</v>
      </c>
      <c r="W21" s="338">
        <v>494942346.11000001</v>
      </c>
      <c r="X21" s="338">
        <v>494942346.11000001</v>
      </c>
      <c r="Y21" s="338">
        <v>526794284.83999997</v>
      </c>
      <c r="Z21" s="338">
        <v>535381355.83999997</v>
      </c>
      <c r="AA21" s="338">
        <v>535391355.83999997</v>
      </c>
      <c r="AB21" s="338">
        <v>537310336.14999998</v>
      </c>
      <c r="AC21" s="338">
        <v>573730034.5</v>
      </c>
      <c r="AD21" s="338">
        <v>577202493.5</v>
      </c>
      <c r="AE21" s="329">
        <v>581179580.5</v>
      </c>
      <c r="AF21" s="329">
        <v>635027979.14999998</v>
      </c>
      <c r="AG21" s="329">
        <v>635027979.14999998</v>
      </c>
      <c r="AH21" s="344">
        <v>637650687.14999998</v>
      </c>
      <c r="AI21" s="344">
        <v>644087470.25</v>
      </c>
      <c r="AJ21" s="344">
        <v>644636070.25</v>
      </c>
      <c r="AK21" s="344">
        <v>644636070.25</v>
      </c>
      <c r="AL21" s="344">
        <v>644636070.25</v>
      </c>
      <c r="AM21" s="344">
        <v>647404338.75</v>
      </c>
      <c r="AN21" s="344">
        <v>647489955.75</v>
      </c>
      <c r="AO21" s="344">
        <v>647489955.75</v>
      </c>
      <c r="AP21" s="344">
        <v>647489955.75</v>
      </c>
      <c r="AQ21" s="344">
        <v>647489955.75</v>
      </c>
      <c r="AR21" s="477">
        <v>647489955.75</v>
      </c>
      <c r="AS21" s="344">
        <v>647489955.75</v>
      </c>
      <c r="AT21" s="327">
        <v>635027979</v>
      </c>
      <c r="AU21" s="479">
        <v>647489955.75</v>
      </c>
      <c r="AV21" s="479">
        <v>648054955.75</v>
      </c>
      <c r="AW21" s="479">
        <v>648054955.75</v>
      </c>
      <c r="AX21" s="479">
        <v>648054955.75</v>
      </c>
      <c r="AY21" s="479">
        <v>648054955.75</v>
      </c>
      <c r="AZ21" s="479">
        <v>648054955.75</v>
      </c>
      <c r="BA21" s="479">
        <v>635592979.14999998</v>
      </c>
      <c r="BB21" s="338">
        <v>635592979.14999998</v>
      </c>
      <c r="BC21" s="479">
        <v>635592979.14999998</v>
      </c>
      <c r="BD21" s="479">
        <v>636092979.14999998</v>
      </c>
      <c r="BE21" s="479">
        <v>641413848.14999998</v>
      </c>
      <c r="BF21" s="479">
        <v>643530540.14999998</v>
      </c>
      <c r="BG21" s="367">
        <v>641578411</v>
      </c>
      <c r="BH21" s="362">
        <v>641578411.14999998</v>
      </c>
      <c r="BI21" s="362">
        <v>641578411.14999998</v>
      </c>
      <c r="BJ21" s="362">
        <v>641578411.14999998</v>
      </c>
      <c r="BK21" s="362">
        <v>641578411.14999998</v>
      </c>
      <c r="BL21" s="362">
        <v>641578411.14999998</v>
      </c>
      <c r="BM21" s="362">
        <v>649036834.14999998</v>
      </c>
      <c r="BN21" s="362">
        <v>649556155.14999998</v>
      </c>
      <c r="BO21" s="362">
        <v>649556155.14999998</v>
      </c>
      <c r="BP21" s="362">
        <v>649556155.14999998</v>
      </c>
      <c r="BQ21" s="362">
        <v>649556155.14999998</v>
      </c>
      <c r="BR21" s="362">
        <v>649556155.14999998</v>
      </c>
      <c r="BS21" s="362">
        <v>649556155.14999998</v>
      </c>
      <c r="BT21" s="362">
        <v>649556155</v>
      </c>
      <c r="BU21" s="480">
        <v>649556155.14999998</v>
      </c>
      <c r="BV21" s="480">
        <v>649556155.14999998</v>
      </c>
      <c r="BW21" s="480">
        <v>649556155.14999998</v>
      </c>
      <c r="BX21" s="480">
        <v>649556155.14999998</v>
      </c>
      <c r="BY21" s="330">
        <v>649556155.14999998</v>
      </c>
      <c r="BZ21" s="330">
        <v>649556155.14999998</v>
      </c>
      <c r="CA21" s="330">
        <v>649556155.14999998</v>
      </c>
      <c r="CB21" s="468">
        <v>654912275.14999998</v>
      </c>
      <c r="CC21" s="481">
        <v>649556155.14999998</v>
      </c>
      <c r="CD21" s="481">
        <v>649556155.14999998</v>
      </c>
      <c r="CE21" s="481">
        <v>649556155.14999998</v>
      </c>
      <c r="CF21" s="481">
        <v>649556155.14999998</v>
      </c>
      <c r="CG21" s="481">
        <v>734528001</v>
      </c>
      <c r="CH21" s="364">
        <v>649556155.14999998</v>
      </c>
      <c r="CI21" s="367">
        <v>649556155.14999998</v>
      </c>
      <c r="CJ21" s="367">
        <v>649556155.14999998</v>
      </c>
      <c r="CK21" s="367">
        <v>649556155.14999998</v>
      </c>
      <c r="CL21" s="367">
        <v>649556155.14999998</v>
      </c>
      <c r="CM21" s="367">
        <v>649556155.14999998</v>
      </c>
      <c r="CN21" s="508">
        <v>649556155.14999998</v>
      </c>
      <c r="CO21" s="508">
        <v>649556155.14999998</v>
      </c>
      <c r="CP21" s="508">
        <v>649556155.14999998</v>
      </c>
    </row>
    <row r="22" spans="1:99" ht="15">
      <c r="A22" s="485" t="s">
        <v>32</v>
      </c>
      <c r="B22" s="323">
        <v>30561000</v>
      </c>
      <c r="C22" s="324">
        <v>32371000</v>
      </c>
      <c r="D22" s="324">
        <v>36204000</v>
      </c>
      <c r="E22" s="324">
        <v>51908954</v>
      </c>
      <c r="F22" s="324">
        <v>69245464</v>
      </c>
      <c r="G22" s="324">
        <v>103160569</v>
      </c>
      <c r="H22" s="324">
        <v>287501534.32999998</v>
      </c>
      <c r="I22" s="324">
        <v>256211780.91999999</v>
      </c>
      <c r="J22" s="324">
        <v>283632203.63999999</v>
      </c>
      <c r="K22" s="324">
        <v>302352452.35000002</v>
      </c>
      <c r="L22" s="476">
        <v>325504460.37</v>
      </c>
      <c r="M22" s="476">
        <v>363903471.00999999</v>
      </c>
      <c r="N22" s="476">
        <v>396840835.41000003</v>
      </c>
      <c r="O22" s="476">
        <v>439424184.11000001</v>
      </c>
      <c r="P22" s="476">
        <v>469378789.25</v>
      </c>
      <c r="Q22" s="338">
        <v>520982780.85000002</v>
      </c>
      <c r="R22" s="338">
        <v>527159232.85000002</v>
      </c>
      <c r="S22" s="338">
        <v>552418302.85000002</v>
      </c>
      <c r="T22" s="324">
        <v>551045563</v>
      </c>
      <c r="U22" s="338">
        <v>1177154975.7</v>
      </c>
      <c r="V22" s="338">
        <v>591870388.88999999</v>
      </c>
      <c r="W22" s="338">
        <v>97838611.780000001</v>
      </c>
      <c r="X22" s="338">
        <v>97823011.780000001</v>
      </c>
      <c r="Y22" s="338">
        <v>97823011.780000001</v>
      </c>
      <c r="Z22" s="338">
        <v>98614051.780000001</v>
      </c>
      <c r="AA22" s="338">
        <v>101420687.48</v>
      </c>
      <c r="AB22" s="338">
        <v>99101594.280000001</v>
      </c>
      <c r="AC22" s="338">
        <v>100621431.88</v>
      </c>
      <c r="AD22" s="338">
        <v>100834534.88</v>
      </c>
      <c r="AE22" s="329">
        <v>100784534.88</v>
      </c>
      <c r="AF22" s="329">
        <v>100489760.08</v>
      </c>
      <c r="AG22" s="325">
        <v>74914830.840230018</v>
      </c>
      <c r="AH22" s="344">
        <v>106773587.18000001</v>
      </c>
      <c r="AI22" s="344">
        <v>75120154.150000006</v>
      </c>
      <c r="AJ22" s="344">
        <v>75626219.150000006</v>
      </c>
      <c r="AK22" s="344">
        <v>75642294.150000006</v>
      </c>
      <c r="AL22" s="344">
        <v>84050272.150000006</v>
      </c>
      <c r="AM22" s="344">
        <v>84850772.150000006</v>
      </c>
      <c r="AN22" s="344">
        <v>90161580.150000006</v>
      </c>
      <c r="AO22" s="344">
        <v>91622440.150000006</v>
      </c>
      <c r="AP22" s="344">
        <v>92450582.150000006</v>
      </c>
      <c r="AQ22" s="344">
        <v>92533610.150000006</v>
      </c>
      <c r="AR22" s="477">
        <v>93359518.150000006</v>
      </c>
      <c r="AS22" s="344">
        <v>97960048.150000006</v>
      </c>
      <c r="AT22" s="327">
        <v>77497991</v>
      </c>
      <c r="AU22" s="479">
        <v>99659474.150000006</v>
      </c>
      <c r="AV22" s="479">
        <v>67373440.150000006</v>
      </c>
      <c r="AW22" s="479">
        <v>68643250.150000006</v>
      </c>
      <c r="AX22" s="479">
        <v>71617514.150000006</v>
      </c>
      <c r="AY22" s="479">
        <v>79765990.150000006</v>
      </c>
      <c r="AZ22" s="479">
        <v>81086010.150000006</v>
      </c>
      <c r="BA22" s="479">
        <v>95933662.75</v>
      </c>
      <c r="BB22" s="338">
        <v>97750557.75</v>
      </c>
      <c r="BC22" s="479">
        <v>98303342.75</v>
      </c>
      <c r="BD22" s="479">
        <v>100990877.75</v>
      </c>
      <c r="BE22" s="479">
        <v>102210907.75</v>
      </c>
      <c r="BF22" s="479">
        <v>104189584.05</v>
      </c>
      <c r="BG22" s="358">
        <v>71351099</v>
      </c>
      <c r="BH22" s="362">
        <v>106179154.05</v>
      </c>
      <c r="BI22" s="362">
        <v>74272961.450000003</v>
      </c>
      <c r="BJ22" s="362">
        <v>79418054.450000003</v>
      </c>
      <c r="BK22" s="362">
        <v>80346109.450000003</v>
      </c>
      <c r="BL22" s="362">
        <v>83165371.549999997</v>
      </c>
      <c r="BM22" s="362">
        <v>83407050.549999997</v>
      </c>
      <c r="BN22" s="362">
        <v>83790880.549999997</v>
      </c>
      <c r="BO22" s="362">
        <v>85758420.549999997</v>
      </c>
      <c r="BP22" s="362">
        <v>89870119.549999997</v>
      </c>
      <c r="BQ22" s="362">
        <v>90303136.549999997</v>
      </c>
      <c r="BR22" s="362">
        <v>90467229.950000003</v>
      </c>
      <c r="BS22" s="362">
        <v>91361769.950000003</v>
      </c>
      <c r="BT22" s="362">
        <v>70645484</v>
      </c>
      <c r="BU22" s="480">
        <v>72251979.950000003</v>
      </c>
      <c r="BV22" s="480">
        <v>72342271.950000003</v>
      </c>
      <c r="BW22" s="480">
        <v>73596128.950000003</v>
      </c>
      <c r="BX22" s="480">
        <v>74630896.950000003</v>
      </c>
      <c r="BY22" s="330">
        <v>87816700.950000003</v>
      </c>
      <c r="BZ22" s="330">
        <v>90110695.950000003</v>
      </c>
      <c r="CA22" s="330">
        <v>94096975.950000003</v>
      </c>
      <c r="CB22" s="468">
        <v>96503425.950000003</v>
      </c>
      <c r="CC22" s="481">
        <v>101626968.95</v>
      </c>
      <c r="CD22" s="481">
        <v>106490717.95</v>
      </c>
      <c r="CE22" s="481">
        <v>110616851.95</v>
      </c>
      <c r="CF22" s="481">
        <v>110892343.95</v>
      </c>
      <c r="CG22" s="481">
        <v>90247140</v>
      </c>
      <c r="CH22" s="364">
        <v>92616665.950000003</v>
      </c>
      <c r="CI22" s="367">
        <v>99499733.950000003</v>
      </c>
      <c r="CJ22" s="367">
        <v>100692733.95</v>
      </c>
      <c r="CK22" s="367">
        <v>102826112.75</v>
      </c>
      <c r="CL22" s="367">
        <v>103299978.75</v>
      </c>
      <c r="CM22" s="367">
        <v>108025662.75</v>
      </c>
      <c r="CN22" s="510">
        <v>108892174.75</v>
      </c>
      <c r="CO22" s="510">
        <v>109688674.75</v>
      </c>
      <c r="CP22" s="510">
        <v>111625174.75</v>
      </c>
    </row>
    <row r="23" spans="1:99" ht="15">
      <c r="A23" s="485" t="s">
        <v>33</v>
      </c>
      <c r="B23" s="323">
        <v>0</v>
      </c>
      <c r="C23" s="324"/>
      <c r="D23" s="324"/>
      <c r="E23" s="324"/>
      <c r="F23" s="324"/>
      <c r="G23" s="324"/>
      <c r="H23" s="324">
        <v>0</v>
      </c>
      <c r="I23" s="324">
        <v>0</v>
      </c>
      <c r="J23" s="324">
        <v>0</v>
      </c>
      <c r="K23" s="324"/>
      <c r="L23" s="476">
        <v>0</v>
      </c>
      <c r="M23" s="476">
        <v>0</v>
      </c>
      <c r="N23" s="476">
        <v>0</v>
      </c>
      <c r="O23" s="476">
        <v>0</v>
      </c>
      <c r="P23" s="476">
        <v>0</v>
      </c>
      <c r="Q23" s="338">
        <v>0</v>
      </c>
      <c r="R23" s="338">
        <v>0</v>
      </c>
      <c r="S23" s="338">
        <v>0</v>
      </c>
      <c r="T23" s="324"/>
      <c r="U23" s="338">
        <v>0</v>
      </c>
      <c r="V23" s="338">
        <v>0</v>
      </c>
      <c r="W23" s="338">
        <v>0</v>
      </c>
      <c r="X23" s="338">
        <v>0</v>
      </c>
      <c r="Y23" s="338">
        <v>0</v>
      </c>
      <c r="Z23" s="338">
        <v>0</v>
      </c>
      <c r="AA23" s="338">
        <v>0</v>
      </c>
      <c r="AB23" s="338">
        <v>0</v>
      </c>
      <c r="AC23" s="338">
        <v>2415000</v>
      </c>
      <c r="AD23" s="338">
        <v>2415000</v>
      </c>
      <c r="AE23" s="329">
        <v>2415000</v>
      </c>
      <c r="AF23" s="329">
        <v>2415000</v>
      </c>
      <c r="AG23" s="335"/>
      <c r="AH23" s="344">
        <v>2415000</v>
      </c>
      <c r="AI23" s="344">
        <v>2415000</v>
      </c>
      <c r="AJ23" s="344">
        <v>2415000</v>
      </c>
      <c r="AK23" s="344">
        <v>2415000</v>
      </c>
      <c r="AL23" s="344">
        <v>2415000</v>
      </c>
      <c r="AM23" s="344">
        <v>2415000</v>
      </c>
      <c r="AN23" s="344">
        <v>2415000</v>
      </c>
      <c r="AO23" s="344">
        <v>2415000</v>
      </c>
      <c r="AP23" s="344">
        <v>2415000</v>
      </c>
      <c r="AQ23" s="344">
        <v>2415000</v>
      </c>
      <c r="AR23" s="477">
        <v>2415000</v>
      </c>
      <c r="AS23" s="344">
        <v>2415000</v>
      </c>
      <c r="AT23" s="338">
        <v>0</v>
      </c>
      <c r="AU23" s="479">
        <v>2595000</v>
      </c>
      <c r="AV23" s="479">
        <v>2595000</v>
      </c>
      <c r="AW23" s="479">
        <v>2595000</v>
      </c>
      <c r="AX23" s="479">
        <v>2608200</v>
      </c>
      <c r="AY23" s="479">
        <v>2608200</v>
      </c>
      <c r="AZ23" s="479">
        <v>2608200</v>
      </c>
      <c r="BA23" s="479">
        <v>2608200</v>
      </c>
      <c r="BB23" s="338">
        <v>2608200</v>
      </c>
      <c r="BC23" s="479">
        <v>2620000</v>
      </c>
      <c r="BD23" s="479">
        <v>2620000</v>
      </c>
      <c r="BE23" s="479">
        <v>2620000</v>
      </c>
      <c r="BF23" s="479">
        <v>2620000</v>
      </c>
      <c r="BG23" s="366">
        <v>0</v>
      </c>
      <c r="BH23" s="362">
        <v>2620000</v>
      </c>
      <c r="BI23" s="362">
        <v>2620000</v>
      </c>
      <c r="BJ23" s="362">
        <v>2620000</v>
      </c>
      <c r="BK23" s="362">
        <v>2620000</v>
      </c>
      <c r="BL23" s="362">
        <v>2620000</v>
      </c>
      <c r="BM23" s="362">
        <v>2620000</v>
      </c>
      <c r="BN23" s="362">
        <v>2620000</v>
      </c>
      <c r="BO23" s="362">
        <v>2620000</v>
      </c>
      <c r="BP23" s="362">
        <v>2620000</v>
      </c>
      <c r="BQ23" s="362">
        <v>2620000</v>
      </c>
      <c r="BR23" s="362">
        <v>2620000</v>
      </c>
      <c r="BS23" s="362">
        <v>2620000</v>
      </c>
      <c r="BT23" s="362"/>
      <c r="BU23" s="480">
        <v>2620000</v>
      </c>
      <c r="BV23" s="480">
        <v>2620000</v>
      </c>
      <c r="BW23" s="480">
        <v>2620000</v>
      </c>
      <c r="BX23" s="480">
        <v>2620000</v>
      </c>
      <c r="BY23" s="330">
        <v>2620000</v>
      </c>
      <c r="BZ23" s="330">
        <v>2620000</v>
      </c>
      <c r="CA23" s="330">
        <v>2620000</v>
      </c>
      <c r="CB23" s="468">
        <v>2620000</v>
      </c>
      <c r="CC23" s="481">
        <v>2620000</v>
      </c>
      <c r="CD23" s="481">
        <v>2620000</v>
      </c>
      <c r="CE23" s="481">
        <v>2620000</v>
      </c>
      <c r="CF23" s="481">
        <v>2620000</v>
      </c>
      <c r="CG23" s="481"/>
      <c r="CH23" s="364">
        <v>2620000</v>
      </c>
      <c r="CI23" s="367">
        <v>2620000</v>
      </c>
      <c r="CJ23" s="367">
        <v>2620000</v>
      </c>
      <c r="CK23" s="367">
        <v>2620000</v>
      </c>
      <c r="CL23" s="367">
        <v>3370000</v>
      </c>
      <c r="CM23" s="367">
        <v>3370000</v>
      </c>
      <c r="CN23" s="510">
        <v>3370000</v>
      </c>
      <c r="CO23" s="510">
        <v>2920000</v>
      </c>
      <c r="CP23" s="510">
        <v>2920000</v>
      </c>
    </row>
    <row r="24" spans="1:99" ht="15">
      <c r="A24" s="485" t="s">
        <v>34</v>
      </c>
      <c r="B24" s="323">
        <v>0</v>
      </c>
      <c r="C24" s="324"/>
      <c r="D24" s="324"/>
      <c r="E24" s="324"/>
      <c r="F24" s="324">
        <v>14450383</v>
      </c>
      <c r="G24" s="324"/>
      <c r="H24" s="324">
        <v>0</v>
      </c>
      <c r="I24" s="324">
        <v>27509216.050000001</v>
      </c>
      <c r="J24" s="324">
        <v>27509216.050000001</v>
      </c>
      <c r="K24" s="324">
        <v>27509216.050000001</v>
      </c>
      <c r="L24" s="476">
        <v>27509216.050000001</v>
      </c>
      <c r="M24" s="476">
        <v>27509216.050000001</v>
      </c>
      <c r="N24" s="476">
        <v>28147216.050000001</v>
      </c>
      <c r="O24" s="476">
        <v>28147216.050000001</v>
      </c>
      <c r="P24" s="476">
        <v>28147216.050000001</v>
      </c>
      <c r="Q24" s="338">
        <v>28147216.050000001</v>
      </c>
      <c r="R24" s="338">
        <v>28161716.050000001</v>
      </c>
      <c r="S24" s="338">
        <v>28161716.050000001</v>
      </c>
      <c r="T24" s="324">
        <v>22007373</v>
      </c>
      <c r="U24" s="338">
        <v>56323432.100000001</v>
      </c>
      <c r="V24" s="338">
        <v>22659873.760000002</v>
      </c>
      <c r="W24" s="338">
        <v>22659873.760000002</v>
      </c>
      <c r="X24" s="338">
        <v>0</v>
      </c>
      <c r="Y24" s="338">
        <v>0</v>
      </c>
      <c r="Z24" s="338">
        <v>0</v>
      </c>
      <c r="AA24" s="338">
        <v>0</v>
      </c>
      <c r="AB24" s="338">
        <v>22659873.760000002</v>
      </c>
      <c r="AC24" s="338">
        <v>22659873.760000002</v>
      </c>
      <c r="AD24" s="338">
        <v>22659873.760000002</v>
      </c>
      <c r="AE24" s="329">
        <v>22659873.760000002</v>
      </c>
      <c r="AF24" s="329">
        <v>22659873.760000002</v>
      </c>
      <c r="AG24" s="325">
        <v>17605898.453226671</v>
      </c>
      <c r="AH24" s="344">
        <v>22659873.760000002</v>
      </c>
      <c r="AI24" s="344">
        <v>18258398.760000002</v>
      </c>
      <c r="AJ24" s="344">
        <v>18258398.760000002</v>
      </c>
      <c r="AK24" s="344">
        <v>18258398.760000002</v>
      </c>
      <c r="AL24" s="344">
        <v>18258398.760000002</v>
      </c>
      <c r="AM24" s="344">
        <v>18258398.760000002</v>
      </c>
      <c r="AN24" s="344">
        <v>18258398.760000002</v>
      </c>
      <c r="AO24" s="344">
        <v>18258398.760000002</v>
      </c>
      <c r="AP24" s="344">
        <v>18258398.760000002</v>
      </c>
      <c r="AQ24" s="344">
        <v>18258398.760000002</v>
      </c>
      <c r="AR24" s="477">
        <v>18258398.760000002</v>
      </c>
      <c r="AS24" s="344">
        <v>18258398.760000002</v>
      </c>
      <c r="AT24" s="327">
        <v>18498997</v>
      </c>
      <c r="AU24" s="479">
        <v>18258398.760000002</v>
      </c>
      <c r="AV24" s="479">
        <v>30161998.760000002</v>
      </c>
      <c r="AW24" s="479">
        <v>30161998.760000002</v>
      </c>
      <c r="AX24" s="479">
        <v>30161998.760000002</v>
      </c>
      <c r="AY24" s="479">
        <v>22076798.760000002</v>
      </c>
      <c r="AZ24" s="479">
        <v>22076798.760000002</v>
      </c>
      <c r="BA24" s="479">
        <v>22076798.760000002</v>
      </c>
      <c r="BB24" s="338">
        <v>22076798.760000002</v>
      </c>
      <c r="BC24" s="479">
        <v>23246398.760000002</v>
      </c>
      <c r="BD24" s="479">
        <v>28196414.760000002</v>
      </c>
      <c r="BE24" s="479">
        <v>28130294.760000002</v>
      </c>
      <c r="BF24" s="479">
        <v>28370892.760000002</v>
      </c>
      <c r="BG24" s="358">
        <v>23460394</v>
      </c>
      <c r="BH24" s="362">
        <v>28370892.760000002</v>
      </c>
      <c r="BI24" s="362">
        <v>23460693.760000002</v>
      </c>
      <c r="BJ24" s="362">
        <v>23460693.760000002</v>
      </c>
      <c r="BK24" s="362">
        <v>23460693.760000002</v>
      </c>
      <c r="BL24" s="362">
        <v>23460693.760000002</v>
      </c>
      <c r="BM24" s="362">
        <v>23460693.760000002</v>
      </c>
      <c r="BN24" s="362">
        <v>23460693.760000002</v>
      </c>
      <c r="BO24" s="362">
        <v>23662343.760000002</v>
      </c>
      <c r="BP24" s="362">
        <v>23662343.760000002</v>
      </c>
      <c r="BQ24" s="362">
        <v>23675293.760000002</v>
      </c>
      <c r="BR24" s="362">
        <v>23675293.760000002</v>
      </c>
      <c r="BS24" s="362">
        <v>25484763.760000002</v>
      </c>
      <c r="BT24" s="362">
        <v>20387812</v>
      </c>
      <c r="BU24" s="480">
        <v>20387811.760000002</v>
      </c>
      <c r="BV24" s="480">
        <v>20387811.760000002</v>
      </c>
      <c r="BW24" s="480">
        <v>20847231.760000002</v>
      </c>
      <c r="BX24" s="480">
        <v>20861611.760000002</v>
      </c>
      <c r="BY24" s="330">
        <v>23241491.760000002</v>
      </c>
      <c r="BZ24" s="330">
        <v>25148853.760000002</v>
      </c>
      <c r="CA24" s="330">
        <v>34138748.759999998</v>
      </c>
      <c r="CB24" s="468">
        <v>41760456.460000001</v>
      </c>
      <c r="CC24" s="481">
        <v>42016628.460000001</v>
      </c>
      <c r="CD24" s="481">
        <v>42016628.460000001</v>
      </c>
      <c r="CE24" s="481">
        <v>44372100.460000001</v>
      </c>
      <c r="CF24" s="481">
        <v>45073695.460000001</v>
      </c>
      <c r="CG24" s="481">
        <v>36058956</v>
      </c>
      <c r="CH24" s="364">
        <v>37258306.460000001</v>
      </c>
      <c r="CI24" s="367">
        <v>38463276.460000001</v>
      </c>
      <c r="CJ24" s="367">
        <v>39399096.460000001</v>
      </c>
      <c r="CK24" s="367">
        <v>40895475.460000001</v>
      </c>
      <c r="CL24" s="367">
        <v>41690372.460000001</v>
      </c>
      <c r="CM24" s="367">
        <v>42947602.460000001</v>
      </c>
      <c r="CN24" s="510">
        <v>42969422.460000001</v>
      </c>
      <c r="CO24" s="510">
        <v>44127014.460000001</v>
      </c>
      <c r="CP24" s="510">
        <v>44127014.460000001</v>
      </c>
    </row>
    <row r="25" spans="1:99" ht="15">
      <c r="A25" s="485" t="s">
        <v>35</v>
      </c>
      <c r="B25" s="323">
        <v>0</v>
      </c>
      <c r="C25" s="324"/>
      <c r="D25" s="324"/>
      <c r="E25" s="324"/>
      <c r="F25" s="324"/>
      <c r="G25" s="324"/>
      <c r="H25" s="324">
        <v>0</v>
      </c>
      <c r="I25" s="324">
        <v>0</v>
      </c>
      <c r="J25" s="324">
        <v>0</v>
      </c>
      <c r="K25" s="324"/>
      <c r="L25" s="476">
        <v>0</v>
      </c>
      <c r="M25" s="476">
        <v>0</v>
      </c>
      <c r="N25" s="476">
        <v>0</v>
      </c>
      <c r="O25" s="476">
        <v>0</v>
      </c>
      <c r="P25" s="476">
        <v>0</v>
      </c>
      <c r="Q25" s="338">
        <v>0</v>
      </c>
      <c r="R25" s="338">
        <v>0</v>
      </c>
      <c r="S25" s="338">
        <v>0</v>
      </c>
      <c r="T25" s="324"/>
      <c r="U25" s="338">
        <v>0</v>
      </c>
      <c r="V25" s="338">
        <v>0</v>
      </c>
      <c r="W25" s="338">
        <v>0</v>
      </c>
      <c r="X25" s="338">
        <v>22659873.760000002</v>
      </c>
      <c r="Y25" s="338">
        <v>22659873.760000002</v>
      </c>
      <c r="Z25" s="338">
        <v>22659873.760000002</v>
      </c>
      <c r="AA25" s="338">
        <v>22659873.760000002</v>
      </c>
      <c r="AB25" s="338">
        <v>0</v>
      </c>
      <c r="AC25" s="338">
        <v>0</v>
      </c>
      <c r="AD25" s="338">
        <v>0</v>
      </c>
      <c r="AE25" s="329">
        <v>0</v>
      </c>
      <c r="AF25" s="329">
        <v>0</v>
      </c>
      <c r="AG25" s="329">
        <v>0</v>
      </c>
      <c r="AH25" s="344">
        <v>0</v>
      </c>
      <c r="AI25" s="344">
        <v>0</v>
      </c>
      <c r="AJ25" s="344">
        <v>0</v>
      </c>
      <c r="AK25" s="344">
        <v>0</v>
      </c>
      <c r="AL25" s="344">
        <v>0</v>
      </c>
      <c r="AM25" s="344">
        <v>0</v>
      </c>
      <c r="AN25" s="344">
        <v>0</v>
      </c>
      <c r="AO25" s="344">
        <v>0</v>
      </c>
      <c r="AP25" s="344">
        <v>0</v>
      </c>
      <c r="AQ25" s="344">
        <v>0</v>
      </c>
      <c r="AR25" s="344">
        <v>0</v>
      </c>
      <c r="AS25" s="344">
        <v>0</v>
      </c>
      <c r="AT25" s="338">
        <v>0</v>
      </c>
      <c r="AU25" s="479">
        <v>0</v>
      </c>
      <c r="AV25" s="479">
        <v>0</v>
      </c>
      <c r="AW25" s="479">
        <v>0</v>
      </c>
      <c r="AX25" s="479">
        <v>0</v>
      </c>
      <c r="AY25" s="479">
        <v>0</v>
      </c>
      <c r="AZ25" s="479">
        <v>0</v>
      </c>
      <c r="BA25" s="479">
        <v>0</v>
      </c>
      <c r="BB25" s="338">
        <v>0</v>
      </c>
      <c r="BC25" s="479">
        <v>0</v>
      </c>
      <c r="BD25" s="479">
        <v>0</v>
      </c>
      <c r="BE25" s="479">
        <v>0</v>
      </c>
      <c r="BF25" s="479">
        <v>0</v>
      </c>
      <c r="BG25" s="366">
        <v>0</v>
      </c>
      <c r="BH25" s="362">
        <v>0</v>
      </c>
      <c r="BI25" s="362">
        <v>0</v>
      </c>
      <c r="BJ25" s="362">
        <v>0</v>
      </c>
      <c r="BK25" s="362">
        <v>0</v>
      </c>
      <c r="BL25" s="362">
        <v>0</v>
      </c>
      <c r="BM25" s="362">
        <v>0</v>
      </c>
      <c r="BN25" s="362">
        <v>0</v>
      </c>
      <c r="BO25" s="362">
        <v>0</v>
      </c>
      <c r="BP25" s="362">
        <v>0</v>
      </c>
      <c r="BQ25" s="362">
        <v>0</v>
      </c>
      <c r="BR25" s="362">
        <v>0</v>
      </c>
      <c r="BS25" s="362">
        <v>0</v>
      </c>
      <c r="BT25" s="362"/>
      <c r="BU25" s="486">
        <v>0</v>
      </c>
      <c r="BV25" s="486">
        <v>0</v>
      </c>
      <c r="BW25" s="486">
        <v>0</v>
      </c>
      <c r="BX25" s="486">
        <v>0</v>
      </c>
      <c r="BY25" s="330">
        <v>0</v>
      </c>
      <c r="BZ25" s="330">
        <v>0</v>
      </c>
      <c r="CA25" s="330">
        <v>0</v>
      </c>
      <c r="CB25" s="330">
        <v>0</v>
      </c>
      <c r="CC25" s="481">
        <v>0</v>
      </c>
      <c r="CD25" s="481">
        <v>0</v>
      </c>
      <c r="CE25" s="481">
        <v>0</v>
      </c>
      <c r="CF25" s="481">
        <v>0</v>
      </c>
      <c r="CG25" s="481"/>
      <c r="CH25" s="364">
        <v>0</v>
      </c>
      <c r="CI25" s="367">
        <v>0</v>
      </c>
      <c r="CJ25" s="367">
        <v>0</v>
      </c>
      <c r="CK25" s="367">
        <v>0</v>
      </c>
      <c r="CL25" s="367">
        <v>0</v>
      </c>
      <c r="CM25" s="367">
        <v>0</v>
      </c>
      <c r="CN25" s="509">
        <v>0</v>
      </c>
      <c r="CO25" s="509">
        <v>0</v>
      </c>
      <c r="CP25" s="509">
        <v>0</v>
      </c>
    </row>
    <row r="26" spans="1:99" s="473" customFormat="1">
      <c r="A26" s="332" t="s">
        <v>36</v>
      </c>
      <c r="B26" s="328">
        <f t="shared" ref="B26:BM26" si="9">B4+B7+B8+B13+B16+B20</f>
        <v>1982931000</v>
      </c>
      <c r="C26" s="328">
        <f t="shared" si="9"/>
        <v>2246183000</v>
      </c>
      <c r="D26" s="322">
        <f t="shared" si="9"/>
        <v>2834364933.3000002</v>
      </c>
      <c r="E26" s="322">
        <f t="shared" si="9"/>
        <v>3283953220</v>
      </c>
      <c r="F26" s="322">
        <f t="shared" si="9"/>
        <v>3926234298</v>
      </c>
      <c r="G26" s="322">
        <f t="shared" si="9"/>
        <v>4877108727</v>
      </c>
      <c r="H26" s="322">
        <f t="shared" si="9"/>
        <v>4953974829.4300003</v>
      </c>
      <c r="I26" s="322">
        <f t="shared" si="9"/>
        <v>4866864502.8200006</v>
      </c>
      <c r="J26" s="322">
        <f t="shared" si="9"/>
        <v>4879640277.7399998</v>
      </c>
      <c r="K26" s="322">
        <f t="shared" si="9"/>
        <v>4886947487.3599997</v>
      </c>
      <c r="L26" s="322">
        <f t="shared" si="9"/>
        <v>4935437713.9099998</v>
      </c>
      <c r="M26" s="322">
        <f t="shared" si="9"/>
        <v>5294664862.0800009</v>
      </c>
      <c r="N26" s="322">
        <f t="shared" si="9"/>
        <v>5400762209.1599998</v>
      </c>
      <c r="O26" s="322">
        <f t="shared" si="9"/>
        <v>5630982661.1099997</v>
      </c>
      <c r="P26" s="322">
        <f t="shared" si="9"/>
        <v>5792130746.1499996</v>
      </c>
      <c r="Q26" s="322">
        <f t="shared" si="9"/>
        <v>6046575513.3400002</v>
      </c>
      <c r="R26" s="322">
        <f t="shared" si="9"/>
        <v>6174665569.0899992</v>
      </c>
      <c r="S26" s="322">
        <f t="shared" si="9"/>
        <v>6273906406.329999</v>
      </c>
      <c r="T26" s="322">
        <f t="shared" si="9"/>
        <v>6272656282</v>
      </c>
      <c r="U26" s="322">
        <f t="shared" si="9"/>
        <v>12695850608.18</v>
      </c>
      <c r="V26" s="322">
        <f t="shared" si="9"/>
        <v>6293419553.289999</v>
      </c>
      <c r="W26" s="322">
        <f t="shared" si="9"/>
        <v>6278428271.4499989</v>
      </c>
      <c r="X26" s="322">
        <f t="shared" si="9"/>
        <v>6303800680.4499998</v>
      </c>
      <c r="Y26" s="322">
        <f t="shared" si="9"/>
        <v>6403637568.0300007</v>
      </c>
      <c r="Z26" s="322">
        <f t="shared" si="9"/>
        <v>6529159186.7300005</v>
      </c>
      <c r="AA26" s="322">
        <f t="shared" si="9"/>
        <v>6673158130.54</v>
      </c>
      <c r="AB26" s="322">
        <f t="shared" si="9"/>
        <v>6781665749.3199997</v>
      </c>
      <c r="AC26" s="322">
        <f t="shared" si="9"/>
        <v>6828092902.3800001</v>
      </c>
      <c r="AD26" s="322">
        <f t="shared" si="9"/>
        <v>6944157723.8600006</v>
      </c>
      <c r="AE26" s="322">
        <f t="shared" si="9"/>
        <v>7066885233.5299997</v>
      </c>
      <c r="AF26" s="322">
        <f t="shared" si="9"/>
        <v>7215660232.3800001</v>
      </c>
      <c r="AG26" s="322">
        <f t="shared" si="9"/>
        <v>7163955474.5334568</v>
      </c>
      <c r="AH26" s="322">
        <f t="shared" si="9"/>
        <v>7331955092.3500004</v>
      </c>
      <c r="AI26" s="322">
        <f t="shared" si="9"/>
        <v>7180625058.4099998</v>
      </c>
      <c r="AJ26" s="322">
        <f t="shared" si="9"/>
        <v>7207053514.3699999</v>
      </c>
      <c r="AK26" s="322">
        <f t="shared" si="9"/>
        <v>7158706905.8499994</v>
      </c>
      <c r="AL26" s="322">
        <f t="shared" si="9"/>
        <v>7225437786.54</v>
      </c>
      <c r="AM26" s="322">
        <f t="shared" si="9"/>
        <v>7355165722.75</v>
      </c>
      <c r="AN26" s="322">
        <f t="shared" si="9"/>
        <v>7519411618.29</v>
      </c>
      <c r="AO26" s="322">
        <f t="shared" si="9"/>
        <v>7529473432.5499992</v>
      </c>
      <c r="AP26" s="322">
        <f t="shared" si="9"/>
        <v>7580705105.0599995</v>
      </c>
      <c r="AQ26" s="322">
        <f t="shared" si="9"/>
        <v>7676116920.1999998</v>
      </c>
      <c r="AR26" s="322">
        <f t="shared" si="9"/>
        <v>7813306931.8699989</v>
      </c>
      <c r="AS26" s="322">
        <f t="shared" si="9"/>
        <v>7958553070.75</v>
      </c>
      <c r="AT26" s="322">
        <f t="shared" si="9"/>
        <v>7940582606</v>
      </c>
      <c r="AU26" s="322">
        <f t="shared" si="9"/>
        <v>8058733374.75</v>
      </c>
      <c r="AV26" s="322">
        <f t="shared" si="9"/>
        <v>7904639148.6399994</v>
      </c>
      <c r="AW26" s="322">
        <f t="shared" si="9"/>
        <v>7861669210.96</v>
      </c>
      <c r="AX26" s="322">
        <f t="shared" si="9"/>
        <v>8014244980.5199995</v>
      </c>
      <c r="AY26" s="322">
        <f t="shared" si="9"/>
        <v>8083153633.4299994</v>
      </c>
      <c r="AZ26" s="322">
        <f t="shared" si="9"/>
        <v>8179515622.0900002</v>
      </c>
      <c r="BA26" s="322">
        <f t="shared" si="9"/>
        <v>8335291581.7800007</v>
      </c>
      <c r="BB26" s="322">
        <f t="shared" si="9"/>
        <v>8483821890.6899996</v>
      </c>
      <c r="BC26" s="322">
        <f t="shared" si="9"/>
        <v>8575025089.0299988</v>
      </c>
      <c r="BD26" s="322">
        <f t="shared" si="9"/>
        <v>8704786700.3000011</v>
      </c>
      <c r="BE26" s="322">
        <f t="shared" si="9"/>
        <v>8788986102.3800011</v>
      </c>
      <c r="BF26" s="322">
        <f t="shared" si="9"/>
        <v>8960915139.6299992</v>
      </c>
      <c r="BG26" s="363">
        <f t="shared" si="9"/>
        <v>8917753738</v>
      </c>
      <c r="BH26" s="322">
        <f t="shared" si="9"/>
        <v>8894980455.4499989</v>
      </c>
      <c r="BI26" s="322">
        <f t="shared" si="9"/>
        <v>8769228747.6400013</v>
      </c>
      <c r="BJ26" s="322">
        <f t="shared" si="9"/>
        <v>8831611969.460001</v>
      </c>
      <c r="BK26" s="322">
        <f t="shared" si="9"/>
        <v>8920981889.6200008</v>
      </c>
      <c r="BL26" s="322">
        <f t="shared" si="9"/>
        <v>9054255828.6299992</v>
      </c>
      <c r="BM26" s="322">
        <f t="shared" si="9"/>
        <v>9144113825.8099995</v>
      </c>
      <c r="BN26" s="322">
        <f t="shared" ref="BN26:CT26" si="10">BN4+BN7+BN8+BN13+BN16+BN20</f>
        <v>9488057860.3799992</v>
      </c>
      <c r="BO26" s="322">
        <f t="shared" si="10"/>
        <v>9546849383.0299988</v>
      </c>
      <c r="BP26" s="322">
        <f t="shared" si="10"/>
        <v>9742609043.9399986</v>
      </c>
      <c r="BQ26" s="322">
        <f t="shared" si="10"/>
        <v>9941842292.3499985</v>
      </c>
      <c r="BR26" s="322">
        <f t="shared" si="10"/>
        <v>10102018753.900002</v>
      </c>
      <c r="BS26" s="322">
        <f t="shared" si="10"/>
        <v>10282563178.42</v>
      </c>
      <c r="BT26" s="322">
        <f t="shared" si="10"/>
        <v>10412328501</v>
      </c>
      <c r="BU26" s="322">
        <f t="shared" si="10"/>
        <v>10102949426.960001</v>
      </c>
      <c r="BV26" s="322">
        <f t="shared" si="10"/>
        <v>10124501010</v>
      </c>
      <c r="BW26" s="322">
        <f t="shared" si="10"/>
        <v>10196511172.27</v>
      </c>
      <c r="BX26" s="322">
        <f t="shared" si="10"/>
        <v>10259403911.360001</v>
      </c>
      <c r="BY26" s="322">
        <f t="shared" si="10"/>
        <v>10491916009.68</v>
      </c>
      <c r="BZ26" s="322">
        <f t="shared" si="10"/>
        <v>10654682287.640001</v>
      </c>
      <c r="CA26" s="322">
        <f t="shared" si="10"/>
        <v>10928961507.690001</v>
      </c>
      <c r="CB26" s="322">
        <f t="shared" si="10"/>
        <v>11073144119.74</v>
      </c>
      <c r="CC26" s="322">
        <f t="shared" si="10"/>
        <v>11167904048.699999</v>
      </c>
      <c r="CD26" s="322">
        <f t="shared" si="10"/>
        <v>11360376177.07</v>
      </c>
      <c r="CE26" s="322">
        <f t="shared" si="10"/>
        <v>11573387053.219999</v>
      </c>
      <c r="CF26" s="322">
        <f t="shared" si="10"/>
        <v>11755598950.74</v>
      </c>
      <c r="CG26" s="322">
        <f t="shared" si="10"/>
        <v>11766817996</v>
      </c>
      <c r="CH26" s="363">
        <f t="shared" si="10"/>
        <v>11430338487.999998</v>
      </c>
      <c r="CI26" s="363">
        <f t="shared" si="10"/>
        <v>11423334567.499998</v>
      </c>
      <c r="CJ26" s="363">
        <f t="shared" si="10"/>
        <v>11482250399.979998</v>
      </c>
      <c r="CK26" s="363">
        <f t="shared" si="10"/>
        <v>11634051365.549999</v>
      </c>
      <c r="CL26" s="363">
        <f t="shared" si="10"/>
        <v>11785316253.710001</v>
      </c>
      <c r="CM26" s="363">
        <f t="shared" si="10"/>
        <v>12161977085.75</v>
      </c>
      <c r="CN26" s="322">
        <f t="shared" si="10"/>
        <v>12479134498.380001</v>
      </c>
      <c r="CO26" s="322">
        <f t="shared" si="10"/>
        <v>12719877940.889999</v>
      </c>
      <c r="CP26" s="322">
        <f t="shared" si="10"/>
        <v>12823136525.380001</v>
      </c>
      <c r="CQ26" s="322">
        <f t="shared" si="10"/>
        <v>0</v>
      </c>
      <c r="CR26" s="322">
        <f t="shared" si="10"/>
        <v>0</v>
      </c>
      <c r="CS26" s="322">
        <f t="shared" si="10"/>
        <v>0</v>
      </c>
      <c r="CT26" s="322">
        <f t="shared" si="10"/>
        <v>0</v>
      </c>
    </row>
    <row r="27" spans="1:99">
      <c r="A27" s="487" t="s">
        <v>37</v>
      </c>
      <c r="B27" s="323"/>
      <c r="C27" s="324"/>
      <c r="D27" s="336"/>
      <c r="E27" s="336"/>
      <c r="F27" s="336"/>
      <c r="G27" s="336"/>
      <c r="H27" s="336"/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  <c r="AA27" s="336"/>
      <c r="AB27" s="336"/>
      <c r="AC27" s="336"/>
      <c r="AD27" s="336"/>
      <c r="AE27" s="336"/>
      <c r="AF27" s="336"/>
      <c r="AG27" s="336"/>
      <c r="AH27" s="336"/>
      <c r="AI27" s="336"/>
      <c r="AJ27" s="336"/>
      <c r="AK27" s="336"/>
      <c r="AL27" s="336"/>
      <c r="AM27" s="336"/>
      <c r="AN27" s="336"/>
      <c r="AO27" s="336"/>
      <c r="AP27" s="336"/>
      <c r="AQ27" s="336"/>
      <c r="AR27" s="336"/>
      <c r="AS27" s="336"/>
      <c r="AT27" s="336"/>
      <c r="AU27" s="336"/>
      <c r="AV27" s="336"/>
      <c r="AW27" s="336"/>
      <c r="AX27" s="336"/>
      <c r="AY27" s="336"/>
      <c r="AZ27" s="336"/>
      <c r="BA27" s="336"/>
      <c r="BB27" s="336"/>
      <c r="BC27" s="336"/>
      <c r="BD27" s="336"/>
      <c r="BE27" s="336"/>
      <c r="BF27" s="336"/>
      <c r="BG27" s="371"/>
      <c r="BU27" s="480"/>
      <c r="BV27" s="480"/>
      <c r="BW27" s="480"/>
      <c r="BX27" s="480"/>
      <c r="CC27" s="488"/>
      <c r="CD27" s="488"/>
      <c r="CE27" s="488"/>
      <c r="CF27" s="488"/>
      <c r="CG27" s="488"/>
      <c r="CH27" s="364"/>
      <c r="CI27" s="367"/>
      <c r="CJ27" s="367"/>
      <c r="CK27" s="367"/>
      <c r="CL27" s="367"/>
      <c r="CM27" s="367"/>
    </row>
    <row r="28" spans="1:99" ht="28.9" customHeight="1">
      <c r="A28" s="485" t="s">
        <v>38</v>
      </c>
      <c r="B28" s="323">
        <v>231784000</v>
      </c>
      <c r="C28" s="324">
        <v>295250000</v>
      </c>
      <c r="D28" s="324">
        <f>255216000+25824000</f>
        <v>281040000</v>
      </c>
      <c r="E28" s="324">
        <f>340104982+130154418</f>
        <v>470259400</v>
      </c>
      <c r="F28" s="324">
        <f>802585086-93508240</f>
        <v>709076846</v>
      </c>
      <c r="G28" s="324">
        <f>1039952796-169467928</f>
        <v>870484868</v>
      </c>
      <c r="H28" s="324">
        <v>663572365.40999997</v>
      </c>
      <c r="I28" s="324">
        <v>857561596.33000004</v>
      </c>
      <c r="J28" s="324">
        <v>778674010.69000006</v>
      </c>
      <c r="K28" s="324">
        <v>706010104.58000004</v>
      </c>
      <c r="L28" s="476">
        <v>674787545.41999996</v>
      </c>
      <c r="M28" s="338">
        <v>755204503.19000006</v>
      </c>
      <c r="N28" s="338">
        <v>774496259.64999998</v>
      </c>
      <c r="O28" s="338">
        <v>791826592.03999996</v>
      </c>
      <c r="P28" s="338">
        <v>754393049.48000002</v>
      </c>
      <c r="Q28" s="338">
        <v>800769580.61000001</v>
      </c>
      <c r="R28" s="338">
        <v>838894952.83000004</v>
      </c>
      <c r="S28" s="338">
        <v>846387117.15999997</v>
      </c>
      <c r="T28" s="337">
        <f>845689214+166870517</f>
        <v>1012559731</v>
      </c>
      <c r="U28" s="337">
        <v>1649608808.4200001</v>
      </c>
      <c r="V28" s="337">
        <v>1072799054.71</v>
      </c>
      <c r="W28" s="337">
        <v>941187128.21000004</v>
      </c>
      <c r="X28" s="338">
        <v>863610888.03999996</v>
      </c>
      <c r="Y28" s="338">
        <v>900297501.40999997</v>
      </c>
      <c r="Z28" s="338">
        <v>900601250.89999998</v>
      </c>
      <c r="AA28" s="330">
        <v>931755105.29999995</v>
      </c>
      <c r="AB28" s="337">
        <v>840874440.98000002</v>
      </c>
      <c r="AC28" s="337">
        <v>836693990.44000006</v>
      </c>
      <c r="AD28" s="337">
        <v>839861334.02999997</v>
      </c>
      <c r="AE28" s="337">
        <v>844789927.78999996</v>
      </c>
      <c r="AF28" s="337">
        <v>866894401.14999998</v>
      </c>
      <c r="AG28" s="337">
        <v>1113131850</v>
      </c>
      <c r="AH28" s="344">
        <v>869817071.60000002</v>
      </c>
      <c r="AI28" s="344">
        <v>1102211982.9100001</v>
      </c>
      <c r="AJ28" s="344">
        <v>1017121779.39</v>
      </c>
      <c r="AK28" s="344">
        <v>960833869.53999996</v>
      </c>
      <c r="AL28" s="344">
        <v>938095400.72000003</v>
      </c>
      <c r="AM28" s="344">
        <v>946140146.12</v>
      </c>
      <c r="AN28" s="344">
        <v>1024064459.36</v>
      </c>
      <c r="AO28" s="344">
        <v>982449565.03999996</v>
      </c>
      <c r="AP28" s="344">
        <v>994838113.33000004</v>
      </c>
      <c r="AQ28" s="344">
        <v>1056755724.4</v>
      </c>
      <c r="AR28" s="344">
        <v>1021091083.5700001</v>
      </c>
      <c r="AS28" s="344">
        <v>1068718094</v>
      </c>
      <c r="AT28" s="327">
        <v>1044401969</v>
      </c>
      <c r="AU28" s="479">
        <v>1052132198.9400001</v>
      </c>
      <c r="AV28" s="479">
        <v>1376623834.01</v>
      </c>
      <c r="AW28" s="479">
        <v>1215631700.0899999</v>
      </c>
      <c r="AX28" s="479">
        <v>1259949508.0999999</v>
      </c>
      <c r="AY28" s="479">
        <v>1193577407.22</v>
      </c>
      <c r="AZ28" s="479">
        <v>1244612481.1700001</v>
      </c>
      <c r="BA28" s="479">
        <v>1259296217.8099999</v>
      </c>
      <c r="BB28" s="338">
        <v>1264536985.22</v>
      </c>
      <c r="BC28" s="479">
        <v>1240493081.6900001</v>
      </c>
      <c r="BD28" s="479">
        <v>1223448215.72</v>
      </c>
      <c r="BE28" s="479">
        <v>1169444966.72</v>
      </c>
      <c r="BF28" s="479">
        <v>1261394324.4100001</v>
      </c>
      <c r="BG28" s="367">
        <v>1316646547</v>
      </c>
      <c r="BH28" s="362">
        <v>1720696726.04</v>
      </c>
      <c r="BI28" s="362">
        <v>1471423510.01</v>
      </c>
      <c r="BJ28" s="362">
        <v>1408192628.5799999</v>
      </c>
      <c r="BK28" s="362">
        <v>1390799185.55</v>
      </c>
      <c r="BL28" s="362">
        <v>1341003982.77</v>
      </c>
      <c r="BM28" s="362">
        <v>1289740571.1900001</v>
      </c>
      <c r="BN28" s="362">
        <v>1447855320.0899999</v>
      </c>
      <c r="BO28" s="362">
        <v>1399909784.6300001</v>
      </c>
      <c r="BP28" s="362">
        <v>1431311463.03</v>
      </c>
      <c r="BQ28" s="362">
        <v>1452574300.21</v>
      </c>
      <c r="BR28" s="362">
        <v>1448392383.9300001</v>
      </c>
      <c r="BS28" s="362">
        <v>1471281887.0999999</v>
      </c>
      <c r="BT28" s="362">
        <v>1523215887</v>
      </c>
      <c r="BU28" s="480">
        <v>1894127939.78</v>
      </c>
      <c r="BV28" s="480">
        <v>1734889616.6500001</v>
      </c>
      <c r="BW28" s="480">
        <v>1677132442.1199999</v>
      </c>
      <c r="BX28" s="480">
        <v>1559599518.55</v>
      </c>
      <c r="BY28" s="330">
        <v>1577858600.9300001</v>
      </c>
      <c r="BZ28" s="330">
        <v>1561895044.5599999</v>
      </c>
      <c r="CA28" s="330">
        <v>1640402778.77</v>
      </c>
      <c r="CB28" s="468">
        <v>1580574389.1400001</v>
      </c>
      <c r="CC28" s="481">
        <v>1489211113</v>
      </c>
      <c r="CD28" s="481">
        <v>1462432233.3900001</v>
      </c>
      <c r="CE28" s="481">
        <v>1463585484.52</v>
      </c>
      <c r="CF28" s="481">
        <v>1494071788.7</v>
      </c>
      <c r="CG28" s="481">
        <v>1551178695</v>
      </c>
      <c r="CH28" s="364">
        <v>1909320940.97</v>
      </c>
      <c r="CI28" s="367">
        <v>1740570161.24</v>
      </c>
      <c r="CJ28" s="367">
        <v>1635299239.54</v>
      </c>
      <c r="CK28" s="367">
        <v>1595603597.8399999</v>
      </c>
      <c r="CL28" s="367">
        <v>1532192931.02</v>
      </c>
      <c r="CM28" s="367">
        <v>1570404243.1700001</v>
      </c>
      <c r="CN28" s="508">
        <v>1642179606.99</v>
      </c>
      <c r="CO28" s="508">
        <v>1649722404.1099999</v>
      </c>
      <c r="CP28" s="508">
        <v>1519961470.1199999</v>
      </c>
    </row>
    <row r="29" spans="1:99" ht="17.45" customHeight="1">
      <c r="A29" s="485" t="s">
        <v>39</v>
      </c>
      <c r="B29" s="323">
        <v>0</v>
      </c>
      <c r="C29" s="324"/>
      <c r="D29" s="324">
        <v>108217000</v>
      </c>
      <c r="E29" s="324">
        <f>38697335+57549083</f>
        <v>96246418</v>
      </c>
      <c r="F29" s="324">
        <v>93508240</v>
      </c>
      <c r="G29" s="324">
        <v>169467928</v>
      </c>
      <c r="H29" s="324">
        <v>0</v>
      </c>
      <c r="I29" s="324">
        <v>0</v>
      </c>
      <c r="J29" s="324">
        <v>0</v>
      </c>
      <c r="K29" s="324"/>
      <c r="L29" s="476">
        <v>0</v>
      </c>
      <c r="M29" s="338">
        <v>0</v>
      </c>
      <c r="N29" s="338">
        <v>0</v>
      </c>
      <c r="O29" s="338">
        <v>0</v>
      </c>
      <c r="P29" s="338">
        <v>0</v>
      </c>
      <c r="Q29" s="338">
        <v>0</v>
      </c>
      <c r="R29" s="338">
        <v>0</v>
      </c>
      <c r="S29" s="338">
        <v>0</v>
      </c>
      <c r="T29" s="337">
        <f>270087385+89041333</f>
        <v>359128718</v>
      </c>
      <c r="U29" s="337">
        <v>0</v>
      </c>
      <c r="V29" s="337">
        <v>0</v>
      </c>
      <c r="W29" s="337">
        <v>0</v>
      </c>
      <c r="X29" s="337">
        <v>0</v>
      </c>
      <c r="Y29" s="337">
        <v>0</v>
      </c>
      <c r="Z29" s="337">
        <v>0</v>
      </c>
      <c r="AA29" s="337">
        <v>0</v>
      </c>
      <c r="AB29" s="337">
        <v>86459307.5</v>
      </c>
      <c r="AC29" s="337">
        <v>82037207</v>
      </c>
      <c r="AD29" s="337">
        <v>79915724</v>
      </c>
      <c r="AE29" s="337">
        <v>80054724</v>
      </c>
      <c r="AF29" s="337">
        <v>75425724</v>
      </c>
      <c r="AG29" s="337">
        <v>533621828</v>
      </c>
      <c r="AH29" s="344">
        <v>77358930</v>
      </c>
      <c r="AI29" s="344">
        <v>68838930</v>
      </c>
      <c r="AJ29" s="344">
        <v>74228892</v>
      </c>
      <c r="AK29" s="344">
        <v>71089475</v>
      </c>
      <c r="AL29" s="344">
        <v>64596429</v>
      </c>
      <c r="AM29" s="344">
        <v>64591175</v>
      </c>
      <c r="AN29" s="344">
        <v>56203245</v>
      </c>
      <c r="AO29" s="344">
        <v>61315273.799999997</v>
      </c>
      <c r="AP29" s="344">
        <v>60074267.200000003</v>
      </c>
      <c r="AQ29" s="344">
        <v>64427021.200000003</v>
      </c>
      <c r="AR29" s="344">
        <v>63457017.200000003</v>
      </c>
      <c r="AS29" s="344">
        <v>63217017.200000003</v>
      </c>
      <c r="AT29" s="327">
        <f>530439545+263432355</f>
        <v>793871900</v>
      </c>
      <c r="AU29" s="479">
        <v>62933135.600000001</v>
      </c>
      <c r="AV29" s="479">
        <v>61358588.799999997</v>
      </c>
      <c r="AW29" s="479">
        <v>56554588.799999997</v>
      </c>
      <c r="AX29" s="479">
        <v>60378565.350000001</v>
      </c>
      <c r="AY29" s="479">
        <v>63495458.200000003</v>
      </c>
      <c r="AZ29" s="479">
        <v>63845458.200000003</v>
      </c>
      <c r="BA29" s="479">
        <v>62675443.899999999</v>
      </c>
      <c r="BB29" s="338">
        <v>61279222.450000003</v>
      </c>
      <c r="BC29" s="479">
        <v>60430222.450000003</v>
      </c>
      <c r="BD29" s="479">
        <v>61920222.450000003</v>
      </c>
      <c r="BE29" s="479">
        <v>59820222.450000003</v>
      </c>
      <c r="BF29" s="479">
        <v>55252222.450000003</v>
      </c>
      <c r="BG29" s="367">
        <v>0</v>
      </c>
      <c r="BH29" s="362">
        <v>56232222.450000003</v>
      </c>
      <c r="BI29" s="362">
        <v>57752222.450000003</v>
      </c>
      <c r="BJ29" s="362">
        <v>57564000</v>
      </c>
      <c r="BK29" s="362">
        <v>59752000</v>
      </c>
      <c r="BL29" s="362">
        <v>58365000</v>
      </c>
      <c r="BM29" s="362">
        <v>58911000</v>
      </c>
      <c r="BN29" s="362">
        <v>61095000</v>
      </c>
      <c r="BO29" s="362">
        <v>61196000</v>
      </c>
      <c r="BP29" s="362">
        <v>61551000</v>
      </c>
      <c r="BQ29" s="362">
        <v>61607000</v>
      </c>
      <c r="BR29" s="362">
        <v>56474000</v>
      </c>
      <c r="BS29" s="362">
        <v>51934000</v>
      </c>
      <c r="BT29" s="362"/>
      <c r="BU29" s="480">
        <v>48428403</v>
      </c>
      <c r="BV29" s="480">
        <v>45108403</v>
      </c>
      <c r="BW29" s="480">
        <v>45572403</v>
      </c>
      <c r="BX29" s="480">
        <v>43641000</v>
      </c>
      <c r="BY29" s="330">
        <v>48173000</v>
      </c>
      <c r="BZ29" s="330">
        <v>50473000</v>
      </c>
      <c r="CA29" s="330">
        <v>47043000</v>
      </c>
      <c r="CB29" s="468">
        <v>46588000</v>
      </c>
      <c r="CC29" s="481">
        <v>42338000</v>
      </c>
      <c r="CD29" s="481">
        <v>44077000</v>
      </c>
      <c r="CE29" s="481">
        <v>48630000</v>
      </c>
      <c r="CF29" s="481">
        <v>45725500</v>
      </c>
      <c r="CG29" s="481">
        <v>45725500</v>
      </c>
      <c r="CH29" s="364">
        <v>44396500</v>
      </c>
      <c r="CI29" s="367">
        <v>45396500</v>
      </c>
      <c r="CJ29" s="367">
        <v>45875200</v>
      </c>
      <c r="CK29" s="367">
        <v>40937200</v>
      </c>
      <c r="CL29" s="367">
        <v>39337200</v>
      </c>
      <c r="CM29" s="367">
        <v>90553000</v>
      </c>
      <c r="CN29" s="510">
        <v>91688000</v>
      </c>
      <c r="CO29" s="510">
        <v>86488000</v>
      </c>
      <c r="CP29" s="510">
        <v>85740000</v>
      </c>
    </row>
    <row r="30" spans="1:99" ht="30.75">
      <c r="A30" s="485" t="s">
        <v>40</v>
      </c>
      <c r="B30" s="323">
        <v>1309041000</v>
      </c>
      <c r="C30" s="324">
        <v>1412967000</v>
      </c>
      <c r="D30" s="324">
        <v>1638628000</v>
      </c>
      <c r="E30" s="324">
        <v>1909635651</v>
      </c>
      <c r="F30" s="324">
        <v>2204621249</v>
      </c>
      <c r="G30" s="324">
        <v>2548520382</v>
      </c>
      <c r="H30" s="324">
        <v>2915668702.9899998</v>
      </c>
      <c r="I30" s="324">
        <v>2949568534.7199998</v>
      </c>
      <c r="J30" s="324">
        <v>3000747102.3200002</v>
      </c>
      <c r="K30" s="324">
        <v>3038082232.2199998</v>
      </c>
      <c r="L30" s="476">
        <v>3086162527.4200001</v>
      </c>
      <c r="M30" s="338">
        <v>3138029423.6700001</v>
      </c>
      <c r="N30" s="338">
        <v>3174951998.3200002</v>
      </c>
      <c r="O30" s="338">
        <v>3231491752.6700001</v>
      </c>
      <c r="P30" s="338">
        <v>3276393464.8499999</v>
      </c>
      <c r="Q30" s="338">
        <v>3325511745.3600001</v>
      </c>
      <c r="R30" s="338">
        <v>3384538922.5300002</v>
      </c>
      <c r="S30" s="338">
        <v>3416672974.0900002</v>
      </c>
      <c r="T30" s="337">
        <v>2979715072</v>
      </c>
      <c r="U30" s="337">
        <v>6947251900.8400002</v>
      </c>
      <c r="V30" s="337">
        <v>3531013769.27</v>
      </c>
      <c r="W30" s="337">
        <v>3605179966.8499999</v>
      </c>
      <c r="X30" s="338">
        <v>3655724830.4000001</v>
      </c>
      <c r="Y30" s="338">
        <v>3691673043.4299998</v>
      </c>
      <c r="Z30" s="338">
        <v>3747015374.9499998</v>
      </c>
      <c r="AA30" s="330">
        <v>3792366999</v>
      </c>
      <c r="AB30" s="337">
        <v>3840876687.5300002</v>
      </c>
      <c r="AC30" s="337">
        <v>3887832450.4000001</v>
      </c>
      <c r="AD30" s="337">
        <v>3946000380.5900002</v>
      </c>
      <c r="AE30" s="337">
        <v>3998352696.48</v>
      </c>
      <c r="AF30" s="337">
        <v>4033286676.1300001</v>
      </c>
      <c r="AG30" s="337">
        <v>3488295940</v>
      </c>
      <c r="AH30" s="344">
        <v>4091183332.0100002</v>
      </c>
      <c r="AI30" s="344">
        <v>4302588718.8500004</v>
      </c>
      <c r="AJ30" s="344">
        <v>4385046215.1300001</v>
      </c>
      <c r="AK30" s="344">
        <v>4412893677.6099997</v>
      </c>
      <c r="AL30" s="344">
        <v>4465951166.4399996</v>
      </c>
      <c r="AM30" s="344">
        <v>4512308196.6400003</v>
      </c>
      <c r="AN30" s="344">
        <v>4571948434.9799995</v>
      </c>
      <c r="AO30" s="344">
        <v>4639492352.4099998</v>
      </c>
      <c r="AP30" s="344">
        <v>4668427408.6899996</v>
      </c>
      <c r="AQ30" s="344">
        <v>4726311722.0100002</v>
      </c>
      <c r="AR30" s="344">
        <v>4818722472.2399998</v>
      </c>
      <c r="AS30" s="344">
        <v>4840990136.5200005</v>
      </c>
      <c r="AT30" s="327">
        <v>4134637410</v>
      </c>
      <c r="AU30" s="479">
        <v>4896428564.3000002</v>
      </c>
      <c r="AV30" s="479">
        <v>4946101069.4099998</v>
      </c>
      <c r="AW30" s="479">
        <v>5026987754.9300003</v>
      </c>
      <c r="AX30" s="479">
        <v>5085853291.1999998</v>
      </c>
      <c r="AY30" s="479">
        <v>5152007523.6300001</v>
      </c>
      <c r="AZ30" s="479">
        <v>5137672400.9099998</v>
      </c>
      <c r="BA30" s="479">
        <v>5223540767.6300001</v>
      </c>
      <c r="BB30" s="338">
        <v>5292153733.2200003</v>
      </c>
      <c r="BC30" s="479">
        <v>5336762778.7600002</v>
      </c>
      <c r="BD30" s="479">
        <v>5397226429.4499998</v>
      </c>
      <c r="BE30" s="479">
        <v>5460701114.6800003</v>
      </c>
      <c r="BF30" s="479">
        <v>5458811311.7700005</v>
      </c>
      <c r="BG30" s="367">
        <v>5458811312</v>
      </c>
      <c r="BH30" s="362">
        <v>5528778995.9099998</v>
      </c>
      <c r="BI30" s="362">
        <v>5616859317.7799997</v>
      </c>
      <c r="BJ30" s="362">
        <v>5696313851.4099998</v>
      </c>
      <c r="BK30" s="362">
        <v>5758653117.3199997</v>
      </c>
      <c r="BL30" s="362">
        <v>5831306121.6899996</v>
      </c>
      <c r="BM30" s="362">
        <v>5903854626.6700001</v>
      </c>
      <c r="BN30" s="362">
        <v>6000724497.1700001</v>
      </c>
      <c r="BO30" s="362">
        <v>6033339023.2700005</v>
      </c>
      <c r="BP30" s="362">
        <v>6111593075.2799997</v>
      </c>
      <c r="BQ30" s="362">
        <v>6196211121.1999998</v>
      </c>
      <c r="BR30" s="362">
        <v>6273567757.7700005</v>
      </c>
      <c r="BS30" s="362">
        <v>6316211595.2700005</v>
      </c>
      <c r="BT30" s="362">
        <v>6316211595</v>
      </c>
      <c r="BU30" s="480">
        <v>6392203949.4799995</v>
      </c>
      <c r="BV30" s="480">
        <v>6486169154.71</v>
      </c>
      <c r="BW30" s="480">
        <v>6565832009.3100004</v>
      </c>
      <c r="BX30" s="480">
        <v>6671263768.6700001</v>
      </c>
      <c r="BY30" s="330">
        <v>6784194623.8500004</v>
      </c>
      <c r="BZ30" s="330">
        <v>6854790332.0500002</v>
      </c>
      <c r="CA30" s="330">
        <v>6969617787.7600002</v>
      </c>
      <c r="CB30" s="468">
        <v>7061148066.4200001</v>
      </c>
      <c r="CC30" s="481">
        <v>7145380414.8900003</v>
      </c>
      <c r="CD30" s="481">
        <v>7244367579.9899998</v>
      </c>
      <c r="CE30" s="481">
        <v>7326981076.8100004</v>
      </c>
      <c r="CF30" s="481">
        <v>7357352924.9399996</v>
      </c>
      <c r="CG30" s="481">
        <f>7357287925-CG29</f>
        <v>7311562425</v>
      </c>
      <c r="CH30" s="364">
        <v>7424686280.8599997</v>
      </c>
      <c r="CI30" s="367">
        <v>7506694660.79</v>
      </c>
      <c r="CJ30" s="367">
        <v>7589096687.4899998</v>
      </c>
      <c r="CK30" s="367">
        <v>7688692177.4200001</v>
      </c>
      <c r="CL30" s="367">
        <v>7792228634.9399996</v>
      </c>
      <c r="CM30" s="367">
        <v>7923757153.1999998</v>
      </c>
      <c r="CN30" s="510">
        <v>8079029448.1700001</v>
      </c>
      <c r="CO30" s="510">
        <v>8209566680.4399996</v>
      </c>
      <c r="CP30" s="510">
        <v>8316139275.46</v>
      </c>
    </row>
    <row r="31" spans="1:99" s="473" customFormat="1">
      <c r="A31" s="332" t="s">
        <v>41</v>
      </c>
      <c r="B31" s="334">
        <f t="shared" ref="B31:P31" si="11">SUM(B28:B30)</f>
        <v>1540825000</v>
      </c>
      <c r="C31" s="334">
        <f t="shared" si="11"/>
        <v>1708217000</v>
      </c>
      <c r="D31" s="334">
        <f t="shared" si="11"/>
        <v>2027885000</v>
      </c>
      <c r="E31" s="334">
        <f t="shared" si="11"/>
        <v>2476141469</v>
      </c>
      <c r="F31" s="334">
        <f t="shared" si="11"/>
        <v>3007206335</v>
      </c>
      <c r="G31" s="334">
        <f t="shared" si="11"/>
        <v>3588473178</v>
      </c>
      <c r="H31" s="334">
        <f t="shared" si="11"/>
        <v>3579241068.3999996</v>
      </c>
      <c r="I31" s="334">
        <f t="shared" si="11"/>
        <v>3807130131.0499997</v>
      </c>
      <c r="J31" s="334">
        <f t="shared" si="11"/>
        <v>3779421113.0100002</v>
      </c>
      <c r="K31" s="334">
        <f t="shared" si="11"/>
        <v>3744092336.7999997</v>
      </c>
      <c r="L31" s="334">
        <f t="shared" si="11"/>
        <v>3760950072.8400002</v>
      </c>
      <c r="M31" s="334">
        <f t="shared" si="11"/>
        <v>3893233926.8600001</v>
      </c>
      <c r="N31" s="334">
        <f t="shared" si="11"/>
        <v>3949448257.9700003</v>
      </c>
      <c r="O31" s="334">
        <f t="shared" si="11"/>
        <v>4023318344.71</v>
      </c>
      <c r="P31" s="334">
        <f t="shared" si="11"/>
        <v>4030786514.3299999</v>
      </c>
      <c r="Q31" s="334">
        <f>SUM(Q28:Q30)</f>
        <v>4126281325.9700003</v>
      </c>
      <c r="R31" s="334">
        <f>SUM(R28:R30)</f>
        <v>4223433875.3600001</v>
      </c>
      <c r="S31" s="334">
        <f>SUM(S28:S30)</f>
        <v>4263060091.25</v>
      </c>
      <c r="T31" s="334">
        <f>SUM(T28:T30)</f>
        <v>4351403521</v>
      </c>
      <c r="U31" s="334">
        <f t="shared" ref="U31:AQ31" si="12">SUM(U28:U30)</f>
        <v>8596860709.2600002</v>
      </c>
      <c r="V31" s="334">
        <f t="shared" si="12"/>
        <v>4603812823.9799995</v>
      </c>
      <c r="W31" s="334">
        <f t="shared" si="12"/>
        <v>4546367095.0599995</v>
      </c>
      <c r="X31" s="334">
        <f t="shared" si="12"/>
        <v>4519335718.4400005</v>
      </c>
      <c r="Y31" s="334">
        <f t="shared" si="12"/>
        <v>4591970544.8400002</v>
      </c>
      <c r="Z31" s="334">
        <f t="shared" si="12"/>
        <v>4647616625.8499994</v>
      </c>
      <c r="AA31" s="334">
        <f t="shared" si="12"/>
        <v>4724122104.3000002</v>
      </c>
      <c r="AB31" s="334">
        <f t="shared" si="12"/>
        <v>4768210436.0100002</v>
      </c>
      <c r="AC31" s="334">
        <f t="shared" si="12"/>
        <v>4806563647.8400002</v>
      </c>
      <c r="AD31" s="334">
        <f t="shared" si="12"/>
        <v>4865777438.6199999</v>
      </c>
      <c r="AE31" s="334">
        <f t="shared" si="12"/>
        <v>4923197348.2700005</v>
      </c>
      <c r="AF31" s="334">
        <f t="shared" si="12"/>
        <v>4975606801.2799997</v>
      </c>
      <c r="AG31" s="334">
        <f t="shared" si="12"/>
        <v>5135049618</v>
      </c>
      <c r="AH31" s="334">
        <f t="shared" si="12"/>
        <v>5038359333.6100006</v>
      </c>
      <c r="AI31" s="334">
        <f t="shared" si="12"/>
        <v>5473639631.7600002</v>
      </c>
      <c r="AJ31" s="334">
        <f t="shared" si="12"/>
        <v>5476396886.5200005</v>
      </c>
      <c r="AK31" s="334">
        <f t="shared" si="12"/>
        <v>5444817022.1499996</v>
      </c>
      <c r="AL31" s="334">
        <f t="shared" si="12"/>
        <v>5468642996.1599998</v>
      </c>
      <c r="AM31" s="334">
        <f t="shared" si="12"/>
        <v>5523039517.7600002</v>
      </c>
      <c r="AN31" s="334">
        <f t="shared" si="12"/>
        <v>5652216139.3400002</v>
      </c>
      <c r="AO31" s="334">
        <f t="shared" si="12"/>
        <v>5683257191.25</v>
      </c>
      <c r="AP31" s="334">
        <f t="shared" si="12"/>
        <v>5723339789.2199993</v>
      </c>
      <c r="AQ31" s="334">
        <f t="shared" si="12"/>
        <v>5847494467.6100006</v>
      </c>
      <c r="AR31" s="334">
        <f t="shared" ref="AR31:AW31" si="13">SUM(AR28:AR30)</f>
        <v>5903270573.0100002</v>
      </c>
      <c r="AS31" s="334">
        <f t="shared" si="13"/>
        <v>5972925247.7200003</v>
      </c>
      <c r="AT31" s="334">
        <f t="shared" si="13"/>
        <v>5972911279</v>
      </c>
      <c r="AU31" s="334">
        <f t="shared" si="13"/>
        <v>6011493898.8400002</v>
      </c>
      <c r="AV31" s="334">
        <f t="shared" si="13"/>
        <v>6384083492.2199993</v>
      </c>
      <c r="AW31" s="334">
        <f t="shared" si="13"/>
        <v>6299174043.8199997</v>
      </c>
      <c r="AX31" s="334">
        <f t="shared" ref="AX31:BG31" si="14">SUM(AX28:AX30)</f>
        <v>6406181364.6499996</v>
      </c>
      <c r="AY31" s="334">
        <f t="shared" si="14"/>
        <v>6409080389.0500002</v>
      </c>
      <c r="AZ31" s="334">
        <f t="shared" si="14"/>
        <v>6446130340.2799997</v>
      </c>
      <c r="BA31" s="334">
        <f t="shared" si="14"/>
        <v>6545512429.3400002</v>
      </c>
      <c r="BB31" s="334">
        <f t="shared" si="14"/>
        <v>6617969940.8900003</v>
      </c>
      <c r="BC31" s="334">
        <f t="shared" si="14"/>
        <v>6637686082.9000006</v>
      </c>
      <c r="BD31" s="334">
        <f t="shared" si="14"/>
        <v>6682594867.6199999</v>
      </c>
      <c r="BE31" s="334">
        <f t="shared" si="14"/>
        <v>6689966303.8500004</v>
      </c>
      <c r="BF31" s="334">
        <f t="shared" si="14"/>
        <v>6775457858.6300011</v>
      </c>
      <c r="BG31" s="321">
        <f t="shared" si="14"/>
        <v>6775457859</v>
      </c>
      <c r="BH31" s="334">
        <f t="shared" ref="BH31:CH31" si="15">SUM(BH28:BH30)</f>
        <v>7305707944.3999996</v>
      </c>
      <c r="BI31" s="334">
        <f t="shared" si="15"/>
        <v>7146035050.2399998</v>
      </c>
      <c r="BJ31" s="334">
        <f t="shared" si="15"/>
        <v>7162070479.9899998</v>
      </c>
      <c r="BK31" s="334">
        <f t="shared" si="15"/>
        <v>7209204302.8699999</v>
      </c>
      <c r="BL31" s="334">
        <f t="shared" si="15"/>
        <v>7230675104.4599991</v>
      </c>
      <c r="BM31" s="334">
        <f t="shared" si="15"/>
        <v>7252506197.8600006</v>
      </c>
      <c r="BN31" s="334">
        <f t="shared" si="15"/>
        <v>7509674817.2600002</v>
      </c>
      <c r="BO31" s="334">
        <f t="shared" si="15"/>
        <v>7494444807.9000006</v>
      </c>
      <c r="BP31" s="334">
        <f t="shared" si="15"/>
        <v>7604455538.3099995</v>
      </c>
      <c r="BQ31" s="334">
        <f t="shared" si="15"/>
        <v>7710392421.4099998</v>
      </c>
      <c r="BR31" s="334">
        <f t="shared" si="15"/>
        <v>7778434141.7000008</v>
      </c>
      <c r="BS31" s="334">
        <f t="shared" si="15"/>
        <v>7839427482.3700008</v>
      </c>
      <c r="BT31" s="334">
        <f t="shared" si="15"/>
        <v>7839427482</v>
      </c>
      <c r="BU31" s="334">
        <f t="shared" si="15"/>
        <v>8334760292.2599993</v>
      </c>
      <c r="BV31" s="334">
        <f t="shared" si="15"/>
        <v>8266167174.3600006</v>
      </c>
      <c r="BW31" s="334">
        <f t="shared" si="15"/>
        <v>8288536854.4300003</v>
      </c>
      <c r="BX31" s="334">
        <f t="shared" si="15"/>
        <v>8274504287.2200003</v>
      </c>
      <c r="BY31" s="334">
        <f t="shared" si="15"/>
        <v>8410226224.7800007</v>
      </c>
      <c r="BZ31" s="334">
        <f t="shared" si="15"/>
        <v>8467158376.6100006</v>
      </c>
      <c r="CA31" s="334">
        <f t="shared" si="15"/>
        <v>8657063566.5300007</v>
      </c>
      <c r="CB31" s="334">
        <f t="shared" si="15"/>
        <v>8688310455.5599995</v>
      </c>
      <c r="CC31" s="334">
        <f t="shared" si="15"/>
        <v>8676929527.8899994</v>
      </c>
      <c r="CD31" s="334">
        <f t="shared" si="15"/>
        <v>8750876813.3799992</v>
      </c>
      <c r="CE31" s="334">
        <f t="shared" si="15"/>
        <v>8839196561.3299999</v>
      </c>
      <c r="CF31" s="334">
        <f t="shared" si="15"/>
        <v>8897150213.6399994</v>
      </c>
      <c r="CG31" s="334">
        <f t="shared" si="15"/>
        <v>8908466620</v>
      </c>
      <c r="CH31" s="321">
        <f t="shared" si="15"/>
        <v>9378403721.8299999</v>
      </c>
      <c r="CI31" s="321">
        <f t="shared" ref="CI31:CT31" si="16">SUM(CI28:CI30)</f>
        <v>9292661322.0300007</v>
      </c>
      <c r="CJ31" s="321">
        <f t="shared" si="16"/>
        <v>9270271127.0299988</v>
      </c>
      <c r="CK31" s="321">
        <f t="shared" si="16"/>
        <v>9325232975.2600002</v>
      </c>
      <c r="CL31" s="321">
        <f t="shared" si="16"/>
        <v>9363758765.9599991</v>
      </c>
      <c r="CM31" s="321">
        <f t="shared" si="16"/>
        <v>9584714396.3699989</v>
      </c>
      <c r="CN31" s="334">
        <f t="shared" si="16"/>
        <v>9812897055.1599998</v>
      </c>
      <c r="CO31" s="334">
        <f t="shared" si="16"/>
        <v>9945777084.5499992</v>
      </c>
      <c r="CP31" s="334">
        <f t="shared" si="16"/>
        <v>9921840745.5799999</v>
      </c>
      <c r="CQ31" s="334">
        <f t="shared" si="16"/>
        <v>0</v>
      </c>
      <c r="CR31" s="334">
        <f t="shared" si="16"/>
        <v>0</v>
      </c>
      <c r="CS31" s="334">
        <f t="shared" si="16"/>
        <v>0</v>
      </c>
      <c r="CT31" s="334">
        <f t="shared" si="16"/>
        <v>0</v>
      </c>
    </row>
    <row r="32" spans="1:99" s="473" customFormat="1">
      <c r="A32" s="332" t="s">
        <v>42</v>
      </c>
      <c r="B32" s="322">
        <f t="shared" ref="B32:P32" si="17">SUM(B33:B38)</f>
        <v>56399000</v>
      </c>
      <c r="C32" s="339">
        <f t="shared" si="17"/>
        <v>273714000</v>
      </c>
      <c r="D32" s="339">
        <f t="shared" si="17"/>
        <v>11930000</v>
      </c>
      <c r="E32" s="339">
        <f t="shared" si="17"/>
        <v>278665461</v>
      </c>
      <c r="F32" s="339">
        <f t="shared" si="17"/>
        <v>354860186.79000002</v>
      </c>
      <c r="G32" s="339">
        <f t="shared" si="17"/>
        <v>612597954</v>
      </c>
      <c r="H32" s="339">
        <f t="shared" si="17"/>
        <v>666802837.43000007</v>
      </c>
      <c r="I32" s="339">
        <f t="shared" si="17"/>
        <v>404642079.5</v>
      </c>
      <c r="J32" s="339">
        <f t="shared" si="17"/>
        <v>439386003.10000002</v>
      </c>
      <c r="K32" s="339">
        <f t="shared" si="17"/>
        <v>485793637.99000001</v>
      </c>
      <c r="L32" s="339">
        <f t="shared" si="17"/>
        <v>514538723.15000004</v>
      </c>
      <c r="M32" s="339">
        <f t="shared" si="17"/>
        <v>726914705.43000007</v>
      </c>
      <c r="N32" s="339">
        <f t="shared" si="17"/>
        <v>768545292.55999994</v>
      </c>
      <c r="O32" s="339">
        <f t="shared" si="17"/>
        <v>892705892.65999997</v>
      </c>
      <c r="P32" s="339">
        <f t="shared" si="17"/>
        <v>1027454500.9</v>
      </c>
      <c r="Q32" s="339">
        <f>SUM(Q33:Q38)</f>
        <v>1168354954.29</v>
      </c>
      <c r="R32" s="339">
        <f>SUM(R33:R38)</f>
        <v>1182075606.3499999</v>
      </c>
      <c r="S32" s="339">
        <f>SUM(S33:S38)</f>
        <v>1211828896.4000001</v>
      </c>
      <c r="T32" s="339">
        <f>SUM(T33:T38)</f>
        <v>1020649375</v>
      </c>
      <c r="U32" s="339">
        <f t="shared" ref="U32:AQ32" si="18">SUM(U33:U38)</f>
        <v>2404763961.2799997</v>
      </c>
      <c r="V32" s="339">
        <f t="shared" si="18"/>
        <v>811014733.26999998</v>
      </c>
      <c r="W32" s="339">
        <f t="shared" si="18"/>
        <v>854671776.56999993</v>
      </c>
      <c r="X32" s="339">
        <f t="shared" si="18"/>
        <v>897827709.25999999</v>
      </c>
      <c r="Y32" s="339">
        <f t="shared" si="18"/>
        <v>894927464.32999992</v>
      </c>
      <c r="Z32" s="339">
        <f t="shared" si="18"/>
        <v>910284003.50999999</v>
      </c>
      <c r="AA32" s="339">
        <f t="shared" si="18"/>
        <v>957898458.78999996</v>
      </c>
      <c r="AB32" s="339">
        <f t="shared" si="18"/>
        <v>990631509.42999995</v>
      </c>
      <c r="AC32" s="339">
        <f t="shared" si="18"/>
        <v>993292392.22000003</v>
      </c>
      <c r="AD32" s="339">
        <f t="shared" si="18"/>
        <v>1034884565.3700001</v>
      </c>
      <c r="AE32" s="339">
        <f t="shared" si="18"/>
        <v>1080422611.6100001</v>
      </c>
      <c r="AF32" s="339">
        <f t="shared" si="18"/>
        <v>1099946648.0500002</v>
      </c>
      <c r="AG32" s="339">
        <f t="shared" si="18"/>
        <v>939636783.18000007</v>
      </c>
      <c r="AH32" s="339">
        <f t="shared" si="18"/>
        <v>1147228193.5799999</v>
      </c>
      <c r="AI32" s="339">
        <f t="shared" si="18"/>
        <v>550181977.14999998</v>
      </c>
      <c r="AJ32" s="339">
        <f t="shared" si="18"/>
        <v>590434418.29999995</v>
      </c>
      <c r="AK32" s="339">
        <f t="shared" si="18"/>
        <v>569502986.95000005</v>
      </c>
      <c r="AL32" s="339">
        <f t="shared" si="18"/>
        <v>615039638.53999996</v>
      </c>
      <c r="AM32" s="339">
        <f t="shared" si="18"/>
        <v>673403071.53999996</v>
      </c>
      <c r="AN32" s="339">
        <f t="shared" si="18"/>
        <v>702249224.42000008</v>
      </c>
      <c r="AO32" s="339">
        <f t="shared" si="18"/>
        <v>654432055.12</v>
      </c>
      <c r="AP32" s="339">
        <f t="shared" si="18"/>
        <v>659265543.24000001</v>
      </c>
      <c r="AQ32" s="339">
        <f t="shared" si="18"/>
        <v>632345591.98000002</v>
      </c>
      <c r="AR32" s="339">
        <f t="shared" ref="AR32:AW32" si="19">SUM(AR33:AR38)</f>
        <v>698536887.30999994</v>
      </c>
      <c r="AS32" s="339">
        <f t="shared" si="19"/>
        <v>708467157.74000001</v>
      </c>
      <c r="AT32" s="339">
        <f t="shared" si="19"/>
        <v>655895363</v>
      </c>
      <c r="AU32" s="339">
        <f t="shared" si="19"/>
        <v>771272599.83000004</v>
      </c>
      <c r="AV32" s="339">
        <f t="shared" si="19"/>
        <v>210970476.81999999</v>
      </c>
      <c r="AW32" s="339">
        <f t="shared" si="19"/>
        <v>255196715.69</v>
      </c>
      <c r="AX32" s="339">
        <f t="shared" ref="AX32:BG32" si="20">SUM(AX33:AX38)</f>
        <v>275459347.94999999</v>
      </c>
      <c r="AY32" s="339">
        <f t="shared" si="20"/>
        <v>332006125.63999999</v>
      </c>
      <c r="AZ32" s="339">
        <f t="shared" si="20"/>
        <v>393418759.81999999</v>
      </c>
      <c r="BA32" s="339">
        <f t="shared" si="20"/>
        <v>436477155.22000003</v>
      </c>
      <c r="BB32" s="339">
        <f t="shared" si="20"/>
        <v>494568826.38999999</v>
      </c>
      <c r="BC32" s="339">
        <f t="shared" si="20"/>
        <v>547172933.26999998</v>
      </c>
      <c r="BD32" s="339">
        <f t="shared" si="20"/>
        <v>603725966.33000004</v>
      </c>
      <c r="BE32" s="339">
        <f t="shared" si="20"/>
        <v>660726955.97000003</v>
      </c>
      <c r="BF32" s="339">
        <f t="shared" si="20"/>
        <v>712318474.71000004</v>
      </c>
      <c r="BG32" s="363">
        <f t="shared" si="20"/>
        <v>758692186</v>
      </c>
      <c r="BH32" s="339">
        <f t="shared" ref="BH32:CH32" si="21">SUM(BH33:BH38)</f>
        <v>177120124.86000001</v>
      </c>
      <c r="BI32" s="339">
        <f t="shared" si="21"/>
        <v>212602416.03</v>
      </c>
      <c r="BJ32" s="339">
        <f t="shared" si="21"/>
        <v>272016795.74000001</v>
      </c>
      <c r="BK32" s="339">
        <f t="shared" si="21"/>
        <v>308006372.73000002</v>
      </c>
      <c r="BL32" s="339">
        <f t="shared" si="21"/>
        <v>373655596.72000003</v>
      </c>
      <c r="BM32" s="339">
        <f t="shared" si="21"/>
        <v>439738053.10000002</v>
      </c>
      <c r="BN32" s="339">
        <f t="shared" si="21"/>
        <v>496219978.38999999</v>
      </c>
      <c r="BO32" s="339">
        <f t="shared" si="21"/>
        <v>566913229.24000001</v>
      </c>
      <c r="BP32" s="339">
        <f t="shared" si="21"/>
        <v>644100436.99000001</v>
      </c>
      <c r="BQ32" s="339">
        <f t="shared" si="21"/>
        <v>721504642.49000001</v>
      </c>
      <c r="BR32" s="339">
        <f t="shared" si="21"/>
        <v>802871541.43000007</v>
      </c>
      <c r="BS32" s="339">
        <f t="shared" si="21"/>
        <v>875607983.81999993</v>
      </c>
      <c r="BT32" s="339">
        <f t="shared" si="21"/>
        <v>872853409</v>
      </c>
      <c r="BU32" s="339">
        <f t="shared" si="21"/>
        <v>167958282.41</v>
      </c>
      <c r="BV32" s="339">
        <f t="shared" si="21"/>
        <v>248905003.24000001</v>
      </c>
      <c r="BW32" s="339">
        <f t="shared" si="21"/>
        <v>300599496</v>
      </c>
      <c r="BX32" s="339">
        <f t="shared" si="21"/>
        <v>392051953.90999997</v>
      </c>
      <c r="BY32" s="339">
        <f t="shared" si="21"/>
        <v>488633245.82999998</v>
      </c>
      <c r="BZ32" s="339">
        <f t="shared" si="21"/>
        <v>572859005.54999995</v>
      </c>
      <c r="CA32" s="339">
        <f t="shared" si="21"/>
        <v>650783802.02999997</v>
      </c>
      <c r="CB32" s="339">
        <f t="shared" si="21"/>
        <v>739039251.19000006</v>
      </c>
      <c r="CC32" s="339">
        <f t="shared" si="21"/>
        <v>826778067.28999996</v>
      </c>
      <c r="CD32" s="339">
        <f t="shared" si="21"/>
        <v>917072484.88000011</v>
      </c>
      <c r="CE32" s="339">
        <f t="shared" si="21"/>
        <v>1008701016.84</v>
      </c>
      <c r="CF32" s="339">
        <f t="shared" si="21"/>
        <v>1009295344.71</v>
      </c>
      <c r="CG32" s="339">
        <f t="shared" si="21"/>
        <v>1051906393</v>
      </c>
      <c r="CH32" s="363">
        <f t="shared" si="21"/>
        <v>209320184.18000001</v>
      </c>
      <c r="CI32" s="363">
        <f t="shared" ref="CI32:CT32" si="22">SUM(CI33:CI38)</f>
        <v>306045320.98000002</v>
      </c>
      <c r="CJ32" s="363">
        <f t="shared" si="22"/>
        <v>360356562.73000002</v>
      </c>
      <c r="CK32" s="363">
        <f t="shared" si="22"/>
        <v>452473582.31999999</v>
      </c>
      <c r="CL32" s="363">
        <f t="shared" si="22"/>
        <v>545698810.13</v>
      </c>
      <c r="CM32" s="363">
        <f t="shared" si="22"/>
        <v>649923904.43000007</v>
      </c>
      <c r="CN32" s="339">
        <f t="shared" si="22"/>
        <v>723822772.58000004</v>
      </c>
      <c r="CO32" s="339">
        <f t="shared" si="22"/>
        <v>824971545.34000003</v>
      </c>
      <c r="CP32" s="339">
        <f t="shared" si="22"/>
        <v>918631316.13999999</v>
      </c>
      <c r="CQ32" s="339">
        <f t="shared" si="22"/>
        <v>0</v>
      </c>
      <c r="CR32" s="339">
        <f t="shared" si="22"/>
        <v>0</v>
      </c>
      <c r="CS32" s="339">
        <f t="shared" si="22"/>
        <v>0</v>
      </c>
      <c r="CT32" s="339">
        <f t="shared" si="22"/>
        <v>0</v>
      </c>
    </row>
    <row r="33" spans="1:98" ht="15">
      <c r="A33" s="485" t="s">
        <v>43</v>
      </c>
      <c r="B33" s="323">
        <v>296000</v>
      </c>
      <c r="C33" s="324">
        <v>627000</v>
      </c>
      <c r="D33" s="324">
        <v>542000</v>
      </c>
      <c r="E33" s="324">
        <v>4130450</v>
      </c>
      <c r="F33" s="324">
        <v>2596929.79</v>
      </c>
      <c r="G33" s="324">
        <v>-561286</v>
      </c>
      <c r="H33" s="324">
        <v>0</v>
      </c>
      <c r="I33" s="324">
        <v>0</v>
      </c>
      <c r="J33" s="324">
        <v>0</v>
      </c>
      <c r="K33" s="324"/>
      <c r="L33" s="476">
        <v>0</v>
      </c>
      <c r="M33" s="476">
        <v>0</v>
      </c>
      <c r="N33" s="476">
        <v>0</v>
      </c>
      <c r="O33" s="476">
        <v>0</v>
      </c>
      <c r="P33" s="476">
        <v>0</v>
      </c>
      <c r="Q33" s="338">
        <v>0</v>
      </c>
      <c r="R33" s="338">
        <v>0</v>
      </c>
      <c r="S33" s="338">
        <v>0</v>
      </c>
      <c r="T33" s="338">
        <v>1103303</v>
      </c>
      <c r="U33" s="338">
        <v>0</v>
      </c>
      <c r="V33" s="338">
        <v>0</v>
      </c>
      <c r="W33" s="338">
        <v>0</v>
      </c>
      <c r="X33" s="338">
        <v>0</v>
      </c>
      <c r="Y33" s="338">
        <v>0</v>
      </c>
      <c r="Z33" s="338">
        <v>0</v>
      </c>
      <c r="AA33" s="338">
        <v>0</v>
      </c>
      <c r="AB33" s="338">
        <v>0</v>
      </c>
      <c r="AC33" s="338">
        <v>0</v>
      </c>
      <c r="AD33" s="338">
        <v>0</v>
      </c>
      <c r="AE33" s="338">
        <v>0</v>
      </c>
      <c r="AF33" s="338">
        <v>0</v>
      </c>
      <c r="AG33" s="337">
        <v>2484330</v>
      </c>
      <c r="AH33" s="344">
        <v>0</v>
      </c>
      <c r="AI33" s="344">
        <v>95000000</v>
      </c>
      <c r="AJ33" s="344">
        <v>0</v>
      </c>
      <c r="AK33" s="344">
        <v>190000000</v>
      </c>
      <c r="AL33" s="344">
        <v>0</v>
      </c>
      <c r="AM33" s="344">
        <v>0</v>
      </c>
      <c r="AN33" s="344">
        <v>0</v>
      </c>
      <c r="AO33" s="344">
        <v>0</v>
      </c>
      <c r="AP33" s="344">
        <v>0</v>
      </c>
      <c r="AQ33" s="344">
        <v>0</v>
      </c>
      <c r="AR33" s="344">
        <v>0</v>
      </c>
      <c r="AS33" s="344">
        <v>0</v>
      </c>
      <c r="AT33" s="327">
        <v>3125556</v>
      </c>
      <c r="AU33" s="479">
        <v>0</v>
      </c>
      <c r="AV33" s="479">
        <v>0</v>
      </c>
      <c r="AW33" s="479">
        <v>0</v>
      </c>
      <c r="AX33" s="479">
        <v>0</v>
      </c>
      <c r="AY33" s="479">
        <v>0</v>
      </c>
      <c r="AZ33" s="479">
        <v>0</v>
      </c>
      <c r="BA33" s="479">
        <v>0</v>
      </c>
      <c r="BB33" s="338">
        <v>0</v>
      </c>
      <c r="BC33" s="479">
        <v>0</v>
      </c>
      <c r="BD33" s="479">
        <v>0</v>
      </c>
      <c r="BE33" s="479">
        <v>0</v>
      </c>
      <c r="BF33" s="479">
        <v>0</v>
      </c>
      <c r="BG33" s="367">
        <v>10285340</v>
      </c>
      <c r="BH33" s="362">
        <v>0</v>
      </c>
      <c r="BI33" s="362">
        <v>0</v>
      </c>
      <c r="BJ33" s="362">
        <v>0</v>
      </c>
      <c r="BK33" s="362">
        <v>0</v>
      </c>
      <c r="BL33" s="362">
        <v>0</v>
      </c>
      <c r="BM33" s="362">
        <v>0</v>
      </c>
      <c r="BN33" s="362">
        <v>0</v>
      </c>
      <c r="BO33" s="362">
        <v>0</v>
      </c>
      <c r="BP33" s="362">
        <v>0</v>
      </c>
      <c r="BQ33" s="362">
        <v>0</v>
      </c>
      <c r="BR33" s="362">
        <v>0</v>
      </c>
      <c r="BS33" s="362">
        <v>0</v>
      </c>
      <c r="BT33" s="362">
        <v>5625813</v>
      </c>
      <c r="BU33" s="480">
        <v>0</v>
      </c>
      <c r="BV33" s="480">
        <v>0</v>
      </c>
      <c r="BW33" s="480">
        <v>0</v>
      </c>
      <c r="BX33" s="480">
        <v>0</v>
      </c>
      <c r="BY33" s="330">
        <v>0</v>
      </c>
      <c r="BZ33" s="330">
        <v>0</v>
      </c>
      <c r="CA33" s="330">
        <v>0</v>
      </c>
      <c r="CB33" s="330">
        <v>0</v>
      </c>
      <c r="CC33" s="481">
        <v>0</v>
      </c>
      <c r="CD33" s="481">
        <v>0</v>
      </c>
      <c r="CE33" s="481">
        <v>0</v>
      </c>
      <c r="CF33" s="481">
        <v>0</v>
      </c>
      <c r="CG33" s="481">
        <v>14525411</v>
      </c>
      <c r="CH33" s="364">
        <v>0</v>
      </c>
      <c r="CI33" s="367">
        <v>0</v>
      </c>
      <c r="CJ33" s="367">
        <v>0</v>
      </c>
      <c r="CK33" s="367">
        <v>0</v>
      </c>
      <c r="CL33" s="367">
        <v>0</v>
      </c>
      <c r="CM33" s="367">
        <v>0</v>
      </c>
      <c r="CN33" s="507">
        <v>0</v>
      </c>
      <c r="CO33" s="507">
        <v>0</v>
      </c>
      <c r="CP33" s="524">
        <v>0</v>
      </c>
    </row>
    <row r="34" spans="1:98" ht="15">
      <c r="A34" s="485" t="s">
        <v>44</v>
      </c>
      <c r="B34" s="323">
        <v>0</v>
      </c>
      <c r="C34" s="324">
        <v>175761000</v>
      </c>
      <c r="D34" s="324"/>
      <c r="E34" s="324"/>
      <c r="F34" s="324"/>
      <c r="G34" s="324"/>
      <c r="H34" s="324">
        <v>0</v>
      </c>
      <c r="I34" s="324">
        <v>0</v>
      </c>
      <c r="J34" s="324">
        <v>0</v>
      </c>
      <c r="K34" s="324"/>
      <c r="L34" s="476">
        <v>0</v>
      </c>
      <c r="M34" s="476">
        <v>0</v>
      </c>
      <c r="N34" s="476">
        <v>0</v>
      </c>
      <c r="O34" s="476">
        <v>0</v>
      </c>
      <c r="P34" s="476">
        <v>0</v>
      </c>
      <c r="Q34" s="338">
        <v>0</v>
      </c>
      <c r="R34" s="338">
        <v>0</v>
      </c>
      <c r="S34" s="338">
        <v>0</v>
      </c>
      <c r="T34" s="338"/>
      <c r="U34" s="338">
        <v>0</v>
      </c>
      <c r="V34" s="338">
        <v>0</v>
      </c>
      <c r="W34" s="338">
        <v>0</v>
      </c>
      <c r="X34" s="338">
        <v>0</v>
      </c>
      <c r="Y34" s="338">
        <v>0</v>
      </c>
      <c r="Z34" s="338">
        <v>0</v>
      </c>
      <c r="AA34" s="338">
        <v>0</v>
      </c>
      <c r="AB34" s="338">
        <v>321600000</v>
      </c>
      <c r="AC34" s="338">
        <v>321600000</v>
      </c>
      <c r="AD34" s="338">
        <v>402000000</v>
      </c>
      <c r="AE34" s="338">
        <v>442200000</v>
      </c>
      <c r="AF34" s="338">
        <v>482400000</v>
      </c>
      <c r="AG34" s="338"/>
      <c r="AH34" s="344">
        <v>527400000</v>
      </c>
      <c r="AI34" s="344">
        <v>0</v>
      </c>
      <c r="AJ34" s="344">
        <v>142500000</v>
      </c>
      <c r="AK34" s="344">
        <v>0</v>
      </c>
      <c r="AL34" s="344">
        <v>237500000</v>
      </c>
      <c r="AM34" s="344">
        <v>285000000</v>
      </c>
      <c r="AN34" s="344">
        <v>332500000</v>
      </c>
      <c r="AO34" s="344">
        <v>380000000</v>
      </c>
      <c r="AP34" s="344">
        <v>427500000</v>
      </c>
      <c r="AQ34" s="344">
        <v>475000000</v>
      </c>
      <c r="AR34" s="344">
        <v>522500000</v>
      </c>
      <c r="AS34" s="344">
        <v>570000000</v>
      </c>
      <c r="AT34" s="327">
        <v>564645701</v>
      </c>
      <c r="AU34" s="479">
        <v>617500000</v>
      </c>
      <c r="AV34" s="479">
        <v>62051444</v>
      </c>
      <c r="AW34" s="479">
        <v>150000000</v>
      </c>
      <c r="AX34" s="479">
        <v>200000000</v>
      </c>
      <c r="AY34" s="479">
        <v>250000000</v>
      </c>
      <c r="AZ34" s="479">
        <v>300000000</v>
      </c>
      <c r="BA34" s="479">
        <v>350000000</v>
      </c>
      <c r="BB34" s="338">
        <v>400000000</v>
      </c>
      <c r="BC34" s="479">
        <v>450000000</v>
      </c>
      <c r="BD34" s="479">
        <v>500000000</v>
      </c>
      <c r="BE34" s="479">
        <v>550000000</v>
      </c>
      <c r="BF34" s="479">
        <v>600000000</v>
      </c>
      <c r="BG34" s="367">
        <v>645500000</v>
      </c>
      <c r="BH34" s="362">
        <v>55000000</v>
      </c>
      <c r="BI34" s="362">
        <v>120000000</v>
      </c>
      <c r="BJ34" s="362">
        <v>180000000</v>
      </c>
      <c r="BK34" s="362">
        <v>240000000</v>
      </c>
      <c r="BL34" s="362">
        <v>300000000</v>
      </c>
      <c r="BM34" s="362">
        <v>360000000</v>
      </c>
      <c r="BN34" s="362">
        <v>420000000</v>
      </c>
      <c r="BO34" s="362">
        <v>480000000</v>
      </c>
      <c r="BP34" s="362">
        <v>540000000</v>
      </c>
      <c r="BQ34" s="362">
        <v>600000000</v>
      </c>
      <c r="BR34" s="362">
        <v>660000000</v>
      </c>
      <c r="BS34" s="362">
        <v>720000000</v>
      </c>
      <c r="BT34" s="362">
        <v>764541806</v>
      </c>
      <c r="BU34" s="486">
        <v>76666667</v>
      </c>
      <c r="BV34" s="486">
        <v>153333334</v>
      </c>
      <c r="BW34" s="486">
        <v>230000001</v>
      </c>
      <c r="BX34" s="486">
        <v>306666668</v>
      </c>
      <c r="BY34" s="330">
        <v>383333335</v>
      </c>
      <c r="BZ34" s="330">
        <v>460000002</v>
      </c>
      <c r="CA34" s="330">
        <v>536666669</v>
      </c>
      <c r="CB34" s="468">
        <v>613333336</v>
      </c>
      <c r="CC34" s="481">
        <v>690000000</v>
      </c>
      <c r="CD34" s="481">
        <v>766666667.94000006</v>
      </c>
      <c r="CE34" s="481">
        <v>843333334</v>
      </c>
      <c r="CF34" s="481">
        <v>920000000</v>
      </c>
      <c r="CG34" s="481">
        <v>904946415</v>
      </c>
      <c r="CH34" s="364">
        <v>92000000</v>
      </c>
      <c r="CI34" s="367">
        <v>184000000</v>
      </c>
      <c r="CJ34" s="367">
        <v>271912217</v>
      </c>
      <c r="CK34" s="367">
        <v>351648868</v>
      </c>
      <c r="CL34" s="367">
        <v>439561085</v>
      </c>
      <c r="CM34" s="367">
        <v>527473302</v>
      </c>
      <c r="CN34" s="510">
        <v>615385519</v>
      </c>
      <c r="CO34" s="510">
        <v>703297736</v>
      </c>
      <c r="CP34" s="526">
        <v>791209953</v>
      </c>
    </row>
    <row r="35" spans="1:98" ht="15">
      <c r="A35" s="485" t="s">
        <v>45</v>
      </c>
      <c r="B35" s="323">
        <v>0</v>
      </c>
      <c r="C35" s="324"/>
      <c r="D35" s="324"/>
      <c r="E35" s="324"/>
      <c r="F35" s="324"/>
      <c r="G35" s="324"/>
      <c r="H35" s="324">
        <v>0</v>
      </c>
      <c r="I35" s="324">
        <v>0</v>
      </c>
      <c r="J35" s="324">
        <v>0</v>
      </c>
      <c r="K35" s="324"/>
      <c r="L35" s="476">
        <v>0</v>
      </c>
      <c r="M35" s="476">
        <v>0</v>
      </c>
      <c r="N35" s="476">
        <v>0</v>
      </c>
      <c r="O35" s="476">
        <v>0</v>
      </c>
      <c r="P35" s="476">
        <v>0</v>
      </c>
      <c r="Q35" s="338">
        <v>0</v>
      </c>
      <c r="R35" s="338">
        <v>0</v>
      </c>
      <c r="S35" s="338">
        <v>0</v>
      </c>
      <c r="T35" s="338">
        <v>0</v>
      </c>
      <c r="U35" s="338">
        <v>0</v>
      </c>
      <c r="V35" s="338">
        <v>0</v>
      </c>
      <c r="W35" s="338">
        <v>0</v>
      </c>
      <c r="X35" s="338">
        <v>0</v>
      </c>
      <c r="Y35" s="338">
        <v>0</v>
      </c>
      <c r="Z35" s="338">
        <v>0</v>
      </c>
      <c r="AA35" s="338">
        <v>0</v>
      </c>
      <c r="AB35" s="338">
        <v>0</v>
      </c>
      <c r="AC35" s="338">
        <v>0</v>
      </c>
      <c r="AD35" s="338">
        <v>0</v>
      </c>
      <c r="AE35" s="338">
        <v>0</v>
      </c>
      <c r="AF35" s="338">
        <v>0</v>
      </c>
      <c r="AG35" s="340"/>
      <c r="AH35" s="344">
        <v>0</v>
      </c>
      <c r="AI35" s="344">
        <v>0</v>
      </c>
      <c r="AJ35" s="344">
        <v>0</v>
      </c>
      <c r="AK35" s="344">
        <v>0</v>
      </c>
      <c r="AL35" s="344">
        <v>0</v>
      </c>
      <c r="AM35" s="344">
        <v>0</v>
      </c>
      <c r="AN35" s="344">
        <v>0</v>
      </c>
      <c r="AO35" s="344">
        <v>0</v>
      </c>
      <c r="AP35" s="344">
        <v>0</v>
      </c>
      <c r="AQ35" s="344">
        <v>0</v>
      </c>
      <c r="AR35" s="344">
        <v>0</v>
      </c>
      <c r="AS35" s="344">
        <v>0</v>
      </c>
      <c r="AT35" s="344">
        <v>0</v>
      </c>
      <c r="AU35" s="479">
        <v>0</v>
      </c>
      <c r="AV35" s="479">
        <v>0</v>
      </c>
      <c r="AW35" s="479">
        <v>0</v>
      </c>
      <c r="AX35" s="479">
        <v>0</v>
      </c>
      <c r="AY35" s="479">
        <v>0</v>
      </c>
      <c r="AZ35" s="479">
        <v>0</v>
      </c>
      <c r="BA35" s="479">
        <v>0</v>
      </c>
      <c r="BB35" s="338">
        <v>0</v>
      </c>
      <c r="BC35" s="479">
        <v>0</v>
      </c>
      <c r="BD35" s="479">
        <v>0</v>
      </c>
      <c r="BE35" s="479">
        <v>0</v>
      </c>
      <c r="BF35" s="479">
        <v>0</v>
      </c>
      <c r="BG35" s="366">
        <v>0</v>
      </c>
      <c r="BH35" s="362">
        <v>0</v>
      </c>
      <c r="BI35" s="362">
        <v>0</v>
      </c>
      <c r="BJ35" s="362">
        <v>0</v>
      </c>
      <c r="BK35" s="362">
        <v>0</v>
      </c>
      <c r="BL35" s="362">
        <v>0</v>
      </c>
      <c r="BM35" s="362">
        <v>0</v>
      </c>
      <c r="BN35" s="362">
        <v>0</v>
      </c>
      <c r="BO35" s="362">
        <v>0</v>
      </c>
      <c r="BP35" s="362">
        <v>0</v>
      </c>
      <c r="BQ35" s="362">
        <v>0</v>
      </c>
      <c r="BR35" s="362">
        <v>0</v>
      </c>
      <c r="BS35" s="362">
        <v>0</v>
      </c>
      <c r="BT35" s="362"/>
      <c r="BU35" s="486">
        <v>0</v>
      </c>
      <c r="BV35" s="486">
        <v>0</v>
      </c>
      <c r="BW35" s="486">
        <v>0</v>
      </c>
      <c r="BX35" s="486">
        <v>0</v>
      </c>
      <c r="BY35" s="330">
        <v>0</v>
      </c>
      <c r="BZ35" s="330">
        <v>0</v>
      </c>
      <c r="CA35" s="330">
        <v>0</v>
      </c>
      <c r="CB35" s="330">
        <v>0</v>
      </c>
      <c r="CC35" s="481">
        <v>0</v>
      </c>
      <c r="CD35" s="481">
        <v>0</v>
      </c>
      <c r="CE35" s="481">
        <v>0</v>
      </c>
      <c r="CF35" s="481">
        <v>0</v>
      </c>
      <c r="CG35" s="481"/>
      <c r="CH35" s="364">
        <v>0</v>
      </c>
      <c r="CI35" s="367">
        <v>0</v>
      </c>
      <c r="CJ35" s="367">
        <v>0</v>
      </c>
      <c r="CK35" s="330">
        <v>0</v>
      </c>
      <c r="CL35" s="367">
        <v>0</v>
      </c>
      <c r="CM35" s="367">
        <v>0</v>
      </c>
      <c r="CN35" s="509">
        <v>0</v>
      </c>
      <c r="CO35" s="509">
        <v>0</v>
      </c>
      <c r="CP35" s="525">
        <v>0</v>
      </c>
    </row>
    <row r="36" spans="1:98" ht="15">
      <c r="A36" s="485" t="s">
        <v>46</v>
      </c>
      <c r="B36" s="323">
        <v>0</v>
      </c>
      <c r="C36" s="324"/>
      <c r="D36" s="324"/>
      <c r="E36" s="324"/>
      <c r="F36" s="324"/>
      <c r="G36" s="324"/>
      <c r="H36" s="324">
        <v>17393917.420000002</v>
      </c>
      <c r="I36" s="324">
        <v>19393917.420000002</v>
      </c>
      <c r="J36" s="324">
        <v>20393917.420000002</v>
      </c>
      <c r="K36" s="324">
        <v>21393917.420000002</v>
      </c>
      <c r="L36" s="476">
        <v>22393917.420000002</v>
      </c>
      <c r="M36" s="476">
        <v>6737962.1200000001</v>
      </c>
      <c r="N36" s="476">
        <v>7737962.1200000001</v>
      </c>
      <c r="O36" s="476">
        <v>3334753.02</v>
      </c>
      <c r="P36" s="476">
        <v>4334753.0199999996</v>
      </c>
      <c r="Q36" s="338">
        <v>4334753.0199999996</v>
      </c>
      <c r="R36" s="338">
        <v>4334753.0199999996</v>
      </c>
      <c r="S36" s="338">
        <v>3334753.02</v>
      </c>
      <c r="T36" s="324"/>
      <c r="U36" s="338">
        <v>4669506.04</v>
      </c>
      <c r="V36" s="338">
        <v>2643761.02</v>
      </c>
      <c r="W36" s="338">
        <v>2643761.02</v>
      </c>
      <c r="X36" s="338">
        <v>2643761.02</v>
      </c>
      <c r="Y36" s="338">
        <v>2643761.02</v>
      </c>
      <c r="Z36" s="338">
        <v>2643761.02</v>
      </c>
      <c r="AA36" s="338">
        <v>3643761.02</v>
      </c>
      <c r="AB36" s="338">
        <v>1643761.02</v>
      </c>
      <c r="AC36" s="338">
        <v>643761.02</v>
      </c>
      <c r="AD36" s="338">
        <v>1643761.02</v>
      </c>
      <c r="AE36" s="338">
        <v>1643761.02</v>
      </c>
      <c r="AF36" s="338">
        <v>643761.02</v>
      </c>
      <c r="AG36" s="338"/>
      <c r="AH36" s="344">
        <v>643761.02</v>
      </c>
      <c r="AI36" s="344">
        <v>643761.02</v>
      </c>
      <c r="AJ36" s="344">
        <v>643761.02</v>
      </c>
      <c r="AK36" s="344">
        <v>1643761.02</v>
      </c>
      <c r="AL36" s="344">
        <v>643761.02</v>
      </c>
      <c r="AM36" s="344">
        <v>862924.22</v>
      </c>
      <c r="AN36" s="344">
        <v>0</v>
      </c>
      <c r="AO36" s="344">
        <v>0</v>
      </c>
      <c r="AP36" s="344">
        <v>0</v>
      </c>
      <c r="AQ36" s="344">
        <v>0</v>
      </c>
      <c r="AR36" s="344">
        <v>0</v>
      </c>
      <c r="AS36" s="344">
        <v>0</v>
      </c>
      <c r="AT36" s="344">
        <v>0</v>
      </c>
      <c r="AU36" s="479">
        <v>0</v>
      </c>
      <c r="AV36" s="479">
        <v>0</v>
      </c>
      <c r="AW36" s="479">
        <v>0</v>
      </c>
      <c r="AX36" s="479">
        <v>0</v>
      </c>
      <c r="AY36" s="479">
        <v>0</v>
      </c>
      <c r="AZ36" s="479">
        <v>0</v>
      </c>
      <c r="BA36" s="479">
        <v>0</v>
      </c>
      <c r="BB36" s="338">
        <v>0</v>
      </c>
      <c r="BC36" s="479">
        <v>0</v>
      </c>
      <c r="BD36" s="479">
        <v>0</v>
      </c>
      <c r="BE36" s="479">
        <v>0</v>
      </c>
      <c r="BF36" s="479">
        <v>0</v>
      </c>
      <c r="BG36" s="366">
        <v>0</v>
      </c>
      <c r="BH36" s="362">
        <v>0</v>
      </c>
      <c r="BI36" s="362">
        <v>0</v>
      </c>
      <c r="BJ36" s="362">
        <v>0</v>
      </c>
      <c r="BK36" s="362">
        <v>0</v>
      </c>
      <c r="BL36" s="362">
        <v>0</v>
      </c>
      <c r="BM36" s="362">
        <v>0</v>
      </c>
      <c r="BN36" s="362">
        <v>0</v>
      </c>
      <c r="BO36" s="362">
        <v>0</v>
      </c>
      <c r="BP36" s="362">
        <v>0</v>
      </c>
      <c r="BQ36" s="362">
        <v>0</v>
      </c>
      <c r="BR36" s="362">
        <v>0</v>
      </c>
      <c r="BS36" s="362">
        <v>0</v>
      </c>
      <c r="BT36" s="362"/>
      <c r="BU36" s="480">
        <v>0</v>
      </c>
      <c r="BV36" s="480">
        <v>0</v>
      </c>
      <c r="BW36" s="480">
        <v>0</v>
      </c>
      <c r="BX36" s="480">
        <v>0</v>
      </c>
      <c r="BY36" s="330">
        <v>0</v>
      </c>
      <c r="BZ36" s="330">
        <v>0</v>
      </c>
      <c r="CA36" s="330">
        <v>0</v>
      </c>
      <c r="CB36" s="330">
        <v>0</v>
      </c>
      <c r="CC36" s="481">
        <v>0</v>
      </c>
      <c r="CD36" s="481">
        <v>0</v>
      </c>
      <c r="CE36" s="481">
        <v>0</v>
      </c>
      <c r="CF36" s="481">
        <v>0</v>
      </c>
      <c r="CG36" s="481"/>
      <c r="CH36" s="364">
        <v>0</v>
      </c>
      <c r="CI36" s="367">
        <v>0</v>
      </c>
      <c r="CJ36" s="367">
        <v>0</v>
      </c>
      <c r="CK36" s="330">
        <v>0</v>
      </c>
      <c r="CL36" s="367">
        <v>0</v>
      </c>
      <c r="CM36" s="367">
        <v>0</v>
      </c>
      <c r="CN36" s="509">
        <v>0</v>
      </c>
      <c r="CO36" s="509">
        <v>0</v>
      </c>
      <c r="CP36" s="525">
        <v>0</v>
      </c>
    </row>
    <row r="37" spans="1:98" ht="15">
      <c r="A37" s="485" t="s">
        <v>47</v>
      </c>
      <c r="B37" s="323">
        <v>6936000</v>
      </c>
      <c r="C37" s="324">
        <f>88420000+8906000</f>
        <v>97326000</v>
      </c>
      <c r="D37" s="324">
        <f>155000+12000+17000+27000+806000+8552000+36000+477000+121000+1185000</f>
        <v>11388000</v>
      </c>
      <c r="E37" s="324">
        <f>251475140+23059871</f>
        <v>274535011</v>
      </c>
      <c r="F37" s="324">
        <f>306347796+45915461</f>
        <v>352263257</v>
      </c>
      <c r="G37" s="324">
        <f>87213374+342612533</f>
        <v>429825907</v>
      </c>
      <c r="H37" s="324">
        <v>466075587.00999999</v>
      </c>
      <c r="I37" s="324">
        <v>218581496.08000001</v>
      </c>
      <c r="J37" s="324">
        <v>252325419.68000001</v>
      </c>
      <c r="K37" s="324">
        <v>297733054.56999999</v>
      </c>
      <c r="L37" s="476">
        <v>325478139.73000002</v>
      </c>
      <c r="M37" s="476">
        <v>370176744.31</v>
      </c>
      <c r="N37" s="476">
        <v>410807331.44</v>
      </c>
      <c r="O37" s="476">
        <v>456037807.63999999</v>
      </c>
      <c r="P37" s="476">
        <v>500203082.55000001</v>
      </c>
      <c r="Q37" s="338">
        <v>545270202.60000002</v>
      </c>
      <c r="R37" s="338">
        <v>590240855</v>
      </c>
      <c r="S37" s="338">
        <v>631410811.71000004</v>
      </c>
      <c r="T37" s="324">
        <f>67893441+374569299</f>
        <v>442462740</v>
      </c>
      <c r="U37" s="338">
        <v>1266761125.22</v>
      </c>
      <c r="V37" s="338">
        <v>268787640.89999998</v>
      </c>
      <c r="W37" s="338">
        <v>322861350.86000001</v>
      </c>
      <c r="X37" s="338">
        <v>376433950.20999998</v>
      </c>
      <c r="Y37" s="338">
        <v>400617038.94</v>
      </c>
      <c r="Z37" s="338">
        <v>426381939.98000002</v>
      </c>
      <c r="AA37" s="338">
        <v>483413061.62</v>
      </c>
      <c r="AB37" s="338">
        <v>206962778.91999999</v>
      </c>
      <c r="AC37" s="338">
        <v>237706995.37</v>
      </c>
      <c r="AD37" s="338">
        <v>208315835.18000001</v>
      </c>
      <c r="AE37" s="338">
        <v>224070548.08000001</v>
      </c>
      <c r="AF37" s="338">
        <v>231477918.18000001</v>
      </c>
      <c r="AG37" s="338">
        <f>83043250+468684234</f>
        <v>551727484</v>
      </c>
      <c r="AH37" s="344">
        <v>244176130.40000001</v>
      </c>
      <c r="AI37" s="344">
        <v>89946580.629999995</v>
      </c>
      <c r="AJ37" s="344">
        <v>109782355.44</v>
      </c>
      <c r="AK37" s="344">
        <v>84100920.75</v>
      </c>
      <c r="AL37" s="344">
        <v>93554185</v>
      </c>
      <c r="AM37" s="344">
        <v>110781474.65000001</v>
      </c>
      <c r="AN37" s="344">
        <v>107197829.09</v>
      </c>
      <c r="AO37" s="344">
        <v>125297326.45</v>
      </c>
      <c r="AP37" s="344">
        <v>142471910.53999999</v>
      </c>
      <c r="AQ37" s="344">
        <v>158566742.47</v>
      </c>
      <c r="AR37" s="344">
        <v>176036887.31</v>
      </c>
      <c r="AS37" s="344">
        <v>138467157.74000001</v>
      </c>
      <c r="AT37" s="327">
        <v>88124106</v>
      </c>
      <c r="AU37" s="479">
        <v>153772599.83000001</v>
      </c>
      <c r="AV37" s="479">
        <v>148919032.81999999</v>
      </c>
      <c r="AW37" s="479">
        <v>105196715.69</v>
      </c>
      <c r="AX37" s="479">
        <v>75459347.950000003</v>
      </c>
      <c r="AY37" s="479">
        <v>82006125.640000001</v>
      </c>
      <c r="AZ37" s="479">
        <v>93418759.819999993</v>
      </c>
      <c r="BA37" s="479">
        <v>86477155.219999999</v>
      </c>
      <c r="BB37" s="338">
        <v>94568826.390000001</v>
      </c>
      <c r="BC37" s="479">
        <v>97172933.269999996</v>
      </c>
      <c r="BD37" s="479">
        <v>103725966.33</v>
      </c>
      <c r="BE37" s="479">
        <v>110726955.97</v>
      </c>
      <c r="BF37" s="479">
        <v>112318474.70999999</v>
      </c>
      <c r="BG37" s="367">
        <f>18872704+82534142+1500000</f>
        <v>102906846</v>
      </c>
      <c r="BH37" s="372">
        <v>122120124.86</v>
      </c>
      <c r="BI37" s="362">
        <v>92602416.030000001</v>
      </c>
      <c r="BJ37" s="362">
        <v>92016795.739999995</v>
      </c>
      <c r="BK37" s="362">
        <v>68006372.730000004</v>
      </c>
      <c r="BL37" s="362">
        <v>73655596.719999999</v>
      </c>
      <c r="BM37" s="362">
        <v>79738053.099999994</v>
      </c>
      <c r="BN37" s="362">
        <v>76219978.390000001</v>
      </c>
      <c r="BO37" s="362">
        <v>86913229.239999995</v>
      </c>
      <c r="BP37" s="362">
        <v>104100436.98999999</v>
      </c>
      <c r="BQ37" s="362">
        <v>121504642.48999999</v>
      </c>
      <c r="BR37" s="362">
        <v>142871541.43000001</v>
      </c>
      <c r="BS37" s="362">
        <v>155607983.81999999</v>
      </c>
      <c r="BT37" s="362">
        <f>7010120+93875670+1800000</f>
        <v>102685790</v>
      </c>
      <c r="BU37" s="486">
        <v>91291615.409999996</v>
      </c>
      <c r="BV37" s="486">
        <v>95571669.239999995</v>
      </c>
      <c r="BW37" s="486">
        <v>70599495</v>
      </c>
      <c r="BX37" s="486">
        <v>85385285.909999996</v>
      </c>
      <c r="BY37" s="330">
        <v>105299910.83</v>
      </c>
      <c r="BZ37" s="330">
        <v>112859003.55</v>
      </c>
      <c r="CA37" s="330">
        <v>114117133.03</v>
      </c>
      <c r="CB37" s="468">
        <v>125705915.19</v>
      </c>
      <c r="CC37" s="481">
        <v>136778067.28999999</v>
      </c>
      <c r="CD37" s="481">
        <v>150405816.94</v>
      </c>
      <c r="CE37" s="481">
        <v>165367682.84</v>
      </c>
      <c r="CF37" s="481">
        <v>89295344.709999993</v>
      </c>
      <c r="CG37" s="481">
        <f>1017976559-CG34+19404423</f>
        <v>132434567</v>
      </c>
      <c r="CH37" s="364">
        <v>117320184.18000001</v>
      </c>
      <c r="CI37" s="367">
        <v>122045320.98</v>
      </c>
      <c r="CJ37" s="367">
        <v>88444345.730000004</v>
      </c>
      <c r="CK37" s="330">
        <v>100824714.31999999</v>
      </c>
      <c r="CL37" s="367">
        <v>106137725.13</v>
      </c>
      <c r="CM37" s="367">
        <v>122450602.43000001</v>
      </c>
      <c r="CN37" s="510">
        <v>108437253.58</v>
      </c>
      <c r="CO37" s="510">
        <v>121673809.34</v>
      </c>
      <c r="CP37" s="526">
        <v>127421363.14</v>
      </c>
    </row>
    <row r="38" spans="1:98" ht="15">
      <c r="A38" s="485" t="s">
        <v>48</v>
      </c>
      <c r="B38" s="323">
        <v>49167000</v>
      </c>
      <c r="C38" s="324"/>
      <c r="D38" s="324"/>
      <c r="E38" s="324"/>
      <c r="F38" s="324"/>
      <c r="G38" s="324">
        <v>183333333</v>
      </c>
      <c r="H38" s="324">
        <v>183333333</v>
      </c>
      <c r="I38" s="324">
        <v>166666666</v>
      </c>
      <c r="J38" s="324">
        <v>166666666</v>
      </c>
      <c r="K38" s="324">
        <v>166666666</v>
      </c>
      <c r="L38" s="476">
        <v>166666666</v>
      </c>
      <c r="M38" s="476">
        <v>349999999</v>
      </c>
      <c r="N38" s="476">
        <v>349999999</v>
      </c>
      <c r="O38" s="476">
        <v>433333332</v>
      </c>
      <c r="P38" s="476">
        <v>522916665.32999998</v>
      </c>
      <c r="Q38" s="338">
        <v>618749998.66999996</v>
      </c>
      <c r="R38" s="338">
        <v>587499998.33000004</v>
      </c>
      <c r="S38" s="338">
        <v>577083331.66999996</v>
      </c>
      <c r="T38" s="324">
        <v>577083332</v>
      </c>
      <c r="U38" s="338">
        <v>1133333330.02</v>
      </c>
      <c r="V38" s="338">
        <v>539583331.35000002</v>
      </c>
      <c r="W38" s="338">
        <v>529166664.69</v>
      </c>
      <c r="X38" s="338">
        <v>518749998.02999997</v>
      </c>
      <c r="Y38" s="338">
        <v>491666664.37</v>
      </c>
      <c r="Z38" s="338">
        <v>481258302.50999999</v>
      </c>
      <c r="AA38" s="338">
        <v>470841636.14999998</v>
      </c>
      <c r="AB38" s="338">
        <v>460424969.49000001</v>
      </c>
      <c r="AC38" s="338">
        <v>433341635.82999998</v>
      </c>
      <c r="AD38" s="338">
        <v>422924969.17000002</v>
      </c>
      <c r="AE38" s="338">
        <v>412508302.50999999</v>
      </c>
      <c r="AF38" s="338">
        <v>385424968.85000002</v>
      </c>
      <c r="AG38" s="338">
        <v>385424969.18000001</v>
      </c>
      <c r="AH38" s="344">
        <v>375008302.16000003</v>
      </c>
      <c r="AI38" s="344">
        <v>364591635.5</v>
      </c>
      <c r="AJ38" s="344">
        <v>337508301.83999997</v>
      </c>
      <c r="AK38" s="344">
        <v>293758305.18000001</v>
      </c>
      <c r="AL38" s="344">
        <v>283341692.51999998</v>
      </c>
      <c r="AM38" s="344">
        <v>276758672.67000002</v>
      </c>
      <c r="AN38" s="344">
        <v>262551395.33000001</v>
      </c>
      <c r="AO38" s="344">
        <v>149134728.66999999</v>
      </c>
      <c r="AP38" s="344">
        <v>89293632.700000003</v>
      </c>
      <c r="AQ38" s="344">
        <v>-1221150.49</v>
      </c>
      <c r="AR38" s="344">
        <v>0</v>
      </c>
      <c r="AS38" s="344">
        <v>0</v>
      </c>
      <c r="AT38" s="344">
        <v>0</v>
      </c>
      <c r="AU38" s="479">
        <v>0</v>
      </c>
      <c r="AV38" s="479">
        <v>0</v>
      </c>
      <c r="AW38" s="479">
        <v>0</v>
      </c>
      <c r="AX38" s="479">
        <v>0</v>
      </c>
      <c r="AY38" s="479">
        <v>0</v>
      </c>
      <c r="AZ38" s="479">
        <v>0</v>
      </c>
      <c r="BA38" s="479">
        <v>0</v>
      </c>
      <c r="BB38" s="338">
        <v>0</v>
      </c>
      <c r="BC38" s="479">
        <v>0</v>
      </c>
      <c r="BD38" s="479">
        <v>0</v>
      </c>
      <c r="BE38" s="479">
        <v>0</v>
      </c>
      <c r="BF38" s="479">
        <v>0</v>
      </c>
      <c r="BG38" s="366">
        <v>0</v>
      </c>
      <c r="BH38" s="362">
        <v>0</v>
      </c>
      <c r="BI38" s="362">
        <v>0</v>
      </c>
      <c r="BJ38" s="362">
        <v>0</v>
      </c>
      <c r="BK38" s="362">
        <v>0</v>
      </c>
      <c r="BL38" s="362">
        <v>0</v>
      </c>
      <c r="BM38" s="362">
        <v>0</v>
      </c>
      <c r="BN38" s="362">
        <v>0</v>
      </c>
      <c r="BO38" s="362">
        <v>0</v>
      </c>
      <c r="BP38" s="362">
        <v>0</v>
      </c>
      <c r="BQ38" s="362">
        <v>0</v>
      </c>
      <c r="BR38" s="362">
        <v>0</v>
      </c>
      <c r="BS38" s="362">
        <v>0</v>
      </c>
      <c r="BT38" s="362"/>
      <c r="BU38" s="489">
        <v>0</v>
      </c>
      <c r="BV38" s="489">
        <v>0</v>
      </c>
      <c r="BW38" s="489">
        <v>0</v>
      </c>
      <c r="BX38" s="489">
        <v>0</v>
      </c>
      <c r="BY38" s="330">
        <v>0</v>
      </c>
      <c r="BZ38" s="330">
        <v>0</v>
      </c>
      <c r="CA38" s="330">
        <v>0</v>
      </c>
      <c r="CB38" s="330">
        <v>0</v>
      </c>
      <c r="CC38" s="481">
        <v>0</v>
      </c>
      <c r="CD38" s="481">
        <v>0</v>
      </c>
      <c r="CE38" s="481">
        <v>0</v>
      </c>
      <c r="CF38" s="481">
        <v>0</v>
      </c>
      <c r="CG38" s="481"/>
      <c r="CH38" s="364">
        <v>0</v>
      </c>
      <c r="CI38" s="367">
        <v>0</v>
      </c>
      <c r="CJ38" s="367">
        <v>0</v>
      </c>
      <c r="CK38" s="330">
        <v>0</v>
      </c>
      <c r="CL38" s="367">
        <v>0</v>
      </c>
      <c r="CM38" s="367">
        <v>0</v>
      </c>
      <c r="CN38" s="509">
        <v>0</v>
      </c>
      <c r="CO38" s="509">
        <v>0</v>
      </c>
      <c r="CP38" s="525">
        <v>0</v>
      </c>
    </row>
    <row r="39" spans="1:98" s="473" customFormat="1">
      <c r="A39" s="332" t="s">
        <v>49</v>
      </c>
      <c r="B39" s="341">
        <f t="shared" ref="B39:BM39" si="23">B31+B32</f>
        <v>1597224000</v>
      </c>
      <c r="C39" s="341">
        <f t="shared" si="23"/>
        <v>1981931000</v>
      </c>
      <c r="D39" s="341">
        <f t="shared" si="23"/>
        <v>2039815000</v>
      </c>
      <c r="E39" s="341">
        <f t="shared" si="23"/>
        <v>2754806930</v>
      </c>
      <c r="F39" s="341">
        <f t="shared" si="23"/>
        <v>3362066521.79</v>
      </c>
      <c r="G39" s="341">
        <f t="shared" si="23"/>
        <v>4201071132</v>
      </c>
      <c r="H39" s="341">
        <f t="shared" si="23"/>
        <v>4246043905.8299999</v>
      </c>
      <c r="I39" s="341">
        <f t="shared" si="23"/>
        <v>4211772210.5499997</v>
      </c>
      <c r="J39" s="341">
        <f t="shared" si="23"/>
        <v>4218807116.1100001</v>
      </c>
      <c r="K39" s="341">
        <f t="shared" si="23"/>
        <v>4229885974.79</v>
      </c>
      <c r="L39" s="341">
        <f t="shared" si="23"/>
        <v>4275488795.9900002</v>
      </c>
      <c r="M39" s="341">
        <f t="shared" si="23"/>
        <v>4620148632.29</v>
      </c>
      <c r="N39" s="341">
        <f t="shared" si="23"/>
        <v>4717993550.5300007</v>
      </c>
      <c r="O39" s="341">
        <f t="shared" si="23"/>
        <v>4916024237.3699999</v>
      </c>
      <c r="P39" s="341">
        <f t="shared" si="23"/>
        <v>5058241015.2299995</v>
      </c>
      <c r="Q39" s="341">
        <f t="shared" si="23"/>
        <v>5294636280.2600002</v>
      </c>
      <c r="R39" s="341">
        <f t="shared" si="23"/>
        <v>5405509481.71</v>
      </c>
      <c r="S39" s="341">
        <f t="shared" si="23"/>
        <v>5474888987.6499996</v>
      </c>
      <c r="T39" s="341">
        <f t="shared" si="23"/>
        <v>5372052896</v>
      </c>
      <c r="U39" s="341">
        <f t="shared" si="23"/>
        <v>11001624670.540001</v>
      </c>
      <c r="V39" s="341">
        <f t="shared" si="23"/>
        <v>5414827557.25</v>
      </c>
      <c r="W39" s="341">
        <f t="shared" si="23"/>
        <v>5401038871.6299992</v>
      </c>
      <c r="X39" s="341">
        <f t="shared" si="23"/>
        <v>5417163427.7000008</v>
      </c>
      <c r="Y39" s="341">
        <f t="shared" si="23"/>
        <v>5486898009.1700001</v>
      </c>
      <c r="Z39" s="341">
        <f t="shared" si="23"/>
        <v>5557900629.3599997</v>
      </c>
      <c r="AA39" s="341">
        <f t="shared" si="23"/>
        <v>5682020563.0900002</v>
      </c>
      <c r="AB39" s="341">
        <f t="shared" si="23"/>
        <v>5758841945.4400005</v>
      </c>
      <c r="AC39" s="341">
        <f t="shared" si="23"/>
        <v>5799856040.0600004</v>
      </c>
      <c r="AD39" s="341">
        <f t="shared" si="23"/>
        <v>5900662003.9899998</v>
      </c>
      <c r="AE39" s="341">
        <f t="shared" si="23"/>
        <v>6003619959.8800011</v>
      </c>
      <c r="AF39" s="341">
        <f t="shared" si="23"/>
        <v>6075553449.3299999</v>
      </c>
      <c r="AG39" s="341">
        <f t="shared" si="23"/>
        <v>6074686401.1800003</v>
      </c>
      <c r="AH39" s="341">
        <f t="shared" si="23"/>
        <v>6185587527.1900005</v>
      </c>
      <c r="AI39" s="341">
        <f t="shared" si="23"/>
        <v>6023821608.9099998</v>
      </c>
      <c r="AJ39" s="341">
        <f t="shared" si="23"/>
        <v>6066831304.8200006</v>
      </c>
      <c r="AK39" s="341">
        <f t="shared" si="23"/>
        <v>6014320009.0999994</v>
      </c>
      <c r="AL39" s="341">
        <f t="shared" si="23"/>
        <v>6083682634.6999998</v>
      </c>
      <c r="AM39" s="341">
        <f t="shared" si="23"/>
        <v>6196442589.3000002</v>
      </c>
      <c r="AN39" s="341">
        <f t="shared" si="23"/>
        <v>6354465363.7600002</v>
      </c>
      <c r="AO39" s="341">
        <f t="shared" si="23"/>
        <v>6337689246.3699999</v>
      </c>
      <c r="AP39" s="341">
        <f t="shared" si="23"/>
        <v>6382605332.4599991</v>
      </c>
      <c r="AQ39" s="341">
        <f t="shared" si="23"/>
        <v>6479840059.5900002</v>
      </c>
      <c r="AR39" s="341">
        <f t="shared" si="23"/>
        <v>6601807460.3199997</v>
      </c>
      <c r="AS39" s="341">
        <f t="shared" si="23"/>
        <v>6681392405.46</v>
      </c>
      <c r="AT39" s="341">
        <f t="shared" si="23"/>
        <v>6628806642</v>
      </c>
      <c r="AU39" s="341">
        <f t="shared" si="23"/>
        <v>6782766498.6700001</v>
      </c>
      <c r="AV39" s="341">
        <f t="shared" si="23"/>
        <v>6595053969.039999</v>
      </c>
      <c r="AW39" s="341">
        <f t="shared" si="23"/>
        <v>6554370759.5099993</v>
      </c>
      <c r="AX39" s="341">
        <f t="shared" si="23"/>
        <v>6681640712.5999994</v>
      </c>
      <c r="AY39" s="341">
        <f t="shared" si="23"/>
        <v>6741086514.6900005</v>
      </c>
      <c r="AZ39" s="341">
        <f t="shared" si="23"/>
        <v>6839549100.0999994</v>
      </c>
      <c r="BA39" s="341">
        <f t="shared" si="23"/>
        <v>6981989584.5600004</v>
      </c>
      <c r="BB39" s="341">
        <f t="shared" si="23"/>
        <v>7112538767.2800007</v>
      </c>
      <c r="BC39" s="341">
        <f t="shared" si="23"/>
        <v>7184859016.1700001</v>
      </c>
      <c r="BD39" s="341">
        <f t="shared" si="23"/>
        <v>7286320833.9499998</v>
      </c>
      <c r="BE39" s="341">
        <f t="shared" si="23"/>
        <v>7350693259.8200006</v>
      </c>
      <c r="BF39" s="341">
        <f t="shared" si="23"/>
        <v>7487776333.3400011</v>
      </c>
      <c r="BG39" s="369">
        <f t="shared" si="23"/>
        <v>7534150045</v>
      </c>
      <c r="BH39" s="341">
        <f t="shared" si="23"/>
        <v>7482828069.2599993</v>
      </c>
      <c r="BI39" s="341">
        <f t="shared" si="23"/>
        <v>7358637466.2699995</v>
      </c>
      <c r="BJ39" s="341">
        <f t="shared" si="23"/>
        <v>7434087275.7299995</v>
      </c>
      <c r="BK39" s="341">
        <f t="shared" si="23"/>
        <v>7517210675.6000004</v>
      </c>
      <c r="BL39" s="341">
        <f t="shared" si="23"/>
        <v>7604330701.1799994</v>
      </c>
      <c r="BM39" s="341">
        <f t="shared" si="23"/>
        <v>7692244250.960001</v>
      </c>
      <c r="BN39" s="341">
        <f t="shared" ref="BN39:CT39" si="24">BN31+BN32</f>
        <v>8005894795.6500006</v>
      </c>
      <c r="BO39" s="341">
        <f t="shared" si="24"/>
        <v>8061358037.1400003</v>
      </c>
      <c r="BP39" s="341">
        <f t="shared" si="24"/>
        <v>8248555975.2999992</v>
      </c>
      <c r="BQ39" s="341">
        <f t="shared" si="24"/>
        <v>8431897063.8999996</v>
      </c>
      <c r="BR39" s="341">
        <f t="shared" si="24"/>
        <v>8581305683.1300011</v>
      </c>
      <c r="BS39" s="341">
        <f t="shared" si="24"/>
        <v>8715035466.1900005</v>
      </c>
      <c r="BT39" s="341">
        <f t="shared" si="24"/>
        <v>8712280891</v>
      </c>
      <c r="BU39" s="341">
        <f t="shared" si="24"/>
        <v>8502718574.6699991</v>
      </c>
      <c r="BV39" s="341">
        <f t="shared" si="24"/>
        <v>8515072177.6000004</v>
      </c>
      <c r="BW39" s="341">
        <f t="shared" si="24"/>
        <v>8589136350.4300003</v>
      </c>
      <c r="BX39" s="341">
        <f t="shared" si="24"/>
        <v>8666556241.1300011</v>
      </c>
      <c r="BY39" s="341">
        <f t="shared" si="24"/>
        <v>8898859470.6100006</v>
      </c>
      <c r="BZ39" s="341">
        <f t="shared" si="24"/>
        <v>9040017382.1599998</v>
      </c>
      <c r="CA39" s="341">
        <f t="shared" si="24"/>
        <v>9307847368.5600014</v>
      </c>
      <c r="CB39" s="341">
        <f t="shared" si="24"/>
        <v>9427349706.75</v>
      </c>
      <c r="CC39" s="341">
        <f t="shared" si="24"/>
        <v>9503707595.1800003</v>
      </c>
      <c r="CD39" s="341">
        <f t="shared" si="24"/>
        <v>9667949298.2599983</v>
      </c>
      <c r="CE39" s="341">
        <f t="shared" si="24"/>
        <v>9847897578.1700001</v>
      </c>
      <c r="CF39" s="341">
        <f t="shared" si="24"/>
        <v>9906445558.3499985</v>
      </c>
      <c r="CG39" s="341">
        <f t="shared" si="24"/>
        <v>9960373013</v>
      </c>
      <c r="CH39" s="369">
        <f t="shared" si="24"/>
        <v>9587723906.0100002</v>
      </c>
      <c r="CI39" s="369">
        <f t="shared" si="24"/>
        <v>9598706643.0100002</v>
      </c>
      <c r="CJ39" s="369">
        <f t="shared" si="24"/>
        <v>9630627689.7599983</v>
      </c>
      <c r="CK39" s="341">
        <f t="shared" si="24"/>
        <v>9777706557.5799999</v>
      </c>
      <c r="CL39" s="341">
        <f t="shared" si="24"/>
        <v>9909457576.0899982</v>
      </c>
      <c r="CM39" s="341">
        <f t="shared" si="24"/>
        <v>10234638300.799999</v>
      </c>
      <c r="CN39" s="341">
        <f t="shared" si="24"/>
        <v>10536719827.74</v>
      </c>
      <c r="CO39" s="341">
        <f t="shared" si="24"/>
        <v>10770748629.889999</v>
      </c>
      <c r="CP39" s="341">
        <f t="shared" si="24"/>
        <v>10840472061.719999</v>
      </c>
      <c r="CQ39" s="341">
        <f t="shared" si="24"/>
        <v>0</v>
      </c>
      <c r="CR39" s="341">
        <f t="shared" si="24"/>
        <v>0</v>
      </c>
      <c r="CS39" s="341">
        <f t="shared" si="24"/>
        <v>0</v>
      </c>
      <c r="CT39" s="341">
        <f t="shared" si="24"/>
        <v>0</v>
      </c>
    </row>
    <row r="40" spans="1:98">
      <c r="A40" s="487" t="s">
        <v>50</v>
      </c>
      <c r="B40" s="323"/>
      <c r="C40" s="324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AG40" s="335"/>
      <c r="BG40" s="367"/>
      <c r="BU40" s="486"/>
      <c r="BV40" s="486"/>
      <c r="BW40" s="486"/>
      <c r="BX40" s="486"/>
      <c r="CC40" s="488"/>
      <c r="CD40" s="488"/>
      <c r="CE40" s="488"/>
      <c r="CF40" s="488"/>
      <c r="CG40" s="488"/>
      <c r="CH40" s="364"/>
      <c r="CI40" s="367"/>
      <c r="CJ40" s="367"/>
      <c r="CK40" s="367"/>
      <c r="CL40" s="367"/>
      <c r="CM40" s="367"/>
    </row>
    <row r="41" spans="1:98" ht="30.75">
      <c r="A41" s="485" t="s">
        <v>51</v>
      </c>
      <c r="B41" s="323">
        <v>17007000</v>
      </c>
      <c r="C41" s="324">
        <v>17738000</v>
      </c>
      <c r="D41" s="324">
        <v>46593000</v>
      </c>
      <c r="E41" s="324">
        <v>51183315</v>
      </c>
      <c r="F41" s="324">
        <v>57957132</v>
      </c>
      <c r="G41" s="324">
        <v>163048132</v>
      </c>
      <c r="H41" s="324">
        <v>164684468.44999999</v>
      </c>
      <c r="I41" s="324">
        <v>175848194.44999999</v>
      </c>
      <c r="J41" s="324">
        <v>179776088.44999999</v>
      </c>
      <c r="K41" s="324">
        <v>182024450.44999999</v>
      </c>
      <c r="L41" s="476">
        <v>185284742.94999999</v>
      </c>
      <c r="M41" s="490">
        <v>192017650.94999999</v>
      </c>
      <c r="N41" s="490">
        <v>195738650.94999999</v>
      </c>
      <c r="O41" s="490">
        <v>207218961.09999999</v>
      </c>
      <c r="P41" s="490">
        <v>211406878.09999999</v>
      </c>
      <c r="Q41" s="337">
        <v>222160421.09999999</v>
      </c>
      <c r="R41" s="337">
        <v>232307152.15000001</v>
      </c>
      <c r="S41" s="337">
        <v>244898056.43000001</v>
      </c>
      <c r="T41" s="324">
        <v>244898056</v>
      </c>
      <c r="U41" s="338">
        <v>496894134.54000002</v>
      </c>
      <c r="V41" s="337">
        <v>264850817.31</v>
      </c>
      <c r="W41" s="338">
        <v>269289147.75</v>
      </c>
      <c r="X41" s="338">
        <v>280705938.81</v>
      </c>
      <c r="Y41" s="338">
        <v>293294895.73000002</v>
      </c>
      <c r="Z41" s="338">
        <v>309565236.94</v>
      </c>
      <c r="AA41" s="338">
        <v>323245089.5</v>
      </c>
      <c r="AB41" s="338">
        <v>336171037.69</v>
      </c>
      <c r="AC41" s="338">
        <v>343880724.25</v>
      </c>
      <c r="AD41" s="338">
        <v>348795222.97000003</v>
      </c>
      <c r="AE41" s="338">
        <v>354210890.18000001</v>
      </c>
      <c r="AF41" s="338">
        <v>362945371.10000002</v>
      </c>
      <c r="AG41" s="338">
        <v>362945371</v>
      </c>
      <c r="AH41" s="344">
        <v>366969533.17000002</v>
      </c>
      <c r="AI41" s="344">
        <v>443612198.19</v>
      </c>
      <c r="AJ41" s="344">
        <v>446981054.30000001</v>
      </c>
      <c r="AK41" s="344">
        <v>452858470</v>
      </c>
      <c r="AL41" s="344">
        <v>456435559.58999997</v>
      </c>
      <c r="AM41" s="344">
        <v>459781000.23000002</v>
      </c>
      <c r="AN41" s="344">
        <v>462918371.31</v>
      </c>
      <c r="AO41" s="344">
        <v>467608929.56999999</v>
      </c>
      <c r="AP41" s="344">
        <v>473578812.25</v>
      </c>
      <c r="AQ41" s="344">
        <v>476242942.50999999</v>
      </c>
      <c r="AR41" s="344">
        <v>480248723.97000003</v>
      </c>
      <c r="AS41" s="344">
        <v>489216588.69</v>
      </c>
      <c r="AT41" s="327">
        <v>489216589</v>
      </c>
      <c r="AU41" s="479">
        <v>490991052.38</v>
      </c>
      <c r="AV41" s="479">
        <v>506422825.91000003</v>
      </c>
      <c r="AW41" s="479">
        <v>512471974.63</v>
      </c>
      <c r="AX41" s="479">
        <v>514478601.13999999</v>
      </c>
      <c r="AY41" s="479">
        <v>518657598.42000002</v>
      </c>
      <c r="AZ41" s="479">
        <v>522686698.51999998</v>
      </c>
      <c r="BA41" s="479">
        <v>524323581.5</v>
      </c>
      <c r="BB41" s="338">
        <v>527455065.30000001</v>
      </c>
      <c r="BC41" s="479">
        <v>529148638.23000002</v>
      </c>
      <c r="BD41" s="479">
        <v>532080696.35000002</v>
      </c>
      <c r="BE41" s="479">
        <v>535385143.38999999</v>
      </c>
      <c r="BF41" s="479">
        <v>550227613.5</v>
      </c>
      <c r="BG41" s="367">
        <v>550227614</v>
      </c>
      <c r="BH41" s="362">
        <v>567352370.42999995</v>
      </c>
      <c r="BI41" s="327">
        <v>572685546.16999996</v>
      </c>
      <c r="BJ41" s="362">
        <v>575669566.38</v>
      </c>
      <c r="BK41" s="362">
        <v>580037057.53999996</v>
      </c>
      <c r="BL41" s="362">
        <v>587261781.38999999</v>
      </c>
      <c r="BM41" s="362">
        <v>591199804.32000005</v>
      </c>
      <c r="BN41" s="362">
        <v>594015668.24000001</v>
      </c>
      <c r="BO41" s="362">
        <v>598157578.96000004</v>
      </c>
      <c r="BP41" s="362">
        <v>601746689.30999994</v>
      </c>
      <c r="BQ41" s="362">
        <v>605170489</v>
      </c>
      <c r="BR41" s="362">
        <v>609208113.80999994</v>
      </c>
      <c r="BS41" s="362">
        <v>625837800.20000005</v>
      </c>
      <c r="BT41" s="362">
        <v>625837800</v>
      </c>
      <c r="BU41" s="491">
        <v>647622541.27999997</v>
      </c>
      <c r="BV41" s="491">
        <v>652590473.75999999</v>
      </c>
      <c r="BW41" s="491">
        <v>655489994.16999996</v>
      </c>
      <c r="BX41" s="491">
        <v>661325299.45000005</v>
      </c>
      <c r="BY41" s="362">
        <v>674612711.58000004</v>
      </c>
      <c r="BZ41" s="362">
        <v>682079535.30999994</v>
      </c>
      <c r="CA41" s="362">
        <v>691816591.53999996</v>
      </c>
      <c r="CB41" s="468">
        <v>700499928.15999997</v>
      </c>
      <c r="CC41" s="481">
        <v>704989893.96000004</v>
      </c>
      <c r="CD41" s="481">
        <v>712946749.50999999</v>
      </c>
      <c r="CE41" s="481">
        <v>731915270.73000002</v>
      </c>
      <c r="CF41" s="481">
        <v>739534288.45000005</v>
      </c>
      <c r="CG41" s="481">
        <v>739534288</v>
      </c>
      <c r="CH41" s="364">
        <v>767039945.34000003</v>
      </c>
      <c r="CI41" s="367">
        <v>779305953.38</v>
      </c>
      <c r="CJ41" s="367">
        <v>790072628.03999996</v>
      </c>
      <c r="CK41" s="367">
        <v>800464568.66999996</v>
      </c>
      <c r="CL41" s="367">
        <v>813335038.51999998</v>
      </c>
      <c r="CM41" s="367">
        <v>839416136.84000003</v>
      </c>
      <c r="CN41" s="508">
        <v>843972708.65999997</v>
      </c>
      <c r="CO41" s="508">
        <v>849147300.21000004</v>
      </c>
      <c r="CP41" s="508">
        <v>853414593.51999998</v>
      </c>
    </row>
    <row r="42" spans="1:98" ht="15">
      <c r="A42" s="474" t="s">
        <v>52</v>
      </c>
      <c r="B42" s="323"/>
      <c r="C42" s="324"/>
      <c r="D42" s="324"/>
      <c r="E42" s="324"/>
      <c r="F42" s="324"/>
      <c r="G42" s="324"/>
      <c r="H42" s="324">
        <v>0</v>
      </c>
      <c r="I42" s="324">
        <v>0</v>
      </c>
      <c r="J42" s="324">
        <v>0</v>
      </c>
      <c r="K42" s="324"/>
      <c r="L42" s="324"/>
      <c r="M42" s="324"/>
      <c r="N42" s="324"/>
      <c r="O42" s="324"/>
      <c r="P42" s="324"/>
      <c r="Q42" s="324"/>
      <c r="R42" s="324"/>
      <c r="S42" s="338">
        <v>0</v>
      </c>
      <c r="T42" s="338">
        <v>0</v>
      </c>
      <c r="U42" s="338">
        <v>0</v>
      </c>
      <c r="V42" s="337">
        <v>0</v>
      </c>
      <c r="W42" s="338">
        <v>0</v>
      </c>
      <c r="X42" s="338">
        <v>0</v>
      </c>
      <c r="Y42" s="338">
        <v>0</v>
      </c>
      <c r="Z42" s="338">
        <v>0</v>
      </c>
      <c r="AA42" s="338">
        <v>0</v>
      </c>
      <c r="AB42" s="338">
        <v>0</v>
      </c>
      <c r="AC42" s="338">
        <v>0</v>
      </c>
      <c r="AD42" s="338">
        <v>0</v>
      </c>
      <c r="AE42" s="338">
        <v>0</v>
      </c>
      <c r="AF42" s="338">
        <v>0</v>
      </c>
      <c r="AG42" s="338">
        <v>0</v>
      </c>
      <c r="AH42" s="344">
        <v>0</v>
      </c>
      <c r="AI42" s="344">
        <v>0</v>
      </c>
      <c r="AJ42" s="344">
        <v>0</v>
      </c>
      <c r="AK42" s="344">
        <v>0</v>
      </c>
      <c r="AL42" s="344">
        <v>0</v>
      </c>
      <c r="AM42" s="344">
        <v>0</v>
      </c>
      <c r="AN42" s="344">
        <v>0</v>
      </c>
      <c r="AO42" s="344">
        <v>0</v>
      </c>
      <c r="AP42" s="344">
        <v>0</v>
      </c>
      <c r="AQ42" s="344">
        <v>0</v>
      </c>
      <c r="AR42" s="344">
        <v>0</v>
      </c>
      <c r="AS42" s="344">
        <v>0</v>
      </c>
      <c r="AT42" s="330">
        <v>0</v>
      </c>
      <c r="AU42" s="479">
        <v>0</v>
      </c>
      <c r="AV42" s="479">
        <v>0</v>
      </c>
      <c r="AW42" s="479">
        <v>0</v>
      </c>
      <c r="AX42" s="479">
        <v>0</v>
      </c>
      <c r="AY42" s="479">
        <v>0</v>
      </c>
      <c r="AZ42" s="479">
        <v>0</v>
      </c>
      <c r="BA42" s="479">
        <v>0</v>
      </c>
      <c r="BB42" s="338">
        <v>0</v>
      </c>
      <c r="BC42" s="479">
        <v>0</v>
      </c>
      <c r="BD42" s="479">
        <v>0</v>
      </c>
      <c r="BE42" s="479">
        <v>0</v>
      </c>
      <c r="BF42" s="479">
        <v>0</v>
      </c>
      <c r="BG42" s="366">
        <v>0</v>
      </c>
      <c r="BH42" s="362">
        <v>0</v>
      </c>
      <c r="BI42" s="327">
        <v>0</v>
      </c>
      <c r="BJ42" s="362">
        <v>0</v>
      </c>
      <c r="BK42" s="362">
        <v>0</v>
      </c>
      <c r="BL42" s="362">
        <v>0</v>
      </c>
      <c r="BM42" s="362">
        <v>0</v>
      </c>
      <c r="BN42" s="362">
        <v>0</v>
      </c>
      <c r="BO42" s="362">
        <v>0</v>
      </c>
      <c r="BP42" s="362">
        <v>0</v>
      </c>
      <c r="BQ42" s="362">
        <v>0</v>
      </c>
      <c r="BR42" s="362">
        <v>0</v>
      </c>
      <c r="BS42" s="362">
        <v>0</v>
      </c>
      <c r="BT42" s="362"/>
      <c r="BU42" s="491">
        <v>0</v>
      </c>
      <c r="BV42" s="491">
        <v>0</v>
      </c>
      <c r="BW42" s="491">
        <v>0</v>
      </c>
      <c r="BX42" s="491">
        <v>0</v>
      </c>
      <c r="BY42" s="362">
        <v>0</v>
      </c>
      <c r="BZ42" s="362">
        <v>0</v>
      </c>
      <c r="CA42" s="362">
        <v>0</v>
      </c>
      <c r="CB42" s="330">
        <v>0</v>
      </c>
      <c r="CC42" s="481">
        <v>0</v>
      </c>
      <c r="CD42" s="481">
        <v>0</v>
      </c>
      <c r="CE42" s="481">
        <v>0</v>
      </c>
      <c r="CF42" s="481">
        <v>0</v>
      </c>
      <c r="CG42" s="481"/>
      <c r="CH42" s="364">
        <v>0</v>
      </c>
      <c r="CI42" s="367">
        <v>0</v>
      </c>
      <c r="CJ42" s="367">
        <v>0</v>
      </c>
      <c r="CK42" s="367">
        <v>0</v>
      </c>
      <c r="CL42" s="367">
        <v>0</v>
      </c>
      <c r="CM42" s="367">
        <v>0</v>
      </c>
      <c r="CN42" s="509">
        <v>0</v>
      </c>
      <c r="CO42" s="509">
        <v>0</v>
      </c>
      <c r="CP42" s="509">
        <v>0</v>
      </c>
    </row>
    <row r="43" spans="1:98" ht="15">
      <c r="A43" s="485" t="s">
        <v>53</v>
      </c>
      <c r="B43" s="323">
        <v>46757000</v>
      </c>
      <c r="C43" s="324">
        <v>63640000</v>
      </c>
      <c r="D43" s="324">
        <v>90987000</v>
      </c>
      <c r="E43" s="324">
        <v>149785000</v>
      </c>
      <c r="F43" s="324">
        <v>186014434</v>
      </c>
      <c r="G43" s="324">
        <v>192417306</v>
      </c>
      <c r="H43" s="475">
        <v>215192887.31999999</v>
      </c>
      <c r="I43" s="324">
        <v>215610102</v>
      </c>
      <c r="J43" s="324">
        <v>215610102</v>
      </c>
      <c r="K43" s="324">
        <v>215610102</v>
      </c>
      <c r="L43" s="476">
        <v>215610102</v>
      </c>
      <c r="M43" s="476">
        <v>215610102</v>
      </c>
      <c r="N43" s="476">
        <v>215610102</v>
      </c>
      <c r="O43" s="476">
        <v>215610102</v>
      </c>
      <c r="P43" s="476">
        <v>215610102</v>
      </c>
      <c r="Q43" s="338">
        <v>215610102</v>
      </c>
      <c r="R43" s="338">
        <v>215610102</v>
      </c>
      <c r="S43" s="338">
        <v>215610102</v>
      </c>
      <c r="T43" s="338">
        <v>215610102</v>
      </c>
      <c r="U43" s="338">
        <v>513477000.5</v>
      </c>
      <c r="V43" s="338">
        <v>224571429</v>
      </c>
      <c r="W43" s="338">
        <v>224571429</v>
      </c>
      <c r="X43" s="338">
        <v>224571429</v>
      </c>
      <c r="Y43" s="338">
        <v>224571429</v>
      </c>
      <c r="Z43" s="338">
        <v>224571429</v>
      </c>
      <c r="AA43" s="338">
        <v>224571429</v>
      </c>
      <c r="AB43" s="338">
        <v>224571429</v>
      </c>
      <c r="AC43" s="338">
        <v>224571429</v>
      </c>
      <c r="AD43" s="338">
        <v>224571429</v>
      </c>
      <c r="AE43" s="338">
        <v>224571429</v>
      </c>
      <c r="AF43" s="338">
        <v>224571429</v>
      </c>
      <c r="AG43" s="338">
        <v>224571429</v>
      </c>
      <c r="AH43" s="344">
        <v>331805068.94999999</v>
      </c>
      <c r="AI43" s="344">
        <v>271061486</v>
      </c>
      <c r="AJ43" s="344">
        <v>271061486</v>
      </c>
      <c r="AK43" s="344">
        <v>271061486</v>
      </c>
      <c r="AL43" s="344">
        <v>271061486</v>
      </c>
      <c r="AM43" s="344">
        <v>271061486</v>
      </c>
      <c r="AN43" s="344">
        <v>271061486</v>
      </c>
      <c r="AO43" s="344">
        <v>271061486</v>
      </c>
      <c r="AP43" s="344">
        <v>271061486</v>
      </c>
      <c r="AQ43" s="344">
        <v>271061486</v>
      </c>
      <c r="AR43" s="477">
        <v>271061486</v>
      </c>
      <c r="AS43" s="344">
        <v>331061486</v>
      </c>
      <c r="AT43" s="327">
        <v>271061485</v>
      </c>
      <c r="AU43" s="479">
        <v>332681861.60000002</v>
      </c>
      <c r="AV43" s="479">
        <v>332681861.60000002</v>
      </c>
      <c r="AW43" s="479">
        <v>319647574</v>
      </c>
      <c r="AX43" s="479">
        <v>319647574.60000002</v>
      </c>
      <c r="AY43" s="479">
        <v>319647574.60000002</v>
      </c>
      <c r="AZ43" s="479">
        <v>319647574.60000002</v>
      </c>
      <c r="BA43" s="479">
        <v>319647574.60000002</v>
      </c>
      <c r="BB43" s="338">
        <v>319647574.60000002</v>
      </c>
      <c r="BC43" s="479">
        <v>319647574.60000002</v>
      </c>
      <c r="BD43" s="479">
        <v>319647574.60000002</v>
      </c>
      <c r="BE43" s="479">
        <v>319647674.60000002</v>
      </c>
      <c r="BF43" s="479">
        <v>319647674.60000002</v>
      </c>
      <c r="BG43" s="370">
        <v>318027199</v>
      </c>
      <c r="BH43" s="362">
        <v>369783005</v>
      </c>
      <c r="BI43" s="327">
        <v>366063134</v>
      </c>
      <c r="BJ43" s="362">
        <v>366063134</v>
      </c>
      <c r="BK43" s="362">
        <v>366063134</v>
      </c>
      <c r="BL43" s="362">
        <v>366063134</v>
      </c>
      <c r="BM43" s="362">
        <v>366063134</v>
      </c>
      <c r="BN43" s="362">
        <v>366063134</v>
      </c>
      <c r="BO43" s="362">
        <v>366063134</v>
      </c>
      <c r="BP43" s="362">
        <v>366063134</v>
      </c>
      <c r="BQ43" s="362">
        <v>366063134</v>
      </c>
      <c r="BR43" s="362">
        <v>366063134</v>
      </c>
      <c r="BS43" s="362">
        <v>366063134</v>
      </c>
      <c r="BT43" s="362">
        <v>366063134</v>
      </c>
      <c r="BU43" s="491">
        <v>474856634</v>
      </c>
      <c r="BV43" s="491">
        <v>474856634</v>
      </c>
      <c r="BW43" s="491">
        <v>474856634</v>
      </c>
      <c r="BX43" s="491">
        <v>474856634</v>
      </c>
      <c r="BY43" s="362">
        <v>474856634</v>
      </c>
      <c r="BZ43" s="362">
        <v>474856634</v>
      </c>
      <c r="CA43" s="362">
        <v>474856634</v>
      </c>
      <c r="CB43" s="468">
        <v>474856634</v>
      </c>
      <c r="CC43" s="481">
        <v>474856634</v>
      </c>
      <c r="CD43" s="481">
        <v>474856634</v>
      </c>
      <c r="CE43" s="481">
        <v>474856634</v>
      </c>
      <c r="CF43" s="481">
        <v>474856634</v>
      </c>
      <c r="CG43" s="481">
        <v>474856634</v>
      </c>
      <c r="CH43" s="364">
        <v>551447057.16999996</v>
      </c>
      <c r="CI43" s="367">
        <v>551447057.16999996</v>
      </c>
      <c r="CJ43" s="367">
        <v>551447057.16999996</v>
      </c>
      <c r="CK43" s="367">
        <v>551447057.16999996</v>
      </c>
      <c r="CL43" s="367">
        <v>551447057.16999996</v>
      </c>
      <c r="CM43" s="367">
        <v>551447057.16999996</v>
      </c>
      <c r="CN43" s="510">
        <v>551447057.16999996</v>
      </c>
      <c r="CO43" s="510">
        <v>551447057.16999996</v>
      </c>
      <c r="CP43" s="510">
        <v>551447057.16999996</v>
      </c>
    </row>
    <row r="44" spans="1:98" ht="15">
      <c r="A44" s="485" t="s">
        <v>54</v>
      </c>
      <c r="B44" s="323">
        <v>16883000</v>
      </c>
      <c r="C44" s="324">
        <v>27347000</v>
      </c>
      <c r="D44" s="324">
        <v>58798000</v>
      </c>
      <c r="E44" s="324">
        <f>190000000-E43</f>
        <v>40215000</v>
      </c>
      <c r="F44" s="324">
        <f>57040879-11408176-8660233-8113998-1320000</f>
        <v>27538472</v>
      </c>
      <c r="G44" s="324">
        <v>23192796</v>
      </c>
      <c r="H44" s="475">
        <v>35394972.630000003</v>
      </c>
      <c r="I44" s="324">
        <v>-33745366.18</v>
      </c>
      <c r="J44" s="324">
        <v>-31933390.82</v>
      </c>
      <c r="K44" s="324">
        <v>-37953401.020000003</v>
      </c>
      <c r="L44" s="324">
        <v>-38326789.030000001</v>
      </c>
      <c r="M44" s="324">
        <v>-30492385.16</v>
      </c>
      <c r="N44" s="324">
        <v>-25960956.32</v>
      </c>
      <c r="O44" s="324">
        <v>-5251501.3600000003</v>
      </c>
      <c r="P44" s="476">
        <v>9491888.8200000003</v>
      </c>
      <c r="Q44" s="338">
        <v>16787847.98</v>
      </c>
      <c r="R44" s="338">
        <v>23857971.23</v>
      </c>
      <c r="S44" s="338">
        <v>41128398.25</v>
      </c>
      <c r="T44" s="324">
        <v>8961328</v>
      </c>
      <c r="U44" s="338">
        <v>89093078.599999994</v>
      </c>
      <c r="V44" s="338">
        <v>-41964153.270000003</v>
      </c>
      <c r="W44" s="338">
        <v>-47605079.93</v>
      </c>
      <c r="X44" s="338">
        <v>-49774018</v>
      </c>
      <c r="Y44" s="338">
        <v>-32260668.870000001</v>
      </c>
      <c r="Z44" s="338">
        <v>-22234451.57</v>
      </c>
      <c r="AA44" s="338">
        <v>-16035294.210000001</v>
      </c>
      <c r="AB44" s="338">
        <v>2724994.19</v>
      </c>
      <c r="AC44" s="338">
        <v>14428366.07</v>
      </c>
      <c r="AD44" s="338">
        <v>24772724.899999999</v>
      </c>
      <c r="AE44" s="338">
        <v>39126611.469999999</v>
      </c>
      <c r="AF44" s="338">
        <v>107233639.95</v>
      </c>
      <c r="AG44" s="338">
        <v>46490056</v>
      </c>
      <c r="AH44" s="344">
        <v>2236620.04</v>
      </c>
      <c r="AI44" s="344">
        <v>-13132449.689999999</v>
      </c>
      <c r="AJ44" s="344">
        <v>-33082545.75</v>
      </c>
      <c r="AK44" s="344">
        <v>-34795274.25</v>
      </c>
      <c r="AL44" s="344">
        <v>-41004108.75</v>
      </c>
      <c r="AM44" s="344">
        <v>-27381567.780000001</v>
      </c>
      <c r="AN44" s="344">
        <v>-24295817.780000001</v>
      </c>
      <c r="AO44" s="344">
        <v>-2148444.39</v>
      </c>
      <c r="AP44" s="344">
        <v>-1802739.82</v>
      </c>
      <c r="AQ44" s="344">
        <v>-6289782.9000000004</v>
      </c>
      <c r="AR44" s="492">
        <v>4927046.58</v>
      </c>
      <c r="AS44" s="344">
        <v>1620375</v>
      </c>
      <c r="AT44" s="327">
        <v>46965714</v>
      </c>
      <c r="AU44" s="479">
        <v>-2968252.9</v>
      </c>
      <c r="AV44" s="479">
        <v>-3704573.91</v>
      </c>
      <c r="AW44" s="479">
        <v>-29353265.780000001</v>
      </c>
      <c r="AX44" s="479">
        <v>-6054075.8200000003</v>
      </c>
      <c r="AY44" s="479">
        <v>-770222.22</v>
      </c>
      <c r="AZ44" s="479">
        <v>-6899919.1299999999</v>
      </c>
      <c r="BA44" s="479">
        <v>4798673.12</v>
      </c>
      <c r="BB44" s="338">
        <v>19648315.510000002</v>
      </c>
      <c r="BC44" s="479">
        <v>36837692.030000001</v>
      </c>
      <c r="BD44" s="479">
        <v>62205427.399999999</v>
      </c>
      <c r="BE44" s="479">
        <v>78727856.569999993</v>
      </c>
      <c r="BF44" s="479">
        <v>98731350.189999998</v>
      </c>
      <c r="BG44" s="358">
        <v>48035935</v>
      </c>
      <c r="BH44" s="362">
        <v>7704065.7599999998</v>
      </c>
      <c r="BI44" s="327">
        <v>4529656</v>
      </c>
      <c r="BJ44" s="362">
        <v>-11520951.17</v>
      </c>
      <c r="BK44" s="362">
        <v>-9641922.5199999996</v>
      </c>
      <c r="BL44" s="362">
        <v>29287267.059999999</v>
      </c>
      <c r="BM44" s="362">
        <v>27293691.530000001</v>
      </c>
      <c r="BN44" s="362">
        <v>54771317.490000002</v>
      </c>
      <c r="BO44" s="362">
        <v>53957687.93</v>
      </c>
      <c r="BP44" s="362">
        <v>58930300.329999998</v>
      </c>
      <c r="BQ44" s="362">
        <v>71398660.370000005</v>
      </c>
      <c r="BR44" s="362">
        <v>78128877.959999993</v>
      </c>
      <c r="BS44" s="362">
        <v>108313833.03</v>
      </c>
      <c r="BT44" s="362">
        <f>98722491+132208349-26461670-93875670-1800000</f>
        <v>108793500</v>
      </c>
      <c r="BU44" s="491">
        <v>-23968096.02</v>
      </c>
      <c r="BV44" s="491">
        <v>-19738048.359999999</v>
      </c>
      <c r="BW44" s="491">
        <v>-24691579.84</v>
      </c>
      <c r="BX44" s="491">
        <v>-45054036.219999999</v>
      </c>
      <c r="BY44" s="362">
        <v>-58132579.509999998</v>
      </c>
      <c r="BZ44" s="362">
        <v>-43991036.829999998</v>
      </c>
      <c r="CA44" s="362">
        <v>-47278859.409999996</v>
      </c>
      <c r="CB44" s="468">
        <v>-31281922.170000002</v>
      </c>
      <c r="CC44" s="481">
        <v>-17369847.460000001</v>
      </c>
      <c r="CD44" s="481">
        <v>2903723.24</v>
      </c>
      <c r="CE44" s="481">
        <v>16997797.32</v>
      </c>
      <c r="CF44" s="481">
        <v>133042696.94</v>
      </c>
      <c r="CG44" s="493">
        <f>536949277-CG43</f>
        <v>62092643</v>
      </c>
      <c r="CH44" s="364">
        <v>-5612620.04</v>
      </c>
      <c r="CI44" s="367">
        <v>-35865286.060000002</v>
      </c>
      <c r="CJ44" s="367">
        <v>-19637174.989999998</v>
      </c>
      <c r="CK44" s="367">
        <v>-25307017.870000001</v>
      </c>
      <c r="CL44" s="367">
        <v>-18663618.07</v>
      </c>
      <c r="CM44" s="367">
        <v>6735390.9400000004</v>
      </c>
      <c r="CN44" s="510">
        <v>17254704.809999999</v>
      </c>
      <c r="CO44" s="510">
        <v>18794753.620000001</v>
      </c>
      <c r="CP44" s="510">
        <v>48062612.969999999</v>
      </c>
    </row>
    <row r="45" spans="1:98" ht="15">
      <c r="A45" s="485" t="s">
        <v>55</v>
      </c>
      <c r="B45" s="323">
        <v>33539000</v>
      </c>
      <c r="C45" s="324">
        <v>39631000</v>
      </c>
      <c r="D45" s="324">
        <v>54556000</v>
      </c>
      <c r="E45" s="324">
        <v>72274432</v>
      </c>
      <c r="F45" s="324">
        <v>91411000</v>
      </c>
      <c r="G45" s="324">
        <v>103653504</v>
      </c>
      <c r="H45" s="324">
        <v>91411000</v>
      </c>
      <c r="I45" s="324">
        <v>103653504</v>
      </c>
      <c r="J45" s="324">
        <v>103653504</v>
      </c>
      <c r="K45" s="324">
        <v>103653504</v>
      </c>
      <c r="L45" s="476">
        <v>103653504</v>
      </c>
      <c r="M45" s="476">
        <v>103653504</v>
      </c>
      <c r="N45" s="476">
        <v>103653504</v>
      </c>
      <c r="O45" s="476">
        <v>103653504</v>
      </c>
      <c r="P45" s="476">
        <v>103653504</v>
      </c>
      <c r="Q45" s="338">
        <v>103653504</v>
      </c>
      <c r="R45" s="338">
        <v>103653504</v>
      </c>
      <c r="S45" s="338">
        <v>103653504</v>
      </c>
      <c r="T45" s="324">
        <v>126907513</v>
      </c>
      <c r="U45" s="338">
        <v>207307008</v>
      </c>
      <c r="V45" s="338">
        <v>126907513</v>
      </c>
      <c r="W45" s="338">
        <v>126907513</v>
      </c>
      <c r="X45" s="338">
        <v>126907513</v>
      </c>
      <c r="Y45" s="338">
        <v>126907513</v>
      </c>
      <c r="Z45" s="338">
        <v>126907513</v>
      </c>
      <c r="AA45" s="338">
        <v>126907513</v>
      </c>
      <c r="AB45" s="338">
        <v>126907513</v>
      </c>
      <c r="AC45" s="338">
        <v>126907513</v>
      </c>
      <c r="AD45" s="338">
        <v>126907513</v>
      </c>
      <c r="AE45" s="338">
        <v>126907513</v>
      </c>
      <c r="AF45" s="338">
        <v>126907513</v>
      </c>
      <c r="AG45" s="338">
        <v>155984729</v>
      </c>
      <c r="AH45" s="344">
        <v>126907513</v>
      </c>
      <c r="AI45" s="344">
        <v>155984729</v>
      </c>
      <c r="AJ45" s="344">
        <v>155984729</v>
      </c>
      <c r="AK45" s="344">
        <v>155984729</v>
      </c>
      <c r="AL45" s="344">
        <v>155984729</v>
      </c>
      <c r="AM45" s="344">
        <v>155984729</v>
      </c>
      <c r="AN45" s="344">
        <v>155984729</v>
      </c>
      <c r="AO45" s="344">
        <v>155984729</v>
      </c>
      <c r="AP45" s="344">
        <v>155984729</v>
      </c>
      <c r="AQ45" s="344">
        <v>155984729</v>
      </c>
      <c r="AR45" s="477">
        <v>155984729</v>
      </c>
      <c r="AS45" s="344">
        <v>155984729</v>
      </c>
      <c r="AT45" s="327">
        <v>186446779</v>
      </c>
      <c r="AU45" s="479">
        <v>155984729</v>
      </c>
      <c r="AV45" s="479">
        <v>155984729</v>
      </c>
      <c r="AW45" s="479">
        <v>186446780</v>
      </c>
      <c r="AX45" s="479">
        <v>186446780</v>
      </c>
      <c r="AY45" s="479">
        <v>186446780</v>
      </c>
      <c r="AZ45" s="479">
        <v>186446780</v>
      </c>
      <c r="BA45" s="479">
        <v>186446780</v>
      </c>
      <c r="BB45" s="338">
        <v>186446780</v>
      </c>
      <c r="BC45" s="479">
        <v>186446780</v>
      </c>
      <c r="BD45" s="479">
        <v>186446780</v>
      </c>
      <c r="BE45" s="479">
        <v>186446780</v>
      </c>
      <c r="BF45" s="479">
        <v>186446780</v>
      </c>
      <c r="BG45" s="367">
        <v>200882891</v>
      </c>
      <c r="BH45" s="362">
        <v>200882891</v>
      </c>
      <c r="BI45" s="327">
        <v>200882891</v>
      </c>
      <c r="BJ45" s="362">
        <v>200882891</v>
      </c>
      <c r="BK45" s="362">
        <v>200882891</v>
      </c>
      <c r="BL45" s="362">
        <v>200882891</v>
      </c>
      <c r="BM45" s="362">
        <v>200882891</v>
      </c>
      <c r="BN45" s="362">
        <v>200882891</v>
      </c>
      <c r="BO45" s="362">
        <v>200882891</v>
      </c>
      <c r="BP45" s="362">
        <v>200882891</v>
      </c>
      <c r="BQ45" s="362">
        <v>200882891</v>
      </c>
      <c r="BR45" s="362">
        <v>200882891</v>
      </c>
      <c r="BS45" s="362">
        <v>200882891</v>
      </c>
      <c r="BT45" s="362">
        <v>227344561</v>
      </c>
      <c r="BU45" s="491">
        <v>227344561</v>
      </c>
      <c r="BV45" s="491">
        <v>227344561</v>
      </c>
      <c r="BW45" s="491">
        <v>227344561</v>
      </c>
      <c r="BX45" s="491">
        <v>227344561</v>
      </c>
      <c r="BY45" s="362">
        <v>227344561</v>
      </c>
      <c r="BZ45" s="362">
        <v>227344561</v>
      </c>
      <c r="CA45" s="362">
        <v>227344561</v>
      </c>
      <c r="CB45" s="468">
        <v>227344561</v>
      </c>
      <c r="CC45" s="481">
        <v>227344561</v>
      </c>
      <c r="CD45" s="481">
        <v>227344561</v>
      </c>
      <c r="CE45" s="481">
        <v>227344561</v>
      </c>
      <c r="CF45" s="481">
        <v>227344561</v>
      </c>
      <c r="CG45" s="481">
        <v>259109764</v>
      </c>
      <c r="CH45" s="364">
        <v>259109764</v>
      </c>
      <c r="CI45" s="367">
        <v>259109764</v>
      </c>
      <c r="CJ45" s="367">
        <v>259109764</v>
      </c>
      <c r="CK45" s="367">
        <v>259109764</v>
      </c>
      <c r="CL45" s="367">
        <v>259109764</v>
      </c>
      <c r="CM45" s="367">
        <v>259109764</v>
      </c>
      <c r="CN45" s="510">
        <v>259109764</v>
      </c>
      <c r="CO45" s="510">
        <v>259109764</v>
      </c>
      <c r="CP45" s="510">
        <v>259109764</v>
      </c>
    </row>
    <row r="46" spans="1:98" ht="30.75">
      <c r="A46" s="485" t="s">
        <v>56</v>
      </c>
      <c r="B46" s="323">
        <v>1147000</v>
      </c>
      <c r="C46" s="324">
        <f>4225000</f>
        <v>4225000</v>
      </c>
      <c r="D46" s="324">
        <v>6146000</v>
      </c>
      <c r="E46" s="324">
        <v>28383729</v>
      </c>
      <c r="F46" s="324">
        <v>30000000</v>
      </c>
      <c r="G46" s="324">
        <v>50001500</v>
      </c>
      <c r="H46" s="324">
        <v>30001500</v>
      </c>
      <c r="I46" s="324">
        <v>50001500</v>
      </c>
      <c r="J46" s="324">
        <v>50002500</v>
      </c>
      <c r="K46" s="324">
        <v>50002500</v>
      </c>
      <c r="L46" s="476">
        <v>50003000</v>
      </c>
      <c r="M46" s="490">
        <v>50003000</v>
      </c>
      <c r="N46" s="490">
        <v>50003000</v>
      </c>
      <c r="O46" s="490">
        <v>50003000</v>
      </c>
      <c r="P46" s="490">
        <v>50003000</v>
      </c>
      <c r="Q46" s="337">
        <v>50003000</v>
      </c>
      <c r="R46" s="337">
        <v>50003000</v>
      </c>
      <c r="S46" s="337">
        <v>50003000</v>
      </c>
      <c r="T46" s="324">
        <v>120003000</v>
      </c>
      <c r="U46" s="338">
        <v>100006000</v>
      </c>
      <c r="V46" s="338">
        <v>120003000</v>
      </c>
      <c r="W46" s="338">
        <v>120003000</v>
      </c>
      <c r="X46" s="338">
        <v>120003000</v>
      </c>
      <c r="Y46" s="338">
        <v>120003000</v>
      </c>
      <c r="Z46" s="338">
        <v>148225440</v>
      </c>
      <c r="AA46" s="338">
        <v>148225440</v>
      </c>
      <c r="AB46" s="338">
        <v>148225440</v>
      </c>
      <c r="AC46" s="338">
        <v>148225440</v>
      </c>
      <c r="AD46" s="338">
        <v>148225440</v>
      </c>
      <c r="AE46" s="338">
        <v>148225440</v>
      </c>
      <c r="AF46" s="338">
        <v>148225440</v>
      </c>
      <c r="AG46" s="338">
        <v>150000000</v>
      </c>
      <c r="AH46" s="344">
        <v>148225440</v>
      </c>
      <c r="AI46" s="344">
        <v>150000000</v>
      </c>
      <c r="AJ46" s="344">
        <v>150000000</v>
      </c>
      <c r="AK46" s="344">
        <v>150000000</v>
      </c>
      <c r="AL46" s="344">
        <v>150000000</v>
      </c>
      <c r="AM46" s="344">
        <v>150000000</v>
      </c>
      <c r="AN46" s="344">
        <v>150000000</v>
      </c>
      <c r="AO46" s="344">
        <v>150000000</v>
      </c>
      <c r="AP46" s="344">
        <v>150000000</v>
      </c>
      <c r="AQ46" s="344">
        <v>150000000</v>
      </c>
      <c r="AR46" s="477">
        <v>150000000</v>
      </c>
      <c r="AS46" s="344">
        <v>150000000</v>
      </c>
      <c r="AT46" s="327">
        <v>150000000</v>
      </c>
      <c r="AU46" s="479">
        <v>150000000</v>
      </c>
      <c r="AV46" s="479">
        <v>150000000</v>
      </c>
      <c r="AW46" s="479">
        <v>150000000</v>
      </c>
      <c r="AX46" s="479">
        <v>150000000</v>
      </c>
      <c r="AY46" s="479">
        <v>150000000</v>
      </c>
      <c r="AZ46" s="479">
        <v>150000000</v>
      </c>
      <c r="BA46" s="479">
        <v>150000000</v>
      </c>
      <c r="BB46" s="338">
        <v>150000000</v>
      </c>
      <c r="BC46" s="479">
        <v>150000000</v>
      </c>
      <c r="BD46" s="479">
        <v>150000000</v>
      </c>
      <c r="BE46" s="479">
        <v>150000000</v>
      </c>
      <c r="BF46" s="479">
        <v>150000000</v>
      </c>
      <c r="BG46" s="367">
        <v>150000000</v>
      </c>
      <c r="BH46" s="362">
        <v>150000000</v>
      </c>
      <c r="BI46" s="327">
        <v>150000000</v>
      </c>
      <c r="BJ46" s="362">
        <v>150000000</v>
      </c>
      <c r="BK46" s="362">
        <v>150000000</v>
      </c>
      <c r="BL46" s="362">
        <v>150000000</v>
      </c>
      <c r="BM46" s="362">
        <v>150000000</v>
      </c>
      <c r="BN46" s="362">
        <v>150000000</v>
      </c>
      <c r="BO46" s="362">
        <v>150000000</v>
      </c>
      <c r="BP46" s="362">
        <v>150000000</v>
      </c>
      <c r="BQ46" s="362">
        <v>150000000</v>
      </c>
      <c r="BR46" s="362">
        <v>150000000</v>
      </c>
      <c r="BS46" s="362">
        <v>150000000</v>
      </c>
      <c r="BT46" s="362">
        <v>150000000</v>
      </c>
      <c r="BU46" s="491">
        <v>150000000</v>
      </c>
      <c r="BV46" s="491">
        <v>150000000</v>
      </c>
      <c r="BW46" s="491">
        <v>150000000</v>
      </c>
      <c r="BX46" s="491">
        <v>150000000</v>
      </c>
      <c r="BY46" s="362">
        <v>150000000</v>
      </c>
      <c r="BZ46" s="362">
        <v>150000000</v>
      </c>
      <c r="CA46" s="362">
        <v>150000000</v>
      </c>
      <c r="CB46" s="468">
        <v>150000000</v>
      </c>
      <c r="CC46" s="481">
        <v>150000000</v>
      </c>
      <c r="CD46" s="481">
        <v>150000000</v>
      </c>
      <c r="CE46" s="481">
        <v>150000000</v>
      </c>
      <c r="CF46" s="481">
        <v>150000000</v>
      </c>
      <c r="CG46" s="481">
        <v>150221218</v>
      </c>
      <c r="CH46" s="364">
        <v>150000000</v>
      </c>
      <c r="CI46" s="367">
        <v>150000000</v>
      </c>
      <c r="CJ46" s="367">
        <v>150000000</v>
      </c>
      <c r="CK46" s="367">
        <v>150000000</v>
      </c>
      <c r="CL46" s="367">
        <v>150000000</v>
      </c>
      <c r="CM46" s="367">
        <v>150000000</v>
      </c>
      <c r="CN46" s="510">
        <v>150000000</v>
      </c>
      <c r="CO46" s="510">
        <v>150000000</v>
      </c>
      <c r="CP46" s="510">
        <v>150000000</v>
      </c>
    </row>
    <row r="47" spans="1:98" ht="15">
      <c r="A47" s="485" t="s">
        <v>57</v>
      </c>
      <c r="B47" s="323">
        <v>119688000</v>
      </c>
      <c r="C47" s="324">
        <v>111671000</v>
      </c>
      <c r="D47" s="324">
        <v>187305000</v>
      </c>
      <c r="E47" s="324">
        <v>187304813</v>
      </c>
      <c r="F47" s="324">
        <v>171246737</v>
      </c>
      <c r="G47" s="324">
        <v>143724358</v>
      </c>
      <c r="H47" s="324">
        <v>171246095.19999999</v>
      </c>
      <c r="I47" s="324">
        <v>143724358</v>
      </c>
      <c r="J47" s="324">
        <v>143724358</v>
      </c>
      <c r="K47" s="324">
        <v>143724358</v>
      </c>
      <c r="L47" s="476">
        <v>143724358</v>
      </c>
      <c r="M47" s="476">
        <v>143724358</v>
      </c>
      <c r="N47" s="476">
        <v>143724358</v>
      </c>
      <c r="O47" s="494">
        <v>143724358</v>
      </c>
      <c r="P47" s="494">
        <v>143724358</v>
      </c>
      <c r="Q47" s="338">
        <v>0</v>
      </c>
      <c r="R47" s="338">
        <v>0</v>
      </c>
      <c r="S47" s="338">
        <v>0</v>
      </c>
      <c r="T47" s="495">
        <v>184223390</v>
      </c>
      <c r="U47" s="338">
        <v>287448716</v>
      </c>
      <c r="V47" s="338">
        <v>184223390</v>
      </c>
      <c r="W47" s="338">
        <v>184223390</v>
      </c>
      <c r="X47" s="338">
        <v>184223390</v>
      </c>
      <c r="Y47" s="338">
        <v>184223390</v>
      </c>
      <c r="Z47" s="338">
        <v>184223390</v>
      </c>
      <c r="AA47" s="338">
        <v>184223390</v>
      </c>
      <c r="AB47" s="338">
        <v>184223390</v>
      </c>
      <c r="AC47" s="338">
        <v>170223390</v>
      </c>
      <c r="AD47" s="338">
        <v>170223390</v>
      </c>
      <c r="AE47" s="338">
        <v>170223390</v>
      </c>
      <c r="AF47" s="338">
        <v>170223390</v>
      </c>
      <c r="AG47" s="338">
        <v>149277486</v>
      </c>
      <c r="AH47" s="344">
        <v>170223390</v>
      </c>
      <c r="AI47" s="344">
        <v>149277486</v>
      </c>
      <c r="AJ47" s="344">
        <v>149277486</v>
      </c>
      <c r="AK47" s="344">
        <v>149277486</v>
      </c>
      <c r="AL47" s="344">
        <v>149277486</v>
      </c>
      <c r="AM47" s="344">
        <v>149277486</v>
      </c>
      <c r="AN47" s="344">
        <v>149277486</v>
      </c>
      <c r="AO47" s="344">
        <v>149277486</v>
      </c>
      <c r="AP47" s="344">
        <v>149277486</v>
      </c>
      <c r="AQ47" s="344">
        <v>149277486</v>
      </c>
      <c r="AR47" s="477">
        <v>149277486</v>
      </c>
      <c r="AS47" s="344">
        <v>149277486</v>
      </c>
      <c r="AT47" s="327">
        <v>168085388</v>
      </c>
      <c r="AU47" s="479">
        <v>149277486</v>
      </c>
      <c r="AV47" s="479">
        <v>168200337</v>
      </c>
      <c r="AW47" s="479">
        <v>168085388</v>
      </c>
      <c r="AX47" s="479">
        <v>168085388</v>
      </c>
      <c r="AY47" s="479">
        <v>168085388</v>
      </c>
      <c r="AZ47" s="479">
        <v>168085388</v>
      </c>
      <c r="BA47" s="479">
        <v>168085388</v>
      </c>
      <c r="BB47" s="338">
        <v>168085388</v>
      </c>
      <c r="BC47" s="479">
        <v>168085388</v>
      </c>
      <c r="BD47" s="479">
        <v>168085388</v>
      </c>
      <c r="BE47" s="479">
        <v>168085388</v>
      </c>
      <c r="BF47" s="479">
        <v>168085388</v>
      </c>
      <c r="BG47" s="367">
        <v>116430054</v>
      </c>
      <c r="BH47" s="362">
        <v>116430054</v>
      </c>
      <c r="BI47" s="327">
        <v>116430054</v>
      </c>
      <c r="BJ47" s="362">
        <v>116430054</v>
      </c>
      <c r="BK47" s="362">
        <v>116430054</v>
      </c>
      <c r="BL47" s="362">
        <v>116430054</v>
      </c>
      <c r="BM47" s="362">
        <v>116430054</v>
      </c>
      <c r="BN47" s="362">
        <v>116430054</v>
      </c>
      <c r="BO47" s="362">
        <v>116430054</v>
      </c>
      <c r="BP47" s="362">
        <v>116430054</v>
      </c>
      <c r="BQ47" s="362">
        <v>116430054</v>
      </c>
      <c r="BR47" s="362">
        <v>116430054</v>
      </c>
      <c r="BS47" s="362">
        <v>116430054</v>
      </c>
      <c r="BT47" s="362">
        <v>222008615</v>
      </c>
      <c r="BU47" s="491">
        <v>124375212</v>
      </c>
      <c r="BV47" s="491">
        <v>124375212</v>
      </c>
      <c r="BW47" s="491">
        <v>124375212</v>
      </c>
      <c r="BX47" s="491">
        <v>124375212</v>
      </c>
      <c r="BY47" s="362">
        <v>124375212</v>
      </c>
      <c r="BZ47" s="362">
        <v>124375212</v>
      </c>
      <c r="CA47" s="362">
        <v>124375212</v>
      </c>
      <c r="CB47" s="468">
        <v>124375212</v>
      </c>
      <c r="CC47" s="481">
        <v>124375212</v>
      </c>
      <c r="CD47" s="481">
        <v>124375212</v>
      </c>
      <c r="CE47" s="481">
        <v>124375212</v>
      </c>
      <c r="CF47" s="481">
        <v>124375212</v>
      </c>
      <c r="CG47" s="481">
        <v>120630436</v>
      </c>
      <c r="CH47" s="364">
        <v>120630436</v>
      </c>
      <c r="CI47" s="367">
        <v>120630436</v>
      </c>
      <c r="CJ47" s="367">
        <v>120630436</v>
      </c>
      <c r="CK47" s="367">
        <v>120630436</v>
      </c>
      <c r="CL47" s="367">
        <v>120630436</v>
      </c>
      <c r="CM47" s="367">
        <v>120630436</v>
      </c>
      <c r="CN47" s="510">
        <v>120630436</v>
      </c>
      <c r="CO47" s="510">
        <v>120630436</v>
      </c>
      <c r="CP47" s="510">
        <v>120630436</v>
      </c>
    </row>
    <row r="48" spans="1:98" ht="15">
      <c r="A48" s="485" t="s">
        <v>58</v>
      </c>
      <c r="B48" s="323">
        <v>150686000</v>
      </c>
      <c r="C48" s="324"/>
      <c r="D48" s="324">
        <v>201743000</v>
      </c>
      <c r="E48" s="324"/>
      <c r="F48" s="324"/>
      <c r="G48" s="324"/>
      <c r="H48" s="324">
        <v>0</v>
      </c>
      <c r="I48" s="324">
        <v>0</v>
      </c>
      <c r="J48" s="324">
        <v>0</v>
      </c>
      <c r="K48" s="324"/>
      <c r="L48" s="496">
        <v>0</v>
      </c>
      <c r="M48" s="496">
        <v>0</v>
      </c>
      <c r="N48" s="496">
        <v>0</v>
      </c>
      <c r="O48" s="496">
        <v>0</v>
      </c>
      <c r="P48" s="496">
        <v>0</v>
      </c>
      <c r="Q48" s="368">
        <v>143724358</v>
      </c>
      <c r="R48" s="368">
        <v>143724358</v>
      </c>
      <c r="S48" s="368">
        <v>143724358</v>
      </c>
      <c r="T48" s="324"/>
      <c r="U48" s="342">
        <v>0</v>
      </c>
      <c r="V48" s="342">
        <v>0</v>
      </c>
      <c r="W48" s="342">
        <v>0</v>
      </c>
      <c r="X48" s="342">
        <v>0</v>
      </c>
      <c r="Y48" s="342">
        <v>0</v>
      </c>
      <c r="Z48" s="342">
        <v>0</v>
      </c>
      <c r="AA48" s="342">
        <v>0</v>
      </c>
      <c r="AB48" s="342">
        <v>0</v>
      </c>
      <c r="AC48" s="342">
        <v>0</v>
      </c>
      <c r="AD48" s="342">
        <v>0</v>
      </c>
      <c r="AE48" s="343">
        <v>0</v>
      </c>
      <c r="AF48" s="343">
        <v>0</v>
      </c>
      <c r="AG48" s="343">
        <v>0</v>
      </c>
      <c r="AH48" s="497">
        <v>0</v>
      </c>
      <c r="AI48" s="497">
        <v>0</v>
      </c>
      <c r="AJ48" s="497">
        <v>0</v>
      </c>
      <c r="AK48" s="497">
        <v>0</v>
      </c>
      <c r="AL48" s="497">
        <v>0</v>
      </c>
      <c r="AM48" s="497">
        <v>0</v>
      </c>
      <c r="AN48" s="497">
        <v>0</v>
      </c>
      <c r="AO48" s="497">
        <v>0</v>
      </c>
      <c r="AP48" s="497">
        <v>0</v>
      </c>
      <c r="AQ48" s="497">
        <v>0</v>
      </c>
      <c r="AR48" s="497">
        <v>0</v>
      </c>
      <c r="AS48" s="497">
        <v>0</v>
      </c>
      <c r="AT48" s="497">
        <v>0</v>
      </c>
      <c r="AU48" s="498">
        <v>0</v>
      </c>
      <c r="AV48" s="498">
        <v>0</v>
      </c>
      <c r="AW48" s="498">
        <v>0</v>
      </c>
      <c r="AX48" s="498">
        <v>0</v>
      </c>
      <c r="AY48" s="498">
        <v>0</v>
      </c>
      <c r="AZ48" s="498">
        <v>0</v>
      </c>
      <c r="BA48" s="498">
        <v>0</v>
      </c>
      <c r="BB48" s="338">
        <v>0</v>
      </c>
      <c r="BC48" s="498">
        <v>0</v>
      </c>
      <c r="BD48" s="498">
        <v>0</v>
      </c>
      <c r="BE48" s="498">
        <v>0</v>
      </c>
      <c r="BF48" s="498">
        <v>0</v>
      </c>
      <c r="BG48" s="366">
        <v>0</v>
      </c>
      <c r="BH48" s="362">
        <v>0</v>
      </c>
      <c r="BI48" s="327">
        <v>0</v>
      </c>
      <c r="BJ48" s="362">
        <v>0</v>
      </c>
      <c r="BK48" s="362">
        <v>0</v>
      </c>
      <c r="BL48" s="362">
        <v>0</v>
      </c>
      <c r="BM48" s="362">
        <v>0</v>
      </c>
      <c r="BN48" s="362">
        <v>0</v>
      </c>
      <c r="BO48" s="362">
        <v>0</v>
      </c>
      <c r="BP48" s="362">
        <v>0</v>
      </c>
      <c r="BQ48" s="362">
        <v>0</v>
      </c>
      <c r="BR48" s="362">
        <v>0</v>
      </c>
      <c r="BS48" s="362">
        <v>0</v>
      </c>
      <c r="BT48" s="362"/>
      <c r="BU48" s="499">
        <v>0</v>
      </c>
      <c r="BV48" s="499">
        <v>0</v>
      </c>
      <c r="BW48" s="499">
        <v>0</v>
      </c>
      <c r="BX48" s="499">
        <v>0</v>
      </c>
      <c r="BY48" s="362">
        <v>0</v>
      </c>
      <c r="BZ48" s="362">
        <v>0</v>
      </c>
      <c r="CA48" s="362">
        <v>0</v>
      </c>
      <c r="CB48" s="330">
        <v>0</v>
      </c>
      <c r="CC48" s="500">
        <v>0</v>
      </c>
      <c r="CD48" s="500">
        <v>0</v>
      </c>
      <c r="CE48" s="500">
        <v>0</v>
      </c>
      <c r="CF48" s="500">
        <v>0</v>
      </c>
      <c r="CG48" s="500"/>
      <c r="CH48" s="364">
        <v>0</v>
      </c>
      <c r="CI48" s="367">
        <v>0</v>
      </c>
      <c r="CJ48" s="367">
        <v>0</v>
      </c>
      <c r="CK48" s="367">
        <v>0</v>
      </c>
      <c r="CL48" s="367">
        <v>0</v>
      </c>
      <c r="CM48" s="367">
        <v>0</v>
      </c>
      <c r="CN48" s="509">
        <v>0</v>
      </c>
      <c r="CO48" s="509">
        <v>0</v>
      </c>
      <c r="CP48" s="509">
        <v>0</v>
      </c>
    </row>
    <row r="49" spans="1:98" ht="15">
      <c r="A49" s="485" t="s">
        <v>59</v>
      </c>
      <c r="B49" s="323">
        <v>0</v>
      </c>
      <c r="C49" s="324"/>
      <c r="D49" s="324"/>
      <c r="E49" s="324"/>
      <c r="F49" s="324"/>
      <c r="G49" s="324"/>
      <c r="H49" s="324">
        <v>0</v>
      </c>
      <c r="I49" s="324">
        <v>0</v>
      </c>
      <c r="J49" s="324">
        <v>0</v>
      </c>
      <c r="K49" s="324"/>
      <c r="L49" s="324"/>
      <c r="M49" s="324"/>
      <c r="N49" s="324"/>
      <c r="O49" s="496"/>
      <c r="P49" s="324"/>
      <c r="Q49" s="342">
        <v>0</v>
      </c>
      <c r="R49" s="342">
        <v>0</v>
      </c>
      <c r="S49" s="342">
        <v>0</v>
      </c>
      <c r="T49" s="324"/>
      <c r="U49" s="342">
        <v>0</v>
      </c>
      <c r="V49" s="342">
        <v>0</v>
      </c>
      <c r="W49" s="342">
        <v>0</v>
      </c>
      <c r="X49" s="342">
        <v>0</v>
      </c>
      <c r="Y49" s="342">
        <v>0</v>
      </c>
      <c r="Z49" s="342">
        <v>0</v>
      </c>
      <c r="AA49" s="342">
        <v>0</v>
      </c>
      <c r="AB49" s="342">
        <v>0</v>
      </c>
      <c r="AC49" s="342">
        <v>0</v>
      </c>
      <c r="AD49" s="342">
        <v>0</v>
      </c>
      <c r="AE49" s="343">
        <v>0</v>
      </c>
      <c r="AF49" s="343">
        <v>0</v>
      </c>
      <c r="AG49" s="343">
        <v>0</v>
      </c>
      <c r="AH49" s="497">
        <v>0</v>
      </c>
      <c r="AI49" s="497">
        <v>0</v>
      </c>
      <c r="AJ49" s="497">
        <v>0</v>
      </c>
      <c r="AK49" s="497">
        <v>0</v>
      </c>
      <c r="AL49" s="497">
        <v>0</v>
      </c>
      <c r="AM49" s="497">
        <v>0</v>
      </c>
      <c r="AN49" s="497">
        <v>0</v>
      </c>
      <c r="AO49" s="497">
        <v>0</v>
      </c>
      <c r="AP49" s="497">
        <v>0</v>
      </c>
      <c r="AQ49" s="497">
        <v>0</v>
      </c>
      <c r="AR49" s="497">
        <v>0</v>
      </c>
      <c r="AS49" s="497">
        <v>0</v>
      </c>
      <c r="AT49" s="497">
        <v>0</v>
      </c>
      <c r="AU49" s="498">
        <v>0</v>
      </c>
      <c r="AV49" s="498">
        <v>0</v>
      </c>
      <c r="AW49" s="498">
        <v>0</v>
      </c>
      <c r="AX49" s="498">
        <v>0</v>
      </c>
      <c r="AY49" s="498">
        <v>0</v>
      </c>
      <c r="AZ49" s="498">
        <v>0</v>
      </c>
      <c r="BA49" s="498">
        <v>0</v>
      </c>
      <c r="BB49" s="338">
        <v>0</v>
      </c>
      <c r="BC49" s="498">
        <v>0</v>
      </c>
      <c r="BD49" s="498">
        <v>0</v>
      </c>
      <c r="BE49" s="498">
        <v>0</v>
      </c>
      <c r="BF49" s="498">
        <v>0</v>
      </c>
      <c r="BG49" s="366">
        <v>0</v>
      </c>
      <c r="BU49" s="499">
        <v>0</v>
      </c>
      <c r="BV49" s="499">
        <v>0</v>
      </c>
      <c r="BW49" s="499">
        <v>0</v>
      </c>
      <c r="BX49" s="499">
        <v>0</v>
      </c>
      <c r="BY49" s="362">
        <v>0</v>
      </c>
      <c r="BZ49" s="362">
        <v>0</v>
      </c>
      <c r="CA49" s="362">
        <v>0</v>
      </c>
      <c r="CB49" s="330">
        <v>0</v>
      </c>
      <c r="CC49" s="500">
        <v>0</v>
      </c>
      <c r="CD49" s="500">
        <v>0</v>
      </c>
      <c r="CE49" s="500">
        <v>0</v>
      </c>
      <c r="CF49" s="500">
        <v>0</v>
      </c>
      <c r="CG49" s="500"/>
      <c r="CH49" s="501">
        <v>0</v>
      </c>
      <c r="CI49" s="367">
        <v>0</v>
      </c>
      <c r="CJ49" s="367">
        <v>0</v>
      </c>
      <c r="CK49" s="367">
        <v>0</v>
      </c>
      <c r="CL49" s="367">
        <v>0</v>
      </c>
      <c r="CM49" s="367">
        <v>0</v>
      </c>
      <c r="CN49" s="509">
        <v>0</v>
      </c>
      <c r="CO49" s="509">
        <v>0</v>
      </c>
      <c r="CP49" s="509">
        <v>0</v>
      </c>
    </row>
    <row r="50" spans="1:98" s="473" customFormat="1">
      <c r="A50" s="332" t="s">
        <v>60</v>
      </c>
      <c r="B50" s="321">
        <f>B41+B42+B43+B44+B45+B46+B47+B48</f>
        <v>385707000</v>
      </c>
      <c r="C50" s="321">
        <f>C41+C42+C43+C44+C45+C46+C47+C48</f>
        <v>264252000</v>
      </c>
      <c r="D50" s="321">
        <f>D41+D42+D43+D44+D45+D46+D47+D48</f>
        <v>646128000</v>
      </c>
      <c r="E50" s="321">
        <f>E41+E42+E43+E44+E45+E46+E47+E48</f>
        <v>529146289</v>
      </c>
      <c r="F50" s="321">
        <f>F41+F42+F43+F44+F45+F46+F47+F48</f>
        <v>564167775</v>
      </c>
      <c r="G50" s="321">
        <f t="shared" ref="G50:O50" si="25">G41+G42+G43+G44+G45+G46+G47+G48</f>
        <v>676037596</v>
      </c>
      <c r="H50" s="321">
        <f t="shared" si="25"/>
        <v>707930923.5999999</v>
      </c>
      <c r="I50" s="321">
        <f t="shared" si="25"/>
        <v>655092292.26999998</v>
      </c>
      <c r="J50" s="321">
        <f t="shared" si="25"/>
        <v>660833161.63</v>
      </c>
      <c r="K50" s="321">
        <f t="shared" si="25"/>
        <v>657061513.43000007</v>
      </c>
      <c r="L50" s="321">
        <f t="shared" si="25"/>
        <v>659948917.91999996</v>
      </c>
      <c r="M50" s="321">
        <f t="shared" si="25"/>
        <v>674516229.78999996</v>
      </c>
      <c r="N50" s="321">
        <f t="shared" si="25"/>
        <v>682768658.63</v>
      </c>
      <c r="O50" s="321">
        <f t="shared" si="25"/>
        <v>714958423.74000001</v>
      </c>
      <c r="P50" s="321">
        <f>P41+P42+P43+P44+P45+P46+P47+P48</f>
        <v>733889730.92000008</v>
      </c>
      <c r="Q50" s="321">
        <f>Q41+Q42+Q43+Q44+Q45+Q46+Q47+Q48</f>
        <v>751939233.08000004</v>
      </c>
      <c r="R50" s="321">
        <f>R41+R42+R43+R44+R45+R46+R47+R48</f>
        <v>769156087.38</v>
      </c>
      <c r="S50" s="321">
        <f>S41+S42+S43+S44+S45+S46+S47+S48</f>
        <v>799017418.68000007</v>
      </c>
      <c r="T50" s="321">
        <f>T41+T42+T43+T44+T45+T46+T47+T48</f>
        <v>900603389</v>
      </c>
      <c r="U50" s="321">
        <f t="shared" ref="U50:AQ50" si="26">U41+U42+U43+U44+U45+U46+U47+U48</f>
        <v>1694225937.6399999</v>
      </c>
      <c r="V50" s="321">
        <f t="shared" si="26"/>
        <v>878591996.03999996</v>
      </c>
      <c r="W50" s="321">
        <f t="shared" si="26"/>
        <v>877389399.81999993</v>
      </c>
      <c r="X50" s="321">
        <f t="shared" si="26"/>
        <v>886637252.80999994</v>
      </c>
      <c r="Y50" s="321">
        <f t="shared" si="26"/>
        <v>916739558.86000001</v>
      </c>
      <c r="Z50" s="321">
        <f t="shared" si="26"/>
        <v>971258557.37</v>
      </c>
      <c r="AA50" s="321">
        <f t="shared" si="26"/>
        <v>991137567.28999996</v>
      </c>
      <c r="AB50" s="321">
        <f t="shared" si="26"/>
        <v>1022823803.8800001</v>
      </c>
      <c r="AC50" s="321">
        <f t="shared" si="26"/>
        <v>1028236862.3200001</v>
      </c>
      <c r="AD50" s="321">
        <f t="shared" si="26"/>
        <v>1043495719.87</v>
      </c>
      <c r="AE50" s="321">
        <f t="shared" si="26"/>
        <v>1063265273.6500001</v>
      </c>
      <c r="AF50" s="321">
        <f t="shared" si="26"/>
        <v>1140106783.0500002</v>
      </c>
      <c r="AG50" s="321">
        <f t="shared" si="26"/>
        <v>1089269071</v>
      </c>
      <c r="AH50" s="321">
        <f t="shared" si="26"/>
        <v>1146367565.1599998</v>
      </c>
      <c r="AI50" s="321">
        <f t="shared" si="26"/>
        <v>1156803449.5</v>
      </c>
      <c r="AJ50" s="321">
        <f t="shared" si="26"/>
        <v>1140222209.55</v>
      </c>
      <c r="AK50" s="321">
        <f t="shared" si="26"/>
        <v>1144386896.75</v>
      </c>
      <c r="AL50" s="321">
        <f t="shared" si="26"/>
        <v>1141755151.8399999</v>
      </c>
      <c r="AM50" s="321">
        <f t="shared" si="26"/>
        <v>1158723133.45</v>
      </c>
      <c r="AN50" s="321">
        <f t="shared" si="26"/>
        <v>1164946254.53</v>
      </c>
      <c r="AO50" s="321">
        <f t="shared" si="26"/>
        <v>1191784186.1799998</v>
      </c>
      <c r="AP50" s="321">
        <f t="shared" si="26"/>
        <v>1198099773.4299998</v>
      </c>
      <c r="AQ50" s="321">
        <f t="shared" si="26"/>
        <v>1196276860.6100001</v>
      </c>
      <c r="AR50" s="321">
        <f t="shared" ref="AR50:AW50" si="27">AR41+AR42+AR43+AR44+AR45+AR46+AR47+AR48</f>
        <v>1211499471.5500002</v>
      </c>
      <c r="AS50" s="321">
        <f t="shared" si="27"/>
        <v>1277160664.6900001</v>
      </c>
      <c r="AT50" s="321">
        <f t="shared" si="27"/>
        <v>1311775955</v>
      </c>
      <c r="AU50" s="321">
        <f t="shared" si="27"/>
        <v>1275966876.0799999</v>
      </c>
      <c r="AV50" s="321">
        <f t="shared" si="27"/>
        <v>1309585179.5999999</v>
      </c>
      <c r="AW50" s="321">
        <f t="shared" si="27"/>
        <v>1307298450.8499999</v>
      </c>
      <c r="AX50" s="321">
        <f t="shared" ref="AX50:BC50" si="28">AX41+AX42+AX43+AX44+AX45+AX46+AX47+AX48</f>
        <v>1332604267.9200001</v>
      </c>
      <c r="AY50" s="321">
        <f t="shared" si="28"/>
        <v>1342067118.8</v>
      </c>
      <c r="AZ50" s="321">
        <f t="shared" si="28"/>
        <v>1339966521.99</v>
      </c>
      <c r="BA50" s="321">
        <f t="shared" si="28"/>
        <v>1353301997.22</v>
      </c>
      <c r="BB50" s="321">
        <f t="shared" si="28"/>
        <v>1371283123.4100001</v>
      </c>
      <c r="BC50" s="321">
        <f t="shared" si="28"/>
        <v>1390166072.8600001</v>
      </c>
      <c r="BD50" s="321">
        <f>BD41+BD42+BD43+BD44+BD45+BD46+BD47+BD48</f>
        <v>1418465866.3499999</v>
      </c>
      <c r="BE50" s="321">
        <f>BE41+BE42+BE43+BE44+BE45+BE46+BE47+BE48</f>
        <v>1438292842.5599999</v>
      </c>
      <c r="BF50" s="321">
        <f>BF41+BF42+BF43+BF44+BF45+BF46+BF47+BF48</f>
        <v>1473138806.29</v>
      </c>
      <c r="BG50" s="321">
        <f>BG41+BG42+BG43+BG44+BG45+BG46+BG47+BG48</f>
        <v>1383603693</v>
      </c>
      <c r="BH50" s="321">
        <f t="shared" ref="BH50:BT50" si="29">BH41+BH42+BH43+BH44+BH45+BH46+BH47+BH48</f>
        <v>1412152386.1900001</v>
      </c>
      <c r="BI50" s="321">
        <f t="shared" si="29"/>
        <v>1410591281.1700001</v>
      </c>
      <c r="BJ50" s="321">
        <f t="shared" si="29"/>
        <v>1397524694.21</v>
      </c>
      <c r="BK50" s="321">
        <f t="shared" si="29"/>
        <v>1403771214.02</v>
      </c>
      <c r="BL50" s="321">
        <f t="shared" si="29"/>
        <v>1449925127.4499998</v>
      </c>
      <c r="BM50" s="321">
        <f t="shared" si="29"/>
        <v>1451869574.8499999</v>
      </c>
      <c r="BN50" s="321">
        <f t="shared" si="29"/>
        <v>1482163064.73</v>
      </c>
      <c r="BO50" s="321">
        <f t="shared" si="29"/>
        <v>1485491345.8899999</v>
      </c>
      <c r="BP50" s="321">
        <f t="shared" si="29"/>
        <v>1494053068.6399999</v>
      </c>
      <c r="BQ50" s="321">
        <f t="shared" si="29"/>
        <v>1509945228.3699999</v>
      </c>
      <c r="BR50" s="321">
        <f t="shared" si="29"/>
        <v>1520713070.77</v>
      </c>
      <c r="BS50" s="321">
        <f t="shared" si="29"/>
        <v>1567527712.23</v>
      </c>
      <c r="BT50" s="321">
        <f t="shared" si="29"/>
        <v>1700047610</v>
      </c>
      <c r="BU50" s="321">
        <f>BY41+BY42+BY43+BY44+BY45+BY46+BY47+BY48</f>
        <v>1593056539.0699999</v>
      </c>
      <c r="BV50" s="321">
        <f>BZ41+BZ42+BZ43+BZ44+BZ45+BZ46+BZ47+BZ48</f>
        <v>1614664905.48</v>
      </c>
      <c r="BW50" s="321">
        <f>CA41+CA42+CA43+CA44+CA45+CA46+CA47+CA48</f>
        <v>1621114139.1299999</v>
      </c>
      <c r="BX50" s="321">
        <f>CB41+CB42+CB43+CB44+CB45+CB46+CB47+CB48</f>
        <v>1645794412.9899998</v>
      </c>
      <c r="BY50" s="321" t="e">
        <f>#REF!+#REF!+#REF!+#REF!+#REF!+#REF!+#REF!+#REF!</f>
        <v>#REF!</v>
      </c>
      <c r="BZ50" s="321">
        <f>CD41+CD42+CD43+CD44+CD45+CD46+CD47+CD48</f>
        <v>1692426879.75</v>
      </c>
      <c r="CA50" s="321">
        <f>CE41+CE42+CE43+CE44+CE45+CE46+CE47+CE48</f>
        <v>1725489475.05</v>
      </c>
      <c r="CB50" s="321">
        <f>CF41+CF42+CF43+CF44+CF45+CF46+CF47+CF48</f>
        <v>1849153392.3900001</v>
      </c>
      <c r="CC50" s="321">
        <f>SUM(CC41:CC49)</f>
        <v>1664196453.5</v>
      </c>
      <c r="CD50" s="321">
        <f>SUM(CD41:CD49)</f>
        <v>1692426879.75</v>
      </c>
      <c r="CE50" s="321">
        <f>SUM(CE41:CE49)</f>
        <v>1725489475.05</v>
      </c>
      <c r="CF50" s="321">
        <f>SUM(CF41:CF49)</f>
        <v>1849153392.3900001</v>
      </c>
      <c r="CG50" s="321">
        <f t="shared" ref="CG50:CH50" si="30">SUM(CG41:CG49)</f>
        <v>1806444983</v>
      </c>
      <c r="CH50" s="321">
        <f t="shared" si="30"/>
        <v>1842614582.47</v>
      </c>
      <c r="CI50" s="321">
        <f t="shared" ref="CI50:CT50" si="31">SUM(CI41:CI49)</f>
        <v>1824627924.49</v>
      </c>
      <c r="CJ50" s="321">
        <f t="shared" si="31"/>
        <v>1851622710.22</v>
      </c>
      <c r="CK50" s="321">
        <f t="shared" si="31"/>
        <v>1856344807.97</v>
      </c>
      <c r="CL50" s="321">
        <f t="shared" si="31"/>
        <v>1875858677.6200001</v>
      </c>
      <c r="CM50" s="321">
        <f t="shared" si="31"/>
        <v>1927338784.95</v>
      </c>
      <c r="CN50" s="321">
        <f t="shared" si="31"/>
        <v>1942414670.6399999</v>
      </c>
      <c r="CO50" s="321">
        <f t="shared" si="31"/>
        <v>1949129311</v>
      </c>
      <c r="CP50" s="321">
        <f t="shared" si="31"/>
        <v>1982664463.6600001</v>
      </c>
      <c r="CQ50" s="321">
        <f t="shared" si="31"/>
        <v>0</v>
      </c>
      <c r="CR50" s="321">
        <f t="shared" si="31"/>
        <v>0</v>
      </c>
      <c r="CS50" s="321">
        <f t="shared" si="31"/>
        <v>0</v>
      </c>
      <c r="CT50" s="321">
        <f t="shared" si="31"/>
        <v>0</v>
      </c>
    </row>
    <row r="51" spans="1:98" s="473" customFormat="1">
      <c r="A51" s="332" t="s">
        <v>61</v>
      </c>
      <c r="B51" s="334">
        <f t="shared" ref="B51:O51" si="32">B50+B39</f>
        <v>1982931000</v>
      </c>
      <c r="C51" s="334">
        <f t="shared" si="32"/>
        <v>2246183000</v>
      </c>
      <c r="D51" s="334">
        <f t="shared" si="32"/>
        <v>2685943000</v>
      </c>
      <c r="E51" s="334">
        <f t="shared" si="32"/>
        <v>3283953219</v>
      </c>
      <c r="F51" s="334">
        <f t="shared" si="32"/>
        <v>3926234296.79</v>
      </c>
      <c r="G51" s="334">
        <f t="shared" si="32"/>
        <v>4877108728</v>
      </c>
      <c r="H51" s="334">
        <f t="shared" si="32"/>
        <v>4953974829.4300003</v>
      </c>
      <c r="I51" s="334">
        <f t="shared" si="32"/>
        <v>4866864502.8199997</v>
      </c>
      <c r="J51" s="334">
        <f t="shared" si="32"/>
        <v>4879640277.7399998</v>
      </c>
      <c r="K51" s="334">
        <f t="shared" si="32"/>
        <v>4886947488.2200003</v>
      </c>
      <c r="L51" s="334">
        <f t="shared" si="32"/>
        <v>4935437713.9099998</v>
      </c>
      <c r="M51" s="334">
        <f t="shared" si="32"/>
        <v>5294664862.0799999</v>
      </c>
      <c r="N51" s="334">
        <f t="shared" si="32"/>
        <v>5400762209.1600008</v>
      </c>
      <c r="O51" s="334">
        <f t="shared" si="32"/>
        <v>5630982661.1099997</v>
      </c>
      <c r="P51" s="334">
        <f>P50+P39</f>
        <v>5792130746.1499996</v>
      </c>
      <c r="Q51" s="334">
        <f>Q50+Q39</f>
        <v>6046575513.3400002</v>
      </c>
      <c r="R51" s="334">
        <f>R50+R39</f>
        <v>6174665569.0900002</v>
      </c>
      <c r="S51" s="334">
        <f>S50+S39</f>
        <v>6273906406.3299999</v>
      </c>
      <c r="T51" s="334">
        <f>T50+T39</f>
        <v>6272656285</v>
      </c>
      <c r="U51" s="334">
        <f t="shared" ref="U51:AQ51" si="33">U50+U39</f>
        <v>12695850608.18</v>
      </c>
      <c r="V51" s="334">
        <f t="shared" si="33"/>
        <v>6293419553.29</v>
      </c>
      <c r="W51" s="334">
        <f t="shared" si="33"/>
        <v>6278428271.4499989</v>
      </c>
      <c r="X51" s="334">
        <f t="shared" si="33"/>
        <v>6303800680.5100002</v>
      </c>
      <c r="Y51" s="334">
        <f t="shared" si="33"/>
        <v>6403637568.0299997</v>
      </c>
      <c r="Z51" s="334">
        <f t="shared" si="33"/>
        <v>6529159186.7299995</v>
      </c>
      <c r="AA51" s="334">
        <f t="shared" si="33"/>
        <v>6673158130.3800001</v>
      </c>
      <c r="AB51" s="334">
        <f t="shared" si="33"/>
        <v>6781665749.3200006</v>
      </c>
      <c r="AC51" s="334">
        <f t="shared" si="33"/>
        <v>6828092902.3800001</v>
      </c>
      <c r="AD51" s="334">
        <f t="shared" si="33"/>
        <v>6944157723.8599997</v>
      </c>
      <c r="AE51" s="334">
        <f t="shared" si="33"/>
        <v>7066885233.5300007</v>
      </c>
      <c r="AF51" s="334">
        <f t="shared" si="33"/>
        <v>7215660232.3800001</v>
      </c>
      <c r="AG51" s="334">
        <f t="shared" si="33"/>
        <v>7163955472.1800003</v>
      </c>
      <c r="AH51" s="334">
        <f t="shared" si="33"/>
        <v>7331955092.3500004</v>
      </c>
      <c r="AI51" s="334">
        <f t="shared" si="33"/>
        <v>7180625058.4099998</v>
      </c>
      <c r="AJ51" s="334">
        <f t="shared" si="33"/>
        <v>7207053514.3700008</v>
      </c>
      <c r="AK51" s="334">
        <f t="shared" si="33"/>
        <v>7158706905.8499994</v>
      </c>
      <c r="AL51" s="334">
        <f t="shared" si="33"/>
        <v>7225437786.54</v>
      </c>
      <c r="AM51" s="334">
        <f t="shared" si="33"/>
        <v>7355165722.75</v>
      </c>
      <c r="AN51" s="334">
        <f t="shared" si="33"/>
        <v>7519411618.29</v>
      </c>
      <c r="AO51" s="334">
        <f t="shared" si="33"/>
        <v>7529473432.5499992</v>
      </c>
      <c r="AP51" s="334">
        <f t="shared" si="33"/>
        <v>7580705105.8899994</v>
      </c>
      <c r="AQ51" s="334">
        <f t="shared" si="33"/>
        <v>7676116920.2000008</v>
      </c>
      <c r="AR51" s="334">
        <f t="shared" ref="AR51:AW51" si="34">AR50+AR39</f>
        <v>7813306931.8699999</v>
      </c>
      <c r="AS51" s="334">
        <f t="shared" si="34"/>
        <v>7958553070.1499996</v>
      </c>
      <c r="AT51" s="334">
        <f t="shared" si="34"/>
        <v>7940582597</v>
      </c>
      <c r="AU51" s="334">
        <f t="shared" si="34"/>
        <v>8058733374.75</v>
      </c>
      <c r="AV51" s="334">
        <f t="shared" si="34"/>
        <v>7904639148.6399994</v>
      </c>
      <c r="AW51" s="334">
        <f t="shared" si="34"/>
        <v>7861669210.3599987</v>
      </c>
      <c r="AX51" s="334">
        <f t="shared" ref="AX51:BC51" si="35">AX50+AX39</f>
        <v>8014244980.5199995</v>
      </c>
      <c r="AY51" s="334">
        <f t="shared" si="35"/>
        <v>8083153633.4900007</v>
      </c>
      <c r="AZ51" s="334">
        <f t="shared" si="35"/>
        <v>8179515622.0899992</v>
      </c>
      <c r="BA51" s="334">
        <f t="shared" si="35"/>
        <v>8335291581.7800007</v>
      </c>
      <c r="BB51" s="334">
        <f t="shared" si="35"/>
        <v>8483821890.6900005</v>
      </c>
      <c r="BC51" s="334">
        <f t="shared" si="35"/>
        <v>8575025089.0300007</v>
      </c>
      <c r="BD51" s="334">
        <f>BD50+BD39</f>
        <v>8704786700.2999992</v>
      </c>
      <c r="BE51" s="334">
        <f>BE50+BE39</f>
        <v>8788986102.3800011</v>
      </c>
      <c r="BF51" s="334">
        <f>BF50+BF39</f>
        <v>8960915139.6300011</v>
      </c>
      <c r="BG51" s="321">
        <f>BG50+BG39</f>
        <v>8917753738</v>
      </c>
      <c r="BH51" s="334">
        <f t="shared" ref="BH51:BT51" si="36">BH50+BH39</f>
        <v>8894980455.4499989</v>
      </c>
      <c r="BI51" s="334">
        <f t="shared" si="36"/>
        <v>8769228747.4399986</v>
      </c>
      <c r="BJ51" s="334">
        <f t="shared" si="36"/>
        <v>8831611969.9399986</v>
      </c>
      <c r="BK51" s="334">
        <f t="shared" si="36"/>
        <v>8920981889.6200008</v>
      </c>
      <c r="BL51" s="334">
        <f t="shared" si="36"/>
        <v>9054255828.6299992</v>
      </c>
      <c r="BM51" s="334">
        <f t="shared" si="36"/>
        <v>9144113825.8100014</v>
      </c>
      <c r="BN51" s="334">
        <f t="shared" si="36"/>
        <v>9488057860.3800011</v>
      </c>
      <c r="BO51" s="334">
        <f t="shared" si="36"/>
        <v>9546849383.0300007</v>
      </c>
      <c r="BP51" s="334">
        <f t="shared" si="36"/>
        <v>9742609043.9399986</v>
      </c>
      <c r="BQ51" s="334">
        <f t="shared" si="36"/>
        <v>9941842292.2700005</v>
      </c>
      <c r="BR51" s="334">
        <f t="shared" si="36"/>
        <v>10102018753.900002</v>
      </c>
      <c r="BS51" s="334">
        <f t="shared" si="36"/>
        <v>10282563178.42</v>
      </c>
      <c r="BT51" s="334">
        <f t="shared" si="36"/>
        <v>10412328501</v>
      </c>
      <c r="BU51" s="321"/>
      <c r="BV51" s="321">
        <f t="shared" ref="BV51:BX51" si="37">BV42+BV43+BV44+BV45+BV46+BV47+BV48+BV49</f>
        <v>956838358.63999999</v>
      </c>
      <c r="BW51" s="321">
        <f t="shared" si="37"/>
        <v>951884827.16000009</v>
      </c>
      <c r="BX51" s="321">
        <f t="shared" si="37"/>
        <v>931522370.77999997</v>
      </c>
      <c r="BY51" s="334">
        <f>BU50+BY39</f>
        <v>10491916009.68</v>
      </c>
      <c r="BZ51" s="334">
        <f>BV50+BZ39</f>
        <v>10654682287.639999</v>
      </c>
      <c r="CA51" s="334">
        <f>BW50+CA39</f>
        <v>10928961507.690001</v>
      </c>
      <c r="CB51" s="334">
        <f t="shared" ref="CB51" si="38">BX50+CB39</f>
        <v>11073144119.74</v>
      </c>
      <c r="CC51" s="334">
        <f>SUM(BV51:CB51)</f>
        <v>45988949481.330002</v>
      </c>
      <c r="CD51" s="334">
        <f t="shared" ref="CD51" si="39">BZ50+CD39</f>
        <v>11360376178.009998</v>
      </c>
      <c r="CE51" s="334">
        <f t="shared" ref="CE51" si="40">CA50+CE39</f>
        <v>11573387053.219999</v>
      </c>
      <c r="CF51" s="334">
        <f t="shared" ref="CF51" si="41">CB50+CF39</f>
        <v>11755598950.739998</v>
      </c>
      <c r="CG51" s="334">
        <f t="shared" ref="CG51" si="42">CC50+CG39</f>
        <v>11624569466.5</v>
      </c>
      <c r="CH51" s="321">
        <f>CD50+CH39</f>
        <v>11280150785.76</v>
      </c>
      <c r="CI51" s="321">
        <f t="shared" ref="CI51" si="43">CE50+CI39</f>
        <v>11324196118.059999</v>
      </c>
      <c r="CJ51" s="321">
        <f t="shared" ref="CJ51" si="44">CF50+CJ39</f>
        <v>11479781082.149998</v>
      </c>
      <c r="CK51" s="334">
        <f t="shared" ref="CK51:CL51" si="45">CG50+CK39</f>
        <v>11584151540.58</v>
      </c>
      <c r="CL51" s="334">
        <f t="shared" si="45"/>
        <v>11752072158.559998</v>
      </c>
      <c r="CM51" s="334">
        <f t="shared" ref="CM51" si="46">CI50+CM39</f>
        <v>12059266225.289999</v>
      </c>
      <c r="CN51" s="334">
        <f t="shared" ref="CN51" si="47">CJ50+CN39</f>
        <v>12388342537.959999</v>
      </c>
      <c r="CO51" s="334">
        <f>CO50+CO39</f>
        <v>12719877940.889999</v>
      </c>
      <c r="CP51" s="334">
        <f>CP50+CP39</f>
        <v>12823136525.379999</v>
      </c>
      <c r="CQ51" s="334">
        <f t="shared" ref="CQ51" si="48">CM50+CQ39</f>
        <v>1927338784.95</v>
      </c>
      <c r="CR51" s="334">
        <f t="shared" ref="CR51" si="49">CN50+CR39</f>
        <v>1942414670.6399999</v>
      </c>
      <c r="CS51" s="334">
        <f t="shared" ref="CS51" si="50">CO50+CS39</f>
        <v>1949129311</v>
      </c>
      <c r="CT51" s="334">
        <f t="shared" ref="CT51" si="51">CP50+CT39</f>
        <v>1982664463.6600001</v>
      </c>
    </row>
    <row r="52" spans="1:98">
      <c r="A52" s="485"/>
      <c r="B52" s="502">
        <f t="shared" ref="B52:AQ52" si="52">B26-B51</f>
        <v>0</v>
      </c>
      <c r="C52" s="502">
        <f t="shared" si="52"/>
        <v>0</v>
      </c>
      <c r="D52" s="502">
        <f t="shared" si="52"/>
        <v>148421933.30000019</v>
      </c>
      <c r="E52" s="502">
        <f t="shared" si="52"/>
        <v>1</v>
      </c>
      <c r="F52" s="502">
        <f t="shared" si="52"/>
        <v>1.2100000381469727</v>
      </c>
      <c r="G52" s="502">
        <f t="shared" si="52"/>
        <v>-1</v>
      </c>
      <c r="H52" s="502">
        <f t="shared" si="52"/>
        <v>0</v>
      </c>
      <c r="I52" s="502">
        <f t="shared" si="52"/>
        <v>0</v>
      </c>
      <c r="J52" s="502">
        <f t="shared" si="52"/>
        <v>0</v>
      </c>
      <c r="K52" s="502">
        <f t="shared" si="52"/>
        <v>-0.8600006103515625</v>
      </c>
      <c r="L52" s="502">
        <f t="shared" si="52"/>
        <v>0</v>
      </c>
      <c r="M52" s="502">
        <f t="shared" si="52"/>
        <v>0</v>
      </c>
      <c r="N52" s="502">
        <f t="shared" si="52"/>
        <v>0</v>
      </c>
      <c r="O52" s="502">
        <f t="shared" si="52"/>
        <v>0</v>
      </c>
      <c r="P52" s="502">
        <f t="shared" si="52"/>
        <v>0</v>
      </c>
      <c r="Q52" s="502">
        <f t="shared" si="52"/>
        <v>0</v>
      </c>
      <c r="R52" s="502">
        <f t="shared" si="52"/>
        <v>0</v>
      </c>
      <c r="S52" s="502">
        <f t="shared" si="52"/>
        <v>0</v>
      </c>
      <c r="T52" s="502">
        <f t="shared" si="52"/>
        <v>-3</v>
      </c>
      <c r="U52" s="502">
        <f t="shared" si="52"/>
        <v>0</v>
      </c>
      <c r="V52" s="502">
        <f t="shared" si="52"/>
        <v>0</v>
      </c>
      <c r="W52" s="502">
        <f t="shared" si="52"/>
        <v>0</v>
      </c>
      <c r="X52" s="502">
        <f t="shared" si="52"/>
        <v>-6.0000419616699219E-2</v>
      </c>
      <c r="Y52" s="502">
        <f t="shared" si="52"/>
        <v>0</v>
      </c>
      <c r="Z52" s="502">
        <f t="shared" si="52"/>
        <v>0</v>
      </c>
      <c r="AA52" s="502">
        <f t="shared" si="52"/>
        <v>0.15999984741210938</v>
      </c>
      <c r="AB52" s="502">
        <f t="shared" si="52"/>
        <v>0</v>
      </c>
      <c r="AC52" s="502">
        <f t="shared" si="52"/>
        <v>0</v>
      </c>
      <c r="AD52" s="502">
        <f t="shared" si="52"/>
        <v>0</v>
      </c>
      <c r="AE52" s="502">
        <f t="shared" si="52"/>
        <v>0</v>
      </c>
      <c r="AF52" s="502">
        <f t="shared" si="52"/>
        <v>0</v>
      </c>
      <c r="AG52" s="502">
        <f t="shared" si="52"/>
        <v>2.3534564971923828</v>
      </c>
      <c r="AH52" s="502">
        <f t="shared" si="52"/>
        <v>0</v>
      </c>
      <c r="AI52" s="502">
        <f t="shared" si="52"/>
        <v>0</v>
      </c>
      <c r="AJ52" s="502">
        <f t="shared" si="52"/>
        <v>0</v>
      </c>
      <c r="AK52" s="502">
        <f t="shared" si="52"/>
        <v>0</v>
      </c>
      <c r="AL52" s="502">
        <f t="shared" si="52"/>
        <v>0</v>
      </c>
      <c r="AM52" s="502">
        <f t="shared" si="52"/>
        <v>0</v>
      </c>
      <c r="AN52" s="502">
        <f t="shared" si="52"/>
        <v>0</v>
      </c>
      <c r="AO52" s="502">
        <f t="shared" si="52"/>
        <v>0</v>
      </c>
      <c r="AP52" s="502">
        <f t="shared" si="52"/>
        <v>-0.82999992370605469</v>
      </c>
      <c r="AQ52" s="502">
        <f t="shared" si="52"/>
        <v>0</v>
      </c>
      <c r="AR52" s="502"/>
      <c r="AS52" s="502">
        <f t="shared" ref="AS52:BT52" si="53">AS26-AS51</f>
        <v>0.60000038146972656</v>
      </c>
      <c r="AT52" s="502">
        <f t="shared" si="53"/>
        <v>9</v>
      </c>
      <c r="AU52" s="502">
        <f t="shared" si="53"/>
        <v>0</v>
      </c>
      <c r="AV52" s="502">
        <f t="shared" si="53"/>
        <v>0</v>
      </c>
      <c r="AW52" s="502">
        <f t="shared" si="53"/>
        <v>0.60000133514404297</v>
      </c>
      <c r="AX52" s="502">
        <f t="shared" si="53"/>
        <v>0</v>
      </c>
      <c r="AY52" s="502">
        <f t="shared" si="53"/>
        <v>-6.0001373291015625E-2</v>
      </c>
      <c r="AZ52" s="502">
        <f t="shared" si="53"/>
        <v>0</v>
      </c>
      <c r="BA52" s="502">
        <f t="shared" si="53"/>
        <v>0</v>
      </c>
      <c r="BB52" s="502">
        <f t="shared" si="53"/>
        <v>0</v>
      </c>
      <c r="BC52" s="502">
        <f t="shared" si="53"/>
        <v>0</v>
      </c>
      <c r="BD52" s="502">
        <f t="shared" si="53"/>
        <v>0</v>
      </c>
      <c r="BE52" s="502">
        <f t="shared" si="53"/>
        <v>0</v>
      </c>
      <c r="BF52" s="502">
        <f t="shared" si="53"/>
        <v>0</v>
      </c>
      <c r="BG52" s="503">
        <f t="shared" si="53"/>
        <v>0</v>
      </c>
      <c r="BH52" s="502">
        <f t="shared" si="53"/>
        <v>0</v>
      </c>
      <c r="BI52" s="502">
        <f t="shared" si="53"/>
        <v>0.20000267028808594</v>
      </c>
      <c r="BJ52" s="502">
        <f t="shared" si="53"/>
        <v>-0.47999763488769531</v>
      </c>
      <c r="BK52" s="502">
        <f t="shared" si="53"/>
        <v>0</v>
      </c>
      <c r="BL52" s="502">
        <f t="shared" si="53"/>
        <v>0</v>
      </c>
      <c r="BM52" s="502">
        <f t="shared" si="53"/>
        <v>0</v>
      </c>
      <c r="BN52" s="502">
        <f t="shared" si="53"/>
        <v>0</v>
      </c>
      <c r="BO52" s="502">
        <f t="shared" si="53"/>
        <v>0</v>
      </c>
      <c r="BP52" s="502">
        <f t="shared" si="53"/>
        <v>0</v>
      </c>
      <c r="BQ52" s="502">
        <f t="shared" si="53"/>
        <v>7.9998016357421875E-2</v>
      </c>
      <c r="BR52" s="502">
        <f t="shared" si="53"/>
        <v>0</v>
      </c>
      <c r="BS52" s="502">
        <f t="shared" si="53"/>
        <v>0</v>
      </c>
      <c r="BT52" s="502">
        <f t="shared" si="53"/>
        <v>0</v>
      </c>
      <c r="BU52" s="461"/>
      <c r="BV52" s="461">
        <f t="shared" ref="BV52:BX52" si="54">BV51+BV40</f>
        <v>956838358.63999999</v>
      </c>
      <c r="BW52" s="461">
        <f t="shared" si="54"/>
        <v>951884827.16000009</v>
      </c>
      <c r="BX52" s="461">
        <f t="shared" si="54"/>
        <v>931522370.77999997</v>
      </c>
      <c r="BY52" s="502">
        <f>BY26-BY51</f>
        <v>0</v>
      </c>
      <c r="BZ52" s="502">
        <f>BZ26-BZ51</f>
        <v>0</v>
      </c>
      <c r="CA52" s="502">
        <f>CA26-CA51</f>
        <v>0</v>
      </c>
      <c r="CD52" s="504">
        <f>SUM(CD41:CD50)</f>
        <v>3384853759.5</v>
      </c>
      <c r="CO52" s="470">
        <f>CO51-CO26</f>
        <v>0</v>
      </c>
      <c r="CP52" s="470">
        <f>CP51-CP26</f>
        <v>0</v>
      </c>
    </row>
    <row r="53" spans="1:98">
      <c r="C53" s="505"/>
      <c r="D53" s="505"/>
      <c r="E53" s="505"/>
      <c r="F53" s="505"/>
      <c r="G53" s="505"/>
      <c r="H53" s="505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</row>
  </sheetData>
  <dataValidations disablePrompts="1" count="2">
    <dataValidation type="decimal" showErrorMessage="1" errorTitle="Error Msg" error="Enter a NO" sqref="B45:B47 B10:C12 B41:B43 C44:D44 F44:U44 O47:P49 B34:U38 B22:U25 B5:U6 P30 B15:U15 C46:N49 C42:U42 B29:O30 Q46:U49 P46 D10:W11 Q29:W30 X29:AA29" xr:uid="{00000000-0002-0000-0000-000000000000}">
      <formula1>0</formula1>
      <formula2>999999999999</formula2>
    </dataValidation>
    <dataValidation type="decimal" showInputMessage="1" showErrorMessage="1" errorTitle="Error Msg" error="Enter a NO" sqref="B18:W19" xr:uid="{00000000-0002-0000-0000-000001000000}">
      <formula1>0</formula1>
      <formula2>999999999999</formula2>
    </dataValidation>
  </dataValidations>
  <pageMargins left="0.7" right="0.7" top="0.75" bottom="0.75" header="0.3" footer="0.3"/>
  <pageSetup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S38"/>
  <sheetViews>
    <sheetView zoomScale="80" zoomScaleNormal="80" zoomScaleSheetLayoutView="100" workbookViewId="0">
      <pane xSplit="1" topLeftCell="CJ1" activePane="topRight" state="frozen"/>
      <selection pane="topRight" activeCell="CP39" sqref="CP39"/>
    </sheetView>
  </sheetViews>
  <sheetFormatPr defaultColWidth="9.140625" defaultRowHeight="11.45"/>
  <cols>
    <col min="1" max="1" width="37.42578125" style="382" customWidth="1"/>
    <col min="2" max="2" width="17.28515625" style="382" hidden="1" customWidth="1"/>
    <col min="3" max="5" width="16.42578125" style="382" hidden="1" customWidth="1"/>
    <col min="6" max="6" width="18.5703125" style="382" hidden="1" customWidth="1"/>
    <col min="7" max="11" width="19" style="382" hidden="1" customWidth="1"/>
    <col min="12" max="12" width="17.85546875" style="382" hidden="1" customWidth="1"/>
    <col min="13" max="13" width="18.140625" style="382" hidden="1" customWidth="1"/>
    <col min="14" max="18" width="19" style="382" hidden="1" customWidth="1"/>
    <col min="19" max="19" width="17.28515625" style="382" hidden="1" customWidth="1"/>
    <col min="20" max="20" width="17.85546875" style="382" hidden="1" customWidth="1"/>
    <col min="21" max="21" width="18.7109375" style="382" hidden="1" customWidth="1"/>
    <col min="22" max="22" width="16" style="382" hidden="1" customWidth="1"/>
    <col min="23" max="23" width="17.42578125" style="382" hidden="1" customWidth="1"/>
    <col min="24" max="26" width="16" style="382" hidden="1" customWidth="1"/>
    <col min="27" max="27" width="16.5703125" style="382" hidden="1" customWidth="1"/>
    <col min="28" max="28" width="16.42578125" style="382" hidden="1" customWidth="1"/>
    <col min="29" max="29" width="16.85546875" style="382" hidden="1" customWidth="1"/>
    <col min="30" max="30" width="16.42578125" style="382" hidden="1" customWidth="1"/>
    <col min="31" max="31" width="17.5703125" style="382" hidden="1" customWidth="1"/>
    <col min="32" max="33" width="18.5703125" style="382" hidden="1" customWidth="1"/>
    <col min="34" max="34" width="20.140625" style="382" hidden="1" customWidth="1"/>
    <col min="35" max="35" width="16.140625" style="382" hidden="1" customWidth="1"/>
    <col min="36" max="37" width="16.28515625" style="382" hidden="1" customWidth="1"/>
    <col min="38" max="38" width="21.7109375" style="382" hidden="1" customWidth="1"/>
    <col min="39" max="40" width="16.85546875" style="382" hidden="1" customWidth="1"/>
    <col min="41" max="41" width="16.5703125" style="382" hidden="1" customWidth="1"/>
    <col min="42" max="42" width="18.140625" style="382" hidden="1" customWidth="1"/>
    <col min="43" max="43" width="17.5703125" style="382" hidden="1" customWidth="1"/>
    <col min="44" max="44" width="17.7109375" style="382" hidden="1" customWidth="1"/>
    <col min="45" max="45" width="18.140625" style="382" hidden="1" customWidth="1"/>
    <col min="46" max="46" width="18.7109375" style="382" hidden="1" customWidth="1"/>
    <col min="47" max="50" width="16.140625" style="382" hidden="1" customWidth="1"/>
    <col min="51" max="51" width="17.28515625" style="382" hidden="1" customWidth="1"/>
    <col min="52" max="52" width="16" style="382" hidden="1" customWidth="1"/>
    <col min="53" max="53" width="15.28515625" style="382" hidden="1" customWidth="1"/>
    <col min="54" max="55" width="14.7109375" style="382" hidden="1" customWidth="1"/>
    <col min="56" max="56" width="15.42578125" style="382" hidden="1" customWidth="1"/>
    <col min="57" max="57" width="16.7109375" style="382" hidden="1" customWidth="1"/>
    <col min="58" max="58" width="16.28515625" style="382" hidden="1" customWidth="1"/>
    <col min="59" max="59" width="13.42578125" style="382" bestFit="1" customWidth="1"/>
    <col min="60" max="60" width="12.42578125" style="382" hidden="1" customWidth="1"/>
    <col min="61" max="67" width="13.7109375" style="382" hidden="1" customWidth="1"/>
    <col min="68" max="70" width="14.42578125" style="382" hidden="1" customWidth="1"/>
    <col min="71" max="71" width="15.85546875" style="382" customWidth="1"/>
    <col min="72" max="72" width="16.85546875" style="382" customWidth="1"/>
    <col min="73" max="73" width="17" style="382" hidden="1" customWidth="1"/>
    <col min="74" max="74" width="15.140625" style="382" hidden="1" customWidth="1"/>
    <col min="75" max="75" width="15.7109375" style="382" hidden="1" customWidth="1"/>
    <col min="76" max="76" width="16.140625" style="382" hidden="1" customWidth="1"/>
    <col min="77" max="77" width="16" style="382" hidden="1" customWidth="1"/>
    <col min="78" max="78" width="17.140625" style="382" hidden="1" customWidth="1"/>
    <col min="79" max="79" width="16.85546875" style="382" hidden="1" customWidth="1"/>
    <col min="80" max="80" width="17" style="382" hidden="1" customWidth="1"/>
    <col min="81" max="81" width="19.85546875" style="382" hidden="1" customWidth="1"/>
    <col min="82" max="82" width="13.28515625" style="382" hidden="1" customWidth="1"/>
    <col min="83" max="83" width="13.42578125" style="382" hidden="1" customWidth="1"/>
    <col min="84" max="84" width="13.42578125" style="382" bestFit="1" customWidth="1"/>
    <col min="85" max="85" width="15.28515625" style="382" customWidth="1"/>
    <col min="86" max="88" width="14.42578125" style="382" bestFit="1" customWidth="1"/>
    <col min="89" max="91" width="12" style="382" bestFit="1" customWidth="1"/>
    <col min="92" max="92" width="17.85546875" style="382" customWidth="1"/>
    <col min="93" max="93" width="16.140625" style="382" customWidth="1"/>
    <col min="94" max="94" width="16.28515625" style="382" customWidth="1"/>
    <col min="95" max="16384" width="9.140625" style="382"/>
  </cols>
  <sheetData>
    <row r="2" spans="1:97">
      <c r="B2" s="404" t="s">
        <v>2</v>
      </c>
      <c r="C2" s="404" t="s">
        <v>3</v>
      </c>
      <c r="D2" s="404" t="s">
        <v>4</v>
      </c>
      <c r="E2" s="404" t="s">
        <v>5</v>
      </c>
      <c r="F2" s="374" t="s">
        <v>62</v>
      </c>
      <c r="G2" s="405" t="s">
        <v>7</v>
      </c>
      <c r="H2" s="405">
        <v>42736</v>
      </c>
      <c r="I2" s="405">
        <v>42767</v>
      </c>
      <c r="J2" s="405">
        <v>42795</v>
      </c>
      <c r="K2" s="405">
        <v>42826</v>
      </c>
      <c r="L2" s="405">
        <v>42856</v>
      </c>
      <c r="M2" s="405">
        <v>42887</v>
      </c>
      <c r="N2" s="405">
        <v>42917</v>
      </c>
      <c r="O2" s="405">
        <v>42948</v>
      </c>
      <c r="P2" s="405">
        <v>42979</v>
      </c>
      <c r="Q2" s="405">
        <v>43009</v>
      </c>
      <c r="R2" s="405">
        <v>43040</v>
      </c>
      <c r="S2" s="405">
        <v>43070</v>
      </c>
      <c r="T2" s="406" t="s">
        <v>8</v>
      </c>
      <c r="U2" s="407">
        <v>43101</v>
      </c>
      <c r="V2" s="407">
        <v>43132</v>
      </c>
      <c r="W2" s="407">
        <v>43160</v>
      </c>
      <c r="X2" s="407">
        <v>43191</v>
      </c>
      <c r="Y2" s="407">
        <v>43221</v>
      </c>
      <c r="Z2" s="407">
        <v>43252</v>
      </c>
      <c r="AA2" s="407">
        <v>43282</v>
      </c>
      <c r="AB2" s="407">
        <v>43313</v>
      </c>
      <c r="AC2" s="407">
        <v>43344</v>
      </c>
      <c r="AD2" s="407">
        <v>43374</v>
      </c>
      <c r="AE2" s="407">
        <v>43405</v>
      </c>
      <c r="AF2" s="408">
        <v>43435</v>
      </c>
      <c r="AG2" s="409" t="s">
        <v>9</v>
      </c>
      <c r="AH2" s="410">
        <v>43466</v>
      </c>
      <c r="AI2" s="410">
        <v>43497</v>
      </c>
      <c r="AJ2" s="410">
        <v>43525</v>
      </c>
      <c r="AK2" s="410">
        <v>43556</v>
      </c>
      <c r="AL2" s="410">
        <v>43586</v>
      </c>
      <c r="AM2" s="410">
        <v>43617</v>
      </c>
      <c r="AN2" s="405">
        <v>43647</v>
      </c>
      <c r="AO2" s="405">
        <v>43678</v>
      </c>
      <c r="AP2" s="405">
        <v>43709</v>
      </c>
      <c r="AQ2" s="405">
        <v>43739</v>
      </c>
      <c r="AR2" s="405">
        <v>43770</v>
      </c>
      <c r="AS2" s="405">
        <v>43800</v>
      </c>
      <c r="AT2" s="406" t="s">
        <v>10</v>
      </c>
      <c r="AU2" s="405">
        <v>43831</v>
      </c>
      <c r="AV2" s="405">
        <v>43862</v>
      </c>
      <c r="AW2" s="405">
        <v>43891</v>
      </c>
      <c r="AX2" s="405">
        <v>43922</v>
      </c>
      <c r="AY2" s="405">
        <v>43952</v>
      </c>
      <c r="AZ2" s="405">
        <v>43983</v>
      </c>
      <c r="BA2" s="405">
        <v>44013</v>
      </c>
      <c r="BB2" s="405">
        <v>44044</v>
      </c>
      <c r="BC2" s="405">
        <v>44075</v>
      </c>
      <c r="BD2" s="405">
        <v>44105</v>
      </c>
      <c r="BE2" s="405">
        <v>44136</v>
      </c>
      <c r="BF2" s="405">
        <v>44166</v>
      </c>
      <c r="BG2" s="411" t="s">
        <v>11</v>
      </c>
      <c r="BH2" s="405">
        <v>44197</v>
      </c>
      <c r="BI2" s="405">
        <v>44228</v>
      </c>
      <c r="BJ2" s="405">
        <v>44256</v>
      </c>
      <c r="BK2" s="405">
        <v>44287</v>
      </c>
      <c r="BL2" s="405">
        <v>44317</v>
      </c>
      <c r="BM2" s="405">
        <v>44348</v>
      </c>
      <c r="BN2" s="405">
        <v>44378</v>
      </c>
      <c r="BO2" s="405">
        <v>44409</v>
      </c>
      <c r="BP2" s="405">
        <v>44440</v>
      </c>
      <c r="BQ2" s="405">
        <v>44470</v>
      </c>
      <c r="BR2" s="405">
        <v>44501</v>
      </c>
      <c r="BS2" s="405">
        <v>44531</v>
      </c>
      <c r="BT2" s="405" t="s">
        <v>12</v>
      </c>
      <c r="BU2" s="405">
        <v>44562</v>
      </c>
      <c r="BV2" s="405">
        <v>44593</v>
      </c>
      <c r="BW2" s="405">
        <v>44621</v>
      </c>
      <c r="BX2" s="405">
        <v>44652</v>
      </c>
      <c r="BY2" s="405">
        <v>44682</v>
      </c>
      <c r="BZ2" s="405">
        <v>44713</v>
      </c>
      <c r="CA2" s="405">
        <v>44743</v>
      </c>
      <c r="CB2" s="405">
        <v>44774</v>
      </c>
      <c r="CC2" s="405">
        <v>44805</v>
      </c>
      <c r="CD2" s="405">
        <v>44835</v>
      </c>
      <c r="CE2" s="405">
        <v>44866</v>
      </c>
      <c r="CF2" s="405">
        <v>44896</v>
      </c>
      <c r="CG2" s="405" t="s">
        <v>13</v>
      </c>
      <c r="CH2" s="405">
        <v>44927</v>
      </c>
      <c r="CI2" s="405">
        <v>44958</v>
      </c>
      <c r="CJ2" s="405">
        <v>44986</v>
      </c>
      <c r="CK2" s="405">
        <v>45017</v>
      </c>
      <c r="CL2" s="405">
        <v>45047</v>
      </c>
      <c r="CM2" s="405">
        <v>45078</v>
      </c>
      <c r="CN2" s="405">
        <v>45108</v>
      </c>
      <c r="CO2" s="405">
        <v>45139</v>
      </c>
      <c r="CP2" s="405">
        <v>45170</v>
      </c>
      <c r="CQ2" s="405">
        <v>45200</v>
      </c>
      <c r="CR2" s="405">
        <v>45231</v>
      </c>
      <c r="CS2" s="405">
        <v>45261</v>
      </c>
    </row>
    <row r="3" spans="1:97" s="373" customFormat="1">
      <c r="A3" s="78" t="s">
        <v>63</v>
      </c>
      <c r="B3" s="412">
        <v>272737000</v>
      </c>
      <c r="C3" s="412">
        <f t="shared" ref="C3:J3" si="0">C4+C7</f>
        <v>315395000</v>
      </c>
      <c r="D3" s="412">
        <f t="shared" si="0"/>
        <v>391908000</v>
      </c>
      <c r="E3" s="412">
        <f t="shared" si="0"/>
        <v>486302029</v>
      </c>
      <c r="F3" s="413">
        <f t="shared" si="0"/>
        <v>557411649</v>
      </c>
      <c r="G3" s="413">
        <f t="shared" si="0"/>
        <v>691077004</v>
      </c>
      <c r="H3" s="413">
        <f t="shared" si="0"/>
        <v>60018211.960000001</v>
      </c>
      <c r="I3" s="413">
        <f t="shared" si="0"/>
        <v>119297112.59</v>
      </c>
      <c r="J3" s="413">
        <f t="shared" si="0"/>
        <v>182223000.25</v>
      </c>
      <c r="K3" s="413">
        <f t="shared" ref="K3:P3" si="1">K4+K7</f>
        <v>246830238.11999997</v>
      </c>
      <c r="L3" s="413">
        <f t="shared" si="1"/>
        <v>314203056.5</v>
      </c>
      <c r="M3" s="413">
        <f t="shared" si="1"/>
        <v>392897339.34000003</v>
      </c>
      <c r="N3" s="413">
        <f t="shared" si="1"/>
        <v>465573139.64000005</v>
      </c>
      <c r="O3" s="413">
        <f t="shared" si="1"/>
        <v>554144953.28999996</v>
      </c>
      <c r="P3" s="413">
        <f t="shared" si="1"/>
        <v>643635070.36000001</v>
      </c>
      <c r="Q3" s="413">
        <f>Q4+Q7</f>
        <v>722470673.74000001</v>
      </c>
      <c r="R3" s="413">
        <f>R4+R7</f>
        <v>796112653.29000008</v>
      </c>
      <c r="S3" s="413">
        <f>S4+S7</f>
        <v>896320058.3499999</v>
      </c>
      <c r="T3" s="413">
        <f>T4+T7</f>
        <v>896320059</v>
      </c>
      <c r="U3" s="413">
        <f t="shared" ref="U3:AY3" si="2">U4+U7</f>
        <v>157513133.84</v>
      </c>
      <c r="V3" s="413">
        <f t="shared" si="2"/>
        <v>152893690.23000002</v>
      </c>
      <c r="W3" s="413">
        <f t="shared" si="2"/>
        <v>234315609.72999999</v>
      </c>
      <c r="X3" s="413">
        <f t="shared" si="2"/>
        <v>319323241.69999999</v>
      </c>
      <c r="Y3" s="413">
        <f t="shared" si="2"/>
        <v>402435622.74000001</v>
      </c>
      <c r="Z3" s="413">
        <f t="shared" si="2"/>
        <v>495140842.17000002</v>
      </c>
      <c r="AA3" s="413">
        <f t="shared" si="2"/>
        <v>577932940.29999995</v>
      </c>
      <c r="AB3" s="413">
        <f t="shared" si="2"/>
        <v>676821385.31999993</v>
      </c>
      <c r="AC3" s="413">
        <f t="shared" si="2"/>
        <v>756421527.60000002</v>
      </c>
      <c r="AD3" s="413">
        <f t="shared" si="2"/>
        <v>841538385.82000005</v>
      </c>
      <c r="AE3" s="413">
        <f t="shared" si="2"/>
        <v>935794329.07000005</v>
      </c>
      <c r="AF3" s="413">
        <f t="shared" si="2"/>
        <v>1036694945.3900001</v>
      </c>
      <c r="AG3" s="413">
        <f t="shared" si="2"/>
        <v>1038485909</v>
      </c>
      <c r="AH3" s="413">
        <f t="shared" si="2"/>
        <v>89128586.870000005</v>
      </c>
      <c r="AI3" s="413">
        <f t="shared" si="2"/>
        <v>176076413.72999999</v>
      </c>
      <c r="AJ3" s="413">
        <f t="shared" si="2"/>
        <v>265695136.00999999</v>
      </c>
      <c r="AK3" s="413">
        <f t="shared" si="2"/>
        <v>360178798.04000002</v>
      </c>
      <c r="AL3" s="413">
        <f t="shared" si="2"/>
        <v>447605011.35000002</v>
      </c>
      <c r="AM3" s="413">
        <f t="shared" si="2"/>
        <v>554694143.81999993</v>
      </c>
      <c r="AN3" s="413">
        <f t="shared" si="2"/>
        <v>648240920.01999998</v>
      </c>
      <c r="AO3" s="413">
        <f t="shared" si="2"/>
        <v>759688165.04999995</v>
      </c>
      <c r="AP3" s="413">
        <f t="shared" si="2"/>
        <v>853449155.22000003</v>
      </c>
      <c r="AQ3" s="413">
        <f t="shared" si="2"/>
        <v>943912475.21000004</v>
      </c>
      <c r="AR3" s="413">
        <f t="shared" si="2"/>
        <v>1048017852.89</v>
      </c>
      <c r="AS3" s="413">
        <f t="shared" si="2"/>
        <v>1145324543.49</v>
      </c>
      <c r="AT3" s="413">
        <f t="shared" si="2"/>
        <v>1185893488</v>
      </c>
      <c r="AU3" s="413">
        <f t="shared" si="2"/>
        <v>92723174.149999991</v>
      </c>
      <c r="AV3" s="413">
        <f t="shared" si="2"/>
        <v>189765275.06</v>
      </c>
      <c r="AW3" s="413">
        <f t="shared" si="2"/>
        <v>285394671.43000001</v>
      </c>
      <c r="AX3" s="413">
        <f t="shared" si="2"/>
        <v>389968624.21000004</v>
      </c>
      <c r="AY3" s="413">
        <f t="shared" si="2"/>
        <v>477668646.81</v>
      </c>
      <c r="AZ3" s="413">
        <f t="shared" ref="AZ3:BG3" si="3">AZ4+AZ7</f>
        <v>565539106.60000002</v>
      </c>
      <c r="BA3" s="413">
        <f t="shared" si="3"/>
        <v>659684796.25999999</v>
      </c>
      <c r="BB3" s="413">
        <f t="shared" si="3"/>
        <v>764305710.99000001</v>
      </c>
      <c r="BC3" s="413">
        <f t="shared" si="3"/>
        <v>865081063.50999999</v>
      </c>
      <c r="BD3" s="413">
        <f t="shared" si="3"/>
        <v>968289383.25999999</v>
      </c>
      <c r="BE3" s="413">
        <f t="shared" si="3"/>
        <v>1066910106.49</v>
      </c>
      <c r="BF3" s="413">
        <f t="shared" si="3"/>
        <v>1174659253.8799999</v>
      </c>
      <c r="BG3" s="414">
        <f t="shared" si="3"/>
        <v>1184995392</v>
      </c>
      <c r="BH3" s="414">
        <f t="shared" ref="BH3:BR3" si="4">BH4+BH7</f>
        <v>99907059.480000004</v>
      </c>
      <c r="BI3" s="414">
        <f t="shared" si="4"/>
        <v>193605681.59</v>
      </c>
      <c r="BJ3" s="414">
        <f t="shared" si="4"/>
        <v>296007487.54000002</v>
      </c>
      <c r="BK3" s="414">
        <f t="shared" si="4"/>
        <v>426923605.56</v>
      </c>
      <c r="BL3" s="414">
        <f t="shared" si="4"/>
        <v>529974539.69</v>
      </c>
      <c r="BM3" s="414">
        <f t="shared" si="4"/>
        <v>634131702.66999996</v>
      </c>
      <c r="BN3" s="414">
        <f t="shared" si="4"/>
        <v>752578040.13</v>
      </c>
      <c r="BO3" s="414">
        <f t="shared" si="4"/>
        <v>848175326.94000006</v>
      </c>
      <c r="BP3" s="414">
        <f t="shared" si="4"/>
        <v>960775743.68000007</v>
      </c>
      <c r="BQ3" s="414">
        <f t="shared" si="4"/>
        <v>1069400660.2800001</v>
      </c>
      <c r="BR3" s="414">
        <f t="shared" si="4"/>
        <v>1174270064.97</v>
      </c>
      <c r="BS3" s="414">
        <f>BS4+BS7</f>
        <v>1309500737.05</v>
      </c>
      <c r="BT3" s="414">
        <f t="shared" ref="BT3:CG3" si="5">BT4+BT7</f>
        <v>1309500738</v>
      </c>
      <c r="BU3" s="414">
        <f t="shared" si="5"/>
        <v>102780416.2</v>
      </c>
      <c r="BV3" s="414">
        <f t="shared" si="5"/>
        <v>223397272.90000001</v>
      </c>
      <c r="BW3" s="414">
        <f t="shared" si="5"/>
        <v>341246427.96999997</v>
      </c>
      <c r="BX3" s="414">
        <f t="shared" si="5"/>
        <v>445582030.13999999</v>
      </c>
      <c r="BY3" s="414">
        <f t="shared" si="5"/>
        <v>566812274.76999998</v>
      </c>
      <c r="BZ3" s="414">
        <f t="shared" si="5"/>
        <v>700335163.76999998</v>
      </c>
      <c r="CA3" s="414">
        <f t="shared" si="5"/>
        <v>815232701.32000005</v>
      </c>
      <c r="CB3" s="414">
        <f t="shared" si="5"/>
        <v>946243236.98000002</v>
      </c>
      <c r="CC3" s="414">
        <f t="shared" si="5"/>
        <v>1083772595.1700001</v>
      </c>
      <c r="CD3" s="414">
        <f t="shared" si="5"/>
        <v>1209794274.1900001</v>
      </c>
      <c r="CE3" s="414">
        <f t="shared" si="5"/>
        <v>1320888784.6099999</v>
      </c>
      <c r="CF3" s="414">
        <f t="shared" si="5"/>
        <v>1551719569.5500002</v>
      </c>
      <c r="CG3" s="414">
        <f t="shared" si="5"/>
        <v>1531950733</v>
      </c>
      <c r="CH3" s="414">
        <f t="shared" ref="CH3:CS3" si="6">CH4+CH7</f>
        <v>134998766.71000001</v>
      </c>
      <c r="CI3" s="414">
        <f t="shared" si="6"/>
        <v>253183894.93000004</v>
      </c>
      <c r="CJ3" s="414">
        <f t="shared" si="6"/>
        <v>396936745.43000001</v>
      </c>
      <c r="CK3" s="414">
        <f t="shared" si="6"/>
        <v>525310676.20999998</v>
      </c>
      <c r="CL3" s="414">
        <f t="shared" si="6"/>
        <v>656535226.53000009</v>
      </c>
      <c r="CM3" s="414">
        <f t="shared" si="6"/>
        <v>817903632.63999999</v>
      </c>
      <c r="CN3" s="414">
        <f t="shared" si="6"/>
        <v>949880543.08000004</v>
      </c>
      <c r="CO3" s="414">
        <f t="shared" si="6"/>
        <v>1084490117.4000001</v>
      </c>
      <c r="CP3" s="414">
        <f t="shared" si="6"/>
        <v>1251868363.1300001</v>
      </c>
      <c r="CQ3" s="414">
        <f t="shared" si="6"/>
        <v>0</v>
      </c>
      <c r="CR3" s="414">
        <f t="shared" si="6"/>
        <v>0</v>
      </c>
      <c r="CS3" s="414">
        <f t="shared" si="6"/>
        <v>0</v>
      </c>
    </row>
    <row r="4" spans="1:97" s="374" customFormat="1">
      <c r="A4" s="79" t="s">
        <v>64</v>
      </c>
      <c r="B4" s="415">
        <v>254043000</v>
      </c>
      <c r="C4" s="413">
        <f t="shared" ref="C4:P4" si="7">C5+C6</f>
        <v>310677000</v>
      </c>
      <c r="D4" s="413">
        <f t="shared" si="7"/>
        <v>363369000</v>
      </c>
      <c r="E4" s="413">
        <f t="shared" si="7"/>
        <v>442597728</v>
      </c>
      <c r="F4" s="413">
        <f t="shared" si="7"/>
        <v>519200042</v>
      </c>
      <c r="G4" s="413">
        <f t="shared" si="7"/>
        <v>645382510</v>
      </c>
      <c r="H4" s="413">
        <f t="shared" si="7"/>
        <v>56614855.789999999</v>
      </c>
      <c r="I4" s="413">
        <f t="shared" si="7"/>
        <v>111772075.72</v>
      </c>
      <c r="J4" s="413">
        <f t="shared" si="7"/>
        <v>170183516.43000001</v>
      </c>
      <c r="K4" s="413">
        <f t="shared" si="7"/>
        <v>232157141.19999999</v>
      </c>
      <c r="L4" s="413">
        <f t="shared" si="7"/>
        <v>294959318.37</v>
      </c>
      <c r="M4" s="413">
        <f t="shared" si="7"/>
        <v>359796669.16000003</v>
      </c>
      <c r="N4" s="413">
        <f t="shared" si="7"/>
        <v>427744139.41000003</v>
      </c>
      <c r="O4" s="413">
        <f t="shared" si="7"/>
        <v>510385626.70999998</v>
      </c>
      <c r="P4" s="413">
        <f t="shared" si="7"/>
        <v>596738231.27999997</v>
      </c>
      <c r="Q4" s="413">
        <f>Q5+Q6</f>
        <v>672405135.65999997</v>
      </c>
      <c r="R4" s="413">
        <f>R5+R6</f>
        <v>750977697.22000003</v>
      </c>
      <c r="S4" s="413">
        <f>S5+S6</f>
        <v>837835510.66999996</v>
      </c>
      <c r="T4" s="413">
        <f>T5+T6</f>
        <v>889289068</v>
      </c>
      <c r="U4" s="413">
        <f t="shared" ref="U4:AT4" si="8">U5+U6</f>
        <v>150813213.09999999</v>
      </c>
      <c r="V4" s="413">
        <f t="shared" si="8"/>
        <v>143867657.68000001</v>
      </c>
      <c r="W4" s="413">
        <f t="shared" si="8"/>
        <v>220651848.47999999</v>
      </c>
      <c r="X4" s="413">
        <f t="shared" si="8"/>
        <v>301985697.30000001</v>
      </c>
      <c r="Y4" s="413">
        <f t="shared" si="8"/>
        <v>381597247.79000002</v>
      </c>
      <c r="Z4" s="413">
        <f t="shared" si="8"/>
        <v>457243086.55000001</v>
      </c>
      <c r="AA4" s="413">
        <f t="shared" si="8"/>
        <v>535823009.76999998</v>
      </c>
      <c r="AB4" s="413">
        <f t="shared" si="8"/>
        <v>629999482.04999995</v>
      </c>
      <c r="AC4" s="413">
        <f t="shared" si="8"/>
        <v>727308633.19000006</v>
      </c>
      <c r="AD4" s="413">
        <f t="shared" si="8"/>
        <v>809949279.25</v>
      </c>
      <c r="AE4" s="413">
        <f t="shared" si="8"/>
        <v>901971450.69000006</v>
      </c>
      <c r="AF4" s="413">
        <f t="shared" si="8"/>
        <v>969678514.45000005</v>
      </c>
      <c r="AG4" s="413">
        <f t="shared" si="8"/>
        <v>969678514</v>
      </c>
      <c r="AH4" s="413">
        <f t="shared" si="8"/>
        <v>86288298.74000001</v>
      </c>
      <c r="AI4" s="413">
        <f t="shared" si="8"/>
        <v>168182231.97999999</v>
      </c>
      <c r="AJ4" s="413">
        <f t="shared" si="8"/>
        <v>246305595.41</v>
      </c>
      <c r="AK4" s="413">
        <f t="shared" si="8"/>
        <v>335648026.17000002</v>
      </c>
      <c r="AL4" s="413">
        <f t="shared" si="8"/>
        <v>417586108.66000003</v>
      </c>
      <c r="AM4" s="413">
        <f t="shared" si="8"/>
        <v>518885853.06999999</v>
      </c>
      <c r="AN4" s="413">
        <f t="shared" si="8"/>
        <v>589527974.25999999</v>
      </c>
      <c r="AO4" s="413">
        <f t="shared" si="8"/>
        <v>711646504.75999999</v>
      </c>
      <c r="AP4" s="413">
        <f t="shared" si="8"/>
        <v>800617018.19000006</v>
      </c>
      <c r="AQ4" s="413">
        <f t="shared" si="8"/>
        <v>887069087.17000008</v>
      </c>
      <c r="AR4" s="413">
        <f t="shared" si="8"/>
        <v>986797488.49000001</v>
      </c>
      <c r="AS4" s="413">
        <f t="shared" si="8"/>
        <v>1076960199.27</v>
      </c>
      <c r="AT4" s="413">
        <f t="shared" si="8"/>
        <v>1043781324</v>
      </c>
      <c r="AU4" s="413">
        <f t="shared" ref="AU4:AZ4" si="9">AU5+AU6</f>
        <v>89717354.549999997</v>
      </c>
      <c r="AV4" s="413">
        <f t="shared" si="9"/>
        <v>176758364.55000001</v>
      </c>
      <c r="AW4" s="413">
        <f t="shared" si="9"/>
        <v>267099725.52000001</v>
      </c>
      <c r="AX4" s="413">
        <f t="shared" si="9"/>
        <v>349264422.72000003</v>
      </c>
      <c r="AY4" s="413">
        <f t="shared" si="9"/>
        <v>432743422.57999998</v>
      </c>
      <c r="AZ4" s="413">
        <f t="shared" si="9"/>
        <v>513220855.44999999</v>
      </c>
      <c r="BA4" s="413">
        <f t="shared" ref="BA4:BG4" si="10">BA5+BA6</f>
        <v>598726343.5</v>
      </c>
      <c r="BB4" s="413">
        <f t="shared" si="10"/>
        <v>697572438.5</v>
      </c>
      <c r="BC4" s="413">
        <f t="shared" si="10"/>
        <v>789555704.10000002</v>
      </c>
      <c r="BD4" s="413">
        <f t="shared" si="10"/>
        <v>884356860.10000002</v>
      </c>
      <c r="BE4" s="413">
        <f t="shared" si="10"/>
        <v>977952116.09000003</v>
      </c>
      <c r="BF4" s="413">
        <f t="shared" si="10"/>
        <v>1070422798.8399999</v>
      </c>
      <c r="BG4" s="414">
        <f t="shared" si="10"/>
        <v>1034523352</v>
      </c>
      <c r="BH4" s="414">
        <f t="shared" ref="BH4:CG4" si="11">BH5+BH6</f>
        <v>96546235.25</v>
      </c>
      <c r="BI4" s="414">
        <f t="shared" si="11"/>
        <v>185831043.34999999</v>
      </c>
      <c r="BJ4" s="414">
        <f t="shared" si="11"/>
        <v>283746978.25</v>
      </c>
      <c r="BK4" s="414">
        <f t="shared" si="11"/>
        <v>392761286.80000001</v>
      </c>
      <c r="BL4" s="414">
        <f t="shared" si="11"/>
        <v>491853603.94999999</v>
      </c>
      <c r="BM4" s="414">
        <f t="shared" si="11"/>
        <v>531178055.14999998</v>
      </c>
      <c r="BN4" s="414">
        <f t="shared" si="11"/>
        <v>658044855.25</v>
      </c>
      <c r="BO4" s="414">
        <f t="shared" si="11"/>
        <v>744482493</v>
      </c>
      <c r="BP4" s="414">
        <f t="shared" si="11"/>
        <v>833751590.25</v>
      </c>
      <c r="BQ4" s="414">
        <f t="shared" si="11"/>
        <v>933280399.95000005</v>
      </c>
      <c r="BR4" s="414">
        <f t="shared" si="11"/>
        <v>1027127695.9400001</v>
      </c>
      <c r="BS4" s="414">
        <f t="shared" si="11"/>
        <v>1129489480.3899999</v>
      </c>
      <c r="BT4" s="414">
        <f t="shared" si="11"/>
        <v>1119584185</v>
      </c>
      <c r="BU4" s="414">
        <f t="shared" si="11"/>
        <v>94738164.5</v>
      </c>
      <c r="BV4" s="414">
        <f t="shared" si="11"/>
        <v>192714762.5</v>
      </c>
      <c r="BW4" s="414">
        <f t="shared" si="11"/>
        <v>295209485.06999999</v>
      </c>
      <c r="BX4" s="414">
        <f t="shared" si="11"/>
        <v>397307770.81999999</v>
      </c>
      <c r="BY4" s="414">
        <f t="shared" si="11"/>
        <v>499121346.35000002</v>
      </c>
      <c r="BZ4" s="414">
        <f t="shared" si="11"/>
        <v>604051927.43999994</v>
      </c>
      <c r="CA4" s="414">
        <f t="shared" si="11"/>
        <v>712342497.19000006</v>
      </c>
      <c r="CB4" s="414">
        <f t="shared" si="11"/>
        <v>820540427.88999999</v>
      </c>
      <c r="CC4" s="414">
        <f t="shared" si="11"/>
        <v>935058513.69000006</v>
      </c>
      <c r="CD4" s="414">
        <f t="shared" si="11"/>
        <v>1047681724.89</v>
      </c>
      <c r="CE4" s="414">
        <f t="shared" si="11"/>
        <v>1145283615.54</v>
      </c>
      <c r="CF4" s="414">
        <f t="shared" si="11"/>
        <v>1361340454.0400002</v>
      </c>
      <c r="CG4" s="414">
        <f t="shared" si="11"/>
        <v>1255962791</v>
      </c>
      <c r="CH4" s="414">
        <f t="shared" ref="CH4:CS4" si="12">CH5+CH6</f>
        <v>117065755.65000001</v>
      </c>
      <c r="CI4" s="414">
        <f t="shared" si="12"/>
        <v>232215518.10000002</v>
      </c>
      <c r="CJ4" s="414">
        <f t="shared" si="12"/>
        <v>348798458</v>
      </c>
      <c r="CK4" s="414">
        <f t="shared" si="12"/>
        <v>466494297.03999996</v>
      </c>
      <c r="CL4" s="414">
        <f t="shared" si="12"/>
        <v>590271639.46000004</v>
      </c>
      <c r="CM4" s="414">
        <f t="shared" si="12"/>
        <v>711033602.11000001</v>
      </c>
      <c r="CN4" s="414">
        <f t="shared" si="12"/>
        <v>833220114.97000003</v>
      </c>
      <c r="CO4" s="414">
        <f t="shared" si="12"/>
        <v>963107812.01999998</v>
      </c>
      <c r="CP4" s="414">
        <f t="shared" si="12"/>
        <v>1089997377.2</v>
      </c>
      <c r="CQ4" s="414">
        <f t="shared" si="12"/>
        <v>0</v>
      </c>
      <c r="CR4" s="414">
        <f t="shared" si="12"/>
        <v>0</v>
      </c>
      <c r="CS4" s="414">
        <f t="shared" si="12"/>
        <v>0</v>
      </c>
    </row>
    <row r="5" spans="1:97" ht="12">
      <c r="A5" s="80" t="s">
        <v>65</v>
      </c>
      <c r="B5" s="416">
        <v>253602000</v>
      </c>
      <c r="C5" s="417">
        <v>289168000</v>
      </c>
      <c r="D5" s="418">
        <v>356158000</v>
      </c>
      <c r="E5" s="419">
        <v>442597728</v>
      </c>
      <c r="F5" s="420">
        <v>503688132</v>
      </c>
      <c r="G5" s="421">
        <v>635979383</v>
      </c>
      <c r="H5" s="421">
        <v>56614855.789999999</v>
      </c>
      <c r="I5" s="421">
        <v>111772075.72</v>
      </c>
      <c r="J5" s="421">
        <v>170183516.43000001</v>
      </c>
      <c r="K5" s="421">
        <v>232157141.19999999</v>
      </c>
      <c r="L5" s="375">
        <v>294959318.37</v>
      </c>
      <c r="M5" s="375">
        <v>359796669.16000003</v>
      </c>
      <c r="N5" s="375">
        <v>427744139.41000003</v>
      </c>
      <c r="O5" s="376">
        <v>510385626.70999998</v>
      </c>
      <c r="P5" s="375">
        <v>596738231.27999997</v>
      </c>
      <c r="Q5" s="377">
        <v>672405135.65999997</v>
      </c>
      <c r="R5" s="377">
        <v>750977697.22000003</v>
      </c>
      <c r="S5" s="375">
        <v>837835510.66999996</v>
      </c>
      <c r="T5" s="421">
        <v>837835511</v>
      </c>
      <c r="U5" s="375">
        <v>150813213.09999999</v>
      </c>
      <c r="V5" s="375">
        <v>143867657.68000001</v>
      </c>
      <c r="W5" s="375">
        <v>220651848.47999999</v>
      </c>
      <c r="X5" s="375">
        <v>301985697.30000001</v>
      </c>
      <c r="Y5" s="375">
        <v>381597247.79000002</v>
      </c>
      <c r="Z5" s="375">
        <v>457243086.55000001</v>
      </c>
      <c r="AA5" s="375">
        <v>535823009.76999998</v>
      </c>
      <c r="AB5" s="375">
        <v>629999482.04999995</v>
      </c>
      <c r="AC5" s="375">
        <v>705342607.49000001</v>
      </c>
      <c r="AD5" s="375">
        <v>785672219.95000005</v>
      </c>
      <c r="AE5" s="375">
        <v>875347444.09000003</v>
      </c>
      <c r="AF5" s="378">
        <v>969678514.45000005</v>
      </c>
      <c r="AG5" s="379">
        <v>969678514</v>
      </c>
      <c r="AH5" s="380">
        <v>83871106.840000004</v>
      </c>
      <c r="AI5" s="380">
        <v>162887034.88</v>
      </c>
      <c r="AJ5" s="380">
        <v>246305595.41</v>
      </c>
      <c r="AK5" s="380">
        <v>335648026.17000002</v>
      </c>
      <c r="AL5" s="380">
        <v>417586108.66000003</v>
      </c>
      <c r="AM5" s="380">
        <v>501718103.17000002</v>
      </c>
      <c r="AN5" s="380">
        <v>589527974.25999999</v>
      </c>
      <c r="AO5" s="380">
        <v>689302356.05999994</v>
      </c>
      <c r="AP5" s="380">
        <v>775565761.09000003</v>
      </c>
      <c r="AQ5" s="380">
        <v>859283258.97000003</v>
      </c>
      <c r="AR5" s="380">
        <v>955596838.97000003</v>
      </c>
      <c r="AS5" s="381">
        <v>1043781341.67</v>
      </c>
      <c r="AT5" s="420">
        <v>1043781324</v>
      </c>
      <c r="AU5" s="375">
        <v>86861125.849999994</v>
      </c>
      <c r="AV5" s="375">
        <v>170235770.05000001</v>
      </c>
      <c r="AW5" s="375">
        <v>256888253.72</v>
      </c>
      <c r="AX5" s="375">
        <v>336719491.62</v>
      </c>
      <c r="AY5" s="375">
        <v>417467850.88</v>
      </c>
      <c r="AZ5" s="375">
        <v>495610481.55000001</v>
      </c>
      <c r="BA5" s="380">
        <v>577932569</v>
      </c>
      <c r="BB5" s="380">
        <v>673360888.20000005</v>
      </c>
      <c r="BC5" s="380">
        <v>763115486.70000005</v>
      </c>
      <c r="BD5" s="422">
        <v>854738566</v>
      </c>
      <c r="BE5" s="422">
        <v>945197517.88999999</v>
      </c>
      <c r="BF5" s="422">
        <v>1034523352.04</v>
      </c>
      <c r="BG5" s="383">
        <v>1034523352</v>
      </c>
      <c r="BH5" s="422">
        <v>85521103.349999994</v>
      </c>
      <c r="BI5" s="422">
        <v>168093389.15000001</v>
      </c>
      <c r="BJ5" s="422">
        <v>257016907.75</v>
      </c>
      <c r="BK5" s="422">
        <v>349232126.30000001</v>
      </c>
      <c r="BL5" s="422">
        <v>439705929.25</v>
      </c>
      <c r="BM5" s="422">
        <v>531178055.14999998</v>
      </c>
      <c r="BN5" s="422">
        <v>631413558.85000002</v>
      </c>
      <c r="BO5" s="422">
        <v>714299470.5</v>
      </c>
      <c r="BP5" s="422">
        <v>799762362.64999998</v>
      </c>
      <c r="BQ5" s="422">
        <v>895129286.45000005</v>
      </c>
      <c r="BR5" s="422">
        <v>985332501.84000003</v>
      </c>
      <c r="BS5" s="422">
        <v>1078127616.5899999</v>
      </c>
      <c r="BT5" s="422">
        <v>1078127618</v>
      </c>
      <c r="BU5" s="463">
        <v>90384419.5</v>
      </c>
      <c r="BV5" s="463">
        <v>184255220.90000001</v>
      </c>
      <c r="BW5" s="463">
        <v>281830364.76999998</v>
      </c>
      <c r="BX5" s="463">
        <v>379753094.62</v>
      </c>
      <c r="BY5" s="463">
        <v>477438137.35000002</v>
      </c>
      <c r="BZ5" s="463">
        <v>576220505.03999996</v>
      </c>
      <c r="CA5" s="463">
        <v>679705777.59000003</v>
      </c>
      <c r="CB5" s="463">
        <v>783261263.99000001</v>
      </c>
      <c r="CC5" s="463">
        <v>893060845.59000003</v>
      </c>
      <c r="CD5" s="463">
        <v>1001066018.29</v>
      </c>
      <c r="CE5" s="463">
        <v>1110735128.9400001</v>
      </c>
      <c r="CF5" s="463">
        <v>1322051910.6400001</v>
      </c>
      <c r="CG5" s="462">
        <v>1222051910</v>
      </c>
      <c r="CH5" s="465">
        <v>110407540.45</v>
      </c>
      <c r="CI5" s="465">
        <v>220478270.30000001</v>
      </c>
      <c r="CJ5" s="465">
        <v>331788098.60000002</v>
      </c>
      <c r="CK5" s="382">
        <v>444755940.83999997</v>
      </c>
      <c r="CL5" s="382">
        <v>560239059.75999999</v>
      </c>
      <c r="CM5" s="382">
        <v>674405789.11000001</v>
      </c>
      <c r="CN5" s="512">
        <v>790373298.26999998</v>
      </c>
      <c r="CO5" s="512">
        <v>913594019.62</v>
      </c>
      <c r="CP5" s="512">
        <v>1034061155.9</v>
      </c>
    </row>
    <row r="6" spans="1:97" ht="12">
      <c r="A6" s="80" t="s">
        <v>66</v>
      </c>
      <c r="B6" s="416">
        <v>441000</v>
      </c>
      <c r="C6" s="423">
        <v>21509000</v>
      </c>
      <c r="D6" s="424">
        <f>2131000+5080000</f>
        <v>7211000</v>
      </c>
      <c r="E6" s="425"/>
      <c r="F6" s="420">
        <v>15511910</v>
      </c>
      <c r="G6" s="421">
        <v>9403127</v>
      </c>
      <c r="H6" s="421">
        <v>0</v>
      </c>
      <c r="I6" s="421">
        <v>0</v>
      </c>
      <c r="J6" s="421">
        <v>0</v>
      </c>
      <c r="K6" s="421"/>
      <c r="L6" s="375">
        <v>0</v>
      </c>
      <c r="M6" s="375">
        <v>0</v>
      </c>
      <c r="N6" s="375">
        <v>0</v>
      </c>
      <c r="O6" s="376">
        <v>0</v>
      </c>
      <c r="P6" s="375">
        <v>0</v>
      </c>
      <c r="Q6" s="377">
        <v>0</v>
      </c>
      <c r="R6" s="377">
        <v>0</v>
      </c>
      <c r="S6" s="375">
        <v>0</v>
      </c>
      <c r="T6" s="421">
        <v>51453557</v>
      </c>
      <c r="U6" s="375">
        <v>0</v>
      </c>
      <c r="V6" s="375">
        <v>0</v>
      </c>
      <c r="W6" s="375">
        <v>0</v>
      </c>
      <c r="X6" s="375">
        <v>0</v>
      </c>
      <c r="Y6" s="375">
        <v>0</v>
      </c>
      <c r="Z6" s="375">
        <v>0</v>
      </c>
      <c r="AA6" s="375">
        <v>0</v>
      </c>
      <c r="AB6" s="375">
        <v>0</v>
      </c>
      <c r="AC6" s="375">
        <v>21966025.699999999</v>
      </c>
      <c r="AD6" s="375">
        <v>24277059.300000001</v>
      </c>
      <c r="AE6" s="375">
        <v>26624006.600000001</v>
      </c>
      <c r="AF6" s="378">
        <v>0</v>
      </c>
      <c r="AG6" s="379">
        <v>0</v>
      </c>
      <c r="AH6" s="380">
        <v>2417191.9</v>
      </c>
      <c r="AI6" s="380">
        <v>5295197.0999999996</v>
      </c>
      <c r="AJ6" s="380">
        <v>0</v>
      </c>
      <c r="AK6" s="380">
        <v>0</v>
      </c>
      <c r="AL6" s="380">
        <v>0</v>
      </c>
      <c r="AM6" s="380">
        <v>17167749.899999999</v>
      </c>
      <c r="AN6" s="380">
        <v>0</v>
      </c>
      <c r="AO6" s="380">
        <v>22344148.699999999</v>
      </c>
      <c r="AP6" s="380">
        <v>25051257.100000001</v>
      </c>
      <c r="AQ6" s="380">
        <v>27785828.199999999</v>
      </c>
      <c r="AR6" s="380">
        <v>31200649.52</v>
      </c>
      <c r="AS6" s="381">
        <v>33178857.600000001</v>
      </c>
      <c r="AT6" s="420"/>
      <c r="AU6" s="375">
        <v>2856228.7</v>
      </c>
      <c r="AV6" s="375">
        <v>6522594.5</v>
      </c>
      <c r="AW6" s="375">
        <v>10211471.800000001</v>
      </c>
      <c r="AX6" s="375">
        <v>12544931.1</v>
      </c>
      <c r="AY6" s="375">
        <v>15275571.699999999</v>
      </c>
      <c r="AZ6" s="375">
        <v>17610373.899999999</v>
      </c>
      <c r="BA6" s="380">
        <v>20793774.5</v>
      </c>
      <c r="BB6" s="380">
        <v>24211550.300000001</v>
      </c>
      <c r="BC6" s="380">
        <v>26440217.399999999</v>
      </c>
      <c r="BD6" s="422">
        <v>29618294.100000001</v>
      </c>
      <c r="BE6" s="422">
        <v>32754598.199999999</v>
      </c>
      <c r="BF6" s="422">
        <v>35899446.799999997</v>
      </c>
      <c r="BG6" s="383"/>
      <c r="BH6" s="422">
        <v>11025131.9</v>
      </c>
      <c r="BI6" s="422">
        <v>17737654.199999999</v>
      </c>
      <c r="BJ6" s="422">
        <v>26730070.5</v>
      </c>
      <c r="BK6" s="422">
        <v>43529160.5</v>
      </c>
      <c r="BL6" s="422">
        <v>52147674.700000003</v>
      </c>
      <c r="BM6" s="422">
        <v>0</v>
      </c>
      <c r="BN6" s="422">
        <v>26631296.399999999</v>
      </c>
      <c r="BO6" s="422">
        <v>30183022.5</v>
      </c>
      <c r="BP6" s="422">
        <v>33989227.600000001</v>
      </c>
      <c r="BQ6" s="422">
        <v>38151113.5</v>
      </c>
      <c r="BR6" s="422">
        <v>41795194.100000001</v>
      </c>
      <c r="BS6" s="422">
        <v>51361863.799999997</v>
      </c>
      <c r="BT6" s="422">
        <v>41456567</v>
      </c>
      <c r="BU6" s="463">
        <v>4353745</v>
      </c>
      <c r="BV6" s="463">
        <v>8459541.5999999996</v>
      </c>
      <c r="BW6" s="463">
        <v>13379120.300000001</v>
      </c>
      <c r="BX6" s="463">
        <v>17554676.199999999</v>
      </c>
      <c r="BY6" s="463">
        <v>21683209</v>
      </c>
      <c r="BZ6" s="463">
        <v>27831422.399999999</v>
      </c>
      <c r="CA6" s="463">
        <v>32636719.600000001</v>
      </c>
      <c r="CB6" s="463">
        <v>37279163.899999999</v>
      </c>
      <c r="CC6" s="463">
        <v>41997668.100000001</v>
      </c>
      <c r="CD6" s="463">
        <v>46615706.600000001</v>
      </c>
      <c r="CE6" s="463">
        <v>34548486.600000001</v>
      </c>
      <c r="CF6" s="463">
        <v>39288543.399999999</v>
      </c>
      <c r="CG6" s="463">
        <f>5816395+2424080+3384554+22285852</f>
        <v>33910881</v>
      </c>
      <c r="CH6" s="465">
        <v>6658215.2000000002</v>
      </c>
      <c r="CI6" s="465">
        <v>11737247.800000001</v>
      </c>
      <c r="CJ6" s="465">
        <v>17010359.399999999</v>
      </c>
      <c r="CK6" s="382">
        <v>21738356.199999999</v>
      </c>
      <c r="CL6" s="382">
        <v>30032579.699999999</v>
      </c>
      <c r="CM6" s="382">
        <v>36627813</v>
      </c>
      <c r="CN6" s="514">
        <v>42846816.700000003</v>
      </c>
      <c r="CO6" s="514">
        <v>49513792.399999999</v>
      </c>
      <c r="CP6" s="514">
        <v>55936221.299999997</v>
      </c>
    </row>
    <row r="7" spans="1:97" s="374" customFormat="1">
      <c r="A7" s="79" t="s">
        <v>67</v>
      </c>
      <c r="B7" s="415">
        <v>18694000</v>
      </c>
      <c r="C7" s="415">
        <f t="shared" ref="C7:BN7" si="13">SUM(C9:C11)</f>
        <v>4718000</v>
      </c>
      <c r="D7" s="413">
        <f t="shared" si="13"/>
        <v>28539000</v>
      </c>
      <c r="E7" s="413">
        <f t="shared" si="13"/>
        <v>43704301</v>
      </c>
      <c r="F7" s="413">
        <f t="shared" si="13"/>
        <v>38211607</v>
      </c>
      <c r="G7" s="413">
        <f t="shared" si="13"/>
        <v>45694494</v>
      </c>
      <c r="H7" s="413">
        <f t="shared" si="13"/>
        <v>3403356.17</v>
      </c>
      <c r="I7" s="413">
        <f t="shared" si="13"/>
        <v>7525036.8700000001</v>
      </c>
      <c r="J7" s="413">
        <f t="shared" si="13"/>
        <v>12039483.82</v>
      </c>
      <c r="K7" s="413">
        <f t="shared" si="13"/>
        <v>14673096.92</v>
      </c>
      <c r="L7" s="413">
        <f t="shared" si="13"/>
        <v>19243738.129999999</v>
      </c>
      <c r="M7" s="413">
        <f t="shared" si="13"/>
        <v>33100670.18</v>
      </c>
      <c r="N7" s="413">
        <f t="shared" si="13"/>
        <v>37829000.230000004</v>
      </c>
      <c r="O7" s="413">
        <f t="shared" si="13"/>
        <v>43759326.579999998</v>
      </c>
      <c r="P7" s="413">
        <f t="shared" si="13"/>
        <v>46896839.079999998</v>
      </c>
      <c r="Q7" s="413">
        <f t="shared" si="13"/>
        <v>50065538.079999998</v>
      </c>
      <c r="R7" s="413">
        <f t="shared" si="13"/>
        <v>45134956.07</v>
      </c>
      <c r="S7" s="413">
        <f t="shared" si="13"/>
        <v>58484547.68</v>
      </c>
      <c r="T7" s="413">
        <f t="shared" si="13"/>
        <v>7030991</v>
      </c>
      <c r="U7" s="413">
        <f t="shared" si="13"/>
        <v>6699920.7400000002</v>
      </c>
      <c r="V7" s="413">
        <f t="shared" si="13"/>
        <v>9026032.5500000007</v>
      </c>
      <c r="W7" s="413">
        <f t="shared" si="13"/>
        <v>13663761.25</v>
      </c>
      <c r="X7" s="413">
        <f t="shared" si="13"/>
        <v>17337544.399999999</v>
      </c>
      <c r="Y7" s="413">
        <f t="shared" si="13"/>
        <v>20838374.949999999</v>
      </c>
      <c r="Z7" s="413">
        <f t="shared" si="13"/>
        <v>37897755.619999997</v>
      </c>
      <c r="AA7" s="413">
        <f t="shared" si="13"/>
        <v>42109930.530000001</v>
      </c>
      <c r="AB7" s="413">
        <f t="shared" si="13"/>
        <v>46821903.270000003</v>
      </c>
      <c r="AC7" s="413">
        <f t="shared" si="13"/>
        <v>29112894.41</v>
      </c>
      <c r="AD7" s="413">
        <f t="shared" si="13"/>
        <v>31589106.57</v>
      </c>
      <c r="AE7" s="413">
        <f t="shared" si="13"/>
        <v>33822878.379999995</v>
      </c>
      <c r="AF7" s="426">
        <f t="shared" si="13"/>
        <v>67016430.939999998</v>
      </c>
      <c r="AG7" s="426">
        <f t="shared" si="13"/>
        <v>68807395</v>
      </c>
      <c r="AH7" s="426">
        <f t="shared" si="13"/>
        <v>2840288.13</v>
      </c>
      <c r="AI7" s="426">
        <f t="shared" si="13"/>
        <v>7894181.75</v>
      </c>
      <c r="AJ7" s="426">
        <f t="shared" si="13"/>
        <v>19389540.600000001</v>
      </c>
      <c r="AK7" s="426">
        <f t="shared" si="13"/>
        <v>24530771.869999997</v>
      </c>
      <c r="AL7" s="426">
        <f t="shared" si="13"/>
        <v>30018902.689999998</v>
      </c>
      <c r="AM7" s="426">
        <f t="shared" si="13"/>
        <v>35808290.75</v>
      </c>
      <c r="AN7" s="426">
        <f t="shared" si="13"/>
        <v>58712945.759999998</v>
      </c>
      <c r="AO7" s="426">
        <f t="shared" si="13"/>
        <v>48041660.289999999</v>
      </c>
      <c r="AP7" s="426">
        <f t="shared" si="13"/>
        <v>52832137.030000001</v>
      </c>
      <c r="AQ7" s="426">
        <f t="shared" si="13"/>
        <v>56843388.039999999</v>
      </c>
      <c r="AR7" s="426">
        <f t="shared" si="13"/>
        <v>61220364.399999999</v>
      </c>
      <c r="AS7" s="426">
        <f t="shared" si="13"/>
        <v>68364344.219999999</v>
      </c>
      <c r="AT7" s="413">
        <f t="shared" si="13"/>
        <v>142112164</v>
      </c>
      <c r="AU7" s="413">
        <f t="shared" si="13"/>
        <v>3005819.6</v>
      </c>
      <c r="AV7" s="413">
        <f t="shared" si="13"/>
        <v>13006910.51</v>
      </c>
      <c r="AW7" s="413">
        <f t="shared" si="13"/>
        <v>18294945.91</v>
      </c>
      <c r="AX7" s="413">
        <f t="shared" si="13"/>
        <v>40704201.489999995</v>
      </c>
      <c r="AY7" s="413">
        <f t="shared" si="13"/>
        <v>44925224.230000004</v>
      </c>
      <c r="AZ7" s="413">
        <f t="shared" si="13"/>
        <v>52318251.149999999</v>
      </c>
      <c r="BA7" s="413">
        <f t="shared" si="13"/>
        <v>60958452.760000005</v>
      </c>
      <c r="BB7" s="413">
        <f t="shared" si="13"/>
        <v>66733272.489999995</v>
      </c>
      <c r="BC7" s="413">
        <f t="shared" si="13"/>
        <v>75525359.409999996</v>
      </c>
      <c r="BD7" s="413">
        <f t="shared" si="13"/>
        <v>83932523.159999996</v>
      </c>
      <c r="BE7" s="413">
        <f t="shared" si="13"/>
        <v>88957990.399999991</v>
      </c>
      <c r="BF7" s="426">
        <f t="shared" si="13"/>
        <v>104236455.04000001</v>
      </c>
      <c r="BG7" s="414">
        <f t="shared" si="13"/>
        <v>150472040</v>
      </c>
      <c r="BH7" s="414">
        <f t="shared" si="13"/>
        <v>3360824.23</v>
      </c>
      <c r="BI7" s="414">
        <f t="shared" si="13"/>
        <v>7774638.2400000002</v>
      </c>
      <c r="BJ7" s="414">
        <f t="shared" si="13"/>
        <v>12260509.290000001</v>
      </c>
      <c r="BK7" s="414">
        <f t="shared" si="13"/>
        <v>34162318.759999998</v>
      </c>
      <c r="BL7" s="414">
        <f t="shared" si="13"/>
        <v>38120935.739999995</v>
      </c>
      <c r="BM7" s="414">
        <f t="shared" si="13"/>
        <v>102953647.52000001</v>
      </c>
      <c r="BN7" s="414">
        <f t="shared" si="13"/>
        <v>94533184.879999995</v>
      </c>
      <c r="BO7" s="414">
        <f t="shared" ref="BO7:CQ7" si="14">SUM(BO9:BO11)</f>
        <v>103692833.94</v>
      </c>
      <c r="BP7" s="414">
        <f t="shared" si="14"/>
        <v>127024153.43000001</v>
      </c>
      <c r="BQ7" s="414">
        <f t="shared" si="14"/>
        <v>136120260.33000001</v>
      </c>
      <c r="BR7" s="414">
        <f t="shared" si="14"/>
        <v>147142369.03</v>
      </c>
      <c r="BS7" s="414">
        <f t="shared" si="14"/>
        <v>180011256.66</v>
      </c>
      <c r="BT7" s="414">
        <f t="shared" si="14"/>
        <v>189916553</v>
      </c>
      <c r="BU7" s="414">
        <f t="shared" si="14"/>
        <v>8042251.7000000002</v>
      </c>
      <c r="BV7" s="414">
        <f t="shared" si="14"/>
        <v>30682510.400000002</v>
      </c>
      <c r="BW7" s="414">
        <f t="shared" si="14"/>
        <v>46036942.899999999</v>
      </c>
      <c r="BX7" s="414">
        <f t="shared" si="14"/>
        <v>48274259.32</v>
      </c>
      <c r="BY7" s="414">
        <f t="shared" si="14"/>
        <v>67690928.420000002</v>
      </c>
      <c r="BZ7" s="414">
        <f t="shared" si="14"/>
        <v>96283236.329999998</v>
      </c>
      <c r="CA7" s="414">
        <f t="shared" si="14"/>
        <v>102890204.13</v>
      </c>
      <c r="CB7" s="414">
        <f t="shared" si="14"/>
        <v>125702809.09</v>
      </c>
      <c r="CC7" s="414">
        <f t="shared" si="14"/>
        <v>148714081.47999999</v>
      </c>
      <c r="CD7" s="414">
        <f t="shared" si="14"/>
        <v>162112549.30000001</v>
      </c>
      <c r="CE7" s="414">
        <f t="shared" si="14"/>
        <v>175605169.06999999</v>
      </c>
      <c r="CF7" s="414">
        <f t="shared" si="14"/>
        <v>190379115.50999999</v>
      </c>
      <c r="CG7" s="414">
        <f t="shared" si="14"/>
        <v>275987942</v>
      </c>
      <c r="CH7" s="414">
        <f t="shared" si="14"/>
        <v>17933011.059999999</v>
      </c>
      <c r="CI7" s="414">
        <f t="shared" si="14"/>
        <v>20968376.830000002</v>
      </c>
      <c r="CJ7" s="414">
        <f t="shared" si="14"/>
        <v>48138287.43</v>
      </c>
      <c r="CK7" s="414">
        <f t="shared" si="14"/>
        <v>58816379.170000002</v>
      </c>
      <c r="CL7" s="414">
        <f t="shared" si="14"/>
        <v>66263587.07</v>
      </c>
      <c r="CM7" s="414">
        <f t="shared" si="14"/>
        <v>106870030.53</v>
      </c>
      <c r="CN7" s="414">
        <f t="shared" si="14"/>
        <v>116660428.11</v>
      </c>
      <c r="CO7" s="414">
        <f t="shared" si="14"/>
        <v>121382305.38</v>
      </c>
      <c r="CP7" s="414">
        <f t="shared" si="14"/>
        <v>161870985.93000001</v>
      </c>
      <c r="CQ7" s="414">
        <f t="shared" si="14"/>
        <v>0</v>
      </c>
      <c r="CR7" s="414">
        <f t="shared" ref="CR7:CS7" si="15">SUM(CR9:CR11)</f>
        <v>0</v>
      </c>
      <c r="CS7" s="414">
        <f t="shared" si="15"/>
        <v>0</v>
      </c>
    </row>
    <row r="8" spans="1:97" ht="12">
      <c r="A8" s="80" t="s">
        <v>68</v>
      </c>
      <c r="B8" s="416">
        <v>0</v>
      </c>
      <c r="C8" s="417"/>
      <c r="D8" s="418"/>
      <c r="E8" s="419"/>
      <c r="F8" s="420"/>
      <c r="G8" s="421"/>
      <c r="H8" s="421">
        <v>0</v>
      </c>
      <c r="I8" s="421">
        <v>0</v>
      </c>
      <c r="J8" s="421">
        <v>0</v>
      </c>
      <c r="K8" s="421"/>
      <c r="L8" s="375">
        <v>0</v>
      </c>
      <c r="M8" s="375">
        <v>0</v>
      </c>
      <c r="N8" s="375">
        <v>0</v>
      </c>
      <c r="O8" s="376">
        <v>0</v>
      </c>
      <c r="P8" s="375">
        <v>0</v>
      </c>
      <c r="Q8" s="384">
        <v>0</v>
      </c>
      <c r="R8" s="384">
        <v>0</v>
      </c>
      <c r="S8" s="375">
        <v>0</v>
      </c>
      <c r="T8" s="421"/>
      <c r="U8" s="375">
        <v>0</v>
      </c>
      <c r="V8" s="375">
        <v>0</v>
      </c>
      <c r="W8" s="375">
        <v>0</v>
      </c>
      <c r="X8" s="375">
        <v>0</v>
      </c>
      <c r="Y8" s="375">
        <v>0</v>
      </c>
      <c r="Z8" s="375">
        <v>0</v>
      </c>
      <c r="AA8" s="375">
        <v>0</v>
      </c>
      <c r="AB8" s="375">
        <v>0</v>
      </c>
      <c r="AC8" s="375">
        <v>0</v>
      </c>
      <c r="AD8" s="375">
        <v>0</v>
      </c>
      <c r="AE8" s="375">
        <v>0</v>
      </c>
      <c r="AF8" s="378">
        <v>0</v>
      </c>
      <c r="AG8" s="379">
        <v>0</v>
      </c>
      <c r="AH8" s="380">
        <v>0</v>
      </c>
      <c r="AI8" s="380">
        <v>0</v>
      </c>
      <c r="AJ8" s="380">
        <v>0</v>
      </c>
      <c r="AK8" s="380">
        <v>0</v>
      </c>
      <c r="AL8" s="380">
        <v>0</v>
      </c>
      <c r="AM8" s="380">
        <v>0</v>
      </c>
      <c r="AN8" s="380">
        <v>0</v>
      </c>
      <c r="AO8" s="380">
        <v>0</v>
      </c>
      <c r="AP8" s="380">
        <v>0</v>
      </c>
      <c r="AQ8" s="380">
        <v>0</v>
      </c>
      <c r="AR8" s="380">
        <v>0</v>
      </c>
      <c r="AS8" s="381">
        <v>0</v>
      </c>
      <c r="AT8" s="427">
        <v>0</v>
      </c>
      <c r="AU8" s="385">
        <v>0</v>
      </c>
      <c r="AV8" s="385">
        <v>0</v>
      </c>
      <c r="AW8" s="385">
        <v>0</v>
      </c>
      <c r="AX8" s="385">
        <v>0</v>
      </c>
      <c r="AY8" s="375">
        <v>0</v>
      </c>
      <c r="AZ8" s="375">
        <v>0</v>
      </c>
      <c r="BA8" s="380">
        <v>0</v>
      </c>
      <c r="BB8" s="380">
        <v>0</v>
      </c>
      <c r="BC8" s="380">
        <v>0</v>
      </c>
      <c r="BD8" s="422">
        <v>0</v>
      </c>
      <c r="BE8" s="422">
        <v>0</v>
      </c>
      <c r="BF8" s="420">
        <v>0</v>
      </c>
      <c r="BG8" s="383"/>
      <c r="BH8" s="422">
        <v>0</v>
      </c>
      <c r="BI8" s="422">
        <v>0</v>
      </c>
      <c r="BJ8" s="422">
        <v>0</v>
      </c>
      <c r="BK8" s="422">
        <v>0</v>
      </c>
      <c r="BL8" s="422">
        <v>0</v>
      </c>
      <c r="BM8" s="422">
        <v>0</v>
      </c>
      <c r="BN8" s="422">
        <v>0</v>
      </c>
      <c r="BO8" s="422">
        <v>0</v>
      </c>
      <c r="BP8" s="422">
        <v>0</v>
      </c>
      <c r="BQ8" s="422">
        <v>0</v>
      </c>
      <c r="BR8" s="422">
        <v>0</v>
      </c>
      <c r="BS8" s="422">
        <v>0</v>
      </c>
      <c r="BT8" s="422"/>
      <c r="BU8" s="463">
        <v>0</v>
      </c>
      <c r="BV8" s="463">
        <v>0</v>
      </c>
      <c r="BW8" s="463">
        <v>0</v>
      </c>
      <c r="BX8" s="463">
        <v>0</v>
      </c>
      <c r="BY8" s="463">
        <v>0</v>
      </c>
      <c r="BZ8" s="463">
        <v>0</v>
      </c>
      <c r="CA8" s="463">
        <v>0</v>
      </c>
      <c r="CB8" s="463">
        <v>0</v>
      </c>
      <c r="CC8" s="463">
        <v>0</v>
      </c>
      <c r="CD8" s="463">
        <v>0</v>
      </c>
      <c r="CE8" s="463">
        <v>0</v>
      </c>
      <c r="CF8" s="463">
        <v>0</v>
      </c>
      <c r="CG8" s="462"/>
      <c r="CH8" s="465">
        <v>0</v>
      </c>
      <c r="CI8" s="465">
        <v>0</v>
      </c>
      <c r="CJ8" s="465">
        <v>0</v>
      </c>
      <c r="CK8" s="382">
        <v>0</v>
      </c>
      <c r="CL8" s="382">
        <v>0</v>
      </c>
      <c r="CM8" s="382">
        <v>0</v>
      </c>
      <c r="CN8" s="511">
        <v>0</v>
      </c>
      <c r="CO8" s="511">
        <v>0</v>
      </c>
      <c r="CP8" s="511">
        <v>0</v>
      </c>
    </row>
    <row r="9" spans="1:97" ht="12">
      <c r="A9" s="80" t="s">
        <v>69</v>
      </c>
      <c r="B9" s="428">
        <v>2376000</v>
      </c>
      <c r="C9" s="417">
        <v>4180000</v>
      </c>
      <c r="D9" s="418"/>
      <c r="E9" s="419">
        <v>9995324</v>
      </c>
      <c r="F9" s="420"/>
      <c r="G9" s="421"/>
      <c r="H9" s="421">
        <v>0</v>
      </c>
      <c r="I9" s="421">
        <v>0</v>
      </c>
      <c r="J9" s="421">
        <v>0</v>
      </c>
      <c r="K9" s="421"/>
      <c r="L9" s="375">
        <v>0</v>
      </c>
      <c r="M9" s="375">
        <v>0</v>
      </c>
      <c r="N9" s="375">
        <v>0</v>
      </c>
      <c r="O9" s="376">
        <v>0</v>
      </c>
      <c r="P9" s="375">
        <v>0</v>
      </c>
      <c r="Q9" s="384">
        <v>0</v>
      </c>
      <c r="R9" s="384">
        <v>0</v>
      </c>
      <c r="S9" s="375">
        <v>0</v>
      </c>
      <c r="T9" s="421">
        <v>7030991</v>
      </c>
      <c r="U9" s="375">
        <v>0</v>
      </c>
      <c r="V9" s="375">
        <v>0</v>
      </c>
      <c r="W9" s="375">
        <v>0</v>
      </c>
      <c r="X9" s="375">
        <v>0</v>
      </c>
      <c r="Y9" s="375">
        <v>0</v>
      </c>
      <c r="Z9" s="375">
        <v>0</v>
      </c>
      <c r="AA9" s="375">
        <v>0</v>
      </c>
      <c r="AB9" s="375">
        <v>0</v>
      </c>
      <c r="AC9" s="375">
        <v>0</v>
      </c>
      <c r="AD9" s="375">
        <v>0</v>
      </c>
      <c r="AE9" s="375">
        <v>0</v>
      </c>
      <c r="AF9" s="378">
        <v>15317367.74</v>
      </c>
      <c r="AG9" s="379"/>
      <c r="AH9" s="380">
        <v>0</v>
      </c>
      <c r="AI9" s="380">
        <v>0</v>
      </c>
      <c r="AJ9" s="380">
        <v>1164687.8</v>
      </c>
      <c r="AK9" s="380">
        <v>1608670.25</v>
      </c>
      <c r="AL9" s="380">
        <v>1731343.96</v>
      </c>
      <c r="AM9" s="380">
        <v>0</v>
      </c>
      <c r="AN9" s="386">
        <v>19168067.359999999</v>
      </c>
      <c r="AO9" s="386">
        <v>0</v>
      </c>
      <c r="AP9" s="386">
        <v>0</v>
      </c>
      <c r="AQ9" s="386">
        <v>0</v>
      </c>
      <c r="AR9" s="386">
        <v>0</v>
      </c>
      <c r="AS9" s="387">
        <v>0</v>
      </c>
      <c r="AT9" s="429">
        <v>0</v>
      </c>
      <c r="AU9" s="385">
        <v>0</v>
      </c>
      <c r="AV9" s="385">
        <v>0</v>
      </c>
      <c r="AW9" s="385">
        <v>0</v>
      </c>
      <c r="AX9" s="385">
        <v>0</v>
      </c>
      <c r="AY9" s="375">
        <v>0</v>
      </c>
      <c r="AZ9" s="375">
        <v>0</v>
      </c>
      <c r="BA9" s="380">
        <v>0</v>
      </c>
      <c r="BB9" s="380">
        <v>0</v>
      </c>
      <c r="BC9" s="380">
        <v>0</v>
      </c>
      <c r="BD9" s="422">
        <v>0</v>
      </c>
      <c r="BE9" s="422">
        <v>0</v>
      </c>
      <c r="BF9" s="420">
        <v>0</v>
      </c>
      <c r="BG9" s="383">
        <v>72113370</v>
      </c>
      <c r="BH9" s="422">
        <v>0</v>
      </c>
      <c r="BI9" s="422">
        <v>0</v>
      </c>
      <c r="BJ9" s="422">
        <v>0</v>
      </c>
      <c r="BK9" s="422">
        <v>0</v>
      </c>
      <c r="BL9" s="422">
        <v>0</v>
      </c>
      <c r="BM9" s="422">
        <v>0</v>
      </c>
      <c r="BN9" s="422">
        <v>0</v>
      </c>
      <c r="BO9" s="422">
        <v>0</v>
      </c>
      <c r="BP9" s="422">
        <v>0</v>
      </c>
      <c r="BQ9" s="422">
        <v>0</v>
      </c>
      <c r="BR9" s="422">
        <v>0</v>
      </c>
      <c r="BS9" s="422">
        <v>0</v>
      </c>
      <c r="BT9" s="422">
        <v>136913280</v>
      </c>
      <c r="BU9" s="463">
        <v>0</v>
      </c>
      <c r="BV9" s="463">
        <v>0</v>
      </c>
      <c r="BW9" s="463">
        <v>0</v>
      </c>
      <c r="BX9" s="463">
        <v>0</v>
      </c>
      <c r="BY9" s="463">
        <v>0</v>
      </c>
      <c r="BZ9" s="463">
        <v>0</v>
      </c>
      <c r="CA9" s="463">
        <v>0</v>
      </c>
      <c r="CB9" s="463">
        <v>0</v>
      </c>
      <c r="CC9" s="463">
        <v>0</v>
      </c>
      <c r="CD9" s="463">
        <v>0</v>
      </c>
      <c r="CE9" s="463">
        <v>0</v>
      </c>
      <c r="CF9" s="463">
        <v>0</v>
      </c>
      <c r="CG9" s="463">
        <v>145851486</v>
      </c>
      <c r="CH9" s="465">
        <v>0</v>
      </c>
      <c r="CI9" s="465">
        <v>0</v>
      </c>
      <c r="CJ9" s="465">
        <v>0</v>
      </c>
      <c r="CK9" s="382">
        <v>0</v>
      </c>
      <c r="CL9" s="382">
        <v>0</v>
      </c>
      <c r="CM9" s="382">
        <v>0</v>
      </c>
      <c r="CN9" s="513">
        <v>0</v>
      </c>
      <c r="CO9" s="513">
        <v>0</v>
      </c>
      <c r="CP9" s="513">
        <v>0</v>
      </c>
    </row>
    <row r="10" spans="1:97" ht="24">
      <c r="A10" s="80" t="s">
        <v>70</v>
      </c>
      <c r="B10" s="428">
        <v>0</v>
      </c>
      <c r="C10" s="417"/>
      <c r="D10" s="418"/>
      <c r="E10" s="419"/>
      <c r="F10" s="420"/>
      <c r="G10" s="421"/>
      <c r="H10" s="421">
        <v>0</v>
      </c>
      <c r="I10" s="421">
        <v>0</v>
      </c>
      <c r="J10" s="421">
        <v>0</v>
      </c>
      <c r="K10" s="421"/>
      <c r="L10" s="375">
        <v>0</v>
      </c>
      <c r="M10" s="375">
        <v>10382382</v>
      </c>
      <c r="N10" s="375">
        <v>11620662</v>
      </c>
      <c r="O10" s="376">
        <v>11620662</v>
      </c>
      <c r="P10" s="375">
        <v>11054511.35</v>
      </c>
      <c r="Q10" s="384">
        <v>11054511.35</v>
      </c>
      <c r="R10" s="384">
        <v>11054511.35</v>
      </c>
      <c r="S10" s="375">
        <v>11054511.35</v>
      </c>
      <c r="T10" s="421"/>
      <c r="U10" s="375">
        <v>2096398</v>
      </c>
      <c r="V10" s="375">
        <v>3605517</v>
      </c>
      <c r="W10" s="375">
        <v>489936.92</v>
      </c>
      <c r="X10" s="375">
        <v>636913.81999999995</v>
      </c>
      <c r="Y10" s="375">
        <v>717436.82</v>
      </c>
      <c r="Z10" s="375">
        <v>14379340.42</v>
      </c>
      <c r="AA10" s="375">
        <v>14194007.74</v>
      </c>
      <c r="AB10" s="375">
        <v>14317493.24</v>
      </c>
      <c r="AC10" s="375">
        <v>14439312.74</v>
      </c>
      <c r="AD10" s="375">
        <v>14787490.24</v>
      </c>
      <c r="AE10" s="375">
        <v>15195967.300000001</v>
      </c>
      <c r="AF10" s="378">
        <v>20886747.98</v>
      </c>
      <c r="AG10" s="379">
        <v>4227975</v>
      </c>
      <c r="AH10" s="380">
        <v>651686.77</v>
      </c>
      <c r="AI10" s="380">
        <v>786042.34</v>
      </c>
      <c r="AJ10" s="380">
        <v>9341817.2599999998</v>
      </c>
      <c r="AK10" s="380">
        <v>11080489.699999999</v>
      </c>
      <c r="AL10" s="380">
        <v>13689207.060000001</v>
      </c>
      <c r="AM10" s="380">
        <v>18860633.100000001</v>
      </c>
      <c r="AN10" s="386">
        <v>20826674.690000001</v>
      </c>
      <c r="AO10" s="386">
        <v>21954320</v>
      </c>
      <c r="AP10" s="386">
        <v>22049872.969999999</v>
      </c>
      <c r="AQ10" s="386">
        <v>22362170.82</v>
      </c>
      <c r="AR10" s="430">
        <v>22766472.030000001</v>
      </c>
      <c r="AS10" s="387">
        <v>23032865.59</v>
      </c>
      <c r="AT10" s="431">
        <f>27723128+20660701</f>
        <v>48383829</v>
      </c>
      <c r="AU10" s="385">
        <v>99445.95</v>
      </c>
      <c r="AV10" s="385">
        <v>172840.5</v>
      </c>
      <c r="AW10" s="385">
        <v>714496.9</v>
      </c>
      <c r="AX10" s="385">
        <v>19167419.449999999</v>
      </c>
      <c r="AY10" s="375">
        <v>19228743.449999999</v>
      </c>
      <c r="AZ10" s="375">
        <v>19683827.43</v>
      </c>
      <c r="BA10" s="380">
        <v>19782874.379999999</v>
      </c>
      <c r="BB10" s="380">
        <v>19860389.379999999</v>
      </c>
      <c r="BC10" s="380">
        <v>20156776.940000001</v>
      </c>
      <c r="BD10" s="422">
        <v>20262245.760000002</v>
      </c>
      <c r="BE10" s="422">
        <v>20379323.300000001</v>
      </c>
      <c r="BF10" s="420">
        <v>20794064.390000001</v>
      </c>
      <c r="BG10" s="383">
        <f>18538297</f>
        <v>18538297</v>
      </c>
      <c r="BH10" s="422">
        <v>0</v>
      </c>
      <c r="BI10" s="422">
        <v>523459.24</v>
      </c>
      <c r="BJ10" s="422">
        <v>1257465.6499999999</v>
      </c>
      <c r="BK10" s="422">
        <v>19647402.57</v>
      </c>
      <c r="BL10" s="422">
        <v>20351648.18</v>
      </c>
      <c r="BM10" s="422">
        <v>43733254.740000002</v>
      </c>
      <c r="BN10" s="422">
        <v>21740726.629999999</v>
      </c>
      <c r="BO10" s="422">
        <v>22051260.300000001</v>
      </c>
      <c r="BP10" s="422">
        <v>22305369.670000002</v>
      </c>
      <c r="BQ10" s="422">
        <v>22602407.27</v>
      </c>
      <c r="BR10" s="422">
        <v>22914357.629999999</v>
      </c>
      <c r="BS10" s="422">
        <v>23714209.039999999</v>
      </c>
      <c r="BT10" s="422">
        <v>18250100</v>
      </c>
      <c r="BU10" s="463">
        <v>318872.3</v>
      </c>
      <c r="BV10" s="463">
        <v>665924.30000000005</v>
      </c>
      <c r="BW10" s="463">
        <v>1408023.74</v>
      </c>
      <c r="BX10" s="463">
        <v>1324001.81</v>
      </c>
      <c r="BY10" s="463">
        <v>1652414.52</v>
      </c>
      <c r="BZ10" s="463">
        <v>19530288.280000001</v>
      </c>
      <c r="CA10" s="463">
        <v>22832326.41</v>
      </c>
      <c r="CB10" s="463">
        <v>23175653.449999999</v>
      </c>
      <c r="CC10" s="463">
        <v>23555837.77</v>
      </c>
      <c r="CD10" s="463">
        <v>23829993.920000002</v>
      </c>
      <c r="CE10" s="463">
        <v>24729876.75</v>
      </c>
      <c r="CF10" s="463">
        <v>25243947.059999999</v>
      </c>
      <c r="CG10" s="463">
        <v>18058312</v>
      </c>
      <c r="CH10" s="465">
        <v>359204.68</v>
      </c>
      <c r="CI10" s="465">
        <v>769068.42</v>
      </c>
      <c r="CJ10" s="465">
        <v>1178932.1599999999</v>
      </c>
      <c r="CK10" s="382">
        <v>2407665.1800000002</v>
      </c>
      <c r="CL10" s="382">
        <v>3258127.25</v>
      </c>
      <c r="CM10" s="382">
        <v>30038970.84</v>
      </c>
      <c r="CN10" s="514">
        <v>30859407.370000001</v>
      </c>
      <c r="CO10" s="514">
        <v>31478855.210000001</v>
      </c>
      <c r="CP10" s="514">
        <v>32256212.52</v>
      </c>
    </row>
    <row r="11" spans="1:97" s="374" customFormat="1" ht="24">
      <c r="A11" s="79" t="s">
        <v>71</v>
      </c>
      <c r="B11" s="432">
        <v>16318000</v>
      </c>
      <c r="C11" s="433">
        <v>538000</v>
      </c>
      <c r="D11" s="434">
        <f>7060000+946000+27744000-D6</f>
        <v>28539000</v>
      </c>
      <c r="E11" s="435">
        <v>33708977</v>
      </c>
      <c r="F11" s="436">
        <v>38211607</v>
      </c>
      <c r="G11" s="437">
        <v>45694494</v>
      </c>
      <c r="H11" s="437">
        <v>3403356.17</v>
      </c>
      <c r="I11" s="437">
        <v>7525036.8700000001</v>
      </c>
      <c r="J11" s="437">
        <v>12039483.82</v>
      </c>
      <c r="K11" s="437">
        <v>14673096.92</v>
      </c>
      <c r="L11" s="388">
        <v>19243738.129999999</v>
      </c>
      <c r="M11" s="388">
        <v>22718288.18</v>
      </c>
      <c r="N11" s="388">
        <v>26208338.23</v>
      </c>
      <c r="O11" s="389">
        <v>32138664.579999998</v>
      </c>
      <c r="P11" s="388">
        <v>35842327.729999997</v>
      </c>
      <c r="Q11" s="390">
        <v>39011026.729999997</v>
      </c>
      <c r="R11" s="390">
        <v>34080444.719999999</v>
      </c>
      <c r="S11" s="388">
        <v>47430036.329999998</v>
      </c>
      <c r="T11" s="437"/>
      <c r="U11" s="388">
        <v>4603522.74</v>
      </c>
      <c r="V11" s="388">
        <v>5420515.5499999998</v>
      </c>
      <c r="W11" s="388">
        <v>13173824.33</v>
      </c>
      <c r="X11" s="388">
        <v>16700630.58</v>
      </c>
      <c r="Y11" s="388">
        <v>20120938.129999999</v>
      </c>
      <c r="Z11" s="388">
        <v>23518415.199999999</v>
      </c>
      <c r="AA11" s="388">
        <v>27915922.789999999</v>
      </c>
      <c r="AB11" s="388">
        <v>32504410.030000001</v>
      </c>
      <c r="AC11" s="388">
        <v>14673581.67</v>
      </c>
      <c r="AD11" s="388">
        <v>16801616.329999998</v>
      </c>
      <c r="AE11" s="388">
        <v>18626911.079999998</v>
      </c>
      <c r="AF11" s="391">
        <v>30812315.219999999</v>
      </c>
      <c r="AG11" s="392">
        <v>64579420</v>
      </c>
      <c r="AH11" s="393">
        <v>2188601.36</v>
      </c>
      <c r="AI11" s="393">
        <v>7108139.4100000001</v>
      </c>
      <c r="AJ11" s="393">
        <v>8883035.5399999991</v>
      </c>
      <c r="AK11" s="393">
        <v>11841611.92</v>
      </c>
      <c r="AL11" s="393">
        <v>14598351.67</v>
      </c>
      <c r="AM11" s="393">
        <v>16947657.649999999</v>
      </c>
      <c r="AN11" s="394">
        <v>18718203.710000001</v>
      </c>
      <c r="AO11" s="394">
        <v>26087340.289999999</v>
      </c>
      <c r="AP11" s="394">
        <v>30782264.059999999</v>
      </c>
      <c r="AQ11" s="394">
        <v>34481217.219999999</v>
      </c>
      <c r="AR11" s="438">
        <v>38453892.369999997</v>
      </c>
      <c r="AS11" s="395">
        <v>45331478.630000003</v>
      </c>
      <c r="AT11" s="439">
        <v>93728335</v>
      </c>
      <c r="AU11" s="396">
        <v>2906373.65</v>
      </c>
      <c r="AV11" s="396">
        <v>12834070.01</v>
      </c>
      <c r="AW11" s="396">
        <v>17580449.010000002</v>
      </c>
      <c r="AX11" s="396">
        <v>21536782.039999999</v>
      </c>
      <c r="AY11" s="396">
        <v>25696480.780000001</v>
      </c>
      <c r="AZ11" s="396">
        <v>32634423.719999999</v>
      </c>
      <c r="BA11" s="394">
        <v>41175578.380000003</v>
      </c>
      <c r="BB11" s="394">
        <v>46872883.109999999</v>
      </c>
      <c r="BC11" s="394">
        <v>55368582.469999999</v>
      </c>
      <c r="BD11" s="440">
        <v>63670277.399999999</v>
      </c>
      <c r="BE11" s="440">
        <v>68578667.099999994</v>
      </c>
      <c r="BF11" s="436">
        <v>83442390.650000006</v>
      </c>
      <c r="BG11" s="441">
        <f>54428983+5391390</f>
        <v>59820373</v>
      </c>
      <c r="BH11" s="440">
        <v>3360824.23</v>
      </c>
      <c r="BI11" s="440">
        <v>7251179</v>
      </c>
      <c r="BJ11" s="440">
        <v>11003043.640000001</v>
      </c>
      <c r="BK11" s="440">
        <v>14514916.189999999</v>
      </c>
      <c r="BL11" s="440">
        <v>17769287.559999999</v>
      </c>
      <c r="BM11" s="440">
        <v>59220392.780000001</v>
      </c>
      <c r="BN11" s="440">
        <v>72792458.25</v>
      </c>
      <c r="BO11" s="440">
        <v>81641573.640000001</v>
      </c>
      <c r="BP11" s="440">
        <v>104718783.76000001</v>
      </c>
      <c r="BQ11" s="440">
        <v>113517853.06</v>
      </c>
      <c r="BR11" s="440">
        <v>124228011.40000001</v>
      </c>
      <c r="BS11" s="440">
        <v>156297047.62</v>
      </c>
      <c r="BT11" s="440">
        <v>34753173</v>
      </c>
      <c r="BU11" s="462">
        <v>7723379.4000000004</v>
      </c>
      <c r="BV11" s="462">
        <v>30016586.100000001</v>
      </c>
      <c r="BW11" s="462">
        <v>44628919.159999996</v>
      </c>
      <c r="BX11" s="462">
        <v>46950257.509999998</v>
      </c>
      <c r="BY11" s="462">
        <v>66038513.899999999</v>
      </c>
      <c r="BZ11" s="462">
        <v>76752948.049999997</v>
      </c>
      <c r="CA11" s="462">
        <v>80057877.719999999</v>
      </c>
      <c r="CB11" s="462">
        <v>102527155.64</v>
      </c>
      <c r="CC11" s="462">
        <v>125158243.70999999</v>
      </c>
      <c r="CD11" s="462">
        <v>138282555.38</v>
      </c>
      <c r="CE11" s="462">
        <v>150875292.31999999</v>
      </c>
      <c r="CF11" s="462">
        <v>165135168.44999999</v>
      </c>
      <c r="CG11" s="463">
        <f>164047337-CG6-CG10</f>
        <v>112078144</v>
      </c>
      <c r="CH11" s="466">
        <v>17573806.379999999</v>
      </c>
      <c r="CI11" s="466">
        <v>20199308.41</v>
      </c>
      <c r="CJ11" s="466">
        <v>46959355.270000003</v>
      </c>
      <c r="CK11" s="374">
        <v>56408713.990000002</v>
      </c>
      <c r="CL11" s="374">
        <v>63005459.82</v>
      </c>
      <c r="CM11" s="374">
        <v>76831059.689999998</v>
      </c>
      <c r="CN11" s="515">
        <v>85801020.739999995</v>
      </c>
      <c r="CO11" s="515">
        <v>89903450.170000002</v>
      </c>
      <c r="CP11" s="515">
        <v>129614773.41</v>
      </c>
    </row>
    <row r="12" spans="1:97" s="374" customFormat="1">
      <c r="A12" s="79" t="s">
        <v>72</v>
      </c>
      <c r="B12" s="415">
        <v>161587000</v>
      </c>
      <c r="C12" s="415">
        <f>SUM(C13:C16)+C17+C18</f>
        <v>179955000</v>
      </c>
      <c r="D12" s="415">
        <f>SUM(D13:D16)+D17+D18</f>
        <v>202204000</v>
      </c>
      <c r="E12" s="415">
        <f>SUM(E13:E16)+E17+E18</f>
        <v>253507699</v>
      </c>
      <c r="F12" s="413">
        <f t="shared" ref="F12:BQ12" si="16">F13+F14+F15+F16+F17+F18</f>
        <v>309075424.91000003</v>
      </c>
      <c r="G12" s="413">
        <f t="shared" si="16"/>
        <v>377000555</v>
      </c>
      <c r="H12" s="413">
        <f t="shared" si="16"/>
        <v>3576601.2</v>
      </c>
      <c r="I12" s="413">
        <f t="shared" si="16"/>
        <v>93484527.349999994</v>
      </c>
      <c r="J12" s="413">
        <f t="shared" si="16"/>
        <v>136030025.12</v>
      </c>
      <c r="K12" s="413">
        <f t="shared" si="16"/>
        <v>178817355.98000002</v>
      </c>
      <c r="L12" s="413">
        <f t="shared" si="16"/>
        <v>221537677.77000001</v>
      </c>
      <c r="M12" s="413">
        <f t="shared" si="16"/>
        <v>270718220.25</v>
      </c>
      <c r="N12" s="413">
        <f t="shared" si="16"/>
        <v>316854555.32000005</v>
      </c>
      <c r="O12" s="413">
        <f t="shared" si="16"/>
        <v>366535220.06999999</v>
      </c>
      <c r="P12" s="413">
        <f t="shared" si="16"/>
        <v>414643039.12000006</v>
      </c>
      <c r="Q12" s="413">
        <f t="shared" si="16"/>
        <v>461801545.27999997</v>
      </c>
      <c r="R12" s="413">
        <f t="shared" si="16"/>
        <v>515961248.94999999</v>
      </c>
      <c r="S12" s="413">
        <f t="shared" si="16"/>
        <v>564268542.32000005</v>
      </c>
      <c r="T12" s="413">
        <f t="shared" si="16"/>
        <v>439444804</v>
      </c>
      <c r="U12" s="413">
        <f t="shared" si="16"/>
        <v>15017347.02</v>
      </c>
      <c r="V12" s="413">
        <f t="shared" si="16"/>
        <v>118805362.78999999</v>
      </c>
      <c r="W12" s="413">
        <f t="shared" si="16"/>
        <v>173024215.25</v>
      </c>
      <c r="X12" s="413">
        <f t="shared" si="16"/>
        <v>226354805.81</v>
      </c>
      <c r="Y12" s="413">
        <f t="shared" si="16"/>
        <v>258624530.20999998</v>
      </c>
      <c r="Z12" s="413">
        <f t="shared" si="16"/>
        <v>308214533.44000006</v>
      </c>
      <c r="AA12" s="413">
        <f t="shared" si="16"/>
        <v>357048705.41000009</v>
      </c>
      <c r="AB12" s="413">
        <f t="shared" si="16"/>
        <v>404162857.56999999</v>
      </c>
      <c r="AC12" s="413">
        <f t="shared" si="16"/>
        <v>434992169.35000008</v>
      </c>
      <c r="AD12" s="413">
        <f t="shared" si="16"/>
        <v>478177135.41999996</v>
      </c>
      <c r="AE12" s="413">
        <f t="shared" si="16"/>
        <v>525679856.55000001</v>
      </c>
      <c r="AF12" s="413">
        <f t="shared" si="16"/>
        <v>581793789.13999999</v>
      </c>
      <c r="AG12" s="413">
        <f t="shared" si="16"/>
        <v>552387170</v>
      </c>
      <c r="AH12" s="413">
        <f t="shared" si="16"/>
        <v>50444853.829999998</v>
      </c>
      <c r="AI12" s="413">
        <f t="shared" si="16"/>
        <v>105230074.72</v>
      </c>
      <c r="AJ12" s="413">
        <f t="shared" si="16"/>
        <v>160884062.66</v>
      </c>
      <c r="AK12" s="413">
        <f t="shared" si="16"/>
        <v>214665921.88999999</v>
      </c>
      <c r="AL12" s="413">
        <f t="shared" si="16"/>
        <v>262750020.38</v>
      </c>
      <c r="AM12" s="413">
        <f t="shared" si="16"/>
        <v>313849784.98000002</v>
      </c>
      <c r="AN12" s="413">
        <f t="shared" si="16"/>
        <v>364699644.60000002</v>
      </c>
      <c r="AO12" s="413">
        <f t="shared" si="16"/>
        <v>415818920.18000001</v>
      </c>
      <c r="AP12" s="413">
        <f t="shared" si="16"/>
        <v>464664148.63</v>
      </c>
      <c r="AQ12" s="413">
        <f t="shared" si="16"/>
        <v>513946424.46000004</v>
      </c>
      <c r="AR12" s="413">
        <f t="shared" si="16"/>
        <v>563373667.99000001</v>
      </c>
      <c r="AS12" s="426">
        <f t="shared" si="16"/>
        <v>610657375.13000011</v>
      </c>
      <c r="AT12" s="413">
        <f t="shared" si="16"/>
        <v>602432085</v>
      </c>
      <c r="AU12" s="413">
        <f t="shared" si="16"/>
        <v>48440661.530000001</v>
      </c>
      <c r="AV12" s="413">
        <f t="shared" si="16"/>
        <v>96119801.730000004</v>
      </c>
      <c r="AW12" s="413">
        <f t="shared" si="16"/>
        <v>160767552.88</v>
      </c>
      <c r="AX12" s="413">
        <f t="shared" si="16"/>
        <v>202998419.05000001</v>
      </c>
      <c r="AY12" s="413">
        <f t="shared" si="16"/>
        <v>253654260.02999997</v>
      </c>
      <c r="AZ12" s="413">
        <f t="shared" si="16"/>
        <v>304286311.54999995</v>
      </c>
      <c r="BA12" s="413">
        <f t="shared" si="16"/>
        <v>354481013.47999996</v>
      </c>
      <c r="BB12" s="413">
        <f t="shared" si="16"/>
        <v>408226857.50999999</v>
      </c>
      <c r="BC12" s="413">
        <f t="shared" si="16"/>
        <v>454838142.17000002</v>
      </c>
      <c r="BD12" s="413">
        <f t="shared" si="16"/>
        <v>505511675.04000002</v>
      </c>
      <c r="BE12" s="413">
        <f t="shared" si="16"/>
        <v>556172311.19999993</v>
      </c>
      <c r="BF12" s="426">
        <f t="shared" si="16"/>
        <v>606939749.53999996</v>
      </c>
      <c r="BG12" s="414">
        <f t="shared" si="16"/>
        <v>650338042</v>
      </c>
      <c r="BH12" s="414">
        <f t="shared" si="16"/>
        <v>55960643.490000002</v>
      </c>
      <c r="BI12" s="414">
        <f t="shared" si="16"/>
        <v>121346988.97</v>
      </c>
      <c r="BJ12" s="414">
        <f t="shared" si="16"/>
        <v>182186162.57999998</v>
      </c>
      <c r="BK12" s="414">
        <f t="shared" si="16"/>
        <v>272593392.92000002</v>
      </c>
      <c r="BL12" s="414">
        <f t="shared" si="16"/>
        <v>303047146.94</v>
      </c>
      <c r="BM12" s="414">
        <f t="shared" si="16"/>
        <v>363481459.54000002</v>
      </c>
      <c r="BN12" s="414">
        <f t="shared" si="16"/>
        <v>424078992.30999994</v>
      </c>
      <c r="BO12" s="414">
        <f t="shared" si="16"/>
        <v>484314817.20999998</v>
      </c>
      <c r="BP12" s="414">
        <f t="shared" si="16"/>
        <v>548896762.06999993</v>
      </c>
      <c r="BQ12" s="414">
        <f t="shared" si="16"/>
        <v>605278286.56999993</v>
      </c>
      <c r="BR12" s="414">
        <f t="shared" ref="BR12:CF12" si="17">BR13+BR14+BR15+BR16+BR17+BR18</f>
        <v>665638238.55999994</v>
      </c>
      <c r="BS12" s="414">
        <f t="shared" si="17"/>
        <v>726084884.14999998</v>
      </c>
      <c r="BT12" s="414">
        <f t="shared" si="17"/>
        <v>768716219</v>
      </c>
      <c r="BU12" s="414">
        <f t="shared" si="17"/>
        <v>78014727.640000001</v>
      </c>
      <c r="BV12" s="414">
        <f t="shared" si="17"/>
        <v>155057679.03999999</v>
      </c>
      <c r="BW12" s="414">
        <f t="shared" si="17"/>
        <v>232289546.84999999</v>
      </c>
      <c r="BX12" s="414">
        <f t="shared" si="17"/>
        <v>309548864.23000002</v>
      </c>
      <c r="BY12" s="414">
        <f t="shared" si="17"/>
        <v>391881740.75</v>
      </c>
      <c r="BZ12" s="414">
        <f t="shared" si="17"/>
        <v>463578323.75</v>
      </c>
      <c r="CA12" s="414">
        <f t="shared" si="17"/>
        <v>540780809.41000009</v>
      </c>
      <c r="CB12" s="414">
        <f t="shared" si="17"/>
        <v>618044138.50999999</v>
      </c>
      <c r="CC12" s="414">
        <f t="shared" si="17"/>
        <v>695132600.06000006</v>
      </c>
      <c r="CD12" s="414">
        <f t="shared" si="17"/>
        <v>772179344.05000007</v>
      </c>
      <c r="CE12" s="414">
        <f t="shared" si="17"/>
        <v>849060623.42000008</v>
      </c>
      <c r="CF12" s="414">
        <f t="shared" si="17"/>
        <v>926164299.79000008</v>
      </c>
      <c r="CG12" s="414">
        <f>CG13+CG14+CG15+CG16+CG17+CG18</f>
        <v>909388108</v>
      </c>
      <c r="CH12" s="414">
        <f t="shared" ref="CH12:CS12" si="18">CH13+CH14+CH15+CH16+CH17+CH18</f>
        <v>92949111.849999994</v>
      </c>
      <c r="CI12" s="414">
        <f t="shared" si="18"/>
        <v>185603747.80000001</v>
      </c>
      <c r="CJ12" s="414">
        <f t="shared" si="18"/>
        <v>274375345.36000001</v>
      </c>
      <c r="CK12" s="414">
        <f t="shared" si="18"/>
        <v>354655791.94999999</v>
      </c>
      <c r="CL12" s="414">
        <f t="shared" si="18"/>
        <v>442904290.94999999</v>
      </c>
      <c r="CM12" s="414">
        <f t="shared" si="18"/>
        <v>531128051.14999998</v>
      </c>
      <c r="CN12" s="414">
        <f t="shared" si="18"/>
        <v>619517697.75</v>
      </c>
      <c r="CO12" s="414">
        <f t="shared" si="18"/>
        <v>708422021.73000002</v>
      </c>
      <c r="CP12" s="414">
        <f t="shared" si="18"/>
        <v>801269616.95000005</v>
      </c>
      <c r="CQ12" s="414">
        <f t="shared" si="18"/>
        <v>0</v>
      </c>
      <c r="CR12" s="414">
        <f t="shared" si="18"/>
        <v>0</v>
      </c>
      <c r="CS12" s="414">
        <f t="shared" si="18"/>
        <v>0</v>
      </c>
    </row>
    <row r="13" spans="1:97" ht="12">
      <c r="A13" s="80" t="s">
        <v>73</v>
      </c>
      <c r="B13" s="416">
        <v>148036000</v>
      </c>
      <c r="C13" s="417">
        <v>172768000</v>
      </c>
      <c r="D13" s="418">
        <f>192153000+8690000</f>
        <v>200843000</v>
      </c>
      <c r="E13" s="419">
        <v>252903029</v>
      </c>
      <c r="F13" s="420">
        <v>307717763</v>
      </c>
      <c r="G13" s="421">
        <v>374176451</v>
      </c>
      <c r="H13" s="421">
        <v>432589.6</v>
      </c>
      <c r="I13" s="421">
        <v>77703089.599999994</v>
      </c>
      <c r="J13" s="421">
        <v>116459132.09999999</v>
      </c>
      <c r="K13" s="421">
        <v>155168389.30000001</v>
      </c>
      <c r="L13" s="375">
        <v>193736889.30000001</v>
      </c>
      <c r="M13" s="375">
        <v>232662647.30000001</v>
      </c>
      <c r="N13" s="375">
        <v>271562555.80000001</v>
      </c>
      <c r="O13" s="375">
        <v>310159662.77999997</v>
      </c>
      <c r="P13" s="375">
        <v>349155312.68000001</v>
      </c>
      <c r="Q13" s="397">
        <v>388969371.18000001</v>
      </c>
      <c r="R13" s="397">
        <v>427528654.18000001</v>
      </c>
      <c r="S13" s="375">
        <v>466567161.50999999</v>
      </c>
      <c r="T13" s="421">
        <v>374569299</v>
      </c>
      <c r="U13" s="375">
        <v>935398</v>
      </c>
      <c r="V13" s="375">
        <v>90901486</v>
      </c>
      <c r="W13" s="375">
        <v>136689278</v>
      </c>
      <c r="X13" s="375">
        <v>182294326</v>
      </c>
      <c r="Y13" s="375">
        <v>202584992.66</v>
      </c>
      <c r="Z13" s="375">
        <v>243080367.66</v>
      </c>
      <c r="AA13" s="375">
        <v>283814693.66000003</v>
      </c>
      <c r="AB13" s="375">
        <v>0</v>
      </c>
      <c r="AC13" s="375">
        <v>365444525.66000003</v>
      </c>
      <c r="AD13" s="375">
        <v>406802619.33999997</v>
      </c>
      <c r="AE13" s="375">
        <v>447239436</v>
      </c>
      <c r="AF13" s="378">
        <v>500193931</v>
      </c>
      <c r="AG13" s="379">
        <v>468684234</v>
      </c>
      <c r="AH13" s="380">
        <v>45513263.5</v>
      </c>
      <c r="AI13" s="380">
        <v>95671409</v>
      </c>
      <c r="AJ13" s="380">
        <v>145543167</v>
      </c>
      <c r="AK13" s="380">
        <v>193917757</v>
      </c>
      <c r="AL13" s="380">
        <v>241763734.5</v>
      </c>
      <c r="AM13" s="380">
        <v>289312452.5</v>
      </c>
      <c r="AN13" s="380">
        <v>337214767.82999998</v>
      </c>
      <c r="AO13" s="380">
        <v>385054023.02999997</v>
      </c>
      <c r="AP13" s="380">
        <v>432606261.02999997</v>
      </c>
      <c r="AQ13" s="380">
        <v>480632117.02999997</v>
      </c>
      <c r="AR13" s="380">
        <v>528493791.98000002</v>
      </c>
      <c r="AS13" s="381">
        <v>576117966.98000002</v>
      </c>
      <c r="AT13" s="420">
        <v>564645701</v>
      </c>
      <c r="AU13" s="375">
        <v>47864450.130000003</v>
      </c>
      <c r="AV13" s="375">
        <v>95599250.390000001</v>
      </c>
      <c r="AW13" s="375">
        <v>150734241.72</v>
      </c>
      <c r="AX13" s="375">
        <v>201041901.72</v>
      </c>
      <c r="AY13" s="375">
        <v>251384764.38999999</v>
      </c>
      <c r="AZ13" s="375">
        <v>301415796.38999999</v>
      </c>
      <c r="BA13" s="380">
        <v>351857808.38999999</v>
      </c>
      <c r="BB13" s="380">
        <v>401983395.72000003</v>
      </c>
      <c r="BC13" s="380">
        <v>451136471.88999999</v>
      </c>
      <c r="BD13" s="422">
        <v>501367084.38999999</v>
      </c>
      <c r="BE13" s="422">
        <v>552601854.09000003</v>
      </c>
      <c r="BF13" s="422">
        <v>603100907.09000003</v>
      </c>
      <c r="BG13" s="383">
        <v>648599707</v>
      </c>
      <c r="BH13" s="422">
        <v>55532891.670000002</v>
      </c>
      <c r="BI13" s="422">
        <v>120652854.67</v>
      </c>
      <c r="BJ13" s="422">
        <v>180852729.66999999</v>
      </c>
      <c r="BK13" s="422">
        <v>241081325.37</v>
      </c>
      <c r="BL13" s="422">
        <v>301383926.29000002</v>
      </c>
      <c r="BM13" s="422">
        <v>361548889.29000002</v>
      </c>
      <c r="BN13" s="422">
        <v>422011576.83999997</v>
      </c>
      <c r="BO13" s="422">
        <v>482114596.83999997</v>
      </c>
      <c r="BP13" s="422">
        <v>542335506.50999999</v>
      </c>
      <c r="BQ13" s="422">
        <v>602592419.00999999</v>
      </c>
      <c r="BR13" s="422">
        <v>662789419.00999999</v>
      </c>
      <c r="BS13" s="422">
        <v>722982169.00999999</v>
      </c>
      <c r="BT13" s="422">
        <v>767523975</v>
      </c>
      <c r="BU13" s="463">
        <v>77350541.920000002</v>
      </c>
      <c r="BV13" s="463">
        <v>154270908.91999999</v>
      </c>
      <c r="BW13" s="463">
        <v>231002242.91999999</v>
      </c>
      <c r="BX13" s="463">
        <v>308021880.92000002</v>
      </c>
      <c r="BY13" s="463">
        <v>385138934.56999999</v>
      </c>
      <c r="BZ13" s="463">
        <v>461691851.56999999</v>
      </c>
      <c r="CA13" s="463">
        <v>538733168.57000005</v>
      </c>
      <c r="CB13" s="463">
        <v>615761808.57000005</v>
      </c>
      <c r="CC13" s="463">
        <v>692615471.57000005</v>
      </c>
      <c r="CD13" s="463">
        <v>769489053.57000005</v>
      </c>
      <c r="CE13" s="463">
        <v>846179720.57000005</v>
      </c>
      <c r="CF13" s="463">
        <v>923028095.57000005</v>
      </c>
      <c r="CG13" s="462">
        <v>904946415</v>
      </c>
      <c r="CH13" s="465">
        <v>92549279</v>
      </c>
      <c r="CI13" s="465">
        <v>184952029</v>
      </c>
      <c r="CJ13" s="465">
        <v>272895787</v>
      </c>
      <c r="CK13" s="382">
        <v>353050156.44999999</v>
      </c>
      <c r="CL13" s="382">
        <v>441101039.44999999</v>
      </c>
      <c r="CM13" s="382">
        <v>529052764.44999999</v>
      </c>
      <c r="CN13" s="512">
        <v>617192481.45000005</v>
      </c>
      <c r="CO13" s="512">
        <v>705563198.45000005</v>
      </c>
      <c r="CP13" s="512">
        <v>798494791.85000002</v>
      </c>
    </row>
    <row r="14" spans="1:97" ht="12">
      <c r="A14" s="80" t="s">
        <v>74</v>
      </c>
      <c r="B14" s="442">
        <v>9065000</v>
      </c>
      <c r="C14" s="417">
        <v>5096000</v>
      </c>
      <c r="D14" s="443">
        <v>0</v>
      </c>
      <c r="E14" s="444"/>
      <c r="F14" s="420"/>
      <c r="G14" s="421"/>
      <c r="H14" s="421">
        <v>2761000</v>
      </c>
      <c r="I14" s="421">
        <v>9804164.1300000008</v>
      </c>
      <c r="J14" s="421">
        <v>10011612.6</v>
      </c>
      <c r="K14" s="421">
        <v>10781407.77</v>
      </c>
      <c r="L14" s="375">
        <v>11682752.789999999</v>
      </c>
      <c r="M14" s="375">
        <v>18579359.890000001</v>
      </c>
      <c r="N14" s="375">
        <v>22592658.98</v>
      </c>
      <c r="O14" s="375">
        <v>30228768.170000002</v>
      </c>
      <c r="P14" s="375">
        <v>37774430.289999999</v>
      </c>
      <c r="Q14" s="397">
        <v>41672836.130000003</v>
      </c>
      <c r="R14" s="397">
        <v>54178898.07</v>
      </c>
      <c r="S14" s="375">
        <v>60308342.539999999</v>
      </c>
      <c r="T14" s="421">
        <f>4567162+60308343</f>
        <v>64875505</v>
      </c>
      <c r="U14" s="375">
        <v>12944686.859999999</v>
      </c>
      <c r="V14" s="375">
        <v>20157629.329999998</v>
      </c>
      <c r="W14" s="375">
        <v>25491057.030000001</v>
      </c>
      <c r="X14" s="375">
        <v>31844223.75</v>
      </c>
      <c r="Y14" s="375">
        <v>40971041.549999997</v>
      </c>
      <c r="Z14" s="375">
        <v>46739541.57</v>
      </c>
      <c r="AA14" s="375">
        <v>52039724.659999996</v>
      </c>
      <c r="AB14" s="375">
        <v>56482704.130000003</v>
      </c>
      <c r="AC14" s="375">
        <v>63933921.979999997</v>
      </c>
      <c r="AD14" s="375">
        <v>68191191.099999994</v>
      </c>
      <c r="AE14" s="375">
        <v>72204165</v>
      </c>
      <c r="AF14" s="378">
        <v>78131445.290000007</v>
      </c>
      <c r="AG14" s="379">
        <v>83702936</v>
      </c>
      <c r="AH14" s="380">
        <v>3750443.3</v>
      </c>
      <c r="AI14" s="380">
        <v>7374003.9400000004</v>
      </c>
      <c r="AJ14" s="380">
        <v>12180265.470000001</v>
      </c>
      <c r="AK14" s="380">
        <v>16338525.039999999</v>
      </c>
      <c r="AL14" s="380">
        <v>19491188.890000001</v>
      </c>
      <c r="AM14" s="380">
        <v>22622333.559999999</v>
      </c>
      <c r="AN14" s="380">
        <v>25584196.43</v>
      </c>
      <c r="AO14" s="380">
        <v>28482484.120000001</v>
      </c>
      <c r="AP14" s="380">
        <v>29417891.969999999</v>
      </c>
      <c r="AQ14" s="380">
        <v>30447266.969999999</v>
      </c>
      <c r="AR14" s="380">
        <v>31668417.460000001</v>
      </c>
      <c r="AS14" s="381">
        <v>31668417.460000001</v>
      </c>
      <c r="AT14" s="420">
        <f>31668417+6117967</f>
        <v>37786384</v>
      </c>
      <c r="AU14" s="375">
        <v>0</v>
      </c>
      <c r="AV14" s="375">
        <v>0</v>
      </c>
      <c r="AW14" s="375">
        <v>0</v>
      </c>
      <c r="AX14" s="375">
        <v>0</v>
      </c>
      <c r="AY14" s="375">
        <v>0</v>
      </c>
      <c r="AZ14" s="375">
        <v>0</v>
      </c>
      <c r="BA14" s="380">
        <v>0</v>
      </c>
      <c r="BB14" s="380">
        <v>0</v>
      </c>
      <c r="BC14" s="380">
        <v>0</v>
      </c>
      <c r="BD14" s="380">
        <v>0</v>
      </c>
      <c r="BE14" s="380">
        <v>0</v>
      </c>
      <c r="BF14" s="381">
        <v>0</v>
      </c>
      <c r="BG14" s="400">
        <v>0</v>
      </c>
      <c r="BH14" s="422">
        <v>0</v>
      </c>
      <c r="BI14" s="422">
        <v>0</v>
      </c>
      <c r="BJ14" s="422">
        <v>0</v>
      </c>
      <c r="BK14" s="422">
        <v>0</v>
      </c>
      <c r="BL14" s="422">
        <v>0</v>
      </c>
      <c r="BM14" s="422">
        <v>0</v>
      </c>
      <c r="BN14" s="422">
        <v>0</v>
      </c>
      <c r="BO14" s="422">
        <v>0</v>
      </c>
      <c r="BP14" s="422">
        <v>0</v>
      </c>
      <c r="BQ14" s="422">
        <v>0</v>
      </c>
      <c r="BR14" s="422">
        <v>0</v>
      </c>
      <c r="BS14" s="422">
        <v>0</v>
      </c>
      <c r="BT14" s="422"/>
      <c r="BU14" s="463">
        <v>0</v>
      </c>
      <c r="BV14" s="463">
        <v>0</v>
      </c>
      <c r="BW14" s="463">
        <v>0</v>
      </c>
      <c r="BX14" s="463">
        <v>0</v>
      </c>
      <c r="BY14" s="463">
        <v>0</v>
      </c>
      <c r="BZ14" s="463">
        <v>0</v>
      </c>
      <c r="CA14" s="463">
        <v>0</v>
      </c>
      <c r="CB14" s="463">
        <v>0</v>
      </c>
      <c r="CC14" s="463">
        <v>0</v>
      </c>
      <c r="CD14" s="463">
        <v>0</v>
      </c>
      <c r="CE14" s="463">
        <v>0</v>
      </c>
      <c r="CF14" s="463">
        <v>0</v>
      </c>
      <c r="CG14" s="463"/>
      <c r="CH14" s="465">
        <v>0</v>
      </c>
      <c r="CI14" s="465">
        <v>0</v>
      </c>
      <c r="CJ14" s="465">
        <v>0</v>
      </c>
      <c r="CK14" s="382">
        <v>0</v>
      </c>
      <c r="CL14" s="382">
        <v>0</v>
      </c>
      <c r="CM14" s="382">
        <v>0</v>
      </c>
      <c r="CN14" s="513">
        <v>0</v>
      </c>
      <c r="CO14" s="513">
        <v>0</v>
      </c>
      <c r="CP14" s="513">
        <v>0</v>
      </c>
    </row>
    <row r="15" spans="1:97" ht="12">
      <c r="A15" s="80" t="s">
        <v>75</v>
      </c>
      <c r="B15" s="416">
        <v>2762000</v>
      </c>
      <c r="C15" s="445">
        <v>2091000</v>
      </c>
      <c r="D15" s="443">
        <v>0</v>
      </c>
      <c r="E15" s="444"/>
      <c r="F15" s="420"/>
      <c r="G15" s="421"/>
      <c r="H15" s="421">
        <v>0</v>
      </c>
      <c r="I15" s="421">
        <v>0</v>
      </c>
      <c r="J15" s="421">
        <v>0</v>
      </c>
      <c r="K15" s="421"/>
      <c r="L15" s="375">
        <v>0</v>
      </c>
      <c r="M15" s="375">
        <v>0</v>
      </c>
      <c r="N15" s="375">
        <v>0</v>
      </c>
      <c r="O15" s="375">
        <v>0</v>
      </c>
      <c r="P15" s="375">
        <v>0</v>
      </c>
      <c r="Q15" s="397">
        <v>0</v>
      </c>
      <c r="R15" s="397">
        <v>0</v>
      </c>
      <c r="S15" s="375">
        <v>0</v>
      </c>
      <c r="T15" s="421"/>
      <c r="U15" s="375">
        <v>0</v>
      </c>
      <c r="V15" s="375">
        <v>0</v>
      </c>
      <c r="W15" s="375">
        <v>0</v>
      </c>
      <c r="X15" s="375">
        <v>0</v>
      </c>
      <c r="Y15" s="375">
        <v>0</v>
      </c>
      <c r="Z15" s="375">
        <v>0</v>
      </c>
      <c r="AA15" s="375">
        <v>0</v>
      </c>
      <c r="AB15" s="375">
        <v>324464609.69999999</v>
      </c>
      <c r="AC15" s="375">
        <v>0</v>
      </c>
      <c r="AD15" s="375">
        <v>0</v>
      </c>
      <c r="AE15" s="375">
        <v>0</v>
      </c>
      <c r="AF15" s="378">
        <v>0</v>
      </c>
      <c r="AG15" s="379">
        <v>0</v>
      </c>
      <c r="AH15" s="380">
        <v>0</v>
      </c>
      <c r="AI15" s="380">
        <v>0</v>
      </c>
      <c r="AJ15" s="380">
        <v>0</v>
      </c>
      <c r="AK15" s="380">
        <v>0</v>
      </c>
      <c r="AL15" s="380">
        <v>0</v>
      </c>
      <c r="AM15" s="380">
        <v>0</v>
      </c>
      <c r="AN15" s="380">
        <v>0</v>
      </c>
      <c r="AO15" s="380">
        <v>0</v>
      </c>
      <c r="AP15" s="380">
        <v>0</v>
      </c>
      <c r="AQ15" s="380">
        <v>0</v>
      </c>
      <c r="AR15" s="380">
        <v>0</v>
      </c>
      <c r="AS15" s="381">
        <v>0</v>
      </c>
      <c r="AT15" s="446">
        <v>0</v>
      </c>
      <c r="AU15" s="375">
        <v>0</v>
      </c>
      <c r="AV15" s="375">
        <v>0</v>
      </c>
      <c r="AW15" s="375">
        <v>0</v>
      </c>
      <c r="AX15" s="375">
        <v>0</v>
      </c>
      <c r="AY15" s="375">
        <v>0</v>
      </c>
      <c r="AZ15" s="375">
        <v>0</v>
      </c>
      <c r="BA15" s="380">
        <v>0</v>
      </c>
      <c r="BB15" s="380">
        <v>0</v>
      </c>
      <c r="BC15" s="380">
        <v>0</v>
      </c>
      <c r="BD15" s="380">
        <v>0</v>
      </c>
      <c r="BE15" s="380">
        <v>0</v>
      </c>
      <c r="BF15" s="381">
        <v>0</v>
      </c>
      <c r="BG15" s="400">
        <v>0</v>
      </c>
      <c r="BH15" s="422">
        <v>0</v>
      </c>
      <c r="BI15" s="422">
        <v>0</v>
      </c>
      <c r="BJ15" s="422">
        <v>0</v>
      </c>
      <c r="BK15" s="422">
        <v>0</v>
      </c>
      <c r="BL15" s="422">
        <v>0</v>
      </c>
      <c r="BM15" s="422">
        <v>0</v>
      </c>
      <c r="BN15" s="422">
        <v>0</v>
      </c>
      <c r="BO15" s="422">
        <v>0</v>
      </c>
      <c r="BP15" s="422">
        <v>0</v>
      </c>
      <c r="BQ15" s="422">
        <v>0</v>
      </c>
      <c r="BR15" s="422">
        <v>0</v>
      </c>
      <c r="BS15" s="422">
        <v>0</v>
      </c>
      <c r="BT15" s="422"/>
      <c r="BU15" s="463">
        <v>0</v>
      </c>
      <c r="BV15" s="463">
        <v>0</v>
      </c>
      <c r="BW15" s="463">
        <v>0</v>
      </c>
      <c r="BX15" s="463">
        <v>0</v>
      </c>
      <c r="BY15" s="463">
        <v>0</v>
      </c>
      <c r="BZ15" s="463">
        <v>0</v>
      </c>
      <c r="CA15" s="463">
        <v>0</v>
      </c>
      <c r="CB15" s="463">
        <v>0</v>
      </c>
      <c r="CC15" s="463">
        <v>0</v>
      </c>
      <c r="CD15" s="463">
        <v>0</v>
      </c>
      <c r="CE15" s="463">
        <v>0</v>
      </c>
      <c r="CF15" s="463">
        <v>0</v>
      </c>
      <c r="CG15" s="463"/>
      <c r="CH15" s="465">
        <v>0</v>
      </c>
      <c r="CI15" s="465">
        <v>0</v>
      </c>
      <c r="CJ15" s="465">
        <v>0</v>
      </c>
      <c r="CK15" s="382">
        <v>0</v>
      </c>
      <c r="CL15" s="382">
        <v>0</v>
      </c>
      <c r="CM15" s="382">
        <v>0</v>
      </c>
      <c r="CN15" s="513">
        <v>0</v>
      </c>
      <c r="CO15" s="513">
        <v>0</v>
      </c>
      <c r="CP15" s="513">
        <v>0</v>
      </c>
    </row>
    <row r="16" spans="1:97" ht="12">
      <c r="A16" s="80" t="s">
        <v>76</v>
      </c>
      <c r="B16" s="416">
        <v>0</v>
      </c>
      <c r="C16" s="417"/>
      <c r="D16" s="418">
        <v>1361000</v>
      </c>
      <c r="E16" s="419">
        <v>604670</v>
      </c>
      <c r="F16" s="420">
        <v>1357661.91</v>
      </c>
      <c r="G16" s="421">
        <v>2824104</v>
      </c>
      <c r="H16" s="421">
        <v>280261.59999999998</v>
      </c>
      <c r="I16" s="421">
        <v>359811.62</v>
      </c>
      <c r="J16" s="421">
        <v>536061.42000000004</v>
      </c>
      <c r="K16" s="421">
        <v>595050.91</v>
      </c>
      <c r="L16" s="375">
        <v>693912.68</v>
      </c>
      <c r="M16" s="375">
        <v>964862.46</v>
      </c>
      <c r="N16" s="375">
        <v>1014019.94</v>
      </c>
      <c r="O16" s="375">
        <v>1757512.52</v>
      </c>
      <c r="P16" s="375">
        <v>394190.05</v>
      </c>
      <c r="Q16" s="397">
        <v>1033960.27</v>
      </c>
      <c r="R16" s="397">
        <v>1277918</v>
      </c>
      <c r="S16" s="375">
        <v>1479172.57</v>
      </c>
      <c r="T16" s="421"/>
      <c r="U16" s="375">
        <v>590586.56000000006</v>
      </c>
      <c r="V16" s="375">
        <v>545826.66</v>
      </c>
      <c r="W16" s="375">
        <v>738807.42</v>
      </c>
      <c r="X16" s="375">
        <v>911501.96</v>
      </c>
      <c r="Y16" s="375">
        <v>991162.9</v>
      </c>
      <c r="Z16" s="375">
        <v>1408546.11</v>
      </c>
      <c r="AA16" s="375">
        <v>1510911.99</v>
      </c>
      <c r="AB16" s="375">
        <v>1624767.64</v>
      </c>
      <c r="AC16" s="375">
        <v>1766468.61</v>
      </c>
      <c r="AD16" s="375">
        <v>1866017.98</v>
      </c>
      <c r="AE16" s="375">
        <v>2020430.55</v>
      </c>
      <c r="AF16" s="378">
        <v>2131690.9500000002</v>
      </c>
      <c r="AG16" s="379"/>
      <c r="AH16" s="380">
        <v>146257.03</v>
      </c>
      <c r="AI16" s="380">
        <v>246806.78</v>
      </c>
      <c r="AJ16" s="380">
        <v>351310.19</v>
      </c>
      <c r="AK16" s="380">
        <v>456819.85</v>
      </c>
      <c r="AL16" s="380">
        <v>624652.99</v>
      </c>
      <c r="AM16" s="380">
        <v>729752.32</v>
      </c>
      <c r="AN16" s="380">
        <v>823103.74</v>
      </c>
      <c r="AO16" s="380">
        <v>1054522.43</v>
      </c>
      <c r="AP16" s="380">
        <v>1152495.83</v>
      </c>
      <c r="AQ16" s="380">
        <v>1256840.6599999999</v>
      </c>
      <c r="AR16" s="380">
        <v>1404038.75</v>
      </c>
      <c r="AS16" s="381">
        <v>1583461.69</v>
      </c>
      <c r="AT16" s="446">
        <v>0</v>
      </c>
      <c r="AU16" s="375">
        <v>89436.4</v>
      </c>
      <c r="AV16" s="375">
        <v>166141.34</v>
      </c>
      <c r="AW16" s="375">
        <v>438516.16</v>
      </c>
      <c r="AX16" s="375">
        <v>515773.33</v>
      </c>
      <c r="AY16" s="375">
        <v>582436.64</v>
      </c>
      <c r="AZ16" s="375">
        <v>780534.76</v>
      </c>
      <c r="BA16" s="380">
        <v>854395.69</v>
      </c>
      <c r="BB16" s="380">
        <v>951487.39</v>
      </c>
      <c r="BC16" s="380">
        <v>1348763.18</v>
      </c>
      <c r="BD16" s="422">
        <v>1466488.55</v>
      </c>
      <c r="BE16" s="422">
        <v>1591493.31</v>
      </c>
      <c r="BF16" s="422">
        <v>1725466.65</v>
      </c>
      <c r="BG16" s="400">
        <v>1738335</v>
      </c>
      <c r="BH16" s="422">
        <v>70392.12</v>
      </c>
      <c r="BI16" s="422">
        <v>176397.6</v>
      </c>
      <c r="BJ16" s="422">
        <v>266831.21000000002</v>
      </c>
      <c r="BK16" s="422">
        <v>358387.65</v>
      </c>
      <c r="BL16" s="422">
        <v>449445.75</v>
      </c>
      <c r="BM16" s="422">
        <v>543344.85</v>
      </c>
      <c r="BN16" s="422">
        <v>643994.06999999995</v>
      </c>
      <c r="BO16" s="422">
        <v>748064.97</v>
      </c>
      <c r="BP16" s="422">
        <v>852744.16</v>
      </c>
      <c r="BQ16" s="422">
        <v>961596.16</v>
      </c>
      <c r="BR16" s="422">
        <v>1045190.15</v>
      </c>
      <c r="BS16" s="422">
        <v>1192244.1399999999</v>
      </c>
      <c r="BT16" s="422">
        <v>1192244</v>
      </c>
      <c r="BU16" s="463">
        <v>91385.72</v>
      </c>
      <c r="BV16" s="463">
        <v>181515.12</v>
      </c>
      <c r="BW16" s="463">
        <v>314377.93</v>
      </c>
      <c r="BX16" s="463">
        <v>443188.11</v>
      </c>
      <c r="BY16" s="463">
        <v>500702.98</v>
      </c>
      <c r="BZ16" s="463">
        <v>623262.98</v>
      </c>
      <c r="CA16" s="463">
        <v>747456.84</v>
      </c>
      <c r="CB16" s="463">
        <v>850753.14</v>
      </c>
      <c r="CC16" s="463">
        <v>980760.89</v>
      </c>
      <c r="CD16" s="463">
        <v>1105060.8799999999</v>
      </c>
      <c r="CE16" s="463">
        <v>1265348.25</v>
      </c>
      <c r="CF16" s="463">
        <v>1413596.62</v>
      </c>
      <c r="CG16" s="463">
        <v>1413597</v>
      </c>
      <c r="CH16" s="465">
        <v>113794.05</v>
      </c>
      <c r="CI16" s="465">
        <v>233736</v>
      </c>
      <c r="CJ16" s="465">
        <v>423732.56</v>
      </c>
      <c r="CK16" s="382">
        <v>534781.1</v>
      </c>
      <c r="CL16" s="382">
        <v>653981.5</v>
      </c>
      <c r="CM16" s="382">
        <v>749200.7</v>
      </c>
      <c r="CN16" s="514">
        <v>910701.3</v>
      </c>
      <c r="CO16" s="514">
        <v>1048207.38</v>
      </c>
      <c r="CP16" s="514">
        <v>1187146.2</v>
      </c>
    </row>
    <row r="17" spans="1:97" ht="12">
      <c r="A17" s="80" t="s">
        <v>77</v>
      </c>
      <c r="B17" s="416">
        <v>1724000</v>
      </c>
      <c r="C17" s="423"/>
      <c r="D17" s="424">
        <v>0</v>
      </c>
      <c r="E17" s="425"/>
      <c r="F17" s="420"/>
      <c r="G17" s="421"/>
      <c r="H17" s="421">
        <v>25000</v>
      </c>
      <c r="I17" s="421">
        <v>25000</v>
      </c>
      <c r="J17" s="421">
        <v>254175</v>
      </c>
      <c r="K17" s="421">
        <v>554175</v>
      </c>
      <c r="L17" s="375">
        <v>695935</v>
      </c>
      <c r="M17" s="375">
        <v>695935</v>
      </c>
      <c r="N17" s="375">
        <v>845575</v>
      </c>
      <c r="O17" s="375">
        <v>845575</v>
      </c>
      <c r="P17" s="375">
        <v>845575</v>
      </c>
      <c r="Q17" s="397">
        <v>876987.5</v>
      </c>
      <c r="R17" s="397">
        <v>876987.5</v>
      </c>
      <c r="S17" s="375">
        <v>876987.5</v>
      </c>
      <c r="T17" s="421"/>
      <c r="U17" s="375">
        <v>138000</v>
      </c>
      <c r="V17" s="375">
        <v>828175</v>
      </c>
      <c r="W17" s="375">
        <v>828175</v>
      </c>
      <c r="X17" s="375">
        <v>828175</v>
      </c>
      <c r="Y17" s="375">
        <v>828175</v>
      </c>
      <c r="Z17" s="375">
        <v>828175</v>
      </c>
      <c r="AA17" s="375">
        <v>828175</v>
      </c>
      <c r="AB17" s="375">
        <v>862105</v>
      </c>
      <c r="AC17" s="375">
        <v>862105</v>
      </c>
      <c r="AD17" s="375">
        <v>862105</v>
      </c>
      <c r="AE17" s="375">
        <v>862105</v>
      </c>
      <c r="AF17" s="378">
        <v>862105</v>
      </c>
      <c r="AG17" s="379"/>
      <c r="AH17" s="380">
        <v>599750</v>
      </c>
      <c r="AI17" s="380">
        <v>599750</v>
      </c>
      <c r="AJ17" s="380">
        <v>599750</v>
      </c>
      <c r="AK17" s="380">
        <v>599750</v>
      </c>
      <c r="AL17" s="380">
        <v>599750</v>
      </c>
      <c r="AM17" s="380">
        <v>599750</v>
      </c>
      <c r="AN17" s="380">
        <v>599750</v>
      </c>
      <c r="AO17" s="380">
        <v>599750</v>
      </c>
      <c r="AP17" s="380">
        <v>599750</v>
      </c>
      <c r="AQ17" s="380">
        <v>599750</v>
      </c>
      <c r="AR17" s="380">
        <v>599750</v>
      </c>
      <c r="AS17" s="381">
        <v>599750</v>
      </c>
      <c r="AT17" s="446">
        <v>0</v>
      </c>
      <c r="AU17" s="375">
        <v>307350</v>
      </c>
      <c r="AV17" s="375">
        <v>307350</v>
      </c>
      <c r="AW17" s="375">
        <v>543350</v>
      </c>
      <c r="AX17" s="375">
        <v>543350</v>
      </c>
      <c r="AY17" s="375">
        <v>543350</v>
      </c>
      <c r="AZ17" s="375">
        <v>543350</v>
      </c>
      <c r="BA17" s="380">
        <v>543350</v>
      </c>
      <c r="BB17" s="380">
        <v>543350</v>
      </c>
      <c r="BC17" s="380">
        <v>543350</v>
      </c>
      <c r="BD17" s="422">
        <v>543350</v>
      </c>
      <c r="BE17" s="422">
        <v>543350</v>
      </c>
      <c r="BF17" s="422">
        <v>543350</v>
      </c>
      <c r="BG17" s="400">
        <v>0</v>
      </c>
      <c r="BH17" s="422">
        <v>307350</v>
      </c>
      <c r="BI17" s="422">
        <v>307350</v>
      </c>
      <c r="BJ17" s="422">
        <v>807350</v>
      </c>
      <c r="BK17" s="422">
        <v>807350</v>
      </c>
      <c r="BL17" s="422">
        <v>807350</v>
      </c>
      <c r="BM17" s="422">
        <v>807350</v>
      </c>
      <c r="BN17" s="422">
        <v>807350</v>
      </c>
      <c r="BO17" s="422">
        <v>807350</v>
      </c>
      <c r="BP17" s="422">
        <v>807350</v>
      </c>
      <c r="BQ17" s="422">
        <v>807350</v>
      </c>
      <c r="BR17" s="422">
        <v>813350</v>
      </c>
      <c r="BS17" s="422">
        <v>813350</v>
      </c>
      <c r="BT17" s="422"/>
      <c r="BU17" s="463">
        <v>535000</v>
      </c>
      <c r="BV17" s="463">
        <v>535000</v>
      </c>
      <c r="BW17" s="463">
        <v>815000</v>
      </c>
      <c r="BX17" s="463">
        <v>815000</v>
      </c>
      <c r="BY17" s="463">
        <v>854850</v>
      </c>
      <c r="BZ17" s="463">
        <v>854850</v>
      </c>
      <c r="CA17" s="463">
        <v>854850</v>
      </c>
      <c r="CB17" s="463">
        <v>854850</v>
      </c>
      <c r="CC17" s="463">
        <v>854850</v>
      </c>
      <c r="CD17" s="463">
        <v>854850</v>
      </c>
      <c r="CE17" s="463">
        <v>854850</v>
      </c>
      <c r="CF17" s="463">
        <v>854850</v>
      </c>
      <c r="CG17" s="463"/>
      <c r="CH17" s="465">
        <v>231850</v>
      </c>
      <c r="CI17" s="465">
        <v>231850</v>
      </c>
      <c r="CJ17" s="465">
        <v>556850</v>
      </c>
      <c r="CK17" s="382">
        <v>556850</v>
      </c>
      <c r="CL17" s="382">
        <v>556850</v>
      </c>
      <c r="CM17" s="382">
        <v>556850</v>
      </c>
      <c r="CN17" s="514">
        <v>556850</v>
      </c>
      <c r="CO17" s="514">
        <v>556850</v>
      </c>
      <c r="CP17" s="514">
        <v>556850</v>
      </c>
    </row>
    <row r="18" spans="1:97" ht="12">
      <c r="A18" s="80" t="s">
        <v>78</v>
      </c>
      <c r="B18" s="416">
        <v>0</v>
      </c>
      <c r="C18" s="445"/>
      <c r="D18" s="443">
        <v>0</v>
      </c>
      <c r="E18" s="444"/>
      <c r="F18" s="420"/>
      <c r="G18" s="421"/>
      <c r="H18" s="421">
        <v>77750</v>
      </c>
      <c r="I18" s="421">
        <v>5592462</v>
      </c>
      <c r="J18" s="421">
        <v>8769044</v>
      </c>
      <c r="K18" s="421">
        <v>11718333</v>
      </c>
      <c r="L18" s="375">
        <v>14728188</v>
      </c>
      <c r="M18" s="375">
        <v>17815415.600000001</v>
      </c>
      <c r="N18" s="375">
        <v>20839745.600000001</v>
      </c>
      <c r="O18" s="375">
        <v>23543701.600000001</v>
      </c>
      <c r="P18" s="375">
        <v>26473531.100000001</v>
      </c>
      <c r="Q18" s="397">
        <v>29248390.199999999</v>
      </c>
      <c r="R18" s="397">
        <v>32098791.199999999</v>
      </c>
      <c r="S18" s="375">
        <v>35036878.200000003</v>
      </c>
      <c r="T18" s="421"/>
      <c r="U18" s="375">
        <v>408675.6</v>
      </c>
      <c r="V18" s="375">
        <v>6372245.7999999998</v>
      </c>
      <c r="W18" s="375">
        <v>9276897.8000000007</v>
      </c>
      <c r="X18" s="375">
        <v>10476579.1</v>
      </c>
      <c r="Y18" s="375">
        <v>13249158.1</v>
      </c>
      <c r="Z18" s="375">
        <v>16157903.1</v>
      </c>
      <c r="AA18" s="375">
        <v>18855200.100000001</v>
      </c>
      <c r="AB18" s="375">
        <v>20728671.100000001</v>
      </c>
      <c r="AC18" s="375">
        <v>2985148.1</v>
      </c>
      <c r="AD18" s="375">
        <v>455202</v>
      </c>
      <c r="AE18" s="375">
        <v>3353720</v>
      </c>
      <c r="AF18" s="378">
        <v>474616.9</v>
      </c>
      <c r="AG18" s="379"/>
      <c r="AH18" s="380">
        <v>435140</v>
      </c>
      <c r="AI18" s="380">
        <v>1338105</v>
      </c>
      <c r="AJ18" s="380">
        <v>2209570</v>
      </c>
      <c r="AK18" s="380">
        <v>3353070</v>
      </c>
      <c r="AL18" s="380">
        <v>270694</v>
      </c>
      <c r="AM18" s="380">
        <v>585496.6</v>
      </c>
      <c r="AN18" s="380">
        <v>477826.6</v>
      </c>
      <c r="AO18" s="380">
        <v>628140.6</v>
      </c>
      <c r="AP18" s="380">
        <v>887749.8</v>
      </c>
      <c r="AQ18" s="380">
        <v>1010449.8</v>
      </c>
      <c r="AR18" s="380">
        <v>1207669.8</v>
      </c>
      <c r="AS18" s="381">
        <v>687779</v>
      </c>
      <c r="AT18" s="446">
        <v>0</v>
      </c>
      <c r="AU18" s="375">
        <v>179425</v>
      </c>
      <c r="AV18" s="375">
        <v>47060</v>
      </c>
      <c r="AW18" s="375">
        <v>9051445</v>
      </c>
      <c r="AX18" s="375">
        <v>897394</v>
      </c>
      <c r="AY18" s="375">
        <v>1143709</v>
      </c>
      <c r="AZ18" s="375">
        <v>1546630.4</v>
      </c>
      <c r="BA18" s="380">
        <v>1225459.3999999999</v>
      </c>
      <c r="BB18" s="380">
        <v>4748624.4000000004</v>
      </c>
      <c r="BC18" s="380">
        <v>1809557.1</v>
      </c>
      <c r="BD18" s="422">
        <v>2134752.1</v>
      </c>
      <c r="BE18" s="422">
        <v>1435613.8</v>
      </c>
      <c r="BF18" s="422">
        <v>1570025.8</v>
      </c>
      <c r="BG18" s="400">
        <v>0</v>
      </c>
      <c r="BH18" s="422">
        <v>50009.7</v>
      </c>
      <c r="BI18" s="422">
        <v>210386.7</v>
      </c>
      <c r="BJ18" s="422">
        <v>259251.7</v>
      </c>
      <c r="BK18" s="422">
        <v>30346329.899999999</v>
      </c>
      <c r="BL18" s="422">
        <v>406424.9</v>
      </c>
      <c r="BM18" s="422">
        <v>581875.4</v>
      </c>
      <c r="BN18" s="422">
        <v>616071.4</v>
      </c>
      <c r="BO18" s="422">
        <v>644805.4</v>
      </c>
      <c r="BP18" s="422">
        <v>4901161.4000000004</v>
      </c>
      <c r="BQ18" s="422">
        <v>916921.4</v>
      </c>
      <c r="BR18" s="422">
        <v>990279.4</v>
      </c>
      <c r="BS18" s="422">
        <v>1097121</v>
      </c>
      <c r="BT18" s="422"/>
      <c r="BU18" s="463">
        <v>37800</v>
      </c>
      <c r="BV18" s="463">
        <v>70255</v>
      </c>
      <c r="BW18" s="463">
        <v>157926</v>
      </c>
      <c r="BX18" s="463">
        <v>268795.2</v>
      </c>
      <c r="BY18" s="463">
        <v>5387253.2000000002</v>
      </c>
      <c r="BZ18" s="463">
        <v>408359.2</v>
      </c>
      <c r="CA18" s="463">
        <v>445334</v>
      </c>
      <c r="CB18" s="463">
        <v>576726.80000000005</v>
      </c>
      <c r="CC18" s="463">
        <v>681517.6</v>
      </c>
      <c r="CD18" s="463">
        <v>730379.6</v>
      </c>
      <c r="CE18" s="463">
        <v>760704.6</v>
      </c>
      <c r="CF18" s="463">
        <v>867757.6</v>
      </c>
      <c r="CG18" s="464">
        <v>3028096</v>
      </c>
      <c r="CH18" s="465">
        <v>54188.800000000003</v>
      </c>
      <c r="CI18" s="465">
        <v>186132.8</v>
      </c>
      <c r="CJ18" s="465">
        <v>498975.8</v>
      </c>
      <c r="CK18" s="382">
        <v>514004.4</v>
      </c>
      <c r="CL18" s="382">
        <v>592420</v>
      </c>
      <c r="CM18" s="382">
        <v>769236</v>
      </c>
      <c r="CN18" s="514">
        <v>857665</v>
      </c>
      <c r="CO18" s="514">
        <v>1253765.8999999999</v>
      </c>
      <c r="CP18" s="514">
        <v>1030828.9</v>
      </c>
    </row>
    <row r="19" spans="1:97" s="374" customFormat="1">
      <c r="A19" s="79" t="s">
        <v>79</v>
      </c>
      <c r="B19" s="415">
        <v>9920000</v>
      </c>
      <c r="C19" s="415">
        <f t="shared" ref="C19:O19" si="19">C3-C12</f>
        <v>135440000</v>
      </c>
      <c r="D19" s="415">
        <f t="shared" si="19"/>
        <v>189704000</v>
      </c>
      <c r="E19" s="413">
        <f t="shared" si="19"/>
        <v>232794330</v>
      </c>
      <c r="F19" s="413">
        <f t="shared" si="19"/>
        <v>248336224.08999997</v>
      </c>
      <c r="G19" s="413">
        <f t="shared" si="19"/>
        <v>314076449</v>
      </c>
      <c r="H19" s="413">
        <f t="shared" si="19"/>
        <v>56441610.759999998</v>
      </c>
      <c r="I19" s="413">
        <f t="shared" si="19"/>
        <v>25812585.24000001</v>
      </c>
      <c r="J19" s="413">
        <f t="shared" si="19"/>
        <v>46192975.129999995</v>
      </c>
      <c r="K19" s="413">
        <f t="shared" si="19"/>
        <v>68012882.139999956</v>
      </c>
      <c r="L19" s="413">
        <f t="shared" si="19"/>
        <v>92665378.729999989</v>
      </c>
      <c r="M19" s="413">
        <f t="shared" si="19"/>
        <v>122179119.09000003</v>
      </c>
      <c r="N19" s="413">
        <f t="shared" si="19"/>
        <v>148718584.31999999</v>
      </c>
      <c r="O19" s="413">
        <f t="shared" si="19"/>
        <v>187609733.21999997</v>
      </c>
      <c r="P19" s="413">
        <f>P3-P12</f>
        <v>228992031.23999995</v>
      </c>
      <c r="Q19" s="413">
        <f>Q3-Q12</f>
        <v>260669128.46000004</v>
      </c>
      <c r="R19" s="413">
        <f>R3-R12</f>
        <v>280151404.34000009</v>
      </c>
      <c r="S19" s="413">
        <f>S3-S12</f>
        <v>332051516.02999985</v>
      </c>
      <c r="T19" s="413">
        <f>T3-T12</f>
        <v>456875255</v>
      </c>
      <c r="U19" s="413">
        <f t="shared" ref="U19:AT19" si="20">U3-U12</f>
        <v>142495786.81999999</v>
      </c>
      <c r="V19" s="413">
        <f t="shared" si="20"/>
        <v>34088327.440000027</v>
      </c>
      <c r="W19" s="413">
        <f t="shared" si="20"/>
        <v>61291394.479999989</v>
      </c>
      <c r="X19" s="413">
        <f t="shared" si="20"/>
        <v>92968435.889999986</v>
      </c>
      <c r="Y19" s="413">
        <f t="shared" si="20"/>
        <v>143811092.53000003</v>
      </c>
      <c r="Z19" s="413">
        <f t="shared" si="20"/>
        <v>186926308.72999996</v>
      </c>
      <c r="AA19" s="413">
        <f t="shared" si="20"/>
        <v>220884234.88999987</v>
      </c>
      <c r="AB19" s="413">
        <f t="shared" si="20"/>
        <v>272658527.74999994</v>
      </c>
      <c r="AC19" s="413">
        <f t="shared" si="20"/>
        <v>321429358.24999994</v>
      </c>
      <c r="AD19" s="413">
        <f t="shared" si="20"/>
        <v>363361250.4000001</v>
      </c>
      <c r="AE19" s="413">
        <f t="shared" si="20"/>
        <v>410114472.52000004</v>
      </c>
      <c r="AF19" s="413">
        <f t="shared" si="20"/>
        <v>454901156.25000012</v>
      </c>
      <c r="AG19" s="413">
        <f t="shared" si="20"/>
        <v>486098739</v>
      </c>
      <c r="AH19" s="413">
        <f t="shared" si="20"/>
        <v>38683733.040000007</v>
      </c>
      <c r="AI19" s="413">
        <f t="shared" si="20"/>
        <v>70846339.00999999</v>
      </c>
      <c r="AJ19" s="413">
        <f t="shared" si="20"/>
        <v>104811073.34999999</v>
      </c>
      <c r="AK19" s="413">
        <f t="shared" si="20"/>
        <v>145512876.15000004</v>
      </c>
      <c r="AL19" s="413">
        <f t="shared" si="20"/>
        <v>184854990.97000003</v>
      </c>
      <c r="AM19" s="413">
        <f t="shared" si="20"/>
        <v>240844358.83999991</v>
      </c>
      <c r="AN19" s="413">
        <f t="shared" si="20"/>
        <v>283541275.41999996</v>
      </c>
      <c r="AO19" s="413">
        <f t="shared" si="20"/>
        <v>343869244.86999995</v>
      </c>
      <c r="AP19" s="413">
        <f t="shared" si="20"/>
        <v>388785006.59000003</v>
      </c>
      <c r="AQ19" s="413">
        <f t="shared" si="20"/>
        <v>429966050.75</v>
      </c>
      <c r="AR19" s="413">
        <f t="shared" si="20"/>
        <v>484644184.89999998</v>
      </c>
      <c r="AS19" s="413">
        <f t="shared" si="20"/>
        <v>534667168.3599999</v>
      </c>
      <c r="AT19" s="413">
        <f t="shared" si="20"/>
        <v>583461403</v>
      </c>
      <c r="AU19" s="413">
        <f t="shared" ref="AU19:AZ19" si="21">AU3-AU12</f>
        <v>44282512.61999999</v>
      </c>
      <c r="AV19" s="413">
        <f t="shared" si="21"/>
        <v>93645473.329999998</v>
      </c>
      <c r="AW19" s="413">
        <f t="shared" si="21"/>
        <v>124627118.55000001</v>
      </c>
      <c r="AX19" s="413">
        <f t="shared" si="21"/>
        <v>186970205.16000003</v>
      </c>
      <c r="AY19" s="413">
        <f t="shared" si="21"/>
        <v>224014386.78000003</v>
      </c>
      <c r="AZ19" s="413">
        <f t="shared" si="21"/>
        <v>261252795.05000007</v>
      </c>
      <c r="BA19" s="413">
        <f t="shared" ref="BA19:CG19" si="22">BA3-BA12</f>
        <v>305203782.78000003</v>
      </c>
      <c r="BB19" s="413">
        <f t="shared" si="22"/>
        <v>356078853.48000002</v>
      </c>
      <c r="BC19" s="413">
        <f t="shared" si="22"/>
        <v>410242921.33999997</v>
      </c>
      <c r="BD19" s="413">
        <f t="shared" si="22"/>
        <v>462777708.21999997</v>
      </c>
      <c r="BE19" s="413">
        <f t="shared" si="22"/>
        <v>510737795.29000008</v>
      </c>
      <c r="BF19" s="426">
        <f t="shared" si="22"/>
        <v>567719504.33999991</v>
      </c>
      <c r="BG19" s="414">
        <f t="shared" si="22"/>
        <v>534657350</v>
      </c>
      <c r="BH19" s="414">
        <f t="shared" si="22"/>
        <v>43946415.990000002</v>
      </c>
      <c r="BI19" s="414">
        <f t="shared" si="22"/>
        <v>72258692.620000005</v>
      </c>
      <c r="BJ19" s="414">
        <f t="shared" si="22"/>
        <v>113821324.96000004</v>
      </c>
      <c r="BK19" s="414">
        <f t="shared" si="22"/>
        <v>154330212.63999999</v>
      </c>
      <c r="BL19" s="414">
        <f t="shared" si="22"/>
        <v>226927392.75</v>
      </c>
      <c r="BM19" s="414">
        <f t="shared" si="22"/>
        <v>270650243.12999994</v>
      </c>
      <c r="BN19" s="414">
        <f t="shared" si="22"/>
        <v>328499047.82000005</v>
      </c>
      <c r="BO19" s="414">
        <f t="shared" si="22"/>
        <v>363860509.73000008</v>
      </c>
      <c r="BP19" s="414">
        <f t="shared" si="22"/>
        <v>411878981.61000013</v>
      </c>
      <c r="BQ19" s="414">
        <f t="shared" si="22"/>
        <v>464122373.71000016</v>
      </c>
      <c r="BR19" s="414">
        <f t="shared" si="22"/>
        <v>508631826.41000009</v>
      </c>
      <c r="BS19" s="414">
        <f t="shared" si="22"/>
        <v>583415852.89999998</v>
      </c>
      <c r="BT19" s="414">
        <f t="shared" si="22"/>
        <v>540784519</v>
      </c>
      <c r="BU19" s="414">
        <f t="shared" si="22"/>
        <v>24765688.560000002</v>
      </c>
      <c r="BV19" s="414">
        <f t="shared" si="22"/>
        <v>68339593.860000014</v>
      </c>
      <c r="BW19" s="414">
        <f t="shared" si="22"/>
        <v>108956881.11999997</v>
      </c>
      <c r="BX19" s="414">
        <f t="shared" si="22"/>
        <v>136033165.90999997</v>
      </c>
      <c r="BY19" s="414">
        <f t="shared" si="22"/>
        <v>174930534.01999998</v>
      </c>
      <c r="BZ19" s="414">
        <f t="shared" si="22"/>
        <v>236756840.01999998</v>
      </c>
      <c r="CA19" s="414">
        <f t="shared" si="22"/>
        <v>274451891.90999997</v>
      </c>
      <c r="CB19" s="414">
        <f t="shared" si="22"/>
        <v>328199098.47000003</v>
      </c>
      <c r="CC19" s="414">
        <f t="shared" si="22"/>
        <v>388639995.11000001</v>
      </c>
      <c r="CD19" s="414">
        <f t="shared" si="22"/>
        <v>437614930.13999999</v>
      </c>
      <c r="CE19" s="414">
        <f t="shared" si="22"/>
        <v>471828161.18999982</v>
      </c>
      <c r="CF19" s="414">
        <f t="shared" si="22"/>
        <v>625555269.76000011</v>
      </c>
      <c r="CG19" s="414">
        <f t="shared" si="22"/>
        <v>622562625</v>
      </c>
      <c r="CH19" s="414">
        <f t="shared" ref="CH19:CS19" si="23">CH3-CH12</f>
        <v>42049654.860000014</v>
      </c>
      <c r="CI19" s="414">
        <f t="shared" si="23"/>
        <v>67580147.130000025</v>
      </c>
      <c r="CJ19" s="414">
        <f t="shared" si="23"/>
        <v>122561400.06999999</v>
      </c>
      <c r="CK19" s="414">
        <f t="shared" si="23"/>
        <v>170654884.25999999</v>
      </c>
      <c r="CL19" s="414">
        <f t="shared" si="23"/>
        <v>213630935.5800001</v>
      </c>
      <c r="CM19" s="414">
        <f t="shared" si="23"/>
        <v>286775581.49000001</v>
      </c>
      <c r="CN19" s="414">
        <f t="shared" si="23"/>
        <v>330362845.33000004</v>
      </c>
      <c r="CO19" s="414">
        <f t="shared" si="23"/>
        <v>376068095.67000008</v>
      </c>
      <c r="CP19" s="414">
        <f t="shared" si="23"/>
        <v>450598746.18000007</v>
      </c>
      <c r="CQ19" s="414">
        <f t="shared" si="23"/>
        <v>0</v>
      </c>
      <c r="CR19" s="414">
        <f t="shared" si="23"/>
        <v>0</v>
      </c>
      <c r="CS19" s="414">
        <f t="shared" si="23"/>
        <v>0</v>
      </c>
    </row>
    <row r="20" spans="1:97" s="374" customFormat="1">
      <c r="A20" s="79" t="s">
        <v>25</v>
      </c>
      <c r="B20" s="415">
        <v>0</v>
      </c>
      <c r="C20" s="415">
        <f t="shared" ref="C20:O20" si="24">C21-C22</f>
        <v>6196000</v>
      </c>
      <c r="D20" s="413">
        <f t="shared" si="24"/>
        <v>17687000</v>
      </c>
      <c r="E20" s="413">
        <f t="shared" si="24"/>
        <v>0</v>
      </c>
      <c r="F20" s="413">
        <f t="shared" si="24"/>
        <v>0</v>
      </c>
      <c r="G20" s="413">
        <f t="shared" si="24"/>
        <v>0</v>
      </c>
      <c r="H20" s="413">
        <f t="shared" si="24"/>
        <v>0</v>
      </c>
      <c r="I20" s="413">
        <f t="shared" si="24"/>
        <v>8000000</v>
      </c>
      <c r="J20" s="413">
        <f t="shared" si="24"/>
        <v>12000000</v>
      </c>
      <c r="K20" s="413">
        <f t="shared" si="24"/>
        <v>16000000</v>
      </c>
      <c r="L20" s="413">
        <f t="shared" si="24"/>
        <v>20000000</v>
      </c>
      <c r="M20" s="413">
        <f t="shared" si="24"/>
        <v>24000000</v>
      </c>
      <c r="N20" s="413">
        <f t="shared" si="24"/>
        <v>28000000</v>
      </c>
      <c r="O20" s="413">
        <f t="shared" si="24"/>
        <v>32000000</v>
      </c>
      <c r="P20" s="413">
        <f>P21-P22</f>
        <v>36000000</v>
      </c>
      <c r="Q20" s="413">
        <f>Q21-Q22</f>
        <v>40000000</v>
      </c>
      <c r="R20" s="413">
        <f>R21-R22</f>
        <v>44000000</v>
      </c>
      <c r="S20" s="413">
        <f>S21-S22</f>
        <v>48000000</v>
      </c>
      <c r="T20" s="413">
        <f>T21-T22</f>
        <v>48000000</v>
      </c>
      <c r="U20" s="413">
        <f t="shared" ref="U20:AT20" si="25">U21-U22</f>
        <v>0</v>
      </c>
      <c r="V20" s="413">
        <f t="shared" si="25"/>
        <v>10000000</v>
      </c>
      <c r="W20" s="413">
        <f t="shared" si="25"/>
        <v>15000000</v>
      </c>
      <c r="X20" s="413">
        <f t="shared" si="25"/>
        <v>20000000</v>
      </c>
      <c r="Y20" s="413">
        <f t="shared" si="25"/>
        <v>25000000</v>
      </c>
      <c r="Z20" s="413">
        <f t="shared" si="25"/>
        <v>30000000</v>
      </c>
      <c r="AA20" s="413">
        <f t="shared" si="25"/>
        <v>35000000</v>
      </c>
      <c r="AB20" s="413">
        <f t="shared" si="25"/>
        <v>40000000</v>
      </c>
      <c r="AC20" s="413">
        <f t="shared" si="25"/>
        <v>45000000</v>
      </c>
      <c r="AD20" s="413">
        <f t="shared" si="25"/>
        <v>50000000</v>
      </c>
      <c r="AE20" s="413">
        <f t="shared" si="25"/>
        <v>55000000</v>
      </c>
      <c r="AF20" s="413">
        <f t="shared" si="25"/>
        <v>60000000</v>
      </c>
      <c r="AG20" s="413">
        <f t="shared" si="25"/>
        <v>60000000</v>
      </c>
      <c r="AH20" s="413">
        <f t="shared" si="25"/>
        <v>9000000</v>
      </c>
      <c r="AI20" s="413">
        <f t="shared" si="25"/>
        <v>18000000</v>
      </c>
      <c r="AJ20" s="413">
        <f t="shared" si="25"/>
        <v>27000000</v>
      </c>
      <c r="AK20" s="413">
        <f t="shared" si="25"/>
        <v>36000000</v>
      </c>
      <c r="AL20" s="413">
        <f t="shared" si="25"/>
        <v>45000000</v>
      </c>
      <c r="AM20" s="413">
        <f t="shared" si="25"/>
        <v>54000000</v>
      </c>
      <c r="AN20" s="413">
        <f t="shared" si="25"/>
        <v>63000000</v>
      </c>
      <c r="AO20" s="413">
        <f t="shared" si="25"/>
        <v>72000000</v>
      </c>
      <c r="AP20" s="413">
        <f t="shared" si="25"/>
        <v>81000000</v>
      </c>
      <c r="AQ20" s="413">
        <f t="shared" si="25"/>
        <v>90000000</v>
      </c>
      <c r="AR20" s="413">
        <f t="shared" si="25"/>
        <v>99000000</v>
      </c>
      <c r="AS20" s="413">
        <f t="shared" si="25"/>
        <v>108000000</v>
      </c>
      <c r="AT20" s="413">
        <f t="shared" si="25"/>
        <v>112284035</v>
      </c>
      <c r="AU20" s="413">
        <f t="shared" ref="AU20:AZ20" si="26">AU21-AU22</f>
        <v>9000000</v>
      </c>
      <c r="AV20" s="413">
        <f t="shared" si="26"/>
        <v>18000000</v>
      </c>
      <c r="AW20" s="413">
        <f t="shared" si="26"/>
        <v>29394330</v>
      </c>
      <c r="AX20" s="413">
        <f t="shared" si="26"/>
        <v>39192440</v>
      </c>
      <c r="AY20" s="413">
        <f t="shared" si="26"/>
        <v>48990550</v>
      </c>
      <c r="AZ20" s="413">
        <f t="shared" si="26"/>
        <v>58788660</v>
      </c>
      <c r="BA20" s="413">
        <f t="shared" ref="BA20:CF20" si="27">BA21-BA22</f>
        <v>68586770</v>
      </c>
      <c r="BB20" s="413">
        <f t="shared" si="27"/>
        <v>78384880</v>
      </c>
      <c r="BC20" s="413">
        <f t="shared" si="27"/>
        <v>88182990</v>
      </c>
      <c r="BD20" s="413">
        <f t="shared" si="27"/>
        <v>97981100</v>
      </c>
      <c r="BE20" s="413">
        <f t="shared" si="27"/>
        <v>107779210</v>
      </c>
      <c r="BF20" s="426">
        <f t="shared" si="27"/>
        <v>117577320</v>
      </c>
      <c r="BG20" s="414">
        <f t="shared" si="27"/>
        <v>72077320</v>
      </c>
      <c r="BH20" s="414">
        <f t="shared" si="27"/>
        <v>10000000</v>
      </c>
      <c r="BI20" s="414">
        <f t="shared" si="27"/>
        <v>13400000</v>
      </c>
      <c r="BJ20" s="414">
        <f t="shared" si="27"/>
        <v>20100000</v>
      </c>
      <c r="BK20" s="414">
        <f t="shared" si="27"/>
        <v>26800000</v>
      </c>
      <c r="BL20" s="414">
        <f t="shared" si="27"/>
        <v>33500000</v>
      </c>
      <c r="BM20" s="414">
        <f t="shared" si="27"/>
        <v>40200000</v>
      </c>
      <c r="BN20" s="414">
        <f t="shared" si="27"/>
        <v>46900000</v>
      </c>
      <c r="BO20" s="414">
        <f t="shared" si="27"/>
        <v>53600000</v>
      </c>
      <c r="BP20" s="414">
        <f t="shared" si="27"/>
        <v>60300000</v>
      </c>
      <c r="BQ20" s="414">
        <f t="shared" si="27"/>
        <v>67000000</v>
      </c>
      <c r="BR20" s="414">
        <f t="shared" si="27"/>
        <v>73700000</v>
      </c>
      <c r="BS20" s="414">
        <f t="shared" si="27"/>
        <v>80400000</v>
      </c>
      <c r="BT20" s="414">
        <f t="shared" si="27"/>
        <v>30400000</v>
      </c>
      <c r="BU20" s="414">
        <f t="shared" si="27"/>
        <v>7504000</v>
      </c>
      <c r="BV20" s="414">
        <f t="shared" si="27"/>
        <v>15008000</v>
      </c>
      <c r="BW20" s="414">
        <f t="shared" si="27"/>
        <v>22512000</v>
      </c>
      <c r="BX20" s="414">
        <f t="shared" si="27"/>
        <v>30016000</v>
      </c>
      <c r="BY20" s="414">
        <f t="shared" si="27"/>
        <v>37520000</v>
      </c>
      <c r="BZ20" s="414">
        <f t="shared" si="27"/>
        <v>45024000</v>
      </c>
      <c r="CA20" s="414">
        <f t="shared" si="27"/>
        <v>52528000</v>
      </c>
      <c r="CB20" s="414">
        <f t="shared" si="27"/>
        <v>60032000</v>
      </c>
      <c r="CC20" s="414">
        <f t="shared" si="27"/>
        <v>67536000</v>
      </c>
      <c r="CD20" s="414">
        <f t="shared" si="27"/>
        <v>67536000</v>
      </c>
      <c r="CE20" s="414">
        <f t="shared" si="27"/>
        <v>67536000</v>
      </c>
      <c r="CF20" s="414">
        <f t="shared" si="27"/>
        <v>67536000</v>
      </c>
      <c r="CG20" s="414">
        <f>CG21-CG22</f>
        <v>37536000</v>
      </c>
      <c r="CH20" s="414">
        <f t="shared" ref="CH20:CS20" si="28">CH21-CH22</f>
        <v>4000000</v>
      </c>
      <c r="CI20" s="414">
        <f t="shared" si="28"/>
        <v>6000000</v>
      </c>
      <c r="CJ20" s="414">
        <f t="shared" si="28"/>
        <v>9000000</v>
      </c>
      <c r="CK20" s="414">
        <f t="shared" si="28"/>
        <v>12000000</v>
      </c>
      <c r="CL20" s="414">
        <f t="shared" si="28"/>
        <v>15000000</v>
      </c>
      <c r="CM20" s="414">
        <f t="shared" si="28"/>
        <v>18000000</v>
      </c>
      <c r="CN20" s="414">
        <f t="shared" si="28"/>
        <v>21000000</v>
      </c>
      <c r="CO20" s="414">
        <f t="shared" si="28"/>
        <v>24000000</v>
      </c>
      <c r="CP20" s="414">
        <f t="shared" si="28"/>
        <v>27000000</v>
      </c>
      <c r="CQ20" s="414">
        <f t="shared" si="28"/>
        <v>0</v>
      </c>
      <c r="CR20" s="414">
        <f t="shared" si="28"/>
        <v>0</v>
      </c>
      <c r="CS20" s="414">
        <f t="shared" si="28"/>
        <v>0</v>
      </c>
    </row>
    <row r="21" spans="1:97" ht="12">
      <c r="A21" s="80" t="s">
        <v>80</v>
      </c>
      <c r="B21" s="416">
        <v>0</v>
      </c>
      <c r="C21" s="445">
        <v>6196000</v>
      </c>
      <c r="D21" s="443">
        <v>17687000</v>
      </c>
      <c r="E21" s="444"/>
      <c r="F21" s="420"/>
      <c r="G21" s="421"/>
      <c r="H21" s="421">
        <v>0</v>
      </c>
      <c r="I21" s="421">
        <v>8000000</v>
      </c>
      <c r="J21" s="421">
        <v>12000000</v>
      </c>
      <c r="K21" s="421">
        <v>16000000</v>
      </c>
      <c r="L21" s="378">
        <v>20000000</v>
      </c>
      <c r="M21" s="379">
        <v>24000000</v>
      </c>
      <c r="N21" s="379">
        <v>28000000</v>
      </c>
      <c r="O21" s="379">
        <v>32000000</v>
      </c>
      <c r="P21" s="379">
        <v>36000000</v>
      </c>
      <c r="Q21" s="398">
        <v>40000000</v>
      </c>
      <c r="R21" s="398">
        <v>44000000</v>
      </c>
      <c r="S21" s="379">
        <v>48000000</v>
      </c>
      <c r="T21" s="379">
        <v>48000000</v>
      </c>
      <c r="U21" s="379">
        <v>0</v>
      </c>
      <c r="V21" s="379">
        <v>10000000</v>
      </c>
      <c r="W21" s="379">
        <v>15000000</v>
      </c>
      <c r="X21" s="379">
        <v>20000000</v>
      </c>
      <c r="Y21" s="379">
        <v>25000000</v>
      </c>
      <c r="Z21" s="379">
        <v>30000000</v>
      </c>
      <c r="AA21" s="379">
        <v>35000000</v>
      </c>
      <c r="AB21" s="379">
        <v>40000000</v>
      </c>
      <c r="AC21" s="379">
        <v>45000000</v>
      </c>
      <c r="AD21" s="379">
        <v>50000000</v>
      </c>
      <c r="AE21" s="379">
        <v>55000000</v>
      </c>
      <c r="AF21" s="399">
        <v>60000000</v>
      </c>
      <c r="AG21" s="379">
        <v>60000000</v>
      </c>
      <c r="AH21" s="380">
        <v>9000000</v>
      </c>
      <c r="AI21" s="380">
        <v>18000000</v>
      </c>
      <c r="AJ21" s="380">
        <v>27000000</v>
      </c>
      <c r="AK21" s="380">
        <v>36000000</v>
      </c>
      <c r="AL21" s="380">
        <v>45000000</v>
      </c>
      <c r="AM21" s="380">
        <v>54000000</v>
      </c>
      <c r="AN21" s="380">
        <v>63000000</v>
      </c>
      <c r="AO21" s="380">
        <v>72000000</v>
      </c>
      <c r="AP21" s="380">
        <v>81000000</v>
      </c>
      <c r="AQ21" s="380">
        <v>90000000</v>
      </c>
      <c r="AR21" s="380">
        <v>99000000</v>
      </c>
      <c r="AS21" s="381">
        <v>108000000</v>
      </c>
      <c r="AT21" s="447">
        <v>112284035</v>
      </c>
      <c r="AU21" s="375">
        <v>9000000</v>
      </c>
      <c r="AV21" s="375">
        <v>18000000</v>
      </c>
      <c r="AW21" s="375">
        <v>29394330</v>
      </c>
      <c r="AX21" s="375">
        <v>39192440</v>
      </c>
      <c r="AY21" s="375">
        <v>48990550</v>
      </c>
      <c r="AZ21" s="375">
        <v>58788660</v>
      </c>
      <c r="BA21" s="380">
        <v>68586770</v>
      </c>
      <c r="BB21" s="380">
        <v>78384880</v>
      </c>
      <c r="BC21" s="380">
        <v>88182990</v>
      </c>
      <c r="BD21" s="422">
        <v>97981100</v>
      </c>
      <c r="BE21" s="422">
        <v>107779210</v>
      </c>
      <c r="BF21" s="422">
        <v>117577320</v>
      </c>
      <c r="BG21" s="383">
        <v>72077320</v>
      </c>
      <c r="BH21" s="422">
        <v>10000000</v>
      </c>
      <c r="BI21" s="422">
        <v>13400000</v>
      </c>
      <c r="BJ21" s="422">
        <v>20100000</v>
      </c>
      <c r="BK21" s="422">
        <v>26800000</v>
      </c>
      <c r="BL21" s="422">
        <v>33500000</v>
      </c>
      <c r="BM21" s="422">
        <v>40200000</v>
      </c>
      <c r="BN21" s="422">
        <v>46900000</v>
      </c>
      <c r="BO21" s="422">
        <v>53600000</v>
      </c>
      <c r="BP21" s="422">
        <v>60300000</v>
      </c>
      <c r="BQ21" s="422">
        <v>67000000</v>
      </c>
      <c r="BR21" s="422">
        <v>73700000</v>
      </c>
      <c r="BS21" s="422">
        <v>80400000</v>
      </c>
      <c r="BT21" s="422">
        <v>30400000</v>
      </c>
      <c r="BU21" s="463">
        <v>7504000</v>
      </c>
      <c r="BV21" s="463">
        <v>15008000</v>
      </c>
      <c r="BW21" s="463">
        <v>22512000</v>
      </c>
      <c r="BX21" s="463">
        <v>30016000</v>
      </c>
      <c r="BY21" s="463">
        <v>37520000</v>
      </c>
      <c r="BZ21" s="463">
        <v>45024000</v>
      </c>
      <c r="CA21" s="463">
        <v>52528000</v>
      </c>
      <c r="CB21" s="463">
        <v>60032000</v>
      </c>
      <c r="CC21" s="463">
        <v>67536000</v>
      </c>
      <c r="CD21" s="463">
        <v>67536000</v>
      </c>
      <c r="CE21" s="463">
        <v>67536000</v>
      </c>
      <c r="CF21" s="463">
        <v>67536000</v>
      </c>
      <c r="CG21" s="464">
        <v>37536000</v>
      </c>
      <c r="CH21" s="465">
        <v>4000000</v>
      </c>
      <c r="CI21" s="465">
        <v>6000000</v>
      </c>
      <c r="CJ21" s="465">
        <v>9000000</v>
      </c>
      <c r="CK21" s="382">
        <v>12000000</v>
      </c>
      <c r="CL21" s="382">
        <v>15000000</v>
      </c>
      <c r="CM21" s="382">
        <v>18000000</v>
      </c>
      <c r="CN21" s="512">
        <v>21000000</v>
      </c>
      <c r="CO21" s="512">
        <v>24000000</v>
      </c>
      <c r="CP21" s="512">
        <v>27000000</v>
      </c>
    </row>
    <row r="22" spans="1:97" ht="12">
      <c r="A22" s="80" t="s">
        <v>81</v>
      </c>
      <c r="B22" s="416">
        <v>79770000</v>
      </c>
      <c r="C22" s="445"/>
      <c r="D22" s="443">
        <v>0</v>
      </c>
      <c r="E22" s="444"/>
      <c r="F22" s="420"/>
      <c r="G22" s="421"/>
      <c r="H22" s="421">
        <v>0</v>
      </c>
      <c r="I22" s="421">
        <v>0</v>
      </c>
      <c r="J22" s="421">
        <v>0</v>
      </c>
      <c r="K22" s="421"/>
      <c r="L22" s="378">
        <v>0</v>
      </c>
      <c r="M22" s="379">
        <v>0</v>
      </c>
      <c r="N22" s="379">
        <v>0</v>
      </c>
      <c r="O22" s="379">
        <v>0</v>
      </c>
      <c r="P22" s="379">
        <v>0</v>
      </c>
      <c r="Q22" s="398">
        <v>0</v>
      </c>
      <c r="R22" s="398">
        <v>0</v>
      </c>
      <c r="S22" s="398">
        <v>0</v>
      </c>
      <c r="T22" s="398">
        <v>0</v>
      </c>
      <c r="U22" s="379">
        <v>0</v>
      </c>
      <c r="V22" s="379">
        <v>0</v>
      </c>
      <c r="W22" s="379">
        <v>0</v>
      </c>
      <c r="X22" s="379">
        <v>0</v>
      </c>
      <c r="Y22" s="379">
        <v>0</v>
      </c>
      <c r="Z22" s="379">
        <v>0</v>
      </c>
      <c r="AA22" s="379">
        <v>0</v>
      </c>
      <c r="AB22" s="379">
        <v>0</v>
      </c>
      <c r="AC22" s="379">
        <v>0</v>
      </c>
      <c r="AD22" s="379">
        <v>0</v>
      </c>
      <c r="AE22" s="379">
        <v>0</v>
      </c>
      <c r="AF22" s="399">
        <v>0</v>
      </c>
      <c r="AG22" s="379">
        <v>0</v>
      </c>
      <c r="AH22" s="380">
        <v>0</v>
      </c>
      <c r="AI22" s="380">
        <v>0</v>
      </c>
      <c r="AJ22" s="380">
        <v>0</v>
      </c>
      <c r="AK22" s="380">
        <v>0</v>
      </c>
      <c r="AL22" s="380">
        <v>0</v>
      </c>
      <c r="AM22" s="380">
        <v>0</v>
      </c>
      <c r="AN22" s="380">
        <v>0</v>
      </c>
      <c r="AO22" s="380">
        <v>0</v>
      </c>
      <c r="AP22" s="380">
        <v>0</v>
      </c>
      <c r="AQ22" s="380">
        <v>0</v>
      </c>
      <c r="AR22" s="380">
        <v>0</v>
      </c>
      <c r="AS22" s="381">
        <v>0</v>
      </c>
      <c r="AT22" s="381">
        <v>0</v>
      </c>
      <c r="AU22" s="375">
        <v>0</v>
      </c>
      <c r="AV22" s="375">
        <v>0</v>
      </c>
      <c r="AW22" s="375">
        <v>0</v>
      </c>
      <c r="AX22" s="375">
        <v>0</v>
      </c>
      <c r="AY22" s="375">
        <v>0</v>
      </c>
      <c r="AZ22" s="375">
        <v>0</v>
      </c>
      <c r="BA22" s="380">
        <v>0</v>
      </c>
      <c r="BB22" s="380">
        <v>0</v>
      </c>
      <c r="BC22" s="380">
        <v>0</v>
      </c>
      <c r="BD22" s="380">
        <v>0</v>
      </c>
      <c r="BE22" s="380">
        <v>0</v>
      </c>
      <c r="BF22" s="381">
        <v>0</v>
      </c>
      <c r="BG22" s="400">
        <v>0</v>
      </c>
      <c r="BH22" s="422">
        <v>0</v>
      </c>
      <c r="BI22" s="422">
        <v>0</v>
      </c>
      <c r="BJ22" s="422">
        <v>0</v>
      </c>
      <c r="BK22" s="422">
        <v>0</v>
      </c>
      <c r="BL22" s="422">
        <v>0</v>
      </c>
      <c r="BM22" s="422">
        <v>0</v>
      </c>
      <c r="BN22" s="422">
        <v>0</v>
      </c>
      <c r="BO22" s="422">
        <v>0</v>
      </c>
      <c r="BP22" s="422">
        <v>0</v>
      </c>
      <c r="BQ22" s="422">
        <v>0</v>
      </c>
      <c r="BR22" s="422">
        <v>0</v>
      </c>
      <c r="BS22" s="422">
        <v>0</v>
      </c>
      <c r="BT22" s="422"/>
      <c r="BU22" s="463">
        <v>0</v>
      </c>
      <c r="BV22" s="463">
        <v>0</v>
      </c>
      <c r="BW22" s="463">
        <v>0</v>
      </c>
      <c r="BX22" s="463">
        <v>0</v>
      </c>
      <c r="BY22" s="463">
        <v>0</v>
      </c>
      <c r="BZ22" s="463">
        <v>0</v>
      </c>
      <c r="CA22" s="463">
        <v>0</v>
      </c>
      <c r="CB22" s="463">
        <v>0</v>
      </c>
      <c r="CC22" s="463">
        <v>0</v>
      </c>
      <c r="CD22" s="463">
        <v>0</v>
      </c>
      <c r="CE22" s="463">
        <v>0</v>
      </c>
      <c r="CF22" s="463">
        <v>0</v>
      </c>
      <c r="CG22" s="463"/>
      <c r="CH22" s="465">
        <v>0</v>
      </c>
      <c r="CI22" s="465">
        <v>0</v>
      </c>
      <c r="CJ22" s="465">
        <v>0</v>
      </c>
      <c r="CK22" s="382">
        <v>0</v>
      </c>
      <c r="CL22" s="382">
        <v>0</v>
      </c>
      <c r="CM22" s="382">
        <v>0</v>
      </c>
      <c r="CN22" s="513">
        <v>0</v>
      </c>
      <c r="CO22" s="513">
        <v>0</v>
      </c>
      <c r="CP22" s="513">
        <v>0</v>
      </c>
    </row>
    <row r="23" spans="1:97" s="374" customFormat="1">
      <c r="A23" s="79" t="s">
        <v>82</v>
      </c>
      <c r="B23" s="413">
        <f t="shared" ref="B23:BM23" si="29">B24+B25+B26+B27+B28</f>
        <v>48209000</v>
      </c>
      <c r="C23" s="413">
        <f t="shared" si="29"/>
        <v>97557000</v>
      </c>
      <c r="D23" s="413">
        <f t="shared" si="29"/>
        <v>114022000</v>
      </c>
      <c r="E23" s="413">
        <f t="shared" si="29"/>
        <v>140092462</v>
      </c>
      <c r="F23" s="413">
        <f t="shared" si="29"/>
        <v>184357219</v>
      </c>
      <c r="G23" s="413">
        <f t="shared" si="29"/>
        <v>245246790</v>
      </c>
      <c r="H23" s="413">
        <f t="shared" si="29"/>
        <v>21046638.130000003</v>
      </c>
      <c r="I23" s="413">
        <f t="shared" si="29"/>
        <v>51557951.43</v>
      </c>
      <c r="J23" s="413">
        <f t="shared" si="29"/>
        <v>66126365.929999992</v>
      </c>
      <c r="K23" s="413">
        <f t="shared" si="29"/>
        <v>89966283.189999998</v>
      </c>
      <c r="L23" s="413">
        <f t="shared" si="29"/>
        <v>110992107.77</v>
      </c>
      <c r="M23" s="413">
        <f t="shared" si="29"/>
        <v>128671504.27</v>
      </c>
      <c r="N23" s="413">
        <f t="shared" si="29"/>
        <v>146679540.67000002</v>
      </c>
      <c r="O23" s="413">
        <f t="shared" si="29"/>
        <v>160861234.56999999</v>
      </c>
      <c r="P23" s="413">
        <f t="shared" si="29"/>
        <v>183500142.27000001</v>
      </c>
      <c r="Q23" s="413">
        <f t="shared" si="29"/>
        <v>203881280.77000001</v>
      </c>
      <c r="R23" s="413">
        <f t="shared" si="29"/>
        <v>221567888.37</v>
      </c>
      <c r="S23" s="413">
        <f t="shared" si="29"/>
        <v>242923117.77000001</v>
      </c>
      <c r="T23" s="413">
        <f t="shared" si="29"/>
        <v>283253612</v>
      </c>
      <c r="U23" s="413">
        <f t="shared" si="29"/>
        <v>53402708.200000003</v>
      </c>
      <c r="V23" s="413">
        <f t="shared" si="29"/>
        <v>68052480.700000003</v>
      </c>
      <c r="W23" s="413">
        <f t="shared" si="29"/>
        <v>93896474.400000006</v>
      </c>
      <c r="X23" s="413">
        <f t="shared" si="29"/>
        <v>122742454</v>
      </c>
      <c r="Y23" s="413">
        <f t="shared" si="29"/>
        <v>151071761.39999998</v>
      </c>
      <c r="Z23" s="413">
        <f t="shared" si="29"/>
        <v>179160760.29999998</v>
      </c>
      <c r="AA23" s="413">
        <f t="shared" si="29"/>
        <v>201919529.10000002</v>
      </c>
      <c r="AB23" s="413">
        <f t="shared" si="29"/>
        <v>229933533.60000002</v>
      </c>
      <c r="AC23" s="413">
        <f t="shared" si="29"/>
        <v>261326261.19999999</v>
      </c>
      <c r="AD23" s="413">
        <f t="shared" si="29"/>
        <v>287692039.5</v>
      </c>
      <c r="AE23" s="413">
        <f t="shared" si="29"/>
        <v>316793699.69999999</v>
      </c>
      <c r="AF23" s="413">
        <f t="shared" si="29"/>
        <v>287758025</v>
      </c>
      <c r="AG23" s="413">
        <f t="shared" si="29"/>
        <v>268949606.89291406</v>
      </c>
      <c r="AH23" s="413">
        <f t="shared" si="29"/>
        <v>27994234.600000001</v>
      </c>
      <c r="AI23" s="413">
        <f t="shared" si="29"/>
        <v>65757288.299999997</v>
      </c>
      <c r="AJ23" s="413">
        <f t="shared" si="29"/>
        <v>110600910.7</v>
      </c>
      <c r="AK23" s="413">
        <f t="shared" si="29"/>
        <v>144017712</v>
      </c>
      <c r="AL23" s="413">
        <f t="shared" si="29"/>
        <v>178069771.40000001</v>
      </c>
      <c r="AM23" s="413">
        <f t="shared" si="29"/>
        <v>213212365.19999999</v>
      </c>
      <c r="AN23" s="413">
        <f t="shared" si="29"/>
        <v>243472246.80000001</v>
      </c>
      <c r="AO23" s="413">
        <f t="shared" si="29"/>
        <v>272361055.89999998</v>
      </c>
      <c r="AP23" s="413">
        <f t="shared" si="29"/>
        <v>307656761.37</v>
      </c>
      <c r="AQ23" s="413">
        <f t="shared" si="29"/>
        <v>343937471.22000003</v>
      </c>
      <c r="AR23" s="413">
        <f t="shared" si="29"/>
        <v>377524555.92000002</v>
      </c>
      <c r="AS23" s="426">
        <f t="shared" si="29"/>
        <v>423257110.92999995</v>
      </c>
      <c r="AT23" s="413">
        <f t="shared" si="29"/>
        <v>299783024</v>
      </c>
      <c r="AU23" s="413">
        <f t="shared" si="29"/>
        <v>37526289.5</v>
      </c>
      <c r="AV23" s="413">
        <f t="shared" si="29"/>
        <v>79930705.599999994</v>
      </c>
      <c r="AW23" s="413">
        <f t="shared" si="29"/>
        <v>124373294.7</v>
      </c>
      <c r="AX23" s="413">
        <f t="shared" si="29"/>
        <v>153153983.30000001</v>
      </c>
      <c r="AY23" s="413">
        <f t="shared" si="29"/>
        <v>174701168.31999999</v>
      </c>
      <c r="AZ23" s="413">
        <f t="shared" si="29"/>
        <v>208386652.94</v>
      </c>
      <c r="BA23" s="413">
        <f t="shared" si="29"/>
        <v>229717995</v>
      </c>
      <c r="BB23" s="413">
        <f t="shared" si="29"/>
        <v>255721909.70999998</v>
      </c>
      <c r="BC23" s="413">
        <f t="shared" si="29"/>
        <v>282736763.06</v>
      </c>
      <c r="BD23" s="413">
        <f t="shared" si="29"/>
        <v>300147854</v>
      </c>
      <c r="BE23" s="413">
        <f t="shared" si="29"/>
        <v>322871273</v>
      </c>
      <c r="BF23" s="426">
        <f t="shared" si="29"/>
        <v>354728566.87</v>
      </c>
      <c r="BG23" s="414">
        <f t="shared" si="29"/>
        <v>308866141</v>
      </c>
      <c r="BH23" s="414">
        <f t="shared" si="29"/>
        <v>26296599.100000001</v>
      </c>
      <c r="BI23" s="414">
        <f t="shared" si="29"/>
        <v>53429289.100000001</v>
      </c>
      <c r="BJ23" s="414">
        <f t="shared" si="29"/>
        <v>103224215.90000001</v>
      </c>
      <c r="BK23" s="414">
        <f t="shared" si="29"/>
        <v>136336403.5</v>
      </c>
      <c r="BL23" s="414">
        <f t="shared" si="29"/>
        <v>162935606</v>
      </c>
      <c r="BM23" s="414">
        <f t="shared" si="29"/>
        <v>201039356.89999998</v>
      </c>
      <c r="BN23" s="414">
        <f t="shared" ref="BN23:CS23" si="30">BN24+BN25+BN26+BN27+BN28</f>
        <v>225558123.19999999</v>
      </c>
      <c r="BO23" s="414">
        <f t="shared" si="30"/>
        <v>254521811.59999999</v>
      </c>
      <c r="BP23" s="414">
        <f t="shared" si="30"/>
        <v>290744132.10000002</v>
      </c>
      <c r="BQ23" s="414">
        <f t="shared" si="30"/>
        <v>323719711.69999999</v>
      </c>
      <c r="BR23" s="414">
        <f t="shared" si="30"/>
        <v>354377177.80000001</v>
      </c>
      <c r="BS23" s="414">
        <f t="shared" si="30"/>
        <v>391663958.30000001</v>
      </c>
      <c r="BT23" s="414">
        <f t="shared" si="30"/>
        <v>347847606</v>
      </c>
      <c r="BU23" s="414">
        <f t="shared" si="30"/>
        <v>42257208.549999997</v>
      </c>
      <c r="BV23" s="414">
        <f t="shared" si="30"/>
        <v>73409133.199999988</v>
      </c>
      <c r="BW23" s="414">
        <f t="shared" si="30"/>
        <v>112182982.5</v>
      </c>
      <c r="BX23" s="414">
        <f t="shared" si="30"/>
        <v>152879425.19999999</v>
      </c>
      <c r="BY23" s="414">
        <f t="shared" si="30"/>
        <v>196672390.59999999</v>
      </c>
      <c r="BZ23" s="414">
        <f t="shared" si="30"/>
        <v>236339553.89999998</v>
      </c>
      <c r="CA23" s="414">
        <f t="shared" si="30"/>
        <v>269410629.25</v>
      </c>
      <c r="CB23" s="414">
        <f t="shared" si="30"/>
        <v>300404051.85000002</v>
      </c>
      <c r="CC23" s="414">
        <f t="shared" si="30"/>
        <v>339383764.75</v>
      </c>
      <c r="CD23" s="414">
        <f t="shared" si="30"/>
        <v>367871745.05000001</v>
      </c>
      <c r="CE23" s="414">
        <f t="shared" si="30"/>
        <v>387074504.04999995</v>
      </c>
      <c r="CF23" s="414">
        <f t="shared" si="30"/>
        <v>426303512.15000004</v>
      </c>
      <c r="CG23" s="414">
        <f t="shared" si="30"/>
        <v>393866865</v>
      </c>
      <c r="CH23" s="414">
        <f t="shared" si="30"/>
        <v>44504365</v>
      </c>
      <c r="CI23" s="414">
        <f t="shared" si="30"/>
        <v>97594341.299999997</v>
      </c>
      <c r="CJ23" s="414">
        <f t="shared" si="30"/>
        <v>133353327.3</v>
      </c>
      <c r="CK23" s="414">
        <f t="shared" si="30"/>
        <v>182296982.30000001</v>
      </c>
      <c r="CL23" s="414">
        <f t="shared" si="30"/>
        <v>217984847</v>
      </c>
      <c r="CM23" s="414">
        <f t="shared" si="30"/>
        <v>261817426</v>
      </c>
      <c r="CN23" s="414">
        <f t="shared" si="30"/>
        <v>291340865.89999998</v>
      </c>
      <c r="CO23" s="414">
        <f t="shared" si="30"/>
        <v>331684170.37</v>
      </c>
      <c r="CP23" s="414">
        <f t="shared" si="30"/>
        <v>373385865.47000003</v>
      </c>
      <c r="CQ23" s="414">
        <f t="shared" si="30"/>
        <v>0</v>
      </c>
      <c r="CR23" s="414">
        <f t="shared" si="30"/>
        <v>0</v>
      </c>
      <c r="CS23" s="414">
        <f t="shared" si="30"/>
        <v>0</v>
      </c>
    </row>
    <row r="24" spans="1:97" ht="12">
      <c r="A24" s="80" t="s">
        <v>83</v>
      </c>
      <c r="B24" s="416">
        <v>2007000</v>
      </c>
      <c r="C24" s="445">
        <v>34295000</v>
      </c>
      <c r="D24" s="443">
        <v>37013000</v>
      </c>
      <c r="E24" s="444">
        <v>43883272</v>
      </c>
      <c r="F24" s="420">
        <v>68695800</v>
      </c>
      <c r="G24" s="421">
        <v>66805300</v>
      </c>
      <c r="H24" s="421">
        <v>4156221</v>
      </c>
      <c r="I24" s="421">
        <v>12848701.199999999</v>
      </c>
      <c r="J24" s="421">
        <v>18582382.899999999</v>
      </c>
      <c r="K24" s="421">
        <v>25488260</v>
      </c>
      <c r="L24" s="375">
        <v>32477366.699999999</v>
      </c>
      <c r="M24" s="375">
        <v>38404144.399999999</v>
      </c>
      <c r="N24" s="375">
        <v>46497030.799999997</v>
      </c>
      <c r="O24" s="375">
        <v>53044555.799999997</v>
      </c>
      <c r="P24" s="375">
        <v>59852634</v>
      </c>
      <c r="Q24" s="401">
        <v>67779081</v>
      </c>
      <c r="R24" s="401">
        <v>73273372</v>
      </c>
      <c r="S24" s="375">
        <v>80729868</v>
      </c>
      <c r="T24" s="421">
        <v>80370625</v>
      </c>
      <c r="U24" s="375">
        <v>5550119.2000000002</v>
      </c>
      <c r="V24" s="375">
        <v>13373507.6</v>
      </c>
      <c r="W24" s="375">
        <v>22016242.600000001</v>
      </c>
      <c r="X24" s="375">
        <v>28471314.600000001</v>
      </c>
      <c r="Y24" s="375">
        <v>34829170.600000001</v>
      </c>
      <c r="Z24" s="375">
        <v>42739471.600000001</v>
      </c>
      <c r="AA24" s="375">
        <v>46198468.600000001</v>
      </c>
      <c r="AB24" s="375">
        <v>53579008.600000001</v>
      </c>
      <c r="AC24" s="375">
        <v>63672225.600000001</v>
      </c>
      <c r="AD24" s="375">
        <v>69060564.599999994</v>
      </c>
      <c r="AE24" s="375">
        <v>76712667.599999994</v>
      </c>
      <c r="AF24" s="378">
        <v>87160979.599999994</v>
      </c>
      <c r="AG24" s="379">
        <v>84677464</v>
      </c>
      <c r="AH24" s="380">
        <v>8984236</v>
      </c>
      <c r="AI24" s="380">
        <v>17780262</v>
      </c>
      <c r="AJ24" s="380">
        <v>24889808</v>
      </c>
      <c r="AK24" s="380">
        <v>31886324</v>
      </c>
      <c r="AL24" s="380">
        <v>42157556</v>
      </c>
      <c r="AM24" s="380">
        <v>50930058.5</v>
      </c>
      <c r="AN24" s="380">
        <v>57906695.280000001</v>
      </c>
      <c r="AO24" s="380">
        <v>65914043.280000001</v>
      </c>
      <c r="AP24" s="380">
        <v>74015272.280000001</v>
      </c>
      <c r="AQ24" s="380">
        <v>81679013.280000001</v>
      </c>
      <c r="AR24" s="380">
        <v>83156785.280000001</v>
      </c>
      <c r="AS24" s="381">
        <v>99260335.280000001</v>
      </c>
      <c r="AT24" s="420">
        <v>110575042</v>
      </c>
      <c r="AU24" s="375">
        <v>6800138</v>
      </c>
      <c r="AV24" s="375">
        <v>17312001</v>
      </c>
      <c r="AW24" s="375">
        <v>25964514</v>
      </c>
      <c r="AX24" s="375">
        <v>33390494</v>
      </c>
      <c r="AY24" s="375">
        <v>43212334</v>
      </c>
      <c r="AZ24" s="375">
        <v>52068527</v>
      </c>
      <c r="BA24" s="380">
        <v>60880571</v>
      </c>
      <c r="BB24" s="380">
        <v>69775044</v>
      </c>
      <c r="BC24" s="380">
        <v>78586279</v>
      </c>
      <c r="BD24" s="422">
        <v>87388858</v>
      </c>
      <c r="BE24" s="422">
        <v>96296560</v>
      </c>
      <c r="BF24" s="422">
        <v>104963917</v>
      </c>
      <c r="BG24" s="383">
        <v>111337305</v>
      </c>
      <c r="BH24" s="422">
        <v>9989325</v>
      </c>
      <c r="BI24" s="422">
        <v>20544097.699999999</v>
      </c>
      <c r="BJ24" s="422">
        <v>30363173.699999999</v>
      </c>
      <c r="BK24" s="422">
        <v>40104585.399999999</v>
      </c>
      <c r="BL24" s="422">
        <v>50125192.399999999</v>
      </c>
      <c r="BM24" s="422">
        <v>60046078.399999999</v>
      </c>
      <c r="BN24" s="422">
        <v>69947695.400000006</v>
      </c>
      <c r="BO24" s="422">
        <v>79643361.400000006</v>
      </c>
      <c r="BP24" s="422">
        <v>89543759.400000006</v>
      </c>
      <c r="BQ24" s="422">
        <v>99198428.400000006</v>
      </c>
      <c r="BR24" s="422">
        <v>109395469.40000001</v>
      </c>
      <c r="BS24" s="422">
        <v>119182585.5</v>
      </c>
      <c r="BT24" s="422">
        <v>136938046</v>
      </c>
      <c r="BU24" s="463">
        <v>9493732</v>
      </c>
      <c r="BV24" s="463">
        <v>19077668.5</v>
      </c>
      <c r="BW24" s="463">
        <v>33858465.600000001</v>
      </c>
      <c r="BX24" s="463">
        <v>43787999.600000001</v>
      </c>
      <c r="BY24" s="463">
        <v>57607088.299999997</v>
      </c>
      <c r="BZ24" s="463">
        <v>68389895.299999997</v>
      </c>
      <c r="CA24" s="463">
        <v>79412039.299999997</v>
      </c>
      <c r="CB24" s="463">
        <v>90417369.299999997</v>
      </c>
      <c r="CC24" s="463">
        <v>101365843.3</v>
      </c>
      <c r="CD24" s="463">
        <v>112291827.3</v>
      </c>
      <c r="CE24" s="463">
        <v>123554031.3</v>
      </c>
      <c r="CF24" s="463">
        <v>135112956.30000001</v>
      </c>
      <c r="CG24" s="462">
        <v>155087214</v>
      </c>
      <c r="CH24" s="465">
        <v>9641865</v>
      </c>
      <c r="CI24" s="465">
        <v>23949854</v>
      </c>
      <c r="CJ24" s="465">
        <v>35622736</v>
      </c>
      <c r="CK24" s="382">
        <v>47437953</v>
      </c>
      <c r="CL24" s="382">
        <v>59285574</v>
      </c>
      <c r="CM24" s="382">
        <v>71078076</v>
      </c>
      <c r="CN24" s="512">
        <v>83003895</v>
      </c>
      <c r="CO24" s="512">
        <v>97976031.670000002</v>
      </c>
      <c r="CP24" s="512">
        <v>107441480.67</v>
      </c>
    </row>
    <row r="25" spans="1:97" ht="12">
      <c r="A25" s="80" t="s">
        <v>84</v>
      </c>
      <c r="B25" s="416">
        <v>5511000</v>
      </c>
      <c r="C25" s="417">
        <v>33577000</v>
      </c>
      <c r="D25" s="418">
        <v>41103000</v>
      </c>
      <c r="E25" s="419">
        <v>48527275</v>
      </c>
      <c r="F25" s="420">
        <v>52825047</v>
      </c>
      <c r="G25" s="421">
        <v>66047004</v>
      </c>
      <c r="H25" s="421">
        <v>1853071</v>
      </c>
      <c r="I25" s="421">
        <v>3215333.4</v>
      </c>
      <c r="J25" s="421">
        <v>4496952.4000000004</v>
      </c>
      <c r="K25" s="421">
        <v>6136329.0999999996</v>
      </c>
      <c r="L25" s="375">
        <v>8406420.0999999996</v>
      </c>
      <c r="M25" s="375">
        <v>9714676</v>
      </c>
      <c r="N25" s="375">
        <v>12043269.4</v>
      </c>
      <c r="O25" s="375">
        <v>13333768.4</v>
      </c>
      <c r="P25" s="375">
        <v>14774808.9</v>
      </c>
      <c r="Q25" s="401">
        <v>17520014.899999999</v>
      </c>
      <c r="R25" s="401">
        <v>20167435.899999999</v>
      </c>
      <c r="S25" s="375">
        <v>21879033.899999999</v>
      </c>
      <c r="T25" s="421">
        <v>78642230</v>
      </c>
      <c r="U25" s="375">
        <v>3798126</v>
      </c>
      <c r="V25" s="375">
        <v>14895777</v>
      </c>
      <c r="W25" s="375">
        <v>22051377</v>
      </c>
      <c r="X25" s="375">
        <v>29135863</v>
      </c>
      <c r="Y25" s="375">
        <v>36063278</v>
      </c>
      <c r="Z25" s="375">
        <v>43020785</v>
      </c>
      <c r="AA25" s="375">
        <v>50169622</v>
      </c>
      <c r="AB25" s="375">
        <v>57796858</v>
      </c>
      <c r="AC25" s="375">
        <v>64640948</v>
      </c>
      <c r="AD25" s="375">
        <v>71708891</v>
      </c>
      <c r="AE25" s="375">
        <v>78813099</v>
      </c>
      <c r="AF25" s="378">
        <v>17730530</v>
      </c>
      <c r="AG25" s="379">
        <v>41172198</v>
      </c>
      <c r="AH25" s="380">
        <v>9491612</v>
      </c>
      <c r="AI25" s="380">
        <v>18968653</v>
      </c>
      <c r="AJ25" s="380">
        <v>28202767</v>
      </c>
      <c r="AK25" s="380">
        <v>37470701</v>
      </c>
      <c r="AL25" s="380">
        <v>47120922</v>
      </c>
      <c r="AM25" s="380">
        <v>56752941.5</v>
      </c>
      <c r="AN25" s="380">
        <v>66528789.5</v>
      </c>
      <c r="AO25" s="380">
        <v>76032902.5</v>
      </c>
      <c r="AP25" s="380">
        <v>85439950.5</v>
      </c>
      <c r="AQ25" s="380">
        <v>95144856.5</v>
      </c>
      <c r="AR25" s="380">
        <v>106330675.5</v>
      </c>
      <c r="AS25" s="381">
        <v>115610867.5</v>
      </c>
      <c r="AT25" s="420">
        <v>46028189</v>
      </c>
      <c r="AU25" s="375">
        <v>9320205</v>
      </c>
      <c r="AV25" s="375">
        <v>18638246</v>
      </c>
      <c r="AW25" s="375">
        <v>28031186</v>
      </c>
      <c r="AX25" s="375">
        <v>36319507</v>
      </c>
      <c r="AY25" s="375">
        <v>37184772</v>
      </c>
      <c r="AZ25" s="375">
        <v>38872472</v>
      </c>
      <c r="BA25" s="380">
        <v>40271799</v>
      </c>
      <c r="BB25" s="380">
        <v>41800018</v>
      </c>
      <c r="BC25" s="380">
        <v>42873919</v>
      </c>
      <c r="BD25" s="422">
        <v>44907279</v>
      </c>
      <c r="BE25" s="422">
        <v>46045646</v>
      </c>
      <c r="BF25" s="422">
        <v>48353098</v>
      </c>
      <c r="BG25" s="383">
        <v>36698374</v>
      </c>
      <c r="BH25" s="422">
        <v>1728412</v>
      </c>
      <c r="BI25" s="422">
        <v>4003862.3</v>
      </c>
      <c r="BJ25" s="422">
        <v>6338661.5999999996</v>
      </c>
      <c r="BK25" s="422">
        <v>7333268.5999999996</v>
      </c>
      <c r="BL25" s="422">
        <v>10243369.6</v>
      </c>
      <c r="BM25" s="422">
        <v>12372999.6</v>
      </c>
      <c r="BN25" s="422">
        <v>14620487.6</v>
      </c>
      <c r="BO25" s="422">
        <v>17068720.600000001</v>
      </c>
      <c r="BP25" s="422">
        <v>19125900.600000001</v>
      </c>
      <c r="BQ25" s="422">
        <v>22454578.600000001</v>
      </c>
      <c r="BR25" s="422">
        <v>24615320.5</v>
      </c>
      <c r="BS25" s="422">
        <v>27390532.5</v>
      </c>
      <c r="BT25" s="422">
        <v>45140733</v>
      </c>
      <c r="BU25" s="463">
        <v>2248338</v>
      </c>
      <c r="BV25" s="463">
        <v>4484532</v>
      </c>
      <c r="BW25" s="463">
        <v>6516432</v>
      </c>
      <c r="BX25" s="463">
        <v>8217673</v>
      </c>
      <c r="BY25" s="463">
        <v>10566851.300000001</v>
      </c>
      <c r="BZ25" s="463">
        <v>12644484.300000001</v>
      </c>
      <c r="CA25" s="463">
        <v>16986942.300000001</v>
      </c>
      <c r="CB25" s="463">
        <v>18204421.300000001</v>
      </c>
      <c r="CC25" s="463">
        <v>19931561.300000001</v>
      </c>
      <c r="CD25" s="463">
        <v>22931351.300000001</v>
      </c>
      <c r="CE25" s="463">
        <v>24500681.300000001</v>
      </c>
      <c r="CF25" s="463">
        <v>27009183.300000001</v>
      </c>
      <c r="CG25" s="463">
        <v>60887043</v>
      </c>
      <c r="CH25" s="465">
        <v>2658014</v>
      </c>
      <c r="CI25" s="465">
        <v>4730551</v>
      </c>
      <c r="CJ25" s="465">
        <v>6443123</v>
      </c>
      <c r="CK25" s="382">
        <v>7822090</v>
      </c>
      <c r="CL25" s="382">
        <v>10868596</v>
      </c>
      <c r="CM25" s="382">
        <v>14193426</v>
      </c>
      <c r="CN25" s="514">
        <v>15674247</v>
      </c>
      <c r="CO25" s="514">
        <v>17685280.800000001</v>
      </c>
      <c r="CP25" s="514">
        <v>19328891.800000001</v>
      </c>
    </row>
    <row r="26" spans="1:97" ht="12">
      <c r="A26" s="80" t="s">
        <v>85</v>
      </c>
      <c r="B26" s="416">
        <v>19231000</v>
      </c>
      <c r="C26" s="417">
        <v>1467000</v>
      </c>
      <c r="D26" s="418">
        <v>3438000</v>
      </c>
      <c r="E26" s="419">
        <v>2888770</v>
      </c>
      <c r="F26" s="420">
        <v>8673784</v>
      </c>
      <c r="G26" s="421">
        <v>10130261</v>
      </c>
      <c r="H26" s="421">
        <v>3898108.73</v>
      </c>
      <c r="I26" s="421">
        <v>10347282.33</v>
      </c>
      <c r="J26" s="421">
        <v>10941047.33</v>
      </c>
      <c r="K26" s="421">
        <v>15794658.67</v>
      </c>
      <c r="L26" s="375">
        <v>16854465.670000002</v>
      </c>
      <c r="M26" s="375">
        <v>18919700.670000002</v>
      </c>
      <c r="N26" s="375">
        <v>19711605.670000002</v>
      </c>
      <c r="O26" s="375">
        <v>20089445.670000002</v>
      </c>
      <c r="P26" s="375">
        <v>21347763.670000002</v>
      </c>
      <c r="Q26" s="401">
        <v>22040196.969999999</v>
      </c>
      <c r="R26" s="401">
        <v>24403630.27</v>
      </c>
      <c r="S26" s="375">
        <v>27367445.27</v>
      </c>
      <c r="T26" s="421">
        <v>14906136</v>
      </c>
      <c r="U26" s="375">
        <v>6667806</v>
      </c>
      <c r="V26" s="375">
        <v>10206569.4</v>
      </c>
      <c r="W26" s="375">
        <v>10723594.199999999</v>
      </c>
      <c r="X26" s="375">
        <v>11335654.199999999</v>
      </c>
      <c r="Y26" s="375">
        <v>12047736.800000001</v>
      </c>
      <c r="Z26" s="375">
        <v>12535067.800000001</v>
      </c>
      <c r="AA26" s="375">
        <v>15395783.199999999</v>
      </c>
      <c r="AB26" s="375">
        <v>15919794.199999999</v>
      </c>
      <c r="AC26" s="375">
        <v>16452232.800000001</v>
      </c>
      <c r="AD26" s="375">
        <v>17213960.300000001</v>
      </c>
      <c r="AE26" s="375">
        <v>17639794.300000001</v>
      </c>
      <c r="AF26" s="378">
        <v>20336639.300000001</v>
      </c>
      <c r="AG26" s="379">
        <v>4935654.2</v>
      </c>
      <c r="AH26" s="380">
        <v>4378730</v>
      </c>
      <c r="AI26" s="380">
        <v>12486158</v>
      </c>
      <c r="AJ26" s="380">
        <v>13883361</v>
      </c>
      <c r="AK26" s="380">
        <v>14371374</v>
      </c>
      <c r="AL26" s="380">
        <v>16490109</v>
      </c>
      <c r="AM26" s="380">
        <v>16880439</v>
      </c>
      <c r="AN26" s="380">
        <v>20257254.5</v>
      </c>
      <c r="AO26" s="380">
        <v>21399328.5</v>
      </c>
      <c r="AP26" s="380">
        <v>22202542.870000001</v>
      </c>
      <c r="AQ26" s="380">
        <v>22821320.870000001</v>
      </c>
      <c r="AR26" s="380">
        <v>24296293.870000001</v>
      </c>
      <c r="AS26" s="381">
        <v>28358678.870000001</v>
      </c>
      <c r="AT26" s="420">
        <v>5787019</v>
      </c>
      <c r="AU26" s="375">
        <v>9648756</v>
      </c>
      <c r="AV26" s="375">
        <v>16566037</v>
      </c>
      <c r="AW26" s="375">
        <v>18390572</v>
      </c>
      <c r="AX26" s="375">
        <v>19008912</v>
      </c>
      <c r="AY26" s="375">
        <v>19415999</v>
      </c>
      <c r="AZ26" s="375">
        <v>20687059</v>
      </c>
      <c r="BA26" s="380">
        <v>21122681</v>
      </c>
      <c r="BB26" s="380">
        <v>21988931</v>
      </c>
      <c r="BC26" s="380">
        <v>23026851</v>
      </c>
      <c r="BD26" s="422">
        <v>23960901</v>
      </c>
      <c r="BE26" s="422">
        <v>24765214</v>
      </c>
      <c r="BF26" s="422">
        <v>25899027</v>
      </c>
      <c r="BG26" s="383">
        <v>6010057</v>
      </c>
      <c r="BH26" s="422">
        <v>5124010</v>
      </c>
      <c r="BI26" s="422">
        <v>7621968.0999999996</v>
      </c>
      <c r="BJ26" s="422">
        <v>8880972.0999999996</v>
      </c>
      <c r="BK26" s="422">
        <v>10052036.1</v>
      </c>
      <c r="BL26" s="422">
        <v>11496239.1</v>
      </c>
      <c r="BM26" s="422">
        <v>12302608.1</v>
      </c>
      <c r="BN26" s="422">
        <v>13013601.1</v>
      </c>
      <c r="BO26" s="422">
        <v>14819111.5</v>
      </c>
      <c r="BP26" s="422">
        <v>15199414.5</v>
      </c>
      <c r="BQ26" s="422">
        <v>17307134.5</v>
      </c>
      <c r="BR26" s="422">
        <v>19007364.5</v>
      </c>
      <c r="BS26" s="422">
        <v>21844709.5</v>
      </c>
      <c r="BT26" s="422">
        <v>7812155</v>
      </c>
      <c r="BU26" s="463">
        <v>7910638</v>
      </c>
      <c r="BV26" s="463">
        <v>10454516.5</v>
      </c>
      <c r="BW26" s="463">
        <v>12289246.5</v>
      </c>
      <c r="BX26" s="463">
        <v>13384989.5</v>
      </c>
      <c r="BY26" s="463">
        <v>22545542.5</v>
      </c>
      <c r="BZ26" s="463">
        <v>26532091.5</v>
      </c>
      <c r="CA26" s="463">
        <v>30533055.5</v>
      </c>
      <c r="CB26" s="463">
        <v>33822801.5</v>
      </c>
      <c r="CC26" s="463">
        <v>34841140.5</v>
      </c>
      <c r="CD26" s="463">
        <v>36441543.5</v>
      </c>
      <c r="CE26" s="463">
        <v>38640387.5</v>
      </c>
      <c r="CF26" s="463">
        <v>39700799.5</v>
      </c>
      <c r="CG26" s="463">
        <v>9493765</v>
      </c>
      <c r="CH26" s="465">
        <v>10071663</v>
      </c>
      <c r="CI26" s="465">
        <v>16440443</v>
      </c>
      <c r="CJ26" s="465">
        <v>21295244</v>
      </c>
      <c r="CK26" s="382">
        <v>22559347</v>
      </c>
      <c r="CL26" s="382">
        <v>31050343</v>
      </c>
      <c r="CM26" s="382">
        <v>38815167</v>
      </c>
      <c r="CN26" s="514">
        <v>42925610</v>
      </c>
      <c r="CO26" s="514">
        <v>44950142</v>
      </c>
      <c r="CP26" s="514">
        <v>48297867</v>
      </c>
    </row>
    <row r="27" spans="1:97" ht="12">
      <c r="A27" s="80" t="s">
        <v>86</v>
      </c>
      <c r="B27" s="416">
        <v>0</v>
      </c>
      <c r="C27" s="417">
        <v>6571000</v>
      </c>
      <c r="D27" s="418">
        <v>8112000</v>
      </c>
      <c r="E27" s="419">
        <v>7672051</v>
      </c>
      <c r="F27" s="420">
        <v>12634731</v>
      </c>
      <c r="G27" s="421">
        <v>20255096</v>
      </c>
      <c r="H27" s="421">
        <v>0</v>
      </c>
      <c r="I27" s="421">
        <v>5025000</v>
      </c>
      <c r="J27" s="421">
        <v>7537500</v>
      </c>
      <c r="K27" s="421">
        <v>10050000</v>
      </c>
      <c r="L27" s="375">
        <v>12562500</v>
      </c>
      <c r="M27" s="375">
        <v>15075000</v>
      </c>
      <c r="N27" s="375">
        <v>17587500</v>
      </c>
      <c r="O27" s="375">
        <v>20178358</v>
      </c>
      <c r="P27" s="375">
        <v>22690858</v>
      </c>
      <c r="Q27" s="401">
        <v>25203358</v>
      </c>
      <c r="R27" s="401">
        <v>27715858</v>
      </c>
      <c r="S27" s="375">
        <v>31497047.100000001</v>
      </c>
      <c r="T27" s="421">
        <v>31605440</v>
      </c>
      <c r="U27" s="375">
        <v>0</v>
      </c>
      <c r="V27" s="375">
        <v>7697552</v>
      </c>
      <c r="W27" s="375">
        <v>11546328</v>
      </c>
      <c r="X27" s="375">
        <v>15395104</v>
      </c>
      <c r="Y27" s="375">
        <v>19243880</v>
      </c>
      <c r="Z27" s="375">
        <v>23092656</v>
      </c>
      <c r="AA27" s="375">
        <v>26941432</v>
      </c>
      <c r="AB27" s="375">
        <v>30790208</v>
      </c>
      <c r="AC27" s="375">
        <v>34638984</v>
      </c>
      <c r="AD27" s="375">
        <v>38487760</v>
      </c>
      <c r="AE27" s="375">
        <v>42336536</v>
      </c>
      <c r="AF27" s="378">
        <v>46185312</v>
      </c>
      <c r="AG27" s="379">
        <v>30598468.692914076</v>
      </c>
      <c r="AH27" s="380">
        <v>0</v>
      </c>
      <c r="AI27" s="380">
        <v>4388323</v>
      </c>
      <c r="AJ27" s="380">
        <v>13164969</v>
      </c>
      <c r="AK27" s="380">
        <v>17553292</v>
      </c>
      <c r="AL27" s="380">
        <v>21941615</v>
      </c>
      <c r="AM27" s="380">
        <v>26329938</v>
      </c>
      <c r="AN27" s="380">
        <v>30718261</v>
      </c>
      <c r="AO27" s="380">
        <v>35106584</v>
      </c>
      <c r="AP27" s="380">
        <v>39494907</v>
      </c>
      <c r="AQ27" s="380">
        <v>43883230</v>
      </c>
      <c r="AR27" s="380">
        <v>48271553</v>
      </c>
      <c r="AS27" s="381">
        <v>52659876</v>
      </c>
      <c r="AT27" s="420">
        <v>33390493</v>
      </c>
      <c r="AU27" s="375">
        <v>4388323</v>
      </c>
      <c r="AV27" s="375">
        <v>8776646</v>
      </c>
      <c r="AW27" s="375">
        <v>9878889</v>
      </c>
      <c r="AX27" s="375">
        <v>13171852</v>
      </c>
      <c r="AY27" s="375">
        <v>16464815</v>
      </c>
      <c r="AZ27" s="375">
        <v>19757778</v>
      </c>
      <c r="BA27" s="380">
        <v>23050741</v>
      </c>
      <c r="BB27" s="380">
        <v>26343704</v>
      </c>
      <c r="BC27" s="380">
        <v>29636667</v>
      </c>
      <c r="BD27" s="422">
        <v>32929630</v>
      </c>
      <c r="BE27" s="422">
        <v>36222593</v>
      </c>
      <c r="BF27" s="422">
        <v>39515556</v>
      </c>
      <c r="BG27" s="383">
        <v>37748984</v>
      </c>
      <c r="BH27" s="422">
        <v>3400000</v>
      </c>
      <c r="BI27" s="422">
        <v>6920650</v>
      </c>
      <c r="BJ27" s="422">
        <v>10380975</v>
      </c>
      <c r="BK27" s="422">
        <v>13841300</v>
      </c>
      <c r="BL27" s="422">
        <v>17301625</v>
      </c>
      <c r="BM27" s="422">
        <v>20761950</v>
      </c>
      <c r="BN27" s="422">
        <v>24222275</v>
      </c>
      <c r="BO27" s="422">
        <v>27682600</v>
      </c>
      <c r="BP27" s="422">
        <v>31142925</v>
      </c>
      <c r="BQ27" s="422">
        <v>34603250</v>
      </c>
      <c r="BR27" s="422">
        <v>38063575</v>
      </c>
      <c r="BS27" s="422">
        <v>41523900</v>
      </c>
      <c r="BT27" s="422">
        <v>25813238</v>
      </c>
      <c r="BU27" s="463">
        <v>2137322.7999999998</v>
      </c>
      <c r="BV27" s="463">
        <v>5470655.7999999998</v>
      </c>
      <c r="BW27" s="463">
        <v>8803988.8000000007</v>
      </c>
      <c r="BX27" s="463">
        <v>12137321.800000001</v>
      </c>
      <c r="BY27" s="463">
        <v>15470654.800000001</v>
      </c>
      <c r="BZ27" s="463">
        <v>18803987.800000001</v>
      </c>
      <c r="CA27" s="463">
        <v>22137320.800000001</v>
      </c>
      <c r="CB27" s="463">
        <v>25470653.800000001</v>
      </c>
      <c r="CC27" s="463">
        <v>28803986.800000001</v>
      </c>
      <c r="CD27" s="463">
        <v>32137319.800000001</v>
      </c>
      <c r="CE27" s="463">
        <v>35470652.799999997</v>
      </c>
      <c r="CF27" s="463">
        <v>38803989.799999997</v>
      </c>
      <c r="CG27" s="463">
        <v>29659943</v>
      </c>
      <c r="CH27" s="465">
        <v>2500000</v>
      </c>
      <c r="CI27" s="465">
        <v>5276658</v>
      </c>
      <c r="CJ27" s="465">
        <v>7914987</v>
      </c>
      <c r="CK27" s="382">
        <v>10553316</v>
      </c>
      <c r="CL27" s="382">
        <v>13191645</v>
      </c>
      <c r="CM27" s="382">
        <v>15829974</v>
      </c>
      <c r="CN27" s="514">
        <v>18468303</v>
      </c>
      <c r="CO27" s="514">
        <v>21106632</v>
      </c>
      <c r="CP27" s="514">
        <v>23744961</v>
      </c>
    </row>
    <row r="28" spans="1:97" ht="12">
      <c r="A28" s="80" t="s">
        <v>87</v>
      </c>
      <c r="B28" s="416">
        <v>21460000</v>
      </c>
      <c r="C28" s="417">
        <v>21647000</v>
      </c>
      <c r="D28" s="418">
        <v>24356000</v>
      </c>
      <c r="E28" s="419">
        <v>37121094</v>
      </c>
      <c r="F28" s="420">
        <v>41527857</v>
      </c>
      <c r="G28" s="421">
        <v>82009129</v>
      </c>
      <c r="H28" s="421">
        <v>11139237.4</v>
      </c>
      <c r="I28" s="421">
        <v>20121634.5</v>
      </c>
      <c r="J28" s="421">
        <v>24568483.300000001</v>
      </c>
      <c r="K28" s="421">
        <v>32497035.420000002</v>
      </c>
      <c r="L28" s="375">
        <v>40691355.299999997</v>
      </c>
      <c r="M28" s="375">
        <v>46557983.200000003</v>
      </c>
      <c r="N28" s="375">
        <v>50840134.799999997</v>
      </c>
      <c r="O28" s="375">
        <v>54215106.700000003</v>
      </c>
      <c r="P28" s="375">
        <v>64834077.700000003</v>
      </c>
      <c r="Q28" s="401">
        <v>71338629.900000006</v>
      </c>
      <c r="R28" s="401">
        <v>76007592.200000003</v>
      </c>
      <c r="S28" s="375">
        <v>81449723.5</v>
      </c>
      <c r="T28" s="421">
        <v>77729181</v>
      </c>
      <c r="U28" s="375">
        <v>37386657</v>
      </c>
      <c r="V28" s="375">
        <v>21879074.699999999</v>
      </c>
      <c r="W28" s="375">
        <v>27558932.600000001</v>
      </c>
      <c r="X28" s="375">
        <v>38404518.200000003</v>
      </c>
      <c r="Y28" s="375">
        <v>48887696</v>
      </c>
      <c r="Z28" s="375">
        <v>57772779.899999999</v>
      </c>
      <c r="AA28" s="375">
        <v>63214223.299999997</v>
      </c>
      <c r="AB28" s="375">
        <v>71847664.799999997</v>
      </c>
      <c r="AC28" s="375">
        <v>81921870.799999997</v>
      </c>
      <c r="AD28" s="375">
        <v>91220863.599999994</v>
      </c>
      <c r="AE28" s="375">
        <v>101291602.8</v>
      </c>
      <c r="AF28" s="378">
        <v>116344564.09999999</v>
      </c>
      <c r="AG28" s="379">
        <f>105433131+2132691</f>
        <v>107565822</v>
      </c>
      <c r="AH28" s="380">
        <v>5139656.5999999996</v>
      </c>
      <c r="AI28" s="380">
        <v>12133892.300000001</v>
      </c>
      <c r="AJ28" s="380">
        <v>30460005.699999999</v>
      </c>
      <c r="AK28" s="380">
        <v>42736021</v>
      </c>
      <c r="AL28" s="380">
        <v>50359569.399999999</v>
      </c>
      <c r="AM28" s="380">
        <v>62318988.200000003</v>
      </c>
      <c r="AN28" s="380">
        <v>68061246.519999996</v>
      </c>
      <c r="AO28" s="380">
        <v>73908197.620000005</v>
      </c>
      <c r="AP28" s="380">
        <v>86504088.719999999</v>
      </c>
      <c r="AQ28" s="380">
        <v>100409050.56999999</v>
      </c>
      <c r="AR28" s="380">
        <v>115469248.27</v>
      </c>
      <c r="AS28" s="381">
        <v>127367353.28</v>
      </c>
      <c r="AT28" s="420">
        <f>102418819+1583462</f>
        <v>104002281</v>
      </c>
      <c r="AU28" s="375">
        <v>7368867.5</v>
      </c>
      <c r="AV28" s="375">
        <v>18637775.600000001</v>
      </c>
      <c r="AW28" s="375">
        <v>42108133.700000003</v>
      </c>
      <c r="AX28" s="375">
        <v>51263218.299999997</v>
      </c>
      <c r="AY28" s="375">
        <v>58423248.32</v>
      </c>
      <c r="AZ28" s="375">
        <v>77000816.939999998</v>
      </c>
      <c r="BA28" s="380">
        <v>84392203</v>
      </c>
      <c r="BB28" s="380">
        <v>95814212.709999993</v>
      </c>
      <c r="BC28" s="380">
        <v>108613047.06</v>
      </c>
      <c r="BD28" s="422">
        <v>110961186</v>
      </c>
      <c r="BE28" s="422">
        <v>119541260</v>
      </c>
      <c r="BF28" s="422">
        <v>135996968.87</v>
      </c>
      <c r="BG28" s="383">
        <v>117071421</v>
      </c>
      <c r="BH28" s="422">
        <v>6054852.0999999996</v>
      </c>
      <c r="BI28" s="422">
        <v>14338711</v>
      </c>
      <c r="BJ28" s="422">
        <v>47260433.5</v>
      </c>
      <c r="BK28" s="422">
        <v>65005213.399999999</v>
      </c>
      <c r="BL28" s="422">
        <v>73769179.900000006</v>
      </c>
      <c r="BM28" s="422">
        <v>95555720.799999997</v>
      </c>
      <c r="BN28" s="422">
        <v>103754064.09999999</v>
      </c>
      <c r="BO28" s="422">
        <v>115308018.09999999</v>
      </c>
      <c r="BP28" s="422">
        <v>135732132.59999999</v>
      </c>
      <c r="BQ28" s="422">
        <v>150156320.19999999</v>
      </c>
      <c r="BR28" s="422">
        <v>163295448.40000001</v>
      </c>
      <c r="BS28" s="422">
        <v>181722230.80000001</v>
      </c>
      <c r="BT28" s="422">
        <v>132143434</v>
      </c>
      <c r="BU28" s="463">
        <v>20467177.75</v>
      </c>
      <c r="BV28" s="463">
        <v>33921760.399999999</v>
      </c>
      <c r="BW28" s="463">
        <v>50714849.600000001</v>
      </c>
      <c r="BX28" s="463">
        <v>75351441.299999997</v>
      </c>
      <c r="BY28" s="463">
        <v>90482253.700000003</v>
      </c>
      <c r="BZ28" s="463">
        <v>109969095</v>
      </c>
      <c r="CA28" s="463">
        <v>120341271.34999999</v>
      </c>
      <c r="CB28" s="463">
        <v>132488805.95</v>
      </c>
      <c r="CC28" s="463">
        <v>154441232.84999999</v>
      </c>
      <c r="CD28" s="463">
        <v>164069703.15000001</v>
      </c>
      <c r="CE28" s="463">
        <v>164908751.15000001</v>
      </c>
      <c r="CF28" s="463">
        <v>185676583.25</v>
      </c>
      <c r="CG28" s="463">
        <v>138738900</v>
      </c>
      <c r="CH28" s="465">
        <v>19632823</v>
      </c>
      <c r="CI28" s="465">
        <v>47196835.299999997</v>
      </c>
      <c r="CJ28" s="465">
        <v>62077237.299999997</v>
      </c>
      <c r="CK28" s="382">
        <v>93924276.299999997</v>
      </c>
      <c r="CL28" s="382">
        <v>103588689</v>
      </c>
      <c r="CM28" s="382">
        <v>121900783</v>
      </c>
      <c r="CN28" s="514">
        <v>131268810.90000001</v>
      </c>
      <c r="CO28" s="514">
        <v>149966083.90000001</v>
      </c>
      <c r="CP28" s="514">
        <v>174572665</v>
      </c>
    </row>
    <row r="29" spans="1:97" s="374" customFormat="1">
      <c r="A29" s="79" t="s">
        <v>88</v>
      </c>
      <c r="B29" s="415">
        <v>0</v>
      </c>
      <c r="C29" s="413">
        <f t="shared" ref="C29:AT29" si="31">C19-C20-C23</f>
        <v>31687000</v>
      </c>
      <c r="D29" s="413">
        <f t="shared" si="31"/>
        <v>57995000</v>
      </c>
      <c r="E29" s="413">
        <f t="shared" si="31"/>
        <v>92701868</v>
      </c>
      <c r="F29" s="413">
        <f t="shared" si="31"/>
        <v>63979005.089999974</v>
      </c>
      <c r="G29" s="413">
        <f t="shared" si="31"/>
        <v>68829659</v>
      </c>
      <c r="H29" s="413">
        <f t="shared" si="31"/>
        <v>35394972.629999995</v>
      </c>
      <c r="I29" s="413">
        <f t="shared" si="31"/>
        <v>-33745366.18999999</v>
      </c>
      <c r="J29" s="413">
        <f t="shared" si="31"/>
        <v>-31933390.799999997</v>
      </c>
      <c r="K29" s="413">
        <f t="shared" si="31"/>
        <v>-37953401.050000042</v>
      </c>
      <c r="L29" s="413">
        <f t="shared" si="31"/>
        <v>-38326729.040000007</v>
      </c>
      <c r="M29" s="413">
        <f t="shared" si="31"/>
        <v>-30492385.179999962</v>
      </c>
      <c r="N29" s="413">
        <f t="shared" si="31"/>
        <v>-25960956.350000024</v>
      </c>
      <c r="O29" s="413">
        <f t="shared" si="31"/>
        <v>-5251501.3500000238</v>
      </c>
      <c r="P29" s="413">
        <f t="shared" si="31"/>
        <v>9491888.9699999392</v>
      </c>
      <c r="Q29" s="413">
        <f t="shared" si="31"/>
        <v>16787847.690000027</v>
      </c>
      <c r="R29" s="413">
        <f t="shared" si="31"/>
        <v>14583515.970000088</v>
      </c>
      <c r="S29" s="413">
        <f t="shared" si="31"/>
        <v>41128398.259999841</v>
      </c>
      <c r="T29" s="413">
        <f t="shared" si="31"/>
        <v>125621643</v>
      </c>
      <c r="U29" s="413">
        <f t="shared" si="31"/>
        <v>89093078.61999999</v>
      </c>
      <c r="V29" s="413">
        <f t="shared" si="31"/>
        <v>-43964153.259999976</v>
      </c>
      <c r="W29" s="413">
        <f t="shared" si="31"/>
        <v>-47605079.920000017</v>
      </c>
      <c r="X29" s="413">
        <f t="shared" si="31"/>
        <v>-49774018.110000014</v>
      </c>
      <c r="Y29" s="413">
        <f t="shared" si="31"/>
        <v>-32260668.869999945</v>
      </c>
      <c r="Z29" s="413">
        <f t="shared" si="31"/>
        <v>-22234451.570000023</v>
      </c>
      <c r="AA29" s="413">
        <f t="shared" si="31"/>
        <v>-16035294.210000157</v>
      </c>
      <c r="AB29" s="413">
        <f t="shared" si="31"/>
        <v>2724994.1499999166</v>
      </c>
      <c r="AC29" s="413">
        <f t="shared" si="31"/>
        <v>15103097.049999952</v>
      </c>
      <c r="AD29" s="413">
        <f t="shared" si="31"/>
        <v>25669210.900000095</v>
      </c>
      <c r="AE29" s="413">
        <f t="shared" si="31"/>
        <v>38320772.820000052</v>
      </c>
      <c r="AF29" s="413">
        <f t="shared" si="31"/>
        <v>107143131.25000012</v>
      </c>
      <c r="AG29" s="413">
        <f t="shared" si="31"/>
        <v>157149132.10708594</v>
      </c>
      <c r="AH29" s="413">
        <f t="shared" si="31"/>
        <v>1689498.4400000051</v>
      </c>
      <c r="AI29" s="413">
        <f t="shared" si="31"/>
        <v>-12910949.290000007</v>
      </c>
      <c r="AJ29" s="413">
        <f t="shared" si="31"/>
        <v>-32789837.350000009</v>
      </c>
      <c r="AK29" s="413">
        <f t="shared" si="31"/>
        <v>-34504835.849999964</v>
      </c>
      <c r="AL29" s="413">
        <f t="shared" si="31"/>
        <v>-38214780.429999977</v>
      </c>
      <c r="AM29" s="413">
        <f t="shared" si="31"/>
        <v>-26368006.360000074</v>
      </c>
      <c r="AN29" s="413">
        <f t="shared" si="31"/>
        <v>-22930971.380000055</v>
      </c>
      <c r="AO29" s="413">
        <f t="shared" si="31"/>
        <v>-491811.03000003099</v>
      </c>
      <c r="AP29" s="413">
        <f t="shared" si="31"/>
        <v>128245.22000002861</v>
      </c>
      <c r="AQ29" s="413">
        <f t="shared" si="31"/>
        <v>-3971420.4700000286</v>
      </c>
      <c r="AR29" s="413">
        <f t="shared" si="31"/>
        <v>8119628.9799999595</v>
      </c>
      <c r="AS29" s="426">
        <f t="shared" si="31"/>
        <v>3410057.4299999475</v>
      </c>
      <c r="AT29" s="413">
        <f t="shared" si="31"/>
        <v>171394344</v>
      </c>
      <c r="AU29" s="413">
        <f t="shared" ref="AU29:AZ29" si="32">AU19-AU20-AU23</f>
        <v>-2243776.8800000101</v>
      </c>
      <c r="AV29" s="413">
        <f t="shared" si="32"/>
        <v>-4285232.2699999958</v>
      </c>
      <c r="AW29" s="413">
        <f t="shared" si="32"/>
        <v>-29140506.149999991</v>
      </c>
      <c r="AX29" s="413">
        <f t="shared" si="32"/>
        <v>-5376218.1399999857</v>
      </c>
      <c r="AY29" s="413">
        <f t="shared" si="32"/>
        <v>322668.46000003815</v>
      </c>
      <c r="AZ29" s="413">
        <f t="shared" si="32"/>
        <v>-5922517.8899999261</v>
      </c>
      <c r="BA29" s="413">
        <f t="shared" ref="BA29:BG29" si="33">BA19-BA20-BA23</f>
        <v>6899017.780000031</v>
      </c>
      <c r="BB29" s="413">
        <f t="shared" si="33"/>
        <v>21972063.770000041</v>
      </c>
      <c r="BC29" s="413">
        <f t="shared" si="33"/>
        <v>39323168.279999971</v>
      </c>
      <c r="BD29" s="413">
        <f t="shared" si="33"/>
        <v>64648754.219999969</v>
      </c>
      <c r="BE29" s="413">
        <f t="shared" si="33"/>
        <v>80087312.290000081</v>
      </c>
      <c r="BF29" s="413">
        <f t="shared" si="33"/>
        <v>95413617.469999909</v>
      </c>
      <c r="BG29" s="414">
        <f t="shared" si="33"/>
        <v>153713889</v>
      </c>
      <c r="BH29" s="414">
        <f t="shared" ref="BH29:CG29" si="34">BH19-BH20-BH23</f>
        <v>7649816.8900000006</v>
      </c>
      <c r="BI29" s="414">
        <f t="shared" si="34"/>
        <v>5429403.5200000033</v>
      </c>
      <c r="BJ29" s="414">
        <f t="shared" si="34"/>
        <v>-9502890.9399999678</v>
      </c>
      <c r="BK29" s="414">
        <f t="shared" si="34"/>
        <v>-8806190.8600000143</v>
      </c>
      <c r="BL29" s="414">
        <f t="shared" si="34"/>
        <v>30491786.75</v>
      </c>
      <c r="BM29" s="414">
        <f t="shared" si="34"/>
        <v>29410886.229999959</v>
      </c>
      <c r="BN29" s="414">
        <f t="shared" si="34"/>
        <v>56040924.620000064</v>
      </c>
      <c r="BO29" s="414">
        <f t="shared" si="34"/>
        <v>55738698.130000085</v>
      </c>
      <c r="BP29" s="414">
        <f t="shared" si="34"/>
        <v>60834849.51000011</v>
      </c>
      <c r="BQ29" s="414">
        <f t="shared" si="34"/>
        <v>73402662.010000169</v>
      </c>
      <c r="BR29" s="414">
        <f t="shared" si="34"/>
        <v>80554648.610000074</v>
      </c>
      <c r="BS29" s="414">
        <f t="shared" si="34"/>
        <v>111351894.59999996</v>
      </c>
      <c r="BT29" s="414">
        <f t="shared" si="34"/>
        <v>162536913</v>
      </c>
      <c r="BU29" s="414">
        <f t="shared" si="34"/>
        <v>-24995519.989999995</v>
      </c>
      <c r="BV29" s="414">
        <f t="shared" si="34"/>
        <v>-20077539.339999974</v>
      </c>
      <c r="BW29" s="414">
        <f t="shared" si="34"/>
        <v>-25738101.380000025</v>
      </c>
      <c r="BX29" s="414">
        <f t="shared" si="34"/>
        <v>-46862259.290000021</v>
      </c>
      <c r="BY29" s="414">
        <f t="shared" si="34"/>
        <v>-59261856.580000013</v>
      </c>
      <c r="BZ29" s="414">
        <f t="shared" si="34"/>
        <v>-44606713.879999995</v>
      </c>
      <c r="CA29" s="414">
        <f t="shared" si="34"/>
        <v>-47486737.340000033</v>
      </c>
      <c r="CB29" s="414">
        <f t="shared" si="34"/>
        <v>-32236953.379999995</v>
      </c>
      <c r="CC29" s="414">
        <f t="shared" si="34"/>
        <v>-18279769.639999986</v>
      </c>
      <c r="CD29" s="414">
        <f t="shared" si="34"/>
        <v>2207185.0899999738</v>
      </c>
      <c r="CE29" s="414">
        <f t="shared" si="34"/>
        <v>17217657.139999866</v>
      </c>
      <c r="CF29" s="414">
        <f t="shared" si="34"/>
        <v>131715757.61000007</v>
      </c>
      <c r="CG29" s="414">
        <f t="shared" si="34"/>
        <v>191159760</v>
      </c>
      <c r="CH29" s="414">
        <f t="shared" ref="CH29:CS29" si="35">CH19-CH20-CH23</f>
        <v>-6454710.1399999857</v>
      </c>
      <c r="CI29" s="414">
        <f t="shared" si="35"/>
        <v>-36014194.169999972</v>
      </c>
      <c r="CJ29" s="414">
        <f t="shared" si="35"/>
        <v>-19791927.230000004</v>
      </c>
      <c r="CK29" s="414">
        <f t="shared" si="35"/>
        <v>-23642098.040000021</v>
      </c>
      <c r="CL29" s="414">
        <f t="shared" si="35"/>
        <v>-19353911.419999897</v>
      </c>
      <c r="CM29" s="414">
        <f t="shared" si="35"/>
        <v>6958155.4900000095</v>
      </c>
      <c r="CN29" s="414">
        <f t="shared" si="35"/>
        <v>18021979.430000067</v>
      </c>
      <c r="CO29" s="414">
        <f t="shared" si="35"/>
        <v>20383925.300000072</v>
      </c>
      <c r="CP29" s="414">
        <f t="shared" si="35"/>
        <v>50212880.710000038</v>
      </c>
      <c r="CQ29" s="414">
        <f t="shared" si="35"/>
        <v>0</v>
      </c>
      <c r="CR29" s="414">
        <f t="shared" si="35"/>
        <v>0</v>
      </c>
      <c r="CS29" s="414">
        <f t="shared" si="35"/>
        <v>0</v>
      </c>
    </row>
    <row r="30" spans="1:97">
      <c r="A30" s="79" t="s">
        <v>89</v>
      </c>
      <c r="B30" s="415">
        <v>0</v>
      </c>
      <c r="C30" s="413">
        <f t="shared" ref="C30:AT30" si="36">C31-C32</f>
        <v>0</v>
      </c>
      <c r="D30" s="413">
        <f t="shared" si="36"/>
        <v>0</v>
      </c>
      <c r="E30" s="413">
        <f t="shared" si="36"/>
        <v>0</v>
      </c>
      <c r="F30" s="413">
        <f t="shared" si="36"/>
        <v>0</v>
      </c>
      <c r="G30" s="413">
        <f t="shared" si="36"/>
        <v>0</v>
      </c>
      <c r="H30" s="413">
        <f t="shared" si="36"/>
        <v>0</v>
      </c>
      <c r="I30" s="413">
        <f t="shared" si="36"/>
        <v>0</v>
      </c>
      <c r="J30" s="413">
        <f t="shared" si="36"/>
        <v>0</v>
      </c>
      <c r="K30" s="413">
        <f t="shared" si="36"/>
        <v>0</v>
      </c>
      <c r="L30" s="413">
        <f t="shared" si="36"/>
        <v>0</v>
      </c>
      <c r="M30" s="413">
        <f t="shared" si="36"/>
        <v>0</v>
      </c>
      <c r="N30" s="413">
        <f t="shared" si="36"/>
        <v>0</v>
      </c>
      <c r="O30" s="413">
        <f t="shared" si="36"/>
        <v>0</v>
      </c>
      <c r="P30" s="413">
        <f t="shared" si="36"/>
        <v>0</v>
      </c>
      <c r="Q30" s="413">
        <f t="shared" si="36"/>
        <v>0</v>
      </c>
      <c r="R30" s="413">
        <f t="shared" si="36"/>
        <v>0</v>
      </c>
      <c r="S30" s="413">
        <f t="shared" si="36"/>
        <v>0</v>
      </c>
      <c r="T30" s="413">
        <f t="shared" si="36"/>
        <v>0</v>
      </c>
      <c r="U30" s="413">
        <f t="shared" si="36"/>
        <v>0</v>
      </c>
      <c r="V30" s="413">
        <f t="shared" si="36"/>
        <v>0</v>
      </c>
      <c r="W30" s="413">
        <f t="shared" si="36"/>
        <v>0</v>
      </c>
      <c r="X30" s="413">
        <f t="shared" si="36"/>
        <v>0</v>
      </c>
      <c r="Y30" s="413">
        <f t="shared" si="36"/>
        <v>0</v>
      </c>
      <c r="Z30" s="413">
        <f t="shared" si="36"/>
        <v>0</v>
      </c>
      <c r="AA30" s="413">
        <f t="shared" si="36"/>
        <v>0</v>
      </c>
      <c r="AB30" s="413">
        <f t="shared" si="36"/>
        <v>0</v>
      </c>
      <c r="AC30" s="413">
        <f t="shared" si="36"/>
        <v>-674731</v>
      </c>
      <c r="AD30" s="413">
        <f t="shared" si="36"/>
        <v>-896486</v>
      </c>
      <c r="AE30" s="413">
        <f t="shared" si="36"/>
        <v>805838.60000000009</v>
      </c>
      <c r="AF30" s="413">
        <f t="shared" si="36"/>
        <v>90508.600000000093</v>
      </c>
      <c r="AG30" s="413">
        <f t="shared" si="36"/>
        <v>0</v>
      </c>
      <c r="AH30" s="413">
        <f t="shared" si="36"/>
        <v>547121.60000000009</v>
      </c>
      <c r="AI30" s="413">
        <f t="shared" si="36"/>
        <v>-221500.39999999991</v>
      </c>
      <c r="AJ30" s="413">
        <f t="shared" si="36"/>
        <v>-292708.39999999991</v>
      </c>
      <c r="AK30" s="413">
        <f t="shared" si="36"/>
        <v>-290438.39999999991</v>
      </c>
      <c r="AL30" s="413">
        <f t="shared" si="36"/>
        <v>-793795.40000000014</v>
      </c>
      <c r="AM30" s="413">
        <f t="shared" si="36"/>
        <v>-1013561.4000000001</v>
      </c>
      <c r="AN30" s="413">
        <f t="shared" si="36"/>
        <v>-1364846.4000000001</v>
      </c>
      <c r="AO30" s="413">
        <f t="shared" si="36"/>
        <v>-1656633.4000000001</v>
      </c>
      <c r="AP30" s="413">
        <f t="shared" si="36"/>
        <v>-1930985.4000000001</v>
      </c>
      <c r="AQ30" s="413">
        <f t="shared" si="36"/>
        <v>-2318362.4000000004</v>
      </c>
      <c r="AR30" s="413">
        <f t="shared" si="36"/>
        <v>-3192582.4000000004</v>
      </c>
      <c r="AS30" s="426">
        <f t="shared" si="36"/>
        <v>-1789681.85</v>
      </c>
      <c r="AT30" s="413">
        <f t="shared" si="36"/>
        <v>0</v>
      </c>
      <c r="AU30" s="413">
        <f t="shared" ref="AU30:AZ30" si="37">AU31-AU32</f>
        <v>-724476</v>
      </c>
      <c r="AV30" s="413">
        <f t="shared" si="37"/>
        <v>580658.35000000009</v>
      </c>
      <c r="AW30" s="413">
        <f t="shared" si="37"/>
        <v>-212759.64999999991</v>
      </c>
      <c r="AX30" s="413">
        <f t="shared" si="37"/>
        <v>-677857.64999999991</v>
      </c>
      <c r="AY30" s="413">
        <f t="shared" si="37"/>
        <v>-1092890.6499999999</v>
      </c>
      <c r="AZ30" s="413">
        <f t="shared" si="37"/>
        <v>-977401.25</v>
      </c>
      <c r="BA30" s="413">
        <f t="shared" ref="BA30:BG30" si="38">BA31-BA32</f>
        <v>-2100344.25</v>
      </c>
      <c r="BB30" s="413">
        <f t="shared" si="38"/>
        <v>-2323748.25</v>
      </c>
      <c r="BC30" s="413">
        <f t="shared" si="38"/>
        <v>-2485476.25</v>
      </c>
      <c r="BD30" s="413">
        <f t="shared" si="38"/>
        <v>-2443327.25</v>
      </c>
      <c r="BE30" s="413">
        <f t="shared" si="38"/>
        <v>-1359455.6500000004</v>
      </c>
      <c r="BF30" s="413">
        <f t="shared" si="38"/>
        <v>-1615347.6500000004</v>
      </c>
      <c r="BG30" s="414">
        <f t="shared" si="38"/>
        <v>0</v>
      </c>
      <c r="BH30" s="414">
        <f t="shared" ref="BH30:CG30" si="39">BH31-BH32</f>
        <v>54249</v>
      </c>
      <c r="BI30" s="414">
        <f t="shared" si="39"/>
        <v>-899748.2</v>
      </c>
      <c r="BJ30" s="414">
        <f t="shared" si="39"/>
        <v>-2018060.2000000002</v>
      </c>
      <c r="BK30" s="414">
        <f t="shared" si="39"/>
        <v>-835731.69999999972</v>
      </c>
      <c r="BL30" s="414">
        <f t="shared" si="39"/>
        <v>-1204519.6999999997</v>
      </c>
      <c r="BM30" s="414">
        <f t="shared" si="39"/>
        <v>-2117194.6999999997</v>
      </c>
      <c r="BN30" s="414">
        <f t="shared" si="39"/>
        <v>-1269607.1499999999</v>
      </c>
      <c r="BO30" s="414">
        <f t="shared" si="39"/>
        <v>-1781010.1499999994</v>
      </c>
      <c r="BP30" s="414">
        <f t="shared" si="39"/>
        <v>-1904549.1499999994</v>
      </c>
      <c r="BQ30" s="414">
        <f t="shared" si="39"/>
        <v>-2004001.5999999996</v>
      </c>
      <c r="BR30" s="414">
        <f t="shared" si="39"/>
        <v>-2425770.5999999996</v>
      </c>
      <c r="BS30" s="414">
        <f t="shared" si="39"/>
        <v>-3038061.6000000006</v>
      </c>
      <c r="BT30" s="414">
        <f t="shared" si="39"/>
        <v>6106640</v>
      </c>
      <c r="BU30" s="414">
        <f t="shared" si="39"/>
        <v>1027424</v>
      </c>
      <c r="BV30" s="414">
        <f t="shared" si="39"/>
        <v>339491</v>
      </c>
      <c r="BW30" s="414">
        <f t="shared" si="39"/>
        <v>1046521.5499999998</v>
      </c>
      <c r="BX30" s="414">
        <f t="shared" si="39"/>
        <v>1798223.1</v>
      </c>
      <c r="BY30" s="414">
        <f t="shared" si="39"/>
        <v>1129277.1000000001</v>
      </c>
      <c r="BZ30" s="414">
        <f t="shared" si="39"/>
        <v>615677.09999999963</v>
      </c>
      <c r="CA30" s="414">
        <f t="shared" si="39"/>
        <v>207878.09999999963</v>
      </c>
      <c r="CB30" s="414">
        <f t="shared" si="39"/>
        <v>955031.20000000019</v>
      </c>
      <c r="CC30" s="414">
        <f t="shared" si="39"/>
        <v>909922.20000000019</v>
      </c>
      <c r="CD30" s="414">
        <f t="shared" si="39"/>
        <v>696538.20000000019</v>
      </c>
      <c r="CE30" s="414">
        <f t="shared" si="39"/>
        <v>-219859.79999999981</v>
      </c>
      <c r="CF30" s="414">
        <f t="shared" si="39"/>
        <v>1326939.3000000007</v>
      </c>
      <c r="CG30" s="414">
        <f t="shared" si="39"/>
        <v>9281265</v>
      </c>
      <c r="CH30" s="414">
        <f t="shared" ref="CH30:CS30" si="40">CH31-CH32</f>
        <v>842090.10000000009</v>
      </c>
      <c r="CI30" s="414">
        <f t="shared" si="40"/>
        <v>148908.10000000009</v>
      </c>
      <c r="CJ30" s="414">
        <f t="shared" si="40"/>
        <v>-431357.89999999991</v>
      </c>
      <c r="CK30" s="414">
        <f t="shared" si="40"/>
        <v>-1664919.7999999998</v>
      </c>
      <c r="CL30" s="414">
        <f t="shared" si="40"/>
        <v>690293.40000000037</v>
      </c>
      <c r="CM30" s="414">
        <f t="shared" si="40"/>
        <v>-222764.59999999963</v>
      </c>
      <c r="CN30" s="414">
        <f t="shared" si="40"/>
        <v>-767274.59999999963</v>
      </c>
      <c r="CO30" s="414">
        <f t="shared" si="40"/>
        <v>-1589171.6999999993</v>
      </c>
      <c r="CP30" s="414">
        <f t="shared" si="40"/>
        <v>-2150267.6999999993</v>
      </c>
      <c r="CQ30" s="414">
        <f t="shared" si="40"/>
        <v>0</v>
      </c>
      <c r="CR30" s="414">
        <f t="shared" si="40"/>
        <v>0</v>
      </c>
      <c r="CS30" s="414">
        <f t="shared" si="40"/>
        <v>0</v>
      </c>
    </row>
    <row r="31" spans="1:97" ht="12">
      <c r="A31" s="80" t="s">
        <v>90</v>
      </c>
      <c r="B31" s="448">
        <v>0</v>
      </c>
      <c r="C31" s="449">
        <v>0</v>
      </c>
      <c r="D31" s="450">
        <v>0</v>
      </c>
      <c r="E31" s="451"/>
      <c r="F31" s="420"/>
      <c r="G31" s="421"/>
      <c r="H31" s="421">
        <v>0</v>
      </c>
      <c r="I31" s="421">
        <v>0</v>
      </c>
      <c r="J31" s="421">
        <v>0</v>
      </c>
      <c r="K31" s="421"/>
      <c r="L31" s="375">
        <v>0</v>
      </c>
      <c r="M31" s="375">
        <v>0</v>
      </c>
      <c r="N31" s="375">
        <v>0</v>
      </c>
      <c r="O31" s="375">
        <v>0</v>
      </c>
      <c r="P31" s="375">
        <v>0</v>
      </c>
      <c r="Q31" s="375">
        <v>0</v>
      </c>
      <c r="R31" s="375">
        <v>0</v>
      </c>
      <c r="S31" s="375">
        <v>0</v>
      </c>
      <c r="T31" s="375">
        <v>0</v>
      </c>
      <c r="U31" s="375">
        <v>0</v>
      </c>
      <c r="V31" s="375">
        <v>0</v>
      </c>
      <c r="W31" s="375">
        <v>0</v>
      </c>
      <c r="X31" s="375">
        <v>0</v>
      </c>
      <c r="Y31" s="375">
        <v>0</v>
      </c>
      <c r="Z31" s="375">
        <v>0</v>
      </c>
      <c r="AA31" s="375">
        <v>0</v>
      </c>
      <c r="AB31" s="375">
        <v>0</v>
      </c>
      <c r="AC31" s="375">
        <v>207000</v>
      </c>
      <c r="AD31" s="375">
        <v>416700</v>
      </c>
      <c r="AE31" s="375">
        <v>2294764.6</v>
      </c>
      <c r="AF31" s="378">
        <v>2333764.6</v>
      </c>
      <c r="AG31" s="375">
        <v>0</v>
      </c>
      <c r="AH31" s="380">
        <v>955382.3</v>
      </c>
      <c r="AI31" s="380">
        <v>553532.30000000005</v>
      </c>
      <c r="AJ31" s="380">
        <v>1093532.3</v>
      </c>
      <c r="AK31" s="380">
        <v>1319382.3</v>
      </c>
      <c r="AL31" s="380">
        <v>1434862.3</v>
      </c>
      <c r="AM31" s="380">
        <v>1599862.3</v>
      </c>
      <c r="AN31" s="380">
        <v>1623277.3</v>
      </c>
      <c r="AO31" s="380">
        <v>1785937.3</v>
      </c>
      <c r="AP31" s="380">
        <v>1858437.3</v>
      </c>
      <c r="AQ31" s="380">
        <v>1953287.3</v>
      </c>
      <c r="AR31" s="380">
        <v>2089287.3</v>
      </c>
      <c r="AS31" s="381">
        <v>3989327.85</v>
      </c>
      <c r="AT31" s="402"/>
      <c r="AU31" s="375">
        <v>9210</v>
      </c>
      <c r="AV31" s="375">
        <v>1158072.3500000001</v>
      </c>
      <c r="AW31" s="375">
        <v>1388842.35</v>
      </c>
      <c r="AX31" s="375">
        <v>1467502.35</v>
      </c>
      <c r="AY31" s="375">
        <v>1522502.35</v>
      </c>
      <c r="AZ31" s="375">
        <v>2784932.75</v>
      </c>
      <c r="BA31" s="380">
        <v>2851432.75</v>
      </c>
      <c r="BB31" s="380">
        <v>3016782.75</v>
      </c>
      <c r="BC31" s="380">
        <v>3066782.75</v>
      </c>
      <c r="BD31" s="422">
        <v>3099782.75</v>
      </c>
      <c r="BE31" s="422">
        <v>4848534.05</v>
      </c>
      <c r="BF31" s="422">
        <v>5391390.0499999998</v>
      </c>
      <c r="BG31" s="452">
        <v>0</v>
      </c>
      <c r="BH31" s="422">
        <v>316985</v>
      </c>
      <c r="BI31" s="422">
        <v>524935</v>
      </c>
      <c r="BJ31" s="422">
        <v>600535</v>
      </c>
      <c r="BK31" s="422">
        <v>2517802.1</v>
      </c>
      <c r="BL31" s="422">
        <v>2848103.1</v>
      </c>
      <c r="BM31" s="422">
        <v>2929187.1</v>
      </c>
      <c r="BN31" s="422">
        <v>4145949.65</v>
      </c>
      <c r="BO31" s="422">
        <v>4266362.6500000004</v>
      </c>
      <c r="BP31" s="422">
        <v>4733800.6500000004</v>
      </c>
      <c r="BQ31" s="422">
        <v>5396537.2000000002</v>
      </c>
      <c r="BR31" s="422">
        <v>5650873.2000000002</v>
      </c>
      <c r="BS31" s="422">
        <v>6106640.2000000002</v>
      </c>
      <c r="BT31" s="422">
        <v>6106640</v>
      </c>
      <c r="BU31" s="463">
        <v>990073</v>
      </c>
      <c r="BV31" s="463">
        <v>1008922</v>
      </c>
      <c r="BW31" s="463">
        <v>2109823.5499999998</v>
      </c>
      <c r="BX31" s="463">
        <v>3760123.1</v>
      </c>
      <c r="BY31" s="463">
        <v>3950359.1</v>
      </c>
      <c r="BZ31" s="463">
        <v>4433391.0999999996</v>
      </c>
      <c r="CA31" s="463">
        <v>4854631.0999999996</v>
      </c>
      <c r="CB31" s="463">
        <v>6273256.2000000002</v>
      </c>
      <c r="CC31" s="463">
        <v>6610220.2000000002</v>
      </c>
      <c r="CD31" s="463">
        <v>7004476.2000000002</v>
      </c>
      <c r="CE31" s="463">
        <v>7265703.2000000002</v>
      </c>
      <c r="CF31" s="463">
        <v>9281265.3000000007</v>
      </c>
      <c r="CG31" s="462">
        <v>9281265</v>
      </c>
      <c r="CH31" s="465">
        <v>2139663.1</v>
      </c>
      <c r="CI31" s="465">
        <v>2557285.1</v>
      </c>
      <c r="CJ31" s="465">
        <v>2862562.1</v>
      </c>
      <c r="CK31" s="382">
        <v>3745376.2</v>
      </c>
      <c r="CL31" s="382">
        <v>6787060.5</v>
      </c>
      <c r="CM31" s="382">
        <v>6990362.5</v>
      </c>
      <c r="CN31" s="512">
        <v>7449955.5</v>
      </c>
      <c r="CO31" s="512">
        <v>7689940.4000000004</v>
      </c>
      <c r="CP31" s="512">
        <v>7862691.4000000004</v>
      </c>
    </row>
    <row r="32" spans="1:97" ht="12">
      <c r="A32" s="80" t="s">
        <v>91</v>
      </c>
      <c r="B32" s="416">
        <v>21460000</v>
      </c>
      <c r="C32" s="449">
        <v>0</v>
      </c>
      <c r="D32" s="450">
        <v>0</v>
      </c>
      <c r="E32" s="451"/>
      <c r="F32" s="420"/>
      <c r="G32" s="421"/>
      <c r="H32" s="421">
        <v>0</v>
      </c>
      <c r="I32" s="421">
        <v>0</v>
      </c>
      <c r="J32" s="421">
        <v>0</v>
      </c>
      <c r="K32" s="421"/>
      <c r="L32" s="375">
        <v>0</v>
      </c>
      <c r="M32" s="375">
        <v>0</v>
      </c>
      <c r="N32" s="375">
        <v>0</v>
      </c>
      <c r="O32" s="375">
        <v>0</v>
      </c>
      <c r="P32" s="375">
        <v>0</v>
      </c>
      <c r="Q32" s="375">
        <v>0</v>
      </c>
      <c r="R32" s="375">
        <v>0</v>
      </c>
      <c r="S32" s="375">
        <v>0</v>
      </c>
      <c r="T32" s="375">
        <v>0</v>
      </c>
      <c r="U32" s="375">
        <v>0</v>
      </c>
      <c r="V32" s="375">
        <v>0</v>
      </c>
      <c r="W32" s="375">
        <v>0</v>
      </c>
      <c r="X32" s="375">
        <v>0</v>
      </c>
      <c r="Y32" s="375">
        <v>0</v>
      </c>
      <c r="Z32" s="375">
        <v>0</v>
      </c>
      <c r="AA32" s="375">
        <v>0</v>
      </c>
      <c r="AB32" s="375">
        <v>0</v>
      </c>
      <c r="AC32" s="375">
        <v>881731</v>
      </c>
      <c r="AD32" s="375">
        <v>1313186</v>
      </c>
      <c r="AE32" s="375">
        <v>1488926</v>
      </c>
      <c r="AF32" s="378">
        <v>2243256</v>
      </c>
      <c r="AG32" s="375">
        <v>0</v>
      </c>
      <c r="AH32" s="380">
        <v>408260.7</v>
      </c>
      <c r="AI32" s="380">
        <v>775032.7</v>
      </c>
      <c r="AJ32" s="380">
        <v>1386240.7</v>
      </c>
      <c r="AK32" s="380">
        <v>1609820.7</v>
      </c>
      <c r="AL32" s="380">
        <v>2228657.7000000002</v>
      </c>
      <c r="AM32" s="380">
        <v>2613423.7000000002</v>
      </c>
      <c r="AN32" s="380">
        <v>2988123.7</v>
      </c>
      <c r="AO32" s="380">
        <v>3442570.7</v>
      </c>
      <c r="AP32" s="380">
        <v>3789422.7</v>
      </c>
      <c r="AQ32" s="380">
        <v>4271649.7</v>
      </c>
      <c r="AR32" s="380">
        <v>5281869.7</v>
      </c>
      <c r="AS32" s="381">
        <v>5779009.7000000002</v>
      </c>
      <c r="AT32" s="420"/>
      <c r="AU32" s="375">
        <v>733686</v>
      </c>
      <c r="AV32" s="375">
        <v>577414</v>
      </c>
      <c r="AW32" s="375">
        <v>1601602</v>
      </c>
      <c r="AX32" s="375">
        <v>2145360</v>
      </c>
      <c r="AY32" s="375">
        <v>2615393</v>
      </c>
      <c r="AZ32" s="375">
        <v>3762334</v>
      </c>
      <c r="BA32" s="380">
        <v>4951777</v>
      </c>
      <c r="BB32" s="380">
        <v>5340531</v>
      </c>
      <c r="BC32" s="380">
        <v>5552259</v>
      </c>
      <c r="BD32" s="422">
        <v>5543110</v>
      </c>
      <c r="BE32" s="422">
        <v>6207989.7000000002</v>
      </c>
      <c r="BF32" s="422">
        <v>7006737.7000000002</v>
      </c>
      <c r="BG32" s="452">
        <v>0</v>
      </c>
      <c r="BH32" s="422">
        <v>262736</v>
      </c>
      <c r="BI32" s="422">
        <v>1424683.2</v>
      </c>
      <c r="BJ32" s="422">
        <v>2618595.2000000002</v>
      </c>
      <c r="BK32" s="422">
        <v>3353533.8</v>
      </c>
      <c r="BL32" s="422">
        <v>4052622.8</v>
      </c>
      <c r="BM32" s="422">
        <v>5046381.8</v>
      </c>
      <c r="BN32" s="422">
        <v>5415556.7999999998</v>
      </c>
      <c r="BO32" s="422">
        <v>6047372.7999999998</v>
      </c>
      <c r="BP32" s="422">
        <v>6638349.7999999998</v>
      </c>
      <c r="BQ32" s="422">
        <v>7400538.7999999998</v>
      </c>
      <c r="BR32" s="422">
        <v>8076643.7999999998</v>
      </c>
      <c r="BS32" s="422">
        <v>9144701.8000000007</v>
      </c>
      <c r="BT32" s="422"/>
      <c r="BU32" s="463">
        <v>-37351</v>
      </c>
      <c r="BV32" s="463">
        <v>669431</v>
      </c>
      <c r="BW32" s="463">
        <v>1063302</v>
      </c>
      <c r="BX32" s="463">
        <v>1961900</v>
      </c>
      <c r="BY32" s="463">
        <v>2821082</v>
      </c>
      <c r="BZ32" s="463">
        <v>3817714</v>
      </c>
      <c r="CA32" s="463">
        <v>4646753</v>
      </c>
      <c r="CB32" s="463">
        <v>5318225</v>
      </c>
      <c r="CC32" s="463">
        <v>5700298</v>
      </c>
      <c r="CD32" s="463">
        <v>6307938</v>
      </c>
      <c r="CE32" s="463">
        <v>7485563</v>
      </c>
      <c r="CF32" s="463">
        <v>7954326</v>
      </c>
      <c r="CG32" s="463"/>
      <c r="CH32" s="465">
        <v>1297573</v>
      </c>
      <c r="CI32" s="465">
        <v>2408377</v>
      </c>
      <c r="CJ32" s="465">
        <v>3293920</v>
      </c>
      <c r="CK32" s="382">
        <v>5410296</v>
      </c>
      <c r="CL32" s="382">
        <v>6096767.0999999996</v>
      </c>
      <c r="CM32" s="382">
        <v>7213127.0999999996</v>
      </c>
      <c r="CN32" s="514">
        <v>8217230.0999999996</v>
      </c>
      <c r="CO32" s="514">
        <v>9279112.0999999996</v>
      </c>
      <c r="CP32" s="514">
        <v>10012959.1</v>
      </c>
    </row>
    <row r="33" spans="1:97" s="374" customFormat="1">
      <c r="A33" s="79" t="s">
        <v>92</v>
      </c>
      <c r="B33" s="415">
        <v>356000</v>
      </c>
      <c r="C33" s="415">
        <f t="shared" ref="C33:BN33" si="41">C29+C30</f>
        <v>31687000</v>
      </c>
      <c r="D33" s="453">
        <f t="shared" si="41"/>
        <v>57995000</v>
      </c>
      <c r="E33" s="453">
        <f t="shared" si="41"/>
        <v>92701868</v>
      </c>
      <c r="F33" s="454">
        <f t="shared" si="41"/>
        <v>63979005.089999974</v>
      </c>
      <c r="G33" s="454">
        <f t="shared" si="41"/>
        <v>68829659</v>
      </c>
      <c r="H33" s="454">
        <f t="shared" si="41"/>
        <v>35394972.629999995</v>
      </c>
      <c r="I33" s="454">
        <f t="shared" si="41"/>
        <v>-33745366.18999999</v>
      </c>
      <c r="J33" s="454">
        <f t="shared" si="41"/>
        <v>-31933390.799999997</v>
      </c>
      <c r="K33" s="454">
        <f t="shared" si="41"/>
        <v>-37953401.050000042</v>
      </c>
      <c r="L33" s="454">
        <f t="shared" si="41"/>
        <v>-38326729.040000007</v>
      </c>
      <c r="M33" s="454">
        <f t="shared" si="41"/>
        <v>-30492385.179999962</v>
      </c>
      <c r="N33" s="454">
        <f t="shared" si="41"/>
        <v>-25960956.350000024</v>
      </c>
      <c r="O33" s="454">
        <f t="shared" si="41"/>
        <v>-5251501.3500000238</v>
      </c>
      <c r="P33" s="454">
        <f t="shared" si="41"/>
        <v>9491888.9699999392</v>
      </c>
      <c r="Q33" s="454">
        <f t="shared" si="41"/>
        <v>16787847.690000027</v>
      </c>
      <c r="R33" s="454">
        <f t="shared" si="41"/>
        <v>14583515.970000088</v>
      </c>
      <c r="S33" s="454">
        <f t="shared" si="41"/>
        <v>41128398.259999841</v>
      </c>
      <c r="T33" s="454">
        <f t="shared" si="41"/>
        <v>125621643</v>
      </c>
      <c r="U33" s="454">
        <f t="shared" si="41"/>
        <v>89093078.61999999</v>
      </c>
      <c r="V33" s="454">
        <f t="shared" si="41"/>
        <v>-43964153.259999976</v>
      </c>
      <c r="W33" s="454">
        <f t="shared" si="41"/>
        <v>-47605079.920000017</v>
      </c>
      <c r="X33" s="454">
        <f t="shared" si="41"/>
        <v>-49774018.110000014</v>
      </c>
      <c r="Y33" s="454">
        <f t="shared" si="41"/>
        <v>-32260668.869999945</v>
      </c>
      <c r="Z33" s="454">
        <f t="shared" si="41"/>
        <v>-22234451.570000023</v>
      </c>
      <c r="AA33" s="454">
        <f t="shared" si="41"/>
        <v>-16035294.210000157</v>
      </c>
      <c r="AB33" s="454">
        <f t="shared" si="41"/>
        <v>2724994.1499999166</v>
      </c>
      <c r="AC33" s="454">
        <f t="shared" si="41"/>
        <v>14428366.049999952</v>
      </c>
      <c r="AD33" s="454">
        <f t="shared" si="41"/>
        <v>24772724.900000095</v>
      </c>
      <c r="AE33" s="454">
        <f t="shared" si="41"/>
        <v>39126611.420000054</v>
      </c>
      <c r="AF33" s="454">
        <f t="shared" si="41"/>
        <v>107233639.85000011</v>
      </c>
      <c r="AG33" s="454">
        <f t="shared" si="41"/>
        <v>157149132.10708594</v>
      </c>
      <c r="AH33" s="454">
        <f t="shared" si="41"/>
        <v>2236620.0400000052</v>
      </c>
      <c r="AI33" s="454">
        <f t="shared" si="41"/>
        <v>-13132449.690000007</v>
      </c>
      <c r="AJ33" s="454">
        <f t="shared" si="41"/>
        <v>-33082545.750000007</v>
      </c>
      <c r="AK33" s="454">
        <f t="shared" si="41"/>
        <v>-34795274.249999963</v>
      </c>
      <c r="AL33" s="454">
        <f t="shared" si="41"/>
        <v>-39008575.829999976</v>
      </c>
      <c r="AM33" s="454">
        <f t="shared" si="41"/>
        <v>-27381567.760000072</v>
      </c>
      <c r="AN33" s="454">
        <f t="shared" si="41"/>
        <v>-24295817.780000053</v>
      </c>
      <c r="AO33" s="454">
        <f t="shared" si="41"/>
        <v>-2148444.4300000314</v>
      </c>
      <c r="AP33" s="454">
        <f t="shared" si="41"/>
        <v>-1802740.1799999715</v>
      </c>
      <c r="AQ33" s="454">
        <f t="shared" si="41"/>
        <v>-6289782.870000029</v>
      </c>
      <c r="AR33" s="454">
        <f t="shared" si="41"/>
        <v>4927046.5799999591</v>
      </c>
      <c r="AS33" s="455">
        <f t="shared" si="41"/>
        <v>1620375.5799999475</v>
      </c>
      <c r="AT33" s="454">
        <f t="shared" si="41"/>
        <v>171394344</v>
      </c>
      <c r="AU33" s="454">
        <f t="shared" si="41"/>
        <v>-2968252.8800000101</v>
      </c>
      <c r="AV33" s="454">
        <f t="shared" si="41"/>
        <v>-3704573.9199999957</v>
      </c>
      <c r="AW33" s="454">
        <f t="shared" si="41"/>
        <v>-29353265.79999999</v>
      </c>
      <c r="AX33" s="454">
        <f t="shared" si="41"/>
        <v>-6054075.7899999861</v>
      </c>
      <c r="AY33" s="454">
        <f t="shared" si="41"/>
        <v>-770222.18999996176</v>
      </c>
      <c r="AZ33" s="454">
        <f t="shared" si="41"/>
        <v>-6899919.1399999261</v>
      </c>
      <c r="BA33" s="454">
        <f t="shared" si="41"/>
        <v>4798673.530000031</v>
      </c>
      <c r="BB33" s="454">
        <f t="shared" si="41"/>
        <v>19648315.520000041</v>
      </c>
      <c r="BC33" s="454">
        <f t="shared" si="41"/>
        <v>36837692.029999971</v>
      </c>
      <c r="BD33" s="454">
        <f t="shared" si="41"/>
        <v>62205426.969999969</v>
      </c>
      <c r="BE33" s="454">
        <f t="shared" si="41"/>
        <v>78727856.640000075</v>
      </c>
      <c r="BF33" s="454">
        <f t="shared" si="41"/>
        <v>93798269.819999903</v>
      </c>
      <c r="BG33" s="456">
        <f t="shared" si="41"/>
        <v>153713889</v>
      </c>
      <c r="BH33" s="456">
        <f t="shared" si="41"/>
        <v>7704065.8900000006</v>
      </c>
      <c r="BI33" s="456">
        <f t="shared" si="41"/>
        <v>4529655.3200000031</v>
      </c>
      <c r="BJ33" s="456">
        <f t="shared" si="41"/>
        <v>-11520951.139999967</v>
      </c>
      <c r="BK33" s="456">
        <f t="shared" si="41"/>
        <v>-9641922.5600000136</v>
      </c>
      <c r="BL33" s="456">
        <f t="shared" si="41"/>
        <v>29287267.050000001</v>
      </c>
      <c r="BM33" s="456">
        <f t="shared" si="41"/>
        <v>27293691.52999996</v>
      </c>
      <c r="BN33" s="456">
        <f t="shared" si="41"/>
        <v>54771317.470000066</v>
      </c>
      <c r="BO33" s="456">
        <f t="shared" ref="BO33:CS33" si="42">BO29+BO30</f>
        <v>53957687.980000086</v>
      </c>
      <c r="BP33" s="456">
        <f t="shared" si="42"/>
        <v>58930300.360000111</v>
      </c>
      <c r="BQ33" s="456">
        <f t="shared" si="42"/>
        <v>71398660.410000175</v>
      </c>
      <c r="BR33" s="456">
        <f t="shared" si="42"/>
        <v>78128878.01000008</v>
      </c>
      <c r="BS33" s="456">
        <f t="shared" si="42"/>
        <v>108313832.99999997</v>
      </c>
      <c r="BT33" s="456">
        <f t="shared" si="42"/>
        <v>168643553</v>
      </c>
      <c r="BU33" s="456">
        <f t="shared" si="42"/>
        <v>-23968095.989999995</v>
      </c>
      <c r="BV33" s="456">
        <f t="shared" si="42"/>
        <v>-19738048.339999974</v>
      </c>
      <c r="BW33" s="456">
        <f t="shared" si="42"/>
        <v>-24691579.830000024</v>
      </c>
      <c r="BX33" s="456">
        <f t="shared" si="42"/>
        <v>-45064036.19000002</v>
      </c>
      <c r="BY33" s="456">
        <f t="shared" si="42"/>
        <v>-58132579.480000012</v>
      </c>
      <c r="BZ33" s="456">
        <f t="shared" si="42"/>
        <v>-43991036.779999994</v>
      </c>
      <c r="CA33" s="456">
        <f t="shared" si="42"/>
        <v>-47278859.240000032</v>
      </c>
      <c r="CB33" s="456">
        <f t="shared" si="42"/>
        <v>-31281922.179999996</v>
      </c>
      <c r="CC33" s="456">
        <f t="shared" si="42"/>
        <v>-17369847.439999986</v>
      </c>
      <c r="CD33" s="456">
        <f t="shared" si="42"/>
        <v>2903723.289999974</v>
      </c>
      <c r="CE33" s="456">
        <f t="shared" si="42"/>
        <v>16997797.339999866</v>
      </c>
      <c r="CF33" s="456">
        <f t="shared" si="42"/>
        <v>133042696.91000007</v>
      </c>
      <c r="CG33" s="456">
        <f t="shared" si="42"/>
        <v>200441025</v>
      </c>
      <c r="CH33" s="456">
        <f t="shared" si="42"/>
        <v>-5612620.0399999861</v>
      </c>
      <c r="CI33" s="456">
        <f t="shared" si="42"/>
        <v>-35865286.06999997</v>
      </c>
      <c r="CJ33" s="456">
        <f t="shared" si="42"/>
        <v>-20223285.130000003</v>
      </c>
      <c r="CK33" s="456">
        <f t="shared" si="42"/>
        <v>-25307017.840000022</v>
      </c>
      <c r="CL33" s="456">
        <f t="shared" si="42"/>
        <v>-18663618.019999899</v>
      </c>
      <c r="CM33" s="456">
        <f t="shared" si="42"/>
        <v>6735390.8900000099</v>
      </c>
      <c r="CN33" s="456">
        <f t="shared" si="42"/>
        <v>17254704.830000065</v>
      </c>
      <c r="CO33" s="456">
        <f t="shared" si="42"/>
        <v>18794753.600000072</v>
      </c>
      <c r="CP33" s="456">
        <f t="shared" si="42"/>
        <v>48062613.010000035</v>
      </c>
      <c r="CQ33" s="456">
        <f t="shared" si="42"/>
        <v>0</v>
      </c>
      <c r="CR33" s="456">
        <f t="shared" si="42"/>
        <v>0</v>
      </c>
      <c r="CS33" s="456">
        <f t="shared" si="42"/>
        <v>0</v>
      </c>
    </row>
    <row r="34" spans="1:97" ht="12">
      <c r="A34" s="80" t="s">
        <v>93</v>
      </c>
      <c r="B34" s="416"/>
      <c r="C34" s="416">
        <f>627000+608000</f>
        <v>1235000</v>
      </c>
      <c r="D34" s="443">
        <v>1144000</v>
      </c>
      <c r="E34" s="444">
        <v>4104450</v>
      </c>
      <c r="F34" s="420">
        <v>6938128</v>
      </c>
      <c r="G34" s="421">
        <v>7617138</v>
      </c>
      <c r="H34" s="421">
        <v>0</v>
      </c>
      <c r="I34" s="421">
        <v>0</v>
      </c>
      <c r="J34" s="421">
        <v>0</v>
      </c>
      <c r="K34" s="421"/>
      <c r="L34" s="375">
        <v>0</v>
      </c>
      <c r="M34" s="375">
        <v>0</v>
      </c>
      <c r="N34" s="375">
        <v>0</v>
      </c>
      <c r="O34" s="375">
        <v>0</v>
      </c>
      <c r="P34" s="375">
        <v>0</v>
      </c>
      <c r="Q34" s="375">
        <v>0</v>
      </c>
      <c r="R34" s="375">
        <v>0</v>
      </c>
      <c r="S34" s="375">
        <v>0</v>
      </c>
      <c r="T34" s="421">
        <v>9351589</v>
      </c>
      <c r="U34" s="421">
        <v>0</v>
      </c>
      <c r="V34" s="421">
        <v>0</v>
      </c>
      <c r="W34" s="421">
        <v>0</v>
      </c>
      <c r="X34" s="375">
        <v>0</v>
      </c>
      <c r="Y34" s="375">
        <v>0</v>
      </c>
      <c r="Z34" s="375">
        <v>0</v>
      </c>
      <c r="AA34" s="375">
        <v>0</v>
      </c>
      <c r="AB34" s="375">
        <v>0</v>
      </c>
      <c r="AC34" s="375">
        <v>0</v>
      </c>
      <c r="AD34" s="375">
        <v>0</v>
      </c>
      <c r="AE34" s="375">
        <v>0</v>
      </c>
      <c r="AF34" s="378">
        <v>0</v>
      </c>
      <c r="AG34" s="379">
        <v>11764054</v>
      </c>
      <c r="AH34" s="380">
        <v>0</v>
      </c>
      <c r="AI34" s="380">
        <v>0</v>
      </c>
      <c r="AJ34" s="380">
        <v>0</v>
      </c>
      <c r="AK34" s="380">
        <v>0</v>
      </c>
      <c r="AL34" s="380">
        <v>0</v>
      </c>
      <c r="AM34" s="380">
        <v>0</v>
      </c>
      <c r="AN34" s="380">
        <v>0</v>
      </c>
      <c r="AO34" s="380">
        <v>0</v>
      </c>
      <c r="AP34" s="380">
        <v>0</v>
      </c>
      <c r="AQ34" s="380">
        <v>0</v>
      </c>
      <c r="AR34" s="380">
        <v>0</v>
      </c>
      <c r="AS34" s="381">
        <v>0</v>
      </c>
      <c r="AT34" s="420">
        <v>19084108</v>
      </c>
      <c r="AZ34" s="375">
        <v>0</v>
      </c>
      <c r="BA34" s="380">
        <v>0</v>
      </c>
      <c r="BB34" s="380">
        <v>0</v>
      </c>
      <c r="BC34" s="380">
        <v>0</v>
      </c>
      <c r="BD34" s="380">
        <v>0</v>
      </c>
      <c r="BE34" s="380">
        <v>0</v>
      </c>
      <c r="BF34" s="380">
        <v>0</v>
      </c>
      <c r="BG34" s="452">
        <v>29878000</v>
      </c>
      <c r="BT34" s="422">
        <v>36435204</v>
      </c>
      <c r="BU34" s="463">
        <v>0</v>
      </c>
      <c r="BV34" s="463">
        <v>0</v>
      </c>
      <c r="BW34" s="463">
        <v>0</v>
      </c>
      <c r="BX34" s="463">
        <v>0</v>
      </c>
      <c r="BY34" s="463">
        <v>0</v>
      </c>
      <c r="BZ34" s="463">
        <v>0</v>
      </c>
      <c r="CA34" s="463">
        <v>0</v>
      </c>
      <c r="CB34" s="463">
        <v>0</v>
      </c>
      <c r="CC34" s="463">
        <v>0</v>
      </c>
      <c r="CD34" s="463">
        <v>0</v>
      </c>
      <c r="CE34" s="463">
        <v>0</v>
      </c>
      <c r="CF34" s="463">
        <v>0</v>
      </c>
      <c r="CG34" s="462">
        <v>41615007</v>
      </c>
      <c r="CH34" s="465">
        <v>0</v>
      </c>
      <c r="CI34" s="465">
        <v>0</v>
      </c>
      <c r="CJ34" s="465">
        <v>0</v>
      </c>
      <c r="CK34" s="382">
        <v>0</v>
      </c>
      <c r="CL34" s="382">
        <v>0</v>
      </c>
      <c r="CM34" s="382">
        <v>0</v>
      </c>
      <c r="CN34" s="382">
        <v>0</v>
      </c>
      <c r="CO34" s="382">
        <v>0</v>
      </c>
      <c r="CP34" s="511">
        <v>0</v>
      </c>
    </row>
    <row r="35" spans="1:97" s="374" customFormat="1">
      <c r="A35" s="79" t="s">
        <v>94</v>
      </c>
      <c r="B35" s="415">
        <f t="shared" ref="B35:BM35" si="43">B33-B34</f>
        <v>356000</v>
      </c>
      <c r="C35" s="415">
        <f t="shared" si="43"/>
        <v>30452000</v>
      </c>
      <c r="D35" s="457">
        <f t="shared" si="43"/>
        <v>56851000</v>
      </c>
      <c r="E35" s="426">
        <f t="shared" si="43"/>
        <v>88597418</v>
      </c>
      <c r="F35" s="426">
        <f t="shared" si="43"/>
        <v>57040877.089999974</v>
      </c>
      <c r="G35" s="426">
        <f t="shared" si="43"/>
        <v>61212521</v>
      </c>
      <c r="H35" s="426">
        <f t="shared" si="43"/>
        <v>35394972.629999995</v>
      </c>
      <c r="I35" s="426">
        <f t="shared" si="43"/>
        <v>-33745366.18999999</v>
      </c>
      <c r="J35" s="426">
        <f t="shared" si="43"/>
        <v>-31933390.799999997</v>
      </c>
      <c r="K35" s="426">
        <f t="shared" si="43"/>
        <v>-37953401.050000042</v>
      </c>
      <c r="L35" s="426">
        <f t="shared" si="43"/>
        <v>-38326729.040000007</v>
      </c>
      <c r="M35" s="426">
        <f t="shared" si="43"/>
        <v>-30492385.179999962</v>
      </c>
      <c r="N35" s="426">
        <f t="shared" si="43"/>
        <v>-25960956.350000024</v>
      </c>
      <c r="O35" s="426">
        <f t="shared" si="43"/>
        <v>-5251501.3500000238</v>
      </c>
      <c r="P35" s="426">
        <f t="shared" si="43"/>
        <v>9491888.9699999392</v>
      </c>
      <c r="Q35" s="426">
        <f t="shared" si="43"/>
        <v>16787847.690000027</v>
      </c>
      <c r="R35" s="426">
        <f t="shared" si="43"/>
        <v>14583515.970000088</v>
      </c>
      <c r="S35" s="426">
        <f t="shared" si="43"/>
        <v>41128398.259999841</v>
      </c>
      <c r="T35" s="426">
        <f t="shared" si="43"/>
        <v>116270054</v>
      </c>
      <c r="U35" s="426">
        <f t="shared" si="43"/>
        <v>89093078.61999999</v>
      </c>
      <c r="V35" s="426">
        <f t="shared" si="43"/>
        <v>-43964153.259999976</v>
      </c>
      <c r="W35" s="426">
        <f t="shared" si="43"/>
        <v>-47605079.920000017</v>
      </c>
      <c r="X35" s="426">
        <f t="shared" si="43"/>
        <v>-49774018.110000014</v>
      </c>
      <c r="Y35" s="426">
        <f t="shared" si="43"/>
        <v>-32260668.869999945</v>
      </c>
      <c r="Z35" s="426">
        <f t="shared" si="43"/>
        <v>-22234451.570000023</v>
      </c>
      <c r="AA35" s="426">
        <f t="shared" si="43"/>
        <v>-16035294.210000157</v>
      </c>
      <c r="AB35" s="426">
        <f t="shared" si="43"/>
        <v>2724994.1499999166</v>
      </c>
      <c r="AC35" s="426">
        <f t="shared" si="43"/>
        <v>14428366.049999952</v>
      </c>
      <c r="AD35" s="426">
        <f t="shared" si="43"/>
        <v>24772724.900000095</v>
      </c>
      <c r="AE35" s="426">
        <f t="shared" si="43"/>
        <v>39126611.420000054</v>
      </c>
      <c r="AF35" s="426">
        <f t="shared" si="43"/>
        <v>107233639.85000011</v>
      </c>
      <c r="AG35" s="426">
        <f t="shared" si="43"/>
        <v>145385078.10708594</v>
      </c>
      <c r="AH35" s="426">
        <f t="shared" si="43"/>
        <v>2236620.0400000052</v>
      </c>
      <c r="AI35" s="426">
        <f t="shared" si="43"/>
        <v>-13132449.690000007</v>
      </c>
      <c r="AJ35" s="426">
        <f t="shared" si="43"/>
        <v>-33082545.750000007</v>
      </c>
      <c r="AK35" s="426">
        <f t="shared" si="43"/>
        <v>-34795274.249999963</v>
      </c>
      <c r="AL35" s="426">
        <f t="shared" si="43"/>
        <v>-39008575.829999976</v>
      </c>
      <c r="AM35" s="426">
        <f t="shared" si="43"/>
        <v>-27381567.760000072</v>
      </c>
      <c r="AN35" s="426">
        <f t="shared" si="43"/>
        <v>-24295817.780000053</v>
      </c>
      <c r="AO35" s="426">
        <f t="shared" si="43"/>
        <v>-2148444.4300000314</v>
      </c>
      <c r="AP35" s="426">
        <f t="shared" si="43"/>
        <v>-1802740.1799999715</v>
      </c>
      <c r="AQ35" s="426">
        <f t="shared" si="43"/>
        <v>-6289782.870000029</v>
      </c>
      <c r="AR35" s="426">
        <f t="shared" si="43"/>
        <v>4927046.5799999591</v>
      </c>
      <c r="AS35" s="426">
        <f t="shared" si="43"/>
        <v>1620375.5799999475</v>
      </c>
      <c r="AT35" s="413">
        <f t="shared" si="43"/>
        <v>152310236</v>
      </c>
      <c r="AU35" s="413">
        <f t="shared" si="43"/>
        <v>-2968252.8800000101</v>
      </c>
      <c r="AV35" s="413">
        <f t="shared" si="43"/>
        <v>-3704573.9199999957</v>
      </c>
      <c r="AW35" s="413">
        <f t="shared" si="43"/>
        <v>-29353265.79999999</v>
      </c>
      <c r="AX35" s="413">
        <f t="shared" si="43"/>
        <v>-6054075.7899999861</v>
      </c>
      <c r="AY35" s="413">
        <f t="shared" si="43"/>
        <v>-770222.18999996176</v>
      </c>
      <c r="AZ35" s="413">
        <f t="shared" si="43"/>
        <v>-6899919.1399999261</v>
      </c>
      <c r="BA35" s="413">
        <f t="shared" si="43"/>
        <v>4798673.530000031</v>
      </c>
      <c r="BB35" s="413">
        <f t="shared" si="43"/>
        <v>19648315.520000041</v>
      </c>
      <c r="BC35" s="413">
        <f t="shared" si="43"/>
        <v>36837692.029999971</v>
      </c>
      <c r="BD35" s="413">
        <f t="shared" si="43"/>
        <v>62205426.969999969</v>
      </c>
      <c r="BE35" s="413">
        <f t="shared" si="43"/>
        <v>78727856.640000075</v>
      </c>
      <c r="BF35" s="413">
        <f t="shared" si="43"/>
        <v>93798269.819999903</v>
      </c>
      <c r="BG35" s="414">
        <f t="shared" si="43"/>
        <v>123835889</v>
      </c>
      <c r="BH35" s="414">
        <f t="shared" si="43"/>
        <v>7704065.8900000006</v>
      </c>
      <c r="BI35" s="414">
        <f t="shared" si="43"/>
        <v>4529655.3200000031</v>
      </c>
      <c r="BJ35" s="414">
        <f t="shared" si="43"/>
        <v>-11520951.139999967</v>
      </c>
      <c r="BK35" s="414">
        <f t="shared" si="43"/>
        <v>-9641922.5600000136</v>
      </c>
      <c r="BL35" s="414">
        <f t="shared" si="43"/>
        <v>29287267.050000001</v>
      </c>
      <c r="BM35" s="414">
        <f t="shared" si="43"/>
        <v>27293691.52999996</v>
      </c>
      <c r="BN35" s="414">
        <f t="shared" ref="BN35:CS35" si="44">BN33-BN34</f>
        <v>54771317.470000066</v>
      </c>
      <c r="BO35" s="414">
        <f t="shared" si="44"/>
        <v>53957687.980000086</v>
      </c>
      <c r="BP35" s="414">
        <f t="shared" si="44"/>
        <v>58930300.360000111</v>
      </c>
      <c r="BQ35" s="414">
        <f t="shared" si="44"/>
        <v>71398660.410000175</v>
      </c>
      <c r="BR35" s="414">
        <f t="shared" si="44"/>
        <v>78128878.01000008</v>
      </c>
      <c r="BS35" s="414">
        <f t="shared" si="44"/>
        <v>108313832.99999997</v>
      </c>
      <c r="BT35" s="414">
        <f t="shared" si="44"/>
        <v>132208349</v>
      </c>
      <c r="BU35" s="414">
        <f t="shared" si="44"/>
        <v>-23968095.989999995</v>
      </c>
      <c r="BV35" s="414">
        <f t="shared" si="44"/>
        <v>-19738048.339999974</v>
      </c>
      <c r="BW35" s="414">
        <f t="shared" si="44"/>
        <v>-24691579.830000024</v>
      </c>
      <c r="BX35" s="414">
        <f t="shared" si="44"/>
        <v>-45064036.19000002</v>
      </c>
      <c r="BY35" s="414">
        <f t="shared" si="44"/>
        <v>-58132579.480000012</v>
      </c>
      <c r="BZ35" s="414">
        <f t="shared" si="44"/>
        <v>-43991036.779999994</v>
      </c>
      <c r="CA35" s="414">
        <f t="shared" si="44"/>
        <v>-47278859.240000032</v>
      </c>
      <c r="CB35" s="414">
        <f t="shared" si="44"/>
        <v>-31281922.179999996</v>
      </c>
      <c r="CC35" s="414">
        <f t="shared" si="44"/>
        <v>-17369847.439999986</v>
      </c>
      <c r="CD35" s="414">
        <f t="shared" si="44"/>
        <v>2903723.289999974</v>
      </c>
      <c r="CE35" s="414">
        <f t="shared" si="44"/>
        <v>16997797.339999866</v>
      </c>
      <c r="CF35" s="414">
        <f t="shared" si="44"/>
        <v>133042696.91000007</v>
      </c>
      <c r="CG35" s="414">
        <f t="shared" si="44"/>
        <v>158826018</v>
      </c>
      <c r="CH35" s="414">
        <f t="shared" si="44"/>
        <v>-5612620.0399999861</v>
      </c>
      <c r="CI35" s="414">
        <f t="shared" si="44"/>
        <v>-35865286.06999997</v>
      </c>
      <c r="CJ35" s="414">
        <f t="shared" si="44"/>
        <v>-20223285.130000003</v>
      </c>
      <c r="CK35" s="414">
        <f t="shared" si="44"/>
        <v>-25307017.840000022</v>
      </c>
      <c r="CL35" s="414">
        <f t="shared" si="44"/>
        <v>-18663618.019999899</v>
      </c>
      <c r="CM35" s="414">
        <f t="shared" si="44"/>
        <v>6735390.8900000099</v>
      </c>
      <c r="CN35" s="414">
        <f t="shared" si="44"/>
        <v>17254704.830000065</v>
      </c>
      <c r="CO35" s="414">
        <f t="shared" si="44"/>
        <v>18794753.600000072</v>
      </c>
      <c r="CP35" s="414">
        <f t="shared" si="44"/>
        <v>48062613.010000035</v>
      </c>
      <c r="CQ35" s="414">
        <f t="shared" si="44"/>
        <v>0</v>
      </c>
      <c r="CR35" s="414">
        <f t="shared" si="44"/>
        <v>0</v>
      </c>
      <c r="CS35" s="414">
        <f t="shared" si="44"/>
        <v>0</v>
      </c>
    </row>
    <row r="36" spans="1:97" ht="12">
      <c r="A36" s="81" t="s">
        <v>95</v>
      </c>
      <c r="B36" s="416"/>
      <c r="C36" s="416"/>
      <c r="D36" s="458">
        <v>0</v>
      </c>
      <c r="E36" s="459"/>
      <c r="F36" s="420"/>
      <c r="G36" s="421"/>
      <c r="H36" s="421"/>
      <c r="I36" s="421">
        <v>0</v>
      </c>
      <c r="J36" s="421">
        <v>0</v>
      </c>
      <c r="K36" s="421"/>
      <c r="L36" s="375">
        <v>0</v>
      </c>
      <c r="M36" s="375">
        <v>0</v>
      </c>
      <c r="N36" s="375">
        <v>0</v>
      </c>
      <c r="O36" s="375">
        <v>0</v>
      </c>
      <c r="P36" s="375">
        <v>0</v>
      </c>
      <c r="Q36" s="375">
        <v>0</v>
      </c>
      <c r="R36" s="375">
        <v>0</v>
      </c>
      <c r="S36" s="375">
        <v>0</v>
      </c>
      <c r="T36" s="421"/>
      <c r="U36" s="421">
        <v>0</v>
      </c>
      <c r="V36" s="421">
        <v>0</v>
      </c>
      <c r="W36" s="421">
        <v>0</v>
      </c>
      <c r="X36" s="375">
        <v>0</v>
      </c>
      <c r="Y36" s="375">
        <v>0</v>
      </c>
      <c r="Z36" s="375">
        <v>0</v>
      </c>
      <c r="AA36" s="375">
        <v>0</v>
      </c>
      <c r="AB36" s="375">
        <v>0</v>
      </c>
      <c r="AC36" s="375">
        <v>0</v>
      </c>
      <c r="AD36" s="375">
        <v>0</v>
      </c>
      <c r="AE36" s="375">
        <v>0</v>
      </c>
      <c r="AF36" s="378">
        <v>0</v>
      </c>
      <c r="AG36" s="402"/>
      <c r="AH36" s="380">
        <v>0</v>
      </c>
      <c r="AI36" s="380">
        <v>0</v>
      </c>
      <c r="AJ36" s="380">
        <v>0</v>
      </c>
      <c r="AK36" s="380">
        <v>0</v>
      </c>
      <c r="AL36" s="380">
        <v>0</v>
      </c>
      <c r="AM36" s="380">
        <v>0</v>
      </c>
      <c r="AN36" s="380">
        <v>0</v>
      </c>
      <c r="AO36" s="380">
        <v>0</v>
      </c>
      <c r="AP36" s="380">
        <v>0</v>
      </c>
      <c r="AQ36" s="380">
        <v>0</v>
      </c>
      <c r="AR36" s="380">
        <v>0</v>
      </c>
      <c r="AS36" s="381">
        <v>0</v>
      </c>
      <c r="AT36" s="402"/>
      <c r="AZ36" s="375">
        <v>0</v>
      </c>
      <c r="BA36" s="380">
        <v>0</v>
      </c>
      <c r="BB36" s="380">
        <v>0</v>
      </c>
      <c r="BC36" s="380">
        <v>0</v>
      </c>
      <c r="BD36" s="380">
        <v>0</v>
      </c>
      <c r="BE36" s="380">
        <v>0</v>
      </c>
      <c r="BF36" s="380">
        <v>0</v>
      </c>
      <c r="BG36" s="452">
        <v>0</v>
      </c>
      <c r="BT36" s="422"/>
      <c r="BU36" s="463">
        <v>0</v>
      </c>
      <c r="BV36" s="463">
        <v>0</v>
      </c>
      <c r="BW36" s="463">
        <v>0</v>
      </c>
      <c r="BX36" s="463">
        <v>0</v>
      </c>
      <c r="BY36" s="463">
        <v>0</v>
      </c>
      <c r="BZ36" s="463">
        <v>0</v>
      </c>
      <c r="CA36" s="463">
        <v>0</v>
      </c>
      <c r="CB36" s="463">
        <v>0</v>
      </c>
      <c r="CC36" s="463">
        <v>0</v>
      </c>
      <c r="CD36" s="463">
        <v>0</v>
      </c>
      <c r="CE36" s="463">
        <v>0</v>
      </c>
      <c r="CF36" s="463">
        <v>0</v>
      </c>
      <c r="CG36" s="462"/>
      <c r="CH36" s="465">
        <v>0</v>
      </c>
      <c r="CI36" s="465">
        <v>0</v>
      </c>
      <c r="CJ36" s="465">
        <v>0</v>
      </c>
      <c r="CK36" s="382">
        <v>0</v>
      </c>
      <c r="CL36" s="382">
        <v>0</v>
      </c>
      <c r="CM36" s="382">
        <v>0</v>
      </c>
      <c r="CN36" s="382">
        <v>0</v>
      </c>
      <c r="CO36" s="382">
        <v>0</v>
      </c>
      <c r="CP36" s="511">
        <v>0</v>
      </c>
    </row>
    <row r="37" spans="1:97" s="374" customFormat="1">
      <c r="A37" s="79" t="s">
        <v>96</v>
      </c>
      <c r="B37" s="415">
        <f>B35-B36</f>
        <v>356000</v>
      </c>
      <c r="C37" s="415">
        <f>C35-C36</f>
        <v>30452000</v>
      </c>
      <c r="D37" s="426">
        <f t="shared" ref="D37:BO37" si="45">D35+D36</f>
        <v>56851000</v>
      </c>
      <c r="E37" s="426">
        <f t="shared" si="45"/>
        <v>88597418</v>
      </c>
      <c r="F37" s="426">
        <f t="shared" si="45"/>
        <v>57040877.089999974</v>
      </c>
      <c r="G37" s="426">
        <f t="shared" si="45"/>
        <v>61212521</v>
      </c>
      <c r="H37" s="426">
        <f t="shared" si="45"/>
        <v>35394972.629999995</v>
      </c>
      <c r="I37" s="426">
        <f t="shared" si="45"/>
        <v>-33745366.18999999</v>
      </c>
      <c r="J37" s="426">
        <f t="shared" si="45"/>
        <v>-31933390.799999997</v>
      </c>
      <c r="K37" s="426">
        <f t="shared" si="45"/>
        <v>-37953401.050000042</v>
      </c>
      <c r="L37" s="426">
        <f t="shared" si="45"/>
        <v>-38326729.040000007</v>
      </c>
      <c r="M37" s="426">
        <f t="shared" si="45"/>
        <v>-30492385.179999962</v>
      </c>
      <c r="N37" s="426">
        <f t="shared" si="45"/>
        <v>-25960956.350000024</v>
      </c>
      <c r="O37" s="426">
        <f t="shared" si="45"/>
        <v>-5251501.3500000238</v>
      </c>
      <c r="P37" s="426">
        <f t="shared" si="45"/>
        <v>9491888.9699999392</v>
      </c>
      <c r="Q37" s="426">
        <f t="shared" si="45"/>
        <v>16787847.690000027</v>
      </c>
      <c r="R37" s="426">
        <f t="shared" si="45"/>
        <v>14583515.970000088</v>
      </c>
      <c r="S37" s="426">
        <f t="shared" si="45"/>
        <v>41128398.259999841</v>
      </c>
      <c r="T37" s="426">
        <f t="shared" si="45"/>
        <v>116270054</v>
      </c>
      <c r="U37" s="426">
        <f t="shared" si="45"/>
        <v>89093078.61999999</v>
      </c>
      <c r="V37" s="426">
        <f t="shared" si="45"/>
        <v>-43964153.259999976</v>
      </c>
      <c r="W37" s="426">
        <f t="shared" si="45"/>
        <v>-47605079.920000017</v>
      </c>
      <c r="X37" s="426">
        <f t="shared" si="45"/>
        <v>-49774018.110000014</v>
      </c>
      <c r="Y37" s="426">
        <f t="shared" si="45"/>
        <v>-32260668.869999945</v>
      </c>
      <c r="Z37" s="426">
        <f t="shared" si="45"/>
        <v>-22234451.570000023</v>
      </c>
      <c r="AA37" s="426">
        <f t="shared" si="45"/>
        <v>-16035294.210000157</v>
      </c>
      <c r="AB37" s="426">
        <f t="shared" si="45"/>
        <v>2724994.1499999166</v>
      </c>
      <c r="AC37" s="426">
        <f t="shared" si="45"/>
        <v>14428366.049999952</v>
      </c>
      <c r="AD37" s="426">
        <f t="shared" si="45"/>
        <v>24772724.900000095</v>
      </c>
      <c r="AE37" s="426">
        <f t="shared" si="45"/>
        <v>39126611.420000054</v>
      </c>
      <c r="AF37" s="426">
        <f t="shared" si="45"/>
        <v>107233639.85000011</v>
      </c>
      <c r="AG37" s="426">
        <f t="shared" si="45"/>
        <v>145385078.10708594</v>
      </c>
      <c r="AH37" s="426">
        <f t="shared" si="45"/>
        <v>2236620.0400000052</v>
      </c>
      <c r="AI37" s="426">
        <f t="shared" si="45"/>
        <v>-13132449.690000007</v>
      </c>
      <c r="AJ37" s="426">
        <f t="shared" si="45"/>
        <v>-33082545.750000007</v>
      </c>
      <c r="AK37" s="426">
        <f t="shared" si="45"/>
        <v>-34795274.249999963</v>
      </c>
      <c r="AL37" s="426">
        <f t="shared" si="45"/>
        <v>-39008575.829999976</v>
      </c>
      <c r="AM37" s="426">
        <f t="shared" si="45"/>
        <v>-27381567.760000072</v>
      </c>
      <c r="AN37" s="426">
        <f t="shared" si="45"/>
        <v>-24295817.780000053</v>
      </c>
      <c r="AO37" s="426">
        <f t="shared" si="45"/>
        <v>-2148444.4300000314</v>
      </c>
      <c r="AP37" s="426">
        <f t="shared" si="45"/>
        <v>-1802740.1799999715</v>
      </c>
      <c r="AQ37" s="426">
        <f t="shared" si="45"/>
        <v>-6289782.870000029</v>
      </c>
      <c r="AR37" s="426">
        <f t="shared" si="45"/>
        <v>4927046.5799999591</v>
      </c>
      <c r="AS37" s="426">
        <f t="shared" si="45"/>
        <v>1620375.5799999475</v>
      </c>
      <c r="AT37" s="413">
        <f t="shared" si="45"/>
        <v>152310236</v>
      </c>
      <c r="AU37" s="413">
        <f t="shared" si="45"/>
        <v>-2968252.8800000101</v>
      </c>
      <c r="AV37" s="413">
        <f t="shared" si="45"/>
        <v>-3704573.9199999957</v>
      </c>
      <c r="AW37" s="413">
        <f t="shared" si="45"/>
        <v>-29353265.79999999</v>
      </c>
      <c r="AX37" s="413">
        <f t="shared" si="45"/>
        <v>-6054075.7899999861</v>
      </c>
      <c r="AY37" s="413">
        <f t="shared" si="45"/>
        <v>-770222.18999996176</v>
      </c>
      <c r="AZ37" s="413">
        <f t="shared" si="45"/>
        <v>-6899919.1399999261</v>
      </c>
      <c r="BA37" s="413">
        <f t="shared" si="45"/>
        <v>4798673.530000031</v>
      </c>
      <c r="BB37" s="413">
        <f t="shared" si="45"/>
        <v>19648315.520000041</v>
      </c>
      <c r="BC37" s="413">
        <f t="shared" si="45"/>
        <v>36837692.029999971</v>
      </c>
      <c r="BD37" s="413">
        <f t="shared" si="45"/>
        <v>62205426.969999969</v>
      </c>
      <c r="BE37" s="413">
        <f t="shared" si="45"/>
        <v>78727856.640000075</v>
      </c>
      <c r="BF37" s="413">
        <f t="shared" si="45"/>
        <v>93798269.819999903</v>
      </c>
      <c r="BG37" s="414">
        <f t="shared" si="45"/>
        <v>123835889</v>
      </c>
      <c r="BH37" s="414">
        <f t="shared" si="45"/>
        <v>7704065.8900000006</v>
      </c>
      <c r="BI37" s="414">
        <f t="shared" si="45"/>
        <v>4529655.3200000031</v>
      </c>
      <c r="BJ37" s="414">
        <f t="shared" si="45"/>
        <v>-11520951.139999967</v>
      </c>
      <c r="BK37" s="414">
        <f t="shared" si="45"/>
        <v>-9641922.5600000136</v>
      </c>
      <c r="BL37" s="414">
        <f t="shared" si="45"/>
        <v>29287267.050000001</v>
      </c>
      <c r="BM37" s="414">
        <f t="shared" si="45"/>
        <v>27293691.52999996</v>
      </c>
      <c r="BN37" s="414">
        <f t="shared" si="45"/>
        <v>54771317.470000066</v>
      </c>
      <c r="BO37" s="414">
        <f t="shared" si="45"/>
        <v>53957687.980000086</v>
      </c>
      <c r="BP37" s="414">
        <f t="shared" ref="BP37:CS37" si="46">BP35+BP36</f>
        <v>58930300.360000111</v>
      </c>
      <c r="BQ37" s="414">
        <f t="shared" si="46"/>
        <v>71398660.410000175</v>
      </c>
      <c r="BR37" s="414">
        <f t="shared" si="46"/>
        <v>78128878.01000008</v>
      </c>
      <c r="BS37" s="414">
        <f t="shared" si="46"/>
        <v>108313832.99999997</v>
      </c>
      <c r="BT37" s="414">
        <f t="shared" si="46"/>
        <v>132208349</v>
      </c>
      <c r="BU37" s="414">
        <f t="shared" si="46"/>
        <v>-23968095.989999995</v>
      </c>
      <c r="BV37" s="414">
        <f t="shared" si="46"/>
        <v>-19738048.339999974</v>
      </c>
      <c r="BW37" s="414">
        <f t="shared" si="46"/>
        <v>-24691579.830000024</v>
      </c>
      <c r="BX37" s="414">
        <f t="shared" si="46"/>
        <v>-45064036.19000002</v>
      </c>
      <c r="BY37" s="414">
        <f t="shared" si="46"/>
        <v>-58132579.480000012</v>
      </c>
      <c r="BZ37" s="414">
        <f t="shared" si="46"/>
        <v>-43991036.779999994</v>
      </c>
      <c r="CA37" s="414">
        <f t="shared" si="46"/>
        <v>-47278859.240000032</v>
      </c>
      <c r="CB37" s="414">
        <f t="shared" si="46"/>
        <v>-31281922.179999996</v>
      </c>
      <c r="CC37" s="414">
        <f t="shared" si="46"/>
        <v>-17369847.439999986</v>
      </c>
      <c r="CD37" s="414">
        <f t="shared" si="46"/>
        <v>2903723.289999974</v>
      </c>
      <c r="CE37" s="414">
        <f t="shared" si="46"/>
        <v>16997797.339999866</v>
      </c>
      <c r="CF37" s="414">
        <f t="shared" si="46"/>
        <v>133042696.91000007</v>
      </c>
      <c r="CG37" s="414">
        <f t="shared" si="46"/>
        <v>158826018</v>
      </c>
      <c r="CH37" s="414">
        <f t="shared" si="46"/>
        <v>-5612620.0399999861</v>
      </c>
      <c r="CI37" s="414">
        <f t="shared" si="46"/>
        <v>-35865286.06999997</v>
      </c>
      <c r="CJ37" s="414">
        <f t="shared" si="46"/>
        <v>-20223285.130000003</v>
      </c>
      <c r="CK37" s="414">
        <f t="shared" si="46"/>
        <v>-25307017.840000022</v>
      </c>
      <c r="CL37" s="414">
        <f t="shared" si="46"/>
        <v>-18663618.019999899</v>
      </c>
      <c r="CM37" s="414">
        <f t="shared" si="46"/>
        <v>6735390.8900000099</v>
      </c>
      <c r="CN37" s="414">
        <f t="shared" si="46"/>
        <v>17254704.830000065</v>
      </c>
      <c r="CO37" s="414">
        <f t="shared" si="46"/>
        <v>18794753.600000072</v>
      </c>
      <c r="CP37" s="414">
        <f t="shared" si="46"/>
        <v>48062613.010000035</v>
      </c>
      <c r="CQ37" s="414">
        <f t="shared" si="46"/>
        <v>0</v>
      </c>
      <c r="CR37" s="414">
        <f t="shared" si="46"/>
        <v>0</v>
      </c>
      <c r="CS37" s="414">
        <f t="shared" si="46"/>
        <v>0</v>
      </c>
    </row>
    <row r="38" spans="1:97">
      <c r="G38" s="403"/>
      <c r="H38" s="403"/>
      <c r="I38" s="403"/>
      <c r="J38" s="403"/>
      <c r="K38" s="403"/>
      <c r="CD38" s="462"/>
      <c r="CE38" s="462"/>
      <c r="CF38" s="462"/>
      <c r="CG38" s="462"/>
    </row>
  </sheetData>
  <dataValidations count="2">
    <dataValidation type="decimal" showErrorMessage="1" errorTitle="Error Msg" sqref="C30:C31 B9:E11 B30 D30:CS30" xr:uid="{00000000-0002-0000-0100-000000000000}">
      <formula1>0</formula1>
      <formula2>999999999999</formula2>
    </dataValidation>
    <dataValidation type="decimal" showErrorMessage="1" errorTitle="Error Msg" error="Enter a NO" sqref="B20 B36 B23:B26 B32:B34 B28 C24:E27 C21:E21 B8:E8 B5:E6 B12:E18 C23:CS23 F12:CS12" xr:uid="{00000000-0002-0000-0100-000001000000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V57"/>
  <sheetViews>
    <sheetView zoomScale="80" zoomScaleNormal="80" zoomScaleSheetLayoutView="100" workbookViewId="0">
      <pane xSplit="2" ySplit="11" topLeftCell="BH12" activePane="bottomRight" state="frozen"/>
      <selection pane="bottomRight" activeCell="CM21" sqref="CM21"/>
      <selection pane="bottomLeft" activeCell="A12" sqref="A12"/>
      <selection pane="topRight" activeCell="D1" sqref="D1"/>
    </sheetView>
  </sheetViews>
  <sheetFormatPr defaultColWidth="9.140625" defaultRowHeight="13.15" outlineLevelCol="1"/>
  <cols>
    <col min="1" max="1" width="5" style="2" bestFit="1" customWidth="1"/>
    <col min="2" max="2" width="45.5703125" style="2" bestFit="1" customWidth="1"/>
    <col min="3" max="21" width="15.7109375" style="2" hidden="1" customWidth="1"/>
    <col min="22" max="22" width="16.7109375" style="2" hidden="1" customWidth="1"/>
    <col min="23" max="51" width="15.7109375" style="2" hidden="1" customWidth="1"/>
    <col min="52" max="52" width="16.140625" style="2" hidden="1" customWidth="1"/>
    <col min="53" max="53" width="15.85546875" style="2" hidden="1" customWidth="1"/>
    <col min="54" max="56" width="15.7109375" style="2" hidden="1" customWidth="1"/>
    <col min="57" max="57" width="16.7109375" style="2" hidden="1" customWidth="1"/>
    <col min="58" max="58" width="15.5703125" style="2" hidden="1" customWidth="1"/>
    <col min="59" max="59" width="15.7109375" style="2" hidden="1" customWidth="1"/>
    <col min="60" max="60" width="18" style="2" customWidth="1"/>
    <col min="61" max="68" width="15.7109375" style="2" hidden="1" customWidth="1"/>
    <col min="69" max="70" width="15.7109375" style="2" hidden="1" customWidth="1" outlineLevel="1"/>
    <col min="71" max="72" width="16.7109375" style="2" hidden="1" customWidth="1" outlineLevel="1"/>
    <col min="73" max="73" width="17" style="2" bestFit="1" customWidth="1" collapsed="1"/>
    <col min="74" max="74" width="17" style="2" hidden="1" customWidth="1" outlineLevel="1"/>
    <col min="75" max="85" width="16.7109375" style="2" hidden="1" customWidth="1" outlineLevel="1"/>
    <col min="86" max="86" width="16.7109375" style="2" bestFit="1" customWidth="1" collapsed="1"/>
    <col min="87" max="91" width="16.7109375" style="2" bestFit="1" customWidth="1"/>
    <col min="92" max="92" width="16.85546875" style="2" bestFit="1" customWidth="1"/>
    <col min="93" max="99" width="9.140625" style="2"/>
    <col min="100" max="100" width="15.7109375" style="2" bestFit="1" customWidth="1"/>
    <col min="101" max="16384" width="9.140625" style="2"/>
  </cols>
  <sheetData>
    <row r="1" spans="1:100" ht="14.45" thickBot="1">
      <c r="C1" s="3"/>
    </row>
    <row r="2" spans="1:100">
      <c r="A2" s="4"/>
      <c r="B2" s="4" t="s">
        <v>97</v>
      </c>
      <c r="C2" s="5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5"/>
      <c r="BI2" s="361"/>
      <c r="BJ2" s="361"/>
      <c r="BK2" s="361"/>
      <c r="BL2" s="361"/>
      <c r="BM2" s="361"/>
      <c r="BN2" s="361"/>
      <c r="BO2" s="361"/>
      <c r="BP2" s="361"/>
      <c r="BQ2" s="361"/>
      <c r="BR2" s="361"/>
      <c r="BS2" s="361"/>
      <c r="BT2" s="361"/>
    </row>
    <row r="3" spans="1:100">
      <c r="A3" s="6"/>
      <c r="B3" s="232" t="s">
        <v>98</v>
      </c>
      <c r="C3" s="1" t="s">
        <v>2</v>
      </c>
      <c r="D3" s="1" t="s">
        <v>99</v>
      </c>
      <c r="E3" s="1" t="s">
        <v>100</v>
      </c>
      <c r="F3" s="1" t="s">
        <v>101</v>
      </c>
      <c r="G3" s="1" t="s">
        <v>102</v>
      </c>
      <c r="H3" s="1" t="s">
        <v>7</v>
      </c>
      <c r="I3" s="1">
        <v>42736</v>
      </c>
      <c r="J3" s="1">
        <v>42767</v>
      </c>
      <c r="K3" s="1">
        <v>42795</v>
      </c>
      <c r="L3" s="1">
        <v>42826</v>
      </c>
      <c r="M3" s="1">
        <v>42856</v>
      </c>
      <c r="N3" s="1">
        <v>42887</v>
      </c>
      <c r="O3" s="1">
        <v>42917</v>
      </c>
      <c r="P3" s="1">
        <v>42948</v>
      </c>
      <c r="Q3" s="1">
        <v>42979</v>
      </c>
      <c r="R3" s="1">
        <v>43009</v>
      </c>
      <c r="S3" s="1">
        <v>43040</v>
      </c>
      <c r="T3" s="1">
        <v>43070</v>
      </c>
      <c r="U3" s="196" t="s">
        <v>8</v>
      </c>
      <c r="V3" s="196">
        <v>43101</v>
      </c>
      <c r="W3" s="196">
        <v>43132</v>
      </c>
      <c r="X3" s="196">
        <v>43160</v>
      </c>
      <c r="Y3" s="196">
        <v>43191</v>
      </c>
      <c r="Z3" s="196">
        <v>43221</v>
      </c>
      <c r="AA3" s="196">
        <v>43252</v>
      </c>
      <c r="AB3" s="196">
        <v>43282</v>
      </c>
      <c r="AC3" s="196">
        <v>43313</v>
      </c>
      <c r="AD3" s="196">
        <v>43344</v>
      </c>
      <c r="AE3" s="196">
        <v>43374</v>
      </c>
      <c r="AF3" s="196">
        <v>43405</v>
      </c>
      <c r="AG3" s="196">
        <v>43435</v>
      </c>
      <c r="AH3" s="233" t="s">
        <v>9</v>
      </c>
      <c r="AI3" s="318">
        <v>43466</v>
      </c>
      <c r="AJ3" s="318">
        <v>43497</v>
      </c>
      <c r="AK3" s="318">
        <v>43525</v>
      </c>
      <c r="AL3" s="318">
        <v>43556</v>
      </c>
      <c r="AM3" s="318">
        <v>43586</v>
      </c>
      <c r="AN3" s="318">
        <v>43617</v>
      </c>
      <c r="AO3" s="318">
        <v>43647</v>
      </c>
      <c r="AP3" s="318">
        <v>43678</v>
      </c>
      <c r="AQ3" s="318">
        <v>43709</v>
      </c>
      <c r="AR3" s="318">
        <v>43739</v>
      </c>
      <c r="AS3" s="318">
        <v>43770</v>
      </c>
      <c r="AT3" s="318">
        <v>43800</v>
      </c>
      <c r="AU3" s="349" t="s">
        <v>103</v>
      </c>
      <c r="AV3" s="318">
        <v>43831</v>
      </c>
      <c r="AW3" s="318">
        <v>43862</v>
      </c>
      <c r="AX3" s="318">
        <v>43891</v>
      </c>
      <c r="AY3" s="318">
        <v>43922</v>
      </c>
      <c r="AZ3" s="318">
        <v>43952</v>
      </c>
      <c r="BA3" s="318">
        <v>43983</v>
      </c>
      <c r="BB3" s="318">
        <v>44013</v>
      </c>
      <c r="BC3" s="318">
        <v>44044</v>
      </c>
      <c r="BD3" s="318">
        <v>44075</v>
      </c>
      <c r="BE3" s="318">
        <v>44105</v>
      </c>
      <c r="BF3" s="318">
        <v>44136</v>
      </c>
      <c r="BG3" s="318">
        <v>44166</v>
      </c>
      <c r="BH3" s="349" t="s">
        <v>11</v>
      </c>
      <c r="BI3" s="318">
        <v>44197</v>
      </c>
      <c r="BJ3" s="318">
        <v>44228</v>
      </c>
      <c r="BK3" s="318">
        <v>44256</v>
      </c>
      <c r="BL3" s="318">
        <v>44287</v>
      </c>
      <c r="BM3" s="318">
        <v>44317</v>
      </c>
      <c r="BN3" s="318">
        <v>44348</v>
      </c>
      <c r="BO3" s="318">
        <v>44378</v>
      </c>
      <c r="BP3" s="318">
        <v>44409</v>
      </c>
      <c r="BQ3" s="318">
        <v>44440</v>
      </c>
      <c r="BR3" s="318">
        <v>44470</v>
      </c>
      <c r="BS3" s="318">
        <v>44501</v>
      </c>
      <c r="BT3" s="318">
        <v>44531</v>
      </c>
      <c r="BU3" s="361" t="s">
        <v>12</v>
      </c>
      <c r="BV3" s="318">
        <v>44562</v>
      </c>
      <c r="BW3" s="318">
        <v>44593</v>
      </c>
      <c r="BX3" s="318">
        <v>44621</v>
      </c>
      <c r="BY3" s="318">
        <v>44652</v>
      </c>
      <c r="BZ3" s="318">
        <v>44682</v>
      </c>
      <c r="CA3" s="318">
        <v>44713</v>
      </c>
      <c r="CB3" s="318">
        <v>44743</v>
      </c>
      <c r="CC3" s="318">
        <v>44774</v>
      </c>
      <c r="CD3" s="318">
        <v>44805</v>
      </c>
      <c r="CE3" s="318">
        <v>44835</v>
      </c>
      <c r="CF3" s="318">
        <v>44866</v>
      </c>
      <c r="CG3" s="318">
        <v>44896</v>
      </c>
      <c r="CH3" s="318" t="s">
        <v>13</v>
      </c>
      <c r="CI3" s="318">
        <v>44927</v>
      </c>
      <c r="CJ3" s="318">
        <v>44958</v>
      </c>
      <c r="CK3" s="318">
        <v>44986</v>
      </c>
      <c r="CL3" s="318">
        <v>45017</v>
      </c>
      <c r="CM3" s="318">
        <v>45047</v>
      </c>
      <c r="CN3" s="318">
        <v>45078</v>
      </c>
      <c r="CO3" s="318">
        <v>45108</v>
      </c>
      <c r="CP3" s="318">
        <v>45139</v>
      </c>
      <c r="CQ3" s="318">
        <v>45170</v>
      </c>
      <c r="CR3" s="318">
        <v>45200</v>
      </c>
      <c r="CS3" s="318">
        <v>45231</v>
      </c>
      <c r="CT3" s="318">
        <v>45261</v>
      </c>
    </row>
    <row r="4" spans="1:100">
      <c r="A4" s="225">
        <v>1</v>
      </c>
      <c r="B4" s="7" t="s">
        <v>104</v>
      </c>
      <c r="C4" s="8"/>
      <c r="D4" s="2">
        <v>9048</v>
      </c>
      <c r="E4" s="2">
        <v>7907</v>
      </c>
      <c r="F4" s="2">
        <v>9167</v>
      </c>
      <c r="G4" s="2">
        <v>12386</v>
      </c>
      <c r="H4" s="2">
        <v>13471</v>
      </c>
      <c r="U4" s="234">
        <v>16376</v>
      </c>
      <c r="AH4" s="235">
        <v>19056</v>
      </c>
      <c r="AT4" s="360"/>
      <c r="AU4" s="359">
        <v>22069</v>
      </c>
      <c r="AV4" s="360"/>
      <c r="AW4" s="360"/>
      <c r="AX4" s="360"/>
      <c r="AY4" s="360"/>
      <c r="AZ4" s="360"/>
      <c r="BA4" s="360"/>
      <c r="BB4" s="360"/>
      <c r="BC4" s="360"/>
      <c r="BD4" s="360"/>
      <c r="BE4" s="360"/>
      <c r="BF4" s="360"/>
      <c r="BG4" s="360"/>
      <c r="BH4" s="357">
        <v>24356</v>
      </c>
    </row>
    <row r="5" spans="1:100">
      <c r="A5" s="225">
        <v>2</v>
      </c>
      <c r="B5" s="7" t="s">
        <v>36</v>
      </c>
      <c r="C5" s="27">
        <f>SFP!B26</f>
        <v>1982931000</v>
      </c>
      <c r="D5" s="27">
        <f>SFP!C26</f>
        <v>2246183000</v>
      </c>
      <c r="E5" s="27">
        <f>SFP!D26</f>
        <v>2834364933.3000002</v>
      </c>
      <c r="F5" s="27">
        <f>SFP!E26</f>
        <v>3283953220</v>
      </c>
      <c r="G5" s="27">
        <f>SFP!F26</f>
        <v>3926234298</v>
      </c>
      <c r="H5" s="27">
        <f>SFP!G26</f>
        <v>4877108727</v>
      </c>
      <c r="I5" s="27">
        <f>SFP!H26</f>
        <v>4953974829.4300003</v>
      </c>
      <c r="J5" s="27">
        <f>SFP!I26</f>
        <v>4866864502.8200006</v>
      </c>
      <c r="K5" s="27">
        <f>SFP!J26</f>
        <v>4879640277.7399998</v>
      </c>
      <c r="L5" s="27">
        <f>SFP!K26</f>
        <v>4886947487.3599997</v>
      </c>
      <c r="M5" s="27">
        <f>SFP!L26</f>
        <v>4935437713.9099998</v>
      </c>
      <c r="N5" s="27">
        <f>SFP!M26</f>
        <v>5294664862.0800009</v>
      </c>
      <c r="O5" s="27">
        <f>SFP!N26</f>
        <v>5400762209.1599998</v>
      </c>
      <c r="P5" s="27">
        <f>SFP!O26</f>
        <v>5630982661.1099997</v>
      </c>
      <c r="Q5" s="27">
        <f>SFP!P26</f>
        <v>5792130746.1499996</v>
      </c>
      <c r="R5" s="27">
        <f>SFP!Q26</f>
        <v>6046575513.3400002</v>
      </c>
      <c r="S5" s="27">
        <f>SFP!R26</f>
        <v>6174665569.0899992</v>
      </c>
      <c r="T5" s="27">
        <f>SFP!S26</f>
        <v>6273906406.329999</v>
      </c>
      <c r="U5" s="27">
        <f>SFP!T26</f>
        <v>6272656282</v>
      </c>
      <c r="V5" s="27">
        <f>SFP!U26</f>
        <v>12695850608.18</v>
      </c>
      <c r="W5" s="27">
        <f>SFP!V26</f>
        <v>6293419553.289999</v>
      </c>
      <c r="X5" s="27">
        <f>SFP!W26</f>
        <v>6278428271.4499989</v>
      </c>
      <c r="Y5" s="27">
        <f>SFP!X26</f>
        <v>6303800680.4499998</v>
      </c>
      <c r="Z5" s="27">
        <f>SFP!Y26</f>
        <v>6403637568.0300007</v>
      </c>
      <c r="AA5" s="27">
        <f>SFP!Z26</f>
        <v>6529159186.7300005</v>
      </c>
      <c r="AB5" s="27">
        <f>SFP!AA26</f>
        <v>6673158130.54</v>
      </c>
      <c r="AC5" s="27">
        <f>SFP!AB26</f>
        <v>6781665749.3199997</v>
      </c>
      <c r="AD5" s="27">
        <f>SFP!AC26</f>
        <v>6828092902.3800001</v>
      </c>
      <c r="AE5" s="27">
        <f>SFP!AD26</f>
        <v>6944157723.8600006</v>
      </c>
      <c r="AF5" s="27">
        <f>SFP!AE26</f>
        <v>7066885233.5299997</v>
      </c>
      <c r="AG5" s="27">
        <f>SFP!AF26</f>
        <v>7215660232.3800001</v>
      </c>
      <c r="AH5" s="236">
        <f>SFP!AG26</f>
        <v>7163955474.5334568</v>
      </c>
      <c r="AI5" s="236">
        <f>SFP!AH26</f>
        <v>7331955092.3500004</v>
      </c>
      <c r="AJ5" s="236">
        <f>SFP!AI26</f>
        <v>7180625058.4099998</v>
      </c>
      <c r="AK5" s="236">
        <f>SFP!AJ26</f>
        <v>7207053514.3699999</v>
      </c>
      <c r="AL5" s="236">
        <f>SFP!AK26</f>
        <v>7158706905.8499994</v>
      </c>
      <c r="AM5" s="236">
        <f>SFP!AL26</f>
        <v>7225437786.54</v>
      </c>
      <c r="AN5" s="236">
        <f>SFP!AM26</f>
        <v>7355165722.75</v>
      </c>
      <c r="AO5" s="236">
        <f>SFP!AN26</f>
        <v>7519411618.29</v>
      </c>
      <c r="AP5" s="236">
        <f>SFP!AO26</f>
        <v>7529473432.5499992</v>
      </c>
      <c r="AQ5" s="236">
        <f>SFP!AP26</f>
        <v>7580705105.0599995</v>
      </c>
      <c r="AR5" s="236">
        <f>SFP!AQ26</f>
        <v>7676116920.1999998</v>
      </c>
      <c r="AS5" s="236">
        <f>SFP!AR26</f>
        <v>7813306931.8699989</v>
      </c>
      <c r="AT5" s="236">
        <f>SFP!AS26</f>
        <v>7958553070.75</v>
      </c>
      <c r="AU5" s="236">
        <f>SFP!AT26</f>
        <v>7940582606</v>
      </c>
      <c r="AV5" s="236">
        <f>SFP!AU26</f>
        <v>8058733374.75</v>
      </c>
      <c r="AW5" s="236">
        <f>SFP!AV26</f>
        <v>7904639148.6399994</v>
      </c>
      <c r="AX5" s="236">
        <f>SFP!AW26</f>
        <v>7861669210.96</v>
      </c>
      <c r="AY5" s="236">
        <f>SFP!AX26</f>
        <v>8014244980.5199995</v>
      </c>
      <c r="AZ5" s="236">
        <f>SFP!AY26</f>
        <v>8083153633.4299994</v>
      </c>
      <c r="BA5" s="236">
        <f>SFP!AZ26</f>
        <v>8179515622.0900002</v>
      </c>
      <c r="BB5" s="236">
        <f>SFP!BA26</f>
        <v>8335291581.7800007</v>
      </c>
      <c r="BC5" s="236">
        <f>SFP!BB26</f>
        <v>8483821890.6899996</v>
      </c>
      <c r="BD5" s="236">
        <f>SFP!BC26</f>
        <v>8575025089.0299988</v>
      </c>
      <c r="BE5" s="236">
        <f>SFP!BD26</f>
        <v>8704786700.3000011</v>
      </c>
      <c r="BF5" s="236">
        <f>SFP!BE26</f>
        <v>8788986102.3800011</v>
      </c>
      <c r="BG5" s="236">
        <f>SFP!BF26</f>
        <v>8960915139.6299992</v>
      </c>
      <c r="BH5" s="236">
        <f>SFP!BG26</f>
        <v>8917753738</v>
      </c>
      <c r="BI5" s="236">
        <f>SFP!BH26</f>
        <v>8894980455.4499989</v>
      </c>
      <c r="BJ5" s="236">
        <f>SFP!BI26</f>
        <v>8769228747.6400013</v>
      </c>
      <c r="BK5" s="236">
        <f>SFP!BJ26</f>
        <v>8831611969.460001</v>
      </c>
      <c r="BL5" s="236">
        <f>SFP!BK26</f>
        <v>8920981889.6200008</v>
      </c>
      <c r="BM5" s="236">
        <f>SFP!BL26</f>
        <v>9054255828.6299992</v>
      </c>
      <c r="BN5" s="236">
        <f>SFP!BM26</f>
        <v>9144113825.8099995</v>
      </c>
      <c r="BO5" s="236">
        <f>SFP!BN26</f>
        <v>9488057860.3799992</v>
      </c>
      <c r="BP5" s="236">
        <f>SFP!BO26</f>
        <v>9546849383.0299988</v>
      </c>
      <c r="BQ5" s="236">
        <f>SFP!BP26</f>
        <v>9742609043.9399986</v>
      </c>
      <c r="BR5" s="236">
        <f>SFP!BQ26</f>
        <v>9941842292.3499985</v>
      </c>
      <c r="BS5" s="236">
        <f>SFP!BR26</f>
        <v>10102018753.900002</v>
      </c>
      <c r="BT5" s="236">
        <f>SFP!BS26</f>
        <v>10282563178.42</v>
      </c>
      <c r="BU5" s="236">
        <f>SFP!BT26</f>
        <v>10412328501</v>
      </c>
      <c r="BV5" s="236">
        <f>SFP!BU26</f>
        <v>10102949426.960001</v>
      </c>
      <c r="BW5" s="236">
        <f>SFP!BV26</f>
        <v>10124501010</v>
      </c>
      <c r="BX5" s="236">
        <f>SFP!BW26</f>
        <v>10196511172.27</v>
      </c>
      <c r="BY5" s="236">
        <f>SFP!BX26</f>
        <v>10259403911.360001</v>
      </c>
      <c r="BZ5" s="236">
        <f>SFP!BY26</f>
        <v>10491916009.68</v>
      </c>
      <c r="CA5" s="236">
        <f>SFP!BZ26</f>
        <v>10654682287.640001</v>
      </c>
      <c r="CB5" s="236">
        <f>SFP!CA26</f>
        <v>10928961507.690001</v>
      </c>
      <c r="CC5" s="236">
        <f>SFP!CB26</f>
        <v>11073144119.74</v>
      </c>
      <c r="CD5" s="236">
        <f>SFP!CC26</f>
        <v>11167904048.699999</v>
      </c>
      <c r="CE5" s="236">
        <f>SFP!CD26</f>
        <v>11360376177.07</v>
      </c>
      <c r="CF5" s="236">
        <f>SFP!CE26</f>
        <v>11573387053.219999</v>
      </c>
      <c r="CG5" s="236">
        <f>SFP!CF26</f>
        <v>11755598950.74</v>
      </c>
      <c r="CH5" s="236">
        <f>SFP!CG26</f>
        <v>11766817996</v>
      </c>
      <c r="CI5" s="236">
        <f>SFP!CH26</f>
        <v>11430338487.999998</v>
      </c>
      <c r="CJ5" s="236">
        <f>SFP!CI26</f>
        <v>11423334567.499998</v>
      </c>
      <c r="CK5" s="236">
        <f>SFP!CJ26</f>
        <v>11482250399.979998</v>
      </c>
      <c r="CL5" s="236">
        <f>SFP!CK26</f>
        <v>11634051365.549999</v>
      </c>
      <c r="CM5" s="236">
        <f>SFP!CL26</f>
        <v>11785316253.710001</v>
      </c>
      <c r="CN5" s="236">
        <f>SFP!CM26</f>
        <v>12161977085.75</v>
      </c>
      <c r="CO5" s="236">
        <f>SFP!CN26</f>
        <v>12479134498.380001</v>
      </c>
      <c r="CP5" s="236">
        <f>SFP!CO26</f>
        <v>12719877940.889999</v>
      </c>
      <c r="CQ5" s="236">
        <f>SFP!CP26</f>
        <v>12823136525.380001</v>
      </c>
      <c r="CR5" s="236">
        <f>SFP!CQ26</f>
        <v>0</v>
      </c>
      <c r="CS5" s="236">
        <f>SFP!CR26</f>
        <v>0</v>
      </c>
      <c r="CT5" s="236">
        <f>SFP!CS26</f>
        <v>0</v>
      </c>
    </row>
    <row r="6" spans="1:100">
      <c r="A6" s="225">
        <v>3</v>
      </c>
      <c r="B6" s="7" t="s">
        <v>105</v>
      </c>
      <c r="C6" s="27">
        <f>SFP!B31</f>
        <v>1540825000</v>
      </c>
      <c r="D6" s="27">
        <f>SFP!C31</f>
        <v>1708217000</v>
      </c>
      <c r="E6" s="27">
        <f>SFP!D31</f>
        <v>2027885000</v>
      </c>
      <c r="F6" s="27">
        <f>SFP!E31</f>
        <v>2476141469</v>
      </c>
      <c r="G6" s="27">
        <f>SFP!F31</f>
        <v>3007206335</v>
      </c>
      <c r="H6" s="27">
        <f>SFP!G31</f>
        <v>3588473178</v>
      </c>
      <c r="I6" s="27">
        <f>SFP!H31</f>
        <v>3579241068.3999996</v>
      </c>
      <c r="J6" s="27">
        <f>SFP!I31</f>
        <v>3807130131.0499997</v>
      </c>
      <c r="K6" s="27">
        <f>SFP!J31</f>
        <v>3779421113.0100002</v>
      </c>
      <c r="L6" s="27">
        <f>SFP!K31</f>
        <v>3744092336.7999997</v>
      </c>
      <c r="M6" s="27">
        <f>SFP!L31</f>
        <v>3760950072.8400002</v>
      </c>
      <c r="N6" s="27">
        <f>SFP!M31</f>
        <v>3893233926.8600001</v>
      </c>
      <c r="O6" s="27">
        <f>SFP!N31</f>
        <v>3949448257.9700003</v>
      </c>
      <c r="P6" s="27">
        <f>SFP!O31</f>
        <v>4023318344.71</v>
      </c>
      <c r="Q6" s="27">
        <f>SFP!P31</f>
        <v>4030786514.3299999</v>
      </c>
      <c r="R6" s="27">
        <f>SFP!Q31</f>
        <v>4126281325.9700003</v>
      </c>
      <c r="S6" s="27">
        <f>SFP!R31</f>
        <v>4223433875.3600001</v>
      </c>
      <c r="T6" s="27">
        <f>SFP!S31</f>
        <v>4263060091.25</v>
      </c>
      <c r="U6" s="27">
        <f>SFP!T31</f>
        <v>4351403521</v>
      </c>
      <c r="V6" s="27">
        <f>SFP!U31</f>
        <v>8596860709.2600002</v>
      </c>
      <c r="W6" s="27">
        <f>SFP!V31</f>
        <v>4603812823.9799995</v>
      </c>
      <c r="X6" s="27">
        <f>SFP!W31</f>
        <v>4546367095.0599995</v>
      </c>
      <c r="Y6" s="27">
        <f>SFP!X31</f>
        <v>4519335718.4400005</v>
      </c>
      <c r="Z6" s="27">
        <f>SFP!Y31</f>
        <v>4591970544.8400002</v>
      </c>
      <c r="AA6" s="27">
        <f>SFP!Z31</f>
        <v>4647616625.8499994</v>
      </c>
      <c r="AB6" s="27">
        <f>SFP!AA31</f>
        <v>4724122104.3000002</v>
      </c>
      <c r="AC6" s="27">
        <f>SFP!AB31</f>
        <v>4768210436.0100002</v>
      </c>
      <c r="AD6" s="27">
        <f>SFP!AC31</f>
        <v>4806563647.8400002</v>
      </c>
      <c r="AE6" s="27">
        <f>SFP!AD31</f>
        <v>4865777438.6199999</v>
      </c>
      <c r="AF6" s="27">
        <f>SFP!AE31</f>
        <v>4923197348.2700005</v>
      </c>
      <c r="AG6" s="27">
        <f>SFP!AF31</f>
        <v>4975606801.2799997</v>
      </c>
      <c r="AH6" s="236">
        <f>SFP!AG31</f>
        <v>5135049618</v>
      </c>
      <c r="AI6" s="236">
        <f>SFP!AH31</f>
        <v>5038359333.6100006</v>
      </c>
      <c r="AJ6" s="236">
        <f>SFP!AI31</f>
        <v>5473639631.7600002</v>
      </c>
      <c r="AK6" s="236">
        <f>SFP!AJ31</f>
        <v>5476396886.5200005</v>
      </c>
      <c r="AL6" s="236">
        <f>SFP!AK31</f>
        <v>5444817022.1499996</v>
      </c>
      <c r="AM6" s="236">
        <f>SFP!AL31</f>
        <v>5468642996.1599998</v>
      </c>
      <c r="AN6" s="236">
        <f>SFP!AM31</f>
        <v>5523039517.7600002</v>
      </c>
      <c r="AO6" s="236">
        <f>SFP!AN31</f>
        <v>5652216139.3400002</v>
      </c>
      <c r="AP6" s="236">
        <f>SFP!AO31</f>
        <v>5683257191.25</v>
      </c>
      <c r="AQ6" s="236">
        <f>SFP!AP31</f>
        <v>5723339789.2199993</v>
      </c>
      <c r="AR6" s="236">
        <f>SFP!AQ31</f>
        <v>5847494467.6100006</v>
      </c>
      <c r="AS6" s="236">
        <f>SFP!AR31</f>
        <v>5903270573.0100002</v>
      </c>
      <c r="AT6" s="236">
        <f>SFP!AS31</f>
        <v>5972925247.7200003</v>
      </c>
      <c r="AU6" s="236">
        <f>SFP!AT31</f>
        <v>5972911279</v>
      </c>
      <c r="AV6" s="236">
        <f>SFP!AU31</f>
        <v>6011493898.8400002</v>
      </c>
      <c r="AW6" s="236">
        <f>SFP!AV31</f>
        <v>6384083492.2199993</v>
      </c>
      <c r="AX6" s="236">
        <f>SFP!AW31</f>
        <v>6299174043.8199997</v>
      </c>
      <c r="AY6" s="236">
        <f>SFP!AX31</f>
        <v>6406181364.6499996</v>
      </c>
      <c r="AZ6" s="236">
        <f>SFP!AY31</f>
        <v>6409080389.0500002</v>
      </c>
      <c r="BA6" s="236">
        <f>SFP!AZ31</f>
        <v>6446130340.2799997</v>
      </c>
      <c r="BB6" s="236">
        <f>SFP!BA31</f>
        <v>6545512429.3400002</v>
      </c>
      <c r="BC6" s="236">
        <f>SFP!BB31</f>
        <v>6617969940.8900003</v>
      </c>
      <c r="BD6" s="236">
        <f>SFP!BC31</f>
        <v>6637686082.9000006</v>
      </c>
      <c r="BE6" s="236">
        <f>SFP!BD31</f>
        <v>6682594867.6199999</v>
      </c>
      <c r="BF6" s="236">
        <f>SFP!BE31</f>
        <v>6689966303.8500004</v>
      </c>
      <c r="BG6" s="236">
        <f>SFP!BF31</f>
        <v>6775457858.6300011</v>
      </c>
      <c r="BH6" s="236">
        <f>SFP!BG31</f>
        <v>6775457859</v>
      </c>
      <c r="BI6" s="236">
        <f>SFP!BH31</f>
        <v>7305707944.3999996</v>
      </c>
      <c r="BJ6" s="236">
        <f>SFP!BI31</f>
        <v>7146035050.2399998</v>
      </c>
      <c r="BK6" s="236">
        <f>SFP!BJ31</f>
        <v>7162070479.9899998</v>
      </c>
      <c r="BL6" s="236">
        <f>SFP!BK31</f>
        <v>7209204302.8699999</v>
      </c>
      <c r="BM6" s="236">
        <f>SFP!BL31</f>
        <v>7230675104.4599991</v>
      </c>
      <c r="BN6" s="236">
        <f>SFP!BM31</f>
        <v>7252506197.8600006</v>
      </c>
      <c r="BO6" s="236">
        <f>SFP!BN31</f>
        <v>7509674817.2600002</v>
      </c>
      <c r="BP6" s="236">
        <f>SFP!BO31</f>
        <v>7494444807.9000006</v>
      </c>
      <c r="BQ6" s="236">
        <f>SFP!BP31</f>
        <v>7604455538.3099995</v>
      </c>
      <c r="BR6" s="236">
        <f>SFP!BQ31</f>
        <v>7710392421.4099998</v>
      </c>
      <c r="BS6" s="236">
        <f>SFP!BR31</f>
        <v>7778434141.7000008</v>
      </c>
      <c r="BT6" s="236">
        <f>SFP!BS31</f>
        <v>7839427482.3700008</v>
      </c>
      <c r="BU6" s="236">
        <f>SFP!BT31</f>
        <v>7839427482</v>
      </c>
      <c r="BV6" s="236">
        <f>SFP!BU31</f>
        <v>8334760292.2599993</v>
      </c>
      <c r="BW6" s="236">
        <f>SFP!BV31</f>
        <v>8266167174.3600006</v>
      </c>
      <c r="BX6" s="236">
        <f>SFP!BW31</f>
        <v>8288536854.4300003</v>
      </c>
      <c r="BY6" s="236">
        <f>SFP!BX31</f>
        <v>8274504287.2200003</v>
      </c>
      <c r="BZ6" s="236">
        <f>SFP!BY31</f>
        <v>8410226224.7800007</v>
      </c>
      <c r="CA6" s="236">
        <f>SFP!BZ31</f>
        <v>8467158376.6100006</v>
      </c>
      <c r="CB6" s="236">
        <f>SFP!CA31</f>
        <v>8657063566.5300007</v>
      </c>
      <c r="CC6" s="236">
        <f>SFP!CB31</f>
        <v>8688310455.5599995</v>
      </c>
      <c r="CD6" s="236">
        <f>SFP!CC31</f>
        <v>8676929527.8899994</v>
      </c>
      <c r="CE6" s="236">
        <f>SFP!CD31</f>
        <v>8750876813.3799992</v>
      </c>
      <c r="CF6" s="236">
        <f>SFP!CE31</f>
        <v>8839196561.3299999</v>
      </c>
      <c r="CG6" s="236">
        <f>SFP!CF31</f>
        <v>8897150213.6399994</v>
      </c>
      <c r="CH6" s="236">
        <f>SFP!CG31</f>
        <v>8908466620</v>
      </c>
      <c r="CI6" s="236">
        <f>SFP!CH31</f>
        <v>9378403721.8299999</v>
      </c>
      <c r="CJ6" s="236">
        <f>SFP!CI31</f>
        <v>9292661322.0300007</v>
      </c>
      <c r="CK6" s="236">
        <f>SFP!CJ31</f>
        <v>9270271127.0299988</v>
      </c>
      <c r="CL6" s="236">
        <f>SFP!CK31</f>
        <v>9325232975.2600002</v>
      </c>
      <c r="CM6" s="236">
        <f>SFP!CL31</f>
        <v>9363758765.9599991</v>
      </c>
      <c r="CN6" s="236">
        <f>SFP!CM31</f>
        <v>9584714396.3699989</v>
      </c>
      <c r="CO6" s="236">
        <f>SFP!CN31</f>
        <v>9812897055.1599998</v>
      </c>
      <c r="CP6" s="236">
        <f>SFP!CO31</f>
        <v>9945777084.5499992</v>
      </c>
      <c r="CQ6" s="236">
        <f>SFP!CP31</f>
        <v>9921840745.5799999</v>
      </c>
      <c r="CR6" s="236">
        <f>SFP!CQ31</f>
        <v>0</v>
      </c>
      <c r="CS6" s="236">
        <f>SFP!CR31</f>
        <v>0</v>
      </c>
      <c r="CT6" s="236">
        <f>SFP!CS31</f>
        <v>0</v>
      </c>
    </row>
    <row r="7" spans="1:100">
      <c r="A7" s="225">
        <v>3.1</v>
      </c>
      <c r="B7" s="237" t="s">
        <v>106</v>
      </c>
      <c r="C7" s="27">
        <f>SFP!B30</f>
        <v>1309041000</v>
      </c>
      <c r="D7" s="27">
        <f>SFP!C30</f>
        <v>1412967000</v>
      </c>
      <c r="E7" s="27">
        <f>SFP!D30</f>
        <v>1638628000</v>
      </c>
      <c r="F7" s="27">
        <f>SFP!E30</f>
        <v>1909635651</v>
      </c>
      <c r="G7" s="27">
        <f>SFP!F30</f>
        <v>2204621249</v>
      </c>
      <c r="H7" s="27">
        <f>SFP!G30</f>
        <v>2548520382</v>
      </c>
      <c r="I7" s="27">
        <f>SFP!H30</f>
        <v>2915668702.9899998</v>
      </c>
      <c r="J7" s="27">
        <f>SFP!I30</f>
        <v>2949568534.7199998</v>
      </c>
      <c r="K7" s="27">
        <f>SFP!J30</f>
        <v>3000747102.3200002</v>
      </c>
      <c r="L7" s="27">
        <f>SFP!K30</f>
        <v>3038082232.2199998</v>
      </c>
      <c r="M7" s="27">
        <f>SFP!L30</f>
        <v>3086162527.4200001</v>
      </c>
      <c r="N7" s="27">
        <f>SFP!M30</f>
        <v>3138029423.6700001</v>
      </c>
      <c r="O7" s="27">
        <f>SFP!N30</f>
        <v>3174951998.3200002</v>
      </c>
      <c r="P7" s="27">
        <f>SFP!O30</f>
        <v>3231491752.6700001</v>
      </c>
      <c r="Q7" s="27">
        <f>SFP!P30</f>
        <v>3276393464.8499999</v>
      </c>
      <c r="R7" s="27">
        <f>SFP!Q30</f>
        <v>3325511745.3600001</v>
      </c>
      <c r="S7" s="27">
        <f>SFP!R30</f>
        <v>3384538922.5300002</v>
      </c>
      <c r="T7" s="27">
        <f>SFP!S30</f>
        <v>3416672974.0900002</v>
      </c>
      <c r="U7" s="27">
        <f>SFP!T30</f>
        <v>2979715072</v>
      </c>
      <c r="V7" s="27">
        <f>SFP!U30</f>
        <v>6947251900.8400002</v>
      </c>
      <c r="W7" s="27">
        <f>SFP!V30</f>
        <v>3531013769.27</v>
      </c>
      <c r="X7" s="27">
        <f>SFP!W30</f>
        <v>3605179966.8499999</v>
      </c>
      <c r="Y7" s="27">
        <f>SFP!X30</f>
        <v>3655724830.4000001</v>
      </c>
      <c r="Z7" s="27">
        <f>SFP!Y30</f>
        <v>3691673043.4299998</v>
      </c>
      <c r="AA7" s="27">
        <f>SFP!Z30</f>
        <v>3747015374.9499998</v>
      </c>
      <c r="AB7" s="27">
        <f>SFP!AA30</f>
        <v>3792366999</v>
      </c>
      <c r="AC7" s="27">
        <f>SFP!AB31</f>
        <v>4768210436.0100002</v>
      </c>
      <c r="AD7" s="27">
        <f>SFP!AC31</f>
        <v>4806563647.8400002</v>
      </c>
      <c r="AE7" s="27">
        <f>SFP!AD31</f>
        <v>4865777438.6199999</v>
      </c>
      <c r="AF7" s="27">
        <f>SFP!AE31</f>
        <v>4923197348.2700005</v>
      </c>
      <c r="AG7" s="27">
        <f>SFP!AF31</f>
        <v>4975606801.2799997</v>
      </c>
      <c r="AH7" s="236">
        <f>SFP!AG31</f>
        <v>5135049618</v>
      </c>
      <c r="AI7" s="236">
        <f>SFP!AH31</f>
        <v>5038359333.6100006</v>
      </c>
      <c r="AJ7" s="236">
        <f>SFP!AI31</f>
        <v>5473639631.7600002</v>
      </c>
      <c r="AK7" s="236">
        <f>SFP!AJ31</f>
        <v>5476396886.5200005</v>
      </c>
      <c r="AL7" s="236">
        <f>SFP!AK31</f>
        <v>5444817022.1499996</v>
      </c>
      <c r="AM7" s="236">
        <f>SFP!AL31</f>
        <v>5468642996.1599998</v>
      </c>
      <c r="AN7" s="236">
        <f>SFP!AM31</f>
        <v>5523039517.7600002</v>
      </c>
      <c r="AO7" s="236">
        <f>SFP!AN31</f>
        <v>5652216139.3400002</v>
      </c>
      <c r="AP7" s="236">
        <f>SFP!AO31</f>
        <v>5683257191.25</v>
      </c>
      <c r="AQ7" s="236">
        <f>SFP!AP31</f>
        <v>5723339789.2199993</v>
      </c>
      <c r="AR7" s="236">
        <f>SFP!AQ31</f>
        <v>5847494467.6100006</v>
      </c>
      <c r="AS7" s="236">
        <f>SFP!AR31</f>
        <v>5903270573.0100002</v>
      </c>
      <c r="AT7" s="236">
        <f>SFP!AS31</f>
        <v>5972925247.7200003</v>
      </c>
      <c r="AU7" s="236">
        <f>SFP!AT31</f>
        <v>5972911279</v>
      </c>
      <c r="AV7" s="236">
        <f>SFP!AU31</f>
        <v>6011493898.8400002</v>
      </c>
      <c r="AW7" s="236">
        <f>SFP!AV31</f>
        <v>6384083492.2199993</v>
      </c>
      <c r="AX7" s="236">
        <f>SFP!AW31</f>
        <v>6299174043.8199997</v>
      </c>
      <c r="AY7" s="236">
        <f>SFP!AX31</f>
        <v>6406181364.6499996</v>
      </c>
      <c r="AZ7" s="236">
        <f>SFP!AY31</f>
        <v>6409080389.0500002</v>
      </c>
      <c r="BA7" s="236">
        <f>SFP!AZ31</f>
        <v>6446130340.2799997</v>
      </c>
      <c r="BB7" s="236">
        <f>SFP!BA31</f>
        <v>6545512429.3400002</v>
      </c>
      <c r="BC7" s="236">
        <f>SFP!BB31</f>
        <v>6617969940.8900003</v>
      </c>
      <c r="BD7" s="236">
        <f>SFP!BC31</f>
        <v>6637686082.9000006</v>
      </c>
      <c r="BE7" s="236">
        <f>SFP!BD31</f>
        <v>6682594867.6199999</v>
      </c>
      <c r="BF7" s="236">
        <f>SFP!BE31</f>
        <v>6689966303.8500004</v>
      </c>
      <c r="BG7" s="236">
        <f>SFP!BF31</f>
        <v>6775457858.6300011</v>
      </c>
      <c r="BH7" s="236">
        <f>SFP!BG31</f>
        <v>6775457859</v>
      </c>
      <c r="BI7" s="236">
        <f>SFP!BH31</f>
        <v>7305707944.3999996</v>
      </c>
      <c r="BJ7" s="236">
        <f>SFP!BI31</f>
        <v>7146035050.2399998</v>
      </c>
      <c r="BK7" s="236">
        <f>SFP!BJ31</f>
        <v>7162070479.9899998</v>
      </c>
      <c r="BL7" s="236">
        <f>SFP!BK31</f>
        <v>7209204302.8699999</v>
      </c>
      <c r="BM7" s="236">
        <f>SFP!BL31</f>
        <v>7230675104.4599991</v>
      </c>
      <c r="BN7" s="236">
        <f>SFP!BM31</f>
        <v>7252506197.8600006</v>
      </c>
      <c r="BO7" s="236">
        <f>SFP!BN31</f>
        <v>7509674817.2600002</v>
      </c>
      <c r="BP7" s="236">
        <f>SFP!BO31</f>
        <v>7494444807.9000006</v>
      </c>
      <c r="BQ7" s="236">
        <f>SFP!BP31</f>
        <v>7604455538.3099995</v>
      </c>
      <c r="BR7" s="236">
        <f>SFP!BQ31</f>
        <v>7710392421.4099998</v>
      </c>
      <c r="BS7" s="236">
        <f>SFP!BR31</f>
        <v>7778434141.7000008</v>
      </c>
      <c r="BT7" s="236">
        <f>SFP!BS31</f>
        <v>7839427482.3700008</v>
      </c>
      <c r="BU7" s="236">
        <f>SFP!BT31</f>
        <v>7839427482</v>
      </c>
      <c r="BV7" s="236">
        <f>SFP!BU31</f>
        <v>8334760292.2599993</v>
      </c>
      <c r="BW7" s="236">
        <f>SFP!BV31</f>
        <v>8266167174.3600006</v>
      </c>
      <c r="BX7" s="236">
        <f>SFP!BW31</f>
        <v>8288536854.4300003</v>
      </c>
      <c r="BY7" s="236">
        <f>SFP!BX31</f>
        <v>8274504287.2200003</v>
      </c>
      <c r="BZ7" s="236">
        <f>SFP!BY31</f>
        <v>8410226224.7800007</v>
      </c>
      <c r="CA7" s="236">
        <f>SFP!BZ31</f>
        <v>8467158376.6100006</v>
      </c>
      <c r="CB7" s="236">
        <f>SFP!CA31</f>
        <v>8657063566.5300007</v>
      </c>
      <c r="CC7" s="236">
        <f>SFP!CB31</f>
        <v>8688310455.5599995</v>
      </c>
      <c r="CD7" s="236">
        <f>SFP!CC31</f>
        <v>8676929527.8899994</v>
      </c>
      <c r="CE7" s="236">
        <f>SFP!CD31</f>
        <v>8750876813.3799992</v>
      </c>
      <c r="CF7" s="236">
        <f>SFP!CE31</f>
        <v>8839196561.3299999</v>
      </c>
      <c r="CG7" s="236">
        <f>SFP!CF31</f>
        <v>8897150213.6399994</v>
      </c>
      <c r="CH7" s="236">
        <f>SFP!CG31</f>
        <v>8908466620</v>
      </c>
      <c r="CI7" s="236">
        <f>SFP!CH31</f>
        <v>9378403721.8299999</v>
      </c>
      <c r="CJ7" s="236">
        <f>SFP!CI31</f>
        <v>9292661322.0300007</v>
      </c>
      <c r="CK7" s="236">
        <f>SFP!CJ31</f>
        <v>9270271127.0299988</v>
      </c>
      <c r="CL7" s="236">
        <f>SFP!CK31</f>
        <v>9325232975.2600002</v>
      </c>
      <c r="CM7" s="236">
        <f>SFP!CL31</f>
        <v>9363758765.9599991</v>
      </c>
      <c r="CN7" s="236">
        <f>SFP!CM31</f>
        <v>9584714396.3699989</v>
      </c>
      <c r="CO7" s="236">
        <f>SFP!CN31</f>
        <v>9812897055.1599998</v>
      </c>
      <c r="CP7" s="236">
        <f>SFP!CO31</f>
        <v>9945777084.5499992</v>
      </c>
      <c r="CQ7" s="236">
        <f>SFP!CP31</f>
        <v>9921840745.5799999</v>
      </c>
      <c r="CR7" s="236">
        <f>SFP!CQ31</f>
        <v>0</v>
      </c>
      <c r="CS7" s="236">
        <f>SFP!CR31</f>
        <v>0</v>
      </c>
      <c r="CT7" s="236">
        <f>SFP!CS31</f>
        <v>0</v>
      </c>
    </row>
    <row r="8" spans="1:100">
      <c r="A8" s="225">
        <v>3.2</v>
      </c>
      <c r="B8" s="237" t="s">
        <v>107</v>
      </c>
      <c r="C8" s="27">
        <f>SFP!B28+SFP!B29</f>
        <v>231784000</v>
      </c>
      <c r="D8" s="27">
        <f>SFP!C28+SFP!C29</f>
        <v>295250000</v>
      </c>
      <c r="E8" s="27">
        <f>SFP!D28+SFP!D29</f>
        <v>389257000</v>
      </c>
      <c r="F8" s="27">
        <f>SFP!E28+SFP!E29</f>
        <v>566505818</v>
      </c>
      <c r="G8" s="27">
        <f>SFP!F28+SFP!F29</f>
        <v>802585086</v>
      </c>
      <c r="H8" s="27">
        <f>SFP!G28+SFP!G29</f>
        <v>1039952796</v>
      </c>
      <c r="I8" s="27">
        <f>SFP!H28+SFP!H29</f>
        <v>663572365.40999997</v>
      </c>
      <c r="J8" s="27">
        <f>SFP!I28+SFP!I29</f>
        <v>857561596.33000004</v>
      </c>
      <c r="K8" s="27">
        <f>SFP!J28+SFP!J29</f>
        <v>778674010.69000006</v>
      </c>
      <c r="L8" s="27">
        <f>SFP!K28+SFP!K29</f>
        <v>706010104.58000004</v>
      </c>
      <c r="M8" s="27">
        <f>SFP!M27+SFP!L29</f>
        <v>0</v>
      </c>
      <c r="N8" s="27">
        <f>SFP!M28+SFP!M29</f>
        <v>755204503.19000006</v>
      </c>
      <c r="O8" s="27">
        <f>SFP!N28+SFP!N29</f>
        <v>774496259.64999998</v>
      </c>
      <c r="P8" s="27">
        <f>SFP!O28+SFP!O29</f>
        <v>791826592.03999996</v>
      </c>
      <c r="Q8" s="27">
        <f>SFP!P28+SFP!P29</f>
        <v>754393049.48000002</v>
      </c>
      <c r="R8" s="27">
        <f>SFP!Q28+SFP!Q29</f>
        <v>800769580.61000001</v>
      </c>
      <c r="S8" s="27">
        <f>SFP!R28+SFP!R29</f>
        <v>838894952.83000004</v>
      </c>
      <c r="T8" s="27">
        <f>SFP!S28+SFP!S29</f>
        <v>846387117.15999997</v>
      </c>
      <c r="U8" s="27">
        <f>SFP!T28+SFP!T29</f>
        <v>1371688449</v>
      </c>
      <c r="V8" s="27">
        <f>SFP!U28+SFP!U29</f>
        <v>1649608808.4200001</v>
      </c>
      <c r="W8" s="27">
        <f>SFP!V28+SFP!V29</f>
        <v>1072799054.71</v>
      </c>
      <c r="X8" s="27">
        <f>SFP!W28+SFP!W29</f>
        <v>941187128.21000004</v>
      </c>
      <c r="Y8" s="27">
        <f>SFP!X28+SFP!X29</f>
        <v>863610888.03999996</v>
      </c>
      <c r="Z8" s="27">
        <f>SFP!Y28+SFP!Y29</f>
        <v>900297501.40999997</v>
      </c>
      <c r="AA8" s="27">
        <f>SFP!Z28+SFP!Z29</f>
        <v>900601250.89999998</v>
      </c>
      <c r="AB8" s="27">
        <f>SFP!AA28+SFP!AA29</f>
        <v>931755105.29999995</v>
      </c>
      <c r="AC8" s="27">
        <f>SFP!AB29+SFP!AB30</f>
        <v>3927335995.0300002</v>
      </c>
      <c r="AD8" s="27">
        <f>SFP!AC29+SFP!AC30</f>
        <v>3969869657.4000001</v>
      </c>
      <c r="AE8" s="27">
        <f>SFP!AD29+SFP!AD30</f>
        <v>4025916104.5900002</v>
      </c>
      <c r="AF8" s="27">
        <f>SFP!AE29+SFP!AE30</f>
        <v>4078407420.48</v>
      </c>
      <c r="AG8" s="27">
        <f>SFP!AF29+SFP!AF30</f>
        <v>4108712400.1300001</v>
      </c>
      <c r="AH8" s="236">
        <f>SFP!AG29+SFP!AG30</f>
        <v>4021917768</v>
      </c>
      <c r="AI8" s="236">
        <f>SFP!AH29+SFP!AH30</f>
        <v>4168542262.0100002</v>
      </c>
      <c r="AJ8" s="236">
        <f>SFP!AI29+SFP!AI30</f>
        <v>4371427648.8500004</v>
      </c>
      <c r="AK8" s="236">
        <f>SFP!AJ29+SFP!AJ30</f>
        <v>4459275107.1300001</v>
      </c>
      <c r="AL8" s="236">
        <f>SFP!AK29+SFP!AK30</f>
        <v>4483983152.6099997</v>
      </c>
      <c r="AM8" s="236">
        <f>SFP!AL29+SFP!AL30</f>
        <v>4530547595.4399996</v>
      </c>
      <c r="AN8" s="236">
        <f>SFP!AM29+SFP!AM30</f>
        <v>4576899371.6400003</v>
      </c>
      <c r="AO8" s="236">
        <f>SFP!AN29+SFP!AN30</f>
        <v>4628151679.9799995</v>
      </c>
      <c r="AP8" s="236">
        <f>SFP!AO29+SFP!AO30</f>
        <v>4700807626.21</v>
      </c>
      <c r="AQ8" s="236">
        <f>SFP!AP29+SFP!AP30</f>
        <v>4728501675.8899994</v>
      </c>
      <c r="AR8" s="236">
        <f>SFP!AQ29+SFP!AQ30</f>
        <v>4790738743.21</v>
      </c>
      <c r="AS8" s="236">
        <f>SFP!AR29+SFP!AR30</f>
        <v>4882179489.4399996</v>
      </c>
      <c r="AT8" s="236">
        <f>SFP!AS29+SFP!AS30</f>
        <v>4904207153.7200003</v>
      </c>
      <c r="AU8" s="236">
        <f>SFP!AT29+SFP!AT30</f>
        <v>4928509310</v>
      </c>
      <c r="AV8" s="236">
        <f>SFP!AU29+SFP!AU30</f>
        <v>4959361699.9000006</v>
      </c>
      <c r="AW8" s="236">
        <f>SFP!AV29+SFP!AV30</f>
        <v>5007459658.21</v>
      </c>
      <c r="AX8" s="236">
        <f>SFP!AW29+SFP!AW30</f>
        <v>5083542343.7300005</v>
      </c>
      <c r="AY8" s="236">
        <f>SFP!AX29+SFP!AX30</f>
        <v>5146231856.5500002</v>
      </c>
      <c r="AZ8" s="236">
        <f>SFP!AY29+SFP!AY30</f>
        <v>5215502981.8299999</v>
      </c>
      <c r="BA8" s="236">
        <f>SFP!AZ29+SFP!AZ30</f>
        <v>5201517859.1099997</v>
      </c>
      <c r="BB8" s="236">
        <f>SFP!BA29+SFP!BA30</f>
        <v>5286216211.5299997</v>
      </c>
      <c r="BC8" s="236">
        <f>SFP!BB29+SFP!BB30</f>
        <v>5353432955.6700001</v>
      </c>
      <c r="BD8" s="236">
        <f>SFP!BC29+SFP!BC30</f>
        <v>5397193001.21</v>
      </c>
      <c r="BE8" s="236">
        <f>SFP!BD29+SFP!BD30</f>
        <v>5459146651.8999996</v>
      </c>
      <c r="BF8" s="236">
        <f>SFP!BE29+SFP!BE30</f>
        <v>5520521337.1300001</v>
      </c>
      <c r="BG8" s="236">
        <f>SFP!BF29+SFP!BF30</f>
        <v>5514063534.2200003</v>
      </c>
      <c r="BH8" s="236">
        <f>SFP!BG29+SFP!BG30</f>
        <v>5458811312</v>
      </c>
      <c r="BI8" s="236">
        <f>SFP!BH29+SFP!BH30</f>
        <v>5585011218.3599997</v>
      </c>
      <c r="BJ8" s="236">
        <f>SFP!BI29+SFP!BI30</f>
        <v>5674611540.2299995</v>
      </c>
      <c r="BK8" s="236">
        <f>SFP!BJ29+SFP!BJ30</f>
        <v>5753877851.4099998</v>
      </c>
      <c r="BL8" s="236">
        <f>SFP!BK29+SFP!BK30</f>
        <v>5818405117.3199997</v>
      </c>
      <c r="BM8" s="236">
        <f>SFP!BL29+SFP!BL30</f>
        <v>5889671121.6899996</v>
      </c>
      <c r="BN8" s="236">
        <f>SFP!BM29+SFP!BM30</f>
        <v>5962765626.6700001</v>
      </c>
      <c r="BO8" s="236">
        <f>SFP!BN29+SFP!BN30</f>
        <v>6061819497.1700001</v>
      </c>
      <c r="BP8" s="236">
        <f>SFP!BO29+SFP!BO30</f>
        <v>6094535023.2700005</v>
      </c>
      <c r="BQ8" s="236">
        <f>SFP!BP29+SFP!BP30</f>
        <v>6173144075.2799997</v>
      </c>
      <c r="BR8" s="236">
        <f>SFP!BQ29+SFP!BQ30</f>
        <v>6257818121.1999998</v>
      </c>
      <c r="BS8" s="236">
        <f>SFP!BR29+SFP!BR30</f>
        <v>6330041757.7700005</v>
      </c>
      <c r="BT8" s="236">
        <f>SFP!BS29+SFP!BS30</f>
        <v>6368145595.2700005</v>
      </c>
      <c r="BU8" s="236">
        <f>SFP!BT29+SFP!BT30</f>
        <v>6316211595</v>
      </c>
      <c r="BV8" s="236">
        <f>SFP!BU29+SFP!BU30</f>
        <v>6440632352.4799995</v>
      </c>
      <c r="BW8" s="236">
        <f>SFP!BV29+SFP!BV30</f>
        <v>6531277557.71</v>
      </c>
      <c r="BX8" s="236">
        <f>SFP!BW29+SFP!BW30</f>
        <v>6611404412.3100004</v>
      </c>
      <c r="BY8" s="236">
        <f>SFP!BX29+SFP!BX30</f>
        <v>6714904768.6700001</v>
      </c>
      <c r="BZ8" s="236">
        <f>SFP!BY29+SFP!BY30</f>
        <v>6832367623.8500004</v>
      </c>
      <c r="CA8" s="236">
        <f>SFP!BZ29+SFP!BZ30</f>
        <v>6905263332.0500002</v>
      </c>
      <c r="CB8" s="236">
        <f>SFP!CA29+SFP!CA30</f>
        <v>7016660787.7600002</v>
      </c>
      <c r="CC8" s="236">
        <f>SFP!CB29+SFP!CB30</f>
        <v>7107736066.4200001</v>
      </c>
      <c r="CD8" s="236">
        <f>SFP!CC29+SFP!CC30</f>
        <v>7187718414.8900003</v>
      </c>
      <c r="CE8" s="236">
        <f>SFP!CD29+SFP!CD30</f>
        <v>7288444579.9899998</v>
      </c>
      <c r="CF8" s="236">
        <f>SFP!CE29+SFP!CE30</f>
        <v>7375611076.8100004</v>
      </c>
      <c r="CG8" s="236">
        <f>SFP!CF29+SFP!CF30</f>
        <v>7403078424.9399996</v>
      </c>
      <c r="CH8" s="236">
        <f>SFP!CG29+SFP!CG30</f>
        <v>7357287925</v>
      </c>
      <c r="CI8" s="236">
        <f>SFP!CH29+SFP!CH30</f>
        <v>7469082780.8599997</v>
      </c>
      <c r="CJ8" s="236">
        <f>SFP!CI29+SFP!CI30</f>
        <v>7552091160.79</v>
      </c>
      <c r="CK8" s="236">
        <f>SFP!CJ29+SFP!CJ30</f>
        <v>7634971887.4899998</v>
      </c>
      <c r="CL8" s="236">
        <f>SFP!CK29+SFP!CK30</f>
        <v>7729629377.4200001</v>
      </c>
      <c r="CM8" s="236">
        <f>SFP!CL29+SFP!CL30</f>
        <v>7831565834.9399996</v>
      </c>
      <c r="CN8" s="236">
        <f>SFP!CM29+SFP!CM30</f>
        <v>8014310153.1999998</v>
      </c>
      <c r="CO8" s="236">
        <f>SFP!CN29+SFP!CN30</f>
        <v>8170717448.1700001</v>
      </c>
      <c r="CP8" s="236">
        <f>SFP!CO29+SFP!CO30</f>
        <v>8296054680.4399996</v>
      </c>
      <c r="CQ8" s="236">
        <f>SFP!CP29+SFP!CP30</f>
        <v>8401879275.46</v>
      </c>
      <c r="CR8" s="236">
        <f>SFP!CQ29+SFP!CQ30</f>
        <v>0</v>
      </c>
      <c r="CS8" s="236">
        <f>SFP!CR29+SFP!CR30</f>
        <v>0</v>
      </c>
      <c r="CT8" s="236">
        <f>SFP!CS29+SFP!CS30</f>
        <v>0</v>
      </c>
    </row>
    <row r="9" spans="1:100">
      <c r="A9" s="225">
        <v>4</v>
      </c>
      <c r="B9" s="7" t="s">
        <v>108</v>
      </c>
      <c r="C9" s="32">
        <f>SFP!B38</f>
        <v>49167000</v>
      </c>
      <c r="D9" s="32">
        <f>SFP!C38</f>
        <v>0</v>
      </c>
      <c r="E9" s="32">
        <f>SFP!D38</f>
        <v>0</v>
      </c>
      <c r="F9" s="32">
        <f>SFP!E38</f>
        <v>0</v>
      </c>
      <c r="G9" s="32">
        <f>SFP!F38</f>
        <v>0</v>
      </c>
      <c r="H9" s="32">
        <f>SFP!G38</f>
        <v>183333333</v>
      </c>
      <c r="I9" s="32">
        <f>SFP!H38</f>
        <v>183333333</v>
      </c>
      <c r="J9" s="32">
        <f>SFP!I38</f>
        <v>166666666</v>
      </c>
      <c r="K9" s="32">
        <f>SFP!J38</f>
        <v>166666666</v>
      </c>
      <c r="L9" s="32">
        <f>SFP!K38</f>
        <v>166666666</v>
      </c>
      <c r="M9" s="32">
        <f>SFP!L38</f>
        <v>166666666</v>
      </c>
      <c r="N9" s="32">
        <f>SFP!M38</f>
        <v>349999999</v>
      </c>
      <c r="O9" s="32">
        <f>SFP!N38</f>
        <v>349999999</v>
      </c>
      <c r="P9" s="32">
        <f>SFP!O38</f>
        <v>433333332</v>
      </c>
      <c r="Q9" s="32">
        <f>SFP!P38</f>
        <v>522916665.32999998</v>
      </c>
      <c r="R9" s="32">
        <f>SFP!Q38</f>
        <v>618749998.66999996</v>
      </c>
      <c r="S9" s="32">
        <f>SFP!R38</f>
        <v>587499998.33000004</v>
      </c>
      <c r="T9" s="32">
        <f>SFP!S38</f>
        <v>577083331.66999996</v>
      </c>
      <c r="U9" s="32">
        <f>SFP!T38</f>
        <v>577083332</v>
      </c>
      <c r="V9" s="32">
        <f>SFP!U38</f>
        <v>1133333330.02</v>
      </c>
      <c r="W9" s="32">
        <f>SFP!V38</f>
        <v>539583331.35000002</v>
      </c>
      <c r="X9" s="32">
        <f>SFP!W38</f>
        <v>529166664.69</v>
      </c>
      <c r="Y9" s="32">
        <f>SFP!X38</f>
        <v>518749998.02999997</v>
      </c>
      <c r="Z9" s="32">
        <f>SFP!Y38</f>
        <v>491666664.37</v>
      </c>
      <c r="AA9" s="32">
        <f>SFP!Z38</f>
        <v>481258302.50999999</v>
      </c>
      <c r="AB9" s="32">
        <f>SFP!AA38</f>
        <v>470841636.14999998</v>
      </c>
      <c r="AC9" s="32">
        <f>SFP!AB41</f>
        <v>336171037.69</v>
      </c>
      <c r="AD9" s="32">
        <f>SFP!AC41</f>
        <v>343880724.25</v>
      </c>
      <c r="AE9" s="32">
        <f>SFP!AD41</f>
        <v>348795222.97000003</v>
      </c>
      <c r="AF9" s="32">
        <f>SFP!AE41</f>
        <v>354210890.18000001</v>
      </c>
      <c r="AG9" s="32">
        <f>SFP!AF41</f>
        <v>362945371.10000002</v>
      </c>
      <c r="AH9" s="238">
        <f>SFP!AG41</f>
        <v>362945371</v>
      </c>
      <c r="AI9" s="238">
        <f>SFP!AH41</f>
        <v>366969533.17000002</v>
      </c>
      <c r="AJ9" s="238">
        <f>SFP!AI41</f>
        <v>443612198.19</v>
      </c>
      <c r="AK9" s="238">
        <f>SFP!AJ41</f>
        <v>446981054.30000001</v>
      </c>
      <c r="AL9" s="238">
        <f>SFP!AK41</f>
        <v>452858470</v>
      </c>
      <c r="AM9" s="238">
        <f>SFP!AL41</f>
        <v>456435559.58999997</v>
      </c>
      <c r="AN9" s="238">
        <f>SFP!AM41</f>
        <v>459781000.23000002</v>
      </c>
      <c r="AO9" s="238">
        <f>SFP!AN41</f>
        <v>462918371.31</v>
      </c>
      <c r="AP9" s="238">
        <f>SFP!AO41</f>
        <v>467608929.56999999</v>
      </c>
      <c r="AQ9" s="238">
        <f>SFP!AP41</f>
        <v>473578812.25</v>
      </c>
      <c r="AR9" s="238">
        <f>SFP!AQ41</f>
        <v>476242942.50999999</v>
      </c>
      <c r="AS9" s="238">
        <f>SFP!AR41</f>
        <v>480248723.97000003</v>
      </c>
      <c r="AT9" s="238">
        <f>SFP!AS41</f>
        <v>489216588.69</v>
      </c>
      <c r="AU9" s="238">
        <f>SFP!AT41</f>
        <v>489216589</v>
      </c>
      <c r="AV9" s="238">
        <f>SFP!AU41</f>
        <v>490991052.38</v>
      </c>
      <c r="AW9" s="238">
        <f>SFP!AV41</f>
        <v>506422825.91000003</v>
      </c>
      <c r="AX9" s="238">
        <f>SFP!AW41</f>
        <v>512471974.63</v>
      </c>
      <c r="AY9" s="238">
        <f>SFP!AX41</f>
        <v>514478601.13999999</v>
      </c>
      <c r="AZ9" s="238">
        <f>SFP!AY41</f>
        <v>518657598.42000002</v>
      </c>
      <c r="BA9" s="238">
        <f>SFP!AZ41</f>
        <v>522686698.51999998</v>
      </c>
      <c r="BB9" s="238">
        <f>SFP!BA41</f>
        <v>524323581.5</v>
      </c>
      <c r="BC9" s="238">
        <f>SFP!BB41</f>
        <v>527455065.30000001</v>
      </c>
      <c r="BD9" s="238">
        <f>SFP!BC41</f>
        <v>529148638.23000002</v>
      </c>
      <c r="BE9" s="238">
        <f>SFP!BD41</f>
        <v>532080696.35000002</v>
      </c>
      <c r="BF9" s="238">
        <f>SFP!BE41</f>
        <v>535385143.38999999</v>
      </c>
      <c r="BG9" s="238">
        <f>SFP!BF41</f>
        <v>550227613.5</v>
      </c>
      <c r="BH9" s="238">
        <f>SFP!BG41</f>
        <v>550227614</v>
      </c>
      <c r="BI9" s="238">
        <f>SFP!BH41</f>
        <v>567352370.42999995</v>
      </c>
      <c r="BJ9" s="238">
        <f>SFP!BI41</f>
        <v>572685546.16999996</v>
      </c>
      <c r="BK9" s="238">
        <f>SFP!BJ41</f>
        <v>575669566.38</v>
      </c>
      <c r="BL9" s="238">
        <f>SFP!BK41</f>
        <v>580037057.53999996</v>
      </c>
      <c r="BM9" s="238">
        <f>SFP!BL41</f>
        <v>587261781.38999999</v>
      </c>
      <c r="BN9" s="238">
        <f>SFP!BM41</f>
        <v>591199804.32000005</v>
      </c>
      <c r="BO9" s="238">
        <f>SFP!BN41</f>
        <v>594015668.24000001</v>
      </c>
      <c r="BP9" s="238">
        <f>SFP!BO41</f>
        <v>598157578.96000004</v>
      </c>
      <c r="BQ9" s="238">
        <f>SFP!BP41</f>
        <v>601746689.30999994</v>
      </c>
      <c r="BR9" s="238">
        <f>SFP!BQ41</f>
        <v>605170489</v>
      </c>
      <c r="BS9" s="236">
        <f>SFP!BR30+SFP!BR31</f>
        <v>14052001899.470001</v>
      </c>
      <c r="BT9" s="238">
        <f>SFP!BS41</f>
        <v>625837800.20000005</v>
      </c>
      <c r="BU9" s="238">
        <f>SFP!BT41</f>
        <v>625837800</v>
      </c>
      <c r="BV9" s="238">
        <f>SFP!BU41</f>
        <v>647622541.27999997</v>
      </c>
      <c r="BW9" s="238">
        <f>SFP!BV41</f>
        <v>652590473.75999999</v>
      </c>
      <c r="BX9" s="238">
        <f>SFP!BW41</f>
        <v>655489994.16999996</v>
      </c>
      <c r="BY9" s="238">
        <f>SFP!BX41</f>
        <v>661325299.45000005</v>
      </c>
      <c r="BZ9" s="238">
        <f>SFP!BY41</f>
        <v>674612711.58000004</v>
      </c>
      <c r="CA9" s="238">
        <f>SFP!BZ41</f>
        <v>682079535.30999994</v>
      </c>
      <c r="CB9" s="238">
        <f>SFP!CA41</f>
        <v>691816591.53999996</v>
      </c>
      <c r="CC9" s="238">
        <f>SFP!CB41</f>
        <v>700499928.15999997</v>
      </c>
      <c r="CD9" s="238">
        <f>SFP!CC41</f>
        <v>704989893.96000004</v>
      </c>
      <c r="CE9" s="238">
        <f>SFP!CD41</f>
        <v>712946749.50999999</v>
      </c>
      <c r="CF9" s="238">
        <f>SFP!CE41</f>
        <v>731915270.73000002</v>
      </c>
      <c r="CG9" s="238">
        <f>SFP!CF41</f>
        <v>739534288.45000005</v>
      </c>
      <c r="CH9" s="238">
        <f>SFP!CG41</f>
        <v>739534288</v>
      </c>
      <c r="CI9" s="238">
        <f>SFP!CH41</f>
        <v>767039945.34000003</v>
      </c>
      <c r="CJ9" s="238">
        <f>SFP!CI41</f>
        <v>779305953.38</v>
      </c>
      <c r="CK9" s="238">
        <f>SFP!CJ41</f>
        <v>790072628.03999996</v>
      </c>
      <c r="CL9" s="238">
        <f>SFP!CK41</f>
        <v>800464568.66999996</v>
      </c>
      <c r="CM9" s="238">
        <f>SFP!CL41</f>
        <v>813335038.51999998</v>
      </c>
      <c r="CN9" s="238">
        <f>SFP!CM41</f>
        <v>839416136.84000003</v>
      </c>
      <c r="CO9" s="238">
        <f>SFP!CN41</f>
        <v>843972708.65999997</v>
      </c>
      <c r="CP9" s="238">
        <f>SFP!CO41</f>
        <v>849147300.21000004</v>
      </c>
      <c r="CQ9" s="238">
        <f>SFP!CP41</f>
        <v>853414593.51999998</v>
      </c>
      <c r="CR9" s="238">
        <f>SFP!CQ41</f>
        <v>0</v>
      </c>
      <c r="CS9" s="238">
        <f>SFP!CR41</f>
        <v>0</v>
      </c>
      <c r="CT9" s="238">
        <f>SFP!CS41</f>
        <v>0</v>
      </c>
    </row>
    <row r="10" spans="1:100" ht="13.9" thickBot="1">
      <c r="A10" s="226">
        <v>4.0999999999999996</v>
      </c>
      <c r="B10" s="13" t="s">
        <v>109</v>
      </c>
      <c r="C10" s="34">
        <f>SFP!B33+SFP!B34+SFP!B35+SFP!B36+SFP!B37</f>
        <v>7232000</v>
      </c>
      <c r="D10" s="34">
        <f>SFP!C33+SFP!C34+SFP!C35+SFP!C36+SFP!C37</f>
        <v>273714000</v>
      </c>
      <c r="E10" s="34">
        <f>SFP!D33+SFP!D34+SFP!D35+SFP!D36+SFP!D37</f>
        <v>11930000</v>
      </c>
      <c r="F10" s="34">
        <f>SFP!E33+SFP!E34+SFP!E35+SFP!E36+SFP!E37</f>
        <v>278665461</v>
      </c>
      <c r="G10" s="34">
        <f>SFP!F33+SFP!F34+SFP!F35+SFP!F36+SFP!F37</f>
        <v>354860186.79000002</v>
      </c>
      <c r="H10" s="34">
        <f>SFP!G33+SFP!G34+SFP!G35+SFP!G36+SFP!G37</f>
        <v>429264621</v>
      </c>
      <c r="I10" s="34">
        <f>SFP!H33+SFP!H34+SFP!H35+SFP!H36+SFP!H37</f>
        <v>483469504.43000001</v>
      </c>
      <c r="J10" s="34">
        <f>SFP!I33+SFP!I34+SFP!I35+SFP!I36+SFP!I37</f>
        <v>237975413.5</v>
      </c>
      <c r="K10" s="34">
        <f>SFP!J33+SFP!J34+SFP!J35+SFP!J36+SFP!J37</f>
        <v>272719337.10000002</v>
      </c>
      <c r="L10" s="34">
        <f>SFP!K33+SFP!K34+SFP!K35+SFP!K36+SFP!K37</f>
        <v>319126971.99000001</v>
      </c>
      <c r="M10" s="34">
        <f>SFP!L33+SFP!L34+SFP!L35+SFP!L36+SFP!L37</f>
        <v>347872057.15000004</v>
      </c>
      <c r="N10" s="34">
        <f>SFP!M33+SFP!M34+SFP!M35+SFP!M36+SFP!M37</f>
        <v>376914706.43000001</v>
      </c>
      <c r="O10" s="34">
        <f>SFP!N33+SFP!N34+SFP!N35+SFP!N36+SFP!N37</f>
        <v>418545293.56</v>
      </c>
      <c r="P10" s="34">
        <f>SFP!O33+SFP!O34+SFP!O35+SFP!O36+SFP!O37</f>
        <v>459372560.65999997</v>
      </c>
      <c r="Q10" s="34">
        <f>SFP!P33+SFP!P34+SFP!P35+SFP!P36+SFP!P37</f>
        <v>504537835.56999999</v>
      </c>
      <c r="R10" s="34">
        <f>SFP!Q33+SFP!Q34+SFP!Q35+SFP!Q36+SFP!Q37</f>
        <v>549604955.62</v>
      </c>
      <c r="S10" s="34">
        <f>SFP!R33+SFP!R34+SFP!R35+SFP!R36+SFP!R37</f>
        <v>594575608.01999998</v>
      </c>
      <c r="T10" s="34">
        <f>SFP!S33+SFP!S34+SFP!S35+SFP!S36+SFP!S37</f>
        <v>634745564.73000002</v>
      </c>
      <c r="U10" s="34">
        <f>SFP!T33+SFP!T34+SFP!T35+SFP!T36+SFP!T37</f>
        <v>443566043</v>
      </c>
      <c r="V10" s="34">
        <f>SFP!U33+SFP!U34+SFP!U35+SFP!U36+SFP!U37</f>
        <v>1271430631.26</v>
      </c>
      <c r="W10" s="34">
        <f>SFP!V33+SFP!V34+SFP!V35+SFP!V36+SFP!V37</f>
        <v>271431401.91999996</v>
      </c>
      <c r="X10" s="34">
        <f>SFP!W33+SFP!W34+SFP!W35+SFP!W36+SFP!W37</f>
        <v>325505111.88</v>
      </c>
      <c r="Y10" s="34">
        <f>SFP!X33+SFP!X34+SFP!X35+SFP!X36+SFP!X37</f>
        <v>379077711.22999996</v>
      </c>
      <c r="Z10" s="34">
        <f>SFP!Y33+SFP!Y34+SFP!Y35+SFP!Y36+SFP!Y37</f>
        <v>403260799.95999998</v>
      </c>
      <c r="AA10" s="34">
        <f>SFP!Z33+SFP!Z34+SFP!Z35+SFP!Z36+SFP!Z37</f>
        <v>429025701</v>
      </c>
      <c r="AB10" s="34">
        <f>SFP!AA33+SFP!AA34+SFP!AA35+SFP!AA36+SFP!AA37</f>
        <v>487056822.63999999</v>
      </c>
      <c r="AC10" s="34">
        <f>SFP!AB35+SFP!AB36+SFP!AB37+SFP!AB38+SFP!AB39</f>
        <v>6427873454.8700008</v>
      </c>
      <c r="AD10" s="34">
        <f>SFP!AC35+SFP!AC36+SFP!AC37+SFP!AC38+SFP!AC39</f>
        <v>6471548432.2800007</v>
      </c>
      <c r="AE10" s="34">
        <f>SFP!AD35+SFP!AD36+SFP!AD37+SFP!AD38+SFP!AD39</f>
        <v>6533546569.3599997</v>
      </c>
      <c r="AF10" s="34">
        <f>SFP!AE35+SFP!AE36+SFP!AE37+SFP!AE38+SFP!AE39</f>
        <v>6641842571.4900007</v>
      </c>
      <c r="AG10" s="34">
        <f>SFP!AF35+SFP!AF36+SFP!AF37+SFP!AF38+SFP!AF39</f>
        <v>6693100097.3800001</v>
      </c>
      <c r="AH10" s="239">
        <f>SFP!AG35+SFP!AG36+SFP!AG37+SFP!AG38+SFP!AG39</f>
        <v>7011838854.3600006</v>
      </c>
      <c r="AI10" s="239">
        <f>SFP!AH35+SFP!AH36+SFP!AH37+SFP!AH38+SFP!AH39</f>
        <v>6805415720.7700005</v>
      </c>
      <c r="AJ10" s="239">
        <f>SFP!AI35+SFP!AI36+SFP!AI37+SFP!AI38+SFP!AI39</f>
        <v>6479003586.0599995</v>
      </c>
      <c r="AK10" s="239">
        <f>SFP!AJ35+SFP!AJ36+SFP!AJ37+SFP!AJ38+SFP!AJ39</f>
        <v>6514765723.1200008</v>
      </c>
      <c r="AL10" s="239">
        <f>SFP!AK35+SFP!AK36+SFP!AK37+SFP!AK38+SFP!AK39</f>
        <v>6393822996.0499992</v>
      </c>
      <c r="AM10" s="239">
        <f>SFP!AL35+SFP!AL36+SFP!AL37+SFP!AL38+SFP!AL39</f>
        <v>6461222273.2399998</v>
      </c>
      <c r="AN10" s="239">
        <f>SFP!AM35+SFP!AM36+SFP!AM37+SFP!AM38+SFP!AM39</f>
        <v>6584845660.8400002</v>
      </c>
      <c r="AO10" s="239">
        <f>SFP!AN35+SFP!AN36+SFP!AN37+SFP!AN38+SFP!AN39</f>
        <v>6724214588.1800003</v>
      </c>
      <c r="AP10" s="239">
        <f>SFP!AO35+SFP!AO36+SFP!AO37+SFP!AO38+SFP!AO39</f>
        <v>6612121301.4899998</v>
      </c>
      <c r="AQ10" s="239">
        <f>SFP!AP35+SFP!AP36+SFP!AP37+SFP!AP38+SFP!AP39</f>
        <v>6614370875.6999989</v>
      </c>
      <c r="AR10" s="239">
        <f>SFP!AQ35+SFP!AQ36+SFP!AQ37+SFP!AQ38+SFP!AQ39</f>
        <v>6637185651.5699997</v>
      </c>
      <c r="AS10" s="239">
        <f>SFP!AR35+SFP!AR36+SFP!AR37+SFP!AR38+SFP!AR39</f>
        <v>6777844347.6300001</v>
      </c>
      <c r="AT10" s="239">
        <f>SFP!AS35+SFP!AS36+SFP!AS37+SFP!AS38+SFP!AS39</f>
        <v>6819859563.1999998</v>
      </c>
      <c r="AU10" s="239">
        <f>SFP!AT35+SFP!AT36+SFP!AT37+SFP!AT38+SFP!AT39</f>
        <v>6716930748</v>
      </c>
      <c r="AV10" s="239">
        <f>SFP!AU35+SFP!AU36+SFP!AU37+SFP!AU38+SFP!AU39</f>
        <v>6936539098.5</v>
      </c>
      <c r="AW10" s="239">
        <f>SFP!AV35+SFP!AV36+SFP!AV37+SFP!AV38+SFP!AV39</f>
        <v>6743973001.8599987</v>
      </c>
      <c r="AX10" s="239">
        <f>SFP!AW35+SFP!AW36+SFP!AW37+SFP!AW38+SFP!AW39</f>
        <v>6659567475.1999989</v>
      </c>
      <c r="AY10" s="239">
        <f>SFP!AX35+SFP!AX36+SFP!AX37+SFP!AX38+SFP!AX39</f>
        <v>6757100060.5499992</v>
      </c>
      <c r="AZ10" s="239">
        <f>SFP!AY35+SFP!AY36+SFP!AY37+SFP!AY38+SFP!AY39</f>
        <v>6823092640.3300009</v>
      </c>
      <c r="BA10" s="239">
        <f>SFP!AZ35+SFP!AZ36+SFP!AZ37+SFP!AZ38+SFP!AZ39</f>
        <v>6932967859.9199991</v>
      </c>
      <c r="BB10" s="239">
        <f>SFP!BA35+SFP!BA36+SFP!BA37+SFP!BA38+SFP!BA39</f>
        <v>7068466739.7800007</v>
      </c>
      <c r="BC10" s="239">
        <f>SFP!BB35+SFP!BB36+SFP!BB37+SFP!BB38+SFP!BB39</f>
        <v>7207107593.670001</v>
      </c>
      <c r="BD10" s="239">
        <f>SFP!BC35+SFP!BC36+SFP!BC37+SFP!BC38+SFP!BC39</f>
        <v>7282031949.4400005</v>
      </c>
      <c r="BE10" s="239">
        <f>SFP!BD35+SFP!BD36+SFP!BD37+SFP!BD38+SFP!BD39</f>
        <v>7390046800.2799997</v>
      </c>
      <c r="BF10" s="239">
        <f>SFP!BE35+SFP!BE36+SFP!BE37+SFP!BE38+SFP!BE39</f>
        <v>7461420215.7900009</v>
      </c>
      <c r="BG10" s="239">
        <f>SFP!BF35+SFP!BF36+SFP!BF37+SFP!BF38+SFP!BF39</f>
        <v>7600094808.0500011</v>
      </c>
      <c r="BH10" s="239">
        <f>SFP!BG35+SFP!BG36+SFP!BG37+SFP!BG38+SFP!BG39</f>
        <v>7637056891</v>
      </c>
      <c r="BI10" s="239">
        <f>SFP!BH35+SFP!BH36+SFP!BH37+SFP!BH38+SFP!BH39</f>
        <v>7604948194.1199989</v>
      </c>
      <c r="BJ10" s="239">
        <f>SFP!BI35+SFP!BI36+SFP!BI37+SFP!BI38+SFP!BI39</f>
        <v>7451239882.2999992</v>
      </c>
      <c r="BK10" s="239">
        <f>SFP!BJ35+SFP!BJ36+SFP!BJ37+SFP!BJ38+SFP!BJ39</f>
        <v>7526104071.4699993</v>
      </c>
      <c r="BL10" s="239">
        <f>SFP!BK35+SFP!BK36+SFP!BK37+SFP!BK38+SFP!BK39</f>
        <v>7585217048.3299999</v>
      </c>
      <c r="BM10" s="239">
        <f>SFP!BL35+SFP!BL36+SFP!BL37+SFP!BL38+SFP!BL39</f>
        <v>7677986297.8999996</v>
      </c>
      <c r="BN10" s="239">
        <f>SFP!BM35+SFP!BM36+SFP!BM37+SFP!BM38+SFP!BM39</f>
        <v>7771982304.0600014</v>
      </c>
      <c r="BO10" s="239">
        <f>SFP!BN35+SFP!BN36+SFP!BN37+SFP!BN38+SFP!BN39</f>
        <v>8082114774.0400009</v>
      </c>
      <c r="BP10" s="239">
        <f>SFP!BO35+SFP!BO36+SFP!BO37+SFP!BO38+SFP!BO39</f>
        <v>8148271266.3800001</v>
      </c>
      <c r="BQ10" s="239">
        <f>SFP!BP35+SFP!BP36+SFP!BP37+SFP!BP38+SFP!BP39</f>
        <v>8352656412.289999</v>
      </c>
      <c r="BR10" s="239">
        <f>SFP!BQ35+SFP!BQ36+SFP!BQ37+SFP!BQ38+SFP!BQ39</f>
        <v>8553401706.3899994</v>
      </c>
      <c r="BS10" s="236">
        <f>SFP!BR31+SFP!BR32</f>
        <v>8581305683.1300011</v>
      </c>
      <c r="BT10" s="239">
        <f>SFP!BS35+SFP!BS36+SFP!BS37+SFP!BS38+SFP!BS39</f>
        <v>8870643450.0100002</v>
      </c>
      <c r="BU10" s="239">
        <f>SFP!BT35+SFP!BT36+SFP!BT37+SFP!BT38+SFP!BT39</f>
        <v>8814966681</v>
      </c>
      <c r="BV10" s="239">
        <f>SFP!BU35+SFP!BU36+SFP!BU37+SFP!BU38+SFP!BU39</f>
        <v>8594010190.0799999</v>
      </c>
      <c r="BW10" s="239">
        <f>SFP!BV35+SFP!BV36+SFP!BV37+SFP!BV38+SFP!BV39</f>
        <v>8610643846.8400002</v>
      </c>
      <c r="BX10" s="239">
        <f>SFP!BW35+SFP!BW36+SFP!BW37+SFP!BW38+SFP!BW39</f>
        <v>8659735845.4300003</v>
      </c>
      <c r="BY10" s="239">
        <f>SFP!BX35+SFP!BX36+SFP!BX37+SFP!BX38+SFP!BX39</f>
        <v>8751941527.0400009</v>
      </c>
      <c r="BZ10" s="239">
        <f>SFP!BY35+SFP!BY36+SFP!BY37+SFP!BY38+SFP!BY39</f>
        <v>9004159381.4400005</v>
      </c>
      <c r="CA10" s="239">
        <f>SFP!BZ35+SFP!BZ36+SFP!BZ37+SFP!BZ38+SFP!BZ39</f>
        <v>9152876385.7099991</v>
      </c>
      <c r="CB10" s="239">
        <f>SFP!CA35+SFP!CA36+SFP!CA37+SFP!CA38+SFP!CA39</f>
        <v>9421964501.5900021</v>
      </c>
      <c r="CC10" s="239">
        <f>SFP!CB35+SFP!CB36+SFP!CB37+SFP!CB38+SFP!CB39</f>
        <v>9553055621.9400005</v>
      </c>
      <c r="CD10" s="239">
        <f>SFP!CC35+SFP!CC36+SFP!CC37+SFP!CC38+SFP!CC39</f>
        <v>9640485662.4700012</v>
      </c>
      <c r="CE10" s="239">
        <f>SFP!CD35+SFP!CD36+SFP!CD37+SFP!CD38+SFP!CD39</f>
        <v>9818355115.1999989</v>
      </c>
      <c r="CF10" s="239">
        <f>SFP!CE35+SFP!CE36+SFP!CE37+SFP!CE38+SFP!CE39</f>
        <v>10013265261.01</v>
      </c>
      <c r="CG10" s="239">
        <f>SFP!CF35+SFP!CF36+SFP!CF37+SFP!CF38+SFP!CF39</f>
        <v>9995740903.0599976</v>
      </c>
      <c r="CH10" s="239">
        <f>SFP!CG35+SFP!CG36+SFP!CG37+SFP!CG38+SFP!CG39</f>
        <v>10092807580</v>
      </c>
      <c r="CI10" s="239">
        <f>SFP!CH35+SFP!CH36+SFP!CH37+SFP!CH38+SFP!CH39</f>
        <v>9705044090.1900005</v>
      </c>
      <c r="CJ10" s="239">
        <f>SFP!CI35+SFP!CI36+SFP!CI37+SFP!CI38+SFP!CI39</f>
        <v>9720751963.9899998</v>
      </c>
      <c r="CK10" s="239">
        <f>SFP!CJ35+SFP!CJ36+SFP!CJ37+SFP!CJ38+SFP!CJ39</f>
        <v>9719072035.4899979</v>
      </c>
      <c r="CL10" s="239">
        <f>SFP!CK35+SFP!CK36+SFP!CK37+SFP!CK38+SFP!CK39</f>
        <v>9878531271.8999996</v>
      </c>
      <c r="CM10" s="239">
        <f>SFP!CL35+SFP!CL36+SFP!CL37+SFP!CL38+SFP!CL39</f>
        <v>10015595301.219997</v>
      </c>
      <c r="CN10" s="239">
        <f>SFP!CM35+SFP!CM36+SFP!CM37+SFP!CM38+SFP!CM39</f>
        <v>10357088903.23</v>
      </c>
      <c r="CO10" s="239">
        <f>SFP!CN35+SFP!CN36+SFP!CN37+SFP!CN38+SFP!CN39</f>
        <v>10645157081.32</v>
      </c>
      <c r="CP10" s="239">
        <f>SFP!CO35+SFP!CO36+SFP!CO37+SFP!CO38+SFP!CO39</f>
        <v>10892422439.23</v>
      </c>
      <c r="CQ10" s="239">
        <f>SFP!CP35+SFP!CP36+SFP!CP37+SFP!CP38+SFP!CP39</f>
        <v>10967893424.859999</v>
      </c>
      <c r="CR10" s="239">
        <f>SFP!CQ35+SFP!CQ36+SFP!CQ37+SFP!CQ38+SFP!CQ39</f>
        <v>0</v>
      </c>
      <c r="CS10" s="239">
        <f>SFP!CR35+SFP!CR36+SFP!CR37+SFP!CR38+SFP!CR39</f>
        <v>0</v>
      </c>
      <c r="CT10" s="239">
        <f>SFP!CS35+SFP!CS36+SFP!CS37+SFP!CS38+SFP!CS39</f>
        <v>0</v>
      </c>
    </row>
    <row r="11" spans="1:100">
      <c r="A11" s="9"/>
      <c r="B11" s="9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40"/>
      <c r="AI11" s="240"/>
      <c r="AJ11" s="240"/>
      <c r="AK11" s="240"/>
      <c r="AL11" s="240"/>
      <c r="AM11" s="240"/>
      <c r="AN11" s="240"/>
      <c r="AO11" s="240"/>
      <c r="AP11" s="240"/>
      <c r="AQ11" s="240"/>
      <c r="AR11" s="240"/>
      <c r="AS11" s="240"/>
      <c r="AT11" s="240"/>
      <c r="AU11" s="240"/>
      <c r="AV11" s="240"/>
      <c r="AW11" s="240"/>
      <c r="AX11" s="240"/>
      <c r="AY11" s="240"/>
      <c r="AZ11" s="240"/>
      <c r="BA11" s="240"/>
      <c r="BB11" s="240"/>
      <c r="BC11" s="240"/>
      <c r="BD11" s="240"/>
      <c r="BE11" s="240"/>
      <c r="BF11" s="240"/>
      <c r="BG11" s="240"/>
      <c r="BH11" s="240"/>
      <c r="BI11" s="240"/>
      <c r="BJ11" s="240"/>
      <c r="BK11" s="240"/>
      <c r="BL11" s="240"/>
      <c r="BM11" s="240"/>
      <c r="BN11" s="240"/>
      <c r="BO11" s="240"/>
      <c r="BP11" s="240"/>
      <c r="BQ11" s="240"/>
      <c r="BR11" s="240"/>
      <c r="BS11" s="240"/>
      <c r="BT11" s="240"/>
      <c r="BU11" s="240"/>
      <c r="BV11" s="240"/>
      <c r="BW11" s="240"/>
      <c r="BX11" s="240"/>
      <c r="BY11" s="240"/>
      <c r="BZ11" s="240"/>
      <c r="CA11" s="240"/>
      <c r="CB11" s="240"/>
      <c r="CC11" s="240"/>
      <c r="CD11" s="240"/>
      <c r="CE11" s="240"/>
      <c r="CF11" s="240"/>
      <c r="CG11" s="240"/>
      <c r="CH11" s="240"/>
      <c r="CI11" s="240"/>
      <c r="CJ11" s="240"/>
      <c r="CK11" s="240"/>
      <c r="CL11" s="240"/>
      <c r="CM11" s="240"/>
      <c r="CN11" s="240"/>
      <c r="CO11" s="240"/>
      <c r="CP11" s="240"/>
      <c r="CQ11" s="240"/>
      <c r="CR11" s="240"/>
      <c r="CS11" s="240"/>
      <c r="CT11" s="240"/>
    </row>
    <row r="12" spans="1:100" ht="13.9" thickBot="1">
      <c r="A12" s="9"/>
      <c r="B12" s="9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  <c r="BX12" s="240"/>
      <c r="BY12" s="240"/>
      <c r="BZ12" s="240"/>
      <c r="CA12" s="240"/>
      <c r="CB12" s="240"/>
      <c r="CC12" s="240"/>
      <c r="CD12" s="240"/>
      <c r="CE12" s="240"/>
      <c r="CF12" s="240"/>
      <c r="CG12" s="240"/>
      <c r="CH12" s="240"/>
      <c r="CI12" s="240"/>
      <c r="CJ12" s="240"/>
      <c r="CK12" s="240"/>
      <c r="CL12" s="240"/>
      <c r="CM12" s="240"/>
      <c r="CN12" s="240"/>
      <c r="CO12" s="240"/>
      <c r="CP12" s="240"/>
      <c r="CQ12" s="240"/>
      <c r="CR12" s="240"/>
      <c r="CS12" s="240"/>
      <c r="CT12" s="240"/>
    </row>
    <row r="13" spans="1:100">
      <c r="A13" s="14">
        <v>5</v>
      </c>
      <c r="B13" s="241" t="s">
        <v>110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42"/>
      <c r="CP13" s="242"/>
      <c r="CQ13" s="242"/>
      <c r="CR13" s="242"/>
      <c r="CS13" s="242"/>
      <c r="CT13" s="242"/>
    </row>
    <row r="14" spans="1:100">
      <c r="A14" s="227">
        <v>5.0999999999999996</v>
      </c>
      <c r="B14" s="243" t="s">
        <v>111</v>
      </c>
      <c r="C14" s="35">
        <f>C17-(C27+C28)</f>
        <v>-24983000</v>
      </c>
      <c r="D14" s="35">
        <f>D17-(D27+D28)</f>
        <v>16577000</v>
      </c>
      <c r="E14" s="35">
        <f>E17-(E27+E28)</f>
        <v>-12912000</v>
      </c>
      <c r="F14" s="35">
        <f t="shared" ref="F14:L14" si="0">F17</f>
        <v>341841476</v>
      </c>
      <c r="G14" s="35">
        <f t="shared" si="0"/>
        <v>392921038</v>
      </c>
      <c r="H14" s="35">
        <f t="shared" si="0"/>
        <v>532313238</v>
      </c>
      <c r="I14" s="35">
        <f t="shared" si="0"/>
        <v>536684828.39999998</v>
      </c>
      <c r="J14" s="35">
        <f t="shared" si="0"/>
        <v>511367934.26999998</v>
      </c>
      <c r="K14" s="35">
        <f t="shared" si="0"/>
        <v>517108803.63</v>
      </c>
      <c r="L14" s="35">
        <f t="shared" si="0"/>
        <v>513337155.42999995</v>
      </c>
      <c r="M14" s="35">
        <f t="shared" ref="M14:S14" si="1">M17</f>
        <v>516224559.91999996</v>
      </c>
      <c r="N14" s="35">
        <f t="shared" si="1"/>
        <v>530791871.78999996</v>
      </c>
      <c r="O14" s="35">
        <f t="shared" si="1"/>
        <v>539044300.63</v>
      </c>
      <c r="P14" s="35">
        <f t="shared" si="1"/>
        <v>571234065.74000001</v>
      </c>
      <c r="Q14" s="35">
        <f t="shared" si="1"/>
        <v>590165372.91999996</v>
      </c>
      <c r="R14" s="35">
        <f t="shared" si="1"/>
        <v>608214875.07999992</v>
      </c>
      <c r="S14" s="35">
        <f t="shared" si="1"/>
        <v>625431729.38</v>
      </c>
      <c r="T14" s="35">
        <f t="shared" ref="T14:AA14" si="2">T17</f>
        <v>655293060.68000007</v>
      </c>
      <c r="U14" s="35">
        <f t="shared" si="2"/>
        <v>716379999</v>
      </c>
      <c r="V14" s="35">
        <f t="shared" si="2"/>
        <v>1406777221.6400001</v>
      </c>
      <c r="W14" s="35">
        <f t="shared" si="2"/>
        <v>694368606.03999996</v>
      </c>
      <c r="X14" s="35">
        <f t="shared" si="2"/>
        <v>693166009.81999993</v>
      </c>
      <c r="Y14" s="35">
        <f t="shared" si="2"/>
        <v>702413862.80999994</v>
      </c>
      <c r="Z14" s="35">
        <f t="shared" si="2"/>
        <v>732516168.86000001</v>
      </c>
      <c r="AA14" s="35">
        <f t="shared" si="2"/>
        <v>787035167.37</v>
      </c>
      <c r="AB14" s="35">
        <f t="shared" ref="AB14:AH14" si="3">AB17</f>
        <v>806914177.28999996</v>
      </c>
      <c r="AC14" s="35">
        <f t="shared" si="3"/>
        <v>838600413.88</v>
      </c>
      <c r="AD14" s="35">
        <f t="shared" si="3"/>
        <v>858013472.31999993</v>
      </c>
      <c r="AE14" s="35">
        <f t="shared" si="3"/>
        <v>873272329.87</v>
      </c>
      <c r="AF14" s="35">
        <f t="shared" si="3"/>
        <v>893041883.64999998</v>
      </c>
      <c r="AG14" s="35">
        <f t="shared" si="3"/>
        <v>969883393.04999995</v>
      </c>
      <c r="AH14" s="244">
        <f t="shared" si="3"/>
        <v>939991585</v>
      </c>
      <c r="AI14" s="244">
        <f t="shared" ref="AI14:AT14" si="4">AI17</f>
        <v>976144175.16000009</v>
      </c>
      <c r="AJ14" s="244">
        <f t="shared" si="4"/>
        <v>1007525963.5</v>
      </c>
      <c r="AK14" s="244">
        <f t="shared" si="4"/>
        <v>990944723.54999995</v>
      </c>
      <c r="AL14" s="244">
        <f t="shared" si="4"/>
        <v>995109410.75</v>
      </c>
      <c r="AM14" s="244">
        <f t="shared" si="4"/>
        <v>992477665.83999991</v>
      </c>
      <c r="AN14" s="244">
        <f t="shared" si="4"/>
        <v>1009445647.45</v>
      </c>
      <c r="AO14" s="244">
        <f t="shared" si="4"/>
        <v>1015668768.53</v>
      </c>
      <c r="AP14" s="244">
        <f t="shared" si="4"/>
        <v>1042506700.1800001</v>
      </c>
      <c r="AQ14" s="244">
        <f t="shared" si="4"/>
        <v>1048822287.4300001</v>
      </c>
      <c r="AR14" s="244">
        <f t="shared" si="4"/>
        <v>1046999374.61</v>
      </c>
      <c r="AS14" s="244">
        <f>AS17</f>
        <v>1062221985.55</v>
      </c>
      <c r="AT14" s="244">
        <f t="shared" si="4"/>
        <v>1127883178.6900001</v>
      </c>
      <c r="AU14" s="244">
        <f t="shared" ref="AU14:AZ14" si="5">AU17</f>
        <v>1143690567</v>
      </c>
      <c r="AV14" s="244">
        <f t="shared" si="5"/>
        <v>1126689390.0799999</v>
      </c>
      <c r="AW14" s="244">
        <f t="shared" si="5"/>
        <v>1141384842.5999999</v>
      </c>
      <c r="AX14" s="244">
        <f t="shared" si="5"/>
        <v>1139213062.8499999</v>
      </c>
      <c r="AY14" s="244">
        <f t="shared" si="5"/>
        <v>1164518879.9200001</v>
      </c>
      <c r="AZ14" s="244">
        <f t="shared" si="5"/>
        <v>1173981730.8</v>
      </c>
      <c r="BA14" s="244">
        <f t="shared" ref="BA14:BG14" si="6">BA17</f>
        <v>1171881133.99</v>
      </c>
      <c r="BB14" s="244">
        <f t="shared" si="6"/>
        <v>1185216609.22</v>
      </c>
      <c r="BC14" s="244">
        <f t="shared" si="6"/>
        <v>1203197735.4100001</v>
      </c>
      <c r="BD14" s="244">
        <f t="shared" si="6"/>
        <v>1222080684.8600001</v>
      </c>
      <c r="BE14" s="244">
        <f t="shared" si="6"/>
        <v>1250380478.3499999</v>
      </c>
      <c r="BF14" s="244">
        <f t="shared" si="6"/>
        <v>1270207454.5599999</v>
      </c>
      <c r="BG14" s="244">
        <f t="shared" si="6"/>
        <v>1305053418.29</v>
      </c>
      <c r="BH14" s="244">
        <f>BH17</f>
        <v>1267173639</v>
      </c>
      <c r="BI14" s="244">
        <f t="shared" ref="BI14:BT14" si="7">BI17</f>
        <v>1291870299.3099999</v>
      </c>
      <c r="BJ14" s="244">
        <f t="shared" si="7"/>
        <v>1291896399.1700001</v>
      </c>
      <c r="BK14" s="244">
        <f t="shared" si="7"/>
        <v>1286855115.7950001</v>
      </c>
      <c r="BL14" s="244">
        <f t="shared" si="7"/>
        <v>1292162121.28</v>
      </c>
      <c r="BM14" s="244">
        <f t="shared" si="7"/>
        <v>1318851439.9200001</v>
      </c>
      <c r="BN14" s="244">
        <f t="shared" si="7"/>
        <v>1321792675.085</v>
      </c>
      <c r="BO14" s="244">
        <f t="shared" si="7"/>
        <v>1338347351.9850001</v>
      </c>
      <c r="BP14" s="244">
        <f t="shared" si="7"/>
        <v>1342082447.925</v>
      </c>
      <c r="BQ14" s="244">
        <f t="shared" si="7"/>
        <v>1348157864.4749999</v>
      </c>
      <c r="BR14" s="244">
        <f t="shared" si="7"/>
        <v>1393515174.3699999</v>
      </c>
      <c r="BS14" s="244">
        <f t="shared" si="7"/>
        <v>1404283016.77</v>
      </c>
      <c r="BT14" s="244">
        <f t="shared" si="7"/>
        <v>1396940741.7150002</v>
      </c>
      <c r="BU14" s="244">
        <f>BU17-BU27</f>
        <v>1463955041</v>
      </c>
      <c r="BV14" s="244">
        <f t="shared" ref="BV14:CN14" si="8">BV17-BV27</f>
        <v>1302706298.26</v>
      </c>
      <c r="BW14" s="244">
        <f t="shared" si="8"/>
        <v>1311599278.4000001</v>
      </c>
      <c r="BX14" s="244">
        <f t="shared" si="8"/>
        <v>1309235266.8499999</v>
      </c>
      <c r="BY14" s="244">
        <f t="shared" si="8"/>
        <v>1294403116.23</v>
      </c>
      <c r="BZ14" s="244">
        <f t="shared" si="8"/>
        <v>1294306985.0700002</v>
      </c>
      <c r="CA14" s="244">
        <f t="shared" si="8"/>
        <v>1315610351.48</v>
      </c>
      <c r="CB14" s="244">
        <f t="shared" si="8"/>
        <v>1321754585.1300001</v>
      </c>
      <c r="CC14" s="244">
        <f t="shared" si="8"/>
        <v>1346129858.99</v>
      </c>
      <c r="CD14" s="244">
        <f t="shared" si="8"/>
        <v>1358870779.5</v>
      </c>
      <c r="CE14" s="244">
        <f t="shared" si="8"/>
        <v>1386796205.75</v>
      </c>
      <c r="CF14" s="244">
        <f t="shared" si="8"/>
        <v>1419553801.05</v>
      </c>
      <c r="CG14" s="244">
        <f t="shared" si="8"/>
        <v>1542912718.3900001</v>
      </c>
      <c r="CH14" s="244">
        <f t="shared" si="8"/>
        <v>1666877903</v>
      </c>
      <c r="CI14" s="244">
        <f t="shared" si="8"/>
        <v>1704100192.47</v>
      </c>
      <c r="CJ14" s="244">
        <f t="shared" si="8"/>
        <v>1685060844.01</v>
      </c>
      <c r="CK14" s="244">
        <f t="shared" si="8"/>
        <v>1712055629.7399998</v>
      </c>
      <c r="CL14" s="244">
        <f t="shared" si="8"/>
        <v>1711566305.4899998</v>
      </c>
      <c r="CM14" s="244">
        <f t="shared" si="8"/>
        <v>1731080175.1399999</v>
      </c>
      <c r="CN14" s="244">
        <f t="shared" si="8"/>
        <v>1782560282.47</v>
      </c>
      <c r="CO14" s="244">
        <f t="shared" ref="CI14:CT14" si="9">CO17-CO28</f>
        <v>1821784234.6399999</v>
      </c>
      <c r="CP14" s="244">
        <f t="shared" si="9"/>
        <v>1828498875</v>
      </c>
      <c r="CQ14" s="244">
        <f t="shared" si="9"/>
        <v>1862034027.6599998</v>
      </c>
      <c r="CR14" s="244">
        <f t="shared" si="9"/>
        <v>0</v>
      </c>
      <c r="CS14" s="244">
        <f t="shared" si="9"/>
        <v>0</v>
      </c>
      <c r="CT14" s="244">
        <f t="shared" si="9"/>
        <v>0</v>
      </c>
    </row>
    <row r="15" spans="1:100" ht="13.9" thickBot="1">
      <c r="A15" s="228">
        <v>5.2</v>
      </c>
      <c r="B15" s="245" t="s">
        <v>112</v>
      </c>
      <c r="C15" s="36">
        <f t="shared" ref="C15:J15" si="10">C14-C18</f>
        <v>-41990000</v>
      </c>
      <c r="D15" s="36">
        <f t="shared" si="10"/>
        <v>-1161000</v>
      </c>
      <c r="E15" s="36">
        <f t="shared" si="10"/>
        <v>-59505000</v>
      </c>
      <c r="F15" s="36">
        <f t="shared" si="10"/>
        <v>290658161</v>
      </c>
      <c r="G15" s="36">
        <f t="shared" si="10"/>
        <v>334963906</v>
      </c>
      <c r="H15" s="36">
        <f t="shared" si="10"/>
        <v>369265106</v>
      </c>
      <c r="I15" s="36">
        <f t="shared" si="10"/>
        <v>372000359.94999999</v>
      </c>
      <c r="J15" s="36">
        <f t="shared" si="10"/>
        <v>335519739.81999999</v>
      </c>
      <c r="K15" s="36">
        <f t="shared" ref="K15:P15" si="11">K14-K18</f>
        <v>337332715.18000001</v>
      </c>
      <c r="L15" s="36">
        <f t="shared" si="11"/>
        <v>331312704.97999996</v>
      </c>
      <c r="M15" s="36">
        <f t="shared" si="11"/>
        <v>330939816.96999997</v>
      </c>
      <c r="N15" s="36">
        <f t="shared" si="11"/>
        <v>338774220.83999997</v>
      </c>
      <c r="O15" s="36">
        <f t="shared" si="11"/>
        <v>343305649.68000001</v>
      </c>
      <c r="P15" s="36">
        <f t="shared" si="11"/>
        <v>364015104.63999999</v>
      </c>
      <c r="Q15" s="36">
        <f t="shared" ref="Q15:X15" si="12">Q14-Q18</f>
        <v>378758494.81999993</v>
      </c>
      <c r="R15" s="36">
        <f t="shared" si="12"/>
        <v>386054453.9799999</v>
      </c>
      <c r="S15" s="36">
        <f t="shared" si="12"/>
        <v>393124577.23000002</v>
      </c>
      <c r="T15" s="36">
        <f t="shared" si="12"/>
        <v>410395004.25000006</v>
      </c>
      <c r="U15" s="36">
        <f t="shared" si="12"/>
        <v>471481943</v>
      </c>
      <c r="V15" s="36">
        <f t="shared" si="12"/>
        <v>909883087.10000014</v>
      </c>
      <c r="W15" s="36">
        <f t="shared" si="12"/>
        <v>429517788.72999996</v>
      </c>
      <c r="X15" s="36">
        <f t="shared" si="12"/>
        <v>423876862.06999993</v>
      </c>
      <c r="Y15" s="36">
        <f t="shared" ref="Y15:AD15" si="13">Y14-Y18</f>
        <v>421707923.99999994</v>
      </c>
      <c r="Z15" s="36">
        <f t="shared" si="13"/>
        <v>439221273.13</v>
      </c>
      <c r="AA15" s="36">
        <f t="shared" si="13"/>
        <v>477469930.43000001</v>
      </c>
      <c r="AB15" s="36">
        <f t="shared" si="13"/>
        <v>483669087.78999996</v>
      </c>
      <c r="AC15" s="36">
        <f t="shared" si="13"/>
        <v>502429376.19</v>
      </c>
      <c r="AD15" s="36">
        <f t="shared" si="13"/>
        <v>514132748.06999993</v>
      </c>
      <c r="AE15" s="36">
        <f>AE14-AE18</f>
        <v>524477106.89999998</v>
      </c>
      <c r="AF15" s="36">
        <f>AF14-AF18</f>
        <v>538830993.47000003</v>
      </c>
      <c r="AG15" s="36">
        <f>AG14-AG18</f>
        <v>606938021.94999993</v>
      </c>
      <c r="AH15" s="246">
        <f>AH14-AH18</f>
        <v>577046214</v>
      </c>
      <c r="AI15" s="246">
        <f t="shared" ref="AI15:AU15" si="14">AI14-AI18</f>
        <v>609174641.99000001</v>
      </c>
      <c r="AJ15" s="246">
        <f t="shared" si="14"/>
        <v>563913765.30999994</v>
      </c>
      <c r="AK15" s="246">
        <f t="shared" si="14"/>
        <v>543963669.25</v>
      </c>
      <c r="AL15" s="246">
        <f t="shared" si="14"/>
        <v>542250940.75</v>
      </c>
      <c r="AM15" s="246">
        <f t="shared" si="14"/>
        <v>536042106.24999994</v>
      </c>
      <c r="AN15" s="246">
        <f t="shared" si="14"/>
        <v>549664647.22000003</v>
      </c>
      <c r="AO15" s="246">
        <f t="shared" si="14"/>
        <v>552750397.22000003</v>
      </c>
      <c r="AP15" s="246">
        <f t="shared" si="14"/>
        <v>574897770.61000013</v>
      </c>
      <c r="AQ15" s="246">
        <f t="shared" si="14"/>
        <v>575243475.18000007</v>
      </c>
      <c r="AR15" s="246">
        <f t="shared" si="14"/>
        <v>570756432.10000002</v>
      </c>
      <c r="AS15" s="246">
        <f>AS14-AS18</f>
        <v>581973261.57999992</v>
      </c>
      <c r="AT15" s="246">
        <f t="shared" si="14"/>
        <v>638666590</v>
      </c>
      <c r="AU15" s="246">
        <f t="shared" si="14"/>
        <v>654473978</v>
      </c>
      <c r="AV15" s="246">
        <f t="shared" ref="AV15:BA15" si="15">AV14-AV18</f>
        <v>635698337.69999993</v>
      </c>
      <c r="AW15" s="246">
        <f t="shared" si="15"/>
        <v>634962016.68999982</v>
      </c>
      <c r="AX15" s="246">
        <f t="shared" si="15"/>
        <v>626741088.21999991</v>
      </c>
      <c r="AY15" s="246">
        <f t="shared" si="15"/>
        <v>650040278.78000009</v>
      </c>
      <c r="AZ15" s="246">
        <f t="shared" si="15"/>
        <v>655324132.37999988</v>
      </c>
      <c r="BA15" s="246">
        <f t="shared" si="15"/>
        <v>649194435.47000003</v>
      </c>
      <c r="BB15" s="246">
        <f t="shared" ref="BB15:BH15" si="16">BB14-BB18</f>
        <v>660893027.72000003</v>
      </c>
      <c r="BC15" s="246">
        <f t="shared" si="16"/>
        <v>675742670.11000013</v>
      </c>
      <c r="BD15" s="246">
        <f t="shared" si="16"/>
        <v>692932046.63000011</v>
      </c>
      <c r="BE15" s="246">
        <f t="shared" si="16"/>
        <v>718299781.99999988</v>
      </c>
      <c r="BF15" s="246">
        <f t="shared" si="16"/>
        <v>734822311.16999996</v>
      </c>
      <c r="BG15" s="246">
        <f t="shared" si="16"/>
        <v>754825804.78999996</v>
      </c>
      <c r="BH15" s="246">
        <f t="shared" si="16"/>
        <v>716946025</v>
      </c>
      <c r="BI15" s="246">
        <f t="shared" ref="BI15:BT15" si="17">BI14-BI18</f>
        <v>724517928.88</v>
      </c>
      <c r="BJ15" s="246">
        <f t="shared" si="17"/>
        <v>719210853.00000012</v>
      </c>
      <c r="BK15" s="246">
        <f t="shared" si="17"/>
        <v>711185549.41500008</v>
      </c>
      <c r="BL15" s="246">
        <f t="shared" si="17"/>
        <v>712125063.74000001</v>
      </c>
      <c r="BM15" s="246">
        <f t="shared" si="17"/>
        <v>731589658.53000009</v>
      </c>
      <c r="BN15" s="246">
        <f t="shared" si="17"/>
        <v>730592870.76499999</v>
      </c>
      <c r="BO15" s="246">
        <f t="shared" si="17"/>
        <v>744331683.74500012</v>
      </c>
      <c r="BP15" s="246">
        <f t="shared" si="17"/>
        <v>743924868.96499991</v>
      </c>
      <c r="BQ15" s="246">
        <f t="shared" si="17"/>
        <v>746411175.16499996</v>
      </c>
      <c r="BR15" s="246">
        <f t="shared" si="17"/>
        <v>788344685.36999989</v>
      </c>
      <c r="BS15" s="246">
        <f t="shared" si="17"/>
        <v>795074902.96000004</v>
      </c>
      <c r="BT15" s="246">
        <f t="shared" si="17"/>
        <v>771102941.5150001</v>
      </c>
      <c r="BU15" s="246">
        <f>BU14-BU18</f>
        <v>838117241</v>
      </c>
      <c r="BV15" s="246">
        <f t="shared" ref="BV15:CL15" si="18">BV14-BV18</f>
        <v>655083756.98000002</v>
      </c>
      <c r="BW15" s="246">
        <f t="shared" si="18"/>
        <v>659008804.6400001</v>
      </c>
      <c r="BX15" s="246">
        <f t="shared" si="18"/>
        <v>653745272.67999995</v>
      </c>
      <c r="BY15" s="246">
        <f t="shared" si="18"/>
        <v>633077816.77999997</v>
      </c>
      <c r="BZ15" s="246">
        <f t="shared" si="18"/>
        <v>619694273.49000013</v>
      </c>
      <c r="CA15" s="246">
        <f t="shared" si="18"/>
        <v>633530816.17000008</v>
      </c>
      <c r="CB15" s="246">
        <f t="shared" si="18"/>
        <v>629937993.59000015</v>
      </c>
      <c r="CC15" s="246">
        <f t="shared" si="18"/>
        <v>645629930.83000004</v>
      </c>
      <c r="CD15" s="246">
        <f t="shared" si="18"/>
        <v>653880885.53999996</v>
      </c>
      <c r="CE15" s="246">
        <f t="shared" si="18"/>
        <v>673849456.24000001</v>
      </c>
      <c r="CF15" s="246">
        <f t="shared" si="18"/>
        <v>687638530.31999993</v>
      </c>
      <c r="CG15" s="246">
        <f t="shared" si="18"/>
        <v>803378429.94000006</v>
      </c>
      <c r="CH15" s="246">
        <f t="shared" si="18"/>
        <v>927343615</v>
      </c>
      <c r="CI15" s="246">
        <f t="shared" si="18"/>
        <v>937060247.13</v>
      </c>
      <c r="CJ15" s="246">
        <f t="shared" si="18"/>
        <v>905754890.63</v>
      </c>
      <c r="CK15" s="246">
        <f t="shared" si="18"/>
        <v>921983001.69999981</v>
      </c>
      <c r="CL15" s="246">
        <f t="shared" si="18"/>
        <v>911101736.81999981</v>
      </c>
      <c r="CM15" s="246">
        <f t="shared" ref="CM15:CT15" si="19">CM14-CM18</f>
        <v>917745136.61999989</v>
      </c>
      <c r="CN15" s="246">
        <f t="shared" si="19"/>
        <v>943144145.63</v>
      </c>
      <c r="CO15" s="246">
        <f t="shared" si="19"/>
        <v>977811525.9799999</v>
      </c>
      <c r="CP15" s="246">
        <f t="shared" si="19"/>
        <v>979351574.78999996</v>
      </c>
      <c r="CQ15" s="246">
        <f t="shared" si="19"/>
        <v>1008619434.1399999</v>
      </c>
      <c r="CR15" s="246">
        <f t="shared" si="19"/>
        <v>0</v>
      </c>
      <c r="CS15" s="246">
        <f t="shared" si="19"/>
        <v>0</v>
      </c>
      <c r="CT15" s="246">
        <f t="shared" si="19"/>
        <v>0</v>
      </c>
      <c r="CV15" s="506"/>
    </row>
    <row r="16" spans="1:100" ht="13.9" thickBot="1">
      <c r="A16" s="11"/>
      <c r="B16" s="6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40"/>
      <c r="AI16" s="240"/>
      <c r="AJ16" s="240"/>
      <c r="AK16" s="240"/>
      <c r="AL16" s="240"/>
      <c r="AM16" s="240"/>
      <c r="AN16" s="240"/>
      <c r="AO16" s="240"/>
      <c r="AP16" s="240"/>
      <c r="AQ16" s="240"/>
      <c r="AR16" s="240"/>
      <c r="AS16" s="240"/>
      <c r="AT16" s="240"/>
      <c r="AU16" s="240"/>
      <c r="AV16" s="240"/>
      <c r="AW16" s="240"/>
      <c r="AX16" s="240"/>
      <c r="AY16" s="240"/>
      <c r="AZ16" s="240"/>
      <c r="BA16" s="240"/>
      <c r="BB16" s="240"/>
      <c r="BC16" s="240"/>
      <c r="BD16" s="240"/>
      <c r="BE16" s="240"/>
      <c r="BF16" s="240"/>
      <c r="BG16" s="240"/>
      <c r="BH16" s="240"/>
      <c r="BI16" s="240"/>
      <c r="BJ16" s="240"/>
      <c r="BK16" s="240"/>
      <c r="BL16" s="240"/>
      <c r="BM16" s="240"/>
      <c r="BN16" s="240"/>
      <c r="BO16" s="240"/>
      <c r="BP16" s="240"/>
      <c r="BQ16" s="240"/>
      <c r="BR16" s="240"/>
      <c r="BS16" s="240"/>
      <c r="BT16" s="240"/>
      <c r="BU16" s="240"/>
      <c r="BV16" s="240"/>
      <c r="BW16" s="240"/>
      <c r="BX16" s="240"/>
      <c r="BY16" s="240"/>
      <c r="BZ16" s="240"/>
      <c r="CA16" s="240"/>
      <c r="CB16" s="240"/>
      <c r="CC16" s="240"/>
      <c r="CD16" s="240"/>
      <c r="CE16" s="240"/>
      <c r="CF16" s="240"/>
      <c r="CG16" s="240"/>
      <c r="CH16" s="240"/>
      <c r="CI16" s="240"/>
      <c r="CJ16" s="240"/>
      <c r="CK16" s="240"/>
      <c r="CL16" s="240"/>
      <c r="CM16" s="240"/>
      <c r="CN16" s="240"/>
      <c r="CO16" s="240"/>
      <c r="CP16" s="240"/>
      <c r="CQ16" s="240"/>
      <c r="CR16" s="240"/>
      <c r="CS16" s="240"/>
      <c r="CT16" s="240"/>
    </row>
    <row r="17" spans="1:98">
      <c r="A17" s="12">
        <v>5.3</v>
      </c>
      <c r="B17" s="4" t="s">
        <v>113</v>
      </c>
      <c r="C17" s="29">
        <f t="shared" ref="C17:P17" si="20">SUM(C18:C21)</f>
        <v>115333000</v>
      </c>
      <c r="D17" s="29">
        <f t="shared" si="20"/>
        <v>152581000</v>
      </c>
      <c r="E17" s="29">
        <f t="shared" si="20"/>
        <v>257080000</v>
      </c>
      <c r="F17" s="29">
        <f t="shared" si="20"/>
        <v>341841476</v>
      </c>
      <c r="G17" s="29">
        <f t="shared" si="20"/>
        <v>392921038</v>
      </c>
      <c r="H17" s="29">
        <f t="shared" si="20"/>
        <v>532313238</v>
      </c>
      <c r="I17" s="29">
        <f t="shared" si="20"/>
        <v>536684828.39999998</v>
      </c>
      <c r="J17" s="29">
        <f t="shared" si="20"/>
        <v>511367934.26999998</v>
      </c>
      <c r="K17" s="29">
        <f t="shared" si="20"/>
        <v>517108803.63</v>
      </c>
      <c r="L17" s="29">
        <f t="shared" si="20"/>
        <v>513337155.42999995</v>
      </c>
      <c r="M17" s="29">
        <f t="shared" si="20"/>
        <v>516224559.91999996</v>
      </c>
      <c r="N17" s="29">
        <f t="shared" si="20"/>
        <v>530791871.78999996</v>
      </c>
      <c r="O17" s="29">
        <f t="shared" si="20"/>
        <v>539044300.63</v>
      </c>
      <c r="P17" s="29">
        <f t="shared" si="20"/>
        <v>571234065.74000001</v>
      </c>
      <c r="Q17" s="29">
        <f t="shared" ref="Q17:X17" si="21">SUM(Q18:Q21)</f>
        <v>590165372.91999996</v>
      </c>
      <c r="R17" s="29">
        <f t="shared" si="21"/>
        <v>608214875.07999992</v>
      </c>
      <c r="S17" s="29">
        <f t="shared" si="21"/>
        <v>625431729.38</v>
      </c>
      <c r="T17" s="29">
        <f t="shared" si="21"/>
        <v>655293060.68000007</v>
      </c>
      <c r="U17" s="29">
        <f t="shared" si="21"/>
        <v>716379999</v>
      </c>
      <c r="V17" s="29">
        <f t="shared" si="21"/>
        <v>1406777221.6400001</v>
      </c>
      <c r="W17" s="29">
        <f t="shared" si="21"/>
        <v>694368606.03999996</v>
      </c>
      <c r="X17" s="29">
        <f t="shared" si="21"/>
        <v>693166009.81999993</v>
      </c>
      <c r="Y17" s="29">
        <f t="shared" ref="Y17:AD17" si="22">SUM(Y18:Y21)</f>
        <v>702413862.80999994</v>
      </c>
      <c r="Z17" s="29">
        <f t="shared" si="22"/>
        <v>732516168.86000001</v>
      </c>
      <c r="AA17" s="29">
        <f t="shared" si="22"/>
        <v>787035167.37</v>
      </c>
      <c r="AB17" s="29">
        <f t="shared" si="22"/>
        <v>806914177.28999996</v>
      </c>
      <c r="AC17" s="29">
        <f t="shared" si="22"/>
        <v>838600413.88</v>
      </c>
      <c r="AD17" s="29">
        <f t="shared" si="22"/>
        <v>858013472.31999993</v>
      </c>
      <c r="AE17" s="29">
        <f>SUM(AE18:AE21)</f>
        <v>873272329.87</v>
      </c>
      <c r="AF17" s="29">
        <f>SUM(AF18:AF21)</f>
        <v>893041883.64999998</v>
      </c>
      <c r="AG17" s="29">
        <f>SUM(AG18:AG21)</f>
        <v>969883393.04999995</v>
      </c>
      <c r="AH17" s="247">
        <f>SUM(AH18:AH21)</f>
        <v>939991585</v>
      </c>
      <c r="AI17" s="247">
        <f t="shared" ref="AI17:AU17" si="23">SUM(AI18:AI21)</f>
        <v>976144175.16000009</v>
      </c>
      <c r="AJ17" s="247">
        <f t="shared" si="23"/>
        <v>1007525963.5</v>
      </c>
      <c r="AK17" s="247">
        <f t="shared" si="23"/>
        <v>990944723.54999995</v>
      </c>
      <c r="AL17" s="247">
        <f t="shared" si="23"/>
        <v>995109410.75</v>
      </c>
      <c r="AM17" s="247">
        <f t="shared" si="23"/>
        <v>992477665.83999991</v>
      </c>
      <c r="AN17" s="247">
        <f t="shared" si="23"/>
        <v>1009445647.45</v>
      </c>
      <c r="AO17" s="247">
        <f t="shared" si="23"/>
        <v>1015668768.53</v>
      </c>
      <c r="AP17" s="247">
        <f t="shared" si="23"/>
        <v>1042506700.1800001</v>
      </c>
      <c r="AQ17" s="247">
        <f t="shared" si="23"/>
        <v>1048822287.4300001</v>
      </c>
      <c r="AR17" s="247">
        <f t="shared" si="23"/>
        <v>1046999374.61</v>
      </c>
      <c r="AS17" s="247">
        <f>SUM(AS18:AS21)</f>
        <v>1062221985.55</v>
      </c>
      <c r="AT17" s="247">
        <f t="shared" si="23"/>
        <v>1127883178.6900001</v>
      </c>
      <c r="AU17" s="247">
        <f t="shared" si="23"/>
        <v>1143690567</v>
      </c>
      <c r="AV17" s="247">
        <f t="shared" ref="AV17:BA17" si="24">SUM(AV18:AV21)</f>
        <v>1126689390.0799999</v>
      </c>
      <c r="AW17" s="247">
        <f t="shared" si="24"/>
        <v>1141384842.5999999</v>
      </c>
      <c r="AX17" s="247">
        <f t="shared" si="24"/>
        <v>1139213062.8499999</v>
      </c>
      <c r="AY17" s="247">
        <f t="shared" si="24"/>
        <v>1164518879.9200001</v>
      </c>
      <c r="AZ17" s="247">
        <f t="shared" si="24"/>
        <v>1173981730.8</v>
      </c>
      <c r="BA17" s="247">
        <f t="shared" si="24"/>
        <v>1171881133.99</v>
      </c>
      <c r="BB17" s="247">
        <f t="shared" ref="BB17:BH17" si="25">SUM(BB18:BB21)</f>
        <v>1185216609.22</v>
      </c>
      <c r="BC17" s="247">
        <f t="shared" si="25"/>
        <v>1203197735.4100001</v>
      </c>
      <c r="BD17" s="247">
        <f t="shared" si="25"/>
        <v>1222080684.8600001</v>
      </c>
      <c r="BE17" s="247">
        <f t="shared" si="25"/>
        <v>1250380478.3499999</v>
      </c>
      <c r="BF17" s="247">
        <f t="shared" si="25"/>
        <v>1270207454.5599999</v>
      </c>
      <c r="BG17" s="247">
        <f t="shared" si="25"/>
        <v>1305053418.29</v>
      </c>
      <c r="BH17" s="247">
        <f t="shared" si="25"/>
        <v>1267173639</v>
      </c>
      <c r="BI17" s="247">
        <f t="shared" ref="BI17:BT17" si="26">SUM(BI18:BI21)</f>
        <v>1291870299.3099999</v>
      </c>
      <c r="BJ17" s="247">
        <f t="shared" si="26"/>
        <v>1291896399.1700001</v>
      </c>
      <c r="BK17" s="247">
        <f t="shared" si="26"/>
        <v>1286855115.7950001</v>
      </c>
      <c r="BL17" s="247">
        <f t="shared" si="26"/>
        <v>1292162121.28</v>
      </c>
      <c r="BM17" s="247">
        <f t="shared" si="26"/>
        <v>1318851439.9200001</v>
      </c>
      <c r="BN17" s="247">
        <f t="shared" si="26"/>
        <v>1321792675.085</v>
      </c>
      <c r="BO17" s="247">
        <f t="shared" si="26"/>
        <v>1338347351.9850001</v>
      </c>
      <c r="BP17" s="247">
        <f t="shared" si="26"/>
        <v>1342082447.925</v>
      </c>
      <c r="BQ17" s="460">
        <f t="shared" si="26"/>
        <v>1348157864.4749999</v>
      </c>
      <c r="BR17" s="247">
        <f t="shared" si="26"/>
        <v>1393515174.3699999</v>
      </c>
      <c r="BS17" s="247">
        <f t="shared" si="26"/>
        <v>1404283016.77</v>
      </c>
      <c r="BT17" s="247">
        <f t="shared" si="26"/>
        <v>1396940741.7150002</v>
      </c>
      <c r="BU17" s="247">
        <f t="shared" ref="BU17:CL17" si="27">SUM(BU18:BU21)</f>
        <v>1478038995</v>
      </c>
      <c r="BV17" s="247">
        <f t="shared" si="27"/>
        <v>1475855640.26</v>
      </c>
      <c r="BW17" s="247">
        <f t="shared" si="27"/>
        <v>1485053620.4000001</v>
      </c>
      <c r="BX17" s="247">
        <f t="shared" si="27"/>
        <v>1482999609.3299999</v>
      </c>
      <c r="BY17" s="247">
        <f t="shared" si="27"/>
        <v>1468472458.23</v>
      </c>
      <c r="BZ17" s="247">
        <f t="shared" si="27"/>
        <v>1468681327.0700002</v>
      </c>
      <c r="CA17" s="247">
        <f t="shared" si="27"/>
        <v>1490289693.48</v>
      </c>
      <c r="CB17" s="247">
        <f t="shared" si="27"/>
        <v>1496738927.1300001</v>
      </c>
      <c r="CC17" s="247">
        <f t="shared" si="27"/>
        <v>1521419200.99</v>
      </c>
      <c r="CD17" s="247">
        <f t="shared" si="27"/>
        <v>1539821241.5</v>
      </c>
      <c r="CE17" s="247">
        <f t="shared" si="27"/>
        <v>1568051667.75</v>
      </c>
      <c r="CF17" s="247">
        <f t="shared" si="27"/>
        <v>1601114263.05</v>
      </c>
      <c r="CG17" s="247">
        <f t="shared" si="27"/>
        <v>1724778180.3900001</v>
      </c>
      <c r="CH17" s="247">
        <f t="shared" si="27"/>
        <v>1685814547</v>
      </c>
      <c r="CI17" s="247">
        <f t="shared" si="27"/>
        <v>1721984146.47</v>
      </c>
      <c r="CJ17" s="247">
        <f t="shared" si="27"/>
        <v>1703997488.49</v>
      </c>
      <c r="CK17" s="247">
        <f t="shared" si="27"/>
        <v>1730992274.2199998</v>
      </c>
      <c r="CL17" s="247">
        <f t="shared" si="27"/>
        <v>1735714371.9699998</v>
      </c>
      <c r="CM17" s="247">
        <f t="shared" ref="CM17:CT17" si="28">SUM(CM18:CM21)</f>
        <v>1755228241.6199999</v>
      </c>
      <c r="CN17" s="247">
        <f t="shared" si="28"/>
        <v>1806708348.95</v>
      </c>
      <c r="CO17" s="247">
        <f t="shared" si="28"/>
        <v>1821784234.6399999</v>
      </c>
      <c r="CP17" s="247">
        <f t="shared" si="28"/>
        <v>1828498875</v>
      </c>
      <c r="CQ17" s="247">
        <f t="shared" si="28"/>
        <v>1862034027.6599998</v>
      </c>
      <c r="CR17" s="247">
        <f t="shared" si="28"/>
        <v>0</v>
      </c>
      <c r="CS17" s="247">
        <f t="shared" si="28"/>
        <v>0</v>
      </c>
      <c r="CT17" s="247">
        <f t="shared" si="28"/>
        <v>0</v>
      </c>
    </row>
    <row r="18" spans="1:98">
      <c r="A18" s="16" t="s">
        <v>114</v>
      </c>
      <c r="B18" s="248" t="s">
        <v>115</v>
      </c>
      <c r="C18" s="27">
        <f>SFP!B41</f>
        <v>17007000</v>
      </c>
      <c r="D18" s="27">
        <f>SFP!C41</f>
        <v>17738000</v>
      </c>
      <c r="E18" s="27">
        <f>SFP!D41</f>
        <v>46593000</v>
      </c>
      <c r="F18" s="27">
        <f>SFP!E41</f>
        <v>51183315</v>
      </c>
      <c r="G18" s="27">
        <f>SFP!F41</f>
        <v>57957132</v>
      </c>
      <c r="H18" s="27">
        <f>SFP!G41</f>
        <v>163048132</v>
      </c>
      <c r="I18" s="27">
        <f>SFP!H41</f>
        <v>164684468.44999999</v>
      </c>
      <c r="J18" s="27">
        <f>SFP!I41</f>
        <v>175848194.44999999</v>
      </c>
      <c r="K18" s="27">
        <f>SFP!J41</f>
        <v>179776088.44999999</v>
      </c>
      <c r="L18" s="27">
        <f>SFP!K41</f>
        <v>182024450.44999999</v>
      </c>
      <c r="M18" s="27">
        <f>SFP!L41</f>
        <v>185284742.94999999</v>
      </c>
      <c r="N18" s="27">
        <f>SFP!M41</f>
        <v>192017650.94999999</v>
      </c>
      <c r="O18" s="27">
        <f>SFP!N41</f>
        <v>195738650.94999999</v>
      </c>
      <c r="P18" s="27">
        <f>SFP!O41</f>
        <v>207218961.09999999</v>
      </c>
      <c r="Q18" s="27">
        <f>SFP!P41</f>
        <v>211406878.09999999</v>
      </c>
      <c r="R18" s="27">
        <f>SFP!Q41</f>
        <v>222160421.09999999</v>
      </c>
      <c r="S18" s="27">
        <f>SFP!R41</f>
        <v>232307152.15000001</v>
      </c>
      <c r="T18" s="27">
        <f>SFP!S41</f>
        <v>244898056.43000001</v>
      </c>
      <c r="U18" s="27">
        <f>SFP!T41</f>
        <v>244898056</v>
      </c>
      <c r="V18" s="27">
        <f>SFP!U41</f>
        <v>496894134.54000002</v>
      </c>
      <c r="W18" s="27">
        <f>SFP!V41</f>
        <v>264850817.31</v>
      </c>
      <c r="X18" s="27">
        <f>SFP!W41</f>
        <v>269289147.75</v>
      </c>
      <c r="Y18" s="27">
        <f>SFP!X41</f>
        <v>280705938.81</v>
      </c>
      <c r="Z18" s="27">
        <f>SFP!Y41</f>
        <v>293294895.73000002</v>
      </c>
      <c r="AA18" s="27">
        <f>SFP!Z41</f>
        <v>309565236.94</v>
      </c>
      <c r="AB18" s="27">
        <f>SFP!AA41</f>
        <v>323245089.5</v>
      </c>
      <c r="AC18" s="27">
        <f>SFP!AB41</f>
        <v>336171037.69</v>
      </c>
      <c r="AD18" s="27">
        <f>SFP!AC41</f>
        <v>343880724.25</v>
      </c>
      <c r="AE18" s="27">
        <f>SFP!AD41</f>
        <v>348795222.97000003</v>
      </c>
      <c r="AF18" s="27">
        <f>SFP!AE41</f>
        <v>354210890.18000001</v>
      </c>
      <c r="AG18" s="27">
        <f>SFP!AF41</f>
        <v>362945371.10000002</v>
      </c>
      <c r="AH18" s="236">
        <f>SFP!AG41</f>
        <v>362945371</v>
      </c>
      <c r="AI18" s="236">
        <f>SFP!AH41</f>
        <v>366969533.17000002</v>
      </c>
      <c r="AJ18" s="236">
        <f>SFP!AI41</f>
        <v>443612198.19</v>
      </c>
      <c r="AK18" s="236">
        <f>SFP!AJ41</f>
        <v>446981054.30000001</v>
      </c>
      <c r="AL18" s="236">
        <f>SFP!AK41</f>
        <v>452858470</v>
      </c>
      <c r="AM18" s="236">
        <f>SFP!AL41</f>
        <v>456435559.58999997</v>
      </c>
      <c r="AN18" s="236">
        <f>SFP!AM41</f>
        <v>459781000.23000002</v>
      </c>
      <c r="AO18" s="236">
        <f>SFP!AN41</f>
        <v>462918371.31</v>
      </c>
      <c r="AP18" s="236">
        <f>SFP!AO41</f>
        <v>467608929.56999999</v>
      </c>
      <c r="AQ18" s="236">
        <f>SFP!AP41</f>
        <v>473578812.25</v>
      </c>
      <c r="AR18" s="236">
        <f>SFP!AQ41</f>
        <v>476242942.50999999</v>
      </c>
      <c r="AS18" s="236">
        <f>SFP!AR41</f>
        <v>480248723.97000003</v>
      </c>
      <c r="AT18" s="236">
        <f>SFP!AS41</f>
        <v>489216588.69</v>
      </c>
      <c r="AU18" s="236">
        <f>SFP!AT41</f>
        <v>489216589</v>
      </c>
      <c r="AV18" s="236">
        <f>SFP!AU41</f>
        <v>490991052.38</v>
      </c>
      <c r="AW18" s="236">
        <f>SFP!AV41</f>
        <v>506422825.91000003</v>
      </c>
      <c r="AX18" s="236">
        <f>SFP!AW41</f>
        <v>512471974.63</v>
      </c>
      <c r="AY18" s="236">
        <f>SFP!AX41</f>
        <v>514478601.13999999</v>
      </c>
      <c r="AZ18" s="236">
        <f>SFP!AY41</f>
        <v>518657598.42000002</v>
      </c>
      <c r="BA18" s="236">
        <f>SFP!AZ41</f>
        <v>522686698.51999998</v>
      </c>
      <c r="BB18" s="236">
        <f>SFP!BA41</f>
        <v>524323581.5</v>
      </c>
      <c r="BC18" s="236">
        <f>SFP!BB41</f>
        <v>527455065.30000001</v>
      </c>
      <c r="BD18" s="236">
        <f>SFP!BC41</f>
        <v>529148638.23000002</v>
      </c>
      <c r="BE18" s="236">
        <f>SFP!BD41</f>
        <v>532080696.35000002</v>
      </c>
      <c r="BF18" s="236">
        <f>SFP!BE41</f>
        <v>535385143.38999999</v>
      </c>
      <c r="BG18" s="236">
        <f>SFP!BF41</f>
        <v>550227613.5</v>
      </c>
      <c r="BH18" s="236">
        <f>SFP!BG41</f>
        <v>550227614</v>
      </c>
      <c r="BI18" s="236">
        <f>SFP!BH41</f>
        <v>567352370.42999995</v>
      </c>
      <c r="BJ18" s="236">
        <f>SFP!BI41</f>
        <v>572685546.16999996</v>
      </c>
      <c r="BK18" s="236">
        <f>SFP!BJ41</f>
        <v>575669566.38</v>
      </c>
      <c r="BL18" s="236">
        <f>SFP!BK41</f>
        <v>580037057.53999996</v>
      </c>
      <c r="BM18" s="236">
        <f>SFP!BL41</f>
        <v>587261781.38999999</v>
      </c>
      <c r="BN18" s="236">
        <f>SFP!BM41</f>
        <v>591199804.32000005</v>
      </c>
      <c r="BO18" s="236">
        <f>SFP!BN41</f>
        <v>594015668.24000001</v>
      </c>
      <c r="BP18" s="236">
        <f>SFP!BO41</f>
        <v>598157578.96000004</v>
      </c>
      <c r="BQ18" s="236">
        <f>SFP!BP41</f>
        <v>601746689.30999994</v>
      </c>
      <c r="BR18" s="236">
        <f>SFP!BQ41</f>
        <v>605170489</v>
      </c>
      <c r="BS18" s="236">
        <f>SFP!BR41</f>
        <v>609208113.80999994</v>
      </c>
      <c r="BT18" s="236">
        <f>SFP!BS41</f>
        <v>625837800.20000005</v>
      </c>
      <c r="BU18" s="236">
        <f>SFP!BT41</f>
        <v>625837800</v>
      </c>
      <c r="BV18" s="236">
        <f>SFP!BU41</f>
        <v>647622541.27999997</v>
      </c>
      <c r="BW18" s="236">
        <f>SFP!BV41</f>
        <v>652590473.75999999</v>
      </c>
      <c r="BX18" s="236">
        <f>SFP!BW41</f>
        <v>655489994.16999996</v>
      </c>
      <c r="BY18" s="236">
        <f>SFP!BX41</f>
        <v>661325299.45000005</v>
      </c>
      <c r="BZ18" s="236">
        <f>SFP!BY41</f>
        <v>674612711.58000004</v>
      </c>
      <c r="CA18" s="236">
        <f>SFP!BZ41</f>
        <v>682079535.30999994</v>
      </c>
      <c r="CB18" s="236">
        <f>SFP!CA41</f>
        <v>691816591.53999996</v>
      </c>
      <c r="CC18" s="236">
        <f>SFP!CB41</f>
        <v>700499928.15999997</v>
      </c>
      <c r="CD18" s="236">
        <f>SFP!CC41</f>
        <v>704989893.96000004</v>
      </c>
      <c r="CE18" s="236">
        <f>SFP!CD41</f>
        <v>712946749.50999999</v>
      </c>
      <c r="CF18" s="236">
        <f>SFP!CE41</f>
        <v>731915270.73000002</v>
      </c>
      <c r="CG18" s="236">
        <f>SFP!CF41</f>
        <v>739534288.45000005</v>
      </c>
      <c r="CH18" s="236">
        <f>SFP!CG41</f>
        <v>739534288</v>
      </c>
      <c r="CI18" s="236">
        <f>SFP!CH41</f>
        <v>767039945.34000003</v>
      </c>
      <c r="CJ18" s="236">
        <f>SFP!CI41</f>
        <v>779305953.38</v>
      </c>
      <c r="CK18" s="236">
        <f>SFP!CJ41</f>
        <v>790072628.03999996</v>
      </c>
      <c r="CL18" s="236">
        <f>SFP!CK41</f>
        <v>800464568.66999996</v>
      </c>
      <c r="CM18" s="236">
        <f>SFP!CL41</f>
        <v>813335038.51999998</v>
      </c>
      <c r="CN18" s="236">
        <f>SFP!CM41</f>
        <v>839416136.84000003</v>
      </c>
      <c r="CO18" s="236">
        <f>SFP!CN41</f>
        <v>843972708.65999997</v>
      </c>
      <c r="CP18" s="236">
        <f>SFP!CO41</f>
        <v>849147300.21000004</v>
      </c>
      <c r="CQ18" s="236">
        <f>SFP!CP41</f>
        <v>853414593.51999998</v>
      </c>
      <c r="CR18" s="236">
        <f>SFP!CQ41</f>
        <v>0</v>
      </c>
      <c r="CS18" s="236">
        <f>SFP!CR41</f>
        <v>0</v>
      </c>
      <c r="CT18" s="236">
        <f>SFP!CS41</f>
        <v>0</v>
      </c>
    </row>
    <row r="19" spans="1:98">
      <c r="A19" s="16" t="s">
        <v>116</v>
      </c>
      <c r="B19" s="237" t="s">
        <v>117</v>
      </c>
      <c r="C19" s="27">
        <f>SFP!B43+SFP!B44</f>
        <v>63640000</v>
      </c>
      <c r="D19" s="27">
        <f>SFP!C43+SFP!C44</f>
        <v>90987000</v>
      </c>
      <c r="E19" s="27">
        <f>SFP!D43+SFP!D44</f>
        <v>149785000</v>
      </c>
      <c r="F19" s="27">
        <f>SFP!E43+SFP!E44</f>
        <v>190000000</v>
      </c>
      <c r="G19" s="27">
        <f>SFP!F43+SFP!F44</f>
        <v>213552906</v>
      </c>
      <c r="H19" s="27">
        <f>SFP!G43+SFP!G44</f>
        <v>215610102</v>
      </c>
      <c r="I19" s="27">
        <f>SFP!H43+SFP!H44</f>
        <v>250587859.94999999</v>
      </c>
      <c r="J19" s="27">
        <f>SFP!I43+SFP!I44</f>
        <v>181864735.81999999</v>
      </c>
      <c r="K19" s="27">
        <f>SFP!J43+SFP!J44</f>
        <v>183676711.18000001</v>
      </c>
      <c r="L19" s="27">
        <f>SFP!K43+SFP!K44</f>
        <v>177656700.97999999</v>
      </c>
      <c r="M19" s="27">
        <f>SFP!L43+SFP!L44</f>
        <v>177283312.97</v>
      </c>
      <c r="N19" s="27">
        <f>SFP!M43+SFP!M44</f>
        <v>185117716.84</v>
      </c>
      <c r="O19" s="27">
        <f>SFP!N43+SFP!N44</f>
        <v>189649145.68000001</v>
      </c>
      <c r="P19" s="27">
        <f>SFP!O43+SFP!O44</f>
        <v>210358600.63999999</v>
      </c>
      <c r="Q19" s="27">
        <f>SFP!P43+SFP!P44</f>
        <v>225101990.81999999</v>
      </c>
      <c r="R19" s="27">
        <f>SFP!Q43+SFP!Q44</f>
        <v>232397949.97999999</v>
      </c>
      <c r="S19" s="27">
        <f>SFP!R43+SFP!R44</f>
        <v>239468073.22999999</v>
      </c>
      <c r="T19" s="27">
        <f>SFP!S43+SFP!S44</f>
        <v>256738500.25</v>
      </c>
      <c r="U19" s="27">
        <f>SFP!T43+SFP!T44</f>
        <v>224571430</v>
      </c>
      <c r="V19" s="27">
        <f>SFP!U43+SFP!U44</f>
        <v>602570079.10000002</v>
      </c>
      <c r="W19" s="27">
        <f>SFP!V43+SFP!V44</f>
        <v>182607275.72999999</v>
      </c>
      <c r="X19" s="27">
        <f>SFP!W43+SFP!W44</f>
        <v>176966349.06999999</v>
      </c>
      <c r="Y19" s="27">
        <f>SFP!X43+SFP!X44</f>
        <v>174797411</v>
      </c>
      <c r="Z19" s="27">
        <f>SFP!Y43+SFP!Y44</f>
        <v>192310760.13</v>
      </c>
      <c r="AA19" s="27">
        <f>SFP!Z43+SFP!Z44</f>
        <v>202336977.43000001</v>
      </c>
      <c r="AB19" s="27">
        <f>SFP!AA43+SFP!AA44</f>
        <v>208536134.78999999</v>
      </c>
      <c r="AC19" s="27">
        <f>SFP!AB43+SFP!AB44</f>
        <v>227296423.19</v>
      </c>
      <c r="AD19" s="27">
        <f>SFP!AC43+SFP!AC44</f>
        <v>238999795.06999999</v>
      </c>
      <c r="AE19" s="27">
        <f>SFP!AD43+SFP!AD44</f>
        <v>249344153.90000001</v>
      </c>
      <c r="AF19" s="27">
        <f>SFP!AE43+SFP!AE44</f>
        <v>263698040.47</v>
      </c>
      <c r="AG19" s="27">
        <f>SFP!AF43+SFP!AF44</f>
        <v>331805068.94999999</v>
      </c>
      <c r="AH19" s="236">
        <f>SFP!AG43+SFP!AG44</f>
        <v>271061485</v>
      </c>
      <c r="AI19" s="236">
        <f>SFP!AH43+SFP!AH44</f>
        <v>334041688.99000001</v>
      </c>
      <c r="AJ19" s="236">
        <f>SFP!AI43+SFP!AI44</f>
        <v>257929036.31</v>
      </c>
      <c r="AK19" s="236">
        <f>SFP!AJ43+SFP!AJ44</f>
        <v>237978940.25</v>
      </c>
      <c r="AL19" s="236">
        <f>SFP!AK43+SFP!AK44</f>
        <v>236266211.75</v>
      </c>
      <c r="AM19" s="236">
        <f>SFP!AL43+SFP!AL44</f>
        <v>230057377.25</v>
      </c>
      <c r="AN19" s="236">
        <f>SFP!AM43+SFP!AM44</f>
        <v>243679918.22</v>
      </c>
      <c r="AO19" s="236">
        <f>SFP!AN43+SFP!AN44</f>
        <v>246765668.22</v>
      </c>
      <c r="AP19" s="236">
        <f>SFP!AO43+SFP!AO44</f>
        <v>268913041.61000001</v>
      </c>
      <c r="AQ19" s="236">
        <f>SFP!AP43+SFP!AP44</f>
        <v>269258746.18000001</v>
      </c>
      <c r="AR19" s="236">
        <f>SFP!AQ43+SFP!AQ44</f>
        <v>264771703.09999999</v>
      </c>
      <c r="AS19" s="236">
        <f>SFP!AR43+SFP!AR44</f>
        <v>275988532.57999998</v>
      </c>
      <c r="AT19" s="236">
        <f>SFP!AS43+SFP!AS44</f>
        <v>332681861</v>
      </c>
      <c r="AU19" s="236">
        <f>SFP!AT43+SFP!AT44</f>
        <v>318027199</v>
      </c>
      <c r="AV19" s="236">
        <f>SFP!AU43+SFP!AU44</f>
        <v>329713608.70000005</v>
      </c>
      <c r="AW19" s="236">
        <f>SFP!AV43+SFP!AV44</f>
        <v>328977287.69</v>
      </c>
      <c r="AX19" s="236">
        <f>SFP!AW43+SFP!AW44</f>
        <v>290294308.22000003</v>
      </c>
      <c r="AY19" s="236">
        <f>SFP!AX43+SFP!AX44</f>
        <v>313593498.78000003</v>
      </c>
      <c r="AZ19" s="236">
        <f>SFP!AY43+SFP!AY44</f>
        <v>318877352.38</v>
      </c>
      <c r="BA19" s="236">
        <f>SFP!AZ43+SFP!AZ44</f>
        <v>312747655.47000003</v>
      </c>
      <c r="BB19" s="236">
        <f>SFP!BA43+SFP!BA44</f>
        <v>324446247.72000003</v>
      </c>
      <c r="BC19" s="236">
        <f>SFP!BB43+SFP!BB44</f>
        <v>339295890.11000001</v>
      </c>
      <c r="BD19" s="236">
        <f>SFP!BC43+SFP!BC44</f>
        <v>356485266.63</v>
      </c>
      <c r="BE19" s="236">
        <f>SFP!BD43+SFP!BD44</f>
        <v>381853002</v>
      </c>
      <c r="BF19" s="236">
        <f>SFP!BE43+SFP!BE44</f>
        <v>398375531.17000002</v>
      </c>
      <c r="BG19" s="236">
        <f>SFP!BF43+SFP!BF44</f>
        <v>418379024.79000002</v>
      </c>
      <c r="BH19" s="236">
        <f>SFP!BG43+SFP!BG44</f>
        <v>366063134</v>
      </c>
      <c r="BI19" s="236">
        <f>SFP!BH43+0.5*SFP!BH44</f>
        <v>373635037.88</v>
      </c>
      <c r="BJ19" s="236">
        <f>SFP!BI43+0.5*SFP!BI44</f>
        <v>368327962</v>
      </c>
      <c r="BK19" s="236">
        <f>SFP!BJ43+0.5*SFP!BJ44</f>
        <v>360302658.41500002</v>
      </c>
      <c r="BL19" s="236">
        <f>SFP!BK43+0.5*SFP!BK44</f>
        <v>361242172.74000001</v>
      </c>
      <c r="BM19" s="236">
        <f>SFP!BL43+0.5*SFP!BL44</f>
        <v>380706767.52999997</v>
      </c>
      <c r="BN19" s="236">
        <f>SFP!BM43+0.5*SFP!BM44</f>
        <v>379709979.76499999</v>
      </c>
      <c r="BO19" s="236">
        <f>SFP!BN43+0.5*SFP!BN44</f>
        <v>393448792.745</v>
      </c>
      <c r="BP19" s="236">
        <f>SFP!BO43+0.5*SFP!BO44</f>
        <v>393041977.96499997</v>
      </c>
      <c r="BQ19" s="236">
        <f>SFP!BP43+0.5*SFP!BP44</f>
        <v>395528284.16500002</v>
      </c>
      <c r="BR19" s="236">
        <f>SFP!BQ43+SFP!BQ44</f>
        <v>437461794.37</v>
      </c>
      <c r="BS19" s="236">
        <f>SFP!BR43+SFP!BR44</f>
        <v>444192011.95999998</v>
      </c>
      <c r="BT19" s="236">
        <f>SFP!BS43+0.5*SFP!BS44</f>
        <v>420220050.51499999</v>
      </c>
      <c r="BU19" s="236">
        <f>SFP!BT43+SFP!BT44</f>
        <v>474856634</v>
      </c>
      <c r="BV19" s="236">
        <f>SFP!BU43+SFP!BU44</f>
        <v>450888537.98000002</v>
      </c>
      <c r="BW19" s="236">
        <f>SFP!BV43+SFP!BV44</f>
        <v>455118585.63999999</v>
      </c>
      <c r="BX19" s="236">
        <f>SFP!BW43+SFP!BW44</f>
        <v>450165054.16000003</v>
      </c>
      <c r="BY19" s="236">
        <f>SFP!BX43+SFP!BX44</f>
        <v>429802597.77999997</v>
      </c>
      <c r="BZ19" s="236">
        <f>SFP!BY43+SFP!BY44</f>
        <v>416724054.49000001</v>
      </c>
      <c r="CA19" s="236">
        <f>SFP!BZ43+SFP!BZ44</f>
        <v>430865597.17000002</v>
      </c>
      <c r="CB19" s="236">
        <f>SFP!CA43+SFP!CA44</f>
        <v>427577774.59000003</v>
      </c>
      <c r="CC19" s="236">
        <f>SFP!CB43+SFP!CB44</f>
        <v>443574711.82999998</v>
      </c>
      <c r="CD19" s="236">
        <f>SFP!CC43+SFP!CC44</f>
        <v>457486786.54000002</v>
      </c>
      <c r="CE19" s="236">
        <f>SFP!CD43+SFP!CD44</f>
        <v>477760357.24000001</v>
      </c>
      <c r="CF19" s="236">
        <f>SFP!CE43+SFP!CE44</f>
        <v>491854431.31999999</v>
      </c>
      <c r="CG19" s="236">
        <f>SFP!CF43+SFP!CF44</f>
        <v>607899330.94000006</v>
      </c>
      <c r="CH19" s="236">
        <f>SFP!CG43+SFP!CG44</f>
        <v>536949277</v>
      </c>
      <c r="CI19" s="236">
        <f>SFP!CH43+SFP!CH44</f>
        <v>545834437.13</v>
      </c>
      <c r="CJ19" s="236">
        <f>SFP!CI43+SFP!CI44</f>
        <v>515581771.10999995</v>
      </c>
      <c r="CK19" s="236">
        <f>SFP!CJ43+SFP!CJ44</f>
        <v>531809882.17999995</v>
      </c>
      <c r="CL19" s="236">
        <f>SFP!CK43+SFP!CK44</f>
        <v>526140039.29999995</v>
      </c>
      <c r="CM19" s="236">
        <f>SFP!CL43+SFP!CL44</f>
        <v>532783439.09999996</v>
      </c>
      <c r="CN19" s="236">
        <f>SFP!CM43+SFP!CM44</f>
        <v>558182448.11000001</v>
      </c>
      <c r="CO19" s="236">
        <f>SFP!CN43+SFP!CN44</f>
        <v>568701761.9799999</v>
      </c>
      <c r="CP19" s="236">
        <f>SFP!CO43+SFP!CO44</f>
        <v>570241810.78999996</v>
      </c>
      <c r="CQ19" s="236">
        <f>SFP!CP43+SFP!CP44</f>
        <v>599509670.13999999</v>
      </c>
      <c r="CR19" s="236">
        <f>SFP!CQ43+SFP!CQ44</f>
        <v>0</v>
      </c>
      <c r="CS19" s="236">
        <f>SFP!CR43+SFP!CR44</f>
        <v>0</v>
      </c>
      <c r="CT19" s="236">
        <f>SFP!CS43+SFP!CS44</f>
        <v>0</v>
      </c>
    </row>
    <row r="20" spans="1:98">
      <c r="A20" s="16" t="s">
        <v>118</v>
      </c>
      <c r="B20" s="237" t="s">
        <v>119</v>
      </c>
      <c r="C20" s="27">
        <f>SFP!B45</f>
        <v>33539000</v>
      </c>
      <c r="D20" s="27">
        <f>SFP!C45</f>
        <v>39631000</v>
      </c>
      <c r="E20" s="27">
        <f>SFP!D45</f>
        <v>54556000</v>
      </c>
      <c r="F20" s="27">
        <f>SFP!E45</f>
        <v>72274432</v>
      </c>
      <c r="G20" s="27">
        <f>SFP!F45</f>
        <v>91411000</v>
      </c>
      <c r="H20" s="27">
        <f>SFP!G45</f>
        <v>103653504</v>
      </c>
      <c r="I20" s="27">
        <f>SFP!H45</f>
        <v>91411000</v>
      </c>
      <c r="J20" s="27">
        <f>SFP!I45</f>
        <v>103653504</v>
      </c>
      <c r="K20" s="27">
        <f>SFP!J45</f>
        <v>103653504</v>
      </c>
      <c r="L20" s="27">
        <f>SFP!K45</f>
        <v>103653504</v>
      </c>
      <c r="M20" s="27">
        <f>SFP!L45</f>
        <v>103653504</v>
      </c>
      <c r="N20" s="27">
        <f>SFP!M45</f>
        <v>103653504</v>
      </c>
      <c r="O20" s="27">
        <f>SFP!N45</f>
        <v>103653504</v>
      </c>
      <c r="P20" s="27">
        <f>SFP!O45</f>
        <v>103653504</v>
      </c>
      <c r="Q20" s="27">
        <f>SFP!P45</f>
        <v>103653504</v>
      </c>
      <c r="R20" s="27">
        <f>SFP!Q45</f>
        <v>103653504</v>
      </c>
      <c r="S20" s="27">
        <f>SFP!R45</f>
        <v>103653504</v>
      </c>
      <c r="T20" s="27">
        <f>SFP!S45</f>
        <v>103653504</v>
      </c>
      <c r="U20" s="27">
        <f>SFP!T45</f>
        <v>126907513</v>
      </c>
      <c r="V20" s="27">
        <f>SFP!U45</f>
        <v>207307008</v>
      </c>
      <c r="W20" s="27">
        <f>SFP!V45</f>
        <v>126907513</v>
      </c>
      <c r="X20" s="27">
        <f>SFP!W45</f>
        <v>126907513</v>
      </c>
      <c r="Y20" s="27">
        <f>SFP!X45</f>
        <v>126907513</v>
      </c>
      <c r="Z20" s="27">
        <f>SFP!Y45</f>
        <v>126907513</v>
      </c>
      <c r="AA20" s="27">
        <f>SFP!Z45</f>
        <v>126907513</v>
      </c>
      <c r="AB20" s="27">
        <f>SFP!AA45</f>
        <v>126907513</v>
      </c>
      <c r="AC20" s="27">
        <f>SFP!AB45</f>
        <v>126907513</v>
      </c>
      <c r="AD20" s="27">
        <f>SFP!AC45</f>
        <v>126907513</v>
      </c>
      <c r="AE20" s="27">
        <f>SFP!AD45</f>
        <v>126907513</v>
      </c>
      <c r="AF20" s="27">
        <f>SFP!AE45</f>
        <v>126907513</v>
      </c>
      <c r="AG20" s="27">
        <f>SFP!AF45</f>
        <v>126907513</v>
      </c>
      <c r="AH20" s="236">
        <f>SFP!AG45</f>
        <v>155984729</v>
      </c>
      <c r="AI20" s="236">
        <f>SFP!AH45</f>
        <v>126907513</v>
      </c>
      <c r="AJ20" s="236">
        <f>SFP!AI45</f>
        <v>155984729</v>
      </c>
      <c r="AK20" s="236">
        <f>SFP!AJ45</f>
        <v>155984729</v>
      </c>
      <c r="AL20" s="236">
        <f>SFP!AK45</f>
        <v>155984729</v>
      </c>
      <c r="AM20" s="236">
        <f>SFP!AL45</f>
        <v>155984729</v>
      </c>
      <c r="AN20" s="236">
        <f>SFP!AM45</f>
        <v>155984729</v>
      </c>
      <c r="AO20" s="236">
        <f>SFP!AN45</f>
        <v>155984729</v>
      </c>
      <c r="AP20" s="236">
        <f>SFP!AO45</f>
        <v>155984729</v>
      </c>
      <c r="AQ20" s="236">
        <f>SFP!AP45</f>
        <v>155984729</v>
      </c>
      <c r="AR20" s="236">
        <f>SFP!AQ45</f>
        <v>155984729</v>
      </c>
      <c r="AS20" s="236">
        <f>SFP!AR45</f>
        <v>155984729</v>
      </c>
      <c r="AT20" s="236">
        <f>SFP!AS45</f>
        <v>155984729</v>
      </c>
      <c r="AU20" s="236">
        <f>SFP!AT45</f>
        <v>186446779</v>
      </c>
      <c r="AV20" s="236">
        <f>SFP!AU45</f>
        <v>155984729</v>
      </c>
      <c r="AW20" s="236">
        <f>SFP!AV45</f>
        <v>155984729</v>
      </c>
      <c r="AX20" s="236">
        <f>SFP!AW45</f>
        <v>186446780</v>
      </c>
      <c r="AY20" s="236">
        <f>SFP!AX45</f>
        <v>186446780</v>
      </c>
      <c r="AZ20" s="236">
        <f>SFP!AY45</f>
        <v>186446780</v>
      </c>
      <c r="BA20" s="236">
        <f>SFP!AZ45</f>
        <v>186446780</v>
      </c>
      <c r="BB20" s="236">
        <f>SFP!BA45</f>
        <v>186446780</v>
      </c>
      <c r="BC20" s="236">
        <f>SFP!BB45</f>
        <v>186446780</v>
      </c>
      <c r="BD20" s="236">
        <f>SFP!BC45</f>
        <v>186446780</v>
      </c>
      <c r="BE20" s="236">
        <f>SFP!BD45</f>
        <v>186446780</v>
      </c>
      <c r="BF20" s="236">
        <f>SFP!BE45</f>
        <v>186446780</v>
      </c>
      <c r="BG20" s="236">
        <f>SFP!BF45</f>
        <v>186446780</v>
      </c>
      <c r="BH20" s="236">
        <f>SFP!BG45</f>
        <v>200882891</v>
      </c>
      <c r="BI20" s="236">
        <f>SFP!BH45</f>
        <v>200882891</v>
      </c>
      <c r="BJ20" s="236">
        <f>SFP!BI45</f>
        <v>200882891</v>
      </c>
      <c r="BK20" s="236">
        <f>SFP!BJ45</f>
        <v>200882891</v>
      </c>
      <c r="BL20" s="236">
        <f>SFP!BK45</f>
        <v>200882891</v>
      </c>
      <c r="BM20" s="236">
        <f>SFP!BL45</f>
        <v>200882891</v>
      </c>
      <c r="BN20" s="236">
        <f>SFP!BM45</f>
        <v>200882891</v>
      </c>
      <c r="BO20" s="236">
        <f>SFP!BN45</f>
        <v>200882891</v>
      </c>
      <c r="BP20" s="236">
        <f>SFP!BO45</f>
        <v>200882891</v>
      </c>
      <c r="BQ20" s="236">
        <f>SFP!BP45</f>
        <v>200882891</v>
      </c>
      <c r="BR20" s="236">
        <f>SFP!BQ45</f>
        <v>200882891</v>
      </c>
      <c r="BS20" s="236">
        <f>SFP!BR45</f>
        <v>200882891</v>
      </c>
      <c r="BT20" s="236">
        <f>SFP!BS45</f>
        <v>200882891</v>
      </c>
      <c r="BU20" s="236">
        <f>SFP!BT45</f>
        <v>227344561</v>
      </c>
      <c r="BV20" s="236">
        <f>SFP!BU45</f>
        <v>227344561</v>
      </c>
      <c r="BW20" s="236">
        <f>SFP!BV45</f>
        <v>227344561</v>
      </c>
      <c r="BX20" s="236">
        <f>SFP!BW45</f>
        <v>227344561</v>
      </c>
      <c r="BY20" s="236">
        <f>SFP!BX45</f>
        <v>227344561</v>
      </c>
      <c r="BZ20" s="236">
        <f>SFP!BY45</f>
        <v>227344561</v>
      </c>
      <c r="CA20" s="236">
        <f>SFP!BZ45</f>
        <v>227344561</v>
      </c>
      <c r="CB20" s="236">
        <f>SFP!CA45</f>
        <v>227344561</v>
      </c>
      <c r="CC20" s="236">
        <f>SFP!CB45</f>
        <v>227344561</v>
      </c>
      <c r="CD20" s="236">
        <f>SFP!CC45</f>
        <v>227344561</v>
      </c>
      <c r="CE20" s="236">
        <f>SFP!CD45</f>
        <v>227344561</v>
      </c>
      <c r="CF20" s="236">
        <f>SFP!CE45</f>
        <v>227344561</v>
      </c>
      <c r="CG20" s="236">
        <f>SFP!CF45</f>
        <v>227344561</v>
      </c>
      <c r="CH20" s="236">
        <f>SFP!CG45</f>
        <v>259109764</v>
      </c>
      <c r="CI20" s="236">
        <f>SFP!CH45</f>
        <v>259109764</v>
      </c>
      <c r="CJ20" s="236">
        <f>SFP!CI45</f>
        <v>259109764</v>
      </c>
      <c r="CK20" s="236">
        <f>SFP!CJ45</f>
        <v>259109764</v>
      </c>
      <c r="CL20" s="236">
        <f>SFP!CK45</f>
        <v>259109764</v>
      </c>
      <c r="CM20" s="236">
        <f>SFP!CL45</f>
        <v>259109764</v>
      </c>
      <c r="CN20" s="236">
        <f>SFP!CM45</f>
        <v>259109764</v>
      </c>
      <c r="CO20" s="236">
        <f>SFP!CN45</f>
        <v>259109764</v>
      </c>
      <c r="CP20" s="236">
        <f>SFP!CO45</f>
        <v>259109764</v>
      </c>
      <c r="CQ20" s="236">
        <f>SFP!CP45</f>
        <v>259109764</v>
      </c>
      <c r="CR20" s="236">
        <f>SFP!CQ45</f>
        <v>0</v>
      </c>
      <c r="CS20" s="236">
        <f>SFP!CR45</f>
        <v>0</v>
      </c>
      <c r="CT20" s="236">
        <f>SFP!CS45</f>
        <v>0</v>
      </c>
    </row>
    <row r="21" spans="1:98">
      <c r="A21" s="16" t="s">
        <v>120</v>
      </c>
      <c r="B21" s="237" t="s">
        <v>121</v>
      </c>
      <c r="C21" s="27">
        <f>SFP!B46</f>
        <v>1147000</v>
      </c>
      <c r="D21" s="27">
        <f>SFP!C46</f>
        <v>4225000</v>
      </c>
      <c r="E21" s="27">
        <f>SFP!D46</f>
        <v>6146000</v>
      </c>
      <c r="F21" s="27">
        <f>SFP!E46</f>
        <v>28383729</v>
      </c>
      <c r="G21" s="27">
        <f>SFP!F46</f>
        <v>30000000</v>
      </c>
      <c r="H21" s="27">
        <f>SFP!G46</f>
        <v>50001500</v>
      </c>
      <c r="I21" s="27">
        <f>SFP!H46</f>
        <v>30001500</v>
      </c>
      <c r="J21" s="27">
        <f>SFP!I46</f>
        <v>50001500</v>
      </c>
      <c r="K21" s="27">
        <f>SFP!J46</f>
        <v>50002500</v>
      </c>
      <c r="L21" s="27">
        <f>SFP!K46</f>
        <v>50002500</v>
      </c>
      <c r="M21" s="27">
        <f>SFP!L46</f>
        <v>50003000</v>
      </c>
      <c r="N21" s="27">
        <f>SFP!M46</f>
        <v>50003000</v>
      </c>
      <c r="O21" s="27">
        <f>SFP!N46</f>
        <v>50003000</v>
      </c>
      <c r="P21" s="27">
        <f>SFP!O46</f>
        <v>50003000</v>
      </c>
      <c r="Q21" s="27">
        <f>SFP!P46</f>
        <v>50003000</v>
      </c>
      <c r="R21" s="27">
        <f>SFP!Q46</f>
        <v>50003000</v>
      </c>
      <c r="S21" s="27">
        <f>SFP!R46</f>
        <v>50003000</v>
      </c>
      <c r="T21" s="27">
        <f>SFP!S46</f>
        <v>50003000</v>
      </c>
      <c r="U21" s="27">
        <f>SFP!T46</f>
        <v>120003000</v>
      </c>
      <c r="V21" s="27">
        <f>SFP!U46</f>
        <v>100006000</v>
      </c>
      <c r="W21" s="27">
        <f>SFP!V46</f>
        <v>120003000</v>
      </c>
      <c r="X21" s="27">
        <f>SFP!W46</f>
        <v>120003000</v>
      </c>
      <c r="Y21" s="27">
        <f>SFP!X46</f>
        <v>120003000</v>
      </c>
      <c r="Z21" s="27">
        <f>SFP!Y46</f>
        <v>120003000</v>
      </c>
      <c r="AA21" s="27">
        <f>SFP!Z46</f>
        <v>148225440</v>
      </c>
      <c r="AB21" s="27">
        <f>SFP!AA46</f>
        <v>148225440</v>
      </c>
      <c r="AC21" s="27">
        <f>SFP!AB46</f>
        <v>148225440</v>
      </c>
      <c r="AD21" s="27">
        <f>SFP!AC46</f>
        <v>148225440</v>
      </c>
      <c r="AE21" s="27">
        <f>SFP!AD46</f>
        <v>148225440</v>
      </c>
      <c r="AF21" s="27">
        <f>SFP!AE46</f>
        <v>148225440</v>
      </c>
      <c r="AG21" s="27">
        <f>SFP!AF46</f>
        <v>148225440</v>
      </c>
      <c r="AH21" s="236">
        <f>SFP!AG46</f>
        <v>150000000</v>
      </c>
      <c r="AI21" s="236">
        <f>SFP!AH46</f>
        <v>148225440</v>
      </c>
      <c r="AJ21" s="236">
        <f>SFP!AI46</f>
        <v>150000000</v>
      </c>
      <c r="AK21" s="236">
        <f>SFP!AJ46</f>
        <v>150000000</v>
      </c>
      <c r="AL21" s="236">
        <f>SFP!AK46</f>
        <v>150000000</v>
      </c>
      <c r="AM21" s="236">
        <f>SFP!AL46</f>
        <v>150000000</v>
      </c>
      <c r="AN21" s="236">
        <f>SFP!AM46</f>
        <v>150000000</v>
      </c>
      <c r="AO21" s="236">
        <f>SFP!AN46</f>
        <v>150000000</v>
      </c>
      <c r="AP21" s="236">
        <f>SFP!AO46</f>
        <v>150000000</v>
      </c>
      <c r="AQ21" s="236">
        <f>SFP!AP46</f>
        <v>150000000</v>
      </c>
      <c r="AR21" s="236">
        <f>SFP!AQ46</f>
        <v>150000000</v>
      </c>
      <c r="AS21" s="236">
        <f>SFP!AR46</f>
        <v>150000000</v>
      </c>
      <c r="AT21" s="236">
        <f>SFP!AS46</f>
        <v>150000000</v>
      </c>
      <c r="AU21" s="236">
        <f>SFP!AT46</f>
        <v>150000000</v>
      </c>
      <c r="AV21" s="236">
        <f>SFP!AU46</f>
        <v>150000000</v>
      </c>
      <c r="AW21" s="236">
        <f>SFP!AV46</f>
        <v>150000000</v>
      </c>
      <c r="AX21" s="236">
        <f>SFP!AW46</f>
        <v>150000000</v>
      </c>
      <c r="AY21" s="236">
        <f>SFP!AX46</f>
        <v>150000000</v>
      </c>
      <c r="AZ21" s="236">
        <f>SFP!AY46</f>
        <v>150000000</v>
      </c>
      <c r="BA21" s="236">
        <f>SFP!AZ46</f>
        <v>150000000</v>
      </c>
      <c r="BB21" s="236">
        <f>SFP!BA46</f>
        <v>150000000</v>
      </c>
      <c r="BC21" s="236">
        <f>SFP!BB46</f>
        <v>150000000</v>
      </c>
      <c r="BD21" s="236">
        <f>SFP!BC46</f>
        <v>150000000</v>
      </c>
      <c r="BE21" s="236">
        <f>SFP!BD46</f>
        <v>150000000</v>
      </c>
      <c r="BF21" s="236">
        <f>SFP!BE46</f>
        <v>150000000</v>
      </c>
      <c r="BG21" s="236">
        <f>SFP!BF46</f>
        <v>150000000</v>
      </c>
      <c r="BH21" s="236">
        <f>SFP!BG46</f>
        <v>150000000</v>
      </c>
      <c r="BI21" s="236">
        <f>SFP!BH46</f>
        <v>150000000</v>
      </c>
      <c r="BJ21" s="236">
        <f>SFP!BI46</f>
        <v>150000000</v>
      </c>
      <c r="BK21" s="236">
        <f>SFP!BJ46</f>
        <v>150000000</v>
      </c>
      <c r="BL21" s="236">
        <f>SFP!BK46</f>
        <v>150000000</v>
      </c>
      <c r="BM21" s="236">
        <f>SFP!BL46</f>
        <v>150000000</v>
      </c>
      <c r="BN21" s="236">
        <f>SFP!BM46</f>
        <v>150000000</v>
      </c>
      <c r="BO21" s="236">
        <f>SFP!BN46</f>
        <v>150000000</v>
      </c>
      <c r="BP21" s="236">
        <f>SFP!BO46</f>
        <v>150000000</v>
      </c>
      <c r="BQ21" s="236">
        <f>SFP!BP46</f>
        <v>150000000</v>
      </c>
      <c r="BR21" s="236">
        <f>SFP!BQ46</f>
        <v>150000000</v>
      </c>
      <c r="BS21" s="236">
        <f>SFP!BR46</f>
        <v>150000000</v>
      </c>
      <c r="BT21" s="236">
        <f>SFP!BS46</f>
        <v>150000000</v>
      </c>
      <c r="BU21" s="236">
        <f>SFP!BT46</f>
        <v>150000000</v>
      </c>
      <c r="BV21" s="236">
        <f>SFP!BU46</f>
        <v>150000000</v>
      </c>
      <c r="BW21" s="236">
        <f>SFP!BV46</f>
        <v>150000000</v>
      </c>
      <c r="BX21" s="236">
        <f>SFP!BW46</f>
        <v>150000000</v>
      </c>
      <c r="BY21" s="236">
        <f>SFP!BX46</f>
        <v>150000000</v>
      </c>
      <c r="BZ21" s="236">
        <f>SFP!BY46</f>
        <v>150000000</v>
      </c>
      <c r="CA21" s="236">
        <f>SFP!BZ46</f>
        <v>150000000</v>
      </c>
      <c r="CB21" s="236">
        <f>SFP!CA46</f>
        <v>150000000</v>
      </c>
      <c r="CC21" s="236">
        <f>SFP!CB46</f>
        <v>150000000</v>
      </c>
      <c r="CD21" s="236">
        <f>SFP!CC46</f>
        <v>150000000</v>
      </c>
      <c r="CE21" s="236">
        <f>SFP!CD46</f>
        <v>150000000</v>
      </c>
      <c r="CF21" s="236">
        <f>SFP!CE46</f>
        <v>150000000</v>
      </c>
      <c r="CG21" s="236">
        <f>SFP!CF46</f>
        <v>150000000</v>
      </c>
      <c r="CH21" s="236">
        <f>SFP!CG46</f>
        <v>150221218</v>
      </c>
      <c r="CI21" s="236">
        <f>SFP!CH46</f>
        <v>150000000</v>
      </c>
      <c r="CJ21" s="236">
        <f>SFP!CI46</f>
        <v>150000000</v>
      </c>
      <c r="CK21" s="236">
        <f>SFP!CJ46</f>
        <v>150000000</v>
      </c>
      <c r="CL21" s="236">
        <f>SFP!CK46</f>
        <v>150000000</v>
      </c>
      <c r="CM21" s="236">
        <f>SFP!CL46</f>
        <v>150000000</v>
      </c>
      <c r="CN21" s="236">
        <f>SFP!CM46</f>
        <v>150000000</v>
      </c>
      <c r="CO21" s="236">
        <f>SFP!CN46</f>
        <v>150000000</v>
      </c>
      <c r="CP21" s="236">
        <f>SFP!CO46</f>
        <v>150000000</v>
      </c>
      <c r="CQ21" s="236">
        <f>SFP!CP46</f>
        <v>150000000</v>
      </c>
      <c r="CR21" s="236">
        <f>SFP!CQ46</f>
        <v>0</v>
      </c>
      <c r="CS21" s="236">
        <f>SFP!CR46</f>
        <v>0</v>
      </c>
      <c r="CT21" s="236">
        <f>SFP!CS46</f>
        <v>0</v>
      </c>
    </row>
    <row r="22" spans="1:98">
      <c r="A22" s="16" t="s">
        <v>122</v>
      </c>
      <c r="B22" s="249" t="s">
        <v>123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6"/>
      <c r="BK22" s="236"/>
      <c r="BL22" s="236"/>
      <c r="BM22" s="236"/>
      <c r="BN22" s="236"/>
      <c r="BO22" s="236"/>
      <c r="BP22" s="236"/>
      <c r="BQ22" s="236"/>
      <c r="BR22" s="236"/>
      <c r="BS22" s="236"/>
      <c r="BT22" s="236"/>
      <c r="BU22" s="236"/>
      <c r="BV22" s="236"/>
      <c r="BW22" s="236"/>
      <c r="BX22" s="236"/>
      <c r="BY22" s="236"/>
      <c r="BZ22" s="236"/>
      <c r="CA22" s="236"/>
      <c r="CB22" s="236"/>
      <c r="CC22" s="236"/>
      <c r="CD22" s="236"/>
      <c r="CE22" s="236"/>
      <c r="CF22" s="236"/>
      <c r="CG22" s="236"/>
      <c r="CH22" s="236"/>
      <c r="CI22" s="236"/>
      <c r="CJ22" s="236"/>
      <c r="CK22" s="236"/>
      <c r="CL22" s="236"/>
      <c r="CM22" s="236"/>
      <c r="CN22" s="236"/>
      <c r="CO22" s="236"/>
      <c r="CP22" s="236"/>
      <c r="CQ22" s="236"/>
      <c r="CR22" s="236"/>
      <c r="CS22" s="236"/>
      <c r="CT22" s="236"/>
    </row>
    <row r="23" spans="1:98">
      <c r="A23" s="229" t="s">
        <v>124</v>
      </c>
      <c r="B23" s="237" t="s">
        <v>58</v>
      </c>
      <c r="C23" s="27">
        <f>SFP!B48</f>
        <v>150686000</v>
      </c>
      <c r="D23" s="27">
        <f>SFP!C48</f>
        <v>0</v>
      </c>
      <c r="E23" s="27">
        <f>SFP!D48</f>
        <v>201743000</v>
      </c>
      <c r="F23" s="27">
        <f>SFP!E48</f>
        <v>0</v>
      </c>
      <c r="G23" s="27">
        <f>SFP!F48</f>
        <v>0</v>
      </c>
      <c r="H23" s="27">
        <f>SFP!G48</f>
        <v>0</v>
      </c>
      <c r="I23" s="27">
        <f>SFP!H48</f>
        <v>0</v>
      </c>
      <c r="J23" s="27">
        <f>SFP!I48</f>
        <v>0</v>
      </c>
      <c r="K23" s="27">
        <f>SFP!J48</f>
        <v>0</v>
      </c>
      <c r="L23" s="27">
        <f>SFP!K48</f>
        <v>0</v>
      </c>
      <c r="M23" s="27">
        <f>SFP!L48</f>
        <v>0</v>
      </c>
      <c r="N23" s="27">
        <f>SFP!M48</f>
        <v>0</v>
      </c>
      <c r="O23" s="27">
        <f>SFP!N48</f>
        <v>0</v>
      </c>
      <c r="P23" s="27">
        <f>SFP!O47</f>
        <v>143724358</v>
      </c>
      <c r="Q23" s="27">
        <f>SFP!P47</f>
        <v>143724358</v>
      </c>
      <c r="R23" s="27">
        <f>SFP!Q47</f>
        <v>0</v>
      </c>
      <c r="S23" s="27">
        <f>SFP!R47</f>
        <v>0</v>
      </c>
      <c r="T23" s="27">
        <f>SFP!S47</f>
        <v>0</v>
      </c>
      <c r="U23" s="27">
        <f>SFP!T47</f>
        <v>184223390</v>
      </c>
      <c r="V23" s="27">
        <f>SFP!U47</f>
        <v>287448716</v>
      </c>
      <c r="W23" s="27">
        <f>SFP!V47</f>
        <v>184223390</v>
      </c>
      <c r="X23" s="27">
        <f>SFP!W47</f>
        <v>184223390</v>
      </c>
      <c r="Y23" s="27">
        <f>SFP!X47</f>
        <v>184223390</v>
      </c>
      <c r="Z23" s="27">
        <f>SFP!Y47</f>
        <v>184223390</v>
      </c>
      <c r="AA23" s="27">
        <f>SFP!Z47</f>
        <v>184223390</v>
      </c>
      <c r="AB23" s="27">
        <f>SFP!AA47</f>
        <v>184223390</v>
      </c>
      <c r="AC23" s="27">
        <f>SFP!AB50</f>
        <v>1022823803.8800001</v>
      </c>
      <c r="AD23" s="27">
        <f>SFP!AC50</f>
        <v>1028236862.3200001</v>
      </c>
      <c r="AE23" s="27">
        <f>SFP!AD50</f>
        <v>1043495719.87</v>
      </c>
      <c r="AF23" s="27">
        <f>SFP!AE50</f>
        <v>1063265273.6500001</v>
      </c>
      <c r="AG23" s="27">
        <f>SFP!AF50</f>
        <v>1140106783.0500002</v>
      </c>
      <c r="AH23" s="236">
        <f>SFP!AG50</f>
        <v>1089269071</v>
      </c>
      <c r="AI23" s="236">
        <f>SFP!AH50</f>
        <v>1146367565.1599998</v>
      </c>
      <c r="AJ23" s="236">
        <f>SFP!AI50</f>
        <v>1156803449.5</v>
      </c>
      <c r="AK23" s="236">
        <f>SFP!AJ50</f>
        <v>1140222209.55</v>
      </c>
      <c r="AL23" s="236">
        <f>SFP!AK50</f>
        <v>1144386896.75</v>
      </c>
      <c r="AM23" s="236">
        <f>SFP!AL50</f>
        <v>1141755151.8399999</v>
      </c>
      <c r="AN23" s="236">
        <f>SFP!AM50</f>
        <v>1158723133.45</v>
      </c>
      <c r="AO23" s="236">
        <f>SFP!AN50</f>
        <v>1164946254.53</v>
      </c>
      <c r="AP23" s="236">
        <f>SFP!AO50</f>
        <v>1191784186.1799998</v>
      </c>
      <c r="AQ23" s="236">
        <f>SFP!AP50</f>
        <v>1198099773.4299998</v>
      </c>
      <c r="AR23" s="236">
        <f>SFP!AQ50</f>
        <v>1196276860.6100001</v>
      </c>
      <c r="AS23" s="236">
        <f>SFP!AR50</f>
        <v>1211499471.5500002</v>
      </c>
      <c r="AT23" s="236">
        <f>SFP!AS50</f>
        <v>1277160664.6900001</v>
      </c>
      <c r="AU23" s="236">
        <f>SFP!AT50</f>
        <v>1311775955</v>
      </c>
      <c r="AV23" s="236">
        <f>SFP!AU50</f>
        <v>1275966876.0799999</v>
      </c>
      <c r="AW23" s="236">
        <f>SFP!AV50</f>
        <v>1309585179.5999999</v>
      </c>
      <c r="AX23" s="236">
        <f>SFP!AW50</f>
        <v>1307298450.8499999</v>
      </c>
      <c r="AY23" s="236">
        <f>SFP!AX50</f>
        <v>1332604267.9200001</v>
      </c>
      <c r="AZ23" s="236">
        <f>SFP!AY50</f>
        <v>1342067118.8</v>
      </c>
      <c r="BA23" s="236">
        <f>SFP!AZ50</f>
        <v>1339966521.99</v>
      </c>
      <c r="BB23" s="236">
        <f>SFP!BA50</f>
        <v>1353301997.22</v>
      </c>
      <c r="BC23" s="236">
        <f>SFP!BB50</f>
        <v>1371283123.4100001</v>
      </c>
      <c r="BD23" s="236">
        <f>SFP!BC50</f>
        <v>1390166072.8600001</v>
      </c>
      <c r="BE23" s="236">
        <f>SFP!BD50</f>
        <v>1418465866.3499999</v>
      </c>
      <c r="BF23" s="236">
        <f>SFP!BE50</f>
        <v>1438292842.5599999</v>
      </c>
      <c r="BG23" s="236">
        <f>SFP!BF50</f>
        <v>1473138806.29</v>
      </c>
      <c r="BH23" s="236">
        <f>SFP!BG50</f>
        <v>1383603693</v>
      </c>
      <c r="BI23" s="236">
        <f>SFP!BH50</f>
        <v>1412152386.1900001</v>
      </c>
      <c r="BJ23" s="236">
        <f>SFP!BI50</f>
        <v>1410591281.1700001</v>
      </c>
      <c r="BK23" s="236">
        <f>SFP!BJ50</f>
        <v>1397524694.21</v>
      </c>
      <c r="BL23" s="236">
        <f>SFP!BK50</f>
        <v>1403771214.02</v>
      </c>
      <c r="BM23" s="236">
        <f>SFP!BL50</f>
        <v>1449925127.4499998</v>
      </c>
      <c r="BN23" s="236">
        <f>SFP!BM50</f>
        <v>1451869574.8499999</v>
      </c>
      <c r="BO23" s="236">
        <f>SFP!BN50</f>
        <v>1482163064.73</v>
      </c>
      <c r="BP23" s="236">
        <f>SFP!BO50</f>
        <v>1485491345.8899999</v>
      </c>
      <c r="BQ23" s="236">
        <f>SFP!BP50</f>
        <v>1494053068.6399999</v>
      </c>
      <c r="BR23" s="236">
        <f>SFP!BQ50</f>
        <v>1509945228.3699999</v>
      </c>
      <c r="BS23" s="236">
        <f>SFP!BR50</f>
        <v>1520713070.77</v>
      </c>
      <c r="BT23" s="236">
        <f>SFP!BS50</f>
        <v>1567527712.23</v>
      </c>
      <c r="BU23" s="236">
        <f>SFP!BT50</f>
        <v>1700047610</v>
      </c>
      <c r="BV23" s="236">
        <f>SFP!BU50</f>
        <v>1593056539.0699999</v>
      </c>
      <c r="BW23" s="236">
        <f>SFP!BV50</f>
        <v>1614664905.48</v>
      </c>
      <c r="BX23" s="236">
        <f>SFP!BW50</f>
        <v>1621114139.1299999</v>
      </c>
      <c r="BY23" s="236">
        <f>SFP!BX50</f>
        <v>1645794412.9899998</v>
      </c>
      <c r="BZ23" s="236" t="e">
        <f>SFP!BY50</f>
        <v>#REF!</v>
      </c>
      <c r="CA23" s="236">
        <f>SFP!BZ50</f>
        <v>1692426879.75</v>
      </c>
      <c r="CB23" s="236">
        <f>SFP!CA50</f>
        <v>1725489475.05</v>
      </c>
      <c r="CC23" s="236">
        <f>SFP!CB50</f>
        <v>1849153392.3900001</v>
      </c>
      <c r="CD23" s="236">
        <f>SFP!CC50</f>
        <v>1664196453.5</v>
      </c>
      <c r="CE23" s="236">
        <f>SFP!CD50</f>
        <v>1692426879.75</v>
      </c>
      <c r="CF23" s="236">
        <f>SFP!CE50</f>
        <v>1725489475.05</v>
      </c>
      <c r="CG23" s="236">
        <f>SFP!CF50</f>
        <v>1849153392.3900001</v>
      </c>
      <c r="CH23" s="236">
        <f>SFP!CG50</f>
        <v>1806444983</v>
      </c>
      <c r="CI23" s="236">
        <f>SFP!CH50</f>
        <v>1842614582.47</v>
      </c>
      <c r="CJ23" s="236">
        <f>SFP!CI50</f>
        <v>1824627924.49</v>
      </c>
      <c r="CK23" s="236">
        <f>SFP!CJ50</f>
        <v>1851622710.22</v>
      </c>
      <c r="CL23" s="236">
        <f>SFP!CK50</f>
        <v>1856344807.97</v>
      </c>
      <c r="CM23" s="236">
        <f>SFP!CL50</f>
        <v>1875858677.6200001</v>
      </c>
      <c r="CN23" s="236">
        <f>SFP!CM50</f>
        <v>1927338784.95</v>
      </c>
      <c r="CO23" s="236">
        <f>SFP!CN50</f>
        <v>1942414670.6399999</v>
      </c>
      <c r="CP23" s="236">
        <f>SFP!CO50</f>
        <v>1949129311</v>
      </c>
      <c r="CQ23" s="236">
        <f>SFP!CP50</f>
        <v>1982664463.6600001</v>
      </c>
      <c r="CR23" s="236">
        <f>SFP!CQ50</f>
        <v>0</v>
      </c>
      <c r="CS23" s="236">
        <f>SFP!CR50</f>
        <v>0</v>
      </c>
      <c r="CT23" s="236">
        <f>SFP!CS50</f>
        <v>0</v>
      </c>
    </row>
    <row r="24" spans="1:98" ht="13.9" thickBot="1">
      <c r="A24" s="230" t="s">
        <v>125</v>
      </c>
      <c r="B24" s="250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251"/>
      <c r="AI24" s="251"/>
      <c r="AJ24" s="251"/>
      <c r="AK24" s="251"/>
      <c r="AL24" s="251"/>
      <c r="AM24" s="251"/>
      <c r="AN24" s="251"/>
      <c r="AO24" s="251"/>
      <c r="AP24" s="251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1"/>
      <c r="BE24" s="251"/>
      <c r="BF24" s="251"/>
      <c r="BG24" s="251"/>
      <c r="BH24" s="251"/>
      <c r="BI24" s="251"/>
      <c r="BJ24" s="251"/>
      <c r="BK24" s="251"/>
      <c r="BL24" s="251"/>
      <c r="BM24" s="251"/>
      <c r="BN24" s="251"/>
      <c r="BO24" s="251"/>
      <c r="BP24" s="251"/>
      <c r="BQ24" s="251"/>
      <c r="BR24" s="251"/>
      <c r="BS24" s="251"/>
      <c r="BT24" s="251"/>
      <c r="BU24" s="251"/>
      <c r="BV24" s="251"/>
      <c r="BW24" s="251"/>
      <c r="BX24" s="251"/>
      <c r="BY24" s="251"/>
      <c r="BZ24" s="251"/>
      <c r="CA24" s="251"/>
      <c r="CB24" s="251"/>
      <c r="CC24" s="251"/>
      <c r="CD24" s="251"/>
      <c r="CE24" s="251"/>
      <c r="CF24" s="251"/>
      <c r="CG24" s="251"/>
      <c r="CH24" s="251"/>
      <c r="CI24" s="251"/>
      <c r="CJ24" s="251"/>
      <c r="CK24" s="251"/>
      <c r="CL24" s="251"/>
      <c r="CM24" s="251"/>
      <c r="CN24" s="251"/>
      <c r="CO24" s="251"/>
      <c r="CP24" s="251"/>
      <c r="CQ24" s="251"/>
      <c r="CR24" s="251"/>
      <c r="CS24" s="251"/>
      <c r="CT24" s="251"/>
    </row>
    <row r="25" spans="1:98" ht="13.9" thickBot="1">
      <c r="A25" s="9"/>
      <c r="B25" s="252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40"/>
      <c r="AI25" s="240"/>
      <c r="AJ25" s="240"/>
      <c r="AK25" s="240"/>
      <c r="AL25" s="240"/>
      <c r="AM25" s="240"/>
      <c r="AN25" s="240"/>
      <c r="AO25" s="240"/>
      <c r="AP25" s="240"/>
      <c r="AQ25" s="240"/>
      <c r="AR25" s="240"/>
      <c r="AS25" s="240"/>
      <c r="AT25" s="240"/>
      <c r="AU25" s="240"/>
      <c r="AV25" s="240"/>
      <c r="AW25" s="240"/>
      <c r="AX25" s="240"/>
      <c r="AY25" s="240"/>
      <c r="AZ25" s="240"/>
      <c r="BA25" s="240"/>
      <c r="BB25" s="240"/>
      <c r="BC25" s="240"/>
      <c r="BD25" s="240"/>
      <c r="BE25" s="240"/>
      <c r="BF25" s="240"/>
      <c r="BG25" s="240"/>
      <c r="BH25" s="240"/>
      <c r="BI25" s="240"/>
      <c r="BJ25" s="240"/>
      <c r="BK25" s="240"/>
      <c r="BL25" s="240"/>
      <c r="BM25" s="240"/>
      <c r="BN25" s="240"/>
      <c r="BO25" s="240"/>
      <c r="BP25" s="240"/>
      <c r="BQ25" s="240"/>
      <c r="BR25" s="240"/>
      <c r="BS25" s="240"/>
      <c r="BT25" s="240"/>
      <c r="BU25" s="240"/>
      <c r="BV25" s="240"/>
      <c r="BW25" s="240"/>
      <c r="BX25" s="240"/>
      <c r="BY25" s="240"/>
      <c r="BZ25" s="240"/>
      <c r="CA25" s="240"/>
      <c r="CB25" s="240"/>
      <c r="CC25" s="240"/>
      <c r="CD25" s="240"/>
      <c r="CE25" s="240"/>
      <c r="CF25" s="240"/>
      <c r="CG25" s="240"/>
      <c r="CH25" s="240"/>
      <c r="CI25" s="240"/>
      <c r="CJ25" s="240"/>
      <c r="CK25" s="240"/>
      <c r="CL25" s="240"/>
      <c r="CM25" s="240"/>
      <c r="CN25" s="240"/>
      <c r="CO25" s="240"/>
      <c r="CP25" s="240"/>
      <c r="CQ25" s="240"/>
      <c r="CR25" s="240"/>
      <c r="CS25" s="240"/>
      <c r="CT25" s="240"/>
    </row>
    <row r="26" spans="1:98">
      <c r="A26" s="14">
        <v>6</v>
      </c>
      <c r="B26" s="253" t="s">
        <v>126</v>
      </c>
      <c r="C26" s="26">
        <f t="shared" ref="C26:J26" si="29">C27+C28+C29</f>
        <v>140316000</v>
      </c>
      <c r="D26" s="26">
        <f t="shared" si="29"/>
        <v>136004000</v>
      </c>
      <c r="E26" s="26">
        <f t="shared" si="29"/>
        <v>269992000</v>
      </c>
      <c r="F26" s="26">
        <f t="shared" si="29"/>
        <v>267823506</v>
      </c>
      <c r="G26" s="26">
        <f t="shared" si="29"/>
        <v>249273506</v>
      </c>
      <c r="H26" s="26">
        <f t="shared" si="29"/>
        <v>0</v>
      </c>
      <c r="I26" s="26">
        <f t="shared" si="29"/>
        <v>220735788.19999999</v>
      </c>
      <c r="J26" s="26">
        <f t="shared" si="29"/>
        <v>193214051</v>
      </c>
      <c r="K26" s="26">
        <f t="shared" ref="K26:P26" si="30">K27+K28+K29</f>
        <v>193214051</v>
      </c>
      <c r="L26" s="26">
        <f t="shared" si="30"/>
        <v>193214051</v>
      </c>
      <c r="M26" s="26">
        <f t="shared" si="30"/>
        <v>194114051</v>
      </c>
      <c r="N26" s="26">
        <f t="shared" si="30"/>
        <v>194114051</v>
      </c>
      <c r="O26" s="26">
        <f t="shared" si="30"/>
        <v>194114051</v>
      </c>
      <c r="P26" s="26">
        <f t="shared" si="30"/>
        <v>194514051</v>
      </c>
      <c r="Q26" s="26">
        <f t="shared" ref="Q26:X26" si="31">Q27+Q28+Q29</f>
        <v>194514051</v>
      </c>
      <c r="R26" s="26">
        <f t="shared" si="31"/>
        <v>194614051</v>
      </c>
      <c r="S26" s="26">
        <f t="shared" si="31"/>
        <v>195114051</v>
      </c>
      <c r="T26" s="26">
        <f t="shared" si="31"/>
        <v>195614051</v>
      </c>
      <c r="U26" s="26">
        <f t="shared" si="31"/>
        <v>212113083</v>
      </c>
      <c r="V26" s="26">
        <f t="shared" si="31"/>
        <v>391228102</v>
      </c>
      <c r="W26" s="26">
        <f t="shared" si="31"/>
        <v>236613083</v>
      </c>
      <c r="X26" s="26">
        <f t="shared" si="31"/>
        <v>236713083</v>
      </c>
      <c r="Y26" s="26">
        <f t="shared" ref="Y26:AD26" si="32">Y27+Y28+Y29</f>
        <v>238990740</v>
      </c>
      <c r="Z26" s="26">
        <f t="shared" si="32"/>
        <v>239090740</v>
      </c>
      <c r="AA26" s="26">
        <f t="shared" si="32"/>
        <v>239190740</v>
      </c>
      <c r="AB26" s="26">
        <f t="shared" si="32"/>
        <v>239290740</v>
      </c>
      <c r="AC26" s="26">
        <f t="shared" si="32"/>
        <v>239290740</v>
      </c>
      <c r="AD26" s="26">
        <f t="shared" si="32"/>
        <v>215690740</v>
      </c>
      <c r="AE26" s="26">
        <f>AE27+AE28+AE29</f>
        <v>215790740</v>
      </c>
      <c r="AF26" s="26">
        <f>AF27+AF28+AF29</f>
        <v>215890740</v>
      </c>
      <c r="AG26" s="26">
        <f>AG27+AG28+AG29</f>
        <v>215990740</v>
      </c>
      <c r="AH26" s="254">
        <f>AH27+AH28+AH29</f>
        <v>195044836</v>
      </c>
      <c r="AI26" s="254">
        <f t="shared" ref="AI26:AU26" si="33">AI27+AI28+AI29</f>
        <v>216688611</v>
      </c>
      <c r="AJ26" s="254">
        <f t="shared" si="33"/>
        <v>195942707</v>
      </c>
      <c r="AK26" s="254">
        <f t="shared" si="33"/>
        <v>196142707</v>
      </c>
      <c r="AL26" s="254">
        <f t="shared" si="33"/>
        <v>196842707</v>
      </c>
      <c r="AM26" s="254">
        <f t="shared" si="33"/>
        <v>197042707</v>
      </c>
      <c r="AN26" s="254">
        <f t="shared" si="33"/>
        <v>197242707</v>
      </c>
      <c r="AO26" s="254">
        <f t="shared" si="33"/>
        <v>197442707</v>
      </c>
      <c r="AP26" s="254">
        <f t="shared" si="33"/>
        <v>197642707</v>
      </c>
      <c r="AQ26" s="254">
        <f t="shared" si="33"/>
        <v>197842707</v>
      </c>
      <c r="AR26" s="254">
        <f t="shared" si="33"/>
        <v>198143458.75</v>
      </c>
      <c r="AS26" s="254">
        <f>AS27+AS28+AS29</f>
        <v>198343458.75</v>
      </c>
      <c r="AT26" s="254">
        <f t="shared" si="33"/>
        <v>198543458.75</v>
      </c>
      <c r="AU26" s="254">
        <f t="shared" si="33"/>
        <v>217351361</v>
      </c>
      <c r="AV26" s="254">
        <f t="shared" ref="AV26:BA26" si="34">AV27+AV28+AV29</f>
        <v>198743458.75</v>
      </c>
      <c r="AW26" s="254">
        <f t="shared" si="34"/>
        <v>217667338</v>
      </c>
      <c r="AX26" s="254">
        <f t="shared" si="34"/>
        <v>218267309</v>
      </c>
      <c r="AY26" s="254">
        <f t="shared" si="34"/>
        <v>218467309</v>
      </c>
      <c r="AZ26" s="254">
        <f t="shared" si="34"/>
        <v>218667309</v>
      </c>
      <c r="BA26" s="254">
        <f t="shared" si="34"/>
        <v>218867309</v>
      </c>
      <c r="BB26" s="254">
        <f t="shared" ref="BB26:BH26" si="35">BB27+BB28+BB29</f>
        <v>219067309</v>
      </c>
      <c r="BC26" s="254">
        <f t="shared" si="35"/>
        <v>219267309</v>
      </c>
      <c r="BD26" s="254">
        <f t="shared" si="35"/>
        <v>219467309</v>
      </c>
      <c r="BE26" s="254">
        <f t="shared" si="35"/>
        <v>219667309</v>
      </c>
      <c r="BF26" s="254">
        <f t="shared" si="35"/>
        <v>220767309</v>
      </c>
      <c r="BG26" s="254">
        <f t="shared" si="35"/>
        <v>221917309</v>
      </c>
      <c r="BH26" s="254">
        <f t="shared" si="35"/>
        <v>172957020</v>
      </c>
      <c r="BI26" s="254">
        <f t="shared" ref="BI26:BT26" si="36">BI27+BI28+BI29</f>
        <v>172414104</v>
      </c>
      <c r="BJ26" s="254">
        <f t="shared" si="36"/>
        <v>172614104</v>
      </c>
      <c r="BK26" s="254">
        <f t="shared" si="36"/>
        <v>174383138</v>
      </c>
      <c r="BL26" s="254">
        <f t="shared" si="36"/>
        <v>174583138.47999999</v>
      </c>
      <c r="BM26" s="254">
        <f t="shared" si="36"/>
        <v>175783138.47999999</v>
      </c>
      <c r="BN26" s="254">
        <f t="shared" si="36"/>
        <v>175983138.47999999</v>
      </c>
      <c r="BO26" s="254">
        <f t="shared" si="36"/>
        <v>176483138.47999999</v>
      </c>
      <c r="BP26" s="254">
        <f t="shared" si="36"/>
        <v>176983138.47999999</v>
      </c>
      <c r="BQ26" s="254">
        <f t="shared" si="36"/>
        <v>177483138.47999999</v>
      </c>
      <c r="BR26" s="254">
        <f t="shared" si="36"/>
        <v>177983138.47999999</v>
      </c>
      <c r="BS26" s="254">
        <f t="shared" si="36"/>
        <v>178483138.47999999</v>
      </c>
      <c r="BT26" s="254">
        <f t="shared" si="36"/>
        <v>178988138.47999999</v>
      </c>
      <c r="BU26" s="254">
        <f t="shared" ref="BU26:CL26" si="37">BU27+BU28+BU29</f>
        <v>284566699</v>
      </c>
      <c r="BV26" s="254">
        <f t="shared" si="37"/>
        <v>191033296.47999999</v>
      </c>
      <c r="BW26" s="254">
        <f t="shared" si="37"/>
        <v>191338296.47999999</v>
      </c>
      <c r="BX26" s="254">
        <f t="shared" si="37"/>
        <v>191648296.95999998</v>
      </c>
      <c r="BY26" s="254">
        <f t="shared" si="37"/>
        <v>191953296.47999999</v>
      </c>
      <c r="BZ26" s="254">
        <f t="shared" si="37"/>
        <v>192258296.47999999</v>
      </c>
      <c r="CA26" s="254">
        <f t="shared" si="37"/>
        <v>192563296.47999999</v>
      </c>
      <c r="CB26" s="254">
        <f t="shared" si="37"/>
        <v>192868296.47999999</v>
      </c>
      <c r="CC26" s="254">
        <f t="shared" si="37"/>
        <v>193173296.47999999</v>
      </c>
      <c r="CD26" s="254">
        <f t="shared" si="37"/>
        <v>198834416.47999999</v>
      </c>
      <c r="CE26" s="254">
        <f t="shared" si="37"/>
        <v>199139416.47999999</v>
      </c>
      <c r="CF26" s="254">
        <f t="shared" si="37"/>
        <v>199444416.47999999</v>
      </c>
      <c r="CG26" s="254">
        <f t="shared" si="37"/>
        <v>199749416.47999999</v>
      </c>
      <c r="CH26" s="254">
        <f t="shared" si="37"/>
        <v>197057330</v>
      </c>
      <c r="CI26" s="254">
        <f t="shared" si="37"/>
        <v>196309640</v>
      </c>
      <c r="CJ26" s="254">
        <f t="shared" si="37"/>
        <v>197662330.47999999</v>
      </c>
      <c r="CK26" s="254">
        <f t="shared" si="37"/>
        <v>197972330.47999999</v>
      </c>
      <c r="CL26" s="254">
        <f t="shared" si="37"/>
        <v>203483752.47999999</v>
      </c>
      <c r="CM26" s="254">
        <f t="shared" ref="CM26:CT26" si="38">CM27+CM28+CM29</f>
        <v>203793752.47999999</v>
      </c>
      <c r="CN26" s="254">
        <f t="shared" si="38"/>
        <v>204098752.47999999</v>
      </c>
      <c r="CO26" s="254">
        <f t="shared" si="38"/>
        <v>204403752.47999999</v>
      </c>
      <c r="CP26" s="254">
        <f t="shared" si="38"/>
        <v>204708752.47999999</v>
      </c>
      <c r="CQ26" s="254">
        <f t="shared" si="38"/>
        <v>205113752.47999999</v>
      </c>
      <c r="CR26" s="254">
        <f t="shared" si="38"/>
        <v>0</v>
      </c>
      <c r="CS26" s="254">
        <f t="shared" si="38"/>
        <v>0</v>
      </c>
      <c r="CT26" s="254">
        <f t="shared" si="38"/>
        <v>0</v>
      </c>
    </row>
    <row r="27" spans="1:98">
      <c r="A27" s="16">
        <v>6.1</v>
      </c>
      <c r="B27" s="237" t="s">
        <v>127</v>
      </c>
      <c r="C27" s="27">
        <f>SFP!B12</f>
        <v>0</v>
      </c>
      <c r="D27" s="27">
        <f>SFP!C12</f>
        <v>136004000</v>
      </c>
      <c r="E27" s="27">
        <f>SFP!D12</f>
        <v>269992000</v>
      </c>
      <c r="F27" s="27">
        <f>SFP!E12</f>
        <v>267823506</v>
      </c>
      <c r="G27" s="27">
        <f>SFP!F12</f>
        <v>249273506</v>
      </c>
      <c r="H27" s="27">
        <f>SFP!G12</f>
        <v>0</v>
      </c>
      <c r="I27" s="27">
        <f>SFP!H12</f>
        <v>220735788.19999999</v>
      </c>
      <c r="J27" s="27">
        <f>SFP!I12</f>
        <v>193214051</v>
      </c>
      <c r="K27" s="27">
        <f>SFP!J12</f>
        <v>193214051</v>
      </c>
      <c r="L27" s="27">
        <f>SFP!K12</f>
        <v>193214051</v>
      </c>
      <c r="M27" s="27">
        <f>SFP!L12</f>
        <v>194114051</v>
      </c>
      <c r="N27" s="27">
        <f>SFP!M12</f>
        <v>194114051</v>
      </c>
      <c r="O27" s="27">
        <f>SFP!N12</f>
        <v>194114051</v>
      </c>
      <c r="P27" s="27">
        <f>SFP!O12</f>
        <v>194514051</v>
      </c>
      <c r="Q27" s="27">
        <f>SFP!P12</f>
        <v>194514051</v>
      </c>
      <c r="R27" s="27">
        <f>SFP!Q12</f>
        <v>194614051</v>
      </c>
      <c r="S27" s="27">
        <f>SFP!R12</f>
        <v>195114051</v>
      </c>
      <c r="T27" s="27">
        <f>SFP!S12</f>
        <v>195614051</v>
      </c>
      <c r="U27" s="27">
        <f>SFP!T12</f>
        <v>212113083</v>
      </c>
      <c r="V27" s="27">
        <f>SFP!U12</f>
        <v>391228102</v>
      </c>
      <c r="W27" s="27">
        <f>SFP!V12</f>
        <v>236613083</v>
      </c>
      <c r="X27" s="27">
        <f>SFP!W12</f>
        <v>236713083</v>
      </c>
      <c r="Y27" s="27">
        <f>SFP!X12</f>
        <v>238990740</v>
      </c>
      <c r="Z27" s="27">
        <f>SFP!Y12</f>
        <v>239090740</v>
      </c>
      <c r="AA27" s="27">
        <f>SFP!Z12</f>
        <v>239190740</v>
      </c>
      <c r="AB27" s="27">
        <f>SFP!AA12</f>
        <v>239290740</v>
      </c>
      <c r="AC27" s="27">
        <f>SFP!AB12</f>
        <v>239290740</v>
      </c>
      <c r="AD27" s="27">
        <f>SFP!AC12</f>
        <v>215690740</v>
      </c>
      <c r="AE27" s="27">
        <f>SFP!AD12</f>
        <v>215790740</v>
      </c>
      <c r="AF27" s="27">
        <f>SFP!AE12</f>
        <v>215890740</v>
      </c>
      <c r="AG27" s="27">
        <f>SFP!AF12</f>
        <v>215990740</v>
      </c>
      <c r="AH27" s="236">
        <f>SFP!AG12</f>
        <v>189994836</v>
      </c>
      <c r="AI27" s="236">
        <f>SFP!AH12</f>
        <v>216688611</v>
      </c>
      <c r="AJ27" s="236">
        <f>SFP!AI12</f>
        <v>195942707</v>
      </c>
      <c r="AK27" s="236">
        <f>SFP!AJ12</f>
        <v>196142707</v>
      </c>
      <c r="AL27" s="236">
        <f>SFP!AK12</f>
        <v>196842707</v>
      </c>
      <c r="AM27" s="236">
        <f>SFP!AL12</f>
        <v>197042707</v>
      </c>
      <c r="AN27" s="236">
        <f>SFP!AM12</f>
        <v>197242707</v>
      </c>
      <c r="AO27" s="236">
        <f>SFP!AN12</f>
        <v>197442707</v>
      </c>
      <c r="AP27" s="236">
        <f>SFP!AO12</f>
        <v>197642707</v>
      </c>
      <c r="AQ27" s="236">
        <f>SFP!AP12</f>
        <v>197842707</v>
      </c>
      <c r="AR27" s="236">
        <f>SFP!AQ12</f>
        <v>198143458.75</v>
      </c>
      <c r="AS27" s="236">
        <f>SFP!AR12</f>
        <v>198343458.75</v>
      </c>
      <c r="AT27" s="236">
        <f>SFP!AS12</f>
        <v>198543458.75</v>
      </c>
      <c r="AU27" s="236">
        <f>SFP!AT12</f>
        <v>201602738</v>
      </c>
      <c r="AV27" s="236">
        <f>SFP!AU12</f>
        <v>198743458.75</v>
      </c>
      <c r="AW27" s="236">
        <f>SFP!AV12</f>
        <v>217667338</v>
      </c>
      <c r="AX27" s="236">
        <f>SFP!AW12</f>
        <v>218267309</v>
      </c>
      <c r="AY27" s="236">
        <f>SFP!AX12</f>
        <v>218467309</v>
      </c>
      <c r="AZ27" s="236">
        <f>SFP!AY12</f>
        <v>218667309</v>
      </c>
      <c r="BA27" s="236">
        <f>SFP!AZ12</f>
        <v>218867309</v>
      </c>
      <c r="BB27" s="236">
        <f>SFP!BA12</f>
        <v>219067309</v>
      </c>
      <c r="BC27" s="236">
        <f>SFP!BB12</f>
        <v>219267309</v>
      </c>
      <c r="BD27" s="236">
        <f>SFP!BC12</f>
        <v>219467309</v>
      </c>
      <c r="BE27" s="236">
        <f>SFP!BD12</f>
        <v>219667309</v>
      </c>
      <c r="BF27" s="236">
        <f>SFP!BE12</f>
        <v>220767309</v>
      </c>
      <c r="BG27" s="236">
        <f>SFP!BF12</f>
        <v>221917309</v>
      </c>
      <c r="BH27" s="236">
        <f>SFP!BG12</f>
        <v>10857836</v>
      </c>
      <c r="BI27" s="236">
        <f>SFP!BH12</f>
        <v>172414104</v>
      </c>
      <c r="BJ27" s="236">
        <f>SFP!BI12</f>
        <v>172614104</v>
      </c>
      <c r="BK27" s="236">
        <f>SFP!BJ12</f>
        <v>174383138</v>
      </c>
      <c r="BL27" s="236">
        <f>SFP!BK12</f>
        <v>174583138.47999999</v>
      </c>
      <c r="BM27" s="236">
        <f>SFP!BL12</f>
        <v>175783138.47999999</v>
      </c>
      <c r="BN27" s="236">
        <f>SFP!BM12</f>
        <v>175983138.47999999</v>
      </c>
      <c r="BO27" s="236">
        <f>SFP!BN12</f>
        <v>176483138.47999999</v>
      </c>
      <c r="BP27" s="236">
        <f>SFP!BO12</f>
        <v>176983138.47999999</v>
      </c>
      <c r="BQ27" s="236">
        <f>SFP!BP12</f>
        <v>177483138.47999999</v>
      </c>
      <c r="BR27" s="236">
        <f>SFP!BQ12</f>
        <v>177983138.47999999</v>
      </c>
      <c r="BS27" s="236">
        <f>SFP!BR12</f>
        <v>178483138.47999999</v>
      </c>
      <c r="BT27" s="236">
        <f>SFP!BS12</f>
        <v>178988138.47999999</v>
      </c>
      <c r="BU27" s="236">
        <f>SFP!BT12</f>
        <v>14083954</v>
      </c>
      <c r="BV27" s="236">
        <f>SFP!BU12</f>
        <v>173149342</v>
      </c>
      <c r="BW27" s="236">
        <f>SFP!BV12</f>
        <v>173454342</v>
      </c>
      <c r="BX27" s="236">
        <f>SFP!BW12</f>
        <v>173764342.47999999</v>
      </c>
      <c r="BY27" s="236">
        <f>SFP!BX12</f>
        <v>174069342</v>
      </c>
      <c r="BZ27" s="236">
        <f>SFP!BY12</f>
        <v>174374342</v>
      </c>
      <c r="CA27" s="236">
        <f>SFP!BZ12</f>
        <v>174679342</v>
      </c>
      <c r="CB27" s="236">
        <f>SFP!CA12</f>
        <v>174984342</v>
      </c>
      <c r="CC27" s="236">
        <f>SFP!CB12</f>
        <v>175289342</v>
      </c>
      <c r="CD27" s="236">
        <f>SFP!CC12</f>
        <v>180950462</v>
      </c>
      <c r="CE27" s="236">
        <f>SFP!CD12</f>
        <v>181255462</v>
      </c>
      <c r="CF27" s="236">
        <f>SFP!CE12</f>
        <v>181560462</v>
      </c>
      <c r="CG27" s="236">
        <f>SFP!CF12</f>
        <v>181865462</v>
      </c>
      <c r="CH27" s="236">
        <f>SFP!CG12</f>
        <v>18936644</v>
      </c>
      <c r="CI27" s="236">
        <f>SFP!CH12</f>
        <v>17883954</v>
      </c>
      <c r="CJ27" s="236">
        <f>SFP!CI12</f>
        <v>18936644.48</v>
      </c>
      <c r="CK27" s="236">
        <f>SFP!CJ12</f>
        <v>18936644.48</v>
      </c>
      <c r="CL27" s="236">
        <f>SFP!CK12</f>
        <v>24148066.48</v>
      </c>
      <c r="CM27" s="236">
        <f>SFP!CL12</f>
        <v>24148066.48</v>
      </c>
      <c r="CN27" s="236">
        <f>SFP!CM12</f>
        <v>24148066.48</v>
      </c>
      <c r="CO27" s="236">
        <f>SFP!CN12</f>
        <v>24148066.48</v>
      </c>
      <c r="CP27" s="236">
        <f>SFP!CO12</f>
        <v>24148066.48</v>
      </c>
      <c r="CQ27" s="236">
        <f>SFP!CP12</f>
        <v>24148066.48</v>
      </c>
      <c r="CR27" s="236">
        <f>SFP!CQ12</f>
        <v>0</v>
      </c>
      <c r="CS27" s="236">
        <f>SFP!CR12</f>
        <v>0</v>
      </c>
      <c r="CT27" s="236">
        <f>SFP!CS12</f>
        <v>0</v>
      </c>
    </row>
    <row r="28" spans="1:98">
      <c r="A28" s="16">
        <v>6.2</v>
      </c>
      <c r="B28" s="237" t="s">
        <v>128</v>
      </c>
      <c r="C28" s="27">
        <f>SFP!B10</f>
        <v>140316000</v>
      </c>
      <c r="D28" s="27">
        <f>SFP!C10</f>
        <v>0</v>
      </c>
      <c r="E28" s="27">
        <f>SFP!D10</f>
        <v>0</v>
      </c>
      <c r="F28" s="27">
        <f>SFP!E10</f>
        <v>0</v>
      </c>
      <c r="G28" s="27">
        <f>SFP!F10</f>
        <v>0</v>
      </c>
      <c r="H28" s="27">
        <f>SFP!G10</f>
        <v>0</v>
      </c>
      <c r="I28" s="27">
        <f>SFP!H10</f>
        <v>0</v>
      </c>
      <c r="J28" s="27">
        <f>SFP!I10</f>
        <v>0</v>
      </c>
      <c r="K28" s="27">
        <f>SFP!J10</f>
        <v>0</v>
      </c>
      <c r="L28" s="27">
        <f>SFP!K10</f>
        <v>0</v>
      </c>
      <c r="M28" s="27">
        <f>SFP!L10</f>
        <v>0</v>
      </c>
      <c r="N28" s="27">
        <f>SFP!M10</f>
        <v>0</v>
      </c>
      <c r="O28" s="27">
        <f>SFP!N10</f>
        <v>0</v>
      </c>
      <c r="P28" s="27">
        <f>SFP!O10</f>
        <v>0</v>
      </c>
      <c r="Q28" s="27">
        <f>SFP!P10</f>
        <v>0</v>
      </c>
      <c r="R28" s="27">
        <f>SFP!Q10</f>
        <v>0</v>
      </c>
      <c r="S28" s="27">
        <f>SFP!R10</f>
        <v>0</v>
      </c>
      <c r="T28" s="27">
        <f>SFP!S10</f>
        <v>0</v>
      </c>
      <c r="U28" s="27">
        <f>SFP!T10</f>
        <v>0</v>
      </c>
      <c r="V28" s="27">
        <f>SFP!U10</f>
        <v>0</v>
      </c>
      <c r="W28" s="27">
        <f>SFP!V10</f>
        <v>0</v>
      </c>
      <c r="X28" s="27">
        <f>SFP!W10</f>
        <v>0</v>
      </c>
      <c r="Y28" s="27">
        <f>SFP!X10</f>
        <v>0</v>
      </c>
      <c r="Z28" s="27">
        <f>SFP!Y10</f>
        <v>0</v>
      </c>
      <c r="AA28" s="27">
        <f>SFP!Z10</f>
        <v>0</v>
      </c>
      <c r="AB28" s="27">
        <f>SFP!AA10</f>
        <v>0</v>
      </c>
      <c r="AC28" s="27">
        <f>SFP!AB10</f>
        <v>0</v>
      </c>
      <c r="AD28" s="27">
        <f>SFP!AC10</f>
        <v>0</v>
      </c>
      <c r="AE28" s="27">
        <f>SFP!AD10</f>
        <v>0</v>
      </c>
      <c r="AF28" s="27">
        <f>SFP!AE10</f>
        <v>0</v>
      </c>
      <c r="AG28" s="27">
        <f>SFP!AF10</f>
        <v>0</v>
      </c>
      <c r="AH28" s="236">
        <f>SFP!AG10</f>
        <v>0</v>
      </c>
      <c r="AI28" s="236">
        <f>SFP!AH10</f>
        <v>0</v>
      </c>
      <c r="AJ28" s="236">
        <f>SFP!AI10</f>
        <v>0</v>
      </c>
      <c r="AK28" s="236">
        <f>SFP!AJ10</f>
        <v>0</v>
      </c>
      <c r="AL28" s="236">
        <f>SFP!AK10</f>
        <v>0</v>
      </c>
      <c r="AM28" s="236">
        <f>SFP!AL10</f>
        <v>0</v>
      </c>
      <c r="AN28" s="236">
        <f>SFP!AM10</f>
        <v>0</v>
      </c>
      <c r="AO28" s="236">
        <f>SFP!AN10</f>
        <v>0</v>
      </c>
      <c r="AP28" s="236">
        <f>SFP!AO10</f>
        <v>0</v>
      </c>
      <c r="AQ28" s="236">
        <f>SFP!AP10</f>
        <v>0</v>
      </c>
      <c r="AR28" s="236">
        <f>SFP!AQ10</f>
        <v>0</v>
      </c>
      <c r="AS28" s="236">
        <f>SFP!AR10</f>
        <v>0</v>
      </c>
      <c r="AT28" s="236">
        <f>SFP!AS10</f>
        <v>0</v>
      </c>
      <c r="AU28" s="236">
        <f>SFP!AT10</f>
        <v>0</v>
      </c>
      <c r="AV28" s="236">
        <f>SFP!AU10</f>
        <v>0</v>
      </c>
      <c r="AW28" s="236">
        <f>SFP!AV10</f>
        <v>0</v>
      </c>
      <c r="AX28" s="236">
        <f>SFP!AW10</f>
        <v>0</v>
      </c>
      <c r="AY28" s="236">
        <f>SFP!AX10</f>
        <v>0</v>
      </c>
      <c r="AZ28" s="236">
        <f>SFP!AY10</f>
        <v>0</v>
      </c>
      <c r="BA28" s="236">
        <f>SFP!AZ10</f>
        <v>0</v>
      </c>
      <c r="BB28" s="236">
        <f>SFP!BA10</f>
        <v>0</v>
      </c>
      <c r="BC28" s="236">
        <f>SFP!BB10</f>
        <v>0</v>
      </c>
      <c r="BD28" s="236">
        <f>SFP!BC10</f>
        <v>0</v>
      </c>
      <c r="BE28" s="236">
        <f>SFP!BD10</f>
        <v>0</v>
      </c>
      <c r="BF28" s="236">
        <f>SFP!BE10</f>
        <v>0</v>
      </c>
      <c r="BG28" s="236">
        <f>SFP!BF10</f>
        <v>0</v>
      </c>
      <c r="BH28" s="236">
        <f>SFP!BG10</f>
        <v>0</v>
      </c>
      <c r="BI28" s="236">
        <f>SFP!BH10</f>
        <v>0</v>
      </c>
      <c r="BJ28" s="236">
        <f>SFP!BI10</f>
        <v>0</v>
      </c>
      <c r="BK28" s="236">
        <f>SFP!BJ10</f>
        <v>0</v>
      </c>
      <c r="BL28" s="236">
        <f>SFP!BK10</f>
        <v>0</v>
      </c>
      <c r="BM28" s="236">
        <f>SFP!BL10</f>
        <v>0</v>
      </c>
      <c r="BN28" s="236">
        <f>SFP!BM10</f>
        <v>0</v>
      </c>
      <c r="BO28" s="236">
        <f>SFP!BN10</f>
        <v>0</v>
      </c>
      <c r="BP28" s="236">
        <f>SFP!BO10</f>
        <v>0</v>
      </c>
      <c r="BQ28" s="236">
        <f>SFP!BP10</f>
        <v>0</v>
      </c>
      <c r="BR28" s="236">
        <f>SFP!BQ10</f>
        <v>0</v>
      </c>
      <c r="BS28" s="236">
        <f>SFP!BR10</f>
        <v>0</v>
      </c>
      <c r="BT28" s="236">
        <f>SFP!BS10</f>
        <v>0</v>
      </c>
      <c r="BU28" s="236">
        <f>SFP!BT10</f>
        <v>0</v>
      </c>
      <c r="BV28" s="236">
        <f>SFP!BU10</f>
        <v>0</v>
      </c>
      <c r="BW28" s="236">
        <f>SFP!BV10</f>
        <v>0</v>
      </c>
      <c r="BX28" s="236">
        <f>SFP!BW10</f>
        <v>0</v>
      </c>
      <c r="BY28" s="236">
        <f>SFP!BX10</f>
        <v>0</v>
      </c>
      <c r="BZ28" s="236">
        <f>SFP!BY10</f>
        <v>0</v>
      </c>
      <c r="CA28" s="236">
        <f>SFP!BZ10</f>
        <v>0</v>
      </c>
      <c r="CB28" s="236">
        <f>SFP!CA10</f>
        <v>0</v>
      </c>
      <c r="CC28" s="236">
        <f>SFP!CB10</f>
        <v>0</v>
      </c>
      <c r="CD28" s="236">
        <f>SFP!CC10</f>
        <v>0</v>
      </c>
      <c r="CE28" s="236">
        <f>SFP!CD10</f>
        <v>0</v>
      </c>
      <c r="CF28" s="236">
        <f>SFP!CE10</f>
        <v>0</v>
      </c>
      <c r="CG28" s="236">
        <f>SFP!CF10</f>
        <v>0</v>
      </c>
      <c r="CH28" s="236">
        <f>SFP!CG10</f>
        <v>0</v>
      </c>
      <c r="CI28" s="236">
        <f>SFP!CH10</f>
        <v>0</v>
      </c>
      <c r="CJ28" s="236">
        <f>SFP!CI10</f>
        <v>0</v>
      </c>
      <c r="CK28" s="236">
        <f>SFP!CJ10</f>
        <v>0</v>
      </c>
      <c r="CL28" s="236">
        <f>SFP!CK10</f>
        <v>0</v>
      </c>
      <c r="CM28" s="236">
        <f>SFP!CL10</f>
        <v>0</v>
      </c>
      <c r="CN28" s="236">
        <f>SFP!CM10</f>
        <v>0</v>
      </c>
      <c r="CO28" s="236">
        <f>SFP!CN10</f>
        <v>0</v>
      </c>
      <c r="CP28" s="236">
        <f>SFP!CO10</f>
        <v>0</v>
      </c>
      <c r="CQ28" s="236">
        <f>SFP!CP10</f>
        <v>0</v>
      </c>
      <c r="CR28" s="236">
        <f>SFP!CQ10</f>
        <v>0</v>
      </c>
      <c r="CS28" s="236">
        <f>SFP!CR10</f>
        <v>0</v>
      </c>
      <c r="CT28" s="236">
        <f>SFP!CS10</f>
        <v>0</v>
      </c>
    </row>
    <row r="29" spans="1:98" ht="13.9" thickBot="1">
      <c r="A29" s="17">
        <v>6.3</v>
      </c>
      <c r="B29" s="250" t="s">
        <v>129</v>
      </c>
      <c r="C29" s="28">
        <f>SFP!B11</f>
        <v>0</v>
      </c>
      <c r="D29" s="28">
        <f>SFP!C11</f>
        <v>0</v>
      </c>
      <c r="E29" s="28">
        <f>SFP!D11</f>
        <v>0</v>
      </c>
      <c r="F29" s="28">
        <f>SFP!E11</f>
        <v>0</v>
      </c>
      <c r="G29" s="28">
        <f>SFP!F11</f>
        <v>0</v>
      </c>
      <c r="H29" s="28">
        <f>SFP!G11</f>
        <v>0</v>
      </c>
      <c r="I29" s="28">
        <f>SFP!H11</f>
        <v>0</v>
      </c>
      <c r="J29" s="28">
        <f>SFP!I11</f>
        <v>0</v>
      </c>
      <c r="K29" s="28">
        <f>SFP!J11</f>
        <v>0</v>
      </c>
      <c r="L29" s="28">
        <f>SFP!K11</f>
        <v>0</v>
      </c>
      <c r="M29" s="28">
        <f>SFP!L11</f>
        <v>0</v>
      </c>
      <c r="N29" s="28">
        <f>SFP!M11</f>
        <v>0</v>
      </c>
      <c r="O29" s="28">
        <f>SFP!N11</f>
        <v>0</v>
      </c>
      <c r="P29" s="28">
        <f>SFP!O11</f>
        <v>0</v>
      </c>
      <c r="Q29" s="28">
        <f>SFP!P11</f>
        <v>0</v>
      </c>
      <c r="R29" s="28">
        <f>SFP!Q11</f>
        <v>0</v>
      </c>
      <c r="S29" s="28">
        <f>SFP!R11</f>
        <v>0</v>
      </c>
      <c r="T29" s="28">
        <f>SFP!S11</f>
        <v>0</v>
      </c>
      <c r="U29" s="28">
        <f>SFP!T11</f>
        <v>0</v>
      </c>
      <c r="V29" s="28">
        <f>SFP!U11</f>
        <v>0</v>
      </c>
      <c r="W29" s="28">
        <f>SFP!V11</f>
        <v>0</v>
      </c>
      <c r="X29" s="28">
        <f>SFP!W11</f>
        <v>0</v>
      </c>
      <c r="Y29" s="28">
        <f>SFP!X11</f>
        <v>0</v>
      </c>
      <c r="Z29" s="28">
        <f>SFP!Y11</f>
        <v>0</v>
      </c>
      <c r="AA29" s="28">
        <f>SFP!Z11</f>
        <v>0</v>
      </c>
      <c r="AB29" s="28">
        <f>SFP!AA11</f>
        <v>0</v>
      </c>
      <c r="AC29" s="28">
        <f>SFP!AB11</f>
        <v>0</v>
      </c>
      <c r="AD29" s="28">
        <f>SFP!AC11</f>
        <v>0</v>
      </c>
      <c r="AE29" s="28">
        <f>SFP!AD11</f>
        <v>0</v>
      </c>
      <c r="AF29" s="28">
        <f>SFP!AE11</f>
        <v>0</v>
      </c>
      <c r="AG29" s="28">
        <f>SFP!AF11</f>
        <v>0</v>
      </c>
      <c r="AH29" s="255">
        <f>SFP!AG11</f>
        <v>5050000</v>
      </c>
      <c r="AI29" s="255">
        <f>SFP!AH11</f>
        <v>0</v>
      </c>
      <c r="AJ29" s="255">
        <f>SFP!AI11</f>
        <v>0</v>
      </c>
      <c r="AK29" s="255">
        <f>SFP!AJ11</f>
        <v>0</v>
      </c>
      <c r="AL29" s="255">
        <f>SFP!AK11</f>
        <v>0</v>
      </c>
      <c r="AM29" s="255">
        <f>SFP!AL11</f>
        <v>0</v>
      </c>
      <c r="AN29" s="255">
        <f>SFP!AM11</f>
        <v>0</v>
      </c>
      <c r="AO29" s="255">
        <f>SFP!AN11</f>
        <v>0</v>
      </c>
      <c r="AP29" s="255">
        <f>SFP!AO11</f>
        <v>0</v>
      </c>
      <c r="AQ29" s="255">
        <f>SFP!AP11</f>
        <v>0</v>
      </c>
      <c r="AR29" s="255">
        <f>SFP!AQ11</f>
        <v>0</v>
      </c>
      <c r="AS29" s="255">
        <f>SFP!AR11</f>
        <v>0</v>
      </c>
      <c r="AT29" s="255">
        <f>SFP!AS11</f>
        <v>0</v>
      </c>
      <c r="AU29" s="255">
        <f>SFP!AT11</f>
        <v>15748623</v>
      </c>
      <c r="AV29" s="255">
        <f>SFP!AU11</f>
        <v>0</v>
      </c>
      <c r="AW29" s="255">
        <f>SFP!AV11</f>
        <v>0</v>
      </c>
      <c r="AX29" s="255">
        <f>SFP!AW11</f>
        <v>0</v>
      </c>
      <c r="AY29" s="255">
        <f>SFP!AX11</f>
        <v>0</v>
      </c>
      <c r="AZ29" s="255">
        <f>SFP!AY11</f>
        <v>0</v>
      </c>
      <c r="BA29" s="255">
        <f>SFP!AZ11</f>
        <v>0</v>
      </c>
      <c r="BB29" s="255">
        <f>SFP!BA11</f>
        <v>0</v>
      </c>
      <c r="BC29" s="255">
        <f>SFP!BB11</f>
        <v>0</v>
      </c>
      <c r="BD29" s="255">
        <f>SFP!BC11</f>
        <v>0</v>
      </c>
      <c r="BE29" s="255">
        <f>SFP!BD11</f>
        <v>0</v>
      </c>
      <c r="BF29" s="255">
        <f>SFP!BE11</f>
        <v>0</v>
      </c>
      <c r="BG29" s="255">
        <f>SFP!BF11</f>
        <v>0</v>
      </c>
      <c r="BH29" s="255">
        <f>SFP!BG11</f>
        <v>162099184</v>
      </c>
      <c r="BI29" s="255">
        <f>SFP!BH11</f>
        <v>0</v>
      </c>
      <c r="BJ29" s="255">
        <f>SFP!BI11</f>
        <v>0</v>
      </c>
      <c r="BK29" s="255">
        <f>SFP!BJ11</f>
        <v>0</v>
      </c>
      <c r="BL29" s="255">
        <f>SFP!BK11</f>
        <v>0</v>
      </c>
      <c r="BM29" s="255">
        <f>SFP!BL11</f>
        <v>0</v>
      </c>
      <c r="BN29" s="255">
        <f>SFP!BM11</f>
        <v>0</v>
      </c>
      <c r="BO29" s="255">
        <f>SFP!BN11</f>
        <v>0</v>
      </c>
      <c r="BP29" s="255">
        <f>SFP!BO11</f>
        <v>0</v>
      </c>
      <c r="BQ29" s="255">
        <f>SFP!BP11</f>
        <v>0</v>
      </c>
      <c r="BR29" s="255">
        <f>SFP!BQ11</f>
        <v>0</v>
      </c>
      <c r="BS29" s="255">
        <f>SFP!BR11</f>
        <v>0</v>
      </c>
      <c r="BT29" s="255">
        <f>SFP!BS11</f>
        <v>0</v>
      </c>
      <c r="BU29" s="255">
        <f>SFP!BT11</f>
        <v>270482745</v>
      </c>
      <c r="BV29" s="255">
        <f>SFP!BU11</f>
        <v>17883954.48</v>
      </c>
      <c r="BW29" s="255">
        <f>SFP!BV11</f>
        <v>17883954.48</v>
      </c>
      <c r="BX29" s="255">
        <f>SFP!BW11</f>
        <v>17883954.48</v>
      </c>
      <c r="BY29" s="255">
        <f>SFP!BX11</f>
        <v>17883954.48</v>
      </c>
      <c r="BZ29" s="255">
        <f>SFP!BY11</f>
        <v>17883954.48</v>
      </c>
      <c r="CA29" s="255">
        <f>SFP!BZ11</f>
        <v>17883954.48</v>
      </c>
      <c r="CB29" s="255">
        <f>SFP!CA11</f>
        <v>17883954.48</v>
      </c>
      <c r="CC29" s="255">
        <f>SFP!CB11</f>
        <v>17883954.48</v>
      </c>
      <c r="CD29" s="255">
        <f>SFP!CC11</f>
        <v>17883954.48</v>
      </c>
      <c r="CE29" s="255">
        <f>SFP!CD11</f>
        <v>17883954.48</v>
      </c>
      <c r="CF29" s="255">
        <f>SFP!CE11</f>
        <v>17883954.48</v>
      </c>
      <c r="CG29" s="255">
        <f>SFP!CF11</f>
        <v>17883954.48</v>
      </c>
      <c r="CH29" s="255">
        <f>SFP!CG11</f>
        <v>178120686</v>
      </c>
      <c r="CI29" s="255">
        <f>SFP!CH11</f>
        <v>178425686</v>
      </c>
      <c r="CJ29" s="255">
        <f>SFP!CI11</f>
        <v>178725686</v>
      </c>
      <c r="CK29" s="255">
        <f>SFP!CJ11</f>
        <v>179035686</v>
      </c>
      <c r="CL29" s="255">
        <f>SFP!CK11</f>
        <v>179335686</v>
      </c>
      <c r="CM29" s="255">
        <f>SFP!CL11</f>
        <v>179645686</v>
      </c>
      <c r="CN29" s="255">
        <f>SFP!CM11</f>
        <v>179950686</v>
      </c>
      <c r="CO29" s="255">
        <f>SFP!CN11</f>
        <v>180255686</v>
      </c>
      <c r="CP29" s="255">
        <f>SFP!CO11</f>
        <v>180560686</v>
      </c>
      <c r="CQ29" s="255">
        <f>SFP!CP11</f>
        <v>180965686</v>
      </c>
      <c r="CR29" s="255">
        <f>SFP!CQ11</f>
        <v>0</v>
      </c>
      <c r="CS29" s="255">
        <f>SFP!CR11</f>
        <v>0</v>
      </c>
      <c r="CT29" s="255">
        <f>SFP!CS11</f>
        <v>0</v>
      </c>
    </row>
    <row r="30" spans="1:98" ht="13.9" thickBot="1">
      <c r="A30" s="9"/>
      <c r="B30" s="256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40"/>
      <c r="AI30" s="240"/>
      <c r="AJ30" s="240"/>
      <c r="AK30" s="240"/>
      <c r="AL30" s="240"/>
      <c r="AM30" s="240"/>
      <c r="AN30" s="240"/>
      <c r="AO30" s="240"/>
      <c r="AP30" s="240"/>
      <c r="AQ30" s="240"/>
      <c r="AR30" s="240"/>
      <c r="AS30" s="240"/>
      <c r="AT30" s="240"/>
      <c r="AU30" s="240"/>
      <c r="AV30" s="240"/>
      <c r="AW30" s="240"/>
      <c r="AX30" s="240"/>
      <c r="AY30" s="240"/>
      <c r="AZ30" s="240"/>
      <c r="BA30" s="240"/>
      <c r="BB30" s="240"/>
      <c r="BC30" s="240"/>
      <c r="BD30" s="240"/>
      <c r="BE30" s="240"/>
      <c r="BF30" s="240"/>
      <c r="BG30" s="240"/>
      <c r="BH30" s="240"/>
      <c r="BI30" s="240"/>
      <c r="BJ30" s="240"/>
      <c r="BK30" s="240"/>
      <c r="BL30" s="240"/>
      <c r="BM30" s="240"/>
      <c r="BN30" s="240"/>
      <c r="BO30" s="240"/>
      <c r="BP30" s="240"/>
      <c r="BQ30" s="240"/>
      <c r="BR30" s="240"/>
      <c r="BS30" s="240"/>
      <c r="BT30" s="240"/>
      <c r="BU30" s="240"/>
      <c r="BV30" s="240"/>
      <c r="BW30" s="240"/>
      <c r="BX30" s="240"/>
      <c r="BY30" s="240"/>
      <c r="BZ30" s="240"/>
      <c r="CA30" s="240"/>
      <c r="CB30" s="240"/>
      <c r="CC30" s="240"/>
      <c r="CD30" s="240"/>
      <c r="CE30" s="240"/>
      <c r="CF30" s="240"/>
      <c r="CG30" s="240"/>
      <c r="CH30" s="240"/>
      <c r="CI30" s="240"/>
      <c r="CJ30" s="240"/>
      <c r="CK30" s="240"/>
      <c r="CL30" s="240"/>
      <c r="CM30" s="240"/>
      <c r="CN30" s="240"/>
      <c r="CO30" s="240"/>
      <c r="CP30" s="240"/>
      <c r="CQ30" s="240"/>
      <c r="CR30" s="240"/>
      <c r="CS30" s="240"/>
      <c r="CT30" s="240"/>
    </row>
    <row r="31" spans="1:98">
      <c r="A31" s="14">
        <v>7</v>
      </c>
      <c r="B31" s="257" t="s">
        <v>130</v>
      </c>
      <c r="C31" s="26">
        <f t="shared" ref="C31:J31" si="39">C32-C33</f>
        <v>1447463000</v>
      </c>
      <c r="D31" s="26">
        <f t="shared" si="39"/>
        <v>1669487000</v>
      </c>
      <c r="E31" s="26">
        <f t="shared" si="39"/>
        <v>1976393000</v>
      </c>
      <c r="F31" s="26">
        <f t="shared" si="39"/>
        <v>2511315580</v>
      </c>
      <c r="G31" s="26">
        <f t="shared" si="39"/>
        <v>3150143542</v>
      </c>
      <c r="H31" s="26">
        <f t="shared" si="39"/>
        <v>4068599457</v>
      </c>
      <c r="I31" s="26">
        <f t="shared" si="39"/>
        <v>4045355415.5999999</v>
      </c>
      <c r="J31" s="26">
        <f t="shared" si="39"/>
        <v>4060404046.25</v>
      </c>
      <c r="K31" s="26">
        <f t="shared" ref="K31:P31" si="40">K32-K33</f>
        <v>4059459082.1399999</v>
      </c>
      <c r="L31" s="26">
        <f t="shared" si="40"/>
        <v>4124169091</v>
      </c>
      <c r="M31" s="26">
        <f t="shared" si="40"/>
        <v>4171484658.0999999</v>
      </c>
      <c r="N31" s="26">
        <f t="shared" si="40"/>
        <v>4283848822.8500004</v>
      </c>
      <c r="O31" s="26">
        <f t="shared" si="40"/>
        <v>4393427422.7299995</v>
      </c>
      <c r="P31" s="26">
        <f t="shared" si="40"/>
        <v>4697765951.04</v>
      </c>
      <c r="Q31" s="26">
        <f t="shared" ref="Q31:X31" si="41">Q32-Q33</f>
        <v>4772668599.8199997</v>
      </c>
      <c r="R31" s="26">
        <f t="shared" si="41"/>
        <v>4889238263.6400003</v>
      </c>
      <c r="S31" s="26">
        <f t="shared" si="41"/>
        <v>5073990552.5299997</v>
      </c>
      <c r="T31" s="26">
        <f t="shared" si="41"/>
        <v>5189103210.1099997</v>
      </c>
      <c r="U31" s="26">
        <f t="shared" si="41"/>
        <v>5189103210</v>
      </c>
      <c r="V31" s="26">
        <f t="shared" si="41"/>
        <v>10425962227.540001</v>
      </c>
      <c r="W31" s="26">
        <f t="shared" si="41"/>
        <v>5181271630.7399998</v>
      </c>
      <c r="X31" s="26">
        <f t="shared" si="41"/>
        <v>5170869912.7799997</v>
      </c>
      <c r="Y31" s="26">
        <f t="shared" ref="Y31:AD31" si="42">Y32-Y33</f>
        <v>5270804634.6700001</v>
      </c>
      <c r="Z31" s="26">
        <f t="shared" si="42"/>
        <v>5272383369.8000002</v>
      </c>
      <c r="AA31" s="26">
        <f t="shared" si="42"/>
        <v>5308675981.0500002</v>
      </c>
      <c r="AB31" s="26">
        <f t="shared" si="42"/>
        <v>5353073666.9899998</v>
      </c>
      <c r="AC31" s="26">
        <f t="shared" si="42"/>
        <v>5573318513.3699999</v>
      </c>
      <c r="AD31" s="26">
        <f t="shared" si="42"/>
        <v>5550585990.25</v>
      </c>
      <c r="AE31" s="26">
        <f>AE32-AE33</f>
        <v>5548137658.4700003</v>
      </c>
      <c r="AF31" s="26">
        <f>AF32-AF33</f>
        <v>5629804890.8999996</v>
      </c>
      <c r="AG31" s="26">
        <f>AG32-AG33</f>
        <v>5687082015.0900002</v>
      </c>
      <c r="AH31" s="254">
        <f>AH32-AH33</f>
        <v>5687082015.0900002</v>
      </c>
      <c r="AI31" s="254">
        <f t="shared" ref="AI31:AU31" si="43">AI32-AI33</f>
        <v>5666783518.3299999</v>
      </c>
      <c r="AJ31" s="254">
        <f t="shared" si="43"/>
        <v>5559480824.9300003</v>
      </c>
      <c r="AK31" s="254">
        <f t="shared" si="43"/>
        <v>5540853527.3400002</v>
      </c>
      <c r="AL31" s="254">
        <f t="shared" si="43"/>
        <v>5582351910.9899998</v>
      </c>
      <c r="AM31" s="254">
        <f t="shared" si="43"/>
        <v>5558044868.5900002</v>
      </c>
      <c r="AN31" s="254">
        <f t="shared" si="43"/>
        <v>5565386337.9099998</v>
      </c>
      <c r="AO31" s="254">
        <f t="shared" si="43"/>
        <v>5553254783.6599998</v>
      </c>
      <c r="AP31" s="254">
        <f t="shared" si="43"/>
        <v>5707779935.8199997</v>
      </c>
      <c r="AQ31" s="254">
        <f t="shared" si="43"/>
        <v>5725379039</v>
      </c>
      <c r="AR31" s="254">
        <f t="shared" si="43"/>
        <v>5693901159.9899998</v>
      </c>
      <c r="AS31" s="254">
        <f>AS32-AS33</f>
        <v>5840389294.8199997</v>
      </c>
      <c r="AT31" s="254">
        <f t="shared" si="43"/>
        <v>6038432075.5799999</v>
      </c>
      <c r="AU31" s="254">
        <f t="shared" si="43"/>
        <v>5971399711</v>
      </c>
      <c r="AV31" s="254">
        <f t="shared" ref="AV31:BA31" si="44">AV32-AV33</f>
        <v>6006166531.0900002</v>
      </c>
      <c r="AW31" s="254">
        <f t="shared" si="44"/>
        <v>5856441034.5699997</v>
      </c>
      <c r="AX31" s="254">
        <f t="shared" si="44"/>
        <v>5803933359.2200003</v>
      </c>
      <c r="AY31" s="254">
        <f t="shared" si="44"/>
        <v>5711711866.7399998</v>
      </c>
      <c r="AZ31" s="254">
        <f t="shared" si="44"/>
        <v>5637933047.8999996</v>
      </c>
      <c r="BA31" s="254">
        <f t="shared" si="44"/>
        <v>5672370227.4200001</v>
      </c>
      <c r="BB31" s="254">
        <f t="shared" ref="BB31:BH31" si="45">BB32-BB33</f>
        <v>5713696846.2200003</v>
      </c>
      <c r="BC31" s="254">
        <f t="shared" si="45"/>
        <v>5956558402.8699999</v>
      </c>
      <c r="BD31" s="254">
        <f t="shared" si="45"/>
        <v>6062889217.4399996</v>
      </c>
      <c r="BE31" s="254">
        <f t="shared" si="45"/>
        <v>6136261589.1800003</v>
      </c>
      <c r="BF31" s="254">
        <f t="shared" si="45"/>
        <v>6173124684.1300001</v>
      </c>
      <c r="BG31" s="254">
        <f t="shared" si="45"/>
        <v>6255768776.3900003</v>
      </c>
      <c r="BH31" s="254">
        <f t="shared" si="45"/>
        <v>6240738492</v>
      </c>
      <c r="BI31" s="254">
        <f t="shared" ref="BI31:BT31" si="46">BI32-BI33</f>
        <v>6152210060.8400002</v>
      </c>
      <c r="BJ31" s="254">
        <f t="shared" si="46"/>
        <v>6084851099.4700003</v>
      </c>
      <c r="BK31" s="254">
        <f t="shared" si="46"/>
        <v>6105553112.6300001</v>
      </c>
      <c r="BL31" s="254">
        <f t="shared" si="46"/>
        <v>6200268097.3000002</v>
      </c>
      <c r="BM31" s="254">
        <f t="shared" si="46"/>
        <v>6228780340.7299995</v>
      </c>
      <c r="BN31" s="254">
        <f t="shared" si="46"/>
        <v>6292036334.4399996</v>
      </c>
      <c r="BO31" s="254">
        <f t="shared" si="46"/>
        <v>6346485470.6300001</v>
      </c>
      <c r="BP31" s="254">
        <f t="shared" si="46"/>
        <v>6357350217.8900003</v>
      </c>
      <c r="BQ31" s="254">
        <f t="shared" si="46"/>
        <v>6404906431.21</v>
      </c>
      <c r="BR31" s="254">
        <f t="shared" si="46"/>
        <v>6596883034.04</v>
      </c>
      <c r="BS31" s="254">
        <f t="shared" si="46"/>
        <v>6721148939.8400002</v>
      </c>
      <c r="BT31" s="254">
        <f t="shared" si="46"/>
        <v>6925052503.7299995</v>
      </c>
      <c r="BU31" s="254">
        <f t="shared" ref="BU31:CL31" si="47">BU32-BU33</f>
        <v>6975052504</v>
      </c>
      <c r="BV31" s="254">
        <f t="shared" si="47"/>
        <v>6892902231.4899998</v>
      </c>
      <c r="BW31" s="254">
        <f t="shared" si="47"/>
        <v>6922668396.9899998</v>
      </c>
      <c r="BX31" s="254">
        <f t="shared" si="47"/>
        <v>7179307026.1199999</v>
      </c>
      <c r="BY31" s="254">
        <f t="shared" si="47"/>
        <v>7297914939.4700003</v>
      </c>
      <c r="BZ31" s="254">
        <f t="shared" si="47"/>
        <v>7385101968.5699997</v>
      </c>
      <c r="CA31" s="254">
        <f t="shared" si="47"/>
        <v>7477817757.1000004</v>
      </c>
      <c r="CB31" s="254">
        <f t="shared" si="47"/>
        <v>7584501035.3199997</v>
      </c>
      <c r="CC31" s="254">
        <f t="shared" si="47"/>
        <v>7690718526.9099998</v>
      </c>
      <c r="CD31" s="254">
        <f t="shared" si="47"/>
        <v>7821109377.8699999</v>
      </c>
      <c r="CE31" s="254">
        <f t="shared" si="47"/>
        <v>7925262868.8900003</v>
      </c>
      <c r="CF31" s="254">
        <f t="shared" si="47"/>
        <v>8016112593.3000002</v>
      </c>
      <c r="CG31" s="254">
        <f t="shared" si="47"/>
        <v>8233832163.2900009</v>
      </c>
      <c r="CH31" s="254">
        <f t="shared" si="47"/>
        <v>8275214583</v>
      </c>
      <c r="CI31" s="254">
        <f t="shared" si="47"/>
        <v>8270027982.3199997</v>
      </c>
      <c r="CJ31" s="254">
        <f t="shared" si="47"/>
        <v>8275879958.1499996</v>
      </c>
      <c r="CK31" s="254">
        <f t="shared" si="47"/>
        <v>8349898754.8799992</v>
      </c>
      <c r="CL31" s="254">
        <f t="shared" si="47"/>
        <v>8465553015.7099991</v>
      </c>
      <c r="CM31" s="254">
        <f t="shared" ref="CM31:CT31" si="48">CM32-CM33</f>
        <v>8498804096.2600002</v>
      </c>
      <c r="CN31" s="254">
        <f t="shared" si="48"/>
        <v>8615764896.8799992</v>
      </c>
      <c r="CO31" s="254">
        <f t="shared" si="48"/>
        <v>8684222545.4799995</v>
      </c>
      <c r="CP31" s="254">
        <f t="shared" si="48"/>
        <v>8868140832.2299995</v>
      </c>
      <c r="CQ31" s="254">
        <f t="shared" si="48"/>
        <v>9003171389.7399998</v>
      </c>
      <c r="CR31" s="254">
        <f t="shared" si="48"/>
        <v>0</v>
      </c>
      <c r="CS31" s="254">
        <f t="shared" si="48"/>
        <v>0</v>
      </c>
      <c r="CT31" s="254">
        <f t="shared" si="48"/>
        <v>0</v>
      </c>
    </row>
    <row r="32" spans="1:98">
      <c r="A32" s="16">
        <v>7.1</v>
      </c>
      <c r="B32" s="7" t="s">
        <v>131</v>
      </c>
      <c r="C32" s="27">
        <f>SFP!B14</f>
        <v>1458954000</v>
      </c>
      <c r="D32" s="27">
        <f>SFP!C14</f>
        <v>1687174000</v>
      </c>
      <c r="E32" s="27">
        <f>SFP!D14</f>
        <v>1994080000</v>
      </c>
      <c r="F32" s="27">
        <f>SFP!E14</f>
        <v>2539002896</v>
      </c>
      <c r="G32" s="27">
        <f>SFP!F14</f>
        <v>3182830858</v>
      </c>
      <c r="H32" s="27">
        <f>SFP!G14</f>
        <v>4116099457</v>
      </c>
      <c r="I32" s="27">
        <f>SFP!H14</f>
        <v>4090042731.5999999</v>
      </c>
      <c r="J32" s="27">
        <f>SFP!I14</f>
        <v>4115904046.25</v>
      </c>
      <c r="K32" s="27">
        <f>SFP!J14</f>
        <v>4118959082.1399999</v>
      </c>
      <c r="L32" s="27">
        <f>SFP!K14</f>
        <v>4187669091</v>
      </c>
      <c r="M32" s="27">
        <f>SFP!L14</f>
        <v>4238984658.0999999</v>
      </c>
      <c r="N32" s="27">
        <f>SFP!M14</f>
        <v>4355348822.8500004</v>
      </c>
      <c r="O32" s="27">
        <f>SFP!N14</f>
        <v>4468927422.7299995</v>
      </c>
      <c r="P32" s="27">
        <f>SFP!O14</f>
        <v>4777265951.04</v>
      </c>
      <c r="Q32" s="27">
        <f>SFP!P14</f>
        <v>4856168599.8199997</v>
      </c>
      <c r="R32" s="27">
        <f>SFP!Q14</f>
        <v>4976738263.6400003</v>
      </c>
      <c r="S32" s="27">
        <f>SFP!R14</f>
        <v>5165490552.5299997</v>
      </c>
      <c r="T32" s="27">
        <f>SFP!S14</f>
        <v>5284603210.1099997</v>
      </c>
      <c r="U32" s="27">
        <f>SFP!T14</f>
        <v>5284603210</v>
      </c>
      <c r="V32" s="27">
        <f>SFP!U14</f>
        <v>10616962227.540001</v>
      </c>
      <c r="W32" s="27">
        <f>SFP!V14</f>
        <v>5286771630.7399998</v>
      </c>
      <c r="X32" s="27">
        <f>SFP!W14</f>
        <v>5281369912.7799997</v>
      </c>
      <c r="Y32" s="27">
        <f>SFP!X14</f>
        <v>5386304634.6700001</v>
      </c>
      <c r="Z32" s="27">
        <f>SFP!Y14</f>
        <v>5392883369.8000002</v>
      </c>
      <c r="AA32" s="27">
        <f>SFP!Z14</f>
        <v>5434175981.0500002</v>
      </c>
      <c r="AB32" s="27">
        <f>SFP!AA14</f>
        <v>5483573666.9899998</v>
      </c>
      <c r="AC32" s="27">
        <f>SFP!AB14</f>
        <v>5708818513.3699999</v>
      </c>
      <c r="AD32" s="27">
        <f>SFP!AC14</f>
        <v>5691085990.25</v>
      </c>
      <c r="AE32" s="27">
        <f>SFP!AD14</f>
        <v>5693637658.4700003</v>
      </c>
      <c r="AF32" s="27">
        <f>SFP!AE14</f>
        <v>5780304890.8999996</v>
      </c>
      <c r="AG32" s="27">
        <f>SFP!AF14</f>
        <v>5842582015.0900002</v>
      </c>
      <c r="AH32" s="236">
        <f>SFP!AG14</f>
        <v>5842582015.0900002</v>
      </c>
      <c r="AI32" s="236">
        <f>SFP!AH14</f>
        <v>5831283518.3299999</v>
      </c>
      <c r="AJ32" s="236">
        <f>SFP!AI14</f>
        <v>5732980824.9300003</v>
      </c>
      <c r="AK32" s="236">
        <f>SFP!AJ14</f>
        <v>5723353527.3400002</v>
      </c>
      <c r="AL32" s="236">
        <f>SFP!AK14</f>
        <v>5773851910.9899998</v>
      </c>
      <c r="AM32" s="236">
        <f>SFP!AL14</f>
        <v>5758544868.5900002</v>
      </c>
      <c r="AN32" s="236">
        <f>SFP!AM14</f>
        <v>5774886337.9099998</v>
      </c>
      <c r="AO32" s="236">
        <f>SFP!AN14</f>
        <v>5771754783.6599998</v>
      </c>
      <c r="AP32" s="236">
        <f>SFP!AO14</f>
        <v>5935279935.8199997</v>
      </c>
      <c r="AQ32" s="236">
        <f>SFP!AP14</f>
        <v>5961879039</v>
      </c>
      <c r="AR32" s="236">
        <f>SFP!AQ14</f>
        <v>5939401159.9899998</v>
      </c>
      <c r="AS32" s="236">
        <f>SFP!AR14</f>
        <v>6094889294.8199997</v>
      </c>
      <c r="AT32" s="236">
        <f>SFP!AS14</f>
        <v>6301932075.5799999</v>
      </c>
      <c r="AU32" s="236">
        <f>SFP!AT14</f>
        <v>6239183746</v>
      </c>
      <c r="AV32" s="236">
        <f>SFP!AU14</f>
        <v>6278666531.0900002</v>
      </c>
      <c r="AW32" s="236">
        <f>SFP!AV14</f>
        <v>6137941034.5699997</v>
      </c>
      <c r="AX32" s="236">
        <f>SFP!AW14</f>
        <v>6096827689.2200003</v>
      </c>
      <c r="AY32" s="236">
        <f>SFP!AX14</f>
        <v>6014404306.7399998</v>
      </c>
      <c r="AZ32" s="236">
        <f>SFP!AY14</f>
        <v>5950423597.8999996</v>
      </c>
      <c r="BA32" s="236">
        <f>SFP!AZ14</f>
        <v>5994658887.4200001</v>
      </c>
      <c r="BB32" s="236">
        <f>SFP!BA14</f>
        <v>6045783616.2200003</v>
      </c>
      <c r="BC32" s="236">
        <f>SFP!BB14</f>
        <v>6298443282.8699999</v>
      </c>
      <c r="BD32" s="236">
        <f>SFP!BC14</f>
        <v>6414572207.4399996</v>
      </c>
      <c r="BE32" s="236">
        <f>SFP!BD14</f>
        <v>6497742689.1800003</v>
      </c>
      <c r="BF32" s="236">
        <f>SFP!BE14</f>
        <v>6544403894.1300001</v>
      </c>
      <c r="BG32" s="236">
        <f>SFP!BF14</f>
        <v>6641130131.3900003</v>
      </c>
      <c r="BH32" s="236">
        <f>SFP!BG14</f>
        <v>6580599847</v>
      </c>
      <c r="BI32" s="236">
        <f>SFP!BH14</f>
        <v>6502071415.8400002</v>
      </c>
      <c r="BJ32" s="236">
        <f>SFP!BI14</f>
        <v>6438112454.4700003</v>
      </c>
      <c r="BK32" s="236">
        <f>SFP!BJ14</f>
        <v>6465514467.6300001</v>
      </c>
      <c r="BL32" s="236">
        <f>SFP!BK14</f>
        <v>6566929452.3000002</v>
      </c>
      <c r="BM32" s="236">
        <f>SFP!BL14</f>
        <v>6602141695.7299995</v>
      </c>
      <c r="BN32" s="236">
        <f>SFP!BM14</f>
        <v>6672097689.4399996</v>
      </c>
      <c r="BO32" s="236">
        <f>SFP!BN14</f>
        <v>6733246825.6300001</v>
      </c>
      <c r="BP32" s="236">
        <f>SFP!BO14</f>
        <v>6750811572.8900003</v>
      </c>
      <c r="BQ32" s="236">
        <f>SFP!BP14</f>
        <v>6805067786.21</v>
      </c>
      <c r="BR32" s="236">
        <f>SFP!BQ14</f>
        <v>7003744389.04</v>
      </c>
      <c r="BS32" s="236">
        <f>SFP!BR14</f>
        <v>7134710294.8400002</v>
      </c>
      <c r="BT32" s="236">
        <f>SFP!BS14</f>
        <v>7345313858.7299995</v>
      </c>
      <c r="BU32" s="236">
        <f>SFP!BT14</f>
        <v>7345313859</v>
      </c>
      <c r="BV32" s="236">
        <f>SFP!BU14</f>
        <v>7270667586.4899998</v>
      </c>
      <c r="BW32" s="236">
        <f>SFP!BV14</f>
        <v>7307937751.9899998</v>
      </c>
      <c r="BX32" s="236">
        <f>SFP!BW14</f>
        <v>7572080381.1199999</v>
      </c>
      <c r="BY32" s="236">
        <f>SFP!BX14</f>
        <v>7698192294.4700003</v>
      </c>
      <c r="BZ32" s="236">
        <f>SFP!BY14</f>
        <v>7792883323.5699997</v>
      </c>
      <c r="CA32" s="236">
        <f>SFP!BZ14</f>
        <v>7893103112.1000004</v>
      </c>
      <c r="CB32" s="236">
        <f>SFP!CA14</f>
        <v>8007290390.3199997</v>
      </c>
      <c r="CC32" s="236">
        <f>SFP!CB14</f>
        <v>8121011881.9099998</v>
      </c>
      <c r="CD32" s="236">
        <f>SFP!CC14</f>
        <v>8258906732.8699999</v>
      </c>
      <c r="CE32" s="236">
        <f>SFP!CD14</f>
        <v>8363060223.8900003</v>
      </c>
      <c r="CF32" s="236">
        <f>SFP!CE14</f>
        <v>8453909948.3000002</v>
      </c>
      <c r="CG32" s="236">
        <f>SFP!CF14</f>
        <v>8671629518.2900009</v>
      </c>
      <c r="CH32" s="236">
        <f>SFP!CG14</f>
        <v>8683011938</v>
      </c>
      <c r="CI32" s="236">
        <f>SFP!CH14</f>
        <v>8681825337.3199997</v>
      </c>
      <c r="CJ32" s="236">
        <f>SFP!CI14</f>
        <v>8689677313.1499996</v>
      </c>
      <c r="CK32" s="236">
        <f>SFP!CJ14</f>
        <v>8766696109.8799992</v>
      </c>
      <c r="CL32" s="236">
        <f>SFP!CK14</f>
        <v>8885350370.7099991</v>
      </c>
      <c r="CM32" s="236">
        <f>SFP!CL14</f>
        <v>8921601451.2600002</v>
      </c>
      <c r="CN32" s="236">
        <f>SFP!CM14</f>
        <v>9041562251.8799992</v>
      </c>
      <c r="CO32" s="236">
        <f>SFP!CN14</f>
        <v>9113019900.4799995</v>
      </c>
      <c r="CP32" s="236">
        <f>SFP!CO14</f>
        <v>9299938187.2299995</v>
      </c>
      <c r="CQ32" s="236">
        <f>SFP!CP14</f>
        <v>9437968744.7399998</v>
      </c>
      <c r="CR32" s="236">
        <f>SFP!CQ14</f>
        <v>0</v>
      </c>
      <c r="CS32" s="236">
        <f>SFP!CR14</f>
        <v>0</v>
      </c>
      <c r="CT32" s="236">
        <f>SFP!CS14</f>
        <v>0</v>
      </c>
    </row>
    <row r="33" spans="1:98">
      <c r="A33" s="16">
        <v>7.3</v>
      </c>
      <c r="B33" s="7" t="s">
        <v>132</v>
      </c>
      <c r="C33" s="27">
        <f>SFP!B15</f>
        <v>11491000</v>
      </c>
      <c r="D33" s="27">
        <f>SFP!C15</f>
        <v>17687000</v>
      </c>
      <c r="E33" s="27">
        <f>SFP!D15</f>
        <v>17687000</v>
      </c>
      <c r="F33" s="27">
        <f>SFP!E15</f>
        <v>27687316</v>
      </c>
      <c r="G33" s="27">
        <f>SFP!F15</f>
        <v>32687316</v>
      </c>
      <c r="H33" s="27">
        <f>SFP!G15</f>
        <v>47500000</v>
      </c>
      <c r="I33" s="27">
        <f>SFP!H15</f>
        <v>44687316</v>
      </c>
      <c r="J33" s="27">
        <f>SFP!I15</f>
        <v>55500000</v>
      </c>
      <c r="K33" s="27">
        <f>SFP!J15</f>
        <v>59500000</v>
      </c>
      <c r="L33" s="27">
        <f>SFP!K15</f>
        <v>63500000</v>
      </c>
      <c r="M33" s="27">
        <f>SFP!L15</f>
        <v>67500000</v>
      </c>
      <c r="N33" s="27">
        <f>SFP!M15</f>
        <v>71500000</v>
      </c>
      <c r="O33" s="27">
        <f>SFP!N15</f>
        <v>75500000</v>
      </c>
      <c r="P33" s="27">
        <f>SFP!O15</f>
        <v>79500000</v>
      </c>
      <c r="Q33" s="27">
        <f>SFP!P15</f>
        <v>83500000</v>
      </c>
      <c r="R33" s="27">
        <f>SFP!Q15</f>
        <v>87500000</v>
      </c>
      <c r="S33" s="27">
        <f>SFP!R15</f>
        <v>91500000</v>
      </c>
      <c r="T33" s="27">
        <f>SFP!S15</f>
        <v>95500000</v>
      </c>
      <c r="U33" s="27">
        <f>SFP!T15</f>
        <v>95500000</v>
      </c>
      <c r="V33" s="27">
        <f>SFP!U15</f>
        <v>191000000</v>
      </c>
      <c r="W33" s="27">
        <f>SFP!V15</f>
        <v>105500000</v>
      </c>
      <c r="X33" s="27">
        <f>SFP!W15</f>
        <v>110500000</v>
      </c>
      <c r="Y33" s="27">
        <f>SFP!X15</f>
        <v>115500000</v>
      </c>
      <c r="Z33" s="27">
        <f>SFP!Y15</f>
        <v>120500000</v>
      </c>
      <c r="AA33" s="27">
        <f>SFP!Z15</f>
        <v>125500000</v>
      </c>
      <c r="AB33" s="27">
        <f>SFP!AA15</f>
        <v>130500000</v>
      </c>
      <c r="AC33" s="27">
        <f>SFP!AB15</f>
        <v>135500000</v>
      </c>
      <c r="AD33" s="27">
        <f>SFP!AC15</f>
        <v>140500000</v>
      </c>
      <c r="AE33" s="27">
        <f>SFP!AD15</f>
        <v>145500000</v>
      </c>
      <c r="AF33" s="27">
        <f>SFP!AE15</f>
        <v>150500000</v>
      </c>
      <c r="AG33" s="27">
        <f>SFP!AF15</f>
        <v>155500000</v>
      </c>
      <c r="AH33" s="236">
        <f>SFP!AG15</f>
        <v>155500000</v>
      </c>
      <c r="AI33" s="236">
        <f>SFP!AH15</f>
        <v>164500000</v>
      </c>
      <c r="AJ33" s="236">
        <f>SFP!AI15</f>
        <v>173500000</v>
      </c>
      <c r="AK33" s="236">
        <f>SFP!AJ15</f>
        <v>182500000</v>
      </c>
      <c r="AL33" s="236">
        <f>SFP!AK15</f>
        <v>191500000</v>
      </c>
      <c r="AM33" s="236">
        <f>SFP!AL15</f>
        <v>200500000</v>
      </c>
      <c r="AN33" s="236">
        <f>SFP!AM15</f>
        <v>209500000</v>
      </c>
      <c r="AO33" s="236">
        <f>SFP!AN15</f>
        <v>218500000</v>
      </c>
      <c r="AP33" s="236">
        <f>SFP!AO15</f>
        <v>227500000</v>
      </c>
      <c r="AQ33" s="236">
        <f>SFP!AP15</f>
        <v>236500000</v>
      </c>
      <c r="AR33" s="236">
        <f>SFP!AQ15</f>
        <v>245500000</v>
      </c>
      <c r="AS33" s="236">
        <f>SFP!AR15</f>
        <v>254500000</v>
      </c>
      <c r="AT33" s="236">
        <f>SFP!AS15</f>
        <v>263500000</v>
      </c>
      <c r="AU33" s="236">
        <f>SFP!AT15</f>
        <v>267784035</v>
      </c>
      <c r="AV33" s="236">
        <f>SFP!AU15</f>
        <v>272500000</v>
      </c>
      <c r="AW33" s="236">
        <f>SFP!AV15</f>
        <v>281500000</v>
      </c>
      <c r="AX33" s="236">
        <f>SFP!AW15</f>
        <v>292894330</v>
      </c>
      <c r="AY33" s="236">
        <f>SFP!AX15</f>
        <v>302692440</v>
      </c>
      <c r="AZ33" s="236">
        <f>SFP!AY15</f>
        <v>312490550</v>
      </c>
      <c r="BA33" s="236">
        <f>SFP!AZ15</f>
        <v>322288660</v>
      </c>
      <c r="BB33" s="236">
        <f>SFP!BA15</f>
        <v>332086770</v>
      </c>
      <c r="BC33" s="236">
        <f>SFP!BB15</f>
        <v>341884880</v>
      </c>
      <c r="BD33" s="236">
        <f>SFP!BC15</f>
        <v>351682990</v>
      </c>
      <c r="BE33" s="236">
        <f>SFP!BD15</f>
        <v>361481100</v>
      </c>
      <c r="BF33" s="236">
        <f>SFP!BE15</f>
        <v>371279210</v>
      </c>
      <c r="BG33" s="236">
        <f>SFP!BF15</f>
        <v>385361355</v>
      </c>
      <c r="BH33" s="236">
        <f>SFP!BG15</f>
        <v>339861355</v>
      </c>
      <c r="BI33" s="236">
        <f>SFP!BH15</f>
        <v>349861355</v>
      </c>
      <c r="BJ33" s="236">
        <f>SFP!BI15</f>
        <v>353261355</v>
      </c>
      <c r="BK33" s="236">
        <f>SFP!BJ15</f>
        <v>359961355</v>
      </c>
      <c r="BL33" s="236">
        <f>SFP!BK15</f>
        <v>366661355</v>
      </c>
      <c r="BM33" s="236">
        <f>SFP!BL15</f>
        <v>373361355</v>
      </c>
      <c r="BN33" s="236">
        <f>SFP!BM15</f>
        <v>380061355</v>
      </c>
      <c r="BO33" s="236">
        <f>SFP!BN15</f>
        <v>386761355</v>
      </c>
      <c r="BP33" s="236">
        <f>SFP!BO15</f>
        <v>393461355</v>
      </c>
      <c r="BQ33" s="236">
        <f>SFP!BP15</f>
        <v>400161355</v>
      </c>
      <c r="BR33" s="236">
        <f>SFP!BQ15</f>
        <v>406861355</v>
      </c>
      <c r="BS33" s="236">
        <f>SFP!BR15</f>
        <v>413561355</v>
      </c>
      <c r="BT33" s="236">
        <f>SFP!BS15</f>
        <v>420261355</v>
      </c>
      <c r="BU33" s="236">
        <f>SFP!BT15</f>
        <v>370261355</v>
      </c>
      <c r="BV33" s="236">
        <f>SFP!BU15</f>
        <v>377765355</v>
      </c>
      <c r="BW33" s="236">
        <f>SFP!BV15</f>
        <v>385269355</v>
      </c>
      <c r="BX33" s="236">
        <f>SFP!BW15</f>
        <v>392773355</v>
      </c>
      <c r="BY33" s="236">
        <f>SFP!BX15</f>
        <v>400277355</v>
      </c>
      <c r="BZ33" s="236">
        <f>SFP!BY15</f>
        <v>407781355</v>
      </c>
      <c r="CA33" s="236">
        <f>SFP!BZ15</f>
        <v>415285355</v>
      </c>
      <c r="CB33" s="236">
        <f>SFP!CA15</f>
        <v>422789355</v>
      </c>
      <c r="CC33" s="236">
        <f>SFP!CB15</f>
        <v>430293355</v>
      </c>
      <c r="CD33" s="236">
        <f>SFP!CC15</f>
        <v>437797355</v>
      </c>
      <c r="CE33" s="236">
        <f>SFP!CD15</f>
        <v>437797355</v>
      </c>
      <c r="CF33" s="236">
        <f>SFP!CE15</f>
        <v>437797355</v>
      </c>
      <c r="CG33" s="236">
        <f>SFP!CF15</f>
        <v>437797355</v>
      </c>
      <c r="CH33" s="236">
        <f>SFP!CG15</f>
        <v>407797355</v>
      </c>
      <c r="CI33" s="236">
        <f>SFP!CH15</f>
        <v>411797355</v>
      </c>
      <c r="CJ33" s="236">
        <f>SFP!CI15</f>
        <v>413797355</v>
      </c>
      <c r="CK33" s="236">
        <f>SFP!CJ15</f>
        <v>416797355</v>
      </c>
      <c r="CL33" s="236">
        <f>SFP!CK15</f>
        <v>419797355</v>
      </c>
      <c r="CM33" s="236">
        <f>SFP!CL15</f>
        <v>422797355</v>
      </c>
      <c r="CN33" s="236">
        <f>SFP!CM15</f>
        <v>425797355</v>
      </c>
      <c r="CO33" s="236">
        <f>SFP!CN15</f>
        <v>428797355</v>
      </c>
      <c r="CP33" s="236">
        <f>SFP!CO15</f>
        <v>431797355</v>
      </c>
      <c r="CQ33" s="236">
        <f>SFP!CP15</f>
        <v>434797355</v>
      </c>
      <c r="CR33" s="236">
        <f>SFP!CQ15</f>
        <v>0</v>
      </c>
      <c r="CS33" s="236">
        <f>SFP!CR15</f>
        <v>0</v>
      </c>
      <c r="CT33" s="236">
        <f>SFP!CS15</f>
        <v>0</v>
      </c>
    </row>
    <row r="34" spans="1:98" ht="13.9" thickBot="1">
      <c r="A34" s="226">
        <v>7.4</v>
      </c>
      <c r="B34" s="7" t="s">
        <v>133</v>
      </c>
      <c r="C34" s="84">
        <v>0</v>
      </c>
      <c r="D34" s="84">
        <v>0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  <c r="K34" s="84">
        <v>0</v>
      </c>
      <c r="L34" s="84">
        <v>0</v>
      </c>
      <c r="M34" s="84">
        <v>0</v>
      </c>
      <c r="N34" s="84">
        <v>0</v>
      </c>
      <c r="O34" s="84">
        <v>0</v>
      </c>
      <c r="P34" s="84">
        <v>0</v>
      </c>
      <c r="Q34" s="84">
        <v>1</v>
      </c>
      <c r="R34" s="84">
        <v>2</v>
      </c>
      <c r="S34" s="84">
        <v>3</v>
      </c>
      <c r="T34" s="84">
        <v>3</v>
      </c>
      <c r="U34" s="27">
        <v>3</v>
      </c>
      <c r="V34" s="27">
        <v>3</v>
      </c>
      <c r="W34" s="27">
        <v>3</v>
      </c>
      <c r="X34" s="27">
        <v>3</v>
      </c>
      <c r="Y34" s="27">
        <v>3</v>
      </c>
      <c r="Z34" s="27">
        <v>3</v>
      </c>
      <c r="AA34" s="27">
        <v>3</v>
      </c>
      <c r="AB34" s="27">
        <v>3</v>
      </c>
      <c r="AC34" s="27">
        <v>3</v>
      </c>
      <c r="AD34" s="27">
        <v>3</v>
      </c>
      <c r="AE34" s="27">
        <v>3</v>
      </c>
      <c r="AF34" s="27">
        <v>3</v>
      </c>
      <c r="AG34" s="27">
        <v>3</v>
      </c>
      <c r="AH34" s="236">
        <v>3</v>
      </c>
      <c r="AI34" s="236">
        <v>3</v>
      </c>
      <c r="AJ34" s="236">
        <v>3</v>
      </c>
      <c r="AK34" s="236">
        <v>3</v>
      </c>
      <c r="AL34" s="236">
        <v>3</v>
      </c>
      <c r="AM34" s="236">
        <v>3</v>
      </c>
      <c r="AN34" s="236">
        <v>3</v>
      </c>
      <c r="AO34" s="236">
        <v>3</v>
      </c>
      <c r="AP34" s="236">
        <v>3</v>
      </c>
      <c r="AQ34" s="236">
        <v>3</v>
      </c>
      <c r="AR34" s="236">
        <v>3</v>
      </c>
      <c r="AS34" s="236">
        <v>3</v>
      </c>
      <c r="AT34" s="236">
        <v>3</v>
      </c>
      <c r="AU34" s="236">
        <v>3</v>
      </c>
      <c r="AV34" s="236">
        <v>3</v>
      </c>
      <c r="AW34" s="236">
        <v>3</v>
      </c>
      <c r="AX34" s="236">
        <v>3</v>
      </c>
      <c r="AY34" s="236">
        <v>3</v>
      </c>
      <c r="AZ34" s="236">
        <v>3</v>
      </c>
      <c r="BA34" s="236">
        <v>3</v>
      </c>
      <c r="BB34" s="236">
        <v>3</v>
      </c>
      <c r="BC34" s="236">
        <v>3</v>
      </c>
      <c r="BD34" s="236">
        <v>3</v>
      </c>
      <c r="BE34" s="236">
        <v>3</v>
      </c>
      <c r="BF34" s="236">
        <v>3</v>
      </c>
      <c r="BG34" s="236">
        <v>3</v>
      </c>
      <c r="BH34" s="236">
        <v>3</v>
      </c>
      <c r="BI34" s="236">
        <v>3</v>
      </c>
      <c r="BJ34" s="236">
        <v>3</v>
      </c>
      <c r="BK34" s="236">
        <v>3</v>
      </c>
      <c r="BL34" s="236">
        <v>3</v>
      </c>
      <c r="BM34" s="236">
        <v>3</v>
      </c>
      <c r="BN34" s="236">
        <v>3</v>
      </c>
      <c r="BO34" s="236">
        <v>3</v>
      </c>
      <c r="BP34" s="236">
        <v>3</v>
      </c>
      <c r="BQ34" s="236">
        <v>3</v>
      </c>
      <c r="BR34" s="236">
        <v>3</v>
      </c>
      <c r="BS34" s="236">
        <v>3</v>
      </c>
      <c r="BT34" s="236">
        <v>3</v>
      </c>
      <c r="BU34" s="236">
        <v>3</v>
      </c>
      <c r="BV34" s="236">
        <v>3</v>
      </c>
      <c r="BW34" s="236">
        <v>3</v>
      </c>
      <c r="BX34" s="236">
        <v>3</v>
      </c>
      <c r="BY34" s="236">
        <v>3</v>
      </c>
      <c r="BZ34" s="236">
        <v>3</v>
      </c>
      <c r="CA34" s="236">
        <v>3</v>
      </c>
      <c r="CB34" s="236">
        <v>3</v>
      </c>
      <c r="CC34" s="236">
        <v>3</v>
      </c>
      <c r="CD34" s="236">
        <v>3</v>
      </c>
      <c r="CE34" s="236">
        <v>3</v>
      </c>
      <c r="CF34" s="236">
        <v>3</v>
      </c>
      <c r="CG34" s="236">
        <v>3</v>
      </c>
      <c r="CH34" s="236">
        <v>3</v>
      </c>
      <c r="CI34" s="236">
        <v>3</v>
      </c>
      <c r="CJ34" s="236">
        <v>3</v>
      </c>
      <c r="CK34" s="236">
        <v>3</v>
      </c>
      <c r="CL34" s="236">
        <v>3</v>
      </c>
      <c r="CM34" s="236">
        <v>3</v>
      </c>
      <c r="CN34" s="236">
        <v>3</v>
      </c>
      <c r="CO34" s="236">
        <v>3</v>
      </c>
      <c r="CP34" s="236">
        <v>3</v>
      </c>
      <c r="CQ34" s="236">
        <v>3</v>
      </c>
      <c r="CR34" s="236">
        <v>3</v>
      </c>
      <c r="CS34" s="236">
        <v>3</v>
      </c>
      <c r="CT34" s="236">
        <v>3</v>
      </c>
    </row>
    <row r="35" spans="1:98" ht="13.9" thickBot="1">
      <c r="A35" s="226">
        <v>7.5</v>
      </c>
      <c r="B35" s="258" t="s">
        <v>134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1</v>
      </c>
      <c r="R35" s="27">
        <v>2</v>
      </c>
      <c r="S35" s="27">
        <v>3</v>
      </c>
      <c r="T35" s="27">
        <v>3</v>
      </c>
      <c r="U35" s="27">
        <v>3</v>
      </c>
      <c r="V35" s="27">
        <v>3</v>
      </c>
      <c r="W35" s="27">
        <v>3</v>
      </c>
      <c r="X35" s="27">
        <v>3</v>
      </c>
      <c r="Y35" s="27">
        <v>3</v>
      </c>
      <c r="Z35" s="27">
        <v>3</v>
      </c>
      <c r="AA35" s="27">
        <v>3</v>
      </c>
      <c r="AB35" s="27">
        <v>3</v>
      </c>
      <c r="AC35" s="27">
        <v>3</v>
      </c>
      <c r="AD35" s="27">
        <v>3</v>
      </c>
      <c r="AE35" s="27">
        <v>3</v>
      </c>
      <c r="AF35" s="27">
        <v>3</v>
      </c>
      <c r="AG35" s="27">
        <v>3</v>
      </c>
      <c r="AH35" s="236">
        <v>3</v>
      </c>
      <c r="AI35" s="236">
        <v>3</v>
      </c>
      <c r="AJ35" s="236">
        <v>3</v>
      </c>
      <c r="AK35" s="236">
        <v>3</v>
      </c>
      <c r="AL35" s="236">
        <v>3</v>
      </c>
      <c r="AM35" s="236">
        <v>3</v>
      </c>
      <c r="AN35" s="236">
        <v>3</v>
      </c>
      <c r="AO35" s="236">
        <v>3</v>
      </c>
      <c r="AP35" s="236">
        <v>3</v>
      </c>
      <c r="AQ35" s="236">
        <v>3</v>
      </c>
      <c r="AR35" s="236">
        <v>3</v>
      </c>
      <c r="AS35" s="236">
        <v>3</v>
      </c>
      <c r="AT35" s="236">
        <v>3</v>
      </c>
      <c r="AU35" s="236">
        <v>3</v>
      </c>
      <c r="AV35" s="236">
        <v>3</v>
      </c>
      <c r="AW35" s="236">
        <v>3</v>
      </c>
      <c r="AX35" s="236">
        <v>3</v>
      </c>
      <c r="AY35" s="236">
        <v>3</v>
      </c>
      <c r="AZ35" s="236">
        <v>3</v>
      </c>
      <c r="BA35" s="236">
        <v>3</v>
      </c>
      <c r="BB35" s="236">
        <v>3</v>
      </c>
      <c r="BC35" s="236">
        <v>3</v>
      </c>
      <c r="BD35" s="236">
        <v>3</v>
      </c>
      <c r="BE35" s="236">
        <v>3</v>
      </c>
      <c r="BF35" s="236">
        <v>3</v>
      </c>
      <c r="BG35" s="236">
        <v>3</v>
      </c>
      <c r="BH35" s="236">
        <v>3</v>
      </c>
      <c r="BI35" s="236">
        <v>3</v>
      </c>
      <c r="BJ35" s="236">
        <v>3</v>
      </c>
      <c r="BK35" s="236">
        <v>3</v>
      </c>
      <c r="BL35" s="236">
        <v>3</v>
      </c>
      <c r="BM35" s="236">
        <v>3</v>
      </c>
      <c r="BN35" s="236">
        <v>3</v>
      </c>
      <c r="BO35" s="236">
        <v>3</v>
      </c>
      <c r="BP35" s="236">
        <v>3</v>
      </c>
      <c r="BQ35" s="236">
        <v>3</v>
      </c>
      <c r="BR35" s="236">
        <v>3</v>
      </c>
      <c r="BS35" s="236">
        <v>3</v>
      </c>
      <c r="BT35" s="236">
        <v>3</v>
      </c>
      <c r="BU35" s="236">
        <v>3</v>
      </c>
      <c r="BV35" s="236">
        <v>3</v>
      </c>
      <c r="BW35" s="236">
        <v>3</v>
      </c>
      <c r="BX35" s="236">
        <v>3</v>
      </c>
      <c r="BY35" s="236">
        <v>3</v>
      </c>
      <c r="BZ35" s="236">
        <v>3</v>
      </c>
      <c r="CA35" s="236">
        <v>3</v>
      </c>
      <c r="CB35" s="236">
        <v>3</v>
      </c>
      <c r="CC35" s="236">
        <v>3</v>
      </c>
      <c r="CD35" s="236">
        <v>3</v>
      </c>
      <c r="CE35" s="236">
        <v>3</v>
      </c>
      <c r="CF35" s="236">
        <v>3</v>
      </c>
      <c r="CG35" s="236">
        <v>3</v>
      </c>
      <c r="CH35" s="236">
        <v>3</v>
      </c>
      <c r="CI35" s="236">
        <v>3</v>
      </c>
      <c r="CJ35" s="236">
        <v>3</v>
      </c>
      <c r="CK35" s="236">
        <v>3</v>
      </c>
      <c r="CL35" s="236">
        <v>3</v>
      </c>
      <c r="CM35" s="236">
        <v>3</v>
      </c>
      <c r="CN35" s="236">
        <v>3</v>
      </c>
      <c r="CO35" s="236">
        <v>3</v>
      </c>
      <c r="CP35" s="236">
        <v>3</v>
      </c>
      <c r="CQ35" s="236">
        <v>3</v>
      </c>
      <c r="CR35" s="236">
        <v>3</v>
      </c>
      <c r="CS35" s="236">
        <v>3</v>
      </c>
      <c r="CT35" s="236">
        <v>3</v>
      </c>
    </row>
    <row r="36" spans="1:98" ht="13.9" thickBot="1">
      <c r="A36" s="226">
        <v>7.6</v>
      </c>
      <c r="B36" s="258" t="s">
        <v>135</v>
      </c>
      <c r="C36" s="27">
        <f>SFP!B4</f>
        <v>283849000</v>
      </c>
      <c r="D36" s="27">
        <f>SFP!C4</f>
        <v>110263000</v>
      </c>
      <c r="E36" s="27">
        <f>SFP!D4</f>
        <v>201351000</v>
      </c>
      <c r="F36" s="27">
        <f>SFP!E4</f>
        <v>182728629</v>
      </c>
      <c r="G36" s="27">
        <f>SFP!F4</f>
        <v>214035021</v>
      </c>
      <c r="H36" s="27">
        <f>SFP!G4</f>
        <v>258656183</v>
      </c>
      <c r="I36" s="27">
        <f>SFP!H4</f>
        <v>260390957.72999999</v>
      </c>
      <c r="J36" s="27">
        <f>SFP!I4</f>
        <v>206001297.38999999</v>
      </c>
      <c r="K36" s="27">
        <f>SFP!J4</f>
        <v>108016278.94</v>
      </c>
      <c r="L36" s="27">
        <f>SFP!K4</f>
        <v>14196014.640000001</v>
      </c>
      <c r="M36" s="27">
        <f>SFP!L4</f>
        <v>109804753.81999999</v>
      </c>
      <c r="N36" s="27">
        <f>SFP!M4</f>
        <v>304293290.98000002</v>
      </c>
      <c r="O36" s="27">
        <f>SFP!N4</f>
        <v>172289610.45999998</v>
      </c>
      <c r="P36" s="27">
        <f>SFP!O4</f>
        <v>70325936.109999999</v>
      </c>
      <c r="Q36" s="27">
        <f>SFP!P4</f>
        <v>88623132.670000002</v>
      </c>
      <c r="R36" s="27">
        <f>SFP!Q4</f>
        <v>288623367.73000002</v>
      </c>
      <c r="S36" s="27">
        <f>SFP!R4</f>
        <v>108664374.8</v>
      </c>
      <c r="T36" s="27">
        <f>SFP!S4</f>
        <v>162661136.09999999</v>
      </c>
      <c r="U36" s="27">
        <f>SFP!T4</f>
        <v>152446518</v>
      </c>
      <c r="V36" s="27">
        <f>SFP!U4</f>
        <v>327420502.5</v>
      </c>
      <c r="W36" s="27">
        <f>SFP!V4</f>
        <v>17985463.690000001</v>
      </c>
      <c r="X36" s="27">
        <f>SFP!W4</f>
        <v>131097414.21000001</v>
      </c>
      <c r="Y36" s="27">
        <f>SFP!X4</f>
        <v>58220507.969999999</v>
      </c>
      <c r="Z36" s="27">
        <f>SFP!Y4</f>
        <v>134786587.08000001</v>
      </c>
      <c r="AA36" s="27">
        <f>SFP!Z4</f>
        <v>207860413.13</v>
      </c>
      <c r="AB36" s="27">
        <f>SFP!AA4</f>
        <v>159154119</v>
      </c>
      <c r="AC36" s="27">
        <f>SFP!AB4</f>
        <v>178538552.09</v>
      </c>
      <c r="AD36" s="27">
        <f>SFP!AC4</f>
        <v>234907073.24000001</v>
      </c>
      <c r="AE36" s="27">
        <f>SFP!AD4</f>
        <v>231449334.52999997</v>
      </c>
      <c r="AF36" s="27">
        <f>SFP!AE4</f>
        <v>238224032.16</v>
      </c>
      <c r="AG36" s="27">
        <f>SFP!AF4</f>
        <v>227857475.63999999</v>
      </c>
      <c r="AH36" s="236">
        <f>SFP!AG4</f>
        <v>227633715</v>
      </c>
      <c r="AI36" s="236">
        <f>SFP!AH4</f>
        <v>345375747.31999999</v>
      </c>
      <c r="AJ36" s="236">
        <f>SFP!AI4</f>
        <v>383429691.42000002</v>
      </c>
      <c r="AK36" s="236">
        <f>SFP!AJ4</f>
        <v>408180125.5</v>
      </c>
      <c r="AL36" s="236">
        <f>SFP!AK4</f>
        <v>327287738.19999999</v>
      </c>
      <c r="AM36" s="236">
        <f>SFP!AL4</f>
        <v>558678894.47000003</v>
      </c>
      <c r="AN36" s="236">
        <f>SFP!AM4</f>
        <v>514721915.94999999</v>
      </c>
      <c r="AO36" s="236">
        <f>SFP!AN4</f>
        <v>551777681.34000003</v>
      </c>
      <c r="AP36" s="236">
        <f>SFP!AO4</f>
        <v>677373849.2700001</v>
      </c>
      <c r="AQ36" s="236">
        <f>SFP!AP4</f>
        <v>584919754.44000006</v>
      </c>
      <c r="AR36" s="236">
        <f>SFP!AQ4</f>
        <v>688845544.33000004</v>
      </c>
      <c r="AS36" s="236">
        <f>SFP!AR4</f>
        <v>779358943.91999996</v>
      </c>
      <c r="AT36" s="236">
        <f>SFP!AS4</f>
        <v>798654267.08000004</v>
      </c>
      <c r="AU36" s="236">
        <f>SFP!AT4</f>
        <v>798832746</v>
      </c>
      <c r="AV36" s="236">
        <f>SFP!AU4</f>
        <v>739153746.36000001</v>
      </c>
      <c r="AW36" s="236">
        <f>SFP!AV4</f>
        <v>722396012.01999998</v>
      </c>
      <c r="AX36" s="236">
        <f>SFP!AW4</f>
        <v>721787021.30000007</v>
      </c>
      <c r="AY36" s="236">
        <f>SFP!AX4</f>
        <v>956320676.10000002</v>
      </c>
      <c r="AZ36" s="236">
        <f>SFP!AY4</f>
        <v>1078715054.8099999</v>
      </c>
      <c r="BA36" s="236">
        <f>SFP!AZ4</f>
        <v>1306332937.6099999</v>
      </c>
      <c r="BB36" s="236">
        <f>SFP!BA4</f>
        <v>1232256091.01</v>
      </c>
      <c r="BC36" s="236">
        <f>SFP!BB4</f>
        <v>1126064986.55</v>
      </c>
      <c r="BD36" s="236">
        <f>SFP!BC4</f>
        <v>1232008220.8899999</v>
      </c>
      <c r="BE36" s="236">
        <f>SFP!BD4</f>
        <v>1178815515.8699999</v>
      </c>
      <c r="BF36" s="236">
        <f>SFP!BE4</f>
        <v>1392870797.4399998</v>
      </c>
      <c r="BG36" s="236">
        <f>SFP!BF4</f>
        <v>1280519269</v>
      </c>
      <c r="BH36" s="236">
        <f>SFP!BG4</f>
        <v>1280519269</v>
      </c>
      <c r="BI36" s="236">
        <f>SFP!BH4</f>
        <v>1330371299.55</v>
      </c>
      <c r="BJ36" s="236">
        <f>SFP!BI4</f>
        <v>1326707292.6799998</v>
      </c>
      <c r="BK36" s="236">
        <f>SFP!BJ4</f>
        <v>1346688130.1199999</v>
      </c>
      <c r="BL36" s="236">
        <f>SFP!BK4</f>
        <v>1555455750.6800001</v>
      </c>
      <c r="BM36" s="236">
        <f>SFP!BL4</f>
        <v>1434043358.4199998</v>
      </c>
      <c r="BN36" s="236">
        <f>SFP!BM4</f>
        <v>1658811357.21</v>
      </c>
      <c r="BO36" s="236">
        <f>SFP!BN4</f>
        <v>1777347274.0800002</v>
      </c>
      <c r="BP36" s="236">
        <f>SFP!BO4</f>
        <v>1836323771.3900001</v>
      </c>
      <c r="BQ36" s="236">
        <f>SFP!BP4</f>
        <v>2187033704.23</v>
      </c>
      <c r="BR36" s="236">
        <f>SFP!BQ4</f>
        <v>1994013882.1800001</v>
      </c>
      <c r="BS36" s="236">
        <f>SFP!BR4</f>
        <v>2028601543.9300001</v>
      </c>
      <c r="BT36" s="236">
        <f>SFP!BS4</f>
        <v>2224711816.1100001</v>
      </c>
      <c r="BU36" s="236">
        <f>SFP!BT4</f>
        <v>2224711816</v>
      </c>
      <c r="BV36" s="236">
        <f>SFP!BU4</f>
        <v>1895585739.3599999</v>
      </c>
      <c r="BW36" s="236">
        <f>SFP!BV4</f>
        <v>1829376698.25</v>
      </c>
      <c r="BX36" s="236">
        <f>SFP!BW4</f>
        <v>1663178472.8700001</v>
      </c>
      <c r="BY36" s="236">
        <f>SFP!BX4</f>
        <v>1594540736.79</v>
      </c>
      <c r="BZ36" s="236">
        <f>SFP!BY4</f>
        <v>1681950498.25</v>
      </c>
      <c r="CA36" s="236">
        <f>SFP!BZ4</f>
        <v>1986623186.6299999</v>
      </c>
      <c r="CB36" s="236">
        <f>SFP!CA4</f>
        <v>1902885777.4400001</v>
      </c>
      <c r="CC36" s="236">
        <f>SFP!CB4</f>
        <v>1926841469.79</v>
      </c>
      <c r="CD36" s="236">
        <f>SFP!CC4</f>
        <v>1866075483.21</v>
      </c>
      <c r="CE36" s="236">
        <f>SFP!CD4</f>
        <v>1917337634.1499999</v>
      </c>
      <c r="CF36" s="236">
        <f>SFP!CE4</f>
        <v>2046569759.3199999</v>
      </c>
      <c r="CG36" s="236">
        <f>SFP!CF4</f>
        <v>2031301430.1399999</v>
      </c>
      <c r="CH36" s="236">
        <f>SFP!CG4</f>
        <v>2033555086</v>
      </c>
      <c r="CI36" s="236">
        <f>SFP!CH4</f>
        <v>1669075862.79</v>
      </c>
      <c r="CJ36" s="236">
        <f>SFP!CI4</f>
        <v>1607116488.74</v>
      </c>
      <c r="CK36" s="236">
        <f>SFP!CJ4</f>
        <v>1513335311.3900001</v>
      </c>
      <c r="CL36" s="236">
        <f>SFP!CK4</f>
        <v>1574519159.3999999</v>
      </c>
      <c r="CM36" s="236">
        <f>SFP!CL4</f>
        <v>1749630776.3399999</v>
      </c>
      <c r="CN36" s="236">
        <f>SFP!CM4</f>
        <v>2152861506.79</v>
      </c>
      <c r="CO36" s="236">
        <f>SFP!CN4</f>
        <v>2220880111.0799999</v>
      </c>
      <c r="CP36" s="236">
        <f>SFP!CO4</f>
        <v>2200541989.1199999</v>
      </c>
      <c r="CQ36" s="236">
        <f>SFP!CP4</f>
        <v>2220625440.46</v>
      </c>
      <c r="CR36" s="236">
        <f>SFP!CQ4</f>
        <v>0</v>
      </c>
      <c r="CS36" s="236">
        <f>SFP!CR4</f>
        <v>0</v>
      </c>
      <c r="CT36" s="236">
        <f>SFP!CS4</f>
        <v>0</v>
      </c>
    </row>
    <row r="37" spans="1:98" ht="13.9" thickBot="1">
      <c r="A37" s="9"/>
      <c r="B37" s="259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40"/>
      <c r="AI37" s="240"/>
      <c r="AJ37" s="240"/>
      <c r="AK37" s="240"/>
      <c r="AL37" s="240"/>
      <c r="AM37" s="240"/>
      <c r="AN37" s="240"/>
      <c r="AO37" s="240"/>
      <c r="AP37" s="240"/>
      <c r="AQ37" s="240"/>
      <c r="AR37" s="240"/>
      <c r="AS37" s="240"/>
      <c r="AT37" s="240"/>
      <c r="AU37" s="240"/>
      <c r="AV37" s="240"/>
      <c r="AW37" s="240"/>
      <c r="AX37" s="240"/>
      <c r="AY37" s="240"/>
      <c r="AZ37" s="240"/>
      <c r="BA37" s="240"/>
      <c r="BB37" s="240"/>
      <c r="BC37" s="240"/>
      <c r="BD37" s="240"/>
      <c r="BE37" s="240"/>
      <c r="BF37" s="240"/>
      <c r="BG37" s="240"/>
      <c r="BH37" s="240"/>
      <c r="BI37" s="240"/>
      <c r="BJ37" s="240"/>
      <c r="BK37" s="240"/>
      <c r="BL37" s="240"/>
      <c r="BM37" s="240"/>
      <c r="BN37" s="240"/>
      <c r="BO37" s="240"/>
      <c r="BP37" s="240"/>
      <c r="BQ37" s="240"/>
      <c r="BR37" s="240"/>
      <c r="BS37" s="240"/>
      <c r="BT37" s="240"/>
      <c r="BU37" s="240"/>
      <c r="BV37" s="240"/>
      <c r="BW37" s="240"/>
      <c r="BX37" s="240"/>
      <c r="BY37" s="240"/>
      <c r="BZ37" s="240"/>
      <c r="CA37" s="240"/>
      <c r="CB37" s="240"/>
      <c r="CC37" s="240"/>
      <c r="CD37" s="240"/>
      <c r="CE37" s="240"/>
      <c r="CF37" s="240"/>
      <c r="CG37" s="240"/>
      <c r="CH37" s="240"/>
      <c r="CI37" s="240"/>
      <c r="CJ37" s="240"/>
      <c r="CK37" s="240"/>
      <c r="CL37" s="240"/>
      <c r="CM37" s="240"/>
      <c r="CN37" s="240"/>
      <c r="CO37" s="240"/>
      <c r="CP37" s="240"/>
      <c r="CQ37" s="240"/>
      <c r="CR37" s="240"/>
      <c r="CS37" s="240"/>
      <c r="CT37" s="240"/>
    </row>
    <row r="38" spans="1:98">
      <c r="A38" s="14">
        <v>8</v>
      </c>
      <c r="B38" s="257" t="s">
        <v>136</v>
      </c>
      <c r="C38" s="26">
        <f>SFP!B7+SFP!B16+SFP!B22+SFP!B23+SFP!B24+SFP!B25</f>
        <v>111303000</v>
      </c>
      <c r="D38" s="26">
        <f>SFP!C7+SFP!C16+SFP!C22+SFP!C23+SFP!C24+SFP!C25</f>
        <v>190173000</v>
      </c>
      <c r="E38" s="26">
        <f>SFP!D7+SFP!D16+SFP!D22+SFP!D23+SFP!D24+SFP!D25</f>
        <v>386628933.30000001</v>
      </c>
      <c r="F38" s="26">
        <f>SFP!E7+SFP!E16+SFP!E22+SFP!E23+SFP!E24+SFP!E25</f>
        <v>322085505</v>
      </c>
      <c r="G38" s="26">
        <f>SFP!F7+SFP!F16+SFP!F22+SFP!F23+SFP!F24+SFP!F25</f>
        <v>312782229</v>
      </c>
      <c r="H38" s="26">
        <f>SFP!G7+SFP!G16+SFP!G22+SFP!G23+SFP!G24+SFP!G25</f>
        <v>317680938</v>
      </c>
      <c r="I38" s="26">
        <f>SFP!H7+SFP!H16+SFP!H22+SFP!H23+SFP!H24+SFP!H25</f>
        <v>427492667.89999998</v>
      </c>
      <c r="J38" s="26">
        <f>SFP!I7+SFP!I16+SFP!I22+SFP!I23+SFP!I24+SFP!I25</f>
        <v>407245108.18000001</v>
      </c>
      <c r="K38" s="26">
        <f>SFP!J7+SFP!J16+SFP!J22+SFP!J23+SFP!J24+SFP!J25</f>
        <v>518950865.66000003</v>
      </c>
      <c r="L38" s="26">
        <f>SFP!K7+SFP!K16+SFP!K22+SFP!K23+SFP!K24+SFP!K25</f>
        <v>555368330.72000003</v>
      </c>
      <c r="M38" s="26">
        <f>SFP!L7+SFP!L16+SFP!L22+SFP!L23+SFP!L24+SFP!L25</f>
        <v>460034250.99000001</v>
      </c>
      <c r="N38" s="26">
        <f>SFP!M7+SFP!M16+SFP!M22+SFP!M23+SFP!M24+SFP!M25</f>
        <v>512408697.25</v>
      </c>
      <c r="O38" s="26">
        <f>SFP!N7+SFP!N16+SFP!N22+SFP!N23+SFP!N24+SFP!N25</f>
        <v>640931124.97000003</v>
      </c>
      <c r="P38" s="26">
        <f>SFP!O7+SFP!O16+SFP!O22+SFP!O23+SFP!O24+SFP!O25</f>
        <v>668376722.96000004</v>
      </c>
      <c r="Q38" s="26">
        <f>SFP!P7+SFP!P16+SFP!P22+SFP!P23+SFP!P24+SFP!P25</f>
        <v>736324962.65999997</v>
      </c>
      <c r="R38" s="26">
        <f>SFP!Q7+SFP!Q16+SFP!Q22+SFP!Q23+SFP!Q24+SFP!Q25</f>
        <v>674099830.97000003</v>
      </c>
      <c r="S38" s="26">
        <f>SFP!R7+SFP!R16+SFP!R22+SFP!R23+SFP!R24+SFP!R25</f>
        <v>796896590.75999999</v>
      </c>
      <c r="T38" s="26">
        <f>SFP!S7+SFP!S16+SFP!S22+SFP!S23+SFP!S24+SFP!S25</f>
        <v>726528009.12</v>
      </c>
      <c r="U38" s="26">
        <f>SFP!T7+SFP!T16+SFP!T22+SFP!T23+SFP!T24+SFP!T25</f>
        <v>718993471</v>
      </c>
      <c r="V38" s="26">
        <f>SFP!U7+SFP!U16+SFP!U22+SFP!U23+SFP!U24+SFP!U25</f>
        <v>1551239776.1399999</v>
      </c>
      <c r="W38" s="26">
        <f>SFP!V7+SFP!V16+SFP!V22+SFP!V23+SFP!V24+SFP!V25</f>
        <v>857549375.86000001</v>
      </c>
      <c r="X38" s="26">
        <f>SFP!W7+SFP!W16+SFP!W22+SFP!W23+SFP!W24+SFP!W25</f>
        <v>244805515.34999999</v>
      </c>
      <c r="Y38" s="26">
        <f>SFP!X7+SFP!X16+SFP!X22+SFP!X23+SFP!X24+SFP!X25</f>
        <v>240842451.69999999</v>
      </c>
      <c r="Z38" s="26">
        <f>SFP!Y7+SFP!Y16+SFP!Y22+SFP!Y23+SFP!Y24+SFP!Y25</f>
        <v>230582586.31</v>
      </c>
      <c r="AA38" s="26">
        <f>SFP!Z7+SFP!Z16+SFP!Z22+SFP!Z23+SFP!Z24+SFP!Z25</f>
        <v>238050696.70999998</v>
      </c>
      <c r="AB38" s="26">
        <f>SFP!AA7+SFP!AA16+SFP!AA22+SFP!AA23+SFP!AA24+SFP!AA25</f>
        <v>386248248.70999998</v>
      </c>
      <c r="AC38" s="26">
        <f>SFP!AB7+SFP!AB16+SFP!AB22+SFP!AB23+SFP!AB24+SFP!AB25</f>
        <v>253207607.70999998</v>
      </c>
      <c r="AD38" s="26">
        <f>SFP!AC7+SFP!AC16+SFP!AC22+SFP!AC23+SFP!AC24+SFP!AC25</f>
        <v>253179064.38999999</v>
      </c>
      <c r="AE38" s="26">
        <f>SFP!AD7+SFP!AD16+SFP!AD22+SFP!AD23+SFP!AD24+SFP!AD25</f>
        <v>371577497.36000001</v>
      </c>
      <c r="AF38" s="26">
        <f>SFP!AE7+SFP!AE16+SFP!AE22+SFP!AE23+SFP!AE24+SFP!AE25</f>
        <v>401785989.96999997</v>
      </c>
      <c r="AG38" s="26">
        <f>SFP!AF7+SFP!AF16+SFP!AF22+SFP!AF23+SFP!AF24+SFP!AF25</f>
        <v>449702022.5</v>
      </c>
      <c r="AH38" s="254">
        <f>SFP!AG7+SFP!AG16+SFP!AG22+SFP!AG23+SFP!AG24+SFP!AG25</f>
        <v>419166929.29345667</v>
      </c>
      <c r="AI38" s="254">
        <f>SFP!AH7+SFP!AH16+SFP!AH22+SFP!AH23+SFP!AH24+SFP!AH25</f>
        <v>465456528.55000001</v>
      </c>
      <c r="AJ38" s="254">
        <f>SFP!AI7+SFP!AI16+SFP!AI22+SFP!AI23+SFP!AI24+SFP!AI25</f>
        <v>397684364.80999994</v>
      </c>
      <c r="AK38" s="254">
        <f>SFP!AJ7+SFP!AJ16+SFP!AJ22+SFP!AJ23+SFP!AJ24+SFP!AJ25</f>
        <v>417241084.27999997</v>
      </c>
      <c r="AL38" s="254">
        <f>SFP!AK7+SFP!AK16+SFP!AK22+SFP!AK23+SFP!AK24+SFP!AK25</f>
        <v>407588479.40999997</v>
      </c>
      <c r="AM38" s="254">
        <f>SFP!AL7+SFP!AL16+SFP!AL22+SFP!AL23+SFP!AL24+SFP!AL25</f>
        <v>267035246.22999999</v>
      </c>
      <c r="AN38" s="254">
        <f>SFP!AM7+SFP!AM16+SFP!AM22+SFP!AM23+SFP!AM24+SFP!AM25</f>
        <v>430410423.13999999</v>
      </c>
      <c r="AO38" s="254">
        <f>SFP!AN7+SFP!AN16+SFP!AN22+SFP!AN23+SFP!AN24+SFP!AN25</f>
        <v>569446490.53999996</v>
      </c>
      <c r="AP38" s="254">
        <f>SFP!AO7+SFP!AO16+SFP!AO22+SFP!AO23+SFP!AO24+SFP!AO25</f>
        <v>299186984.71000004</v>
      </c>
      <c r="AQ38" s="254">
        <f>SFP!AP7+SFP!AP16+SFP!AP22+SFP!AP23+SFP!AP24+SFP!AP25</f>
        <v>425073648.87</v>
      </c>
      <c r="AR38" s="254">
        <f>SFP!AQ7+SFP!AQ16+SFP!AQ22+SFP!AQ23+SFP!AQ24+SFP!AQ25</f>
        <v>447736801.38</v>
      </c>
      <c r="AS38" s="254">
        <f>SFP!AR7+SFP!AR16+SFP!AR22+SFP!AR23+SFP!AR24+SFP!AR25</f>
        <v>347725278.63</v>
      </c>
      <c r="AT38" s="254">
        <f>SFP!AS7+SFP!AS16+SFP!AS22+SFP!AS23+SFP!AS24+SFP!AS25</f>
        <v>275433313.59000003</v>
      </c>
      <c r="AU38" s="254">
        <f>SFP!AT7+SFP!AT16+SFP!AT22+SFP!AT23+SFP!AT24+SFP!AT25</f>
        <v>317970809</v>
      </c>
      <c r="AV38" s="254">
        <f>SFP!AU7+SFP!AU16+SFP!AU22+SFP!AU23+SFP!AU24+SFP!AU25</f>
        <v>467179682.79999995</v>
      </c>
      <c r="AW38" s="254">
        <f>SFP!AV7+SFP!AV16+SFP!AV22+SFP!AV23+SFP!AV24+SFP!AV25</f>
        <v>460079808.29999995</v>
      </c>
      <c r="AX38" s="254">
        <f>SFP!AW7+SFP!AW16+SFP!AW22+SFP!AW23+SFP!AW24+SFP!AW25</f>
        <v>469626565.68999994</v>
      </c>
      <c r="AY38" s="254">
        <f>SFP!AX7+SFP!AX16+SFP!AX22+SFP!AX23+SFP!AX24+SFP!AX25</f>
        <v>479690172.92999995</v>
      </c>
      <c r="AZ38" s="254">
        <f>SFP!AY7+SFP!AY16+SFP!AY22+SFP!AY23+SFP!AY24+SFP!AY25</f>
        <v>499783265.97000003</v>
      </c>
      <c r="BA38" s="254">
        <f>SFP!AZ7+SFP!AZ16+SFP!AZ22+SFP!AZ23+SFP!AZ24+SFP!AZ25</f>
        <v>333890192.31</v>
      </c>
      <c r="BB38" s="254">
        <f>SFP!BA7+SFP!BA16+SFP!BA22+SFP!BA23+SFP!BA24+SFP!BA25</f>
        <v>534678356.39999998</v>
      </c>
      <c r="BC38" s="254">
        <f>SFP!BB7+SFP!BB16+SFP!BB22+SFP!BB23+SFP!BB24+SFP!BB25</f>
        <v>546338213.12</v>
      </c>
      <c r="BD38" s="254">
        <f>SFP!BC7+SFP!BC16+SFP!BC22+SFP!BC23+SFP!BC24+SFP!BC25</f>
        <v>425067362.55000001</v>
      </c>
      <c r="BE38" s="254">
        <f>SFP!BD7+SFP!BD16+SFP!BD22+SFP!BD23+SFP!BD24+SFP!BD25</f>
        <v>533949307.09999996</v>
      </c>
      <c r="BF38" s="254">
        <f>SFP!BE7+SFP!BE16+SFP!BE22+SFP!BE23+SFP!BE24+SFP!BE25</f>
        <v>360809463.65999997</v>
      </c>
      <c r="BG38" s="254">
        <f>SFP!BF7+SFP!BF16+SFP!BF22+SFP!BF23+SFP!BF24+SFP!BF25</f>
        <v>559179245.09000003</v>
      </c>
      <c r="BH38" s="254">
        <f>SFP!BG7+SFP!BG16+SFP!BG22+SFP!BG23+SFP!BG24+SFP!BG25</f>
        <v>581960546</v>
      </c>
      <c r="BI38" s="254">
        <f>SFP!BH7+SFP!BH16+SFP!BH22+SFP!BH23+SFP!BH24+SFP!BH25</f>
        <v>598406579.90999997</v>
      </c>
      <c r="BJ38" s="254">
        <f>SFP!BI7+SFP!BI16+SFP!BI22+SFP!BI23+SFP!BI24+SFP!BI25</f>
        <v>543477840.34000003</v>
      </c>
      <c r="BK38" s="254">
        <f>SFP!BJ7+SFP!BJ16+SFP!BJ22+SFP!BJ23+SFP!BJ24+SFP!BJ25</f>
        <v>563409177.56000006</v>
      </c>
      <c r="BL38" s="254">
        <f>SFP!BK7+SFP!BK16+SFP!BK22+SFP!BK23+SFP!BK24+SFP!BK25</f>
        <v>349096492.00999999</v>
      </c>
      <c r="BM38" s="254">
        <f>SFP!BL7+SFP!BL16+SFP!BL22+SFP!BL23+SFP!BL24+SFP!BL25</f>
        <v>574070579.85000002</v>
      </c>
      <c r="BN38" s="254">
        <f>SFP!BM7+SFP!BM16+SFP!BM22+SFP!BM23+SFP!BM24+SFP!BM25</f>
        <v>368246161.52999997</v>
      </c>
      <c r="BO38" s="254">
        <f>SFP!BN7+SFP!BN16+SFP!BN22+SFP!BN23+SFP!BN24+SFP!BN25</f>
        <v>538185822.04000008</v>
      </c>
      <c r="BP38" s="254">
        <f>SFP!BO7+SFP!BO16+SFP!BO22+SFP!BO23+SFP!BO24+SFP!BO25</f>
        <v>526636100.12</v>
      </c>
      <c r="BQ38" s="254">
        <f>SFP!BP7+SFP!BP16+SFP!BP22+SFP!BP23+SFP!BP24+SFP!BP25</f>
        <v>323629614.87</v>
      </c>
      <c r="BR38" s="254">
        <f>SFP!BQ7+SFP!BQ16+SFP!BQ22+SFP!BQ23+SFP!BQ24+SFP!BQ25</f>
        <v>523406082.5</v>
      </c>
      <c r="BS38" s="254">
        <f>SFP!BR7+SFP!BR16+SFP!BR22+SFP!BR23+SFP!BR24+SFP!BR25</f>
        <v>524228976.5</v>
      </c>
      <c r="BT38" s="254">
        <f>SFP!BS7+SFP!BS16+SFP!BS22+SFP!BS23+SFP!BS24+SFP!BS25</f>
        <v>304254564.94999999</v>
      </c>
      <c r="BU38" s="254">
        <f>SFP!BT7+SFP!BT16+SFP!BT22+SFP!BT23+SFP!BT24+SFP!BT25</f>
        <v>278441327</v>
      </c>
      <c r="BV38" s="254">
        <f>SFP!BU7+SFP!BU16+SFP!BU22+SFP!BU23+SFP!BU24+SFP!BU25</f>
        <v>473872004.47999996</v>
      </c>
      <c r="BW38" s="254">
        <f>SFP!BV7+SFP!BV16+SFP!BV22+SFP!BV23+SFP!BV24+SFP!BV25</f>
        <v>531561463.13</v>
      </c>
      <c r="BX38" s="254">
        <f>SFP!BW7+SFP!BW16+SFP!BW22+SFP!BW23+SFP!BW24+SFP!BW25</f>
        <v>512821221.16999996</v>
      </c>
      <c r="BY38" s="254">
        <f>SFP!BX7+SFP!BX16+SFP!BX22+SFP!BX23+SFP!BX24+SFP!BX25</f>
        <v>525438783.46999997</v>
      </c>
      <c r="BZ38" s="254">
        <f>SFP!BY7+SFP!BY16+SFP!BY22+SFP!BY23+SFP!BY24+SFP!BY25</f>
        <v>583049091.23000002</v>
      </c>
      <c r="CA38" s="254">
        <f>SFP!BZ7+SFP!BZ16+SFP!BZ22+SFP!BZ23+SFP!BZ24+SFP!BZ25</f>
        <v>348121892.27999997</v>
      </c>
      <c r="CB38" s="254">
        <f>SFP!CA7+SFP!CA16+SFP!CA22+SFP!CA23+SFP!CA24+SFP!CA25</f>
        <v>599150243.29999995</v>
      </c>
      <c r="CC38" s="254">
        <f>SFP!CB7+SFP!CB16+SFP!CB22+SFP!CB23+SFP!CB24+SFP!CB25</f>
        <v>607498551.41000009</v>
      </c>
      <c r="CD38" s="254">
        <f>SFP!CC7+SFP!CC16+SFP!CC22+SFP!CC23+SFP!CC24+SFP!CC25</f>
        <v>632328615.99000001</v>
      </c>
      <c r="CE38" s="254">
        <f>SFP!CD7+SFP!CD16+SFP!CD22+SFP!CD23+SFP!CD24+SFP!CD25</f>
        <v>669080102.4000001</v>
      </c>
      <c r="CF38" s="254">
        <f>SFP!CE7+SFP!CE16+SFP!CE22+SFP!CE23+SFP!CE24+SFP!CE25</f>
        <v>661704128.97000003</v>
      </c>
      <c r="CG38" s="254">
        <f>SFP!CF7+SFP!CF16+SFP!CF22+SFP!CF23+SFP!CF24+SFP!CF25</f>
        <v>641159785.68000007</v>
      </c>
      <c r="CH38" s="254">
        <f>SFP!CG7+SFP!CG16+SFP!CG22+SFP!CG23+SFP!CG24+SFP!CG25</f>
        <v>526462996</v>
      </c>
      <c r="CI38" s="254">
        <f>SFP!CH7+SFP!CH16+SFP!CH22+SFP!CH23+SFP!CH24+SFP!CH25</f>
        <v>645368847.74000001</v>
      </c>
      <c r="CJ38" s="254">
        <f>SFP!CI7+SFP!CI16+SFP!CI22+SFP!CI23+SFP!CI24+SFP!CI25</f>
        <v>693119634.98000014</v>
      </c>
      <c r="CK38" s="254">
        <f>SFP!CJ7+SFP!CJ16+SFP!CJ22+SFP!CJ23+SFP!CJ24+SFP!CJ25</f>
        <v>771487848.08000004</v>
      </c>
      <c r="CL38" s="254">
        <f>SFP!CK7+SFP!CK16+SFP!CK22+SFP!CK23+SFP!CK24+SFP!CK25</f>
        <v>740939282.81000006</v>
      </c>
      <c r="CM38" s="254">
        <f>SFP!CL7+SFP!CL16+SFP!CL22+SFP!CL23+SFP!CL24+SFP!CL25</f>
        <v>683531473.48000002</v>
      </c>
      <c r="CN38" s="254">
        <f>SFP!CM7+SFP!CM16+SFP!CM22+SFP!CM23+SFP!CM24+SFP!CM25</f>
        <v>539695774.45000005</v>
      </c>
      <c r="CO38" s="254">
        <f>SFP!CN7+SFP!CN16+SFP!CN22+SFP!CN23+SFP!CN24+SFP!CN25</f>
        <v>720071934.19000006</v>
      </c>
      <c r="CP38" s="254">
        <f>SFP!CO7+SFP!CO16+SFP!CO22+SFP!CO23+SFP!CO24+SFP!CO25</f>
        <v>796930211.91000009</v>
      </c>
      <c r="CQ38" s="254">
        <f>SFP!CP7+SFP!CP16+SFP!CP22+SFP!CP23+SFP!CP24+SFP!CP25</f>
        <v>744669787.55000007</v>
      </c>
      <c r="CR38" s="254">
        <f>SFP!CQ7+SFP!CQ16+SFP!CQ22+SFP!CQ23+SFP!CQ24+SFP!CQ25</f>
        <v>0</v>
      </c>
      <c r="CS38" s="254">
        <f>SFP!CR7+SFP!CR16+SFP!CR22+SFP!CR23+SFP!CR24+SFP!CR25</f>
        <v>0</v>
      </c>
      <c r="CT38" s="254">
        <f>SFP!CS7+SFP!CS16+SFP!CS22+SFP!CS23+SFP!CS24+SFP!CS25</f>
        <v>0</v>
      </c>
    </row>
    <row r="39" spans="1:98" ht="13.9" thickBot="1">
      <c r="A39" s="17">
        <v>8.1</v>
      </c>
      <c r="B39" s="13" t="s">
        <v>137</v>
      </c>
      <c r="C39" s="28">
        <f>SFP!B22</f>
        <v>30561000</v>
      </c>
      <c r="D39" s="28">
        <f>SFP!C22</f>
        <v>32371000</v>
      </c>
      <c r="E39" s="28">
        <f>SFP!D22</f>
        <v>36204000</v>
      </c>
      <c r="F39" s="28">
        <f>SFP!E22</f>
        <v>51908954</v>
      </c>
      <c r="G39" s="28">
        <f>SFP!F22</f>
        <v>69245464</v>
      </c>
      <c r="H39" s="28">
        <f>SFP!G22</f>
        <v>103160569</v>
      </c>
      <c r="I39" s="28">
        <f>SFP!H22</f>
        <v>287501534.32999998</v>
      </c>
      <c r="J39" s="28">
        <f>SFP!I22</f>
        <v>256211780.91999999</v>
      </c>
      <c r="K39" s="28">
        <f>SFP!J22</f>
        <v>283632203.63999999</v>
      </c>
      <c r="L39" s="28">
        <f>SFP!K22</f>
        <v>302352452.35000002</v>
      </c>
      <c r="M39" s="28">
        <f>SFP!L22</f>
        <v>325504460.37</v>
      </c>
      <c r="N39" s="28">
        <f>SFP!M22</f>
        <v>363903471.00999999</v>
      </c>
      <c r="O39" s="28">
        <f>SFP!N22</f>
        <v>396840835.41000003</v>
      </c>
      <c r="P39" s="28">
        <f>SFP!O22</f>
        <v>439424184.11000001</v>
      </c>
      <c r="Q39" s="28">
        <f>SFP!P22</f>
        <v>469378789.25</v>
      </c>
      <c r="R39" s="28">
        <f>SFP!Q22</f>
        <v>520982780.85000002</v>
      </c>
      <c r="S39" s="28">
        <f>SFP!R22</f>
        <v>527159232.85000002</v>
      </c>
      <c r="T39" s="28">
        <f>SFP!S22</f>
        <v>552418302.85000002</v>
      </c>
      <c r="U39" s="28">
        <f>SFP!T22</f>
        <v>551045563</v>
      </c>
      <c r="V39" s="28">
        <f>SFP!U22</f>
        <v>1177154975.7</v>
      </c>
      <c r="W39" s="28">
        <f>SFP!V22</f>
        <v>591870388.88999999</v>
      </c>
      <c r="X39" s="28">
        <f>SFP!W22</f>
        <v>97838611.780000001</v>
      </c>
      <c r="Y39" s="28">
        <f>SFP!X22</f>
        <v>97823011.780000001</v>
      </c>
      <c r="Z39" s="28">
        <f>SFP!Y22</f>
        <v>97823011.780000001</v>
      </c>
      <c r="AA39" s="28">
        <f>SFP!Z22</f>
        <v>98614051.780000001</v>
      </c>
      <c r="AB39" s="28">
        <f>SFP!AA22</f>
        <v>101420687.48</v>
      </c>
      <c r="AC39" s="28">
        <f>SFP!AB22</f>
        <v>99101594.280000001</v>
      </c>
      <c r="AD39" s="28">
        <f>SFP!AC22</f>
        <v>100621431.88</v>
      </c>
      <c r="AE39" s="28">
        <f>SFP!AD22</f>
        <v>100834534.88</v>
      </c>
      <c r="AF39" s="28">
        <f>SFP!AE22</f>
        <v>100784534.88</v>
      </c>
      <c r="AG39" s="28">
        <f>SFP!AF22</f>
        <v>100489760.08</v>
      </c>
      <c r="AH39" s="255">
        <f>SFP!AG22</f>
        <v>74914830.840230018</v>
      </c>
      <c r="AI39" s="255">
        <f>SFP!AH22</f>
        <v>106773587.18000001</v>
      </c>
      <c r="AJ39" s="255">
        <f>SFP!AI22</f>
        <v>75120154.150000006</v>
      </c>
      <c r="AK39" s="255">
        <f>SFP!AJ22</f>
        <v>75626219.150000006</v>
      </c>
      <c r="AL39" s="255">
        <f>SFP!AK22</f>
        <v>75642294.150000006</v>
      </c>
      <c r="AM39" s="255">
        <f>SFP!AL22</f>
        <v>84050272.150000006</v>
      </c>
      <c r="AN39" s="255">
        <f>SFP!AM22</f>
        <v>84850772.150000006</v>
      </c>
      <c r="AO39" s="255">
        <f>SFP!AN22</f>
        <v>90161580.150000006</v>
      </c>
      <c r="AP39" s="255">
        <f>SFP!AO22</f>
        <v>91622440.150000006</v>
      </c>
      <c r="AQ39" s="255">
        <f>SFP!AP22</f>
        <v>92450582.150000006</v>
      </c>
      <c r="AR39" s="255">
        <f>SFP!AQ22</f>
        <v>92533610.150000006</v>
      </c>
      <c r="AS39" s="255">
        <f>SFP!AR22</f>
        <v>93359518.150000006</v>
      </c>
      <c r="AT39" s="255">
        <f>SFP!AS22</f>
        <v>97960048.150000006</v>
      </c>
      <c r="AU39" s="255">
        <f>SFP!AT22</f>
        <v>77497991</v>
      </c>
      <c r="AV39" s="255">
        <f>SFP!AU22</f>
        <v>99659474.150000006</v>
      </c>
      <c r="AW39" s="255">
        <f>SFP!AV22</f>
        <v>67373440.150000006</v>
      </c>
      <c r="AX39" s="255">
        <f>SFP!AW22</f>
        <v>68643250.150000006</v>
      </c>
      <c r="AY39" s="255">
        <f>SFP!AX22</f>
        <v>71617514.150000006</v>
      </c>
      <c r="AZ39" s="255">
        <f>SFP!AY22</f>
        <v>79765990.150000006</v>
      </c>
      <c r="BA39" s="255">
        <f>SFP!AZ22</f>
        <v>81086010.150000006</v>
      </c>
      <c r="BB39" s="255">
        <f>SFP!BA22</f>
        <v>95933662.75</v>
      </c>
      <c r="BC39" s="255">
        <f>SFP!BB22</f>
        <v>97750557.75</v>
      </c>
      <c r="BD39" s="255">
        <f>SFP!BC22</f>
        <v>98303342.75</v>
      </c>
      <c r="BE39" s="255">
        <f>SFP!BD22</f>
        <v>100990877.75</v>
      </c>
      <c r="BF39" s="255">
        <f>SFP!BE22</f>
        <v>102210907.75</v>
      </c>
      <c r="BG39" s="255">
        <f>SFP!BF22</f>
        <v>104189584.05</v>
      </c>
      <c r="BH39" s="255">
        <f>SFP!BG22</f>
        <v>71351099</v>
      </c>
      <c r="BI39" s="255">
        <f>SFP!BH22</f>
        <v>106179154.05</v>
      </c>
      <c r="BJ39" s="255">
        <f>SFP!BI22</f>
        <v>74272961.450000003</v>
      </c>
      <c r="BK39" s="255">
        <f>SFP!BJ22</f>
        <v>79418054.450000003</v>
      </c>
      <c r="BL39" s="255">
        <f>SFP!BK22</f>
        <v>80346109.450000003</v>
      </c>
      <c r="BM39" s="255">
        <f>SFP!BL22</f>
        <v>83165371.549999997</v>
      </c>
      <c r="BN39" s="255">
        <f>SFP!BM22</f>
        <v>83407050.549999997</v>
      </c>
      <c r="BO39" s="255">
        <f>SFP!BN22</f>
        <v>83790880.549999997</v>
      </c>
      <c r="BP39" s="255">
        <f>SFP!BO22</f>
        <v>85758420.549999997</v>
      </c>
      <c r="BQ39" s="255">
        <f>SFP!BP22</f>
        <v>89870119.549999997</v>
      </c>
      <c r="BR39" s="255">
        <f>SFP!BQ22</f>
        <v>90303136.549999997</v>
      </c>
      <c r="BS39" s="255">
        <f>SFP!BR22</f>
        <v>90467229.950000003</v>
      </c>
      <c r="BT39" s="255">
        <f>SFP!BS22</f>
        <v>91361769.950000003</v>
      </c>
      <c r="BU39" s="255">
        <f>SFP!BT22</f>
        <v>70645484</v>
      </c>
      <c r="BV39" s="255">
        <f>SFP!BU22</f>
        <v>72251979.950000003</v>
      </c>
      <c r="BW39" s="255">
        <f>SFP!BV22</f>
        <v>72342271.950000003</v>
      </c>
      <c r="BX39" s="255">
        <f>SFP!BW22</f>
        <v>73596128.950000003</v>
      </c>
      <c r="BY39" s="255">
        <f>SFP!BX22</f>
        <v>74630896.950000003</v>
      </c>
      <c r="BZ39" s="255">
        <f>SFP!BY22</f>
        <v>87816700.950000003</v>
      </c>
      <c r="CA39" s="255">
        <f>SFP!BZ22</f>
        <v>90110695.950000003</v>
      </c>
      <c r="CB39" s="255">
        <f>SFP!CA22</f>
        <v>94096975.950000003</v>
      </c>
      <c r="CC39" s="255">
        <f>SFP!CB22</f>
        <v>96503425.950000003</v>
      </c>
      <c r="CD39" s="255">
        <f>SFP!CC22</f>
        <v>101626968.95</v>
      </c>
      <c r="CE39" s="255">
        <f>SFP!CD22</f>
        <v>106490717.95</v>
      </c>
      <c r="CF39" s="255">
        <f>SFP!CE22</f>
        <v>110616851.95</v>
      </c>
      <c r="CG39" s="255">
        <f>SFP!CF22</f>
        <v>110892343.95</v>
      </c>
      <c r="CH39" s="255">
        <f>SFP!CG22</f>
        <v>90247140</v>
      </c>
      <c r="CI39" s="255">
        <f>SFP!CH22</f>
        <v>92616665.950000003</v>
      </c>
      <c r="CJ39" s="255">
        <f>SFP!CI22</f>
        <v>99499733.950000003</v>
      </c>
      <c r="CK39" s="255">
        <f>SFP!CJ22</f>
        <v>100692733.95</v>
      </c>
      <c r="CL39" s="255">
        <f>SFP!CK22</f>
        <v>102826112.75</v>
      </c>
      <c r="CM39" s="255">
        <f>SFP!CL22</f>
        <v>103299978.75</v>
      </c>
      <c r="CN39" s="255">
        <f>SFP!CM22</f>
        <v>108025662.75</v>
      </c>
      <c r="CO39" s="255">
        <f>SFP!CN22</f>
        <v>108892174.75</v>
      </c>
      <c r="CP39" s="255">
        <f>SFP!CO22</f>
        <v>109688674.75</v>
      </c>
      <c r="CQ39" s="255">
        <f>SFP!CP22</f>
        <v>111625174.75</v>
      </c>
      <c r="CR39" s="255">
        <f>SFP!CQ22</f>
        <v>0</v>
      </c>
      <c r="CS39" s="255">
        <f>SFP!CR22</f>
        <v>0</v>
      </c>
      <c r="CT39" s="255">
        <f>SFP!CS22</f>
        <v>0</v>
      </c>
    </row>
    <row r="40" spans="1:98" ht="13.9" thickBot="1">
      <c r="A40" s="9"/>
      <c r="B40" s="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260"/>
      <c r="AI40" s="260"/>
      <c r="AJ40" s="260"/>
      <c r="AK40" s="260"/>
      <c r="AL40" s="260"/>
      <c r="AM40" s="260"/>
      <c r="AN40" s="260"/>
      <c r="AO40" s="260"/>
      <c r="AP40" s="260"/>
      <c r="AQ40" s="260"/>
      <c r="AR40" s="260"/>
      <c r="AS40" s="260"/>
      <c r="AT40" s="260"/>
      <c r="AU40" s="260"/>
      <c r="AV40" s="260"/>
      <c r="AW40" s="260"/>
      <c r="AX40" s="260"/>
      <c r="AY40" s="260"/>
      <c r="AZ40" s="260"/>
      <c r="BA40" s="260"/>
      <c r="BB40" s="260"/>
      <c r="BC40" s="260"/>
      <c r="BD40" s="260"/>
      <c r="BE40" s="260"/>
      <c r="BF40" s="260"/>
      <c r="BG40" s="260"/>
      <c r="BH40" s="260"/>
      <c r="BI40" s="260"/>
      <c r="BJ40" s="260"/>
      <c r="BK40" s="260"/>
      <c r="BL40" s="260"/>
      <c r="BM40" s="260"/>
      <c r="BN40" s="260"/>
      <c r="BO40" s="260"/>
      <c r="BP40" s="260"/>
      <c r="BQ40" s="260"/>
      <c r="BR40" s="260"/>
      <c r="BS40" s="260"/>
      <c r="BT40" s="260"/>
      <c r="BU40" s="260"/>
      <c r="BV40" s="260"/>
      <c r="BW40" s="260"/>
      <c r="BX40" s="260"/>
      <c r="BY40" s="260"/>
      <c r="BZ40" s="260"/>
      <c r="CA40" s="260"/>
      <c r="CB40" s="260"/>
      <c r="CC40" s="260"/>
      <c r="CD40" s="260"/>
      <c r="CE40" s="260"/>
      <c r="CF40" s="260"/>
      <c r="CG40" s="260"/>
      <c r="CH40" s="260"/>
      <c r="CI40" s="260"/>
      <c r="CJ40" s="260"/>
      <c r="CK40" s="260"/>
      <c r="CL40" s="260"/>
      <c r="CM40" s="260"/>
      <c r="CN40" s="260"/>
      <c r="CO40" s="260"/>
      <c r="CP40" s="260"/>
      <c r="CQ40" s="260"/>
      <c r="CR40" s="260"/>
      <c r="CS40" s="260"/>
      <c r="CT40" s="260"/>
    </row>
    <row r="41" spans="1:98">
      <c r="A41" s="14">
        <v>9</v>
      </c>
      <c r="B41" s="15" t="s">
        <v>138</v>
      </c>
      <c r="C41" s="26">
        <f t="shared" ref="C41:J41" si="49">C42+C43+C44</f>
        <v>272737000</v>
      </c>
      <c r="D41" s="26">
        <f t="shared" si="49"/>
        <v>315395000</v>
      </c>
      <c r="E41" s="26">
        <f t="shared" si="49"/>
        <v>391908000</v>
      </c>
      <c r="F41" s="26">
        <f t="shared" si="49"/>
        <v>486302029</v>
      </c>
      <c r="G41" s="26">
        <f t="shared" si="49"/>
        <v>557411649</v>
      </c>
      <c r="H41" s="26">
        <f t="shared" si="49"/>
        <v>691077004</v>
      </c>
      <c r="I41" s="26">
        <f t="shared" si="49"/>
        <v>60018211.960000001</v>
      </c>
      <c r="J41" s="26">
        <f t="shared" si="49"/>
        <v>119297112.59</v>
      </c>
      <c r="K41" s="26">
        <f t="shared" ref="K41:P41" si="50">K42+K43+K44</f>
        <v>182223000.25</v>
      </c>
      <c r="L41" s="26">
        <f t="shared" si="50"/>
        <v>246830238.11999997</v>
      </c>
      <c r="M41" s="26">
        <f t="shared" si="50"/>
        <v>314203056.5</v>
      </c>
      <c r="N41" s="26">
        <f t="shared" si="50"/>
        <v>392897339.34000003</v>
      </c>
      <c r="O41" s="26">
        <f t="shared" si="50"/>
        <v>465573139.64000005</v>
      </c>
      <c r="P41" s="26">
        <f t="shared" si="50"/>
        <v>554144953.28999996</v>
      </c>
      <c r="Q41" s="26">
        <f t="shared" ref="Q41:X41" si="51">Q42+Q43+Q44</f>
        <v>643635070.36000001</v>
      </c>
      <c r="R41" s="26">
        <f t="shared" si="51"/>
        <v>722470673.74000001</v>
      </c>
      <c r="S41" s="26">
        <f t="shared" si="51"/>
        <v>796112653.29000008</v>
      </c>
      <c r="T41" s="26">
        <f t="shared" si="51"/>
        <v>896320058.3499999</v>
      </c>
      <c r="U41" s="26">
        <f t="shared" si="51"/>
        <v>896320059</v>
      </c>
      <c r="V41" s="26">
        <f t="shared" si="51"/>
        <v>157513133.84</v>
      </c>
      <c r="W41" s="26">
        <f t="shared" si="51"/>
        <v>152893690.23000002</v>
      </c>
      <c r="X41" s="26">
        <f t="shared" si="51"/>
        <v>234315609.72999999</v>
      </c>
      <c r="Y41" s="26">
        <f t="shared" ref="Y41:AD41" si="52">Y42+Y43+Y44</f>
        <v>319323241.69999999</v>
      </c>
      <c r="Z41" s="26">
        <f t="shared" si="52"/>
        <v>402435622.74000001</v>
      </c>
      <c r="AA41" s="26">
        <f t="shared" si="52"/>
        <v>495140842.17000002</v>
      </c>
      <c r="AB41" s="26">
        <f t="shared" si="52"/>
        <v>577932940.29999995</v>
      </c>
      <c r="AC41" s="26">
        <f t="shared" si="52"/>
        <v>676821385.31999993</v>
      </c>
      <c r="AD41" s="26">
        <f t="shared" si="52"/>
        <v>756421527.60000002</v>
      </c>
      <c r="AE41" s="26">
        <f>AE42+AE43+AE44</f>
        <v>841538385.82000005</v>
      </c>
      <c r="AF41" s="26">
        <f>AF42+AF43+AF44</f>
        <v>935794329.07000005</v>
      </c>
      <c r="AG41" s="26">
        <f>AG42+AG43+AG44</f>
        <v>1036694945.3900001</v>
      </c>
      <c r="AH41" s="254">
        <f>AH42+AH43+AH44</f>
        <v>1038485909</v>
      </c>
      <c r="AI41" s="254">
        <f t="shared" ref="AI41:AU41" si="53">AI42+AI43+AI44</f>
        <v>89128586.870000005</v>
      </c>
      <c r="AJ41" s="254">
        <f t="shared" si="53"/>
        <v>176076413.72999999</v>
      </c>
      <c r="AK41" s="254">
        <f t="shared" si="53"/>
        <v>265695136.00999999</v>
      </c>
      <c r="AL41" s="254">
        <f t="shared" si="53"/>
        <v>360178798.04000002</v>
      </c>
      <c r="AM41" s="254">
        <f t="shared" si="53"/>
        <v>447605011.35000002</v>
      </c>
      <c r="AN41" s="254">
        <f t="shared" si="53"/>
        <v>554694143.82000005</v>
      </c>
      <c r="AO41" s="254">
        <f t="shared" si="53"/>
        <v>648240920.01999998</v>
      </c>
      <c r="AP41" s="254">
        <f t="shared" si="53"/>
        <v>759688165.04999995</v>
      </c>
      <c r="AQ41" s="254">
        <f t="shared" si="53"/>
        <v>853449155.22000003</v>
      </c>
      <c r="AR41" s="254">
        <f t="shared" si="53"/>
        <v>943912475.21000004</v>
      </c>
      <c r="AS41" s="254">
        <f>AS42+AS43+AS44</f>
        <v>1048017852.89</v>
      </c>
      <c r="AT41" s="254">
        <f t="shared" si="53"/>
        <v>1145324543.4899998</v>
      </c>
      <c r="AU41" s="254">
        <f t="shared" si="53"/>
        <v>1185893488</v>
      </c>
      <c r="AV41" s="254">
        <f t="shared" ref="AV41:BA41" si="54">AV42+AV43+AV44</f>
        <v>92723174.149999991</v>
      </c>
      <c r="AW41" s="254">
        <f t="shared" si="54"/>
        <v>189765275.06</v>
      </c>
      <c r="AX41" s="254">
        <f t="shared" si="54"/>
        <v>285394671.43000001</v>
      </c>
      <c r="AY41" s="254">
        <f t="shared" si="54"/>
        <v>389968624.21000004</v>
      </c>
      <c r="AZ41" s="254">
        <f t="shared" si="54"/>
        <v>477668646.81</v>
      </c>
      <c r="BA41" s="254">
        <f t="shared" si="54"/>
        <v>565539106.60000002</v>
      </c>
      <c r="BB41" s="254">
        <f t="shared" ref="BB41:BH41" si="55">BB42+BB43+BB44</f>
        <v>659684796.25999999</v>
      </c>
      <c r="BC41" s="254">
        <f t="shared" si="55"/>
        <v>764305710.99000001</v>
      </c>
      <c r="BD41" s="254">
        <f t="shared" si="55"/>
        <v>865081063.50999999</v>
      </c>
      <c r="BE41" s="254">
        <f t="shared" si="55"/>
        <v>968289383.25999999</v>
      </c>
      <c r="BF41" s="254">
        <f t="shared" si="55"/>
        <v>1066910106.49</v>
      </c>
      <c r="BG41" s="254">
        <f t="shared" si="55"/>
        <v>1174659253.8799999</v>
      </c>
      <c r="BH41" s="254">
        <f t="shared" si="55"/>
        <v>1184995392</v>
      </c>
      <c r="BI41" s="254">
        <f t="shared" ref="BI41:BT41" si="56">BI42+BI43+BI44</f>
        <v>99907059.480000004</v>
      </c>
      <c r="BJ41" s="254">
        <f t="shared" si="56"/>
        <v>193605681.59</v>
      </c>
      <c r="BK41" s="254">
        <f t="shared" si="56"/>
        <v>296007487.54000002</v>
      </c>
      <c r="BL41" s="254">
        <f t="shared" si="56"/>
        <v>426923605.56</v>
      </c>
      <c r="BM41" s="254">
        <f t="shared" si="56"/>
        <v>529974539.69</v>
      </c>
      <c r="BN41" s="254">
        <f t="shared" si="56"/>
        <v>634131702.66999996</v>
      </c>
      <c r="BO41" s="254">
        <f t="shared" si="56"/>
        <v>752578040.13</v>
      </c>
      <c r="BP41" s="254">
        <f t="shared" si="56"/>
        <v>848175326.94000006</v>
      </c>
      <c r="BQ41" s="254">
        <f>BQ42+BQ43+BQ44</f>
        <v>960775743.67999995</v>
      </c>
      <c r="BR41" s="254">
        <f t="shared" si="56"/>
        <v>1069400660.2800001</v>
      </c>
      <c r="BS41" s="254">
        <f t="shared" si="56"/>
        <v>1174270064.97</v>
      </c>
      <c r="BT41" s="254">
        <f t="shared" si="56"/>
        <v>1309500737.05</v>
      </c>
      <c r="BU41" s="254">
        <f t="shared" ref="BU41:CL41" si="57">BU42+BU43+BU44</f>
        <v>1309500738</v>
      </c>
      <c r="BV41" s="254">
        <f t="shared" si="57"/>
        <v>102780416.2</v>
      </c>
      <c r="BW41" s="254">
        <f t="shared" si="57"/>
        <v>223397272.90000001</v>
      </c>
      <c r="BX41" s="254">
        <f t="shared" si="57"/>
        <v>341246427.96999997</v>
      </c>
      <c r="BY41" s="254">
        <f t="shared" si="57"/>
        <v>445582030.13999999</v>
      </c>
      <c r="BZ41" s="254">
        <f t="shared" si="57"/>
        <v>566812274.76999998</v>
      </c>
      <c r="CA41" s="254">
        <f t="shared" si="57"/>
        <v>700335163.76999998</v>
      </c>
      <c r="CB41" s="254">
        <f t="shared" si="57"/>
        <v>815232701.32000005</v>
      </c>
      <c r="CC41" s="254">
        <f t="shared" si="57"/>
        <v>946243236.98000002</v>
      </c>
      <c r="CD41" s="254">
        <f t="shared" si="57"/>
        <v>1083772595.1700001</v>
      </c>
      <c r="CE41" s="254">
        <f t="shared" si="57"/>
        <v>1209794274.1899998</v>
      </c>
      <c r="CF41" s="254">
        <f t="shared" si="57"/>
        <v>1320888784.6099999</v>
      </c>
      <c r="CG41" s="254">
        <f t="shared" si="57"/>
        <v>1551719569.5500002</v>
      </c>
      <c r="CH41" s="254">
        <f t="shared" si="57"/>
        <v>1531950733</v>
      </c>
      <c r="CI41" s="254">
        <f t="shared" si="57"/>
        <v>134998766.71000001</v>
      </c>
      <c r="CJ41" s="254">
        <f t="shared" si="57"/>
        <v>253183894.93000004</v>
      </c>
      <c r="CK41" s="254">
        <f t="shared" si="57"/>
        <v>396936745.43000001</v>
      </c>
      <c r="CL41" s="254">
        <f t="shared" si="57"/>
        <v>525310676.20999998</v>
      </c>
      <c r="CM41" s="254">
        <f t="shared" ref="CM41:CT41" si="58">CM42+CM43+CM44</f>
        <v>656535226.53000009</v>
      </c>
      <c r="CN41" s="254">
        <f t="shared" si="58"/>
        <v>817903632.63999999</v>
      </c>
      <c r="CO41" s="254">
        <f t="shared" si="58"/>
        <v>949880543.08000004</v>
      </c>
      <c r="CP41" s="254">
        <f t="shared" si="58"/>
        <v>1084490117.4000001</v>
      </c>
      <c r="CQ41" s="254">
        <f t="shared" si="58"/>
        <v>1251868363.1299999</v>
      </c>
      <c r="CR41" s="254">
        <f t="shared" si="58"/>
        <v>0</v>
      </c>
      <c r="CS41" s="254">
        <f t="shared" si="58"/>
        <v>0</v>
      </c>
      <c r="CT41" s="254">
        <f t="shared" si="58"/>
        <v>0</v>
      </c>
    </row>
    <row r="42" spans="1:98">
      <c r="A42" s="16">
        <v>9.1</v>
      </c>
      <c r="B42" s="7" t="s">
        <v>139</v>
      </c>
      <c r="C42" s="27">
        <f>SCI!B5</f>
        <v>253602000</v>
      </c>
      <c r="D42" s="27">
        <f>SCI!C5</f>
        <v>289168000</v>
      </c>
      <c r="E42" s="27">
        <f>SCI!D5</f>
        <v>356158000</v>
      </c>
      <c r="F42" s="27">
        <f>SCI!E5</f>
        <v>442597728</v>
      </c>
      <c r="G42" s="27">
        <f>SCI!F5</f>
        <v>503688132</v>
      </c>
      <c r="H42" s="27">
        <f>SCI!G5</f>
        <v>635979383</v>
      </c>
      <c r="I42" s="27">
        <f>SCI!H5</f>
        <v>56614855.789999999</v>
      </c>
      <c r="J42" s="27">
        <f>SCI!I5</f>
        <v>111772075.72</v>
      </c>
      <c r="K42" s="27">
        <f>SCI!J5</f>
        <v>170183516.43000001</v>
      </c>
      <c r="L42" s="27">
        <f>SCI!K5</f>
        <v>232157141.19999999</v>
      </c>
      <c r="M42" s="27">
        <f>SCI!L5</f>
        <v>294959318.37</v>
      </c>
      <c r="N42" s="27">
        <f>SCI!M5</f>
        <v>359796669.16000003</v>
      </c>
      <c r="O42" s="27">
        <f>SCI!N5</f>
        <v>427744139.41000003</v>
      </c>
      <c r="P42" s="27">
        <f>SCI!O5</f>
        <v>510385626.70999998</v>
      </c>
      <c r="Q42" s="27">
        <f>SCI!P5</f>
        <v>596738231.27999997</v>
      </c>
      <c r="R42" s="27">
        <f>SCI!Q5</f>
        <v>672405135.65999997</v>
      </c>
      <c r="S42" s="27">
        <f>SCI!R5</f>
        <v>750977697.22000003</v>
      </c>
      <c r="T42" s="27">
        <f>SCI!S5</f>
        <v>837835510.66999996</v>
      </c>
      <c r="U42" s="27">
        <f>SCI!T5</f>
        <v>837835511</v>
      </c>
      <c r="V42" s="27">
        <f>SCI!U5</f>
        <v>150813213.09999999</v>
      </c>
      <c r="W42" s="27">
        <f>SCI!V5</f>
        <v>143867657.68000001</v>
      </c>
      <c r="X42" s="27">
        <f>SCI!W5</f>
        <v>220651848.47999999</v>
      </c>
      <c r="Y42" s="27">
        <f>SCI!X5</f>
        <v>301985697.30000001</v>
      </c>
      <c r="Z42" s="27">
        <f>SCI!Y5</f>
        <v>381597247.79000002</v>
      </c>
      <c r="AA42" s="27">
        <f>SCI!Z5</f>
        <v>457243086.55000001</v>
      </c>
      <c r="AB42" s="27">
        <f>SCI!AA5</f>
        <v>535823009.76999998</v>
      </c>
      <c r="AC42" s="27">
        <f>SCI!AB5</f>
        <v>629999482.04999995</v>
      </c>
      <c r="AD42" s="27">
        <f>SCI!AC5</f>
        <v>705342607.49000001</v>
      </c>
      <c r="AE42" s="27">
        <f>SCI!AD5</f>
        <v>785672219.95000005</v>
      </c>
      <c r="AF42" s="27">
        <f>SCI!AE5</f>
        <v>875347444.09000003</v>
      </c>
      <c r="AG42" s="27">
        <f>SCI!AF5</f>
        <v>969678514.45000005</v>
      </c>
      <c r="AH42" s="236">
        <f>SCI!AG5</f>
        <v>969678514</v>
      </c>
      <c r="AI42" s="236">
        <f>SCI!AH5</f>
        <v>83871106.840000004</v>
      </c>
      <c r="AJ42" s="236">
        <f>SCI!AI5</f>
        <v>162887034.88</v>
      </c>
      <c r="AK42" s="236">
        <f>SCI!AJ5</f>
        <v>246305595.41</v>
      </c>
      <c r="AL42" s="236">
        <f>SCI!AK5</f>
        <v>335648026.17000002</v>
      </c>
      <c r="AM42" s="236">
        <f>SCI!AL5</f>
        <v>417586108.66000003</v>
      </c>
      <c r="AN42" s="236">
        <f>SCI!AM5</f>
        <v>501718103.17000002</v>
      </c>
      <c r="AO42" s="236">
        <f>SCI!AN5</f>
        <v>589527974.25999999</v>
      </c>
      <c r="AP42" s="236">
        <f>SCI!AO5</f>
        <v>689302356.05999994</v>
      </c>
      <c r="AQ42" s="236">
        <f>SCI!AP5</f>
        <v>775565761.09000003</v>
      </c>
      <c r="AR42" s="236">
        <f>SCI!AQ5</f>
        <v>859283258.97000003</v>
      </c>
      <c r="AS42" s="236">
        <f>SCI!AR5</f>
        <v>955596838.97000003</v>
      </c>
      <c r="AT42" s="236">
        <f>SCI!AS5</f>
        <v>1043781341.67</v>
      </c>
      <c r="AU42" s="236">
        <f>SCI!AT5</f>
        <v>1043781324</v>
      </c>
      <c r="AV42" s="236">
        <f>SCI!AU5</f>
        <v>86861125.849999994</v>
      </c>
      <c r="AW42" s="236">
        <f>SCI!AV5</f>
        <v>170235770.05000001</v>
      </c>
      <c r="AX42" s="236">
        <f>SCI!AW5</f>
        <v>256888253.72</v>
      </c>
      <c r="AY42" s="236">
        <f>SCI!AX5</f>
        <v>336719491.62</v>
      </c>
      <c r="AZ42" s="236">
        <f>SCI!AY5</f>
        <v>417467850.88</v>
      </c>
      <c r="BA42" s="236">
        <f>SCI!AZ5</f>
        <v>495610481.55000001</v>
      </c>
      <c r="BB42" s="236">
        <f>SCI!BA5</f>
        <v>577932569</v>
      </c>
      <c r="BC42" s="236">
        <f>SCI!BB5</f>
        <v>673360888.20000005</v>
      </c>
      <c r="BD42" s="236">
        <f>SCI!BC5</f>
        <v>763115486.70000005</v>
      </c>
      <c r="BE42" s="236">
        <f>SCI!BD5</f>
        <v>854738566</v>
      </c>
      <c r="BF42" s="236">
        <f>SCI!BE5</f>
        <v>945197517.88999999</v>
      </c>
      <c r="BG42" s="236">
        <f>SCI!BF5</f>
        <v>1034523352.04</v>
      </c>
      <c r="BH42" s="236">
        <f>SCI!BG5</f>
        <v>1034523352</v>
      </c>
      <c r="BI42" s="236">
        <f>SCI!BH5</f>
        <v>85521103.349999994</v>
      </c>
      <c r="BJ42" s="236">
        <f>SCI!BI5</f>
        <v>168093389.15000001</v>
      </c>
      <c r="BK42" s="236">
        <f>SCI!BJ5</f>
        <v>257016907.75</v>
      </c>
      <c r="BL42" s="236">
        <f>SCI!BK5</f>
        <v>349232126.30000001</v>
      </c>
      <c r="BM42" s="236">
        <f>SCI!BL5</f>
        <v>439705929.25</v>
      </c>
      <c r="BN42" s="236">
        <f>SCI!BM5</f>
        <v>531178055.14999998</v>
      </c>
      <c r="BO42" s="236">
        <f>SCI!BN5</f>
        <v>631413558.85000002</v>
      </c>
      <c r="BP42" s="236">
        <f>SCI!BO5</f>
        <v>714299470.5</v>
      </c>
      <c r="BQ42" s="236">
        <f>SCI!BP5</f>
        <v>799762362.64999998</v>
      </c>
      <c r="BR42" s="236">
        <f>SCI!BQ5</f>
        <v>895129286.45000005</v>
      </c>
      <c r="BS42" s="236">
        <f>SCI!BR5</f>
        <v>985332501.84000003</v>
      </c>
      <c r="BT42" s="236">
        <f>SCI!BS5</f>
        <v>1078127616.5899999</v>
      </c>
      <c r="BU42" s="236">
        <f>SCI!BT5</f>
        <v>1078127618</v>
      </c>
      <c r="BV42" s="236">
        <f>SCI!BU5</f>
        <v>90384419.5</v>
      </c>
      <c r="BW42" s="236">
        <f>SCI!BV5</f>
        <v>184255220.90000001</v>
      </c>
      <c r="BX42" s="236">
        <f>SCI!BW5</f>
        <v>281830364.76999998</v>
      </c>
      <c r="BY42" s="236">
        <f>SCI!BX5</f>
        <v>379753094.62</v>
      </c>
      <c r="BZ42" s="236">
        <f>SCI!BY5</f>
        <v>477438137.35000002</v>
      </c>
      <c r="CA42" s="236">
        <f>SCI!BZ5</f>
        <v>576220505.03999996</v>
      </c>
      <c r="CB42" s="236">
        <f>SCI!CA5</f>
        <v>679705777.59000003</v>
      </c>
      <c r="CC42" s="236">
        <f>SCI!CB5</f>
        <v>783261263.99000001</v>
      </c>
      <c r="CD42" s="236">
        <f>SCI!CC5</f>
        <v>893060845.59000003</v>
      </c>
      <c r="CE42" s="236">
        <f>SCI!CD5</f>
        <v>1001066018.29</v>
      </c>
      <c r="CF42" s="236">
        <f>SCI!CE5</f>
        <v>1110735128.9400001</v>
      </c>
      <c r="CG42" s="236">
        <f>SCI!CF5</f>
        <v>1322051910.6400001</v>
      </c>
      <c r="CH42" s="236">
        <f>SCI!CG5</f>
        <v>1222051910</v>
      </c>
      <c r="CI42" s="236">
        <f>SCI!CH5</f>
        <v>110407540.45</v>
      </c>
      <c r="CJ42" s="236">
        <f>SCI!CI5</f>
        <v>220478270.30000001</v>
      </c>
      <c r="CK42" s="236">
        <f>SCI!CJ5</f>
        <v>331788098.60000002</v>
      </c>
      <c r="CL42" s="236">
        <f>SCI!CK5</f>
        <v>444755940.83999997</v>
      </c>
      <c r="CM42" s="236">
        <f>SCI!CL5</f>
        <v>560239059.75999999</v>
      </c>
      <c r="CN42" s="236">
        <f>SCI!CM5</f>
        <v>674405789.11000001</v>
      </c>
      <c r="CO42" s="236">
        <f>SCI!CN5</f>
        <v>790373298.26999998</v>
      </c>
      <c r="CP42" s="236">
        <f>SCI!CO5</f>
        <v>913594019.62</v>
      </c>
      <c r="CQ42" s="236">
        <f>SCI!CP5</f>
        <v>1034061155.9</v>
      </c>
      <c r="CR42" s="236">
        <f>SCI!CQ5</f>
        <v>0</v>
      </c>
      <c r="CS42" s="236">
        <f>SCI!CR5</f>
        <v>0</v>
      </c>
      <c r="CT42" s="236">
        <f>SCI!CS5</f>
        <v>0</v>
      </c>
    </row>
    <row r="43" spans="1:98">
      <c r="A43" s="16"/>
      <c r="B43" s="7" t="s">
        <v>140</v>
      </c>
      <c r="C43" s="27">
        <f>SCI!B7</f>
        <v>18694000</v>
      </c>
      <c r="D43" s="27">
        <f>SCI!C7</f>
        <v>4718000</v>
      </c>
      <c r="E43" s="27">
        <f>SCI!D7</f>
        <v>28539000</v>
      </c>
      <c r="F43" s="27">
        <f>SCI!E7</f>
        <v>43704301</v>
      </c>
      <c r="G43" s="27">
        <f>SCI!F7</f>
        <v>38211607</v>
      </c>
      <c r="H43" s="27">
        <f>SCI!G7</f>
        <v>45694494</v>
      </c>
      <c r="I43" s="27">
        <f>SCI!H7</f>
        <v>3403356.17</v>
      </c>
      <c r="J43" s="27">
        <f>SCI!I7</f>
        <v>7525036.8700000001</v>
      </c>
      <c r="K43" s="27">
        <f>SCI!J7</f>
        <v>12039483.82</v>
      </c>
      <c r="L43" s="27">
        <f>SCI!K7</f>
        <v>14673096.92</v>
      </c>
      <c r="M43" s="27">
        <f>SCI!L7</f>
        <v>19243738.129999999</v>
      </c>
      <c r="N43" s="27">
        <f>SCI!M7</f>
        <v>33100670.18</v>
      </c>
      <c r="O43" s="27">
        <f>SCI!N7</f>
        <v>37829000.230000004</v>
      </c>
      <c r="P43" s="27">
        <f>SCI!O7</f>
        <v>43759326.579999998</v>
      </c>
      <c r="Q43" s="27">
        <f>SCI!P7</f>
        <v>46896839.079999998</v>
      </c>
      <c r="R43" s="27">
        <f>SCI!Q7</f>
        <v>50065538.079999998</v>
      </c>
      <c r="S43" s="27">
        <f>SCI!R7</f>
        <v>45134956.07</v>
      </c>
      <c r="T43" s="27">
        <f>SCI!S7</f>
        <v>58484547.68</v>
      </c>
      <c r="U43" s="27">
        <f>SCI!T7</f>
        <v>7030991</v>
      </c>
      <c r="V43" s="27">
        <f>SCI!U7</f>
        <v>6699920.7400000002</v>
      </c>
      <c r="W43" s="27">
        <f>SCI!V7</f>
        <v>9026032.5500000007</v>
      </c>
      <c r="X43" s="27">
        <f>SCI!W7</f>
        <v>13663761.25</v>
      </c>
      <c r="Y43" s="27">
        <f>SCI!X7</f>
        <v>17337544.399999999</v>
      </c>
      <c r="Z43" s="27">
        <f>SCI!Y7</f>
        <v>20838374.949999999</v>
      </c>
      <c r="AA43" s="27">
        <f>SCI!Z7</f>
        <v>37897755.619999997</v>
      </c>
      <c r="AB43" s="27">
        <f>SCI!AA7</f>
        <v>42109930.530000001</v>
      </c>
      <c r="AC43" s="27">
        <f>SCI!AB7</f>
        <v>46821903.270000003</v>
      </c>
      <c r="AD43" s="27">
        <f>SCI!AC7</f>
        <v>29112894.41</v>
      </c>
      <c r="AE43" s="27">
        <f>SCI!AD7</f>
        <v>31589106.57</v>
      </c>
      <c r="AF43" s="27">
        <f>SCI!AE7</f>
        <v>33822878.379999995</v>
      </c>
      <c r="AG43" s="27">
        <f>SCI!AF7</f>
        <v>67016430.939999998</v>
      </c>
      <c r="AH43" s="236">
        <f>SCI!AG7</f>
        <v>68807395</v>
      </c>
      <c r="AI43" s="236">
        <f>SCI!AH7</f>
        <v>2840288.13</v>
      </c>
      <c r="AJ43" s="236">
        <f>SCI!AI7</f>
        <v>7894181.75</v>
      </c>
      <c r="AK43" s="236">
        <f>SCI!AJ7</f>
        <v>19389540.600000001</v>
      </c>
      <c r="AL43" s="236">
        <f>SCI!AK7</f>
        <v>24530771.869999997</v>
      </c>
      <c r="AM43" s="236">
        <f>SCI!AL7</f>
        <v>30018902.689999998</v>
      </c>
      <c r="AN43" s="236">
        <f>SCI!AM7</f>
        <v>35808290.75</v>
      </c>
      <c r="AO43" s="236">
        <f>SCI!AN7</f>
        <v>58712945.759999998</v>
      </c>
      <c r="AP43" s="236">
        <f>SCI!AO7</f>
        <v>48041660.289999999</v>
      </c>
      <c r="AQ43" s="236">
        <f>SCI!AP7</f>
        <v>52832137.030000001</v>
      </c>
      <c r="AR43" s="236">
        <f>SCI!AQ7</f>
        <v>56843388.039999999</v>
      </c>
      <c r="AS43" s="236">
        <f>SCI!AR7</f>
        <v>61220364.399999999</v>
      </c>
      <c r="AT43" s="236">
        <f>SCI!AS7</f>
        <v>68364344.219999999</v>
      </c>
      <c r="AU43" s="236">
        <f>SCI!AT7</f>
        <v>142112164</v>
      </c>
      <c r="AV43" s="236">
        <f>SCI!AU7</f>
        <v>3005819.6</v>
      </c>
      <c r="AW43" s="236">
        <f>SCI!AV7</f>
        <v>13006910.51</v>
      </c>
      <c r="AX43" s="236">
        <f>SCI!AW7</f>
        <v>18294945.91</v>
      </c>
      <c r="AY43" s="236">
        <f>SCI!AX7</f>
        <v>40704201.489999995</v>
      </c>
      <c r="AZ43" s="236">
        <f>SCI!AY7</f>
        <v>44925224.230000004</v>
      </c>
      <c r="BA43" s="236">
        <f>SCI!AZ7</f>
        <v>52318251.149999999</v>
      </c>
      <c r="BB43" s="236">
        <f>SCI!BA7</f>
        <v>60958452.760000005</v>
      </c>
      <c r="BC43" s="236">
        <f>SCI!BB7</f>
        <v>66733272.489999995</v>
      </c>
      <c r="BD43" s="236">
        <f>SCI!BC7</f>
        <v>75525359.409999996</v>
      </c>
      <c r="BE43" s="236">
        <f>SCI!BD7</f>
        <v>83932523.159999996</v>
      </c>
      <c r="BF43" s="236">
        <f>SCI!BE7</f>
        <v>88957990.399999991</v>
      </c>
      <c r="BG43" s="236">
        <f>SCI!BF7</f>
        <v>104236455.04000001</v>
      </c>
      <c r="BH43" s="236">
        <f>SCI!BG7</f>
        <v>150472040</v>
      </c>
      <c r="BI43" s="236">
        <f>SCI!BH7</f>
        <v>3360824.23</v>
      </c>
      <c r="BJ43" s="236">
        <f>SCI!BI7</f>
        <v>7774638.2400000002</v>
      </c>
      <c r="BK43" s="236">
        <f>SCI!BJ7</f>
        <v>12260509.290000001</v>
      </c>
      <c r="BL43" s="236">
        <f>SCI!BK7</f>
        <v>34162318.759999998</v>
      </c>
      <c r="BM43" s="236">
        <f>SCI!BL7</f>
        <v>38120935.739999995</v>
      </c>
      <c r="BN43" s="236">
        <f>SCI!BM7</f>
        <v>102953647.52000001</v>
      </c>
      <c r="BO43" s="236">
        <f>SCI!BN7</f>
        <v>94533184.879999995</v>
      </c>
      <c r="BP43" s="236">
        <f>SCI!BO7</f>
        <v>103692833.94</v>
      </c>
      <c r="BQ43" s="236">
        <f>SCI!BP7</f>
        <v>127024153.43000001</v>
      </c>
      <c r="BR43" s="236">
        <f>SCI!BQ7</f>
        <v>136120260.33000001</v>
      </c>
      <c r="BS43" s="236">
        <f>SCI!BR7</f>
        <v>147142369.03</v>
      </c>
      <c r="BT43" s="236">
        <f>SCI!BS7</f>
        <v>180011256.66</v>
      </c>
      <c r="BU43" s="236">
        <f>SCI!BT7</f>
        <v>189916553</v>
      </c>
      <c r="BV43" s="236">
        <f>SCI!BU7</f>
        <v>8042251.7000000002</v>
      </c>
      <c r="BW43" s="236">
        <f>SCI!BV7</f>
        <v>30682510.400000002</v>
      </c>
      <c r="BX43" s="236">
        <f>SCI!BW7</f>
        <v>46036942.899999999</v>
      </c>
      <c r="BY43" s="236">
        <f>SCI!BX7</f>
        <v>48274259.32</v>
      </c>
      <c r="BZ43" s="236">
        <f>SCI!BY7</f>
        <v>67690928.420000002</v>
      </c>
      <c r="CA43" s="236">
        <f>SCI!BZ7</f>
        <v>96283236.329999998</v>
      </c>
      <c r="CB43" s="236">
        <f>SCI!CA7</f>
        <v>102890204.13</v>
      </c>
      <c r="CC43" s="236">
        <f>SCI!CB7</f>
        <v>125702809.09</v>
      </c>
      <c r="CD43" s="236">
        <f>SCI!CC7</f>
        <v>148714081.47999999</v>
      </c>
      <c r="CE43" s="236">
        <f>SCI!CD7</f>
        <v>162112549.30000001</v>
      </c>
      <c r="CF43" s="236">
        <f>SCI!CE7</f>
        <v>175605169.06999999</v>
      </c>
      <c r="CG43" s="236">
        <f>SCI!CF7</f>
        <v>190379115.50999999</v>
      </c>
      <c r="CH43" s="236">
        <f>SCI!CG7</f>
        <v>275987942</v>
      </c>
      <c r="CI43" s="236">
        <f>SCI!CH7</f>
        <v>17933011.059999999</v>
      </c>
      <c r="CJ43" s="236">
        <f>SCI!CI7</f>
        <v>20968376.830000002</v>
      </c>
      <c r="CK43" s="236">
        <f>SCI!CJ7</f>
        <v>48138287.43</v>
      </c>
      <c r="CL43" s="236">
        <f>SCI!CK7</f>
        <v>58816379.170000002</v>
      </c>
      <c r="CM43" s="236">
        <f>SCI!CL7</f>
        <v>66263587.07</v>
      </c>
      <c r="CN43" s="236">
        <f>SCI!CM7</f>
        <v>106870030.53</v>
      </c>
      <c r="CO43" s="236">
        <f>SCI!CN7</f>
        <v>116660428.11</v>
      </c>
      <c r="CP43" s="236">
        <f>SCI!CO7</f>
        <v>121382305.38</v>
      </c>
      <c r="CQ43" s="236">
        <f>SCI!CP7</f>
        <v>161870985.93000001</v>
      </c>
      <c r="CR43" s="236">
        <f>SCI!CQ7</f>
        <v>0</v>
      </c>
      <c r="CS43" s="236">
        <f>SCI!CR7</f>
        <v>0</v>
      </c>
      <c r="CT43" s="236">
        <f>SCI!CS7</f>
        <v>0</v>
      </c>
    </row>
    <row r="44" spans="1:98">
      <c r="A44" s="16">
        <v>9.1999999999999993</v>
      </c>
      <c r="B44" s="7" t="s">
        <v>141</v>
      </c>
      <c r="C44" s="27">
        <f>SCI!B6</f>
        <v>441000</v>
      </c>
      <c r="D44" s="27">
        <f>SCI!C6</f>
        <v>21509000</v>
      </c>
      <c r="E44" s="27">
        <f>SCI!D6</f>
        <v>7211000</v>
      </c>
      <c r="F44" s="27">
        <f>SCI!E6</f>
        <v>0</v>
      </c>
      <c r="G44" s="27">
        <f>SCI!F6</f>
        <v>15511910</v>
      </c>
      <c r="H44" s="27">
        <f>SCI!G6</f>
        <v>9403127</v>
      </c>
      <c r="I44" s="27">
        <f>SCI!H6</f>
        <v>0</v>
      </c>
      <c r="J44" s="27">
        <f>SCI!I6</f>
        <v>0</v>
      </c>
      <c r="K44" s="27">
        <f>SCI!J6</f>
        <v>0</v>
      </c>
      <c r="L44" s="27">
        <f>SCI!K6</f>
        <v>0</v>
      </c>
      <c r="M44" s="27">
        <f>SCI!L6</f>
        <v>0</v>
      </c>
      <c r="N44" s="27">
        <f>SCI!M6</f>
        <v>0</v>
      </c>
      <c r="O44" s="27">
        <f>SCI!N6</f>
        <v>0</v>
      </c>
      <c r="P44" s="27">
        <f>SCI!O6</f>
        <v>0</v>
      </c>
      <c r="Q44" s="27">
        <f>SCI!P6</f>
        <v>0</v>
      </c>
      <c r="R44" s="27">
        <f>SCI!Q6</f>
        <v>0</v>
      </c>
      <c r="S44" s="27">
        <f>SCI!R6</f>
        <v>0</v>
      </c>
      <c r="T44" s="27">
        <f>SCI!S6</f>
        <v>0</v>
      </c>
      <c r="U44" s="27">
        <f>SCI!T6</f>
        <v>51453557</v>
      </c>
      <c r="V44" s="27">
        <f>SCI!U6</f>
        <v>0</v>
      </c>
      <c r="W44" s="27">
        <f>SCI!V6</f>
        <v>0</v>
      </c>
      <c r="X44" s="27">
        <f>SCI!W6</f>
        <v>0</v>
      </c>
      <c r="Y44" s="27">
        <f>SCI!X6</f>
        <v>0</v>
      </c>
      <c r="Z44" s="27">
        <f>SCI!Y6</f>
        <v>0</v>
      </c>
      <c r="AA44" s="27">
        <f>SCI!Z6</f>
        <v>0</v>
      </c>
      <c r="AB44" s="27">
        <f>SCI!AA6</f>
        <v>0</v>
      </c>
      <c r="AC44" s="27">
        <f>SCI!AB6</f>
        <v>0</v>
      </c>
      <c r="AD44" s="27">
        <f>SCI!AC6</f>
        <v>21966025.699999999</v>
      </c>
      <c r="AE44" s="27">
        <f>SCI!AD6</f>
        <v>24277059.300000001</v>
      </c>
      <c r="AF44" s="27">
        <f>SCI!AE6</f>
        <v>26624006.600000001</v>
      </c>
      <c r="AG44" s="27">
        <f>SCI!AF6</f>
        <v>0</v>
      </c>
      <c r="AH44" s="236">
        <f>SCI!AG6</f>
        <v>0</v>
      </c>
      <c r="AI44" s="236">
        <f>SCI!AH6</f>
        <v>2417191.9</v>
      </c>
      <c r="AJ44" s="236">
        <f>SCI!AI6</f>
        <v>5295197.0999999996</v>
      </c>
      <c r="AK44" s="236">
        <f>SCI!AJ6</f>
        <v>0</v>
      </c>
      <c r="AL44" s="236">
        <f>SCI!AK6</f>
        <v>0</v>
      </c>
      <c r="AM44" s="236">
        <f>SCI!AL6</f>
        <v>0</v>
      </c>
      <c r="AN44" s="236">
        <f>SCI!AM6</f>
        <v>17167749.899999999</v>
      </c>
      <c r="AO44" s="236">
        <f>SCI!AN6</f>
        <v>0</v>
      </c>
      <c r="AP44" s="236">
        <f>SCI!AO6</f>
        <v>22344148.699999999</v>
      </c>
      <c r="AQ44" s="236">
        <f>SCI!AP6</f>
        <v>25051257.100000001</v>
      </c>
      <c r="AR44" s="236">
        <f>SCI!AQ6</f>
        <v>27785828.199999999</v>
      </c>
      <c r="AS44" s="236">
        <f>SCI!AR6</f>
        <v>31200649.52</v>
      </c>
      <c r="AT44" s="236">
        <f>SCI!AS6</f>
        <v>33178857.600000001</v>
      </c>
      <c r="AU44" s="236">
        <f>SCI!AT6</f>
        <v>0</v>
      </c>
      <c r="AV44" s="236">
        <f>SCI!AU6</f>
        <v>2856228.7</v>
      </c>
      <c r="AW44" s="236">
        <f>SCI!AV6</f>
        <v>6522594.5</v>
      </c>
      <c r="AX44" s="236">
        <f>SCI!AW6</f>
        <v>10211471.800000001</v>
      </c>
      <c r="AY44" s="236">
        <f>SCI!AX6</f>
        <v>12544931.1</v>
      </c>
      <c r="AZ44" s="236">
        <f>SCI!AY6</f>
        <v>15275571.699999999</v>
      </c>
      <c r="BA44" s="236">
        <f>SCI!AZ6</f>
        <v>17610373.899999999</v>
      </c>
      <c r="BB44" s="236">
        <f>SCI!BA6</f>
        <v>20793774.5</v>
      </c>
      <c r="BC44" s="236">
        <f>SCI!BB6</f>
        <v>24211550.300000001</v>
      </c>
      <c r="BD44" s="236">
        <f>SCI!BC6</f>
        <v>26440217.399999999</v>
      </c>
      <c r="BE44" s="236">
        <f>SCI!BD6</f>
        <v>29618294.100000001</v>
      </c>
      <c r="BF44" s="236">
        <f>SCI!BE6</f>
        <v>32754598.199999999</v>
      </c>
      <c r="BG44" s="236">
        <f>SCI!BF6</f>
        <v>35899446.799999997</v>
      </c>
      <c r="BH44" s="236">
        <f>SCI!BG6</f>
        <v>0</v>
      </c>
      <c r="BI44" s="236">
        <f>SCI!BH6</f>
        <v>11025131.9</v>
      </c>
      <c r="BJ44" s="236">
        <f>SCI!BI6</f>
        <v>17737654.199999999</v>
      </c>
      <c r="BK44" s="236">
        <f>SCI!BJ6</f>
        <v>26730070.5</v>
      </c>
      <c r="BL44" s="236">
        <f>SCI!BK6</f>
        <v>43529160.5</v>
      </c>
      <c r="BM44" s="236">
        <f>SCI!BL6</f>
        <v>52147674.700000003</v>
      </c>
      <c r="BN44" s="236">
        <f>SCI!BM6</f>
        <v>0</v>
      </c>
      <c r="BO44" s="236">
        <f>SCI!BN6</f>
        <v>26631296.399999999</v>
      </c>
      <c r="BP44" s="236">
        <f>SCI!BO6</f>
        <v>30183022.5</v>
      </c>
      <c r="BQ44" s="236">
        <f>SCI!BP6</f>
        <v>33989227.600000001</v>
      </c>
      <c r="BR44" s="236">
        <f>SCI!BQ6</f>
        <v>38151113.5</v>
      </c>
      <c r="BS44" s="236">
        <f>SCI!BR6</f>
        <v>41795194.100000001</v>
      </c>
      <c r="BT44" s="236">
        <f>SCI!BS6</f>
        <v>51361863.799999997</v>
      </c>
      <c r="BU44" s="236">
        <f>SCI!BT6</f>
        <v>41456567</v>
      </c>
      <c r="BV44" s="236">
        <f>SCI!BU6</f>
        <v>4353745</v>
      </c>
      <c r="BW44" s="236">
        <f>SCI!BV6</f>
        <v>8459541.5999999996</v>
      </c>
      <c r="BX44" s="236">
        <f>SCI!BW6</f>
        <v>13379120.300000001</v>
      </c>
      <c r="BY44" s="236">
        <f>SCI!BX6</f>
        <v>17554676.199999999</v>
      </c>
      <c r="BZ44" s="236">
        <f>SCI!BY6</f>
        <v>21683209</v>
      </c>
      <c r="CA44" s="236">
        <f>SCI!BZ6</f>
        <v>27831422.399999999</v>
      </c>
      <c r="CB44" s="236">
        <f>SCI!CA6</f>
        <v>32636719.600000001</v>
      </c>
      <c r="CC44" s="236">
        <f>SCI!CB6</f>
        <v>37279163.899999999</v>
      </c>
      <c r="CD44" s="236">
        <f>SCI!CC6</f>
        <v>41997668.100000001</v>
      </c>
      <c r="CE44" s="236">
        <f>SCI!CD6</f>
        <v>46615706.600000001</v>
      </c>
      <c r="CF44" s="236">
        <f>SCI!CE6</f>
        <v>34548486.600000001</v>
      </c>
      <c r="CG44" s="236">
        <f>SCI!CF6</f>
        <v>39288543.399999999</v>
      </c>
      <c r="CH44" s="236">
        <f>SCI!CG6</f>
        <v>33910881</v>
      </c>
      <c r="CI44" s="236">
        <f>SCI!CH6</f>
        <v>6658215.2000000002</v>
      </c>
      <c r="CJ44" s="236">
        <f>SCI!CI6</f>
        <v>11737247.800000001</v>
      </c>
      <c r="CK44" s="236">
        <f>SCI!CJ6</f>
        <v>17010359.399999999</v>
      </c>
      <c r="CL44" s="236">
        <f>SCI!CK6</f>
        <v>21738356.199999999</v>
      </c>
      <c r="CM44" s="236">
        <f>SCI!CL6</f>
        <v>30032579.699999999</v>
      </c>
      <c r="CN44" s="236">
        <f>SCI!CM6</f>
        <v>36627813</v>
      </c>
      <c r="CO44" s="236">
        <f>SCI!CN6</f>
        <v>42846816.700000003</v>
      </c>
      <c r="CP44" s="236">
        <f>SCI!CO6</f>
        <v>49513792.399999999</v>
      </c>
      <c r="CQ44" s="236">
        <f>SCI!CP6</f>
        <v>55936221.299999997</v>
      </c>
      <c r="CR44" s="236">
        <f>SCI!CQ6</f>
        <v>0</v>
      </c>
      <c r="CS44" s="236">
        <f>SCI!CR6</f>
        <v>0</v>
      </c>
      <c r="CT44" s="236">
        <f>SCI!CS6</f>
        <v>0</v>
      </c>
    </row>
    <row r="45" spans="1:98" ht="13.9" thickBot="1">
      <c r="A45" s="17"/>
      <c r="B45" s="13" t="s">
        <v>142</v>
      </c>
      <c r="C45" s="21">
        <f t="shared" ref="C45:J45" si="59">C42/C32</f>
        <v>0.17382453456380392</v>
      </c>
      <c r="D45" s="21">
        <f t="shared" si="59"/>
        <v>0.17139192519562296</v>
      </c>
      <c r="E45" s="21">
        <f t="shared" si="59"/>
        <v>0.17860767872903796</v>
      </c>
      <c r="F45" s="21">
        <f t="shared" si="59"/>
        <v>0.17431950499043464</v>
      </c>
      <c r="G45" s="21">
        <f t="shared" si="59"/>
        <v>0.15825161765476387</v>
      </c>
      <c r="H45" s="21">
        <f t="shared" si="59"/>
        <v>0.15451020793932191</v>
      </c>
      <c r="I45" s="21">
        <f t="shared" si="59"/>
        <v>1.3842118409323468E-2</v>
      </c>
      <c r="J45" s="21">
        <f t="shared" si="59"/>
        <v>2.7156142238504207E-2</v>
      </c>
      <c r="K45" s="21">
        <f t="shared" ref="K45:P45" si="60">K42/K32</f>
        <v>4.1317117513481438E-2</v>
      </c>
      <c r="L45" s="21">
        <f t="shared" si="60"/>
        <v>5.5438272737199902E-2</v>
      </c>
      <c r="M45" s="21">
        <f t="shared" si="60"/>
        <v>6.9582539725965148E-2</v>
      </c>
      <c r="N45" s="21">
        <f t="shared" si="60"/>
        <v>8.2610299150404368E-2</v>
      </c>
      <c r="O45" s="21">
        <f t="shared" si="60"/>
        <v>9.5715168081359811E-2</v>
      </c>
      <c r="P45" s="21">
        <f t="shared" si="60"/>
        <v>0.10683634362011815</v>
      </c>
      <c r="Q45" s="21">
        <f t="shared" ref="Q45:W45" si="61">Q42/Q32</f>
        <v>0.12288251921527578</v>
      </c>
      <c r="R45" s="21">
        <f t="shared" si="61"/>
        <v>0.13510960392926127</v>
      </c>
      <c r="S45" s="21">
        <f t="shared" si="61"/>
        <v>0.1453836164412651</v>
      </c>
      <c r="T45" s="21">
        <f t="shared" si="61"/>
        <v>0.15854274717676681</v>
      </c>
      <c r="U45" s="21">
        <f t="shared" si="61"/>
        <v>0.15854274724251247</v>
      </c>
      <c r="V45" s="21">
        <f t="shared" si="61"/>
        <v>1.4204930738926074E-2</v>
      </c>
      <c r="W45" s="21">
        <f t="shared" si="61"/>
        <v>2.7212761913807608E-2</v>
      </c>
      <c r="X45" s="21">
        <f t="shared" ref="X45:AD45" si="62">X42/X32</f>
        <v>4.1779283050418559E-2</v>
      </c>
      <c r="Y45" s="21">
        <f t="shared" si="62"/>
        <v>5.6065469330533253E-2</v>
      </c>
      <c r="Z45" s="21">
        <f t="shared" si="62"/>
        <v>7.075941043467289E-2</v>
      </c>
      <c r="AA45" s="21">
        <f t="shared" si="62"/>
        <v>8.4142119825433181E-2</v>
      </c>
      <c r="AB45" s="21">
        <f t="shared" si="62"/>
        <v>9.7714199226600296E-2</v>
      </c>
      <c r="AC45" s="21">
        <f t="shared" si="62"/>
        <v>0.11035549309801092</v>
      </c>
      <c r="AD45" s="21">
        <f t="shared" si="62"/>
        <v>0.12393813917034409</v>
      </c>
      <c r="AE45" s="21">
        <f>AE42/AE32</f>
        <v>0.13799125744877952</v>
      </c>
      <c r="AF45" s="21">
        <f>AF42/AF32</f>
        <v>0.15143620632677518</v>
      </c>
      <c r="AG45" s="21">
        <f>AG42/AG32</f>
        <v>0.16596746300617621</v>
      </c>
      <c r="AH45" s="261">
        <f>AH42/AH32</f>
        <v>0.16596746292915546</v>
      </c>
      <c r="AI45" s="261">
        <f t="shared" ref="AI45:AT45" si="63">AI42/AI32</f>
        <v>1.4382958156014947E-2</v>
      </c>
      <c r="AJ45" s="261">
        <f t="shared" si="63"/>
        <v>2.841227624060453E-2</v>
      </c>
      <c r="AK45" s="261">
        <f t="shared" si="63"/>
        <v>4.3035188064727774E-2</v>
      </c>
      <c r="AL45" s="261">
        <f t="shared" si="63"/>
        <v>5.8132427250363772E-2</v>
      </c>
      <c r="AM45" s="261">
        <f t="shared" si="63"/>
        <v>7.2515907783878647E-2</v>
      </c>
      <c r="AN45" s="261">
        <f t="shared" si="63"/>
        <v>8.6879303558999185E-2</v>
      </c>
      <c r="AO45" s="261">
        <f t="shared" si="63"/>
        <v>0.10214016297590643</v>
      </c>
      <c r="AP45" s="261">
        <f t="shared" si="63"/>
        <v>0.11613645245272969</v>
      </c>
      <c r="AQ45" s="261">
        <f t="shared" si="63"/>
        <v>0.13008747007723381</v>
      </c>
      <c r="AR45" s="261">
        <f t="shared" si="63"/>
        <v>0.1446750666983819</v>
      </c>
      <c r="AS45" s="261">
        <f>AS42/AS32</f>
        <v>0.15678657851622579</v>
      </c>
      <c r="AT45" s="261">
        <f t="shared" si="63"/>
        <v>0.16562878322898067</v>
      </c>
      <c r="AU45" s="261">
        <f t="shared" ref="AU45:BD45" si="64">AU42/AU32</f>
        <v>0.16729453186391219</v>
      </c>
      <c r="AV45" s="261">
        <f t="shared" si="64"/>
        <v>1.3834326989638766E-2</v>
      </c>
      <c r="AW45" s="261">
        <f t="shared" si="64"/>
        <v>2.7734996001297699E-2</v>
      </c>
      <c r="AX45" s="261">
        <f t="shared" si="64"/>
        <v>4.2134740690509015E-2</v>
      </c>
      <c r="AY45" s="261">
        <f t="shared" si="64"/>
        <v>5.5985509860495691E-2</v>
      </c>
      <c r="AZ45" s="261">
        <f t="shared" si="64"/>
        <v>7.0157669283802099E-2</v>
      </c>
      <c r="BA45" s="261">
        <f t="shared" si="64"/>
        <v>8.2675343311035737E-2</v>
      </c>
      <c r="BB45" s="261">
        <f>BB42/BB32</f>
        <v>9.5592665183961756E-2</v>
      </c>
      <c r="BC45" s="261">
        <f t="shared" si="64"/>
        <v>0.10690909768630495</v>
      </c>
      <c r="BD45" s="261">
        <f t="shared" si="64"/>
        <v>0.11896592041085666</v>
      </c>
      <c r="BE45" s="261">
        <f>BE42/BE32</f>
        <v>0.13154392331098386</v>
      </c>
      <c r="BF45" s="261">
        <f>BF42/BF32</f>
        <v>0.14442835943206292</v>
      </c>
      <c r="BG45" s="261">
        <f>BG42/BG32</f>
        <v>0.15577519662658265</v>
      </c>
      <c r="BH45" s="261">
        <f>BH42/BH32</f>
        <v>0.15720806249473201</v>
      </c>
      <c r="BI45" s="261">
        <f t="shared" ref="BI45:BT45" si="65">BI42/BI32</f>
        <v>1.3152901264919675E-2</v>
      </c>
      <c r="BJ45" s="261">
        <f t="shared" si="65"/>
        <v>2.6109110447937622E-2</v>
      </c>
      <c r="BK45" s="261">
        <f t="shared" si="65"/>
        <v>3.9751965452520618E-2</v>
      </c>
      <c r="BL45" s="261">
        <f t="shared" si="65"/>
        <v>5.3180429123946965E-2</v>
      </c>
      <c r="BM45" s="261">
        <f t="shared" si="65"/>
        <v>6.6600498673693137E-2</v>
      </c>
      <c r="BN45" s="261">
        <f t="shared" si="65"/>
        <v>7.9611852205146993E-2</v>
      </c>
      <c r="BO45" s="261">
        <f t="shared" si="65"/>
        <v>9.3775495715756926E-2</v>
      </c>
      <c r="BP45" s="261">
        <f t="shared" si="65"/>
        <v>0.10580942199134892</v>
      </c>
      <c r="BQ45" s="261">
        <f t="shared" si="65"/>
        <v>0.11752452551180506</v>
      </c>
      <c r="BR45" s="261">
        <f t="shared" si="65"/>
        <v>0.12780724662807047</v>
      </c>
      <c r="BS45" s="261">
        <f t="shared" si="65"/>
        <v>0.13810406605473763</v>
      </c>
      <c r="BT45" s="261">
        <f t="shared" si="65"/>
        <v>0.146777610504503</v>
      </c>
      <c r="BU45" s="261">
        <f t="shared" ref="BU45:CL45" si="66">BU42/BU32</f>
        <v>0.14677761069106687</v>
      </c>
      <c r="BV45" s="261">
        <f t="shared" si="66"/>
        <v>1.2431378332843593E-2</v>
      </c>
      <c r="BW45" s="261">
        <f t="shared" si="66"/>
        <v>2.5213025500911812E-2</v>
      </c>
      <c r="BX45" s="261">
        <f t="shared" si="66"/>
        <v>3.7219674195840213E-2</v>
      </c>
      <c r="BY45" s="261">
        <f t="shared" si="66"/>
        <v>4.9330164809314493E-2</v>
      </c>
      <c r="BZ45" s="261">
        <f t="shared" si="66"/>
        <v>6.1265916288771115E-2</v>
      </c>
      <c r="CA45" s="261">
        <f t="shared" si="66"/>
        <v>7.3003037823826625E-2</v>
      </c>
      <c r="CB45" s="261">
        <f t="shared" si="66"/>
        <v>8.4885865811947472E-2</v>
      </c>
      <c r="CC45" s="261">
        <f t="shared" si="66"/>
        <v>9.6448727742260487E-2</v>
      </c>
      <c r="CD45" s="261">
        <f t="shared" si="66"/>
        <v>0.10813305858457832</v>
      </c>
      <c r="CE45" s="261">
        <f t="shared" si="66"/>
        <v>0.11970092185039453</v>
      </c>
      <c r="CF45" s="261">
        <f t="shared" si="66"/>
        <v>0.13138714934660006</v>
      </c>
      <c r="CG45" s="261">
        <f t="shared" si="66"/>
        <v>0.15245714866526053</v>
      </c>
      <c r="CH45" s="261">
        <f t="shared" si="66"/>
        <v>0.14074055393749477</v>
      </c>
      <c r="CI45" s="261">
        <f t="shared" si="66"/>
        <v>1.2717088418652961E-2</v>
      </c>
      <c r="CJ45" s="261">
        <f t="shared" si="66"/>
        <v>2.5372434712432015E-2</v>
      </c>
      <c r="CK45" s="261">
        <f t="shared" si="66"/>
        <v>3.7846424062318917E-2</v>
      </c>
      <c r="CL45" s="261">
        <f t="shared" si="66"/>
        <v>5.0054969391652812E-2</v>
      </c>
      <c r="CM45" s="261">
        <f t="shared" ref="CM45:CT45" si="67">CM42/CM32</f>
        <v>6.2795795443303201E-2</v>
      </c>
      <c r="CN45" s="261">
        <f t="shared" si="67"/>
        <v>7.4589520076552229E-2</v>
      </c>
      <c r="CO45" s="261">
        <f t="shared" si="67"/>
        <v>8.6730118764293443E-2</v>
      </c>
      <c r="CP45" s="261">
        <f t="shared" si="67"/>
        <v>9.8236569020908229E-2</v>
      </c>
      <c r="CQ45" s="261">
        <f t="shared" si="67"/>
        <v>0.10956395214556165</v>
      </c>
      <c r="CR45" s="261" t="e">
        <f t="shared" si="67"/>
        <v>#DIV/0!</v>
      </c>
      <c r="CS45" s="261" t="e">
        <f t="shared" si="67"/>
        <v>#DIV/0!</v>
      </c>
      <c r="CT45" s="261" t="e">
        <f t="shared" si="67"/>
        <v>#DIV/0!</v>
      </c>
    </row>
    <row r="46" spans="1:98" ht="13.9" thickBot="1">
      <c r="A46" s="11"/>
      <c r="B46" s="9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62"/>
      <c r="AI46" s="262"/>
      <c r="AJ46" s="262"/>
      <c r="AK46" s="262"/>
      <c r="AL46" s="262"/>
      <c r="AM46" s="262"/>
      <c r="AN46" s="262"/>
      <c r="AO46" s="262"/>
      <c r="AP46" s="262"/>
      <c r="AQ46" s="262"/>
      <c r="AR46" s="262"/>
      <c r="AS46" s="262"/>
      <c r="AT46" s="262"/>
      <c r="AU46" s="262"/>
      <c r="AV46" s="262"/>
      <c r="AW46" s="262"/>
      <c r="AX46" s="262"/>
      <c r="AY46" s="262"/>
      <c r="AZ46" s="262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262"/>
      <c r="BM46" s="262"/>
      <c r="BN46" s="262"/>
      <c r="BO46" s="262"/>
      <c r="BP46" s="262"/>
      <c r="BQ46" s="262"/>
      <c r="BR46" s="262"/>
      <c r="BS46" s="262"/>
      <c r="BT46" s="262"/>
      <c r="BU46" s="262"/>
      <c r="BV46" s="262"/>
      <c r="BW46" s="262"/>
      <c r="BX46" s="262"/>
      <c r="BY46" s="262"/>
      <c r="BZ46" s="262"/>
      <c r="CA46" s="262"/>
      <c r="CB46" s="262"/>
      <c r="CC46" s="262"/>
      <c r="CD46" s="262"/>
      <c r="CE46" s="262"/>
      <c r="CF46" s="262"/>
      <c r="CG46" s="262"/>
      <c r="CH46" s="262"/>
      <c r="CI46" s="262"/>
      <c r="CJ46" s="262"/>
      <c r="CK46" s="262"/>
      <c r="CL46" s="262"/>
      <c r="CM46" s="262"/>
      <c r="CN46" s="262"/>
      <c r="CO46" s="262"/>
      <c r="CP46" s="262"/>
      <c r="CQ46" s="262"/>
      <c r="CR46" s="262"/>
      <c r="CS46" s="262"/>
      <c r="CT46" s="262"/>
    </row>
    <row r="47" spans="1:98">
      <c r="A47" s="18">
        <v>10</v>
      </c>
      <c r="B47" s="263" t="s">
        <v>143</v>
      </c>
      <c r="C47" s="85">
        <f t="shared" ref="C47:AD47" si="68">SUM(C48:C53)</f>
        <v>188558000</v>
      </c>
      <c r="D47" s="85">
        <f t="shared" si="68"/>
        <v>235179000</v>
      </c>
      <c r="E47" s="85">
        <f t="shared" si="68"/>
        <v>267663000</v>
      </c>
      <c r="F47" s="85">
        <f t="shared" si="68"/>
        <v>339156068</v>
      </c>
      <c r="G47" s="85">
        <f t="shared" si="68"/>
        <v>403428328.91000003</v>
      </c>
      <c r="H47" s="85">
        <f t="shared" si="68"/>
        <v>525056688</v>
      </c>
      <c r="I47" s="85">
        <f t="shared" si="68"/>
        <v>16568909.600000001</v>
      </c>
      <c r="J47" s="85">
        <f t="shared" si="68"/>
        <v>116821495.25</v>
      </c>
      <c r="K47" s="85">
        <f t="shared" si="68"/>
        <v>165095460.81999999</v>
      </c>
      <c r="L47" s="85">
        <f t="shared" si="68"/>
        <v>217450720.50000003</v>
      </c>
      <c r="M47" s="85">
        <f t="shared" si="68"/>
        <v>270635453.17000002</v>
      </c>
      <c r="N47" s="85">
        <f t="shared" si="68"/>
        <v>326990879.44999999</v>
      </c>
      <c r="O47" s="85">
        <f t="shared" si="68"/>
        <v>379737959.52000004</v>
      </c>
      <c r="P47" s="85">
        <f t="shared" si="68"/>
        <v>434084095.16999996</v>
      </c>
      <c r="Q47" s="85">
        <f t="shared" si="68"/>
        <v>494251925.71999997</v>
      </c>
      <c r="R47" s="85">
        <f t="shared" si="68"/>
        <v>550660190.07999992</v>
      </c>
      <c r="S47" s="85">
        <f t="shared" si="68"/>
        <v>612136277.04999995</v>
      </c>
      <c r="T47" s="85">
        <f t="shared" si="68"/>
        <v>667597299.72000003</v>
      </c>
      <c r="U47" s="85">
        <f t="shared" si="68"/>
        <v>595816215</v>
      </c>
      <c r="V47" s="85">
        <f t="shared" si="68"/>
        <v>56202130.019999996</v>
      </c>
      <c r="W47" s="85">
        <f t="shared" si="68"/>
        <v>155580214.48999998</v>
      </c>
      <c r="X47" s="85">
        <f t="shared" si="68"/>
        <v>222634524.84999999</v>
      </c>
      <c r="Y47" s="85">
        <f t="shared" si="68"/>
        <v>293895187.00999999</v>
      </c>
      <c r="Z47" s="85">
        <f t="shared" si="68"/>
        <v>343575504.20999998</v>
      </c>
      <c r="AA47" s="85">
        <f t="shared" si="68"/>
        <v>409008098.33999997</v>
      </c>
      <c r="AB47" s="85">
        <f t="shared" si="68"/>
        <v>470432550.7100001</v>
      </c>
      <c r="AC47" s="85">
        <f t="shared" si="68"/>
        <v>533807380.37</v>
      </c>
      <c r="AD47" s="85">
        <f t="shared" si="68"/>
        <v>581554988.1500001</v>
      </c>
      <c r="AE47" s="85">
        <f>SUM(AE48:AE53)</f>
        <v>641106890.01999998</v>
      </c>
      <c r="AF47" s="85">
        <f>SUM(AF48:AF53)</f>
        <v>705784558.35000002</v>
      </c>
      <c r="AG47" s="85">
        <f>SUM(AG48:AG53)</f>
        <v>715868883.24000001</v>
      </c>
      <c r="AH47" s="264">
        <f>SUM(AH48:AH53)</f>
        <v>701125190</v>
      </c>
      <c r="AI47" s="264">
        <f t="shared" ref="AI47:AU47" si="69">SUM(AI48:AI53)</f>
        <v>65076122.43</v>
      </c>
      <c r="AJ47" s="264">
        <f t="shared" si="69"/>
        <v>136332620.01999998</v>
      </c>
      <c r="AK47" s="264">
        <f t="shared" si="69"/>
        <v>219546835.35999998</v>
      </c>
      <c r="AL47" s="264">
        <f t="shared" si="69"/>
        <v>294872643.88999999</v>
      </c>
      <c r="AM47" s="264">
        <f t="shared" si="69"/>
        <v>360230511.77999997</v>
      </c>
      <c r="AN47" s="264">
        <f t="shared" si="69"/>
        <v>432921714.68000001</v>
      </c>
      <c r="AO47" s="264">
        <f t="shared" si="69"/>
        <v>499289680.61999995</v>
      </c>
      <c r="AP47" s="264">
        <f t="shared" si="69"/>
        <v>565760020.29999995</v>
      </c>
      <c r="AQ47" s="264">
        <f t="shared" si="69"/>
        <v>636608187.85000002</v>
      </c>
      <c r="AR47" s="264">
        <f t="shared" si="69"/>
        <v>709500331.52999997</v>
      </c>
      <c r="AS47" s="264">
        <f>SUM(AS48:AS53)</f>
        <v>785173591.75999999</v>
      </c>
      <c r="AT47" s="264">
        <f t="shared" si="69"/>
        <v>853635595.91000009</v>
      </c>
      <c r="AU47" s="264">
        <f t="shared" si="69"/>
        <v>752462555</v>
      </c>
      <c r="AV47" s="264">
        <f t="shared" ref="AV47:BA47" si="70">SUM(AV48:AV53)</f>
        <v>65129734.030000001</v>
      </c>
      <c r="AW47" s="264">
        <f t="shared" si="70"/>
        <v>133395823.33000001</v>
      </c>
      <c r="AX47" s="264">
        <f t="shared" si="70"/>
        <v>230906872.57999998</v>
      </c>
      <c r="AY47" s="264">
        <f t="shared" si="70"/>
        <v>290581144.35000002</v>
      </c>
      <c r="AZ47" s="264">
        <f t="shared" si="70"/>
        <v>349262280.34999996</v>
      </c>
      <c r="BA47" s="264">
        <f t="shared" si="70"/>
        <v>420159600.49000001</v>
      </c>
      <c r="BB47" s="264">
        <f t="shared" ref="BB47:BH47" si="71">SUM(BB48:BB53)</f>
        <v>479145015.47999996</v>
      </c>
      <c r="BC47" s="264">
        <f t="shared" si="71"/>
        <v>545841088.22000003</v>
      </c>
      <c r="BD47" s="264">
        <f t="shared" si="71"/>
        <v>606325108.23000002</v>
      </c>
      <c r="BE47" s="264">
        <f t="shared" si="71"/>
        <v>661380140.03999996</v>
      </c>
      <c r="BF47" s="264">
        <f t="shared" si="71"/>
        <v>721759217.20000005</v>
      </c>
      <c r="BG47" s="264">
        <f t="shared" si="71"/>
        <v>791289816.41000009</v>
      </c>
      <c r="BH47" s="264">
        <f t="shared" si="71"/>
        <v>804107837</v>
      </c>
      <c r="BI47" s="264">
        <f t="shared" ref="BI47:BT47" si="72">SUM(BI48:BI53)</f>
        <v>63743907.590000004</v>
      </c>
      <c r="BJ47" s="264">
        <f t="shared" si="72"/>
        <v>139689562.27000001</v>
      </c>
      <c r="BK47" s="264">
        <f t="shared" si="72"/>
        <v>235785257.67999998</v>
      </c>
      <c r="BL47" s="264">
        <f t="shared" si="72"/>
        <v>344931874.92000002</v>
      </c>
      <c r="BM47" s="264">
        <f t="shared" si="72"/>
        <v>387059696.44000006</v>
      </c>
      <c r="BN47" s="264">
        <f t="shared" si="72"/>
        <v>471410179.94000006</v>
      </c>
      <c r="BO47" s="264">
        <f t="shared" si="72"/>
        <v>542453544.00999999</v>
      </c>
      <c r="BP47" s="264">
        <f t="shared" si="72"/>
        <v>616691555.90999997</v>
      </c>
      <c r="BQ47" s="264">
        <f t="shared" si="72"/>
        <v>703754795.26999998</v>
      </c>
      <c r="BR47" s="264">
        <f t="shared" si="72"/>
        <v>777889185.37</v>
      </c>
      <c r="BS47" s="264">
        <f t="shared" si="72"/>
        <v>853549007.45999992</v>
      </c>
      <c r="BT47" s="264">
        <f t="shared" si="72"/>
        <v>935197647.45000005</v>
      </c>
      <c r="BU47" s="264">
        <f t="shared" ref="BU47:CL47" si="73">SUM(BU48:BU53)</f>
        <v>946000386</v>
      </c>
      <c r="BV47" s="264">
        <f t="shared" si="73"/>
        <v>100730243.39</v>
      </c>
      <c r="BW47" s="264">
        <f t="shared" si="73"/>
        <v>193463971.44</v>
      </c>
      <c r="BX47" s="264">
        <f t="shared" si="73"/>
        <v>289520828.44999999</v>
      </c>
      <c r="BY47" s="264">
        <f t="shared" si="73"/>
        <v>393117978.53000003</v>
      </c>
      <c r="BZ47" s="264">
        <f t="shared" si="73"/>
        <v>492930845.75</v>
      </c>
      <c r="CA47" s="264">
        <f t="shared" si="73"/>
        <v>586191903.04999995</v>
      </c>
      <c r="CB47" s="264">
        <f t="shared" si="73"/>
        <v>678109023.06000006</v>
      </c>
      <c r="CC47" s="264">
        <f t="shared" si="73"/>
        <v>768737365.76000011</v>
      </c>
      <c r="CD47" s="264">
        <f t="shared" si="73"/>
        <v>869505394.21000004</v>
      </c>
      <c r="CE47" s="264">
        <f t="shared" si="73"/>
        <v>959180398.5</v>
      </c>
      <c r="CF47" s="264">
        <f t="shared" si="73"/>
        <v>1038470055.87</v>
      </c>
      <c r="CG47" s="264">
        <f t="shared" si="73"/>
        <v>1138850066.3399999</v>
      </c>
      <c r="CH47" s="264">
        <f t="shared" si="73"/>
        <v>1109014051</v>
      </c>
      <c r="CI47" s="264">
        <f t="shared" si="73"/>
        <v>115239948.84999999</v>
      </c>
      <c r="CJ47" s="264">
        <f t="shared" si="73"/>
        <v>237531134.10000002</v>
      </c>
      <c r="CK47" s="264">
        <f t="shared" si="73"/>
        <v>342895705.66000003</v>
      </c>
      <c r="CL47" s="264">
        <f t="shared" si="73"/>
        <v>456402158.25</v>
      </c>
      <c r="CM47" s="264">
        <f t="shared" ref="CM47:CT47" si="74">SUM(CM48:CM53)</f>
        <v>557361575.95000005</v>
      </c>
      <c r="CN47" s="264">
        <f t="shared" si="74"/>
        <v>667222260.14999998</v>
      </c>
      <c r="CO47" s="264">
        <f t="shared" si="74"/>
        <v>766460755.64999998</v>
      </c>
      <c r="CP47" s="264">
        <f t="shared" si="74"/>
        <v>876073386.42999995</v>
      </c>
      <c r="CQ47" s="264">
        <f t="shared" si="74"/>
        <v>995171173.75</v>
      </c>
      <c r="CR47" s="264">
        <f t="shared" si="74"/>
        <v>0</v>
      </c>
      <c r="CS47" s="264">
        <f t="shared" si="74"/>
        <v>0</v>
      </c>
      <c r="CT47" s="264">
        <f t="shared" si="74"/>
        <v>0</v>
      </c>
    </row>
    <row r="48" spans="1:98">
      <c r="A48" s="16">
        <v>10.1</v>
      </c>
      <c r="B48" s="225" t="s">
        <v>144</v>
      </c>
      <c r="C48" s="27">
        <f>SCI!B13</f>
        <v>148036000</v>
      </c>
      <c r="D48" s="27">
        <f>SCI!C13</f>
        <v>172768000</v>
      </c>
      <c r="E48" s="27">
        <f>SCI!D13</f>
        <v>200843000</v>
      </c>
      <c r="F48" s="27">
        <f>SCI!E13</f>
        <v>252903029</v>
      </c>
      <c r="G48" s="27">
        <f>SCI!F13</f>
        <v>307717763</v>
      </c>
      <c r="H48" s="27">
        <f>SCI!G13</f>
        <v>374176451</v>
      </c>
      <c r="I48" s="27">
        <f>SCI!H13</f>
        <v>432589.6</v>
      </c>
      <c r="J48" s="27">
        <f>SCI!I13</f>
        <v>77703089.599999994</v>
      </c>
      <c r="K48" s="27">
        <f>SCI!J13</f>
        <v>116459132.09999999</v>
      </c>
      <c r="L48" s="27">
        <f>SCI!K13</f>
        <v>155168389.30000001</v>
      </c>
      <c r="M48" s="27">
        <f>SCI!L13</f>
        <v>193736889.30000001</v>
      </c>
      <c r="N48" s="27">
        <f>SCI!M13</f>
        <v>232662647.30000001</v>
      </c>
      <c r="O48" s="27">
        <f>SCI!N13</f>
        <v>271562555.80000001</v>
      </c>
      <c r="P48" s="27">
        <f>SCI!O13</f>
        <v>310159662.77999997</v>
      </c>
      <c r="Q48" s="27">
        <f>SCI!P13</f>
        <v>349155312.68000001</v>
      </c>
      <c r="R48" s="27">
        <f>SCI!Q13</f>
        <v>388969371.18000001</v>
      </c>
      <c r="S48" s="27">
        <f>SCI!R13</f>
        <v>427528654.18000001</v>
      </c>
      <c r="T48" s="27">
        <f>SCI!S13</f>
        <v>466567161.50999999</v>
      </c>
      <c r="U48" s="27">
        <f>SCI!T13</f>
        <v>374569299</v>
      </c>
      <c r="V48" s="27">
        <f>SCI!U13</f>
        <v>935398</v>
      </c>
      <c r="W48" s="27">
        <f>SCI!V13</f>
        <v>90901486</v>
      </c>
      <c r="X48" s="27">
        <f>SCI!W13</f>
        <v>136689278</v>
      </c>
      <c r="Y48" s="27">
        <f>SCI!X13</f>
        <v>182294326</v>
      </c>
      <c r="Z48" s="27">
        <f>SCI!Y13</f>
        <v>202584992.66</v>
      </c>
      <c r="AA48" s="27">
        <f>SCI!Z13</f>
        <v>243080367.66</v>
      </c>
      <c r="AB48" s="27">
        <f>SCI!AA13</f>
        <v>283814693.66000003</v>
      </c>
      <c r="AC48" s="27">
        <f>SCI!AB13</f>
        <v>0</v>
      </c>
      <c r="AD48" s="27">
        <f>SCI!AC13</f>
        <v>365444525.66000003</v>
      </c>
      <c r="AE48" s="27">
        <f>SCI!AD13</f>
        <v>406802619.33999997</v>
      </c>
      <c r="AF48" s="27">
        <f>SCI!AE13</f>
        <v>447239436</v>
      </c>
      <c r="AG48" s="27">
        <f>SCI!AF13</f>
        <v>500193931</v>
      </c>
      <c r="AH48" s="236">
        <f>SCI!AG13</f>
        <v>468684234</v>
      </c>
      <c r="AI48" s="236">
        <f>SCI!AH13</f>
        <v>45513263.5</v>
      </c>
      <c r="AJ48" s="236">
        <f>SCI!AI13</f>
        <v>95671409</v>
      </c>
      <c r="AK48" s="236">
        <f>SCI!AJ13</f>
        <v>145543167</v>
      </c>
      <c r="AL48" s="236">
        <f>SCI!AK13</f>
        <v>193917757</v>
      </c>
      <c r="AM48" s="236">
        <f>SCI!AL13</f>
        <v>241763734.5</v>
      </c>
      <c r="AN48" s="236">
        <f>SCI!AM13</f>
        <v>289312452.5</v>
      </c>
      <c r="AO48" s="236">
        <f>SCI!AN13</f>
        <v>337214767.82999998</v>
      </c>
      <c r="AP48" s="236">
        <f>SCI!AO13</f>
        <v>385054023.02999997</v>
      </c>
      <c r="AQ48" s="236">
        <f>SCI!AP13</f>
        <v>432606261.02999997</v>
      </c>
      <c r="AR48" s="236">
        <f>SCI!AQ13</f>
        <v>480632117.02999997</v>
      </c>
      <c r="AS48" s="236">
        <f>SCI!AR13</f>
        <v>528493791.98000002</v>
      </c>
      <c r="AT48" s="236">
        <f>SCI!AS13</f>
        <v>576117966.98000002</v>
      </c>
      <c r="AU48" s="236">
        <f>SCI!AT13</f>
        <v>564645701</v>
      </c>
      <c r="AV48" s="236">
        <f>SCI!AU13</f>
        <v>47864450.130000003</v>
      </c>
      <c r="AW48" s="236">
        <f>SCI!AV13</f>
        <v>95599250.390000001</v>
      </c>
      <c r="AX48" s="236">
        <f>SCI!AW13</f>
        <v>150734241.72</v>
      </c>
      <c r="AY48" s="236">
        <f>SCI!AX13</f>
        <v>201041901.72</v>
      </c>
      <c r="AZ48" s="236">
        <f>SCI!AY13</f>
        <v>251384764.38999999</v>
      </c>
      <c r="BA48" s="236">
        <f>SCI!AZ13</f>
        <v>301415796.38999999</v>
      </c>
      <c r="BB48" s="236">
        <f>SCI!BA13</f>
        <v>351857808.38999999</v>
      </c>
      <c r="BC48" s="236">
        <f>SCI!BB13</f>
        <v>401983395.72000003</v>
      </c>
      <c r="BD48" s="236">
        <f>SCI!BC13</f>
        <v>451136471.88999999</v>
      </c>
      <c r="BE48" s="236">
        <f>SCI!BD13</f>
        <v>501367084.38999999</v>
      </c>
      <c r="BF48" s="236">
        <f>SCI!BE13</f>
        <v>552601854.09000003</v>
      </c>
      <c r="BG48" s="236">
        <f>SCI!BF13</f>
        <v>603100907.09000003</v>
      </c>
      <c r="BH48" s="236">
        <f>SCI!BG13</f>
        <v>648599707</v>
      </c>
      <c r="BI48" s="236">
        <f>SCI!BH13</f>
        <v>55532891.670000002</v>
      </c>
      <c r="BJ48" s="236">
        <f>SCI!BI13</f>
        <v>120652854.67</v>
      </c>
      <c r="BK48" s="236">
        <f>SCI!BJ13</f>
        <v>180852729.66999999</v>
      </c>
      <c r="BL48" s="236">
        <f>SCI!BK13</f>
        <v>241081325.37</v>
      </c>
      <c r="BM48" s="236">
        <f>SCI!BL13</f>
        <v>301383926.29000002</v>
      </c>
      <c r="BN48" s="236">
        <f>SCI!BM13</f>
        <v>361548889.29000002</v>
      </c>
      <c r="BO48" s="236">
        <f>SCI!BN13</f>
        <v>422011576.83999997</v>
      </c>
      <c r="BP48" s="236">
        <f>SCI!BO13</f>
        <v>482114596.83999997</v>
      </c>
      <c r="BQ48" s="236">
        <f>SCI!BP13</f>
        <v>542335506.50999999</v>
      </c>
      <c r="BR48" s="236">
        <f>SCI!BQ13</f>
        <v>602592419.00999999</v>
      </c>
      <c r="BS48" s="236">
        <f>SCI!BR13</f>
        <v>662789419.00999999</v>
      </c>
      <c r="BT48" s="236">
        <f>SCI!BS13</f>
        <v>722982169.00999999</v>
      </c>
      <c r="BU48" s="236">
        <f>SCI!BT13</f>
        <v>767523975</v>
      </c>
      <c r="BV48" s="236">
        <f>SCI!BU13</f>
        <v>77350541.920000002</v>
      </c>
      <c r="BW48" s="236">
        <f>SCI!BV13</f>
        <v>154270908.91999999</v>
      </c>
      <c r="BX48" s="236">
        <f>SCI!BW13</f>
        <v>231002242.91999999</v>
      </c>
      <c r="BY48" s="236">
        <f>SCI!BX13</f>
        <v>308021880.92000002</v>
      </c>
      <c r="BZ48" s="236">
        <f>SCI!BY13</f>
        <v>385138934.56999999</v>
      </c>
      <c r="CA48" s="236">
        <f>SCI!BZ13</f>
        <v>461691851.56999999</v>
      </c>
      <c r="CB48" s="236">
        <f>SCI!CA13</f>
        <v>538733168.57000005</v>
      </c>
      <c r="CC48" s="236">
        <f>SCI!CB13</f>
        <v>615761808.57000005</v>
      </c>
      <c r="CD48" s="236">
        <f>SCI!CC13</f>
        <v>692615471.57000005</v>
      </c>
      <c r="CE48" s="236">
        <f>SCI!CD13</f>
        <v>769489053.57000005</v>
      </c>
      <c r="CF48" s="236">
        <f>SCI!CE13</f>
        <v>846179720.57000005</v>
      </c>
      <c r="CG48" s="236">
        <f>SCI!CF13</f>
        <v>923028095.57000005</v>
      </c>
      <c r="CH48" s="236">
        <f>SCI!CG13</f>
        <v>904946415</v>
      </c>
      <c r="CI48" s="236">
        <f>SCI!CH13</f>
        <v>92549279</v>
      </c>
      <c r="CJ48" s="236">
        <f>SCI!CI13</f>
        <v>184952029</v>
      </c>
      <c r="CK48" s="236">
        <f>SCI!CJ13</f>
        <v>272895787</v>
      </c>
      <c r="CL48" s="236">
        <f>SCI!CK13</f>
        <v>353050156.44999999</v>
      </c>
      <c r="CM48" s="236">
        <f>SCI!CL13</f>
        <v>441101039.44999999</v>
      </c>
      <c r="CN48" s="236">
        <f>SCI!CM13</f>
        <v>529052764.44999999</v>
      </c>
      <c r="CO48" s="236">
        <f>SCI!CN13</f>
        <v>617192481.45000005</v>
      </c>
      <c r="CP48" s="236">
        <f>SCI!CO13</f>
        <v>705563198.45000005</v>
      </c>
      <c r="CQ48" s="236">
        <f>SCI!CP13</f>
        <v>798494791.85000002</v>
      </c>
      <c r="CR48" s="236">
        <f>SCI!CQ13</f>
        <v>0</v>
      </c>
      <c r="CS48" s="236">
        <f>SCI!CR13</f>
        <v>0</v>
      </c>
      <c r="CT48" s="236">
        <f>SCI!CS13</f>
        <v>0</v>
      </c>
    </row>
    <row r="49" spans="1:98">
      <c r="A49" s="16">
        <v>10.199999999999999</v>
      </c>
      <c r="B49" s="225" t="s">
        <v>145</v>
      </c>
      <c r="C49" s="30">
        <f>SCI!B15</f>
        <v>2762000</v>
      </c>
      <c r="D49" s="30">
        <f>SCI!C15</f>
        <v>2091000</v>
      </c>
      <c r="E49" s="30">
        <f>SCI!D15</f>
        <v>0</v>
      </c>
      <c r="F49" s="30">
        <f>SCI!E15</f>
        <v>0</v>
      </c>
      <c r="G49" s="30">
        <f>SCI!F15</f>
        <v>0</v>
      </c>
      <c r="H49" s="30">
        <f>SCI!G15</f>
        <v>0</v>
      </c>
      <c r="I49" s="30">
        <f>SCI!H15</f>
        <v>0</v>
      </c>
      <c r="J49" s="30">
        <f>SCI!I15</f>
        <v>0</v>
      </c>
      <c r="K49" s="30">
        <f>SCI!J15</f>
        <v>0</v>
      </c>
      <c r="L49" s="30">
        <f>SCI!K15</f>
        <v>0</v>
      </c>
      <c r="M49" s="30">
        <f>SCI!L15</f>
        <v>0</v>
      </c>
      <c r="N49" s="30">
        <f>SCI!M15</f>
        <v>0</v>
      </c>
      <c r="O49" s="30">
        <f>SCI!N15</f>
        <v>0</v>
      </c>
      <c r="P49" s="30">
        <f>SCI!O15</f>
        <v>0</v>
      </c>
      <c r="Q49" s="30">
        <f>SCI!P15</f>
        <v>0</v>
      </c>
      <c r="R49" s="30">
        <f>SCI!Q15</f>
        <v>0</v>
      </c>
      <c r="S49" s="30">
        <f>SCI!R15</f>
        <v>0</v>
      </c>
      <c r="T49" s="30">
        <f>SCI!S15</f>
        <v>0</v>
      </c>
      <c r="U49" s="30">
        <f>SCI!T15</f>
        <v>0</v>
      </c>
      <c r="V49" s="30">
        <f>SCI!U15</f>
        <v>0</v>
      </c>
      <c r="W49" s="30">
        <f>SCI!V15</f>
        <v>0</v>
      </c>
      <c r="X49" s="30">
        <f>SCI!W15</f>
        <v>0</v>
      </c>
      <c r="Y49" s="30">
        <f>SCI!X15</f>
        <v>0</v>
      </c>
      <c r="Z49" s="30">
        <f>SCI!Y15</f>
        <v>0</v>
      </c>
      <c r="AA49" s="30">
        <f>SCI!Z15</f>
        <v>0</v>
      </c>
      <c r="AB49" s="30">
        <f>SCI!AA15</f>
        <v>0</v>
      </c>
      <c r="AC49" s="30">
        <f>SCI!AB15</f>
        <v>324464609.69999999</v>
      </c>
      <c r="AD49" s="30">
        <f>SCI!AC15</f>
        <v>0</v>
      </c>
      <c r="AE49" s="30">
        <f>SCI!AD15</f>
        <v>0</v>
      </c>
      <c r="AF49" s="30">
        <f>SCI!AE15</f>
        <v>0</v>
      </c>
      <c r="AG49" s="30">
        <f>SCI!AF15</f>
        <v>0</v>
      </c>
      <c r="AH49" s="265">
        <f>SCI!AG15</f>
        <v>0</v>
      </c>
      <c r="AI49" s="265">
        <f>SCI!AH15</f>
        <v>0</v>
      </c>
      <c r="AJ49" s="265">
        <f>SCI!AI15</f>
        <v>0</v>
      </c>
      <c r="AK49" s="265">
        <f>SCI!AJ15</f>
        <v>0</v>
      </c>
      <c r="AL49" s="265">
        <f>SCI!AK15</f>
        <v>0</v>
      </c>
      <c r="AM49" s="265">
        <f>SCI!AL15</f>
        <v>0</v>
      </c>
      <c r="AN49" s="265">
        <f>SCI!AM15</f>
        <v>0</v>
      </c>
      <c r="AO49" s="265">
        <f>SCI!AN15</f>
        <v>0</v>
      </c>
      <c r="AP49" s="265">
        <f>SCI!AO15</f>
        <v>0</v>
      </c>
      <c r="AQ49" s="265">
        <f>SCI!AP15</f>
        <v>0</v>
      </c>
      <c r="AR49" s="265">
        <f>SCI!AQ15</f>
        <v>0</v>
      </c>
      <c r="AS49" s="265">
        <f>SCI!AR15</f>
        <v>0</v>
      </c>
      <c r="AT49" s="265">
        <f>SCI!AS15</f>
        <v>0</v>
      </c>
      <c r="AU49" s="265">
        <f>SCI!AT15</f>
        <v>0</v>
      </c>
      <c r="AV49" s="265">
        <f>SCI!AU15</f>
        <v>0</v>
      </c>
      <c r="AW49" s="265">
        <f>SCI!AV15</f>
        <v>0</v>
      </c>
      <c r="AX49" s="265">
        <f>SCI!AW15</f>
        <v>0</v>
      </c>
      <c r="AY49" s="265">
        <f>SCI!AX15</f>
        <v>0</v>
      </c>
      <c r="AZ49" s="265">
        <f>SCI!AY15</f>
        <v>0</v>
      </c>
      <c r="BA49" s="265">
        <f>SCI!AZ15</f>
        <v>0</v>
      </c>
      <c r="BB49" s="265">
        <f>SCI!BA15</f>
        <v>0</v>
      </c>
      <c r="BC49" s="265">
        <f>SCI!BB15</f>
        <v>0</v>
      </c>
      <c r="BD49" s="265">
        <f>SCI!BC15</f>
        <v>0</v>
      </c>
      <c r="BE49" s="265">
        <f>SCI!BD15</f>
        <v>0</v>
      </c>
      <c r="BF49" s="265">
        <f>SCI!BE15</f>
        <v>0</v>
      </c>
      <c r="BG49" s="265">
        <f>SCI!BF15</f>
        <v>0</v>
      </c>
      <c r="BH49" s="265">
        <f>SCI!BG15</f>
        <v>0</v>
      </c>
      <c r="BI49" s="265">
        <f>SCI!BH15</f>
        <v>0</v>
      </c>
      <c r="BJ49" s="265">
        <f>SCI!BI15</f>
        <v>0</v>
      </c>
      <c r="BK49" s="265">
        <f>SCI!BJ15</f>
        <v>0</v>
      </c>
      <c r="BL49" s="265">
        <f>SCI!BK15</f>
        <v>0</v>
      </c>
      <c r="BM49" s="265">
        <f>SCI!BL15</f>
        <v>0</v>
      </c>
      <c r="BN49" s="265">
        <f>SCI!BM15</f>
        <v>0</v>
      </c>
      <c r="BO49" s="265">
        <f>SCI!BN15</f>
        <v>0</v>
      </c>
      <c r="BP49" s="265">
        <f>SCI!BO15</f>
        <v>0</v>
      </c>
      <c r="BQ49" s="265">
        <f>SCI!BP15</f>
        <v>0</v>
      </c>
      <c r="BR49" s="265">
        <f>SCI!BQ15</f>
        <v>0</v>
      </c>
      <c r="BS49" s="265">
        <f>SCI!BR15</f>
        <v>0</v>
      </c>
      <c r="BT49" s="265">
        <f>SCI!BS15</f>
        <v>0</v>
      </c>
      <c r="BU49" s="265">
        <f>SCI!BT15</f>
        <v>0</v>
      </c>
      <c r="BV49" s="265">
        <f>SCI!BU15</f>
        <v>0</v>
      </c>
      <c r="BW49" s="265">
        <f>SCI!BV15</f>
        <v>0</v>
      </c>
      <c r="BX49" s="265">
        <f>SCI!BW15</f>
        <v>0</v>
      </c>
      <c r="BY49" s="265">
        <f>SCI!BX15</f>
        <v>0</v>
      </c>
      <c r="BZ49" s="265">
        <f>SCI!BY15</f>
        <v>0</v>
      </c>
      <c r="CA49" s="265">
        <f>SCI!BZ15</f>
        <v>0</v>
      </c>
      <c r="CB49" s="265">
        <f>SCI!CA15</f>
        <v>0</v>
      </c>
      <c r="CC49" s="265">
        <f>SCI!CB15</f>
        <v>0</v>
      </c>
      <c r="CD49" s="265">
        <f>SCI!CC15</f>
        <v>0</v>
      </c>
      <c r="CE49" s="265">
        <f>SCI!CD15</f>
        <v>0</v>
      </c>
      <c r="CF49" s="265">
        <f>SCI!CE15</f>
        <v>0</v>
      </c>
      <c r="CG49" s="265">
        <f>SCI!CF15</f>
        <v>0</v>
      </c>
      <c r="CH49" s="265">
        <f>SCI!CG15</f>
        <v>0</v>
      </c>
      <c r="CI49" s="265">
        <f>SCI!CH15</f>
        <v>0</v>
      </c>
      <c r="CJ49" s="265">
        <f>SCI!CI15</f>
        <v>0</v>
      </c>
      <c r="CK49" s="265">
        <f>SCI!CJ15</f>
        <v>0</v>
      </c>
      <c r="CL49" s="265">
        <f>SCI!CK15</f>
        <v>0</v>
      </c>
      <c r="CM49" s="265">
        <f>SCI!CL15</f>
        <v>0</v>
      </c>
      <c r="CN49" s="265">
        <f>SCI!CM15</f>
        <v>0</v>
      </c>
      <c r="CO49" s="265">
        <f>SCI!CN15</f>
        <v>0</v>
      </c>
      <c r="CP49" s="265">
        <f>SCI!CO15</f>
        <v>0</v>
      </c>
      <c r="CQ49" s="265">
        <f>SCI!CP15</f>
        <v>0</v>
      </c>
      <c r="CR49" s="265">
        <f>SCI!CQ15</f>
        <v>0</v>
      </c>
      <c r="CS49" s="265">
        <f>SCI!CR15</f>
        <v>0</v>
      </c>
      <c r="CT49" s="265">
        <f>SCI!CS15</f>
        <v>0</v>
      </c>
    </row>
    <row r="50" spans="1:98">
      <c r="A50" s="16">
        <v>10.3</v>
      </c>
      <c r="B50" s="225" t="s">
        <v>146</v>
      </c>
      <c r="C50" s="32">
        <f>SCI!B14</f>
        <v>9065000</v>
      </c>
      <c r="D50" s="32">
        <f>SCI!C14</f>
        <v>5096000</v>
      </c>
      <c r="E50" s="32">
        <f>SCI!D14</f>
        <v>0</v>
      </c>
      <c r="F50" s="32">
        <f>SCI!E14</f>
        <v>0</v>
      </c>
      <c r="G50" s="32">
        <f>SCI!F14</f>
        <v>0</v>
      </c>
      <c r="H50" s="32">
        <f>SCI!G14</f>
        <v>0</v>
      </c>
      <c r="I50" s="32">
        <f>SCI!H14</f>
        <v>2761000</v>
      </c>
      <c r="J50" s="32">
        <f>SCI!I14</f>
        <v>9804164.1300000008</v>
      </c>
      <c r="K50" s="32">
        <f>SCI!J14</f>
        <v>10011612.6</v>
      </c>
      <c r="L50" s="32">
        <f>SCI!K14</f>
        <v>10781407.77</v>
      </c>
      <c r="M50" s="32">
        <f>SCI!L14</f>
        <v>11682752.789999999</v>
      </c>
      <c r="N50" s="32">
        <f>SCI!M14</f>
        <v>18579359.890000001</v>
      </c>
      <c r="O50" s="32">
        <f>SCI!N14</f>
        <v>22592658.98</v>
      </c>
      <c r="P50" s="32">
        <f>SCI!O14</f>
        <v>30228768.170000002</v>
      </c>
      <c r="Q50" s="32">
        <f>SCI!P14</f>
        <v>37774430.289999999</v>
      </c>
      <c r="R50" s="32">
        <f>SCI!Q14</f>
        <v>41672836.130000003</v>
      </c>
      <c r="S50" s="32">
        <f>SCI!R14</f>
        <v>54178898.07</v>
      </c>
      <c r="T50" s="32">
        <f>SCI!S14</f>
        <v>60308342.539999999</v>
      </c>
      <c r="U50" s="32">
        <f>SCI!T14</f>
        <v>64875505</v>
      </c>
      <c r="V50" s="32">
        <f>SCI!U14</f>
        <v>12944686.859999999</v>
      </c>
      <c r="W50" s="32">
        <f>SCI!V14</f>
        <v>20157629.329999998</v>
      </c>
      <c r="X50" s="32">
        <f>SCI!W14</f>
        <v>25491057.030000001</v>
      </c>
      <c r="Y50" s="32">
        <f>SCI!X14</f>
        <v>31844223.75</v>
      </c>
      <c r="Z50" s="32">
        <f>SCI!Y14</f>
        <v>40971041.549999997</v>
      </c>
      <c r="AA50" s="32">
        <f>SCI!Z14</f>
        <v>46739541.57</v>
      </c>
      <c r="AB50" s="32">
        <f>SCI!AA14</f>
        <v>52039724.659999996</v>
      </c>
      <c r="AC50" s="32">
        <f>SCI!AB14</f>
        <v>56482704.130000003</v>
      </c>
      <c r="AD50" s="32">
        <f>SCI!AC14</f>
        <v>63933921.979999997</v>
      </c>
      <c r="AE50" s="32">
        <f>SCI!AD14</f>
        <v>68191191.099999994</v>
      </c>
      <c r="AF50" s="32">
        <f>SCI!AE14</f>
        <v>72204165</v>
      </c>
      <c r="AG50" s="32">
        <f>SCI!AF14</f>
        <v>78131445.290000007</v>
      </c>
      <c r="AH50" s="238">
        <f>SCI!AG14</f>
        <v>83702936</v>
      </c>
      <c r="AI50" s="238">
        <f>SCI!AH14</f>
        <v>3750443.3</v>
      </c>
      <c r="AJ50" s="238">
        <f>SCI!AI14</f>
        <v>7374003.9400000004</v>
      </c>
      <c r="AK50" s="238">
        <f>SCI!AJ14</f>
        <v>12180265.470000001</v>
      </c>
      <c r="AL50" s="238">
        <f>SCI!AK14</f>
        <v>16338525.039999999</v>
      </c>
      <c r="AM50" s="238">
        <f>SCI!AL14</f>
        <v>19491188.890000001</v>
      </c>
      <c r="AN50" s="238">
        <f>SCI!AM14</f>
        <v>22622333.559999999</v>
      </c>
      <c r="AO50" s="238">
        <f>SCI!AN14</f>
        <v>25584196.43</v>
      </c>
      <c r="AP50" s="238">
        <f>SCI!AO14</f>
        <v>28482484.120000001</v>
      </c>
      <c r="AQ50" s="238">
        <f>SCI!AP14</f>
        <v>29417891.969999999</v>
      </c>
      <c r="AR50" s="238">
        <f>SCI!AQ14</f>
        <v>30447266.969999999</v>
      </c>
      <c r="AS50" s="238">
        <f>SCI!AR14</f>
        <v>31668417.460000001</v>
      </c>
      <c r="AT50" s="238">
        <f>SCI!AS14</f>
        <v>31668417.460000001</v>
      </c>
      <c r="AU50" s="238">
        <f>SCI!AT14</f>
        <v>37786384</v>
      </c>
      <c r="AV50" s="238">
        <f>SCI!AU14</f>
        <v>0</v>
      </c>
      <c r="AW50" s="238">
        <f>SCI!AV14</f>
        <v>0</v>
      </c>
      <c r="AX50" s="238">
        <f>SCI!AW14</f>
        <v>0</v>
      </c>
      <c r="AY50" s="238">
        <f>SCI!AX14</f>
        <v>0</v>
      </c>
      <c r="AZ50" s="238">
        <f>SCI!AY14</f>
        <v>0</v>
      </c>
      <c r="BA50" s="238">
        <f>SCI!AZ14</f>
        <v>0</v>
      </c>
      <c r="BB50" s="238">
        <f>SCI!BA14</f>
        <v>0</v>
      </c>
      <c r="BC50" s="238">
        <f>SCI!BB14</f>
        <v>0</v>
      </c>
      <c r="BD50" s="238">
        <f>SCI!BC14</f>
        <v>0</v>
      </c>
      <c r="BE50" s="238">
        <f>SCI!BD14</f>
        <v>0</v>
      </c>
      <c r="BF50" s="238">
        <f>SCI!BE14</f>
        <v>0</v>
      </c>
      <c r="BG50" s="238">
        <f>SCI!BF14</f>
        <v>0</v>
      </c>
      <c r="BH50" s="238">
        <f>SCI!BG14</f>
        <v>0</v>
      </c>
      <c r="BI50" s="238">
        <f>SCI!BH14</f>
        <v>0</v>
      </c>
      <c r="BJ50" s="238">
        <f>SCI!BI14</f>
        <v>0</v>
      </c>
      <c r="BK50" s="238">
        <f>SCI!BJ14</f>
        <v>0</v>
      </c>
      <c r="BL50" s="238">
        <f>SCI!BK14</f>
        <v>0</v>
      </c>
      <c r="BM50" s="238">
        <f>SCI!BL14</f>
        <v>0</v>
      </c>
      <c r="BN50" s="238">
        <f>SCI!BM14</f>
        <v>0</v>
      </c>
      <c r="BO50" s="238">
        <f>SCI!BN14</f>
        <v>0</v>
      </c>
      <c r="BP50" s="238">
        <f>SCI!BO14</f>
        <v>0</v>
      </c>
      <c r="BQ50" s="238">
        <f>SCI!BP14</f>
        <v>0</v>
      </c>
      <c r="BR50" s="238">
        <f>SCI!BQ14</f>
        <v>0</v>
      </c>
      <c r="BS50" s="238">
        <f>SCI!BR14</f>
        <v>0</v>
      </c>
      <c r="BT50" s="238">
        <f>SCI!BS14</f>
        <v>0</v>
      </c>
      <c r="BU50" s="238">
        <f>SCI!BT14</f>
        <v>0</v>
      </c>
      <c r="BV50" s="238">
        <f>SCI!BU14</f>
        <v>0</v>
      </c>
      <c r="BW50" s="238">
        <f>SCI!BV14</f>
        <v>0</v>
      </c>
      <c r="BX50" s="238">
        <f>SCI!BW14</f>
        <v>0</v>
      </c>
      <c r="BY50" s="238">
        <f>SCI!BX14</f>
        <v>0</v>
      </c>
      <c r="BZ50" s="238">
        <f>SCI!BY14</f>
        <v>0</v>
      </c>
      <c r="CA50" s="238">
        <f>SCI!BZ14</f>
        <v>0</v>
      </c>
      <c r="CB50" s="238">
        <f>SCI!CA14</f>
        <v>0</v>
      </c>
      <c r="CC50" s="238">
        <f>SCI!CB14</f>
        <v>0</v>
      </c>
      <c r="CD50" s="238">
        <f>SCI!CC14</f>
        <v>0</v>
      </c>
      <c r="CE50" s="238">
        <f>SCI!CD14</f>
        <v>0</v>
      </c>
      <c r="CF50" s="238">
        <f>SCI!CE14</f>
        <v>0</v>
      </c>
      <c r="CG50" s="238">
        <f>SCI!CF14</f>
        <v>0</v>
      </c>
      <c r="CH50" s="238">
        <f>SCI!CG14</f>
        <v>0</v>
      </c>
      <c r="CI50" s="238">
        <f>SCI!CH14</f>
        <v>0</v>
      </c>
      <c r="CJ50" s="238">
        <f>SCI!CI14</f>
        <v>0</v>
      </c>
      <c r="CK50" s="238">
        <f>SCI!CJ14</f>
        <v>0</v>
      </c>
      <c r="CL50" s="238">
        <f>SCI!CK14</f>
        <v>0</v>
      </c>
      <c r="CM50" s="238">
        <f>SCI!CL14</f>
        <v>0</v>
      </c>
      <c r="CN50" s="238">
        <f>SCI!CM14</f>
        <v>0</v>
      </c>
      <c r="CO50" s="238">
        <f>SCI!CN14</f>
        <v>0</v>
      </c>
      <c r="CP50" s="238">
        <f>SCI!CO14</f>
        <v>0</v>
      </c>
      <c r="CQ50" s="238">
        <f>SCI!CP14</f>
        <v>0</v>
      </c>
      <c r="CR50" s="238">
        <f>SCI!CQ14</f>
        <v>0</v>
      </c>
      <c r="CS50" s="238">
        <f>SCI!CR14</f>
        <v>0</v>
      </c>
      <c r="CT50" s="238">
        <f>SCI!CS14</f>
        <v>0</v>
      </c>
    </row>
    <row r="51" spans="1:98">
      <c r="A51" s="16">
        <v>10.4</v>
      </c>
      <c r="B51" s="225" t="s">
        <v>147</v>
      </c>
      <c r="C51" s="30">
        <f>SCI!B16+SCI!B17+SCI!B18</f>
        <v>1724000</v>
      </c>
      <c r="D51" s="30">
        <f>SCI!C16+SCI!C17+SCI!C18</f>
        <v>0</v>
      </c>
      <c r="E51" s="30">
        <f>SCI!D16+SCI!D17+SCI!D18</f>
        <v>1361000</v>
      </c>
      <c r="F51" s="30">
        <f>SCI!E16+SCI!E17+SCI!E18</f>
        <v>604670</v>
      </c>
      <c r="G51" s="30">
        <f>SCI!F16+SCI!F17+SCI!F18</f>
        <v>1357661.91</v>
      </c>
      <c r="H51" s="30">
        <f>SCI!G16+SCI!G17+SCI!G18</f>
        <v>2824104</v>
      </c>
      <c r="I51" s="30">
        <f>SCI!H16+SCI!H17+SCI!H18</f>
        <v>383011.6</v>
      </c>
      <c r="J51" s="30">
        <f>SCI!I16+SCI!I17+SCI!I18</f>
        <v>5977273.6200000001</v>
      </c>
      <c r="K51" s="30">
        <f>SCI!J16+SCI!J17+SCI!J18</f>
        <v>9559280.4199999999</v>
      </c>
      <c r="L51" s="30">
        <f>SCI!K16+SCI!K17+SCI!K18</f>
        <v>12867558.91</v>
      </c>
      <c r="M51" s="30">
        <f>SCI!L16+SCI!L17+SCI!L18</f>
        <v>16118035.68</v>
      </c>
      <c r="N51" s="30">
        <f>SCI!M16+SCI!M17+SCI!M18</f>
        <v>19476213.060000002</v>
      </c>
      <c r="O51" s="30">
        <f>SCI!N16+SCI!N17+SCI!N18</f>
        <v>22699340.540000003</v>
      </c>
      <c r="P51" s="30">
        <f>SCI!O16+SCI!O17+SCI!O18</f>
        <v>26146789.120000001</v>
      </c>
      <c r="Q51" s="30">
        <f>SCI!P16+SCI!P17+SCI!P18</f>
        <v>27713296.150000002</v>
      </c>
      <c r="R51" s="30">
        <f>SCI!Q16+SCI!Q17+SCI!Q18</f>
        <v>31159337.969999999</v>
      </c>
      <c r="S51" s="30">
        <f>SCI!R16+SCI!R17+SCI!R18</f>
        <v>34253696.700000003</v>
      </c>
      <c r="T51" s="30">
        <f>SCI!S16+SCI!S17+SCI!S18</f>
        <v>37393038.270000003</v>
      </c>
      <c r="U51" s="30">
        <f>SCI!T16+SCI!T17+SCI!T18</f>
        <v>0</v>
      </c>
      <c r="V51" s="30">
        <f>SCI!U16+SCI!U17+SCI!U18</f>
        <v>1137262.1600000001</v>
      </c>
      <c r="W51" s="30">
        <f>SCI!V16+SCI!V17+SCI!V18</f>
        <v>7746247.46</v>
      </c>
      <c r="X51" s="30">
        <f>SCI!W16+SCI!W17+SCI!W18</f>
        <v>10843880.220000001</v>
      </c>
      <c r="Y51" s="30">
        <f>SCI!X16+SCI!X17+SCI!X18</f>
        <v>12216256.059999999</v>
      </c>
      <c r="Z51" s="30">
        <f>SCI!Y16+SCI!Y17+SCI!Y18</f>
        <v>15068496</v>
      </c>
      <c r="AA51" s="30">
        <f>SCI!Z16+SCI!Z17+SCI!Z18</f>
        <v>18394624.210000001</v>
      </c>
      <c r="AB51" s="30">
        <f>SCI!AA16+SCI!AA17+SCI!AA18</f>
        <v>21194287.090000004</v>
      </c>
      <c r="AC51" s="30">
        <f>SCI!AB16+SCI!AB17+SCI!AB18</f>
        <v>23215543.740000002</v>
      </c>
      <c r="AD51" s="30">
        <f>SCI!AC16+SCI!AC17+SCI!AC18</f>
        <v>5613721.7100000009</v>
      </c>
      <c r="AE51" s="30">
        <f>SCI!AD16+SCI!AD17+SCI!AD18</f>
        <v>3183324.98</v>
      </c>
      <c r="AF51" s="30">
        <f>SCI!AE16+SCI!AE17+SCI!AE18</f>
        <v>6236255.5499999998</v>
      </c>
      <c r="AG51" s="30">
        <f>SCI!AF16+SCI!AF17+SCI!AF18</f>
        <v>3468412.85</v>
      </c>
      <c r="AH51" s="265">
        <f>SCI!AG16+SCI!AG17+SCI!AG18</f>
        <v>0</v>
      </c>
      <c r="AI51" s="265">
        <f>SCI!AH16+SCI!AH17+SCI!AH18</f>
        <v>1181147.03</v>
      </c>
      <c r="AJ51" s="265">
        <f>SCI!AI16+SCI!AI17+SCI!AI18</f>
        <v>2184661.7800000003</v>
      </c>
      <c r="AK51" s="265">
        <f>SCI!AJ16+SCI!AJ17+SCI!AJ18</f>
        <v>3160630.19</v>
      </c>
      <c r="AL51" s="265">
        <f>SCI!AK16+SCI!AK17+SCI!AK18</f>
        <v>4409639.8499999996</v>
      </c>
      <c r="AM51" s="265">
        <f>SCI!AL16+SCI!AL17+SCI!AL18</f>
        <v>1495096.99</v>
      </c>
      <c r="AN51" s="265">
        <f>SCI!AM16+SCI!AM17+SCI!AM18</f>
        <v>1914998.92</v>
      </c>
      <c r="AO51" s="265">
        <f>SCI!AN16+SCI!AN17+SCI!AN18</f>
        <v>1900680.3399999999</v>
      </c>
      <c r="AP51" s="265">
        <f>SCI!AO16+SCI!AO17+SCI!AO18</f>
        <v>2282413.0299999998</v>
      </c>
      <c r="AQ51" s="265">
        <f>SCI!AP16+SCI!AP17+SCI!AP18</f>
        <v>2639995.63</v>
      </c>
      <c r="AR51" s="265">
        <f>SCI!AQ16+SCI!AQ17+SCI!AQ18</f>
        <v>2867040.46</v>
      </c>
      <c r="AS51" s="265">
        <f>SCI!AR16+SCI!AR17+SCI!AR18</f>
        <v>3211458.55</v>
      </c>
      <c r="AT51" s="265">
        <f>SCI!AS16+SCI!AS17+SCI!AS18</f>
        <v>2870990.69</v>
      </c>
      <c r="AU51" s="265">
        <f>SCI!AT16+SCI!AT17+SCI!AT18</f>
        <v>0</v>
      </c>
      <c r="AV51" s="265">
        <f>SCI!AU16+SCI!AU17+SCI!AU18</f>
        <v>576211.4</v>
      </c>
      <c r="AW51" s="265">
        <f>SCI!AV16+SCI!AV17+SCI!AV18</f>
        <v>520551.33999999997</v>
      </c>
      <c r="AX51" s="265">
        <f>SCI!AW16+SCI!AW17+SCI!AW18</f>
        <v>10033311.16</v>
      </c>
      <c r="AY51" s="265">
        <f>SCI!AX16+SCI!AX17+SCI!AX18</f>
        <v>1956517.33</v>
      </c>
      <c r="AZ51" s="265">
        <f>SCI!AY16+SCI!AY17+SCI!AY18</f>
        <v>2269495.64</v>
      </c>
      <c r="BA51" s="265">
        <f>SCI!AZ16+SCI!AZ17+SCI!AZ18</f>
        <v>2870515.16</v>
      </c>
      <c r="BB51" s="265">
        <f>SCI!BA16+SCI!BA17+SCI!BA18</f>
        <v>2623205.09</v>
      </c>
      <c r="BC51" s="265">
        <f>SCI!BB16+SCI!BB17+SCI!BB18</f>
        <v>6243461.790000001</v>
      </c>
      <c r="BD51" s="265">
        <f>SCI!BC16+SCI!BC17+SCI!BC18</f>
        <v>3701670.2800000003</v>
      </c>
      <c r="BE51" s="265">
        <f>SCI!BD16+SCI!BD17+SCI!BD18</f>
        <v>4144590.6500000004</v>
      </c>
      <c r="BF51" s="265">
        <f>SCI!BE16+SCI!BE17+SCI!BE18</f>
        <v>3570457.1100000003</v>
      </c>
      <c r="BG51" s="265">
        <f>SCI!BF16+SCI!BF17+SCI!BF18</f>
        <v>3838842.45</v>
      </c>
      <c r="BH51" s="265">
        <f>SCI!BG16+SCI!BG17+SCI!BG18</f>
        <v>1738335</v>
      </c>
      <c r="BI51" s="265">
        <f>SCI!BH16+SCI!BH17+SCI!BH18</f>
        <v>427751.82</v>
      </c>
      <c r="BJ51" s="265">
        <f>SCI!BI16+SCI!BI17+SCI!BI18</f>
        <v>694134.3</v>
      </c>
      <c r="BK51" s="265">
        <f>SCI!BJ16+SCI!BJ17+SCI!BJ18</f>
        <v>1333432.9099999999</v>
      </c>
      <c r="BL51" s="265">
        <f>SCI!BK16+SCI!BK17+SCI!BK18</f>
        <v>31512067.549999997</v>
      </c>
      <c r="BM51" s="265">
        <f>SCI!BL16+SCI!BL17+SCI!BL18</f>
        <v>1663220.65</v>
      </c>
      <c r="BN51" s="265">
        <f>SCI!BM16+SCI!BM17+SCI!BM18</f>
        <v>1932570.25</v>
      </c>
      <c r="BO51" s="265">
        <f>SCI!BN16+SCI!BN17+SCI!BN18</f>
        <v>2067415.4699999997</v>
      </c>
      <c r="BP51" s="265">
        <f>SCI!BO16+SCI!BO17+SCI!BO18</f>
        <v>2200220.37</v>
      </c>
      <c r="BQ51" s="265">
        <f>SCI!BP16+SCI!BP17+SCI!BP18</f>
        <v>6561255.5600000005</v>
      </c>
      <c r="BR51" s="265">
        <f>SCI!BQ16+SCI!BQ17+SCI!BQ18</f>
        <v>2685867.56</v>
      </c>
      <c r="BS51" s="265">
        <f>SCI!BR16+SCI!BR17+SCI!BR18</f>
        <v>2848819.55</v>
      </c>
      <c r="BT51" s="265">
        <f>SCI!BS16+SCI!BS17+SCI!BS18</f>
        <v>3102715.1399999997</v>
      </c>
      <c r="BU51" s="265">
        <f>SCI!BT16+SCI!BT17+SCI!BT18</f>
        <v>1192244</v>
      </c>
      <c r="BV51" s="265">
        <f>SCI!BU16+SCI!BU17+SCI!BU18</f>
        <v>664185.72</v>
      </c>
      <c r="BW51" s="265">
        <f>SCI!BV16+SCI!BV17+SCI!BV18</f>
        <v>786770.12</v>
      </c>
      <c r="BX51" s="265">
        <f>SCI!BW16+SCI!BW17+SCI!BW18</f>
        <v>1287303.93</v>
      </c>
      <c r="BY51" s="265">
        <f>SCI!BX16+SCI!BX17+SCI!BX18</f>
        <v>1526983.3099999998</v>
      </c>
      <c r="BZ51" s="265">
        <f>SCI!BY16+SCI!BY17+SCI!BY18</f>
        <v>6742806.1799999997</v>
      </c>
      <c r="CA51" s="265">
        <f>SCI!BZ16+SCI!BZ17+SCI!BZ18</f>
        <v>1886472.18</v>
      </c>
      <c r="CB51" s="265">
        <f>SCI!CA16+SCI!CA17+SCI!CA18</f>
        <v>2047640.8399999999</v>
      </c>
      <c r="CC51" s="265">
        <f>SCI!CB16+SCI!CB17+SCI!CB18</f>
        <v>2282329.9400000004</v>
      </c>
      <c r="CD51" s="265">
        <f>SCI!CC16+SCI!CC17+SCI!CC18</f>
        <v>2517128.4900000002</v>
      </c>
      <c r="CE51" s="265">
        <f>SCI!CD16+SCI!CD17+SCI!CD18</f>
        <v>2690290.48</v>
      </c>
      <c r="CF51" s="265">
        <f>SCI!CE16+SCI!CE17+SCI!CE18</f>
        <v>2880902.85</v>
      </c>
      <c r="CG51" s="265">
        <f>SCI!CF16+SCI!CF17+SCI!CF18</f>
        <v>3136204.22</v>
      </c>
      <c r="CH51" s="265">
        <f>SCI!CG16+SCI!CG17+SCI!CG18</f>
        <v>4441693</v>
      </c>
      <c r="CI51" s="265">
        <f>SCI!CH16+SCI!CH17+SCI!CH18</f>
        <v>399832.85</v>
      </c>
      <c r="CJ51" s="265">
        <f>SCI!CI16+SCI!CI17+SCI!CI18</f>
        <v>651718.80000000005</v>
      </c>
      <c r="CK51" s="265">
        <f>SCI!CJ16+SCI!CJ17+SCI!CJ18</f>
        <v>1479558.36</v>
      </c>
      <c r="CL51" s="265">
        <f>SCI!CK16+SCI!CK17+SCI!CK18</f>
        <v>1605635.5</v>
      </c>
      <c r="CM51" s="265">
        <f>SCI!CL16+SCI!CL17+SCI!CL18</f>
        <v>1803251.5</v>
      </c>
      <c r="CN51" s="265">
        <f>SCI!CM16+SCI!CM17+SCI!CM18</f>
        <v>2075286.7</v>
      </c>
      <c r="CO51" s="265">
        <f>SCI!CN16+SCI!CN17+SCI!CN18</f>
        <v>2325216.2999999998</v>
      </c>
      <c r="CP51" s="265">
        <f>SCI!CO16+SCI!CO17+SCI!CO18</f>
        <v>2858823.28</v>
      </c>
      <c r="CQ51" s="265">
        <f>SCI!CP16+SCI!CP17+SCI!CP18</f>
        <v>2774825.1</v>
      </c>
      <c r="CR51" s="265">
        <f>SCI!CQ16+SCI!CQ17+SCI!CQ18</f>
        <v>0</v>
      </c>
      <c r="CS51" s="265">
        <f>SCI!CR16+SCI!CR17+SCI!CR18</f>
        <v>0</v>
      </c>
      <c r="CT51" s="265">
        <f>SCI!CS16+SCI!CS17+SCI!CS18</f>
        <v>0</v>
      </c>
    </row>
    <row r="52" spans="1:98">
      <c r="A52" s="16">
        <v>10.5</v>
      </c>
      <c r="B52" s="266" t="s">
        <v>87</v>
      </c>
      <c r="C52" s="27">
        <f>SCI!B28</f>
        <v>21460000</v>
      </c>
      <c r="D52" s="27">
        <f>SCI!C28</f>
        <v>21647000</v>
      </c>
      <c r="E52" s="27">
        <f>SCI!D28</f>
        <v>24356000</v>
      </c>
      <c r="F52" s="27">
        <f>SCI!E28</f>
        <v>37121094</v>
      </c>
      <c r="G52" s="27">
        <f>SCI!F28</f>
        <v>41527857</v>
      </c>
      <c r="H52" s="27">
        <f>SCI!G28</f>
        <v>82009129</v>
      </c>
      <c r="I52" s="27">
        <f>SCI!H28</f>
        <v>11139237.4</v>
      </c>
      <c r="J52" s="27">
        <f>SCI!I28</f>
        <v>20121634.5</v>
      </c>
      <c r="K52" s="27">
        <f>SCI!J28</f>
        <v>24568483.300000001</v>
      </c>
      <c r="L52" s="27">
        <f>SCI!K28</f>
        <v>32497035.420000002</v>
      </c>
      <c r="M52" s="27">
        <f>SCI!L28</f>
        <v>40691355.299999997</v>
      </c>
      <c r="N52" s="27">
        <f>SCI!M28</f>
        <v>46557983.200000003</v>
      </c>
      <c r="O52" s="27">
        <f>SCI!N28</f>
        <v>50840134.799999997</v>
      </c>
      <c r="P52" s="27">
        <f>SCI!O28</f>
        <v>54215106.700000003</v>
      </c>
      <c r="Q52" s="27">
        <f>SCI!P28</f>
        <v>64834077.700000003</v>
      </c>
      <c r="R52" s="27">
        <f>SCI!Q28</f>
        <v>71338629.900000006</v>
      </c>
      <c r="S52" s="27">
        <f>SCI!R28</f>
        <v>76007592.200000003</v>
      </c>
      <c r="T52" s="27">
        <f>SCI!S28</f>
        <v>81449723.5</v>
      </c>
      <c r="U52" s="27">
        <f>SCI!T28</f>
        <v>77729181</v>
      </c>
      <c r="V52" s="27">
        <f>SCI!U28</f>
        <v>37386657</v>
      </c>
      <c r="W52" s="27">
        <f>SCI!V28</f>
        <v>21879074.699999999</v>
      </c>
      <c r="X52" s="27">
        <f>SCI!W28</f>
        <v>27558932.600000001</v>
      </c>
      <c r="Y52" s="27">
        <f>SCI!X28</f>
        <v>38404518.200000003</v>
      </c>
      <c r="Z52" s="27">
        <f>SCI!Y28</f>
        <v>48887696</v>
      </c>
      <c r="AA52" s="27">
        <f>SCI!Z28</f>
        <v>57772779.899999999</v>
      </c>
      <c r="AB52" s="27">
        <f>SCI!AA28</f>
        <v>63214223.299999997</v>
      </c>
      <c r="AC52" s="27">
        <f>SCI!AB28</f>
        <v>71847664.799999997</v>
      </c>
      <c r="AD52" s="27">
        <f>SCI!AC28</f>
        <v>81921870.799999997</v>
      </c>
      <c r="AE52" s="27">
        <f>SCI!AD28</f>
        <v>91220863.599999994</v>
      </c>
      <c r="AF52" s="27">
        <f>SCI!AE28</f>
        <v>101291602.8</v>
      </c>
      <c r="AG52" s="27">
        <f>SCI!AF28</f>
        <v>116344564.09999999</v>
      </c>
      <c r="AH52" s="236">
        <f>SCI!AG28</f>
        <v>107565822</v>
      </c>
      <c r="AI52" s="236">
        <f>SCI!AH28</f>
        <v>5139656.5999999996</v>
      </c>
      <c r="AJ52" s="236">
        <f>SCI!AI28</f>
        <v>12133892.300000001</v>
      </c>
      <c r="AK52" s="236">
        <f>SCI!AJ28</f>
        <v>30460005.699999999</v>
      </c>
      <c r="AL52" s="236">
        <f>SCI!AK28</f>
        <v>42736021</v>
      </c>
      <c r="AM52" s="236">
        <f>SCI!AL28</f>
        <v>50359569.399999999</v>
      </c>
      <c r="AN52" s="236">
        <f>SCI!AM28</f>
        <v>62318988.200000003</v>
      </c>
      <c r="AO52" s="236">
        <f>SCI!AN28</f>
        <v>68061246.519999996</v>
      </c>
      <c r="AP52" s="236">
        <f>SCI!AO28</f>
        <v>73908197.620000005</v>
      </c>
      <c r="AQ52" s="236">
        <f>SCI!AP28</f>
        <v>86504088.719999999</v>
      </c>
      <c r="AR52" s="236">
        <f>SCI!AQ28</f>
        <v>100409050.56999999</v>
      </c>
      <c r="AS52" s="236">
        <f>SCI!AR28</f>
        <v>115469248.27</v>
      </c>
      <c r="AT52" s="236">
        <f>SCI!AS28</f>
        <v>127367353.28</v>
      </c>
      <c r="AU52" s="236">
        <f>SCI!AT28</f>
        <v>104002281</v>
      </c>
      <c r="AV52" s="236">
        <f>SCI!AU28</f>
        <v>7368867.5</v>
      </c>
      <c r="AW52" s="236">
        <f>SCI!AV28</f>
        <v>18637775.600000001</v>
      </c>
      <c r="AX52" s="236">
        <f>SCI!AW28</f>
        <v>42108133.700000003</v>
      </c>
      <c r="AY52" s="236">
        <f>SCI!AX28</f>
        <v>51263218.299999997</v>
      </c>
      <c r="AZ52" s="236">
        <f>SCI!AY28</f>
        <v>58423248.32</v>
      </c>
      <c r="BA52" s="236">
        <f>SCI!AZ28</f>
        <v>77000816.939999998</v>
      </c>
      <c r="BB52" s="236">
        <f>SCI!BA28</f>
        <v>84392203</v>
      </c>
      <c r="BC52" s="236">
        <f>SCI!BB28</f>
        <v>95814212.709999993</v>
      </c>
      <c r="BD52" s="236">
        <f>SCI!BC28</f>
        <v>108613047.06</v>
      </c>
      <c r="BE52" s="236">
        <f>SCI!BD28</f>
        <v>110961186</v>
      </c>
      <c r="BF52" s="236">
        <f>SCI!BE28</f>
        <v>119541260</v>
      </c>
      <c r="BG52" s="236">
        <f>SCI!BF28</f>
        <v>135996968.87</v>
      </c>
      <c r="BH52" s="236">
        <f>SCI!BG28</f>
        <v>117071421</v>
      </c>
      <c r="BI52" s="236">
        <f>SCI!BH28</f>
        <v>6054852.0999999996</v>
      </c>
      <c r="BJ52" s="236">
        <f>SCI!BI28</f>
        <v>14338711</v>
      </c>
      <c r="BK52" s="236">
        <f>SCI!BJ28</f>
        <v>47260433.5</v>
      </c>
      <c r="BL52" s="236">
        <f>SCI!BK28</f>
        <v>65005213.399999999</v>
      </c>
      <c r="BM52" s="236">
        <f>SCI!BL28</f>
        <v>73769179.900000006</v>
      </c>
      <c r="BN52" s="236">
        <f>SCI!BM28</f>
        <v>95555720.799999997</v>
      </c>
      <c r="BO52" s="236">
        <f>SCI!BN28</f>
        <v>103754064.09999999</v>
      </c>
      <c r="BP52" s="236">
        <f>SCI!BO28</f>
        <v>115308018.09999999</v>
      </c>
      <c r="BQ52" s="236">
        <f>SCI!BP28</f>
        <v>135732132.59999999</v>
      </c>
      <c r="BR52" s="236">
        <f>SCI!BQ28</f>
        <v>150156320.19999999</v>
      </c>
      <c r="BS52" s="236">
        <f>SCI!BR28</f>
        <v>163295448.40000001</v>
      </c>
      <c r="BT52" s="236">
        <f>SCI!BS28</f>
        <v>181722230.80000001</v>
      </c>
      <c r="BU52" s="236">
        <f>SCI!BT28</f>
        <v>132143434</v>
      </c>
      <c r="BV52" s="236">
        <f>SCI!BU28</f>
        <v>20467177.75</v>
      </c>
      <c r="BW52" s="236">
        <f>SCI!BV28</f>
        <v>33921760.399999999</v>
      </c>
      <c r="BX52" s="236">
        <f>SCI!BW28</f>
        <v>50714849.600000001</v>
      </c>
      <c r="BY52" s="236">
        <f>SCI!BX28</f>
        <v>75351441.299999997</v>
      </c>
      <c r="BZ52" s="236">
        <f>SCI!BY28</f>
        <v>90482253.700000003</v>
      </c>
      <c r="CA52" s="236">
        <f>SCI!BZ28</f>
        <v>109969095</v>
      </c>
      <c r="CB52" s="236">
        <f>SCI!CA28</f>
        <v>120341271.34999999</v>
      </c>
      <c r="CC52" s="236">
        <f>SCI!CB28</f>
        <v>132488805.95</v>
      </c>
      <c r="CD52" s="236">
        <f>SCI!CC28</f>
        <v>154441232.84999999</v>
      </c>
      <c r="CE52" s="236">
        <f>SCI!CD28</f>
        <v>164069703.15000001</v>
      </c>
      <c r="CF52" s="236">
        <f>SCI!CE28</f>
        <v>164908751.15000001</v>
      </c>
      <c r="CG52" s="236">
        <f>SCI!CF28</f>
        <v>185676583.25</v>
      </c>
      <c r="CH52" s="236">
        <f>SCI!CG28</f>
        <v>138738900</v>
      </c>
      <c r="CI52" s="236">
        <f>SCI!CH28</f>
        <v>19632823</v>
      </c>
      <c r="CJ52" s="236">
        <f>SCI!CI28</f>
        <v>47196835.299999997</v>
      </c>
      <c r="CK52" s="236">
        <f>SCI!CJ28</f>
        <v>62077237.299999997</v>
      </c>
      <c r="CL52" s="236">
        <f>SCI!CK28</f>
        <v>93924276.299999997</v>
      </c>
      <c r="CM52" s="236">
        <f>SCI!CL28</f>
        <v>103588689</v>
      </c>
      <c r="CN52" s="236">
        <f>SCI!CM28</f>
        <v>121900783</v>
      </c>
      <c r="CO52" s="236">
        <f>SCI!CN28</f>
        <v>131268810.90000001</v>
      </c>
      <c r="CP52" s="236">
        <f>SCI!CO28</f>
        <v>149966083.90000001</v>
      </c>
      <c r="CQ52" s="236">
        <f>SCI!CP28</f>
        <v>174572665</v>
      </c>
      <c r="CR52" s="236">
        <f>SCI!CQ28</f>
        <v>0</v>
      </c>
      <c r="CS52" s="236">
        <f>SCI!CR28</f>
        <v>0</v>
      </c>
      <c r="CT52" s="236">
        <f>SCI!CS28</f>
        <v>0</v>
      </c>
    </row>
    <row r="53" spans="1:98">
      <c r="A53" s="16">
        <v>10.6</v>
      </c>
      <c r="B53" s="266" t="s">
        <v>84</v>
      </c>
      <c r="C53" s="27">
        <f>SCI!B25</f>
        <v>5511000</v>
      </c>
      <c r="D53" s="27">
        <f>SCI!C25</f>
        <v>33577000</v>
      </c>
      <c r="E53" s="27">
        <f>SCI!D25</f>
        <v>41103000</v>
      </c>
      <c r="F53" s="27">
        <f>SCI!E25</f>
        <v>48527275</v>
      </c>
      <c r="G53" s="27">
        <f>SCI!F25</f>
        <v>52825047</v>
      </c>
      <c r="H53" s="27">
        <f>SCI!G25</f>
        <v>66047004</v>
      </c>
      <c r="I53" s="27">
        <f>SCI!H25</f>
        <v>1853071</v>
      </c>
      <c r="J53" s="27">
        <f>SCI!I25</f>
        <v>3215333.4</v>
      </c>
      <c r="K53" s="27">
        <f>SCI!J25</f>
        <v>4496952.4000000004</v>
      </c>
      <c r="L53" s="27">
        <f>SCI!K25</f>
        <v>6136329.0999999996</v>
      </c>
      <c r="M53" s="27">
        <f>SCI!L25</f>
        <v>8406420.0999999996</v>
      </c>
      <c r="N53" s="27">
        <f>SCI!M25</f>
        <v>9714676</v>
      </c>
      <c r="O53" s="27">
        <f>SCI!N25</f>
        <v>12043269.4</v>
      </c>
      <c r="P53" s="27">
        <f>SCI!O25</f>
        <v>13333768.4</v>
      </c>
      <c r="Q53" s="27">
        <f>SCI!P25</f>
        <v>14774808.9</v>
      </c>
      <c r="R53" s="27">
        <f>SCI!Q25</f>
        <v>17520014.899999999</v>
      </c>
      <c r="S53" s="27">
        <f>SCI!R25</f>
        <v>20167435.899999999</v>
      </c>
      <c r="T53" s="27">
        <f>SCI!S25</f>
        <v>21879033.899999999</v>
      </c>
      <c r="U53" s="27">
        <f>SCI!T25</f>
        <v>78642230</v>
      </c>
      <c r="V53" s="27">
        <f>SCI!U25</f>
        <v>3798126</v>
      </c>
      <c r="W53" s="27">
        <f>SCI!V25</f>
        <v>14895777</v>
      </c>
      <c r="X53" s="27">
        <f>SCI!W25</f>
        <v>22051377</v>
      </c>
      <c r="Y53" s="27">
        <f>SCI!X25</f>
        <v>29135863</v>
      </c>
      <c r="Z53" s="27">
        <f>SCI!Y25</f>
        <v>36063278</v>
      </c>
      <c r="AA53" s="27">
        <f>SCI!Z25</f>
        <v>43020785</v>
      </c>
      <c r="AB53" s="27">
        <f>SCI!AA25</f>
        <v>50169622</v>
      </c>
      <c r="AC53" s="27">
        <f>SCI!AB25</f>
        <v>57796858</v>
      </c>
      <c r="AD53" s="27">
        <f>SCI!AC25</f>
        <v>64640948</v>
      </c>
      <c r="AE53" s="27">
        <f>SCI!AD25</f>
        <v>71708891</v>
      </c>
      <c r="AF53" s="27">
        <f>SCI!AE25</f>
        <v>78813099</v>
      </c>
      <c r="AG53" s="27">
        <f>SCI!AF25</f>
        <v>17730530</v>
      </c>
      <c r="AH53" s="236">
        <f>SCI!AG25</f>
        <v>41172198</v>
      </c>
      <c r="AI53" s="236">
        <f>SCI!AH25</f>
        <v>9491612</v>
      </c>
      <c r="AJ53" s="236">
        <f>SCI!AI25</f>
        <v>18968653</v>
      </c>
      <c r="AK53" s="236">
        <f>SCI!AJ25</f>
        <v>28202767</v>
      </c>
      <c r="AL53" s="236">
        <f>SCI!AK25</f>
        <v>37470701</v>
      </c>
      <c r="AM53" s="236">
        <f>SCI!AL25</f>
        <v>47120922</v>
      </c>
      <c r="AN53" s="236">
        <f>SCI!AM25</f>
        <v>56752941.5</v>
      </c>
      <c r="AO53" s="236">
        <f>SCI!AN25</f>
        <v>66528789.5</v>
      </c>
      <c r="AP53" s="236">
        <f>SCI!AO25</f>
        <v>76032902.5</v>
      </c>
      <c r="AQ53" s="236">
        <f>SCI!AP25</f>
        <v>85439950.5</v>
      </c>
      <c r="AR53" s="236">
        <f>SCI!AQ25</f>
        <v>95144856.5</v>
      </c>
      <c r="AS53" s="236">
        <f>SCI!AR25</f>
        <v>106330675.5</v>
      </c>
      <c r="AT53" s="236">
        <f>SCI!AS25</f>
        <v>115610867.5</v>
      </c>
      <c r="AU53" s="236">
        <f>SCI!AT25</f>
        <v>46028189</v>
      </c>
      <c r="AV53" s="236">
        <f>SCI!AU25</f>
        <v>9320205</v>
      </c>
      <c r="AW53" s="236">
        <f>SCI!AV25</f>
        <v>18638246</v>
      </c>
      <c r="AX53" s="236">
        <f>SCI!AW25</f>
        <v>28031186</v>
      </c>
      <c r="AY53" s="236">
        <f>SCI!AX25</f>
        <v>36319507</v>
      </c>
      <c r="AZ53" s="236">
        <f>SCI!AY25</f>
        <v>37184772</v>
      </c>
      <c r="BA53" s="236">
        <f>SCI!AZ25</f>
        <v>38872472</v>
      </c>
      <c r="BB53" s="236">
        <f>SCI!BA25</f>
        <v>40271799</v>
      </c>
      <c r="BC53" s="236">
        <f>SCI!BB25</f>
        <v>41800018</v>
      </c>
      <c r="BD53" s="236">
        <f>SCI!BC25</f>
        <v>42873919</v>
      </c>
      <c r="BE53" s="236">
        <f>SCI!BD25</f>
        <v>44907279</v>
      </c>
      <c r="BF53" s="236">
        <f>SCI!BE25</f>
        <v>46045646</v>
      </c>
      <c r="BG53" s="236">
        <f>SCI!BF25</f>
        <v>48353098</v>
      </c>
      <c r="BH53" s="236">
        <f>SCI!BG25</f>
        <v>36698374</v>
      </c>
      <c r="BI53" s="236">
        <f>SCI!BH25</f>
        <v>1728412</v>
      </c>
      <c r="BJ53" s="236">
        <f>SCI!BI25</f>
        <v>4003862.3</v>
      </c>
      <c r="BK53" s="236">
        <f>SCI!BJ25</f>
        <v>6338661.5999999996</v>
      </c>
      <c r="BL53" s="236">
        <f>SCI!BK25</f>
        <v>7333268.5999999996</v>
      </c>
      <c r="BM53" s="236">
        <f>SCI!BL25</f>
        <v>10243369.6</v>
      </c>
      <c r="BN53" s="236">
        <f>SCI!BM25</f>
        <v>12372999.6</v>
      </c>
      <c r="BO53" s="236">
        <f>SCI!BN25</f>
        <v>14620487.6</v>
      </c>
      <c r="BP53" s="236">
        <f>SCI!BO25</f>
        <v>17068720.600000001</v>
      </c>
      <c r="BQ53" s="236">
        <f>SCI!BP25</f>
        <v>19125900.600000001</v>
      </c>
      <c r="BR53" s="236">
        <f>SCI!BQ25</f>
        <v>22454578.600000001</v>
      </c>
      <c r="BS53" s="236">
        <f>SCI!BR25</f>
        <v>24615320.5</v>
      </c>
      <c r="BT53" s="236">
        <f>SCI!BS25</f>
        <v>27390532.5</v>
      </c>
      <c r="BU53" s="236">
        <f>SCI!BT25</f>
        <v>45140733</v>
      </c>
      <c r="BV53" s="236">
        <f>SCI!BU25</f>
        <v>2248338</v>
      </c>
      <c r="BW53" s="236">
        <f>SCI!BV25</f>
        <v>4484532</v>
      </c>
      <c r="BX53" s="236">
        <f>SCI!BW25</f>
        <v>6516432</v>
      </c>
      <c r="BY53" s="236">
        <f>SCI!BX25</f>
        <v>8217673</v>
      </c>
      <c r="BZ53" s="236">
        <f>SCI!BY25</f>
        <v>10566851.300000001</v>
      </c>
      <c r="CA53" s="236">
        <f>SCI!BZ25</f>
        <v>12644484.300000001</v>
      </c>
      <c r="CB53" s="236">
        <f>SCI!CA25</f>
        <v>16986942.300000001</v>
      </c>
      <c r="CC53" s="236">
        <f>SCI!CB25</f>
        <v>18204421.300000001</v>
      </c>
      <c r="CD53" s="236">
        <f>SCI!CC25</f>
        <v>19931561.300000001</v>
      </c>
      <c r="CE53" s="236">
        <f>SCI!CD25</f>
        <v>22931351.300000001</v>
      </c>
      <c r="CF53" s="236">
        <f>SCI!CE25</f>
        <v>24500681.300000001</v>
      </c>
      <c r="CG53" s="236">
        <f>SCI!CF25</f>
        <v>27009183.300000001</v>
      </c>
      <c r="CH53" s="236">
        <f>SCI!CG25</f>
        <v>60887043</v>
      </c>
      <c r="CI53" s="236">
        <f>SCI!CH25</f>
        <v>2658014</v>
      </c>
      <c r="CJ53" s="236">
        <f>SCI!CI25</f>
        <v>4730551</v>
      </c>
      <c r="CK53" s="236">
        <f>SCI!CJ25</f>
        <v>6443123</v>
      </c>
      <c r="CL53" s="236">
        <f>SCI!CK25</f>
        <v>7822090</v>
      </c>
      <c r="CM53" s="236">
        <f>SCI!CL25</f>
        <v>10868596</v>
      </c>
      <c r="CN53" s="236">
        <f>SCI!CM25</f>
        <v>14193426</v>
      </c>
      <c r="CO53" s="236">
        <f>SCI!CN25</f>
        <v>15674247</v>
      </c>
      <c r="CP53" s="236">
        <f>SCI!CO25</f>
        <v>17685280.800000001</v>
      </c>
      <c r="CQ53" s="236">
        <f>SCI!CP25</f>
        <v>19328891.800000001</v>
      </c>
      <c r="CR53" s="236">
        <f>SCI!CQ25</f>
        <v>0</v>
      </c>
      <c r="CS53" s="236">
        <f>SCI!CR25</f>
        <v>0</v>
      </c>
      <c r="CT53" s="236">
        <f>SCI!CS25</f>
        <v>0</v>
      </c>
    </row>
    <row r="54" spans="1:98" ht="13.9" thickBot="1">
      <c r="A54" s="16"/>
      <c r="B54" s="226" t="s">
        <v>148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267"/>
      <c r="AI54" s="267"/>
      <c r="AJ54" s="267"/>
      <c r="AK54" s="267"/>
      <c r="AL54" s="267"/>
      <c r="AM54" s="267"/>
      <c r="AN54" s="267"/>
      <c r="AO54" s="267"/>
      <c r="AP54" s="267"/>
      <c r="AQ54" s="267"/>
      <c r="AR54" s="267"/>
      <c r="AS54" s="267"/>
      <c r="AT54" s="267"/>
      <c r="AU54" s="267"/>
      <c r="AV54" s="267"/>
      <c r="AW54" s="267"/>
      <c r="AX54" s="267"/>
      <c r="AY54" s="267"/>
      <c r="AZ54" s="267"/>
      <c r="BA54" s="267"/>
      <c r="BB54" s="267"/>
      <c r="BC54" s="267"/>
      <c r="BD54" s="267"/>
      <c r="BE54" s="267"/>
      <c r="BF54" s="267"/>
      <c r="BG54" s="267"/>
      <c r="BH54" s="267"/>
      <c r="BI54" s="267"/>
      <c r="BJ54" s="267"/>
      <c r="BK54" s="267"/>
      <c r="BL54" s="267"/>
      <c r="BM54" s="267"/>
      <c r="BN54" s="267"/>
      <c r="BO54" s="267"/>
      <c r="BP54" s="267"/>
      <c r="BQ54" s="267"/>
      <c r="BR54" s="267"/>
      <c r="BS54" s="267"/>
      <c r="BT54" s="267"/>
      <c r="BU54" s="267"/>
      <c r="BV54" s="267"/>
      <c r="BW54" s="267"/>
      <c r="BX54" s="267"/>
      <c r="BY54" s="267"/>
      <c r="BZ54" s="267"/>
      <c r="CA54" s="267"/>
      <c r="CB54" s="267"/>
      <c r="CC54" s="267"/>
      <c r="CD54" s="267"/>
      <c r="CE54" s="267"/>
      <c r="CF54" s="267"/>
      <c r="CG54" s="267"/>
      <c r="CH54" s="267"/>
      <c r="CI54" s="267"/>
      <c r="CJ54" s="267"/>
      <c r="CK54" s="267"/>
      <c r="CL54" s="267"/>
      <c r="CM54" s="267"/>
      <c r="CN54" s="267"/>
      <c r="CO54" s="267"/>
      <c r="CP54" s="267"/>
      <c r="CQ54" s="267"/>
      <c r="CR54" s="267"/>
      <c r="CS54" s="267"/>
      <c r="CT54" s="267"/>
    </row>
    <row r="55" spans="1:98">
      <c r="B55" s="268"/>
      <c r="AH55" s="269"/>
      <c r="AI55" s="269"/>
      <c r="AJ55" s="269"/>
      <c r="AK55" s="269"/>
      <c r="AL55" s="269"/>
      <c r="AM55" s="269"/>
      <c r="AN55" s="269"/>
      <c r="AO55" s="269"/>
      <c r="AP55" s="269"/>
      <c r="AQ55" s="269"/>
      <c r="AR55" s="269"/>
      <c r="AS55" s="269"/>
      <c r="AT55" s="269"/>
      <c r="AU55" s="269"/>
      <c r="AV55" s="269"/>
      <c r="AW55" s="269"/>
      <c r="AX55" s="269"/>
      <c r="AY55" s="269"/>
      <c r="AZ55" s="269"/>
      <c r="BA55" s="269"/>
      <c r="BB55" s="269"/>
      <c r="BC55" s="269"/>
      <c r="BD55" s="269"/>
      <c r="BE55" s="269"/>
      <c r="BF55" s="269"/>
      <c r="BG55" s="269"/>
      <c r="BH55" s="269"/>
      <c r="BI55" s="269"/>
      <c r="BJ55" s="269"/>
      <c r="BK55" s="269"/>
      <c r="BL55" s="269"/>
      <c r="BM55" s="269"/>
      <c r="BN55" s="269"/>
      <c r="BO55" s="269"/>
      <c r="BP55" s="269"/>
      <c r="BQ55" s="269"/>
      <c r="BR55" s="269"/>
      <c r="BS55" s="269"/>
      <c r="BT55" s="269"/>
      <c r="BU55" s="269"/>
      <c r="BV55" s="269"/>
      <c r="BW55" s="269"/>
      <c r="BX55" s="269"/>
      <c r="BY55" s="269"/>
      <c r="BZ55" s="269"/>
      <c r="CA55" s="269"/>
      <c r="CB55" s="269"/>
      <c r="CC55" s="269"/>
      <c r="CD55" s="269"/>
      <c r="CE55" s="269"/>
      <c r="CF55" s="269"/>
      <c r="CG55" s="269"/>
      <c r="CH55" s="269"/>
      <c r="CI55" s="269"/>
      <c r="CJ55" s="269"/>
      <c r="CK55" s="269"/>
      <c r="CL55" s="269"/>
      <c r="CM55" s="269"/>
      <c r="CN55" s="269"/>
      <c r="CO55" s="269"/>
      <c r="CP55" s="269"/>
      <c r="CQ55" s="269"/>
      <c r="CR55" s="269"/>
      <c r="CS55" s="269"/>
      <c r="CT55" s="269"/>
    </row>
    <row r="56" spans="1:98" ht="13.9" thickBot="1">
      <c r="B56" s="270" t="s">
        <v>149</v>
      </c>
      <c r="C56" s="271">
        <f>SCI!B37</f>
        <v>356000</v>
      </c>
      <c r="D56" s="271">
        <f>SCI!C37</f>
        <v>30452000</v>
      </c>
      <c r="E56" s="271">
        <f>SCI!D37</f>
        <v>56851000</v>
      </c>
      <c r="F56" s="271">
        <f>SCI!E37</f>
        <v>88597418</v>
      </c>
      <c r="G56" s="271">
        <f>SCI!F37</f>
        <v>57040877.089999974</v>
      </c>
      <c r="H56" s="271">
        <f>SCI!G37</f>
        <v>61212521</v>
      </c>
      <c r="I56" s="271">
        <f>SCI!H37</f>
        <v>35394972.629999995</v>
      </c>
      <c r="J56" s="271">
        <f>SCI!I37</f>
        <v>-33745366.18999999</v>
      </c>
      <c r="K56" s="271">
        <f>SCI!J37</f>
        <v>-31933390.799999997</v>
      </c>
      <c r="L56" s="271">
        <f>SCI!K37</f>
        <v>-37953401.050000042</v>
      </c>
      <c r="M56" s="271">
        <f>SCI!L37</f>
        <v>-38326729.040000007</v>
      </c>
      <c r="N56" s="271">
        <f>SCI!M37</f>
        <v>-30492385.179999962</v>
      </c>
      <c r="O56" s="271">
        <f>SCI!N37</f>
        <v>-25960956.350000024</v>
      </c>
      <c r="P56" s="271">
        <f>SCI!O37</f>
        <v>-5251501.3500000238</v>
      </c>
      <c r="Q56" s="271">
        <f>SCI!P37</f>
        <v>9491888.9699999392</v>
      </c>
      <c r="R56" s="271">
        <f>SCI!Q37</f>
        <v>16787847.690000027</v>
      </c>
      <c r="S56" s="271">
        <f>SCI!R37</f>
        <v>14583515.970000088</v>
      </c>
      <c r="T56" s="271">
        <f>SCI!S37</f>
        <v>41128398.259999841</v>
      </c>
      <c r="U56" s="271">
        <f>SCI!T37</f>
        <v>116270054</v>
      </c>
      <c r="V56" s="271">
        <f>SCI!U37</f>
        <v>89093078.61999999</v>
      </c>
      <c r="W56" s="271">
        <f>SCI!V37</f>
        <v>-43964153.259999976</v>
      </c>
      <c r="X56" s="271">
        <f>SCI!W37</f>
        <v>-47605079.920000017</v>
      </c>
      <c r="Y56" s="271">
        <f>SCI!X37</f>
        <v>-49774018.110000014</v>
      </c>
      <c r="Z56" s="271">
        <f>SCI!Y37</f>
        <v>-32260668.869999945</v>
      </c>
      <c r="AA56" s="271">
        <f>SCI!Z37</f>
        <v>-22234451.570000023</v>
      </c>
      <c r="AB56" s="271">
        <f>SCI!AA37</f>
        <v>-16035294.210000157</v>
      </c>
      <c r="AC56" s="271">
        <f>SCI!AB37</f>
        <v>2724994.1499999166</v>
      </c>
      <c r="AD56" s="271">
        <f>SCI!AC37</f>
        <v>14428366.049999952</v>
      </c>
      <c r="AE56" s="271">
        <f>SCI!AD37</f>
        <v>24772724.900000095</v>
      </c>
      <c r="AF56" s="271">
        <f>SCI!AE37</f>
        <v>39126611.420000054</v>
      </c>
      <c r="AG56" s="271">
        <f>SCI!AF37</f>
        <v>107233639.85000011</v>
      </c>
      <c r="AH56" s="272">
        <f>SCI!AG37</f>
        <v>145385078.10708594</v>
      </c>
      <c r="AI56" s="272">
        <f>SCI!AH37</f>
        <v>2236620.0400000052</v>
      </c>
      <c r="AJ56" s="272">
        <f>SCI!AI37</f>
        <v>-13132449.690000007</v>
      </c>
      <c r="AK56" s="272">
        <f>SCI!AJ37</f>
        <v>-33082545.750000007</v>
      </c>
      <c r="AL56" s="272">
        <f>SCI!AK37</f>
        <v>-34795274.249999963</v>
      </c>
      <c r="AM56" s="272">
        <f>SCI!AL37</f>
        <v>-39008575.829999976</v>
      </c>
      <c r="AN56" s="272">
        <f>SCI!AM37</f>
        <v>-27381567.760000072</v>
      </c>
      <c r="AO56" s="272">
        <f>SCI!AN37</f>
        <v>-24295817.780000053</v>
      </c>
      <c r="AP56" s="272">
        <f>SCI!AO37</f>
        <v>-2148444.4300000314</v>
      </c>
      <c r="AQ56" s="272">
        <f>SCI!AP37</f>
        <v>-1802740.1799999715</v>
      </c>
      <c r="AR56" s="272">
        <f>SCI!AQ37</f>
        <v>-6289782.870000029</v>
      </c>
      <c r="AS56" s="272">
        <f>SCI!AR37</f>
        <v>4927046.5799999591</v>
      </c>
      <c r="AT56" s="272">
        <f>SCI!AS37</f>
        <v>1620375.5799999475</v>
      </c>
      <c r="AU56" s="272">
        <f>SCI!AT37</f>
        <v>152310236</v>
      </c>
      <c r="AV56" s="272">
        <f>SCI!AU37</f>
        <v>-2968252.8800000101</v>
      </c>
      <c r="AW56" s="272">
        <f>SCI!AV37</f>
        <v>-3704573.9199999957</v>
      </c>
      <c r="AX56" s="272">
        <f>SCI!AW37</f>
        <v>-29353265.79999999</v>
      </c>
      <c r="AY56" s="272">
        <f>SCI!AX37</f>
        <v>-6054075.7899999861</v>
      </c>
      <c r="AZ56" s="272">
        <f>SCI!AY37</f>
        <v>-770222.18999996176</v>
      </c>
      <c r="BA56" s="272">
        <f>SCI!AZ37</f>
        <v>-6899919.1399999261</v>
      </c>
      <c r="BB56" s="272">
        <f>SCI!BA37</f>
        <v>4798673.530000031</v>
      </c>
      <c r="BC56" s="272">
        <f>SCI!BB37</f>
        <v>19648315.520000041</v>
      </c>
      <c r="BD56" s="272">
        <f>SCI!BC37</f>
        <v>36837692.029999971</v>
      </c>
      <c r="BE56" s="272">
        <f>SCI!BD37</f>
        <v>62205426.969999969</v>
      </c>
      <c r="BF56" s="272">
        <f>SCI!BE37</f>
        <v>78727856.640000075</v>
      </c>
      <c r="BG56" s="272">
        <f>SCI!BF37</f>
        <v>93798269.819999903</v>
      </c>
      <c r="BH56" s="272">
        <f>SCI!BG37</f>
        <v>123835889</v>
      </c>
      <c r="BI56" s="272">
        <f>SCI!BH37</f>
        <v>7704065.8900000006</v>
      </c>
      <c r="BJ56" s="272">
        <f>SCI!BI37</f>
        <v>4529655.3200000031</v>
      </c>
      <c r="BK56" s="272">
        <f>SCI!BJ37</f>
        <v>-11520951.139999967</v>
      </c>
      <c r="BL56" s="272">
        <f>SCI!BK37</f>
        <v>-9641922.5600000136</v>
      </c>
      <c r="BM56" s="272">
        <f>SCI!BL37</f>
        <v>29287267.050000001</v>
      </c>
      <c r="BN56" s="272">
        <f>SCI!BM37</f>
        <v>27293691.52999996</v>
      </c>
      <c r="BO56" s="272">
        <f>SCI!BN37</f>
        <v>54771317.470000066</v>
      </c>
      <c r="BP56" s="272">
        <f>SCI!BO37</f>
        <v>53957687.980000086</v>
      </c>
      <c r="BQ56" s="272">
        <f>SCI!BP37</f>
        <v>58930300.360000111</v>
      </c>
      <c r="BR56" s="272">
        <f>SCI!BQ37</f>
        <v>71398660.410000175</v>
      </c>
      <c r="BS56" s="272">
        <f>SCI!BR37</f>
        <v>78128878.01000008</v>
      </c>
      <c r="BT56" s="272">
        <f>SCI!BS37</f>
        <v>108313832.99999997</v>
      </c>
      <c r="BU56" s="272">
        <f>SCI!BT37</f>
        <v>132208349</v>
      </c>
      <c r="BV56" s="272">
        <f>SCI!BU37</f>
        <v>-23968095.989999995</v>
      </c>
      <c r="BW56" s="272">
        <f>SCI!BV37</f>
        <v>-19738048.339999974</v>
      </c>
      <c r="BX56" s="272">
        <f>SCI!BW37</f>
        <v>-24691579.830000024</v>
      </c>
      <c r="BY56" s="272">
        <f>SCI!BX37</f>
        <v>-45064036.19000002</v>
      </c>
      <c r="BZ56" s="272">
        <f>SCI!BY37</f>
        <v>-58132579.480000012</v>
      </c>
      <c r="CA56" s="272">
        <f>SCI!BZ37</f>
        <v>-43991036.779999994</v>
      </c>
      <c r="CB56" s="272">
        <f>SCI!CA37</f>
        <v>-47278859.240000032</v>
      </c>
      <c r="CC56" s="272">
        <f>SCI!CB37</f>
        <v>-31281922.179999996</v>
      </c>
      <c r="CD56" s="272">
        <f>SCI!CC37</f>
        <v>-17369847.439999986</v>
      </c>
      <c r="CE56" s="272">
        <f>SCI!CD37</f>
        <v>2903723.289999974</v>
      </c>
      <c r="CF56" s="272">
        <f>SCI!CE37</f>
        <v>16997797.339999866</v>
      </c>
      <c r="CG56" s="272">
        <f>SCI!CF37</f>
        <v>133042696.91000007</v>
      </c>
      <c r="CH56" s="272">
        <f>SCI!CG37</f>
        <v>158826018</v>
      </c>
      <c r="CI56" s="272">
        <f>SCI!CH37</f>
        <v>-5612620.0399999861</v>
      </c>
      <c r="CJ56" s="272">
        <f>SCI!CI37</f>
        <v>-35865286.06999997</v>
      </c>
      <c r="CK56" s="272">
        <f>SCI!CJ37</f>
        <v>-20223285.130000003</v>
      </c>
      <c r="CL56" s="272">
        <f>SCI!CK37</f>
        <v>-25307017.840000022</v>
      </c>
      <c r="CM56" s="272">
        <f>SCI!CL37</f>
        <v>-18663618.019999899</v>
      </c>
      <c r="CN56" s="272">
        <f>SCI!CM37</f>
        <v>6735390.8900000099</v>
      </c>
      <c r="CO56" s="272">
        <f>SCI!CN37</f>
        <v>17254704.830000065</v>
      </c>
      <c r="CP56" s="272">
        <f>SCI!CO37</f>
        <v>18794753.600000072</v>
      </c>
      <c r="CQ56" s="272">
        <f>SCI!CP37</f>
        <v>48062613.010000035</v>
      </c>
      <c r="CR56" s="272">
        <f>SCI!CQ37</f>
        <v>0</v>
      </c>
      <c r="CS56" s="272">
        <f>SCI!CR37</f>
        <v>0</v>
      </c>
      <c r="CT56" s="272">
        <f>SCI!CS37</f>
        <v>0</v>
      </c>
    </row>
    <row r="57" spans="1:98">
      <c r="B57" s="2" t="s">
        <v>111</v>
      </c>
    </row>
  </sheetData>
  <pageMargins left="0.7" right="0.7" top="0.75" bottom="0.75" header="0.3" footer="0.3"/>
  <pageSetup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V75"/>
  <sheetViews>
    <sheetView zoomScale="70" zoomScaleNormal="70" workbookViewId="0">
      <pane xSplit="2" topLeftCell="CL1" activePane="topRight" state="frozen"/>
      <selection pane="topRight" activeCell="CN10" sqref="CN10"/>
    </sheetView>
  </sheetViews>
  <sheetFormatPr defaultColWidth="9.140625" defaultRowHeight="13.9" outlineLevelCol="1"/>
  <cols>
    <col min="1" max="1" width="37.5703125" style="152" customWidth="1"/>
    <col min="2" max="2" width="11.7109375" style="151" bestFit="1" customWidth="1"/>
    <col min="3" max="3" width="16.42578125" style="152" hidden="1" customWidth="1"/>
    <col min="4" max="6" width="14.5703125" style="152" hidden="1" customWidth="1"/>
    <col min="7" max="7" width="0.85546875" style="152" hidden="1" customWidth="1"/>
    <col min="8" max="8" width="14.85546875" style="152" hidden="1" customWidth="1"/>
    <col min="9" max="9" width="7.7109375" style="152" hidden="1" customWidth="1"/>
    <col min="10" max="10" width="8.140625" style="152" hidden="1" customWidth="1"/>
    <col min="11" max="11" width="8.5703125" style="152" hidden="1" customWidth="1"/>
    <col min="12" max="12" width="8.28515625" style="152" hidden="1" customWidth="1"/>
    <col min="13" max="13" width="8.7109375" style="152" hidden="1" customWidth="1"/>
    <col min="14" max="14" width="8.42578125" style="152" hidden="1" customWidth="1"/>
    <col min="15" max="15" width="7.28515625" style="152" hidden="1" customWidth="1"/>
    <col min="16" max="16" width="8.42578125" style="152" hidden="1" customWidth="1"/>
    <col min="17" max="17" width="8.140625" style="152" hidden="1" customWidth="1"/>
    <col min="18" max="18" width="7.7109375" style="152" hidden="1" customWidth="1"/>
    <col min="19" max="19" width="8.42578125" style="152" hidden="1" customWidth="1"/>
    <col min="20" max="20" width="8.28515625" style="152" hidden="1" customWidth="1"/>
    <col min="21" max="21" width="13.7109375" style="152" customWidth="1"/>
    <col min="22" max="26" width="0" style="152" hidden="1" customWidth="1"/>
    <col min="27" max="27" width="9.140625" style="152" hidden="1" customWidth="1"/>
    <col min="28" max="28" width="11.85546875" style="152" hidden="1" customWidth="1"/>
    <col min="29" max="29" width="9.140625" style="152" hidden="1" customWidth="1"/>
    <col min="30" max="30" width="0" style="152" hidden="1" customWidth="1"/>
    <col min="31" max="31" width="0.28515625" style="152" hidden="1" customWidth="1"/>
    <col min="32" max="32" width="9.140625" style="152" hidden="1" customWidth="1"/>
    <col min="33" max="33" width="0" style="152" hidden="1" customWidth="1"/>
    <col min="34" max="34" width="14.42578125" style="152" customWidth="1"/>
    <col min="35" max="44" width="0" style="152" hidden="1" customWidth="1"/>
    <col min="45" max="45" width="8.5703125" style="152" hidden="1" customWidth="1"/>
    <col min="46" max="46" width="0" style="152" hidden="1" customWidth="1"/>
    <col min="47" max="47" width="15.140625" style="152" customWidth="1"/>
    <col min="48" max="48" width="11.5703125" style="152" customWidth="1"/>
    <col min="49" max="49" width="10.5703125" style="152" customWidth="1"/>
    <col min="50" max="50" width="12" style="152" customWidth="1"/>
    <col min="51" max="51" width="11.42578125" style="152" customWidth="1"/>
    <col min="52" max="52" width="11.85546875" style="152" customWidth="1"/>
    <col min="53" max="53" width="12" style="152" customWidth="1"/>
    <col min="54" max="59" width="9.140625" style="152" customWidth="1"/>
    <col min="60" max="60" width="19.7109375" style="152" customWidth="1"/>
    <col min="61" max="68" width="9.140625" style="152" customWidth="1"/>
    <col min="69" max="72" width="9.140625" style="152"/>
    <col min="73" max="73" width="13.7109375" style="152" customWidth="1"/>
    <col min="74" max="74" width="12.140625" style="152" hidden="1" customWidth="1" outlineLevel="1"/>
    <col min="75" max="85" width="0" style="152" hidden="1" customWidth="1" outlineLevel="1"/>
    <col min="86" max="86" width="9.140625" style="152" collapsed="1"/>
    <col min="87" max="16384" width="9.140625" style="152"/>
  </cols>
  <sheetData>
    <row r="1" spans="1:126">
      <c r="A1" s="273" t="s">
        <v>150</v>
      </c>
      <c r="B1" s="274"/>
      <c r="C1" s="275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7"/>
    </row>
    <row r="2" spans="1:126" ht="14.45" thickBot="1">
      <c r="A2" s="278" t="s">
        <v>151</v>
      </c>
      <c r="AH2" s="279"/>
    </row>
    <row r="3" spans="1:126" s="153" customFormat="1" ht="15" customHeight="1">
      <c r="A3" s="154"/>
      <c r="B3" s="155"/>
      <c r="C3" s="156"/>
      <c r="D3" s="212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AH3" s="280"/>
    </row>
    <row r="4" spans="1:126" s="153" customFormat="1" ht="27.6">
      <c r="A4" s="281" t="s">
        <v>152</v>
      </c>
      <c r="B4" s="214" t="s">
        <v>153</v>
      </c>
      <c r="C4" s="157" t="s">
        <v>2</v>
      </c>
      <c r="D4" s="157" t="s">
        <v>99</v>
      </c>
      <c r="E4" s="157" t="s">
        <v>100</v>
      </c>
      <c r="F4" s="157" t="s">
        <v>101</v>
      </c>
      <c r="G4" s="157" t="s">
        <v>6</v>
      </c>
      <c r="H4" s="215" t="s">
        <v>7</v>
      </c>
      <c r="I4" s="215">
        <v>42736</v>
      </c>
      <c r="J4" s="215">
        <v>42767</v>
      </c>
      <c r="K4" s="215">
        <v>42795</v>
      </c>
      <c r="L4" s="215">
        <v>42826</v>
      </c>
      <c r="M4" s="215">
        <v>42856</v>
      </c>
      <c r="N4" s="215">
        <v>42887</v>
      </c>
      <c r="O4" s="215">
        <v>42917</v>
      </c>
      <c r="P4" s="215">
        <v>42948</v>
      </c>
      <c r="Q4" s="215">
        <v>42979</v>
      </c>
      <c r="R4" s="215">
        <v>43009</v>
      </c>
      <c r="S4" s="215">
        <v>43040</v>
      </c>
      <c r="T4" s="215">
        <v>43070</v>
      </c>
      <c r="U4" s="215" t="s">
        <v>8</v>
      </c>
      <c r="V4" s="157">
        <v>43101</v>
      </c>
      <c r="W4" s="157">
        <v>43132</v>
      </c>
      <c r="X4" s="157">
        <v>43160</v>
      </c>
      <c r="Y4" s="157">
        <v>43191</v>
      </c>
      <c r="Z4" s="157">
        <v>43221</v>
      </c>
      <c r="AA4" s="157">
        <v>43252</v>
      </c>
      <c r="AB4" s="157">
        <v>43282</v>
      </c>
      <c r="AC4" s="157">
        <v>43313</v>
      </c>
      <c r="AD4" s="157">
        <v>43344</v>
      </c>
      <c r="AE4" s="157">
        <v>43374</v>
      </c>
      <c r="AF4" s="157">
        <v>43405</v>
      </c>
      <c r="AG4" s="157">
        <v>43435</v>
      </c>
      <c r="AH4" s="282" t="s">
        <v>9</v>
      </c>
      <c r="AI4" s="319">
        <v>43466</v>
      </c>
      <c r="AJ4" s="319">
        <v>43497</v>
      </c>
      <c r="AK4" s="346">
        <v>43525</v>
      </c>
      <c r="AL4" s="346">
        <v>43556</v>
      </c>
      <c r="AM4" s="346">
        <v>43586</v>
      </c>
      <c r="AN4" s="346">
        <v>43617</v>
      </c>
      <c r="AO4" s="346">
        <v>43647</v>
      </c>
      <c r="AP4" s="346">
        <v>43678</v>
      </c>
      <c r="AQ4" s="346">
        <v>43709</v>
      </c>
      <c r="AR4" s="346">
        <v>43739</v>
      </c>
      <c r="AS4" s="346">
        <v>43770</v>
      </c>
      <c r="AT4" s="346">
        <v>43800</v>
      </c>
      <c r="AU4" s="347" t="s">
        <v>103</v>
      </c>
      <c r="AV4" s="319">
        <v>43831</v>
      </c>
      <c r="AW4" s="319">
        <v>43862</v>
      </c>
      <c r="AX4" s="319">
        <v>43891</v>
      </c>
      <c r="AY4" s="319">
        <v>43922</v>
      </c>
      <c r="AZ4" s="319">
        <v>43952</v>
      </c>
      <c r="BA4" s="319">
        <v>43983</v>
      </c>
      <c r="BB4" s="319">
        <v>44013</v>
      </c>
      <c r="BC4" s="319">
        <v>44044</v>
      </c>
      <c r="BD4" s="319">
        <v>44075</v>
      </c>
      <c r="BE4" s="319">
        <v>44105</v>
      </c>
      <c r="BF4" s="319">
        <v>44136</v>
      </c>
      <c r="BG4" s="319">
        <v>44166</v>
      </c>
      <c r="BH4" s="356" t="s">
        <v>11</v>
      </c>
      <c r="BI4" s="319">
        <v>44197</v>
      </c>
      <c r="BJ4" s="319">
        <v>44228</v>
      </c>
      <c r="BK4" s="319">
        <v>44256</v>
      </c>
      <c r="BL4" s="319">
        <v>44287</v>
      </c>
      <c r="BM4" s="319">
        <v>44317</v>
      </c>
      <c r="BN4" s="319">
        <v>44348</v>
      </c>
      <c r="BO4" s="319">
        <v>44378</v>
      </c>
      <c r="BP4" s="319">
        <v>44409</v>
      </c>
      <c r="BQ4" s="319">
        <v>44440</v>
      </c>
      <c r="BR4" s="319">
        <v>44470</v>
      </c>
      <c r="BS4" s="319">
        <v>44501</v>
      </c>
      <c r="BT4" s="319">
        <v>44531</v>
      </c>
      <c r="BU4" s="319" t="s">
        <v>12</v>
      </c>
      <c r="BV4" s="319">
        <v>44562</v>
      </c>
      <c r="BW4" s="319">
        <v>44593</v>
      </c>
      <c r="BX4" s="319">
        <v>44621</v>
      </c>
      <c r="BY4" s="319">
        <v>44652</v>
      </c>
      <c r="BZ4" s="319">
        <v>44682</v>
      </c>
      <c r="CA4" s="319">
        <v>44713</v>
      </c>
      <c r="CB4" s="319">
        <v>44743</v>
      </c>
      <c r="CC4" s="319">
        <v>44774</v>
      </c>
      <c r="CD4" s="319">
        <v>44805</v>
      </c>
      <c r="CE4" s="319">
        <v>44835</v>
      </c>
      <c r="CF4" s="319">
        <v>44866</v>
      </c>
      <c r="CG4" s="319">
        <v>44896</v>
      </c>
      <c r="CH4" s="319" t="s">
        <v>13</v>
      </c>
      <c r="CI4" s="319">
        <v>44927</v>
      </c>
      <c r="CJ4" s="319">
        <v>44958</v>
      </c>
      <c r="CK4" s="319">
        <v>44986</v>
      </c>
      <c r="CL4" s="319">
        <v>45017</v>
      </c>
      <c r="CM4" s="319">
        <v>45047</v>
      </c>
      <c r="CN4" s="319">
        <v>45078</v>
      </c>
      <c r="CO4" s="319">
        <v>45108</v>
      </c>
      <c r="CP4" s="319">
        <v>45139</v>
      </c>
      <c r="CQ4" s="319">
        <v>45170</v>
      </c>
      <c r="CR4" s="319">
        <v>45200</v>
      </c>
      <c r="CS4" s="319">
        <v>45231</v>
      </c>
      <c r="CT4" s="319">
        <v>45261</v>
      </c>
      <c r="CU4" s="319">
        <v>45292</v>
      </c>
      <c r="CV4" s="319">
        <v>45323</v>
      </c>
      <c r="CW4" s="319">
        <v>45352</v>
      </c>
      <c r="CX4" s="319">
        <v>45383</v>
      </c>
      <c r="CY4" s="319">
        <v>45413</v>
      </c>
      <c r="CZ4" s="319">
        <v>45444</v>
      </c>
      <c r="DA4" s="319">
        <v>45474</v>
      </c>
      <c r="DB4" s="319">
        <v>45505</v>
      </c>
      <c r="DC4" s="319">
        <v>45536</v>
      </c>
      <c r="DD4" s="319">
        <v>45566</v>
      </c>
      <c r="DE4" s="319">
        <v>45597</v>
      </c>
    </row>
    <row r="5" spans="1:126" s="153" customFormat="1">
      <c r="A5" s="283" t="s">
        <v>154</v>
      </c>
      <c r="B5" s="216"/>
      <c r="C5" s="160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160"/>
      <c r="W5" s="160"/>
      <c r="X5" s="160"/>
      <c r="Y5" s="160"/>
      <c r="Z5" s="160"/>
      <c r="AA5" s="160"/>
      <c r="AB5" s="160"/>
      <c r="AC5" s="160"/>
      <c r="AD5" s="160"/>
      <c r="AH5" s="280"/>
    </row>
    <row r="6" spans="1:126" s="153" customFormat="1">
      <c r="A6" s="284" t="s">
        <v>155</v>
      </c>
      <c r="B6" s="218" t="s">
        <v>156</v>
      </c>
      <c r="C6" s="158">
        <f>Financials!C14/1000000</f>
        <v>-24.983000000000001</v>
      </c>
      <c r="D6" s="158">
        <f>Financials!D14/1000000</f>
        <v>16.577000000000002</v>
      </c>
      <c r="E6" s="158">
        <f>Financials!E14/1000000</f>
        <v>-12.912000000000001</v>
      </c>
      <c r="F6" s="158">
        <f>Financials!F14/1000000</f>
        <v>341.841476</v>
      </c>
      <c r="G6" s="158">
        <f>Financials!G14/1000000</f>
        <v>392.92103800000001</v>
      </c>
      <c r="H6" s="158">
        <f>Financials!H14/1000000</f>
        <v>532.31323799999996</v>
      </c>
      <c r="I6" s="158">
        <f>Financials!I14/1000000</f>
        <v>536.68482840000001</v>
      </c>
      <c r="J6" s="158">
        <f>Financials!J14/1000000</f>
        <v>511.36793426999998</v>
      </c>
      <c r="K6" s="158">
        <f>Financials!K14/1000000</f>
        <v>517.10880363000001</v>
      </c>
      <c r="L6" s="158">
        <f>Financials!L14/1000000</f>
        <v>513.33715542999994</v>
      </c>
      <c r="M6" s="158">
        <f>Financials!M14/1000000</f>
        <v>516.22455991999993</v>
      </c>
      <c r="N6" s="158">
        <f>Financials!N14/1000000</f>
        <v>530.79187178999996</v>
      </c>
      <c r="O6" s="158">
        <f>Financials!O14/1000000</f>
        <v>539.04430062999995</v>
      </c>
      <c r="P6" s="158">
        <f>Financials!P14/1000000</f>
        <v>571.23406574000001</v>
      </c>
      <c r="Q6" s="158">
        <f>Financials!Q14/1000000</f>
        <v>590.16537291999998</v>
      </c>
      <c r="R6" s="158">
        <f>Financials!R14/1000000</f>
        <v>608.21487507999996</v>
      </c>
      <c r="S6" s="158">
        <f>Financials!S14/1000000</f>
        <v>625.43172937999998</v>
      </c>
      <c r="T6" s="158">
        <f>Financials!T14/1000000</f>
        <v>655.29306068000005</v>
      </c>
      <c r="U6" s="158">
        <f>Financials!U14/1000000</f>
        <v>716.379999</v>
      </c>
      <c r="V6" s="158">
        <f>Financials!V14/1000000</f>
        <v>1406.7772216400001</v>
      </c>
      <c r="W6" s="158">
        <f>Financials!W14/1000000</f>
        <v>694.36860603999992</v>
      </c>
      <c r="X6" s="158">
        <f>Financials!X14/1000000</f>
        <v>693.16600981999989</v>
      </c>
      <c r="Y6" s="158">
        <f>Financials!Y14/1000000</f>
        <v>702.41386280999996</v>
      </c>
      <c r="Z6" s="158">
        <f>Financials!Z14/1000000</f>
        <v>732.51616885999999</v>
      </c>
      <c r="AA6" s="158">
        <f>Financials!AA14/1000000</f>
        <v>787.03516736999995</v>
      </c>
      <c r="AB6" s="158">
        <f>Financials!AB14/1000000</f>
        <v>806.91417729</v>
      </c>
      <c r="AC6" s="158">
        <f>Financials!AC14/1000000</f>
        <v>838.60041388000002</v>
      </c>
      <c r="AD6" s="158">
        <f>Financials!AD14/1000000</f>
        <v>858.01347231999989</v>
      </c>
      <c r="AE6" s="158">
        <f>Financials!AE14/1000000</f>
        <v>873.27232987000002</v>
      </c>
      <c r="AF6" s="158">
        <f>Financials!AF14/1000000</f>
        <v>893.04188364999993</v>
      </c>
      <c r="AG6" s="158">
        <f>Financials!AG14/1000000</f>
        <v>969.88339305</v>
      </c>
      <c r="AH6" s="285">
        <f>Financials!AH14/1000000</f>
        <v>939.99158499999999</v>
      </c>
      <c r="AI6" s="285">
        <f>Financials!AI14/1000000</f>
        <v>976.14417516000003</v>
      </c>
      <c r="AJ6" s="285">
        <f>Financials!AJ14/1000000</f>
        <v>1007.5259635</v>
      </c>
      <c r="AK6" s="285">
        <f>Financials!AK14/1000000</f>
        <v>990.94472354999994</v>
      </c>
      <c r="AL6" s="285">
        <f>Financials!AL14/1000000</f>
        <v>995.10941075000005</v>
      </c>
      <c r="AM6" s="285">
        <f>Financials!AM14/1000000</f>
        <v>992.47766583999987</v>
      </c>
      <c r="AN6" s="285">
        <f>Financials!AN14/1000000</f>
        <v>1009.44564745</v>
      </c>
      <c r="AO6" s="285">
        <f>Financials!AO14/1000000</f>
        <v>1015.66876853</v>
      </c>
      <c r="AP6" s="285">
        <f>Financials!AP14/1000000</f>
        <v>1042.5067001800001</v>
      </c>
      <c r="AQ6" s="285">
        <f>Financials!AQ14/1000000</f>
        <v>1048.82228743</v>
      </c>
      <c r="AR6" s="285">
        <f>Financials!AR14/1000000</f>
        <v>1046.9993746099999</v>
      </c>
      <c r="AS6" s="285">
        <f>Financials!AS14/1000000</f>
        <v>1062.22198555</v>
      </c>
      <c r="AT6" s="285">
        <f>Financials!AT14/1000000</f>
        <v>1127.88317869</v>
      </c>
      <c r="AU6" s="285">
        <f>Financials!AU14/1000000</f>
        <v>1143.6905670000001</v>
      </c>
      <c r="AV6" s="285">
        <f>Financials!AV14/1000000</f>
        <v>1126.6893900799998</v>
      </c>
      <c r="AW6" s="285">
        <f>Financials!AW14/1000000</f>
        <v>1141.3848426</v>
      </c>
      <c r="AX6" s="285">
        <f>Financials!AX14/1000000</f>
        <v>1139.2130628499999</v>
      </c>
      <c r="AY6" s="285">
        <f>Financials!AY14/1000000</f>
        <v>1164.51887992</v>
      </c>
      <c r="AZ6" s="285">
        <f>Financials!AZ14/1000000</f>
        <v>1173.9817307999999</v>
      </c>
      <c r="BA6" s="285">
        <f>Financials!BA14/1000000</f>
        <v>1171.8811339900001</v>
      </c>
      <c r="BB6" s="285">
        <f>Financials!BB14/1000000</f>
        <v>1185.21660922</v>
      </c>
      <c r="BC6" s="285">
        <f>Financials!BC14/1000000</f>
        <v>1203.1977354100002</v>
      </c>
      <c r="BD6" s="285">
        <f>Financials!BD14/1000000</f>
        <v>1222.0806848600002</v>
      </c>
      <c r="BE6" s="285">
        <f>Financials!BE14/1000000</f>
        <v>1250.38047835</v>
      </c>
      <c r="BF6" s="285">
        <f>Financials!BF14/1000000</f>
        <v>1270.2074545599999</v>
      </c>
      <c r="BG6" s="285">
        <f>Financials!BG14/1000000</f>
        <v>1305.0534182899999</v>
      </c>
      <c r="BH6" s="285">
        <f>Financials!BH14/1000000</f>
        <v>1267.1736390000001</v>
      </c>
      <c r="BI6" s="285">
        <f>Financials!BI14/1000000</f>
        <v>1291.8702993099998</v>
      </c>
      <c r="BJ6" s="285">
        <f>Financials!BJ14/1000000</f>
        <v>1291.89639917</v>
      </c>
      <c r="BK6" s="285">
        <f>Financials!BK14/1000000</f>
        <v>1286.8551157950001</v>
      </c>
      <c r="BL6" s="285">
        <f>Financials!BL14/1000000</f>
        <v>1292.1621212800001</v>
      </c>
      <c r="BM6" s="285">
        <f>Financials!BM14/1000000</f>
        <v>1318.8514399200001</v>
      </c>
      <c r="BN6" s="285">
        <f>Financials!BN14/1000000</f>
        <v>1321.7926750849999</v>
      </c>
      <c r="BO6" s="285">
        <f>Financials!BO14/1000000</f>
        <v>1338.3473519850002</v>
      </c>
      <c r="BP6" s="285">
        <f>Financials!BP14/1000000</f>
        <v>1342.082447925</v>
      </c>
      <c r="BQ6" s="285">
        <f>Financials!BQ14/1000000</f>
        <v>1348.157864475</v>
      </c>
      <c r="BR6" s="285">
        <f>Financials!BR14/1000000</f>
        <v>1393.5151743699998</v>
      </c>
      <c r="BS6" s="285">
        <f>Financials!BS14/1000000</f>
        <v>1404.2830167699999</v>
      </c>
      <c r="BT6" s="285">
        <f>Financials!BT14/1000000</f>
        <v>1396.9407417150001</v>
      </c>
      <c r="BU6" s="285">
        <f>Financials!BU14/1000000</f>
        <v>1463.9550409999999</v>
      </c>
      <c r="BV6" s="285">
        <f>Financials!BV14/1000000</f>
        <v>1302.70629826</v>
      </c>
      <c r="BW6" s="285">
        <f>Financials!BW14/1000000</f>
        <v>1311.5992784</v>
      </c>
      <c r="BX6" s="285">
        <f>Financials!BX14/1000000</f>
        <v>1309.23526685</v>
      </c>
      <c r="BY6" s="285">
        <f>Financials!BY14/1000000</f>
        <v>1294.40311623</v>
      </c>
      <c r="BZ6" s="285">
        <f>Financials!BZ14/1000000</f>
        <v>1294.3069850700001</v>
      </c>
      <c r="CA6" s="285">
        <f>Financials!CA14/1000000</f>
        <v>1315.61035148</v>
      </c>
      <c r="CB6" s="285">
        <f>Financials!CB14/1000000</f>
        <v>1321.7545851300001</v>
      </c>
      <c r="CC6" s="285">
        <f>Financials!CC14/1000000</f>
        <v>1346.12985899</v>
      </c>
      <c r="CD6" s="285">
        <f>Financials!CD14/1000000</f>
        <v>1358.8707795</v>
      </c>
      <c r="CE6" s="285">
        <f>Financials!CE14/1000000</f>
        <v>1386.7962057499999</v>
      </c>
      <c r="CF6" s="285">
        <f>Financials!CF14/1000000</f>
        <v>1419.5538010499999</v>
      </c>
      <c r="CG6" s="285">
        <f>Financials!CG14/1000000</f>
        <v>1542.91271839</v>
      </c>
      <c r="CH6" s="285">
        <f>Financials!CH14/1000000</f>
        <v>1666.8779030000001</v>
      </c>
      <c r="CI6" s="285">
        <f>Financials!CI14/1000000</f>
        <v>1704.1001924700001</v>
      </c>
      <c r="CJ6" s="285">
        <f>Financials!CJ14/1000000</f>
        <v>1685.06084401</v>
      </c>
      <c r="CK6" s="285">
        <f>Financials!CK14/1000000</f>
        <v>1712.0556297399999</v>
      </c>
      <c r="CL6" s="285">
        <f>Financials!CL14/1000000</f>
        <v>1711.5663054899999</v>
      </c>
      <c r="CM6" s="285">
        <f>Financials!CM14/1000000</f>
        <v>1731.0801751399999</v>
      </c>
      <c r="CN6" s="285">
        <f>Financials!CN14/1000000</f>
        <v>1782.5602824699999</v>
      </c>
      <c r="CO6" s="285">
        <f>Financials!CO14/1000000</f>
        <v>1821.7842346399998</v>
      </c>
      <c r="CP6" s="285">
        <f>Financials!CP14/1000000</f>
        <v>1828.498875</v>
      </c>
      <c r="CQ6" s="285">
        <f>Financials!CQ14/1000000</f>
        <v>1862.0340276599998</v>
      </c>
      <c r="CR6" s="285">
        <f>Financials!CR14/1000000</f>
        <v>0</v>
      </c>
      <c r="CS6" s="285">
        <f>Financials!CS14/1000000</f>
        <v>0</v>
      </c>
      <c r="CT6" s="285">
        <f>Financials!CT14/1000000</f>
        <v>0</v>
      </c>
      <c r="CU6" s="285">
        <f>Financials!CU14/1000000</f>
        <v>0</v>
      </c>
      <c r="CV6" s="285">
        <f>Financials!CV14/1000000</f>
        <v>0</v>
      </c>
      <c r="CW6" s="285">
        <f>Financials!CW14/1000000</f>
        <v>0</v>
      </c>
      <c r="CX6" s="285">
        <f>Financials!CX14/1000000</f>
        <v>0</v>
      </c>
      <c r="CY6" s="285">
        <f>Financials!CY14/1000000</f>
        <v>0</v>
      </c>
      <c r="CZ6" s="285">
        <f>Financials!CZ14/1000000</f>
        <v>0</v>
      </c>
      <c r="DA6" s="285">
        <f>Financials!DA14/1000000</f>
        <v>0</v>
      </c>
      <c r="DB6" s="285">
        <f>Financials!DB14/1000000</f>
        <v>0</v>
      </c>
      <c r="DC6" s="285">
        <f>Financials!DC14/1000000</f>
        <v>0</v>
      </c>
      <c r="DD6" s="285">
        <f>Financials!DD14/1000000</f>
        <v>0</v>
      </c>
      <c r="DE6" s="285">
        <f>Financials!DE14/1000000</f>
        <v>0</v>
      </c>
      <c r="DF6" s="285">
        <f>Financials!DF14/1000000</f>
        <v>0</v>
      </c>
      <c r="DG6" s="285">
        <f>Financials!DG14/1000000</f>
        <v>0</v>
      </c>
      <c r="DH6" s="285">
        <f>Financials!DH14/1000000</f>
        <v>0</v>
      </c>
      <c r="DI6" s="285">
        <f>Financials!DI14/1000000</f>
        <v>0</v>
      </c>
      <c r="DJ6" s="285">
        <f>Financials!DJ14/1000000</f>
        <v>0</v>
      </c>
      <c r="DK6" s="285">
        <f>Financials!DK14/1000000</f>
        <v>0</v>
      </c>
      <c r="DL6" s="285">
        <f>Financials!DL14/1000000</f>
        <v>0</v>
      </c>
      <c r="DM6" s="285">
        <f>Financials!DM14/1000000</f>
        <v>0</v>
      </c>
      <c r="DN6" s="285">
        <f>Financials!DN14/1000000</f>
        <v>0</v>
      </c>
      <c r="DO6" s="285">
        <f>Financials!DO14/1000000</f>
        <v>0</v>
      </c>
      <c r="DP6" s="285">
        <f>Financials!DP14/1000000</f>
        <v>0</v>
      </c>
      <c r="DQ6" s="285">
        <f>Financials!DQ14/1000000</f>
        <v>0</v>
      </c>
      <c r="DR6" s="285">
        <f>Financials!DR14/1000000</f>
        <v>0</v>
      </c>
      <c r="DS6" s="285">
        <f>Financials!DS14/1000000</f>
        <v>0</v>
      </c>
      <c r="DT6" s="285">
        <f>Financials!DT14/1000000</f>
        <v>0</v>
      </c>
      <c r="DU6" s="285">
        <f>Financials!DU14/1000000</f>
        <v>0</v>
      </c>
      <c r="DV6" s="285">
        <f>Financials!DV14/1000000</f>
        <v>0</v>
      </c>
    </row>
    <row r="7" spans="1:126" s="153" customFormat="1">
      <c r="A7" s="284" t="s">
        <v>157</v>
      </c>
      <c r="B7" s="218" t="s">
        <v>158</v>
      </c>
      <c r="C7" s="159">
        <f>Financials!C14/Financials!C5</f>
        <v>-1.25990263907317E-2</v>
      </c>
      <c r="D7" s="159">
        <f>Financials!D14/Financials!D5</f>
        <v>7.380075443541332E-3</v>
      </c>
      <c r="E7" s="159">
        <f>Financials!E14/Financials!E5</f>
        <v>-4.5555178333958534E-3</v>
      </c>
      <c r="F7" s="159">
        <f>Financials!F14/Financials!F5</f>
        <v>0.10409450229622942</v>
      </c>
      <c r="G7" s="159">
        <f>Financials!G14/Financials!G5</f>
        <v>0.10007579990836299</v>
      </c>
      <c r="H7" s="166">
        <f>Financials!H14/Financials!H5</f>
        <v>0.10914524727592771</v>
      </c>
      <c r="I7" s="166">
        <f>Financials!I14/Financials!I5</f>
        <v>0.10833418555373452</v>
      </c>
      <c r="J7" s="166">
        <f>Financials!J14/Financials!J5</f>
        <v>0.10507133164970973</v>
      </c>
      <c r="K7" s="166">
        <f>Financials!K14/Financials!K5</f>
        <v>0.10597273040575408</v>
      </c>
      <c r="L7" s="166">
        <f>Financials!L14/Financials!L5</f>
        <v>0.10504249467745196</v>
      </c>
      <c r="M7" s="166">
        <f>Financials!M14/Financials!M5</f>
        <v>0.10459549686243159</v>
      </c>
      <c r="N7" s="166">
        <f>Financials!N14/Financials!N5</f>
        <v>0.10025032473565838</v>
      </c>
      <c r="O7" s="166">
        <f>Financials!O14/Financials!O5</f>
        <v>9.9808930620153988E-2</v>
      </c>
      <c r="P7" s="166">
        <f>Financials!P14/Financials!P5</f>
        <v>0.10144482768259781</v>
      </c>
      <c r="Q7" s="166">
        <f>Financials!Q14/Financials!Q5</f>
        <v>0.1018908927966241</v>
      </c>
      <c r="R7" s="166">
        <f>Financials!R14/Financials!R5</f>
        <v>0.10058832040353283</v>
      </c>
      <c r="S7" s="166">
        <f>Financials!S14/Financials!S5</f>
        <v>0.10128997633667372</v>
      </c>
      <c r="T7" s="166">
        <f>Financials!T14/Financials!T5</f>
        <v>0.10444737588352422</v>
      </c>
      <c r="U7" s="166">
        <f>Financials!U14/Financials!U5</f>
        <v>0.11420679960668695</v>
      </c>
      <c r="V7" s="166">
        <f>Financials!V14/Financials!V5</f>
        <v>0.11080606294576328</v>
      </c>
      <c r="W7" s="166">
        <f>Financials!W14/Financials!W5</f>
        <v>0.11033248302618029</v>
      </c>
      <c r="X7" s="166">
        <f>Financials!X14/Financials!X5</f>
        <v>0.1104043846406664</v>
      </c>
      <c r="Y7" s="166">
        <f>Financials!Y14/Financials!Y5</f>
        <v>0.11142704194128451</v>
      </c>
      <c r="Z7" s="166">
        <f>Financials!Z14/Financials!Z5</f>
        <v>0.11439063517852237</v>
      </c>
      <c r="AA7" s="166">
        <f>Financials!AA14/Financials!AA5</f>
        <v>0.12054158044876387</v>
      </c>
      <c r="AB7" s="166">
        <f>Financials!AB14/Financials!AB5</f>
        <v>0.12091938502058297</v>
      </c>
      <c r="AC7" s="166">
        <f>Financials!AC14/Financials!AC5</f>
        <v>0.12365699591786676</v>
      </c>
      <c r="AD7" s="166">
        <f>Financials!AD14/Financials!AD5</f>
        <v>0.12565931433371838</v>
      </c>
      <c r="AE7" s="166">
        <f>Financials!AE14/Financials!AE5</f>
        <v>0.1257564077021828</v>
      </c>
      <c r="AF7" s="166">
        <f>Financials!AF14/Financials!AF5</f>
        <v>0.12636994292942749</v>
      </c>
      <c r="AG7" s="166">
        <f>Financials!AG14/Financials!AG5</f>
        <v>0.13441367273609769</v>
      </c>
      <c r="AH7" s="286">
        <f>Financials!AH14/Financials!AH5</f>
        <v>0.13121125450060334</v>
      </c>
      <c r="AI7" s="286">
        <f>Financials!AI14/Financials!AI5</f>
        <v>0.13313559110290887</v>
      </c>
      <c r="AJ7" s="286">
        <f>Financials!AJ14/Financials!AJ5</f>
        <v>0.14031173544146805</v>
      </c>
      <c r="AK7" s="286">
        <f>Financials!AK14/Financials!AK5</f>
        <v>0.1374965124893516</v>
      </c>
      <c r="AL7" s="286">
        <f>Financials!AL14/Financials!AL5</f>
        <v>0.13900686588199468</v>
      </c>
      <c r="AM7" s="286">
        <f>Financials!AM14/Financials!AM5</f>
        <v>0.1373588279576429</v>
      </c>
      <c r="AN7" s="286">
        <f>Financials!AN14/Financials!AN5</f>
        <v>0.13724308676386718</v>
      </c>
      <c r="AO7" s="286">
        <f>Financials!AO14/Financials!AO5</f>
        <v>0.13507290464848559</v>
      </c>
      <c r="AP7" s="286">
        <f>Financials!AP14/Financials!AP5</f>
        <v>0.13845678712049528</v>
      </c>
      <c r="AQ7" s="286">
        <f>Financials!AQ14/Financials!AQ5</f>
        <v>0.13835418643708064</v>
      </c>
      <c r="AR7" s="286">
        <f>Financials!AR14/Financials!AR5</f>
        <v>0.13639700717100603</v>
      </c>
      <c r="AS7" s="286">
        <f>Financials!AS14/Financials!AS5</f>
        <v>0.13595037220632683</v>
      </c>
      <c r="AT7" s="286">
        <f>Financials!AT14/Financials!AT5</f>
        <v>0.14171962775938496</v>
      </c>
      <c r="AU7" s="286">
        <f>Financials!AU14/Financials!AU5</f>
        <v>0.14403106468986465</v>
      </c>
      <c r="AV7" s="286">
        <f>Financials!AV14/Financials!AV5</f>
        <v>0.13980973655366186</v>
      </c>
      <c r="AW7" s="286">
        <f>Financials!AW14/Financials!AW5</f>
        <v>0.14439430075645848</v>
      </c>
      <c r="AX7" s="286">
        <f>Financials!AX14/Financials!AX5</f>
        <v>0.14490727506848242</v>
      </c>
      <c r="AY7" s="286">
        <f>Financials!AY14/Financials!AY5</f>
        <v>0.14530612462565887</v>
      </c>
      <c r="AZ7" s="286">
        <f>Financials!AZ14/Financials!AZ5</f>
        <v>0.1452380820704299</v>
      </c>
      <c r="BA7" s="286">
        <f>Financials!BA14/Financials!BA5</f>
        <v>0.14327023605470726</v>
      </c>
      <c r="BB7" s="286">
        <f>Financials!BB14/Financials!BB5</f>
        <v>0.14219257929869528</v>
      </c>
      <c r="BC7" s="286">
        <f>Financials!BC14/Financials!BC5</f>
        <v>0.14182260671105892</v>
      </c>
      <c r="BD7" s="286">
        <f>Financials!BD14/Financials!BD5</f>
        <v>0.14251628096381944</v>
      </c>
      <c r="BE7" s="286">
        <f>Financials!BE14/Financials!BE5</f>
        <v>0.14364286241579094</v>
      </c>
      <c r="BF7" s="286">
        <f>Financials!BF14/Financials!BF5</f>
        <v>0.1445226377381614</v>
      </c>
      <c r="BG7" s="286">
        <f>Financials!BG14/Financials!BG5</f>
        <v>0.1456384083494274</v>
      </c>
      <c r="BH7" s="286">
        <f>Financials!BH14/Financials!BH5</f>
        <v>0.14209560795566342</v>
      </c>
      <c r="BI7" s="286">
        <f>Financials!BI14/Financials!BI5</f>
        <v>0.14523587834512491</v>
      </c>
      <c r="BJ7" s="286">
        <f>Financials!BJ14/Financials!BJ5</f>
        <v>0.14732155316597012</v>
      </c>
      <c r="BK7" s="286">
        <f>Financials!BK14/Financials!BK5</f>
        <v>0.14571010595177716</v>
      </c>
      <c r="BL7" s="286">
        <f>Financials!BL14/Financials!BL5</f>
        <v>0.14484528017969567</v>
      </c>
      <c r="BM7" s="286">
        <f>Financials!BM14/Financials!BM5</f>
        <v>0.14566094275243774</v>
      </c>
      <c r="BN7" s="286">
        <f>Financials!BN14/Financials!BN5</f>
        <v>0.14455120531790991</v>
      </c>
      <c r="BO7" s="286">
        <f>Financials!BO14/Financials!BO5</f>
        <v>0.14105598550085138</v>
      </c>
      <c r="BP7" s="286">
        <f>Financials!BP14/Financials!BP5</f>
        <v>0.14057857143013258</v>
      </c>
      <c r="BQ7" s="286">
        <f>Financials!BQ14/Financials!BQ5</f>
        <v>0.13837749810083652</v>
      </c>
      <c r="BR7" s="286">
        <f>Financials!BR14/Financials!BR5</f>
        <v>0.14016669480286117</v>
      </c>
      <c r="BS7" s="286">
        <f>Financials!BS14/Financials!BS5</f>
        <v>0.1390101375755079</v>
      </c>
      <c r="BT7" s="286">
        <f>Financials!BT14/Financials!BT5</f>
        <v>0.13585530353431308</v>
      </c>
      <c r="BU7" s="286">
        <f>Financials!BU14/Financials!BU5</f>
        <v>0.14059823802710428</v>
      </c>
      <c r="BV7" s="286">
        <f>Financials!BV14/Financials!BV5</f>
        <v>0.12894316730752825</v>
      </c>
      <c r="BW7" s="286">
        <f>Financials!BW14/Financials!BW5</f>
        <v>0.12954705393426594</v>
      </c>
      <c r="BX7" s="286">
        <f>Financials!BX14/Financials!BX5</f>
        <v>0.12840031700357871</v>
      </c>
      <c r="BY7" s="286">
        <f>Financials!BY14/Financials!BY5</f>
        <v>0.12616747789769125</v>
      </c>
      <c r="BZ7" s="286">
        <f>Financials!BZ14/Financials!BZ5</f>
        <v>0.12336230902685963</v>
      </c>
      <c r="CA7" s="286">
        <f>Financials!CA14/Financials!CA5</f>
        <v>0.12347720147471483</v>
      </c>
      <c r="CB7" s="286">
        <f>Financials!CB14/Financials!CB5</f>
        <v>0.12094054720569446</v>
      </c>
      <c r="CC7" s="286">
        <f>Financials!CC14/Financials!CC5</f>
        <v>0.12156708559317546</v>
      </c>
      <c r="CD7" s="286">
        <f>Financials!CD14/Financials!CD5</f>
        <v>0.12167643754587769</v>
      </c>
      <c r="CE7" s="286">
        <f>Financials!CE14/Financials!CE5</f>
        <v>0.12207308843778747</v>
      </c>
      <c r="CF7" s="286">
        <f>Financials!CF14/Financials!CF5</f>
        <v>0.12265672914266229</v>
      </c>
      <c r="CG7" s="286">
        <f>Financials!CG14/Financials!CG5</f>
        <v>0.13124917963392038</v>
      </c>
      <c r="CH7" s="286">
        <f>Financials!CH14/Financials!CH5</f>
        <v>0.1416591897288321</v>
      </c>
      <c r="CI7" s="286">
        <f>Financials!CI14/Financials!CI5</f>
        <v>0.14908571555068373</v>
      </c>
      <c r="CJ7" s="286">
        <f>Financials!CJ14/Financials!CJ5</f>
        <v>0.14751041686234848</v>
      </c>
      <c r="CK7" s="286">
        <f>Financials!CK14/Financials!CK5</f>
        <v>0.14910453701157592</v>
      </c>
      <c r="CL7" s="286">
        <f>Financials!CL14/Financials!CL5</f>
        <v>0.14711696310351347</v>
      </c>
      <c r="CM7" s="286">
        <f>Financials!CM14/Financials!CM5</f>
        <v>0.14688449065548481</v>
      </c>
      <c r="CN7" s="286">
        <f>Financials!CN14/Financials!CN5</f>
        <v>0.14656829805727872</v>
      </c>
      <c r="CO7" s="286">
        <f>Financials!CO14/Financials!CO5</f>
        <v>0.14598642517047136</v>
      </c>
      <c r="CP7" s="286">
        <f>Financials!CP14/Financials!CP5</f>
        <v>0.14375129097127654</v>
      </c>
      <c r="CQ7" s="286">
        <f>Financials!CQ14/Financials!CQ5</f>
        <v>0.14520893729662762</v>
      </c>
      <c r="CR7" s="286" t="e">
        <f>Financials!CR14/Financials!CR5</f>
        <v>#DIV/0!</v>
      </c>
      <c r="CS7" s="286" t="e">
        <f>Financials!CS14/Financials!CS5</f>
        <v>#DIV/0!</v>
      </c>
      <c r="CT7" s="286" t="e">
        <f>Financials!CT14/Financials!CT5</f>
        <v>#DIV/0!</v>
      </c>
      <c r="CU7" s="286" t="e">
        <f>Financials!CU14/Financials!CU5</f>
        <v>#DIV/0!</v>
      </c>
      <c r="CV7" s="286" t="e">
        <f>Financials!CV14/Financials!CV5</f>
        <v>#DIV/0!</v>
      </c>
      <c r="CW7" s="286" t="e">
        <f>Financials!CW14/Financials!CW5</f>
        <v>#DIV/0!</v>
      </c>
      <c r="CX7" s="286" t="e">
        <f>Financials!CX14/Financials!CX5</f>
        <v>#DIV/0!</v>
      </c>
      <c r="CY7" s="286" t="e">
        <f>Financials!CY14/Financials!CY5</f>
        <v>#DIV/0!</v>
      </c>
      <c r="CZ7" s="286" t="e">
        <f>Financials!CZ14/Financials!CZ5</f>
        <v>#DIV/0!</v>
      </c>
      <c r="DA7" s="286" t="e">
        <f>Financials!DA14/Financials!DA5</f>
        <v>#DIV/0!</v>
      </c>
      <c r="DB7" s="286" t="e">
        <f>Financials!DB14/Financials!DB5</f>
        <v>#DIV/0!</v>
      </c>
      <c r="DC7" s="286" t="e">
        <f>Financials!DC14/Financials!DC5</f>
        <v>#DIV/0!</v>
      </c>
      <c r="DD7" s="286" t="e">
        <f>Financials!DD14/Financials!DD5</f>
        <v>#DIV/0!</v>
      </c>
      <c r="DE7" s="286" t="e">
        <f>Financials!DE14/Financials!DE5</f>
        <v>#DIV/0!</v>
      </c>
      <c r="DF7" s="286" t="e">
        <f>Financials!DF14/Financials!DF5</f>
        <v>#DIV/0!</v>
      </c>
      <c r="DG7" s="286" t="e">
        <f>Financials!DG14/Financials!DG5</f>
        <v>#DIV/0!</v>
      </c>
      <c r="DH7" s="286" t="e">
        <f>Financials!DH14/Financials!DH5</f>
        <v>#DIV/0!</v>
      </c>
      <c r="DI7" s="286" t="e">
        <f>Financials!DI14/Financials!DI5</f>
        <v>#DIV/0!</v>
      </c>
      <c r="DJ7" s="286" t="e">
        <f>Financials!DJ14/Financials!DJ5</f>
        <v>#DIV/0!</v>
      </c>
      <c r="DK7" s="286" t="e">
        <f>Financials!DK14/Financials!DK5</f>
        <v>#DIV/0!</v>
      </c>
      <c r="DL7" s="286" t="e">
        <f>Financials!DL14/Financials!DL5</f>
        <v>#DIV/0!</v>
      </c>
      <c r="DM7" s="286" t="e">
        <f>Financials!DM14/Financials!DM5</f>
        <v>#DIV/0!</v>
      </c>
      <c r="DN7" s="286" t="e">
        <f>Financials!DN14/Financials!DN5</f>
        <v>#DIV/0!</v>
      </c>
      <c r="DO7" s="286" t="e">
        <f>Financials!DO14/Financials!DO5</f>
        <v>#DIV/0!</v>
      </c>
      <c r="DP7" s="286" t="e">
        <f>Financials!DP14/Financials!DP5</f>
        <v>#DIV/0!</v>
      </c>
      <c r="DQ7" s="286" t="e">
        <f>Financials!DQ14/Financials!DQ5</f>
        <v>#DIV/0!</v>
      </c>
      <c r="DR7" s="286" t="e">
        <f>Financials!DR14/Financials!DR5</f>
        <v>#DIV/0!</v>
      </c>
      <c r="DS7" s="286" t="e">
        <f>Financials!DS14/Financials!DS5</f>
        <v>#DIV/0!</v>
      </c>
      <c r="DT7" s="286" t="e">
        <f>Financials!DT14/Financials!DT5</f>
        <v>#DIV/0!</v>
      </c>
      <c r="DU7" s="286" t="e">
        <f>Financials!DU14/Financials!DU5</f>
        <v>#DIV/0!</v>
      </c>
      <c r="DV7" s="286" t="e">
        <f>Financials!DV14/Financials!DV5</f>
        <v>#DIV/0!</v>
      </c>
    </row>
    <row r="8" spans="1:126" s="153" customFormat="1">
      <c r="A8" s="284" t="s">
        <v>159</v>
      </c>
      <c r="B8" s="218" t="s">
        <v>160</v>
      </c>
      <c r="C8" s="159">
        <f>Financials!C14/Financials!C6</f>
        <v>-1.6214041179238393E-2</v>
      </c>
      <c r="D8" s="159">
        <f>Financials!D14/Financials!D6</f>
        <v>9.7042705932560095E-3</v>
      </c>
      <c r="E8" s="159">
        <f>Financials!E14/Financials!E6</f>
        <v>-6.3672249659127616E-3</v>
      </c>
      <c r="F8" s="159">
        <f>Financials!F14/Financials!F6</f>
        <v>0.1380540975867805</v>
      </c>
      <c r="G8" s="159">
        <f>Financials!G14/Financials!G6</f>
        <v>0.13065981985569342</v>
      </c>
      <c r="H8" s="159">
        <f>Financials!H14/Financials!H6</f>
        <v>0.14833975665847934</v>
      </c>
      <c r="I8" s="159">
        <f>Financials!I14/Financials!I6</f>
        <v>0.14994375012575223</v>
      </c>
      <c r="J8" s="159">
        <f>Financials!J14/Financials!J6</f>
        <v>0.13431848050041978</v>
      </c>
      <c r="K8" s="159">
        <f>Financials!K14/Financials!K6</f>
        <v>0.13682222440096523</v>
      </c>
      <c r="L8" s="159">
        <f>Financials!L14/Financials!L6</f>
        <v>0.13710590157846878</v>
      </c>
      <c r="M8" s="159">
        <f>Financials!M14/Financials!M6</f>
        <v>0.13725908345552276</v>
      </c>
      <c r="N8" s="159">
        <f>Financials!N14/Financials!N6</f>
        <v>0.13633700973578491</v>
      </c>
      <c r="O8" s="159">
        <f>Financials!O14/Financials!O6</f>
        <v>0.13648597612140043</v>
      </c>
      <c r="P8" s="159">
        <f>Financials!P14/Financials!P6</f>
        <v>0.14198082696863362</v>
      </c>
      <c r="Q8" s="159">
        <f>Financials!Q14/Financials!Q6</f>
        <v>0.14641444562292769</v>
      </c>
      <c r="R8" s="159">
        <f>Financials!R14/Financials!R6</f>
        <v>0.1474002441985755</v>
      </c>
      <c r="S8" s="159">
        <f>Financials!S14/Financials!S6</f>
        <v>0.1480860711538165</v>
      </c>
      <c r="T8" s="159">
        <f>Financials!T14/Financials!T6</f>
        <v>0.15371424438163556</v>
      </c>
      <c r="U8" s="159">
        <f>Financials!U14/Financials!U6</f>
        <v>0.16463193899226519</v>
      </c>
      <c r="V8" s="159">
        <f>Financials!V14/Financials!V6</f>
        <v>0.16363848027975</v>
      </c>
      <c r="W8" s="159">
        <f>Financials!W14/Financials!W6</f>
        <v>0.15082468219021072</v>
      </c>
      <c r="X8" s="159">
        <f>Financials!X14/Financials!X6</f>
        <v>0.15246591296448139</v>
      </c>
      <c r="Y8" s="159">
        <f>Financials!Y14/Financials!Y6</f>
        <v>0.15542413898219129</v>
      </c>
      <c r="Z8" s="159">
        <f>Financials!Z14/Financials!Z6</f>
        <v>0.15952109485613508</v>
      </c>
      <c r="AA8" s="159">
        <f>Financials!AA14/Financials!AA6</f>
        <v>0.16934167138324574</v>
      </c>
      <c r="AB8" s="159">
        <f>Financials!AB14/Financials!AB6</f>
        <v>0.17080722290296621</v>
      </c>
      <c r="AC8" s="159">
        <f>Financials!AC14/Financials!AC6</f>
        <v>0.17587319711118582</v>
      </c>
      <c r="AD8" s="159">
        <f>Financials!AD14/Financials!AD6</f>
        <v>0.17850870917013212</v>
      </c>
      <c r="AE8" s="159">
        <f>Financials!AE14/Financials!AE6</f>
        <v>0.17947231267480079</v>
      </c>
      <c r="AF8" s="159">
        <f>Financials!AF14/Financials!AF6</f>
        <v>0.18139469545412651</v>
      </c>
      <c r="AG8" s="159">
        <f>Financials!AG14/Financials!AG6</f>
        <v>0.19492766044143453</v>
      </c>
      <c r="AH8" s="287">
        <f>Financials!AH14/Financials!AH6</f>
        <v>0.18305404132903161</v>
      </c>
      <c r="AI8" s="287">
        <f>Financials!AI14/Financials!AI6</f>
        <v>0.19374246863424679</v>
      </c>
      <c r="AJ8" s="287">
        <f>Financials!AJ14/Financials!AJ6</f>
        <v>0.18406874242395804</v>
      </c>
      <c r="AK8" s="287">
        <f>Financials!AK14/Financials!AK6</f>
        <v>0.18094830306933798</v>
      </c>
      <c r="AL8" s="287">
        <f>Financials!AL14/Financials!AL6</f>
        <v>0.1827626909594586</v>
      </c>
      <c r="AM8" s="287">
        <f>Financials!AM14/Financials!AM6</f>
        <v>0.18148518133966746</v>
      </c>
      <c r="AN8" s="287">
        <f>Financials!AN14/Financials!AN6</f>
        <v>0.18276994835977647</v>
      </c>
      <c r="AO8" s="287">
        <f>Financials!AO14/Financials!AO6</f>
        <v>0.17969390120466941</v>
      </c>
      <c r="AP8" s="287">
        <f>Financials!AP14/Financials!AP6</f>
        <v>0.18343472151586837</v>
      </c>
      <c r="AQ8" s="287">
        <f>Financials!AQ14/Financials!AQ6</f>
        <v>0.18325354182281356</v>
      </c>
      <c r="AR8" s="287">
        <f>Financials!AR14/Financials!AR6</f>
        <v>0.17905093889519003</v>
      </c>
      <c r="AS8" s="287">
        <f>Financials!AS14/Financials!AS6</f>
        <v>0.17993787891182275</v>
      </c>
      <c r="AT8" s="287">
        <f>Financials!AT14/Financials!AT6</f>
        <v>0.18883262922477365</v>
      </c>
      <c r="AU8" s="287">
        <f>Financials!AU14/Financials!AU6</f>
        <v>0.19147958400471665</v>
      </c>
      <c r="AV8" s="287">
        <f>Financials!AV14/Financials!AV6</f>
        <v>0.1874225290817329</v>
      </c>
      <c r="AW8" s="287">
        <f>Financials!AW14/Financials!AW6</f>
        <v>0.17878601431058275</v>
      </c>
      <c r="AX8" s="287">
        <f>Financials!AX14/Financials!AX6</f>
        <v>0.18085118063496916</v>
      </c>
      <c r="AY8" s="287">
        <f>Financials!AY14/Financials!AY6</f>
        <v>0.18178050442748014</v>
      </c>
      <c r="AZ8" s="287">
        <f>Financials!AZ14/Financials!AZ6</f>
        <v>0.18317475511865375</v>
      </c>
      <c r="BA8" s="287">
        <f>Financials!BA14/Financials!BA6</f>
        <v>0.18179606556622888</v>
      </c>
      <c r="BB8" s="287">
        <f>Financials!BB14/Financials!BB6</f>
        <v>0.18107315844475577</v>
      </c>
      <c r="BC8" s="287">
        <f>Financials!BC14/Financials!BC6</f>
        <v>0.18180767609352291</v>
      </c>
      <c r="BD8" s="287">
        <f>Financials!BD14/Financials!BD6</f>
        <v>0.18411245569571646</v>
      </c>
      <c r="BE8" s="287">
        <f>Financials!BE14/Financials!BE6</f>
        <v>0.18711002284585923</v>
      </c>
      <c r="BF8" s="287">
        <f>Financials!BF14/Financials!BF6</f>
        <v>0.18986754145966472</v>
      </c>
      <c r="BG8" s="287">
        <f>Financials!BG14/Financials!BG6</f>
        <v>0.1926147937925308</v>
      </c>
      <c r="BH8" s="287">
        <f>Financials!BH14/Financials!BH6</f>
        <v>0.18702406027317894</v>
      </c>
      <c r="BI8" s="287">
        <f>Financials!BI14/Financials!BI6</f>
        <v>0.17683026876269389</v>
      </c>
      <c r="BJ8" s="287">
        <f>Financials!BJ14/Financials!BJ6</f>
        <v>0.18078506333755132</v>
      </c>
      <c r="BK8" s="287">
        <f>Financials!BK14/Financials!BK6</f>
        <v>0.17967641052825786</v>
      </c>
      <c r="BL8" s="287">
        <f>Financials!BL14/Financials!BL6</f>
        <v>0.17923782805899777</v>
      </c>
      <c r="BM8" s="287">
        <f>Financials!BM14/Financials!BM6</f>
        <v>0.1823967224175943</v>
      </c>
      <c r="BN8" s="287">
        <f>Financials!BN14/Financials!BN6</f>
        <v>0.18225322930093074</v>
      </c>
      <c r="BO8" s="287">
        <f>Financials!BO14/Financials!BO6</f>
        <v>0.17821641876010194</v>
      </c>
      <c r="BP8" s="287">
        <f>Financials!BP14/Financials!BP6</f>
        <v>0.17907696731721764</v>
      </c>
      <c r="BQ8" s="287">
        <f>Financials!BQ14/Financials!BQ6</f>
        <v>0.17728525831773251</v>
      </c>
      <c r="BR8" s="287">
        <f>Financials!BR14/Financials!BR6</f>
        <v>0.18073206890229429</v>
      </c>
      <c r="BS8" s="287">
        <f>Financials!BS14/Financials!BS6</f>
        <v>0.18053543826278248</v>
      </c>
      <c r="BT8" s="287">
        <f>Financials!BT14/Financials!BT6</f>
        <v>0.17819422972615848</v>
      </c>
      <c r="BU8" s="287">
        <f>Financials!BU14/Financials!BU6</f>
        <v>0.18674259623695311</v>
      </c>
      <c r="BV8" s="287">
        <f>Financials!BV14/Financials!BV6</f>
        <v>0.15629799209339548</v>
      </c>
      <c r="BW8" s="287">
        <f>Financials!BW14/Financials!BW6</f>
        <v>0.15867079031117579</v>
      </c>
      <c r="BX8" s="287">
        <f>Financials!BX14/Financials!BX6</f>
        <v>0.15795734396116592</v>
      </c>
      <c r="BY8" s="287">
        <f>Financials!BY14/Financials!BY6</f>
        <v>0.15643270838945725</v>
      </c>
      <c r="BZ8" s="287">
        <f>Financials!BZ14/Financials!BZ6</f>
        <v>0.15389680972628739</v>
      </c>
      <c r="CA8" s="287">
        <f>Financials!CA14/Financials!CA6</f>
        <v>0.15537802565667036</v>
      </c>
      <c r="CB8" s="287">
        <f>Financials!CB14/Financials!CB6</f>
        <v>0.15267932076185473</v>
      </c>
      <c r="CC8" s="287">
        <f>Financials!CC14/Financials!CC6</f>
        <v>0.15493574566371041</v>
      </c>
      <c r="CD8" s="287">
        <f>Financials!CD14/Financials!CD6</f>
        <v>0.15660733156034304</v>
      </c>
      <c r="CE8" s="287">
        <f>Financials!CE14/Financials!CE6</f>
        <v>0.15847511458847222</v>
      </c>
      <c r="CF8" s="287">
        <f>Financials!CF14/Financials!CF6</f>
        <v>0.16059760535932749</v>
      </c>
      <c r="CG8" s="287">
        <f>Financials!CG14/Financials!CG6</f>
        <v>0.17341650768406708</v>
      </c>
      <c r="CH8" s="287">
        <f>Financials!CH14/Financials!CH6</f>
        <v>0.18711165165706151</v>
      </c>
      <c r="CI8" s="287">
        <f>Financials!CI14/Financials!CI6</f>
        <v>0.18170471681693401</v>
      </c>
      <c r="CJ8" s="287">
        <f>Financials!CJ14/Financials!CJ6</f>
        <v>0.1813324284201821</v>
      </c>
      <c r="CK8" s="287">
        <f>Financials!CK14/Financials!CK6</f>
        <v>0.18468236864702214</v>
      </c>
      <c r="CL8" s="287">
        <f>Financials!CL14/Financials!CL6</f>
        <v>0.18354139891526722</v>
      </c>
      <c r="CM8" s="287">
        <f>Financials!CM14/Financials!CM6</f>
        <v>0.18487022342277573</v>
      </c>
      <c r="CN8" s="287">
        <f>Financials!CN14/Financials!CN6</f>
        <v>0.18597948866844752</v>
      </c>
      <c r="CO8" s="287">
        <f>Financials!CO14/Financials!CO6</f>
        <v>0.1856520275714128</v>
      </c>
      <c r="CP8" s="287">
        <f>Financials!CP14/Financials!CP6</f>
        <v>0.18384675822268653</v>
      </c>
      <c r="CQ8" s="287">
        <f>Financials!CQ14/Financials!CQ6</f>
        <v>0.18767021920700575</v>
      </c>
      <c r="CR8" s="287" t="e">
        <f>Financials!CR14/Financials!CR6</f>
        <v>#DIV/0!</v>
      </c>
      <c r="CS8" s="287" t="e">
        <f>Financials!CS14/Financials!CS6</f>
        <v>#DIV/0!</v>
      </c>
      <c r="CT8" s="287" t="e">
        <f>Financials!CT14/Financials!CT6</f>
        <v>#DIV/0!</v>
      </c>
      <c r="CU8" s="287" t="e">
        <f>Financials!CU14/Financials!CU6</f>
        <v>#DIV/0!</v>
      </c>
      <c r="CV8" s="287" t="e">
        <f>Financials!CV14/Financials!CV6</f>
        <v>#DIV/0!</v>
      </c>
      <c r="CW8" s="287" t="e">
        <f>Financials!CW14/Financials!CW6</f>
        <v>#DIV/0!</v>
      </c>
      <c r="CX8" s="287" t="e">
        <f>Financials!CX14/Financials!CX6</f>
        <v>#DIV/0!</v>
      </c>
      <c r="CY8" s="287" t="e">
        <f>Financials!CY14/Financials!CY6</f>
        <v>#DIV/0!</v>
      </c>
      <c r="CZ8" s="287" t="e">
        <f>Financials!CZ14/Financials!CZ6</f>
        <v>#DIV/0!</v>
      </c>
      <c r="DA8" s="287" t="e">
        <f>Financials!DA14/Financials!DA6</f>
        <v>#DIV/0!</v>
      </c>
      <c r="DB8" s="287" t="e">
        <f>Financials!DB14/Financials!DB6</f>
        <v>#DIV/0!</v>
      </c>
      <c r="DC8" s="287" t="e">
        <f>Financials!DC14/Financials!DC6</f>
        <v>#DIV/0!</v>
      </c>
      <c r="DD8" s="287" t="e">
        <f>Financials!DD14/Financials!DD6</f>
        <v>#DIV/0!</v>
      </c>
      <c r="DE8" s="287" t="e">
        <f>Financials!DE14/Financials!DE6</f>
        <v>#DIV/0!</v>
      </c>
      <c r="DF8" s="287" t="e">
        <f>Financials!DF14/Financials!DF6</f>
        <v>#DIV/0!</v>
      </c>
      <c r="DG8" s="287" t="e">
        <f>Financials!DG14/Financials!DG6</f>
        <v>#DIV/0!</v>
      </c>
      <c r="DH8" s="287" t="e">
        <f>Financials!DH14/Financials!DH6</f>
        <v>#DIV/0!</v>
      </c>
      <c r="DI8" s="287" t="e">
        <f>Financials!DI14/Financials!DI6</f>
        <v>#DIV/0!</v>
      </c>
      <c r="DJ8" s="287" t="e">
        <f>Financials!DJ14/Financials!DJ6</f>
        <v>#DIV/0!</v>
      </c>
      <c r="DK8" s="287" t="e">
        <f>Financials!DK14/Financials!DK6</f>
        <v>#DIV/0!</v>
      </c>
      <c r="DL8" s="287" t="e">
        <f>Financials!DL14/Financials!DL6</f>
        <v>#DIV/0!</v>
      </c>
      <c r="DM8" s="287" t="e">
        <f>Financials!DM14/Financials!DM6</f>
        <v>#DIV/0!</v>
      </c>
      <c r="DN8" s="287" t="e">
        <f>Financials!DN14/Financials!DN6</f>
        <v>#DIV/0!</v>
      </c>
      <c r="DO8" s="287" t="e">
        <f>Financials!DO14/Financials!DO6</f>
        <v>#DIV/0!</v>
      </c>
      <c r="DP8" s="287" t="e">
        <f>Financials!DP14/Financials!DP6</f>
        <v>#DIV/0!</v>
      </c>
      <c r="DQ8" s="287" t="e">
        <f>Financials!DQ14/Financials!DQ6</f>
        <v>#DIV/0!</v>
      </c>
      <c r="DR8" s="287" t="e">
        <f>Financials!DR14/Financials!DR6</f>
        <v>#DIV/0!</v>
      </c>
      <c r="DS8" s="287" t="e">
        <f>Financials!DS14/Financials!DS6</f>
        <v>#DIV/0!</v>
      </c>
      <c r="DT8" s="287" t="e">
        <f>Financials!DT14/Financials!DT6</f>
        <v>#DIV/0!</v>
      </c>
      <c r="DU8" s="287" t="e">
        <f>Financials!DU14/Financials!DU6</f>
        <v>#DIV/0!</v>
      </c>
      <c r="DV8" s="287" t="e">
        <f>Financials!DV14/Financials!DV6</f>
        <v>#DIV/0!</v>
      </c>
    </row>
    <row r="9" spans="1:126" s="153" customFormat="1">
      <c r="A9" s="288" t="s">
        <v>161</v>
      </c>
      <c r="B9" s="218" t="s">
        <v>162</v>
      </c>
      <c r="C9" s="159">
        <f>Financials!C18/Financials!C5</f>
        <v>8.5766978276097354E-3</v>
      </c>
      <c r="D9" s="159">
        <f>Financials!D18/Financials!D5</f>
        <v>7.8969522964068371E-3</v>
      </c>
      <c r="E9" s="159">
        <f>Financials!E18/Financials!E5</f>
        <v>1.6438603036819471E-2</v>
      </c>
      <c r="F9" s="159">
        <f>Financials!F18/Financials!F5</f>
        <v>1.5585884320240103E-2</v>
      </c>
      <c r="G9" s="159">
        <f>Financials!G18/Financials!G5</f>
        <v>1.476150621717176E-2</v>
      </c>
      <c r="H9" s="211">
        <f>Financials!H18/Financials!H5</f>
        <v>3.3431309639941925E-2</v>
      </c>
      <c r="I9" s="211">
        <f>Financials!I18/Financials!I5</f>
        <v>3.3242895678771228E-2</v>
      </c>
      <c r="J9" s="211">
        <f>Financials!J18/Financials!J5</f>
        <v>3.6131721840233791E-2</v>
      </c>
      <c r="K9" s="211">
        <f>Financials!K18/Financials!K5</f>
        <v>3.6842078148691546E-2</v>
      </c>
      <c r="L9" s="211">
        <f>Financials!L18/Financials!L5</f>
        <v>3.7247064946124939E-2</v>
      </c>
      <c r="M9" s="211">
        <f>Financials!M18/Financials!M5</f>
        <v>3.7541704239888368E-2</v>
      </c>
      <c r="N9" s="211">
        <f>Financials!N18/Financials!N5</f>
        <v>3.6266252152278085E-2</v>
      </c>
      <c r="O9" s="211">
        <f>Financials!O18/Financials!O5</f>
        <v>3.6242782660939249E-2</v>
      </c>
      <c r="P9" s="211">
        <f>Financials!P18/Financials!P5</f>
        <v>3.6799786746129361E-2</v>
      </c>
      <c r="Q9" s="211">
        <f>Financials!Q18/Financials!Q5</f>
        <v>3.6498982389256508E-2</v>
      </c>
      <c r="R9" s="211">
        <f>Financials!R18/Financials!R5</f>
        <v>3.6741527598533753E-2</v>
      </c>
      <c r="S9" s="211">
        <f>Financials!S18/Financials!S5</f>
        <v>3.7622629039686863E-2</v>
      </c>
      <c r="T9" s="211">
        <f>Financials!T18/Financials!T5</f>
        <v>3.9034381543038704E-2</v>
      </c>
      <c r="U9" s="211">
        <f>Financials!U18/Financials!U5</f>
        <v>3.9042160926744687E-2</v>
      </c>
      <c r="V9" s="211">
        <f>Financials!V18/Financials!V5</f>
        <v>3.9138309820678625E-2</v>
      </c>
      <c r="W9" s="211">
        <f>Financials!W18/Financials!W5</f>
        <v>4.2083769414601388E-2</v>
      </c>
      <c r="X9" s="211">
        <f>Financials!X18/Financials!X5</f>
        <v>4.2891172138502083E-2</v>
      </c>
      <c r="Y9" s="211">
        <f>Financials!Y18/Financials!Y5</f>
        <v>4.452963426977543E-2</v>
      </c>
      <c r="Z9" s="211">
        <f>Financials!Z18/Financials!Z5</f>
        <v>4.5801295375345316E-2</v>
      </c>
      <c r="AA9" s="211">
        <f>Financials!AA18/Financials!AA5</f>
        <v>4.7412726215829884E-2</v>
      </c>
      <c r="AB9" s="211">
        <f>Financials!AB18/Financials!AB5</f>
        <v>4.8439596841060112E-2</v>
      </c>
      <c r="AC9" s="211">
        <f>Financials!AC18/Financials!AC5</f>
        <v>4.9570570139601471E-2</v>
      </c>
      <c r="AD9" s="211">
        <f>Financials!AD18/Financials!AD5</f>
        <v>5.0362631142604537E-2</v>
      </c>
      <c r="AE9" s="211">
        <f>Financials!AE18/Financials!AE5</f>
        <v>5.0228585933690117E-2</v>
      </c>
      <c r="AF9" s="211">
        <f>Financials!AF18/Financials!AF5</f>
        <v>5.0122632316057458E-2</v>
      </c>
      <c r="AG9" s="211">
        <f>Financials!AG18/Financials!AG5</f>
        <v>5.0299675900937868E-2</v>
      </c>
      <c r="AH9" s="289">
        <f>Financials!AH18/Financials!AH5</f>
        <v>5.0662706139116019E-2</v>
      </c>
      <c r="AI9" s="289">
        <f>Financials!AI18/Financials!AI5</f>
        <v>5.005070660523929E-2</v>
      </c>
      <c r="AJ9" s="289">
        <f>Financials!AJ18/Financials!AJ5</f>
        <v>6.1779050511826708E-2</v>
      </c>
      <c r="AK9" s="289">
        <f>Financials!AK18/Financials!AK5</f>
        <v>6.2019943852057349E-2</v>
      </c>
      <c r="AL9" s="289">
        <f>Financials!AL18/Financials!AL5</f>
        <v>6.3259814370934808E-2</v>
      </c>
      <c r="AM9" s="289">
        <f>Financials!AM18/Financials!AM5</f>
        <v>6.3170644198234857E-2</v>
      </c>
      <c r="AN9" s="289">
        <f>Financials!AN18/Financials!AN5</f>
        <v>6.2511303968021806E-2</v>
      </c>
      <c r="AO9" s="289">
        <f>Financials!AO18/Financials!AO5</f>
        <v>6.1563110893412286E-2</v>
      </c>
      <c r="AP9" s="289">
        <f>Financials!AP18/Financials!AP5</f>
        <v>6.2103802312193743E-2</v>
      </c>
      <c r="AQ9" s="289">
        <f>Financials!AQ18/Financials!AQ5</f>
        <v>6.2471604644519639E-2</v>
      </c>
      <c r="AR9" s="289">
        <f>Financials!AR18/Financials!AR5</f>
        <v>6.2042168906618421E-2</v>
      </c>
      <c r="AS9" s="289">
        <f>Financials!AS18/Financials!AS5</f>
        <v>6.1465488065123232E-2</v>
      </c>
      <c r="AT9" s="289">
        <f>Financials!AT18/Financials!AT5</f>
        <v>6.1470544248553596E-2</v>
      </c>
      <c r="AU9" s="289">
        <f>Financials!AU18/Financials!AU5</f>
        <v>6.1609659300105014E-2</v>
      </c>
      <c r="AV9" s="289">
        <f>Financials!AV18/Financials!AV5</f>
        <v>6.0926578600850115E-2</v>
      </c>
      <c r="AW9" s="289">
        <f>Financials!AW18/Financials!AW5</f>
        <v>6.4066533131639611E-2</v>
      </c>
      <c r="AX9" s="289">
        <f>Financials!AX18/Financials!AX5</f>
        <v>6.5186153331859828E-2</v>
      </c>
      <c r="AY9" s="289">
        <f>Financials!AY18/Financials!AY5</f>
        <v>6.4195517156080045E-2</v>
      </c>
      <c r="AZ9" s="289">
        <f>Financials!AZ18/Financials!AZ5</f>
        <v>6.4165253061002778E-2</v>
      </c>
      <c r="BA9" s="289">
        <f>Financials!BA18/Financials!BA5</f>
        <v>6.3901913349050488E-2</v>
      </c>
      <c r="BB9" s="289">
        <f>Financials!BB18/Financials!BB5</f>
        <v>6.2904047969492963E-2</v>
      </c>
      <c r="BC9" s="289">
        <f>Financials!BC18/Financials!BC5</f>
        <v>6.2171869246668197E-2</v>
      </c>
      <c r="BD9" s="289">
        <f>Financials!BD18/Financials!BD5</f>
        <v>6.1708115455771449E-2</v>
      </c>
      <c r="BE9" s="289">
        <f>Financials!BE18/Financials!BE5</f>
        <v>6.1125069995300679E-2</v>
      </c>
      <c r="BF9" s="289">
        <f>Financials!BF18/Financials!BF5</f>
        <v>6.091546136874891E-2</v>
      </c>
      <c r="BG9" s="289">
        <f>Financials!BG18/Financials!BG5</f>
        <v>6.1403060393530204E-2</v>
      </c>
      <c r="BH9" s="289">
        <f>Financials!BH18/Financials!BH5</f>
        <v>6.1700247636957119E-2</v>
      </c>
      <c r="BI9" s="289">
        <f>Financials!BI18/Financials!BI5</f>
        <v>6.3783430809269556E-2</v>
      </c>
      <c r="BJ9" s="289">
        <f>Financials!BJ18/Financials!BJ5</f>
        <v>6.5306261548271585E-2</v>
      </c>
      <c r="BK9" s="289">
        <f>Financials!BK18/Financials!BK5</f>
        <v>6.518284186065737E-2</v>
      </c>
      <c r="BL9" s="289">
        <f>Financials!BL18/Financials!BL5</f>
        <v>6.5019418794572542E-2</v>
      </c>
      <c r="BM9" s="289">
        <f>Financials!BM18/Financials!BM5</f>
        <v>6.4860303541794076E-2</v>
      </c>
      <c r="BN9" s="289">
        <f>Financials!BN18/Financials!BN5</f>
        <v>6.4653591980809652E-2</v>
      </c>
      <c r="BO9" s="289">
        <f>Financials!BO18/Financials!BO5</f>
        <v>6.2606665872103937E-2</v>
      </c>
      <c r="BP9" s="289">
        <f>Financials!BP18/Financials!BP5</f>
        <v>6.2654971809155705E-2</v>
      </c>
      <c r="BQ9" s="289">
        <f>Financials!BQ18/Financials!BQ5</f>
        <v>6.1764429486605793E-2</v>
      </c>
      <c r="BR9" s="289">
        <f>Financials!BR18/Financials!BR5</f>
        <v>6.0871061037214777E-2</v>
      </c>
      <c r="BS9" s="289">
        <f>Financials!BS18/Financials!BS5</f>
        <v>6.0305581354697851E-2</v>
      </c>
      <c r="BT9" s="289">
        <f>Financials!BT18/Financials!BT5</f>
        <v>6.0863987834613539E-2</v>
      </c>
      <c r="BU9" s="289">
        <f>Financials!BU18/Financials!BU5</f>
        <v>6.0105460554754353E-2</v>
      </c>
      <c r="BV9" s="289">
        <f>Financials!BV18/Financials!BV5</f>
        <v>6.4102324371910768E-2</v>
      </c>
      <c r="BW9" s="289">
        <f>Financials!BW18/Financials!BW5</f>
        <v>6.4456556734542717E-2</v>
      </c>
      <c r="BX9" s="289">
        <f>Financials!BX18/Financials!BX5</f>
        <v>6.4285713328363012E-2</v>
      </c>
      <c r="BY9" s="289">
        <f>Financials!BY18/Financials!BY5</f>
        <v>6.4460401906755019E-2</v>
      </c>
      <c r="BZ9" s="289">
        <f>Financials!BZ18/Financials!BZ5</f>
        <v>6.4298333207928104E-2</v>
      </c>
      <c r="CA9" s="289">
        <f>Financials!CA18/Financials!CA5</f>
        <v>6.401688167663605E-2</v>
      </c>
      <c r="CB9" s="289">
        <f>Financials!CB18/Financials!CB5</f>
        <v>6.3301219521471788E-2</v>
      </c>
      <c r="CC9" s="289">
        <f>Financials!CC18/Financials!CC5</f>
        <v>6.3261158762597941E-2</v>
      </c>
      <c r="CD9" s="289">
        <f>Financials!CD18/Financials!CD5</f>
        <v>6.3126428279267358E-2</v>
      </c>
      <c r="CE9" s="289">
        <f>Financials!CE18/Financials!CE5</f>
        <v>6.2757318806838921E-2</v>
      </c>
      <c r="CF9" s="289">
        <f>Financials!CF18/Financials!CF5</f>
        <v>6.3241233302256422E-2</v>
      </c>
      <c r="CG9" s="289">
        <f>Financials!CG18/Financials!CG5</f>
        <v>6.2909111781450089E-2</v>
      </c>
      <c r="CH9" s="289">
        <f>Financials!CH18/Financials!CH5</f>
        <v>6.2849131196844932E-2</v>
      </c>
      <c r="CI9" s="289">
        <f>Financials!CI18/Financials!CI5</f>
        <v>6.7105619500705746E-2</v>
      </c>
      <c r="CJ9" s="289">
        <f>Financials!CJ18/Financials!CJ5</f>
        <v>6.8220531297154455E-2</v>
      </c>
      <c r="CK9" s="289">
        <f>Financials!CK18/Financials!CK5</f>
        <v>6.8808169175737219E-2</v>
      </c>
      <c r="CL9" s="289">
        <f>Financials!CL18/Financials!CL5</f>
        <v>6.8803595885804994E-2</v>
      </c>
      <c r="CM9" s="289">
        <f>Financials!CM18/Financials!CM5</f>
        <v>6.9012576413803345E-2</v>
      </c>
      <c r="CN9" s="289">
        <f>Financials!CN18/Financials!CN5</f>
        <v>6.9019710440297644E-2</v>
      </c>
      <c r="CO9" s="289">
        <f>Financials!CO18/Financials!CO5</f>
        <v>6.7630708585564303E-2</v>
      </c>
      <c r="CP9" s="289">
        <f>Financials!CP18/Financials!CP5</f>
        <v>6.6757503818514308E-2</v>
      </c>
      <c r="CQ9" s="289">
        <f>Financials!CQ18/Financials!CQ5</f>
        <v>6.6552718348657669E-2</v>
      </c>
      <c r="CR9" s="289" t="e">
        <f>Financials!CR18/Financials!CR5</f>
        <v>#DIV/0!</v>
      </c>
      <c r="CS9" s="289" t="e">
        <f>Financials!CS18/Financials!CS5</f>
        <v>#DIV/0!</v>
      </c>
      <c r="CT9" s="289" t="e">
        <f>Financials!CT18/Financials!CT5</f>
        <v>#DIV/0!</v>
      </c>
      <c r="CU9" s="289" t="e">
        <f>Financials!CU18/Financials!CU5</f>
        <v>#DIV/0!</v>
      </c>
      <c r="CV9" s="289" t="e">
        <f>Financials!CV18/Financials!CV5</f>
        <v>#DIV/0!</v>
      </c>
      <c r="CW9" s="289" t="e">
        <f>Financials!CW18/Financials!CW5</f>
        <v>#DIV/0!</v>
      </c>
      <c r="CX9" s="289" t="e">
        <f>Financials!CX18/Financials!CX5</f>
        <v>#DIV/0!</v>
      </c>
      <c r="CY9" s="289" t="e">
        <f>Financials!CY18/Financials!CY5</f>
        <v>#DIV/0!</v>
      </c>
      <c r="CZ9" s="289" t="e">
        <f>Financials!CZ18/Financials!CZ5</f>
        <v>#DIV/0!</v>
      </c>
      <c r="DA9" s="289" t="e">
        <f>Financials!DA18/Financials!DA5</f>
        <v>#DIV/0!</v>
      </c>
      <c r="DB9" s="289" t="e">
        <f>Financials!DB18/Financials!DB5</f>
        <v>#DIV/0!</v>
      </c>
      <c r="DC9" s="289" t="e">
        <f>Financials!DC18/Financials!DC5</f>
        <v>#DIV/0!</v>
      </c>
      <c r="DD9" s="289" t="e">
        <f>Financials!DD18/Financials!DD5</f>
        <v>#DIV/0!</v>
      </c>
      <c r="DE9" s="289" t="e">
        <f>Financials!DE18/Financials!DE5</f>
        <v>#DIV/0!</v>
      </c>
      <c r="DF9" s="289" t="e">
        <f>Financials!DF18/Financials!DF5</f>
        <v>#DIV/0!</v>
      </c>
      <c r="DG9" s="289" t="e">
        <f>Financials!DG18/Financials!DG5</f>
        <v>#DIV/0!</v>
      </c>
      <c r="DH9" s="289" t="e">
        <f>Financials!DH18/Financials!DH5</f>
        <v>#DIV/0!</v>
      </c>
      <c r="DI9" s="289" t="e">
        <f>Financials!DI18/Financials!DI5</f>
        <v>#DIV/0!</v>
      </c>
      <c r="DJ9" s="289" t="e">
        <f>Financials!DJ18/Financials!DJ5</f>
        <v>#DIV/0!</v>
      </c>
      <c r="DK9" s="289" t="e">
        <f>Financials!DK18/Financials!DK5</f>
        <v>#DIV/0!</v>
      </c>
      <c r="DL9" s="289" t="e">
        <f>Financials!DL18/Financials!DL5</f>
        <v>#DIV/0!</v>
      </c>
      <c r="DM9" s="289" t="e">
        <f>Financials!DM18/Financials!DM5</f>
        <v>#DIV/0!</v>
      </c>
      <c r="DN9" s="289" t="e">
        <f>Financials!DN18/Financials!DN5</f>
        <v>#DIV/0!</v>
      </c>
      <c r="DO9" s="289" t="e">
        <f>Financials!DO18/Financials!DO5</f>
        <v>#DIV/0!</v>
      </c>
      <c r="DP9" s="289" t="e">
        <f>Financials!DP18/Financials!DP5</f>
        <v>#DIV/0!</v>
      </c>
      <c r="DQ9" s="289" t="e">
        <f>Financials!DQ18/Financials!DQ5</f>
        <v>#DIV/0!</v>
      </c>
      <c r="DR9" s="289" t="e">
        <f>Financials!DR18/Financials!DR5</f>
        <v>#DIV/0!</v>
      </c>
      <c r="DS9" s="289" t="e">
        <f>Financials!DS18/Financials!DS5</f>
        <v>#DIV/0!</v>
      </c>
      <c r="DT9" s="289" t="e">
        <f>Financials!DT18/Financials!DT5</f>
        <v>#DIV/0!</v>
      </c>
      <c r="DU9" s="289" t="e">
        <f>Financials!DU18/Financials!DU5</f>
        <v>#DIV/0!</v>
      </c>
      <c r="DV9" s="289" t="e">
        <f>Financials!DV18/Financials!DV5</f>
        <v>#DIV/0!</v>
      </c>
    </row>
    <row r="10" spans="1:126" s="153" customFormat="1">
      <c r="A10" s="288" t="s">
        <v>163</v>
      </c>
      <c r="B10" s="218" t="s">
        <v>160</v>
      </c>
      <c r="C10" s="159">
        <f>Financials!C15/Financials!C5</f>
        <v>-2.1175724218341435E-2</v>
      </c>
      <c r="D10" s="159">
        <f>Financials!D15/Financials!D5</f>
        <v>-5.1687685286550564E-4</v>
      </c>
      <c r="E10" s="159">
        <f>Financials!E15/Financials!E5</f>
        <v>-2.0994120870215325E-2</v>
      </c>
      <c r="F10" s="159">
        <f>Financials!F15/Financials!F5</f>
        <v>8.8508617975989315E-2</v>
      </c>
      <c r="G10" s="159">
        <f>Financials!G15/Financials!G5</f>
        <v>8.5314293691191229E-2</v>
      </c>
      <c r="H10" s="211">
        <f>Financials!H15/Financials!H5</f>
        <v>7.5713937635985787E-2</v>
      </c>
      <c r="I10" s="211">
        <f>Financials!I15/Financials!I5</f>
        <v>7.5091289874963288E-2</v>
      </c>
      <c r="J10" s="211">
        <f>Financials!J15/Financials!J5</f>
        <v>6.8939609809475944E-2</v>
      </c>
      <c r="K10" s="211">
        <f>Financials!K15/Financials!K5</f>
        <v>6.9130652257062539E-2</v>
      </c>
      <c r="L10" s="211">
        <f>Financials!L15/Financials!L5</f>
        <v>6.7795429731327017E-2</v>
      </c>
      <c r="M10" s="211">
        <f>Financials!M15/Financials!M5</f>
        <v>6.7053792622543226E-2</v>
      </c>
      <c r="N10" s="211">
        <f>Financials!N15/Financials!N5</f>
        <v>6.3984072583380291E-2</v>
      </c>
      <c r="O10" s="211">
        <f>Financials!O15/Financials!O5</f>
        <v>6.3566147959214739E-2</v>
      </c>
      <c r="P10" s="211">
        <f>Financials!P15/Financials!P5</f>
        <v>6.4645040936468445E-2</v>
      </c>
      <c r="Q10" s="211">
        <f>Financials!Q15/Financials!Q5</f>
        <v>6.5391910407367582E-2</v>
      </c>
      <c r="R10" s="211">
        <f>Financials!R15/Financials!R5</f>
        <v>6.3846792804999067E-2</v>
      </c>
      <c r="S10" s="211">
        <f>Financials!S15/Financials!S5</f>
        <v>6.3667347296986865E-2</v>
      </c>
      <c r="T10" s="211">
        <f>Financials!T15/Financials!T5</f>
        <v>6.5412994340485517E-2</v>
      </c>
      <c r="U10" s="211">
        <f>Financials!U15/Financials!U5</f>
        <v>7.5164638679942261E-2</v>
      </c>
      <c r="V10" s="211">
        <f>Financials!V15/Financials!V5</f>
        <v>7.1667753125084652E-2</v>
      </c>
      <c r="W10" s="211">
        <f>Financials!W15/Financials!W5</f>
        <v>6.8248713611578901E-2</v>
      </c>
      <c r="X10" s="211">
        <f>Financials!X15/Financials!X5</f>
        <v>6.7513212502164313E-2</v>
      </c>
      <c r="Y10" s="211">
        <f>Financials!Y15/Financials!Y5</f>
        <v>6.6897407671509077E-2</v>
      </c>
      <c r="Z10" s="211">
        <f>Financials!Z15/Financials!Z5</f>
        <v>6.8589339803177052E-2</v>
      </c>
      <c r="AA10" s="211">
        <f>Financials!AA15/Financials!AA5</f>
        <v>7.3128854232933985E-2</v>
      </c>
      <c r="AB10" s="211">
        <f>Financials!AB15/Financials!AB5</f>
        <v>7.2479788179522858E-2</v>
      </c>
      <c r="AC10" s="211">
        <f>Financials!AC15/Financials!AC5</f>
        <v>7.4086425778265283E-2</v>
      </c>
      <c r="AD10" s="211">
        <f>Financials!AD15/Financials!AD5</f>
        <v>7.529668319111385E-2</v>
      </c>
      <c r="AE10" s="211">
        <f>Financials!AE15/Financials!AE5</f>
        <v>7.5527821768492681E-2</v>
      </c>
      <c r="AF10" s="211">
        <f>Financials!AF15/Financials!AF5</f>
        <v>7.6247310613370048E-2</v>
      </c>
      <c r="AG10" s="211">
        <f>Financials!AG15/Financials!AG5</f>
        <v>8.4113996835159827E-2</v>
      </c>
      <c r="AH10" s="289">
        <f>Financials!AH15/Financials!AH5</f>
        <v>8.0548548361487324E-2</v>
      </c>
      <c r="AI10" s="289">
        <f>Financials!AI15/Financials!AI5</f>
        <v>8.308488449766957E-2</v>
      </c>
      <c r="AJ10" s="289">
        <f>Financials!AJ15/Financials!AJ5</f>
        <v>7.8532684929641342E-2</v>
      </c>
      <c r="AK10" s="289">
        <f>Financials!AK15/Financials!AK5</f>
        <v>7.5476568637294239E-2</v>
      </c>
      <c r="AL10" s="289">
        <f>Financials!AL15/Financials!AL5</f>
        <v>7.5747051511059885E-2</v>
      </c>
      <c r="AM10" s="289">
        <f>Financials!AM15/Financials!AM5</f>
        <v>7.4188183759408027E-2</v>
      </c>
      <c r="AN10" s="289">
        <f>Financials!AN15/Financials!AN5</f>
        <v>7.4731782795845372E-2</v>
      </c>
      <c r="AO10" s="289">
        <f>Financials!AO15/Financials!AO5</f>
        <v>7.3509793755073327E-2</v>
      </c>
      <c r="AP10" s="289">
        <f>Financials!AP15/Financials!AP5</f>
        <v>7.6352984808301536E-2</v>
      </c>
      <c r="AQ10" s="289">
        <f>Financials!AQ15/Financials!AQ5</f>
        <v>7.5882581792560994E-2</v>
      </c>
      <c r="AR10" s="289">
        <f>Financials!AR15/Financials!AR5</f>
        <v>7.4354838264387602E-2</v>
      </c>
      <c r="AS10" s="289">
        <f>Financials!AS15/Financials!AS5</f>
        <v>7.4484884141203606E-2</v>
      </c>
      <c r="AT10" s="289">
        <f>Financials!AT15/Financials!AT5</f>
        <v>8.0249083510831348E-2</v>
      </c>
      <c r="AU10" s="289">
        <f>Financials!AU15/Financials!AU5</f>
        <v>8.242140538975963E-2</v>
      </c>
      <c r="AV10" s="289">
        <f>Financials!AV15/Financials!AV5</f>
        <v>7.8883157952811755E-2</v>
      </c>
      <c r="AW10" s="289">
        <f>Financials!AW15/Financials!AW5</f>
        <v>8.0327767624818858E-2</v>
      </c>
      <c r="AX10" s="289">
        <f>Financials!AX15/Financials!AX5</f>
        <v>7.9721121736622602E-2</v>
      </c>
      <c r="AY10" s="289">
        <f>Financials!AY15/Financials!AY5</f>
        <v>8.1110607469578822E-2</v>
      </c>
      <c r="AZ10" s="289">
        <f>Financials!AZ15/Financials!AZ5</f>
        <v>8.1072829009427125E-2</v>
      </c>
      <c r="BA10" s="353">
        <f>Financials!BA15/Financials!BA5</f>
        <v>7.9368322705656774E-2</v>
      </c>
      <c r="BB10" s="353">
        <f>Financials!BB15/Financials!BB5</f>
        <v>7.9288531329202327E-2</v>
      </c>
      <c r="BC10" s="286">
        <f>Financials!BC15/Financials!BC5</f>
        <v>7.9650737464390733E-2</v>
      </c>
      <c r="BD10" s="286">
        <f>Financials!BD15/Financials!BD5</f>
        <v>8.0808165508047994E-2</v>
      </c>
      <c r="BE10" s="286">
        <f>Financials!BE15/Financials!BE5</f>
        <v>8.251779242049026E-2</v>
      </c>
      <c r="BF10" s="286">
        <f>Financials!BF15/Financials!BF5</f>
        <v>8.3607176369412478E-2</v>
      </c>
      <c r="BG10" s="286">
        <f>Financials!BG15/Financials!BG5</f>
        <v>8.4235347955897183E-2</v>
      </c>
      <c r="BH10" s="353">
        <f>Financials!BH15/Financials!BH5</f>
        <v>8.0395360318706297E-2</v>
      </c>
      <c r="BI10" s="289">
        <f>Financials!BI15/Financials!BI5</f>
        <v>8.1452447535855371E-2</v>
      </c>
      <c r="BJ10" s="289">
        <f>Financials!BJ15/Financials!BJ5</f>
        <v>8.2015291617698549E-2</v>
      </c>
      <c r="BK10" s="289">
        <f>Financials!BK15/Financials!BK5</f>
        <v>8.0527264091119793E-2</v>
      </c>
      <c r="BL10" s="289">
        <f>Financials!BL15/Financials!BL5</f>
        <v>7.9825861385123126E-2</v>
      </c>
      <c r="BM10" s="289">
        <f>Financials!BM15/Financials!BM5</f>
        <v>8.0800639210643663E-2</v>
      </c>
      <c r="BN10" s="289">
        <f>Financials!BN15/Financials!BN5</f>
        <v>7.9897613337100271E-2</v>
      </c>
      <c r="BO10" s="353">
        <f>Financials!BO15/Financials!BO5</f>
        <v>7.8449319628747446E-2</v>
      </c>
      <c r="BP10" s="353">
        <f>Financials!BP15/Financials!BP5</f>
        <v>7.7923599620976891E-2</v>
      </c>
      <c r="BQ10" s="286">
        <f>Financials!BQ15/Financials!BQ5</f>
        <v>7.6613068614230728E-2</v>
      </c>
      <c r="BR10" s="286">
        <f>Financials!BR15/Financials!BR5</f>
        <v>7.9295633765646398E-2</v>
      </c>
      <c r="BS10" s="286">
        <f>Financials!BS15/Financials!BS5</f>
        <v>7.8704556220810032E-2</v>
      </c>
      <c r="BT10" s="286">
        <f>Financials!BT15/Financials!BT5</f>
        <v>7.4991315699699537E-2</v>
      </c>
      <c r="BU10" s="286">
        <f>Financials!BU15/Financials!BU5</f>
        <v>8.0492777472349938E-2</v>
      </c>
      <c r="BV10" s="286">
        <f>Financials!BV15/Financials!BV5</f>
        <v>6.4840842935617482E-2</v>
      </c>
      <c r="BW10" s="286">
        <f>Financials!BW15/Financials!BW5</f>
        <v>6.5090497199723235E-2</v>
      </c>
      <c r="BX10" s="286">
        <f>Financials!BX15/Financials!BX5</f>
        <v>6.4114603675215681E-2</v>
      </c>
      <c r="BY10" s="286">
        <f>Financials!BY15/Financials!BY5</f>
        <v>6.1707075990936236E-2</v>
      </c>
      <c r="BZ10" s="286">
        <f>Financials!BZ15/Financials!BZ5</f>
        <v>5.9063975818931531E-2</v>
      </c>
      <c r="CA10" s="286">
        <f>Financials!CA15/Financials!CA5</f>
        <v>5.9460319798078781E-2</v>
      </c>
      <c r="CB10" s="286">
        <f>Financials!CB15/Financials!CB5</f>
        <v>5.7639327684222669E-2</v>
      </c>
      <c r="CC10" s="286">
        <f>Financials!CC15/Financials!CC5</f>
        <v>5.8305926830577511E-2</v>
      </c>
      <c r="CD10" s="286">
        <f>Financials!CD15/Financials!CD5</f>
        <v>5.8550009266610331E-2</v>
      </c>
      <c r="CE10" s="286">
        <f>Financials!CE15/Financials!CE5</f>
        <v>5.9315769630948541E-2</v>
      </c>
      <c r="CF10" s="286">
        <f>Financials!CF15/Financials!CF5</f>
        <v>5.9415495840405862E-2</v>
      </c>
      <c r="CG10" s="286">
        <f>Financials!CG15/Financials!CG5</f>
        <v>6.8340067852470279E-2</v>
      </c>
      <c r="CH10" s="286">
        <f>Financials!CH15/Financials!CH5</f>
        <v>7.8810058531987179E-2</v>
      </c>
      <c r="CI10" s="286">
        <f>Financials!CI15/Financials!CI5</f>
        <v>8.1980096049977982E-2</v>
      </c>
      <c r="CJ10" s="286">
        <f>Financials!CJ15/Financials!CJ5</f>
        <v>7.9289885565194021E-2</v>
      </c>
      <c r="CK10" s="286">
        <f>Financials!CK15/Financials!CK5</f>
        <v>8.0296367835838683E-2</v>
      </c>
      <c r="CL10" s="286">
        <f>Financials!CL15/Financials!CL5</f>
        <v>7.8313367217708471E-2</v>
      </c>
      <c r="CM10" s="286">
        <f>Financials!CM15/Financials!CM5</f>
        <v>7.7871914241681467E-2</v>
      </c>
      <c r="CN10" s="286">
        <f>Financials!CN15/Financials!CN5</f>
        <v>7.7548587616981066E-2</v>
      </c>
      <c r="CO10" s="286">
        <f>Financials!CO15/Financials!CO5</f>
        <v>7.8355716584907073E-2</v>
      </c>
      <c r="CP10" s="286">
        <f>Financials!CP15/Financials!CP5</f>
        <v>7.6993787152762214E-2</v>
      </c>
      <c r="CQ10" s="286">
        <f>Financials!CQ15/Financials!CQ5</f>
        <v>7.8656218947969939E-2</v>
      </c>
      <c r="CR10" s="286" t="e">
        <f>Financials!CR15/Financials!CR5</f>
        <v>#DIV/0!</v>
      </c>
      <c r="CS10" s="286" t="e">
        <f>Financials!CS15/Financials!CS5</f>
        <v>#DIV/0!</v>
      </c>
      <c r="CT10" s="286" t="e">
        <f>Financials!CT15/Financials!CT5</f>
        <v>#DIV/0!</v>
      </c>
      <c r="CU10" s="286" t="e">
        <f>Financials!CU15/Financials!CU5</f>
        <v>#DIV/0!</v>
      </c>
      <c r="CV10" s="286" t="e">
        <f>Financials!CV15/Financials!CV5</f>
        <v>#DIV/0!</v>
      </c>
      <c r="CW10" s="286" t="e">
        <f>Financials!CW15/Financials!CW5</f>
        <v>#DIV/0!</v>
      </c>
      <c r="CX10" s="286" t="e">
        <f>Financials!CX15/Financials!CX5</f>
        <v>#DIV/0!</v>
      </c>
      <c r="CY10" s="286" t="e">
        <f>Financials!CY15/Financials!CY5</f>
        <v>#DIV/0!</v>
      </c>
      <c r="CZ10" s="286" t="e">
        <f>Financials!CZ15/Financials!CZ5</f>
        <v>#DIV/0!</v>
      </c>
      <c r="DA10" s="286" t="e">
        <f>Financials!DA15/Financials!DA5</f>
        <v>#DIV/0!</v>
      </c>
      <c r="DB10" s="286" t="e">
        <f>Financials!DB15/Financials!DB5</f>
        <v>#DIV/0!</v>
      </c>
      <c r="DC10" s="286" t="e">
        <f>Financials!DC15/Financials!DC5</f>
        <v>#DIV/0!</v>
      </c>
      <c r="DD10" s="286" t="e">
        <f>Financials!DD15/Financials!DD5</f>
        <v>#DIV/0!</v>
      </c>
      <c r="DE10" s="286" t="e">
        <f>Financials!DE15/Financials!DE5</f>
        <v>#DIV/0!</v>
      </c>
      <c r="DF10" s="286" t="e">
        <f>Financials!DF15/Financials!DF5</f>
        <v>#DIV/0!</v>
      </c>
      <c r="DG10" s="286" t="e">
        <f>Financials!DG15/Financials!DG5</f>
        <v>#DIV/0!</v>
      </c>
      <c r="DH10" s="286" t="e">
        <f>Financials!DH15/Financials!DH5</f>
        <v>#DIV/0!</v>
      </c>
      <c r="DI10" s="286" t="e">
        <f>Financials!DI15/Financials!DI5</f>
        <v>#DIV/0!</v>
      </c>
      <c r="DJ10" s="286" t="e">
        <f>Financials!DJ15/Financials!DJ5</f>
        <v>#DIV/0!</v>
      </c>
      <c r="DK10" s="286" t="e">
        <f>Financials!DK15/Financials!DK5</f>
        <v>#DIV/0!</v>
      </c>
      <c r="DL10" s="286" t="e">
        <f>Financials!DL15/Financials!DL5</f>
        <v>#DIV/0!</v>
      </c>
      <c r="DM10" s="286" t="e">
        <f>Financials!DM15/Financials!DM5</f>
        <v>#DIV/0!</v>
      </c>
      <c r="DN10" s="286" t="e">
        <f>Financials!DN15/Financials!DN5</f>
        <v>#DIV/0!</v>
      </c>
      <c r="DO10" s="286" t="e">
        <f>Financials!DO15/Financials!DO5</f>
        <v>#DIV/0!</v>
      </c>
      <c r="DP10" s="286" t="e">
        <f>Financials!DP15/Financials!DP5</f>
        <v>#DIV/0!</v>
      </c>
      <c r="DQ10" s="286" t="e">
        <f>Financials!DQ15/Financials!DQ5</f>
        <v>#DIV/0!</v>
      </c>
      <c r="DR10" s="286" t="e">
        <f>Financials!DR15/Financials!DR5</f>
        <v>#DIV/0!</v>
      </c>
      <c r="DS10" s="286" t="e">
        <f>Financials!DS15/Financials!DS5</f>
        <v>#DIV/0!</v>
      </c>
      <c r="DT10" s="286" t="e">
        <f>Financials!DT15/Financials!DT5</f>
        <v>#DIV/0!</v>
      </c>
      <c r="DU10" s="286" t="e">
        <f>Financials!DU15/Financials!DU5</f>
        <v>#DIV/0!</v>
      </c>
      <c r="DV10" s="286" t="e">
        <f>Financials!DV15/Financials!DV5</f>
        <v>#DIV/0!</v>
      </c>
    </row>
    <row r="11" spans="1:126" s="153" customFormat="1">
      <c r="A11" s="284"/>
      <c r="B11" s="21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287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  <c r="AT11" s="287"/>
      <c r="AU11" s="287"/>
      <c r="AV11" s="287"/>
      <c r="AW11" s="287"/>
      <c r="AX11" s="287"/>
      <c r="AY11" s="287"/>
      <c r="AZ11" s="287"/>
      <c r="BA11" s="287"/>
      <c r="BB11" s="287"/>
      <c r="BC11" s="287"/>
      <c r="BD11" s="287"/>
      <c r="BE11" s="287"/>
      <c r="BF11" s="287"/>
      <c r="BG11" s="287"/>
      <c r="BH11" s="287"/>
      <c r="BI11" s="287"/>
      <c r="BJ11" s="287"/>
      <c r="BK11" s="287"/>
      <c r="BL11" s="287"/>
      <c r="BM11" s="287"/>
      <c r="BN11" s="287"/>
      <c r="BO11" s="287"/>
      <c r="BP11" s="287"/>
      <c r="BQ11" s="287"/>
      <c r="BR11" s="287"/>
      <c r="BS11" s="287"/>
      <c r="BT11" s="287"/>
      <c r="BU11" s="287"/>
      <c r="BV11" s="287"/>
      <c r="BW11" s="287"/>
      <c r="BX11" s="287"/>
      <c r="BY11" s="287"/>
      <c r="BZ11" s="287"/>
      <c r="CA11" s="287"/>
      <c r="CB11" s="287"/>
      <c r="CC11" s="287"/>
      <c r="CD11" s="287"/>
      <c r="CE11" s="287"/>
      <c r="CF11" s="287"/>
      <c r="CG11" s="287"/>
      <c r="CH11" s="287"/>
      <c r="CI11" s="287"/>
      <c r="CJ11" s="287"/>
      <c r="CK11" s="287"/>
      <c r="CL11" s="287"/>
      <c r="CM11" s="287"/>
      <c r="CN11" s="287"/>
      <c r="CO11" s="287"/>
      <c r="CP11" s="287"/>
      <c r="CQ11" s="287"/>
      <c r="CR11" s="287"/>
      <c r="CS11" s="287"/>
      <c r="CT11" s="287"/>
      <c r="CU11" s="287"/>
      <c r="CV11" s="287"/>
      <c r="CW11" s="287"/>
      <c r="CX11" s="287"/>
      <c r="CY11" s="287"/>
      <c r="CZ11" s="287"/>
      <c r="DA11" s="287"/>
      <c r="DB11" s="287"/>
      <c r="DC11" s="287"/>
      <c r="DD11" s="287"/>
      <c r="DE11" s="287"/>
      <c r="DF11" s="287"/>
      <c r="DG11" s="287"/>
      <c r="DH11" s="287"/>
      <c r="DI11" s="287"/>
      <c r="DJ11" s="287"/>
      <c r="DK11" s="287"/>
      <c r="DL11" s="287"/>
      <c r="DM11" s="287"/>
      <c r="DN11" s="287"/>
      <c r="DO11" s="287"/>
      <c r="DP11" s="287"/>
      <c r="DQ11" s="287"/>
      <c r="DR11" s="287"/>
      <c r="DS11" s="287"/>
      <c r="DT11" s="287"/>
      <c r="DU11" s="287"/>
      <c r="DV11" s="287"/>
    </row>
    <row r="12" spans="1:126" s="153" customFormat="1">
      <c r="A12" s="283" t="s">
        <v>164</v>
      </c>
      <c r="B12" s="216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  <c r="BX12" s="282"/>
      <c r="BY12" s="282"/>
      <c r="BZ12" s="282"/>
      <c r="CA12" s="282"/>
      <c r="CB12" s="282"/>
      <c r="CC12" s="282"/>
      <c r="CD12" s="282"/>
      <c r="CE12" s="282"/>
      <c r="CF12" s="282"/>
      <c r="CG12" s="282"/>
      <c r="CH12" s="282"/>
      <c r="CI12" s="282"/>
      <c r="CJ12" s="282"/>
      <c r="CK12" s="282"/>
      <c r="CL12" s="282"/>
      <c r="CM12" s="282"/>
      <c r="CN12" s="282"/>
      <c r="CO12" s="282"/>
      <c r="CP12" s="282"/>
      <c r="CQ12" s="282"/>
      <c r="CR12" s="282"/>
      <c r="CS12" s="282"/>
      <c r="CT12" s="282"/>
      <c r="CU12" s="282"/>
      <c r="CV12" s="282"/>
      <c r="CW12" s="282"/>
      <c r="CX12" s="282"/>
      <c r="CY12" s="282"/>
      <c r="CZ12" s="282"/>
      <c r="DA12" s="282"/>
      <c r="DB12" s="282"/>
      <c r="DC12" s="282"/>
      <c r="DD12" s="282"/>
      <c r="DE12" s="282"/>
      <c r="DF12" s="282"/>
      <c r="DG12" s="282"/>
      <c r="DH12" s="282"/>
      <c r="DI12" s="282"/>
      <c r="DJ12" s="282"/>
      <c r="DK12" s="282"/>
      <c r="DL12" s="282"/>
      <c r="DM12" s="282"/>
      <c r="DN12" s="282"/>
      <c r="DO12" s="282"/>
      <c r="DP12" s="282"/>
      <c r="DQ12" s="282"/>
      <c r="DR12" s="282"/>
      <c r="DS12" s="282"/>
      <c r="DT12" s="282"/>
      <c r="DU12" s="282"/>
      <c r="DV12" s="282"/>
    </row>
    <row r="13" spans="1:126" s="153" customFormat="1">
      <c r="A13" s="283" t="s">
        <v>165</v>
      </c>
      <c r="B13" s="216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  <c r="BX13" s="282"/>
      <c r="BY13" s="282"/>
      <c r="BZ13" s="282"/>
      <c r="CA13" s="282"/>
      <c r="CB13" s="282"/>
      <c r="CC13" s="282"/>
      <c r="CD13" s="282"/>
      <c r="CE13" s="282"/>
      <c r="CF13" s="282"/>
      <c r="CG13" s="282"/>
      <c r="CH13" s="282"/>
      <c r="CI13" s="282"/>
      <c r="CJ13" s="282"/>
      <c r="CK13" s="282"/>
      <c r="CL13" s="282"/>
      <c r="CM13" s="282"/>
      <c r="CN13" s="282"/>
      <c r="CO13" s="282"/>
      <c r="CP13" s="282"/>
      <c r="CQ13" s="282"/>
      <c r="CR13" s="282"/>
      <c r="CS13" s="282"/>
      <c r="CT13" s="282"/>
      <c r="CU13" s="282"/>
      <c r="CV13" s="282"/>
      <c r="CW13" s="282"/>
      <c r="CX13" s="282"/>
      <c r="CY13" s="282"/>
      <c r="CZ13" s="282"/>
      <c r="DA13" s="282"/>
      <c r="DB13" s="282"/>
      <c r="DC13" s="282"/>
      <c r="DD13" s="282"/>
      <c r="DE13" s="282"/>
      <c r="DF13" s="282"/>
      <c r="DG13" s="282"/>
      <c r="DH13" s="282"/>
      <c r="DI13" s="282"/>
      <c r="DJ13" s="282"/>
      <c r="DK13" s="282"/>
      <c r="DL13" s="282"/>
      <c r="DM13" s="282"/>
      <c r="DN13" s="282"/>
      <c r="DO13" s="282"/>
      <c r="DP13" s="282"/>
      <c r="DQ13" s="282"/>
      <c r="DR13" s="282"/>
      <c r="DS13" s="282"/>
      <c r="DT13" s="282"/>
      <c r="DU13" s="282"/>
      <c r="DV13" s="282"/>
    </row>
    <row r="14" spans="1:126" s="153" customFormat="1">
      <c r="A14" s="288" t="s">
        <v>166</v>
      </c>
      <c r="B14" s="218" t="s">
        <v>167</v>
      </c>
      <c r="C14" s="159">
        <f>Financials!C38/Financials!C5</f>
        <v>5.6130546146083753E-2</v>
      </c>
      <c r="D14" s="159">
        <f>Financials!D38/Financials!D5</f>
        <v>8.4664962739011029E-2</v>
      </c>
      <c r="E14" s="159">
        <f>Financials!E38/Financials!E5</f>
        <v>0.13640760537135735</v>
      </c>
      <c r="F14" s="159">
        <f>Financials!F38/Financials!F5</f>
        <v>9.8078591082975286E-2</v>
      </c>
      <c r="G14" s="159">
        <f>Financials!G38/Financials!G5</f>
        <v>7.9664687652321042E-2</v>
      </c>
      <c r="H14" s="159">
        <f>Financials!H38/Financials!H5</f>
        <v>6.5137144932057203E-2</v>
      </c>
      <c r="I14" s="159">
        <f>Financials!I38/Financials!I5</f>
        <v>8.629286232146377E-2</v>
      </c>
      <c r="J14" s="159">
        <f>Financials!J38/Financials!J5</f>
        <v>8.367710010090286E-2</v>
      </c>
      <c r="K14" s="159">
        <f>Financials!K38/Financials!K5</f>
        <v>0.1063502299600559</v>
      </c>
      <c r="L14" s="159">
        <f>Financials!L38/Financials!L5</f>
        <v>0.11364319591246889</v>
      </c>
      <c r="M14" s="159">
        <f>Financials!M38/Financials!M5</f>
        <v>9.3210425833851168E-2</v>
      </c>
      <c r="N14" s="159">
        <f>Financials!N38/Financials!N5</f>
        <v>9.6778306200234365E-2</v>
      </c>
      <c r="O14" s="159">
        <f>Financials!O38/Financials!O5</f>
        <v>0.11867419822389966</v>
      </c>
      <c r="P14" s="159">
        <f>Financials!P38/Financials!P5</f>
        <v>0.11869628503317878</v>
      </c>
      <c r="Q14" s="159">
        <f>Financials!Q38/Financials!Q5</f>
        <v>0.12712505896891771</v>
      </c>
      <c r="R14" s="159">
        <f>Financials!R38/Financials!R5</f>
        <v>0.11148456336694976</v>
      </c>
      <c r="S14" s="159">
        <f>Financials!S38/Financials!S5</f>
        <v>0.12905906916630691</v>
      </c>
      <c r="T14" s="159">
        <f>Financials!T38/Financials!T5</f>
        <v>0.11580153768104931</v>
      </c>
      <c r="U14" s="159">
        <f>Financials!U38/Financials!U5</f>
        <v>0.11462344478577952</v>
      </c>
      <c r="V14" s="159">
        <f>Financials!V38/Financials!V5</f>
        <v>0.12218478493599541</v>
      </c>
      <c r="W14" s="159">
        <f>Financials!W38/Financials!W5</f>
        <v>0.13626127554323</v>
      </c>
      <c r="X14" s="159">
        <f>Financials!X38/Financials!X5</f>
        <v>3.8991528574628807E-2</v>
      </c>
      <c r="Y14" s="159">
        <f>Financials!Y38/Financials!Y5</f>
        <v>3.8205911625176468E-2</v>
      </c>
      <c r="Z14" s="159">
        <f>Financials!Z38/Financials!Z5</f>
        <v>3.6008063207883245E-2</v>
      </c>
      <c r="AA14" s="159">
        <f>Financials!AA38/Financials!AA5</f>
        <v>3.6459625183257773E-2</v>
      </c>
      <c r="AB14" s="159">
        <f>Financials!AB38/Financials!AB5</f>
        <v>5.7880877562651777E-2</v>
      </c>
      <c r="AC14" s="159">
        <f>Financials!AC38/Financials!AC5</f>
        <v>3.7337081635937186E-2</v>
      </c>
      <c r="AD14" s="159">
        <f>Financials!AD38/Financials!AD5</f>
        <v>3.7079030412979865E-2</v>
      </c>
      <c r="AE14" s="159">
        <f>Financials!AE38/Financials!AE5</f>
        <v>5.3509368902043573E-2</v>
      </c>
      <c r="AF14" s="159">
        <f>Financials!AF38/Financials!AF5</f>
        <v>5.6854749538546377E-2</v>
      </c>
      <c r="AG14" s="159">
        <f>Financials!AG38/Financials!AG5</f>
        <v>6.2323059570069464E-2</v>
      </c>
      <c r="AH14" s="287">
        <f>Financials!AH38/Financials!AH5</f>
        <v>5.8510543621260347E-2</v>
      </c>
      <c r="AI14" s="287">
        <f>Financials!AI38/Financials!AI5</f>
        <v>6.3483275973095776E-2</v>
      </c>
      <c r="AJ14" s="287">
        <f>Financials!AJ38/Financials!AJ5</f>
        <v>5.5382973149980745E-2</v>
      </c>
      <c r="AK14" s="287">
        <f>Financials!AK38/Financials!AK5</f>
        <v>5.7893435014471771E-2</v>
      </c>
      <c r="AL14" s="287">
        <f>Financials!AL38/Financials!AL5</f>
        <v>5.6936047916268807E-2</v>
      </c>
      <c r="AM14" s="287">
        <f>Financials!AM38/Financials!AM5</f>
        <v>3.6957656285886237E-2</v>
      </c>
      <c r="AN14" s="287">
        <f>Financials!AN38/Financials!AN5</f>
        <v>5.8518113576790376E-2</v>
      </c>
      <c r="AO14" s="287">
        <f>Financials!AO38/Financials!AO5</f>
        <v>7.5730192659608467E-2</v>
      </c>
      <c r="AP14" s="287">
        <f>Financials!AP38/Financials!AP5</f>
        <v>3.9735445963141498E-2</v>
      </c>
      <c r="AQ14" s="287">
        <f>Financials!AQ38/Financials!AQ5</f>
        <v>5.6073101773378591E-2</v>
      </c>
      <c r="AR14" s="287">
        <f>Financials!AR38/Financials!AR5</f>
        <v>5.8328554141972903E-2</v>
      </c>
      <c r="AS14" s="287">
        <f>Financials!AS38/Financials!AS5</f>
        <v>4.4504238942879609E-2</v>
      </c>
      <c r="AT14" s="287">
        <f>Financials!AT38/Financials!AT5</f>
        <v>3.4608466029120002E-2</v>
      </c>
      <c r="AU14" s="287">
        <f>Financials!AU38/Financials!AU5</f>
        <v>4.0043763131402656E-2</v>
      </c>
      <c r="AV14" s="287">
        <f>Financials!AV38/Financials!AV5</f>
        <v>5.797185005075229E-2</v>
      </c>
      <c r="AW14" s="287">
        <f>Financials!AW38/Financials!AW5</f>
        <v>5.8203771184059318E-2</v>
      </c>
      <c r="AX14" s="287">
        <f>Financials!AX38/Financials!AX5</f>
        <v>5.9736240878119205E-2</v>
      </c>
      <c r="AY14" s="287">
        <f>Financials!AY38/Financials!AY5</f>
        <v>5.9854692999274345E-2</v>
      </c>
      <c r="AZ14" s="287">
        <f>Financials!AZ38/Financials!AZ5</f>
        <v>6.1830232188463598E-2</v>
      </c>
      <c r="BA14" s="287">
        <f>Financials!BA38/Financials!BA5</f>
        <v>4.0820289090014061E-2</v>
      </c>
      <c r="BB14" s="287">
        <f>Financials!BB38/Financials!BB5</f>
        <v>6.4146329034097144E-2</v>
      </c>
      <c r="BC14" s="287">
        <f>Financials!BC38/Financials!BC5</f>
        <v>6.4397652397623073E-2</v>
      </c>
      <c r="BD14" s="287">
        <f>Financials!BD38/Financials!BD5</f>
        <v>4.9570392871944743E-2</v>
      </c>
      <c r="BE14" s="287">
        <f>Financials!BE38/Financials!BE5</f>
        <v>6.133973473256938E-2</v>
      </c>
      <c r="BF14" s="287">
        <f>Financials!BF38/Financials!BF5</f>
        <v>4.1052455818799745E-2</v>
      </c>
      <c r="BG14" s="287">
        <f>Financials!BG38/Financials!BG5</f>
        <v>6.2402024388893924E-2</v>
      </c>
      <c r="BH14" s="287">
        <f>Financials!BH38/Financials!BH5</f>
        <v>6.5258647311617429E-2</v>
      </c>
      <c r="BI14" s="287">
        <f>Financials!BI38/Financials!BI5</f>
        <v>6.7274636847948696E-2</v>
      </c>
      <c r="BJ14" s="287">
        <f>Financials!BJ38/Financials!BJ5</f>
        <v>6.1975557484033279E-2</v>
      </c>
      <c r="BK14" s="287">
        <f>Financials!BK38/Financials!BK5</f>
        <v>6.3794602786930305E-2</v>
      </c>
      <c r="BL14" s="287">
        <f>Financials!BL38/Financials!BL5</f>
        <v>3.9132070474909367E-2</v>
      </c>
      <c r="BM14" s="287">
        <f>Financials!BM38/Financials!BM5</f>
        <v>6.3403397332198283E-2</v>
      </c>
      <c r="BN14" s="287">
        <f>Financials!BN38/Financials!BN5</f>
        <v>4.0271388627140164E-2</v>
      </c>
      <c r="BO14" s="287">
        <f>Financials!BO38/Financials!BO5</f>
        <v>5.6722443092104585E-2</v>
      </c>
      <c r="BP14" s="287">
        <f>Financials!BP38/Financials!BP5</f>
        <v>5.5163340175463746E-2</v>
      </c>
      <c r="BQ14" s="287">
        <f>Financials!BQ38/Financials!BQ5</f>
        <v>3.3217961781120728E-2</v>
      </c>
      <c r="BR14" s="287">
        <f>Financials!BR38/Financials!BR5</f>
        <v>5.2646789911639215E-2</v>
      </c>
      <c r="BS14" s="287">
        <f>Financials!BS38/Financials!BS5</f>
        <v>5.1893486764476193E-2</v>
      </c>
      <c r="BT14" s="287">
        <f>Financials!BT38/Financials!BT5</f>
        <v>2.9589369855615239E-2</v>
      </c>
      <c r="BU14" s="287">
        <f>Financials!BU38/Financials!BU5</f>
        <v>2.6741504263264312E-2</v>
      </c>
      <c r="BV14" s="287">
        <f>Financials!BV38/Financials!BV5</f>
        <v>4.6904323129190309E-2</v>
      </c>
      <c r="BW14" s="287">
        <f>Financials!BW38/Financials!BW5</f>
        <v>5.2502485071113644E-2</v>
      </c>
      <c r="BX14" s="287">
        <f>Financials!BX38/Financials!BX5</f>
        <v>5.029379289699077E-2</v>
      </c>
      <c r="BY14" s="287">
        <f>Financials!BY38/Financials!BY5</f>
        <v>5.121533258751941E-2</v>
      </c>
      <c r="BZ14" s="287">
        <f>Financials!BZ38/Financials!BZ5</f>
        <v>5.5571269412762178E-2</v>
      </c>
      <c r="CA14" s="287">
        <f>Financials!CA38/Financials!CA5</f>
        <v>3.2673136831479238E-2</v>
      </c>
      <c r="CB14" s="287">
        <f>Financials!CB38/Financials!CB5</f>
        <v>5.4822248470581293E-2</v>
      </c>
      <c r="CC14" s="287">
        <f>Financials!CC38/Financials!CC5</f>
        <v>5.4862335831700915E-2</v>
      </c>
      <c r="CD14" s="287">
        <f>Financials!CD38/Financials!CD5</f>
        <v>5.6620169123283819E-2</v>
      </c>
      <c r="CE14" s="287">
        <f>Financials!CE38/Financials!CE5</f>
        <v>5.8895946047146236E-2</v>
      </c>
      <c r="CF14" s="287">
        <f>Financials!CF38/Financials!CF5</f>
        <v>5.717463054913538E-2</v>
      </c>
      <c r="CG14" s="287">
        <f>Financials!CG38/Financials!CG5</f>
        <v>5.4540801227285822E-2</v>
      </c>
      <c r="CH14" s="287">
        <f>Financials!CH38/Financials!CH5</f>
        <v>4.4741322265625702E-2</v>
      </c>
      <c r="CI14" s="287">
        <f>Financials!CI38/Financials!CI5</f>
        <v>5.6461044300440681E-2</v>
      </c>
      <c r="CJ14" s="287">
        <f>Financials!CJ38/Financials!CJ5</f>
        <v>6.0675771236882337E-2</v>
      </c>
      <c r="CK14" s="287">
        <f>Financials!CK38/Financials!CK5</f>
        <v>6.7189603188007818E-2</v>
      </c>
      <c r="CL14" s="287">
        <f>Financials!CL38/Financials!CL5</f>
        <v>6.3687124934313208E-2</v>
      </c>
      <c r="CM14" s="287">
        <f>Financials!CM38/Financials!CM5</f>
        <v>5.799856862261335E-2</v>
      </c>
      <c r="CN14" s="287">
        <f>Financials!CN38/Financials!CN5</f>
        <v>4.4375661181137498E-2</v>
      </c>
      <c r="CO14" s="287">
        <f>Financials!CO38/Financials!CO5</f>
        <v>5.770207335159961E-2</v>
      </c>
      <c r="CP14" s="287">
        <f>Financials!CP38/Financials!CP5</f>
        <v>6.2652347421365231E-2</v>
      </c>
      <c r="CQ14" s="287">
        <f>Financials!CQ38/Financials!CQ5</f>
        <v>5.807235897988948E-2</v>
      </c>
      <c r="CR14" s="287" t="e">
        <f>Financials!CR38/Financials!CR5</f>
        <v>#DIV/0!</v>
      </c>
      <c r="CS14" s="287" t="e">
        <f>Financials!CS38/Financials!CS5</f>
        <v>#DIV/0!</v>
      </c>
      <c r="CT14" s="287" t="e">
        <f>Financials!CT38/Financials!CT5</f>
        <v>#DIV/0!</v>
      </c>
      <c r="CU14" s="287" t="e">
        <f>Financials!CU38/Financials!CU5</f>
        <v>#DIV/0!</v>
      </c>
      <c r="CV14" s="287" t="e">
        <f>Financials!CV38/Financials!CV5</f>
        <v>#DIV/0!</v>
      </c>
      <c r="CW14" s="287" t="e">
        <f>Financials!CW38/Financials!CW5</f>
        <v>#DIV/0!</v>
      </c>
      <c r="CX14" s="287" t="e">
        <f>Financials!CX38/Financials!CX5</f>
        <v>#DIV/0!</v>
      </c>
      <c r="CY14" s="287" t="e">
        <f>Financials!CY38/Financials!CY5</f>
        <v>#DIV/0!</v>
      </c>
      <c r="CZ14" s="287" t="e">
        <f>Financials!CZ38/Financials!CZ5</f>
        <v>#DIV/0!</v>
      </c>
      <c r="DA14" s="287" t="e">
        <f>Financials!DA38/Financials!DA5</f>
        <v>#DIV/0!</v>
      </c>
      <c r="DB14" s="287" t="e">
        <f>Financials!DB38/Financials!DB5</f>
        <v>#DIV/0!</v>
      </c>
      <c r="DC14" s="287" t="e">
        <f>Financials!DC38/Financials!DC5</f>
        <v>#DIV/0!</v>
      </c>
      <c r="DD14" s="287" t="e">
        <f>Financials!DD38/Financials!DD5</f>
        <v>#DIV/0!</v>
      </c>
      <c r="DE14" s="287" t="e">
        <f>Financials!DE38/Financials!DE5</f>
        <v>#DIV/0!</v>
      </c>
      <c r="DF14" s="287" t="e">
        <f>Financials!DF38/Financials!DF5</f>
        <v>#DIV/0!</v>
      </c>
      <c r="DG14" s="287" t="e">
        <f>Financials!DG38/Financials!DG5</f>
        <v>#DIV/0!</v>
      </c>
      <c r="DH14" s="287" t="e">
        <f>Financials!DH38/Financials!DH5</f>
        <v>#DIV/0!</v>
      </c>
      <c r="DI14" s="287" t="e">
        <f>Financials!DI38/Financials!DI5</f>
        <v>#DIV/0!</v>
      </c>
      <c r="DJ14" s="287" t="e">
        <f>Financials!DJ38/Financials!DJ5</f>
        <v>#DIV/0!</v>
      </c>
      <c r="DK14" s="287" t="e">
        <f>Financials!DK38/Financials!DK5</f>
        <v>#DIV/0!</v>
      </c>
      <c r="DL14" s="287" t="e">
        <f>Financials!DL38/Financials!DL5</f>
        <v>#DIV/0!</v>
      </c>
      <c r="DM14" s="287" t="e">
        <f>Financials!DM38/Financials!DM5</f>
        <v>#DIV/0!</v>
      </c>
      <c r="DN14" s="287" t="e">
        <f>Financials!DN38/Financials!DN5</f>
        <v>#DIV/0!</v>
      </c>
      <c r="DO14" s="287" t="e">
        <f>Financials!DO38/Financials!DO5</f>
        <v>#DIV/0!</v>
      </c>
      <c r="DP14" s="287" t="e">
        <f>Financials!DP38/Financials!DP5</f>
        <v>#DIV/0!</v>
      </c>
      <c r="DQ14" s="287" t="e">
        <f>Financials!DQ38/Financials!DQ5</f>
        <v>#DIV/0!</v>
      </c>
      <c r="DR14" s="287" t="e">
        <f>Financials!DR38/Financials!DR5</f>
        <v>#DIV/0!</v>
      </c>
      <c r="DS14" s="287" t="e">
        <f>Financials!DS38/Financials!DS5</f>
        <v>#DIV/0!</v>
      </c>
      <c r="DT14" s="287" t="e">
        <f>Financials!DT38/Financials!DT5</f>
        <v>#DIV/0!</v>
      </c>
      <c r="DU14" s="287" t="e">
        <f>Financials!DU38/Financials!DU5</f>
        <v>#DIV/0!</v>
      </c>
      <c r="DV14" s="287" t="e">
        <f>Financials!DV38/Financials!DV5</f>
        <v>#DIV/0!</v>
      </c>
    </row>
    <row r="15" spans="1:126" s="153" customFormat="1">
      <c r="A15" s="284" t="s">
        <v>168</v>
      </c>
      <c r="B15" s="218" t="s">
        <v>169</v>
      </c>
      <c r="C15" s="159">
        <f>Financials!C39/Financials!C5</f>
        <v>1.5412034004208921E-2</v>
      </c>
      <c r="D15" s="159">
        <f>Financials!D39/Financials!D5</f>
        <v>1.4411559521196625E-2</v>
      </c>
      <c r="E15" s="159">
        <f>Financials!E39/Financials!E5</f>
        <v>1.2773231694568114E-2</v>
      </c>
      <c r="F15" s="159">
        <f>Financials!F39/Financials!F5</f>
        <v>1.5806849404511311E-2</v>
      </c>
      <c r="G15" s="159">
        <f>Financials!G39/Financials!G5</f>
        <v>1.7636610233697267E-2</v>
      </c>
      <c r="H15" s="159">
        <f>Financials!H39/Financials!H5</f>
        <v>2.115199286595687E-2</v>
      </c>
      <c r="I15" s="159">
        <f>Financials!I39/Financials!I5</f>
        <v>5.8034516570823924E-2</v>
      </c>
      <c r="J15" s="159">
        <f>Financials!J39/Financials!J5</f>
        <v>5.2644116303534556E-2</v>
      </c>
      <c r="K15" s="159">
        <f>Financials!K39/Financials!K5</f>
        <v>5.8125637853650138E-2</v>
      </c>
      <c r="L15" s="159">
        <f>Financials!L39/Financials!L5</f>
        <v>6.1869388433583361E-2</v>
      </c>
      <c r="M15" s="159">
        <f>Financials!M39/Financials!M5</f>
        <v>6.5952500920556795E-2</v>
      </c>
      <c r="N15" s="159">
        <f>Financials!N39/Financials!N5</f>
        <v>6.8730218151530201E-2</v>
      </c>
      <c r="O15" s="159">
        <f>Financials!O39/Financials!O5</f>
        <v>7.3478672091308775E-2</v>
      </c>
      <c r="P15" s="159">
        <f>Financials!P39/Financials!P5</f>
        <v>7.8036856185840067E-2</v>
      </c>
      <c r="Q15" s="159">
        <f>Financials!Q39/Financials!Q5</f>
        <v>8.1037326300341841E-2</v>
      </c>
      <c r="R15" s="159">
        <f>Financials!R39/Financials!R5</f>
        <v>8.6161626477764791E-2</v>
      </c>
      <c r="S15" s="159">
        <f>Financials!S39/Financials!S5</f>
        <v>8.5374540038075444E-2</v>
      </c>
      <c r="T15" s="159">
        <f>Financials!T39/Financials!T5</f>
        <v>8.8050134489198434E-2</v>
      </c>
      <c r="U15" s="159">
        <f>Financials!U39/Financials!U5</f>
        <v>8.7848837593935927E-2</v>
      </c>
      <c r="V15" s="159">
        <f>Financials!V39/Financials!V5</f>
        <v>9.2719661882406934E-2</v>
      </c>
      <c r="W15" s="159">
        <f>Financials!W39/Financials!W5</f>
        <v>9.4045913176182425E-2</v>
      </c>
      <c r="X15" s="159">
        <f>Financials!X39/Financials!X5</f>
        <v>1.5583296893731054E-2</v>
      </c>
      <c r="Y15" s="159">
        <f>Financials!Y39/Financials!Y5</f>
        <v>1.5518100387180525E-2</v>
      </c>
      <c r="Z15" s="159">
        <f>Financials!Z39/Financials!Z5</f>
        <v>1.5276163077744894E-2</v>
      </c>
      <c r="AA15" s="159">
        <f>Financials!AA39/Financials!AA5</f>
        <v>1.5103637231027428E-2</v>
      </c>
      <c r="AB15" s="159">
        <f>Financials!AB39/Financials!AB5</f>
        <v>1.5198304235567834E-2</v>
      </c>
      <c r="AC15" s="159">
        <f>Financials!AC39/Financials!AC5</f>
        <v>1.4613164072549131E-2</v>
      </c>
      <c r="AD15" s="159">
        <f>Financials!AD39/Financials!AD5</f>
        <v>1.4736388815818161E-2</v>
      </c>
      <c r="AE15" s="159">
        <f>Financials!AE39/Financials!AE5</f>
        <v>1.4520772552952586E-2</v>
      </c>
      <c r="AF15" s="159">
        <f>Financials!AF39/Financials!AF5</f>
        <v>1.4261521384528957E-2</v>
      </c>
      <c r="AG15" s="159">
        <f>Financials!AG39/Financials!AG5</f>
        <v>1.3926620273645374E-2</v>
      </c>
      <c r="AH15" s="287">
        <f>Financials!AH39/Financials!AH5</f>
        <v>1.0457188226048927E-2</v>
      </c>
      <c r="AI15" s="287">
        <f>Financials!AI39/Financials!AI5</f>
        <v>1.4562771571174134E-2</v>
      </c>
      <c r="AJ15" s="287">
        <f>Financials!AJ39/Financials!AJ5</f>
        <v>1.0461506280991338E-2</v>
      </c>
      <c r="AK15" s="287">
        <f>Financials!AK39/Financials!AK5</f>
        <v>1.0493361676753252E-2</v>
      </c>
      <c r="AL15" s="287">
        <f>Financials!AL39/Financials!AL5</f>
        <v>1.0566474524636025E-2</v>
      </c>
      <c r="AM15" s="287">
        <f>Financials!AM39/Financials!AM5</f>
        <v>1.1632550806343409E-2</v>
      </c>
      <c r="AN15" s="287">
        <f>Financials!AN39/Financials!AN5</f>
        <v>1.1536214865635334E-2</v>
      </c>
      <c r="AO15" s="287">
        <f>Financials!AO39/Financials!AO5</f>
        <v>1.1990509992921996E-2</v>
      </c>
      <c r="AP15" s="287">
        <f>Financials!AP39/Financials!AP5</f>
        <v>1.2168505669189981E-2</v>
      </c>
      <c r="AQ15" s="287">
        <f>Financials!AQ39/Financials!AQ5</f>
        <v>1.2195512273428327E-2</v>
      </c>
      <c r="AR15" s="287">
        <f>Financials!AR39/Financials!AR5</f>
        <v>1.2054742145275851E-2</v>
      </c>
      <c r="AS15" s="287">
        <f>Financials!AS39/Financials!AS5</f>
        <v>1.1948784165791858E-2</v>
      </c>
      <c r="AT15" s="287">
        <f>Financials!AT39/Financials!AT5</f>
        <v>1.2308776140481077E-2</v>
      </c>
      <c r="AU15" s="287">
        <f>Financials!AU39/Financials!AU5</f>
        <v>9.7597361359154661E-3</v>
      </c>
      <c r="AV15" s="287">
        <f>Financials!AV39/Financials!AV5</f>
        <v>1.2366642438160037E-2</v>
      </c>
      <c r="AW15" s="287">
        <f>Financials!AW39/Financials!AW5</f>
        <v>8.5232784043774695E-3</v>
      </c>
      <c r="AX15" s="287">
        <f>Financials!AX39/Financials!AX5</f>
        <v>8.7313836677717291E-3</v>
      </c>
      <c r="AY15" s="287">
        <f>Financials!AY39/Financials!AY5</f>
        <v>8.9362771320415941E-3</v>
      </c>
      <c r="AZ15" s="287">
        <f>Financials!AZ39/Financials!AZ5</f>
        <v>9.8681769229409244E-3</v>
      </c>
      <c r="BA15" s="287">
        <f>Financials!BA39/Financials!BA5</f>
        <v>9.913302192493546E-3</v>
      </c>
      <c r="BB15" s="287">
        <f>Financials!BB39/Financials!BB5</f>
        <v>1.150933495352461E-2</v>
      </c>
      <c r="BC15" s="287">
        <f>Financials!BC39/Financials!BC5</f>
        <v>1.152199551210166E-2</v>
      </c>
      <c r="BD15" s="287">
        <f>Financials!BD39/Financials!BD5</f>
        <v>1.1463913134873407E-2</v>
      </c>
      <c r="BE15" s="287">
        <f>Financials!BE39/Financials!BE5</f>
        <v>1.160176363040802E-2</v>
      </c>
      <c r="BF15" s="287">
        <f>Financials!BF39/Financials!BF5</f>
        <v>1.1629431035545947E-2</v>
      </c>
      <c r="BG15" s="287">
        <f>Financials!BG39/Financials!BG5</f>
        <v>1.1627114242965818E-2</v>
      </c>
      <c r="BH15" s="287">
        <f>Financials!BH39/Financials!BH5</f>
        <v>8.0010169708949631E-3</v>
      </c>
      <c r="BI15" s="287">
        <f>Financials!BI39/Financials!BI5</f>
        <v>1.1936974407284223E-2</v>
      </c>
      <c r="BJ15" s="287">
        <f>Financials!BJ39/Financials!BJ5</f>
        <v>8.4697256266679719E-3</v>
      </c>
      <c r="BK15" s="287">
        <f>Financials!BK39/Financials!BK5</f>
        <v>8.99247552141446E-3</v>
      </c>
      <c r="BL15" s="287">
        <f>Financials!BL39/Financials!BL5</f>
        <v>9.0064199708203233E-3</v>
      </c>
      <c r="BM15" s="287">
        <f>Financials!BM39/Financials!BM5</f>
        <v>9.1852243987879199E-3</v>
      </c>
      <c r="BN15" s="287">
        <f>Financials!BN39/Financials!BN5</f>
        <v>9.1213924212728923E-3</v>
      </c>
      <c r="BO15" s="287">
        <f>Financials!BO39/Financials!BO5</f>
        <v>8.8311940950415065E-3</v>
      </c>
      <c r="BP15" s="287">
        <f>Financials!BP39/Financials!BP5</f>
        <v>8.9829028519544749E-3</v>
      </c>
      <c r="BQ15" s="287">
        <f>Financials!BQ39/Financials!BQ5</f>
        <v>9.2244407165142407E-3</v>
      </c>
      <c r="BR15" s="287">
        <f>Financials!BR39/Financials!BR5</f>
        <v>9.0831391098897263E-3</v>
      </c>
      <c r="BS15" s="287">
        <f>Financials!BS39/Financials!BS5</f>
        <v>8.9553615127742747E-3</v>
      </c>
      <c r="BT15" s="287">
        <f>Financials!BT39/Financials!BT5</f>
        <v>8.8851163240835519E-3</v>
      </c>
      <c r="BU15" s="287">
        <f>Financials!BU39/Financials!BU5</f>
        <v>6.7847920849995469E-3</v>
      </c>
      <c r="BV15" s="287">
        <f>Financials!BV39/Financials!BV5</f>
        <v>7.1515729611784052E-3</v>
      </c>
      <c r="BW15" s="287">
        <f>Financials!BW39/Financials!BW5</f>
        <v>7.1452678881208393E-3</v>
      </c>
      <c r="BX15" s="287">
        <f>Financials!BX39/Financials!BX5</f>
        <v>7.2177755417116513E-3</v>
      </c>
      <c r="BY15" s="287">
        <f>Financials!BY39/Financials!BY5</f>
        <v>7.2743891940313353E-3</v>
      </c>
      <c r="BZ15" s="287">
        <f>Financials!BZ39/Financials!BZ5</f>
        <v>8.3699393770383778E-3</v>
      </c>
      <c r="CA15" s="287">
        <f>Financials!CA39/Financials!CA5</f>
        <v>8.4573799121662411E-3</v>
      </c>
      <c r="CB15" s="287">
        <f>Financials!CB39/Financials!CB5</f>
        <v>8.6098734892414135E-3</v>
      </c>
      <c r="CC15" s="287">
        <f>Financials!CC39/Financials!CC5</f>
        <v>8.7150880460378152E-3</v>
      </c>
      <c r="CD15" s="287">
        <f>Financials!CD39/Financials!CD5</f>
        <v>9.0999142280265115E-3</v>
      </c>
      <c r="CE15" s="287">
        <f>Financials!CE39/Financials!CE5</f>
        <v>9.3738725100444217E-3</v>
      </c>
      <c r="CF15" s="287">
        <f>Financials!CF39/Financials!CF5</f>
        <v>9.557863349884569E-3</v>
      </c>
      <c r="CG15" s="287">
        <f>Financials!CG39/Financials!CG5</f>
        <v>9.4331513361996296E-3</v>
      </c>
      <c r="CH15" s="287">
        <f>Financials!CH39/Financials!CH5</f>
        <v>7.6696299739384532E-3</v>
      </c>
      <c r="CI15" s="287">
        <f>Financials!CI39/Financials!CI5</f>
        <v>8.1027054489447078E-3</v>
      </c>
      <c r="CJ15" s="287">
        <f>Financials!CJ39/Financials!CJ5</f>
        <v>8.7102179632453473E-3</v>
      </c>
      <c r="CK15" s="287">
        <f>Financials!CK39/Financials!CK5</f>
        <v>8.7694250205669969E-3</v>
      </c>
      <c r="CL15" s="287">
        <f>Financials!CL39/Financials!CL5</f>
        <v>8.8383753448503799E-3</v>
      </c>
      <c r="CM15" s="287">
        <f>Financials!CM39/Financials!CM5</f>
        <v>8.7651427018329963E-3</v>
      </c>
      <c r="CN15" s="287">
        <f>Financials!CN39/Financials!CN5</f>
        <v>8.882245212957357E-3</v>
      </c>
      <c r="CO15" s="287">
        <f>Financials!CO39/Financials!CO5</f>
        <v>8.725939668663401E-3</v>
      </c>
      <c r="CP15" s="287">
        <f>Financials!CP39/Financials!CP5</f>
        <v>8.6234062354787946E-3</v>
      </c>
      <c r="CQ15" s="287">
        <f>Financials!CQ39/Financials!CQ5</f>
        <v>8.7049821647821914E-3</v>
      </c>
      <c r="CR15" s="287" t="e">
        <f>Financials!CR39/Financials!CR5</f>
        <v>#DIV/0!</v>
      </c>
      <c r="CS15" s="287" t="e">
        <f>Financials!CS39/Financials!CS5</f>
        <v>#DIV/0!</v>
      </c>
      <c r="CT15" s="287" t="e">
        <f>Financials!CT39/Financials!CT5</f>
        <v>#DIV/0!</v>
      </c>
      <c r="CU15" s="287" t="e">
        <f>Financials!CU39/Financials!CU5</f>
        <v>#DIV/0!</v>
      </c>
      <c r="CV15" s="287" t="e">
        <f>Financials!CV39/Financials!CV5</f>
        <v>#DIV/0!</v>
      </c>
      <c r="CW15" s="287" t="e">
        <f>Financials!CW39/Financials!CW5</f>
        <v>#DIV/0!</v>
      </c>
      <c r="CX15" s="287" t="e">
        <f>Financials!CX39/Financials!CX5</f>
        <v>#DIV/0!</v>
      </c>
      <c r="CY15" s="287" t="e">
        <f>Financials!CY39/Financials!CY5</f>
        <v>#DIV/0!</v>
      </c>
      <c r="CZ15" s="287" t="e">
        <f>Financials!CZ39/Financials!CZ5</f>
        <v>#DIV/0!</v>
      </c>
      <c r="DA15" s="287" t="e">
        <f>Financials!DA39/Financials!DA5</f>
        <v>#DIV/0!</v>
      </c>
      <c r="DB15" s="287" t="e">
        <f>Financials!DB39/Financials!DB5</f>
        <v>#DIV/0!</v>
      </c>
      <c r="DC15" s="287" t="e">
        <f>Financials!DC39/Financials!DC5</f>
        <v>#DIV/0!</v>
      </c>
      <c r="DD15" s="287" t="e">
        <f>Financials!DD39/Financials!DD5</f>
        <v>#DIV/0!</v>
      </c>
      <c r="DE15" s="287" t="e">
        <f>Financials!DE39/Financials!DE5</f>
        <v>#DIV/0!</v>
      </c>
      <c r="DF15" s="287" t="e">
        <f>Financials!DF39/Financials!DF5</f>
        <v>#DIV/0!</v>
      </c>
      <c r="DG15" s="287" t="e">
        <f>Financials!DG39/Financials!DG5</f>
        <v>#DIV/0!</v>
      </c>
      <c r="DH15" s="287" t="e">
        <f>Financials!DH39/Financials!DH5</f>
        <v>#DIV/0!</v>
      </c>
      <c r="DI15" s="287" t="e">
        <f>Financials!DI39/Financials!DI5</f>
        <v>#DIV/0!</v>
      </c>
      <c r="DJ15" s="287" t="e">
        <f>Financials!DJ39/Financials!DJ5</f>
        <v>#DIV/0!</v>
      </c>
      <c r="DK15" s="287" t="e">
        <f>Financials!DK39/Financials!DK5</f>
        <v>#DIV/0!</v>
      </c>
      <c r="DL15" s="287" t="e">
        <f>Financials!DL39/Financials!DL5</f>
        <v>#DIV/0!</v>
      </c>
      <c r="DM15" s="287" t="e">
        <f>Financials!DM39/Financials!DM5</f>
        <v>#DIV/0!</v>
      </c>
      <c r="DN15" s="287" t="e">
        <f>Financials!DN39/Financials!DN5</f>
        <v>#DIV/0!</v>
      </c>
      <c r="DO15" s="287" t="e">
        <f>Financials!DO39/Financials!DO5</f>
        <v>#DIV/0!</v>
      </c>
      <c r="DP15" s="287" t="e">
        <f>Financials!DP39/Financials!DP5</f>
        <v>#DIV/0!</v>
      </c>
      <c r="DQ15" s="287" t="e">
        <f>Financials!DQ39/Financials!DQ5</f>
        <v>#DIV/0!</v>
      </c>
      <c r="DR15" s="287" t="e">
        <f>Financials!DR39/Financials!DR5</f>
        <v>#DIV/0!</v>
      </c>
      <c r="DS15" s="287" t="e">
        <f>Financials!DS39/Financials!DS5</f>
        <v>#DIV/0!</v>
      </c>
      <c r="DT15" s="287" t="e">
        <f>Financials!DT39/Financials!DT5</f>
        <v>#DIV/0!</v>
      </c>
      <c r="DU15" s="287" t="e">
        <f>Financials!DU39/Financials!DU5</f>
        <v>#DIV/0!</v>
      </c>
      <c r="DV15" s="287" t="e">
        <f>Financials!DV39/Financials!DV5</f>
        <v>#DIV/0!</v>
      </c>
    </row>
    <row r="16" spans="1:126" s="161" customFormat="1">
      <c r="A16" s="290" t="s">
        <v>170</v>
      </c>
      <c r="B16" s="220" t="s">
        <v>171</v>
      </c>
      <c r="C16" s="221">
        <f>Financials!C34/Financials!C32</f>
        <v>0</v>
      </c>
      <c r="D16" s="221">
        <f>Financials!D34/Financials!D32</f>
        <v>0</v>
      </c>
      <c r="E16" s="221">
        <f>Financials!E34/Financials!E32</f>
        <v>0</v>
      </c>
      <c r="F16" s="221">
        <f>Financials!F34/Financials!F32</f>
        <v>0</v>
      </c>
      <c r="G16" s="221">
        <f>Financials!G34/Financials!G32</f>
        <v>0</v>
      </c>
      <c r="H16" s="221">
        <f>Financials!H34/Financials!H32</f>
        <v>0</v>
      </c>
      <c r="I16" s="221">
        <f>Financials!I34/Financials!I32</f>
        <v>0</v>
      </c>
      <c r="J16" s="221">
        <f>Financials!J34/Financials!J32</f>
        <v>0</v>
      </c>
      <c r="K16" s="221">
        <f>Financials!K34/Financials!K32</f>
        <v>0</v>
      </c>
      <c r="L16" s="221">
        <f>Financials!L34/Financials!L32</f>
        <v>0</v>
      </c>
      <c r="M16" s="221">
        <f>Financials!M34/Financials!M32</f>
        <v>0</v>
      </c>
      <c r="N16" s="221">
        <f>Financials!N34/Financials!N32</f>
        <v>0</v>
      </c>
      <c r="O16" s="221">
        <f>Financials!O34/Financials!O32</f>
        <v>0</v>
      </c>
      <c r="P16" s="221">
        <f>Financials!P34/Financials!P32</f>
        <v>0</v>
      </c>
      <c r="Q16" s="221">
        <f>Financials!Q34/Financials!Q32</f>
        <v>2.0592365760057555E-10</v>
      </c>
      <c r="R16" s="221">
        <f>Financials!R34/Financials!R32</f>
        <v>4.018696371099079E-10</v>
      </c>
      <c r="S16" s="221">
        <f>Financials!S34/Financials!S32</f>
        <v>5.8077736654278333E-10</v>
      </c>
      <c r="T16" s="221">
        <f>Financials!T34/Financials!T32</f>
        <v>5.6768689733614918E-10</v>
      </c>
      <c r="U16" s="221">
        <f>Financials!U34/Financials!U32</f>
        <v>5.6768689734796567E-10</v>
      </c>
      <c r="V16" s="221">
        <f>Financials!V34/Financials!V32</f>
        <v>2.8256670182155425E-10</v>
      </c>
      <c r="W16" s="221">
        <f>Financials!W34/Financials!W32</f>
        <v>5.6745405505251305E-10</v>
      </c>
      <c r="X16" s="221">
        <f>Financials!X34/Financials!X32</f>
        <v>5.6803443984117076E-10</v>
      </c>
      <c r="Y16" s="221">
        <f>Financials!Y34/Financials!Y32</f>
        <v>5.5696812629013128E-10</v>
      </c>
      <c r="Z16" s="221">
        <f>Financials!Z34/Financials!Z32</f>
        <v>5.5628868534408106E-10</v>
      </c>
      <c r="AA16" s="221">
        <f>Financials!AA34/Financials!AA32</f>
        <v>5.520616208347995E-10</v>
      </c>
      <c r="AB16" s="221">
        <f>Financials!AB34/Financials!AB32</f>
        <v>5.4708848320200216E-10</v>
      </c>
      <c r="AC16" s="221">
        <f>Financials!AC34/Financials!AC32</f>
        <v>5.2550278012412339E-10</v>
      </c>
      <c r="AD16" s="221">
        <f>Financials!AD34/Financials!AD32</f>
        <v>5.2714016360666783E-10</v>
      </c>
      <c r="AE16" s="221">
        <f>Financials!AE34/Financials!AE32</f>
        <v>5.2690391977036401E-10</v>
      </c>
      <c r="AF16" s="221">
        <f>Financials!AF34/Financials!AF32</f>
        <v>5.1900376478807104E-10</v>
      </c>
      <c r="AG16" s="221">
        <f>Financials!AG34/Financials!AG32</f>
        <v>5.1347161105342012E-10</v>
      </c>
      <c r="AH16" s="291">
        <f>Financials!AH34/Financials!AH32</f>
        <v>5.1347161105342012E-10</v>
      </c>
      <c r="AI16" s="291">
        <f>Financials!AI34/Financials!AI32</f>
        <v>5.1446649619587681E-10</v>
      </c>
      <c r="AJ16" s="291">
        <f>Financials!AJ34/Financials!AJ32</f>
        <v>5.2328798780460423E-10</v>
      </c>
      <c r="AK16" s="291">
        <f>Financials!AK34/Financials!AK32</f>
        <v>5.2416821460866268E-10</v>
      </c>
      <c r="AL16" s="291">
        <f>Financials!AL34/Financials!AL32</f>
        <v>5.1958381445318576E-10</v>
      </c>
      <c r="AM16" s="291">
        <f>Financials!AM34/Financials!AM32</f>
        <v>5.2096494313407351E-10</v>
      </c>
      <c r="AN16" s="291">
        <f>Financials!AN34/Financials!AN32</f>
        <v>5.1949074396600773E-10</v>
      </c>
      <c r="AO16" s="291">
        <f>Financials!AO34/Financials!AO32</f>
        <v>5.1977260165194199E-10</v>
      </c>
      <c r="AP16" s="291">
        <f>Financials!AP34/Financials!AP32</f>
        <v>5.0545214925663471E-10</v>
      </c>
      <c r="AQ16" s="291">
        <f>Financials!AQ34/Financials!AQ32</f>
        <v>5.0319705924513308E-10</v>
      </c>
      <c r="AR16" s="291">
        <f>Financials!AR34/Financials!AR32</f>
        <v>5.0510142675815676E-10</v>
      </c>
      <c r="AS16" s="291">
        <f>Financials!AS34/Financials!AS32</f>
        <v>4.9221566707531138E-10</v>
      </c>
      <c r="AT16" s="291">
        <f>Financials!AT34/Financials!AT32</f>
        <v>4.7604448350451222E-10</v>
      </c>
      <c r="AU16" s="291">
        <f>Financials!AU34/Financials!AU32</f>
        <v>4.8083212838912279E-10</v>
      </c>
      <c r="AV16" s="291">
        <f>Financials!AV34/Financials!AV32</f>
        <v>4.7780846221804179E-10</v>
      </c>
      <c r="AW16" s="291">
        <f>Financials!AW34/Financials!AW32</f>
        <v>4.8876324863719851E-10</v>
      </c>
      <c r="AX16" s="291">
        <f>Financials!AX34/Financials!AX32</f>
        <v>4.920591745284843E-10</v>
      </c>
      <c r="AY16" s="291">
        <f>Financials!AY34/Financials!AY32</f>
        <v>4.9880251592631894E-10</v>
      </c>
      <c r="AZ16" s="291">
        <f>Financials!AZ34/Financials!AZ32</f>
        <v>5.0416578763548001E-10</v>
      </c>
      <c r="BA16" s="291">
        <f>Financials!BA34/Financials!BA32</f>
        <v>5.0044548928306905E-10</v>
      </c>
      <c r="BB16" s="291">
        <f>Financials!BB34/Financials!BB32</f>
        <v>4.9621359122933468E-10</v>
      </c>
      <c r="BC16" s="291">
        <f>Financials!BC34/Financials!BC32</f>
        <v>4.7630817096649251E-10</v>
      </c>
      <c r="BD16" s="291">
        <f>Financials!BD34/Financials!BD32</f>
        <v>4.6768512427382493E-10</v>
      </c>
      <c r="BE16" s="291">
        <f>Financials!BE34/Financials!BE32</f>
        <v>4.6169879964554163E-10</v>
      </c>
      <c r="BF16" s="291">
        <f>Financials!BF34/Financials!BF32</f>
        <v>4.5840691505774096E-10</v>
      </c>
      <c r="BG16" s="291">
        <f>Financials!BG34/Financials!BG32</f>
        <v>4.517303441804557E-10</v>
      </c>
      <c r="BH16" s="291">
        <f>Financials!BH34/Financials!BH32</f>
        <v>4.5588549216644081E-10</v>
      </c>
      <c r="BI16" s="291">
        <f>Financials!BI34/Financials!BI32</f>
        <v>4.6139142561423727E-10</v>
      </c>
      <c r="BJ16" s="291">
        <f>Financials!BJ34/Financials!BJ32</f>
        <v>4.6597508527784273E-10</v>
      </c>
      <c r="BK16" s="291">
        <f>Financials!BK34/Financials!BK32</f>
        <v>4.6400019905912921E-10</v>
      </c>
      <c r="BL16" s="291">
        <f>Financials!BL34/Financials!BL32</f>
        <v>4.5683451022140652E-10</v>
      </c>
      <c r="BM16" s="291">
        <f>Financials!BM34/Financials!BM32</f>
        <v>4.5439800268756418E-10</v>
      </c>
      <c r="BN16" s="291">
        <f>Financials!BN34/Financials!BN32</f>
        <v>4.4963370436678889E-10</v>
      </c>
      <c r="BO16" s="291">
        <f>Financials!BO34/Financials!BO32</f>
        <v>4.4555027874227724E-10</v>
      </c>
      <c r="BP16" s="291">
        <f>Financials!BP34/Financials!BP32</f>
        <v>4.4439101397044471E-10</v>
      </c>
      <c r="BQ16" s="291">
        <f>Financials!BQ34/Financials!BQ32</f>
        <v>4.4084792308451253E-10</v>
      </c>
      <c r="BR16" s="291">
        <f>Financials!BR34/Financials!BR32</f>
        <v>4.2834230282513333E-10</v>
      </c>
      <c r="BS16" s="291">
        <f>Financials!BS34/Financials!BS32</f>
        <v>4.2047958165444707E-10</v>
      </c>
      <c r="BT16" s="291">
        <f>Financials!BT34/Financials!BT32</f>
        <v>4.0842366407998502E-10</v>
      </c>
      <c r="BU16" s="291">
        <f>Financials!BU34/Financials!BU32</f>
        <v>4.0842366406497211E-10</v>
      </c>
      <c r="BV16" s="291">
        <f>Financials!BV34/Financials!BV32</f>
        <v>4.126168559231691E-10</v>
      </c>
      <c r="BW16" s="291">
        <f>Financials!BW34/Financials!BW32</f>
        <v>4.1051252785822923E-10</v>
      </c>
      <c r="BX16" s="291">
        <f>Financials!BX34/Financials!BX32</f>
        <v>3.9619230766225235E-10</v>
      </c>
      <c r="BY16" s="291">
        <f>Financials!BY34/Financials!BY32</f>
        <v>3.897018787326281E-10</v>
      </c>
      <c r="BZ16" s="291">
        <f>Financials!BZ34/Financials!BZ32</f>
        <v>3.8496662601457623E-10</v>
      </c>
      <c r="CA16" s="291">
        <f>Financials!CA34/Financials!CA32</f>
        <v>3.8007865314733417E-10</v>
      </c>
      <c r="CB16" s="291">
        <f>Financials!CB34/Financials!CB32</f>
        <v>3.7465857409476434E-10</v>
      </c>
      <c r="CC16" s="291">
        <f>Financials!CC34/Financials!CC32</f>
        <v>3.694120934218388E-10</v>
      </c>
      <c r="CD16" s="291">
        <f>Financials!CD34/Financials!CD32</f>
        <v>3.6324420374674568E-10</v>
      </c>
      <c r="CE16" s="291">
        <f>Financials!CE34/Financials!CE32</f>
        <v>3.5872036308314154E-10</v>
      </c>
      <c r="CF16" s="291">
        <f>Financials!CF34/Financials!CF32</f>
        <v>3.5486538398759158E-10</v>
      </c>
      <c r="CG16" s="291">
        <f>Financials!CG34/Financials!CG32</f>
        <v>3.459557391920941E-10</v>
      </c>
      <c r="CH16" s="291">
        <f>Financials!CH34/Financials!CH32</f>
        <v>3.4550223141706338E-10</v>
      </c>
      <c r="CI16" s="291">
        <f>Financials!CI34/Financials!CI32</f>
        <v>3.4554945342013442E-10</v>
      </c>
      <c r="CJ16" s="291">
        <f>Financials!CJ34/Financials!CJ32</f>
        <v>3.4523721559374026E-10</v>
      </c>
      <c r="CK16" s="291">
        <f>Financials!CK34/Financials!CK32</f>
        <v>3.4220417388701577E-10</v>
      </c>
      <c r="CL16" s="291">
        <f>Financials!CL34/Financials!CL32</f>
        <v>3.3763440661713373E-10</v>
      </c>
      <c r="CM16" s="291">
        <f>Financials!CM34/Financials!CM32</f>
        <v>3.3626249910281624E-10</v>
      </c>
      <c r="CN16" s="291">
        <f>Financials!CN34/Financials!CN32</f>
        <v>3.3180106672120897E-10</v>
      </c>
      <c r="CO16" s="291">
        <f>Financials!CO34/Financials!CO32</f>
        <v>3.2919932500553239E-10</v>
      </c>
      <c r="CP16" s="291">
        <f>Financials!CP34/Financials!CP32</f>
        <v>3.2258278921889852E-10</v>
      </c>
      <c r="CQ16" s="291">
        <f>Financials!CQ34/Financials!CQ32</f>
        <v>3.1786500688211857E-10</v>
      </c>
      <c r="CR16" s="291" t="e">
        <f>Financials!CR34/Financials!CR32</f>
        <v>#DIV/0!</v>
      </c>
      <c r="CS16" s="291" t="e">
        <f>Financials!CS34/Financials!CS32</f>
        <v>#DIV/0!</v>
      </c>
      <c r="CT16" s="291" t="e">
        <f>Financials!CT34/Financials!CT32</f>
        <v>#DIV/0!</v>
      </c>
      <c r="CU16" s="291" t="e">
        <f>Financials!CU34/Financials!CU32</f>
        <v>#DIV/0!</v>
      </c>
      <c r="CV16" s="291" t="e">
        <f>Financials!CV34/Financials!CV32</f>
        <v>#DIV/0!</v>
      </c>
      <c r="CW16" s="291" t="e">
        <f>Financials!CW34/Financials!CW32</f>
        <v>#DIV/0!</v>
      </c>
      <c r="CX16" s="291" t="e">
        <f>Financials!CX34/Financials!CX32</f>
        <v>#DIV/0!</v>
      </c>
      <c r="CY16" s="291" t="e">
        <f>Financials!CY34/Financials!CY32</f>
        <v>#DIV/0!</v>
      </c>
      <c r="CZ16" s="291" t="e">
        <f>Financials!CZ34/Financials!CZ32</f>
        <v>#DIV/0!</v>
      </c>
      <c r="DA16" s="291" t="e">
        <f>Financials!DA34/Financials!DA32</f>
        <v>#DIV/0!</v>
      </c>
      <c r="DB16" s="291" t="e">
        <f>Financials!DB34/Financials!DB32</f>
        <v>#DIV/0!</v>
      </c>
      <c r="DC16" s="291" t="e">
        <f>Financials!DC34/Financials!DC32</f>
        <v>#DIV/0!</v>
      </c>
      <c r="DD16" s="291" t="e">
        <f>Financials!DD34/Financials!DD32</f>
        <v>#DIV/0!</v>
      </c>
      <c r="DE16" s="291" t="e">
        <f>Financials!DE34/Financials!DE32</f>
        <v>#DIV/0!</v>
      </c>
      <c r="DF16" s="291" t="e">
        <f>Financials!DF34/Financials!DF32</f>
        <v>#DIV/0!</v>
      </c>
      <c r="DG16" s="291" t="e">
        <f>Financials!DG34/Financials!DG32</f>
        <v>#DIV/0!</v>
      </c>
      <c r="DH16" s="291" t="e">
        <f>Financials!DH34/Financials!DH32</f>
        <v>#DIV/0!</v>
      </c>
      <c r="DI16" s="291" t="e">
        <f>Financials!DI34/Financials!DI32</f>
        <v>#DIV/0!</v>
      </c>
      <c r="DJ16" s="291" t="e">
        <f>Financials!DJ34/Financials!DJ32</f>
        <v>#DIV/0!</v>
      </c>
      <c r="DK16" s="291" t="e">
        <f>Financials!DK34/Financials!DK32</f>
        <v>#DIV/0!</v>
      </c>
      <c r="DL16" s="291" t="e">
        <f>Financials!DL34/Financials!DL32</f>
        <v>#DIV/0!</v>
      </c>
      <c r="DM16" s="291" t="e">
        <f>Financials!DM34/Financials!DM32</f>
        <v>#DIV/0!</v>
      </c>
      <c r="DN16" s="291" t="e">
        <f>Financials!DN34/Financials!DN32</f>
        <v>#DIV/0!</v>
      </c>
      <c r="DO16" s="291" t="e">
        <f>Financials!DO34/Financials!DO32</f>
        <v>#DIV/0!</v>
      </c>
      <c r="DP16" s="291" t="e">
        <f>Financials!DP34/Financials!DP32</f>
        <v>#DIV/0!</v>
      </c>
      <c r="DQ16" s="291" t="e">
        <f>Financials!DQ34/Financials!DQ32</f>
        <v>#DIV/0!</v>
      </c>
      <c r="DR16" s="291" t="e">
        <f>Financials!DR34/Financials!DR32</f>
        <v>#DIV/0!</v>
      </c>
      <c r="DS16" s="291" t="e">
        <f>Financials!DS34/Financials!DS32</f>
        <v>#DIV/0!</v>
      </c>
      <c r="DT16" s="291" t="e">
        <f>Financials!DT34/Financials!DT32</f>
        <v>#DIV/0!</v>
      </c>
      <c r="DU16" s="291" t="e">
        <f>Financials!DU34/Financials!DU32</f>
        <v>#DIV/0!</v>
      </c>
      <c r="DV16" s="291" t="e">
        <f>Financials!DV34/Financials!DV32</f>
        <v>#DIV/0!</v>
      </c>
    </row>
    <row r="17" spans="1:126" s="153" customFormat="1">
      <c r="A17" s="284"/>
      <c r="B17" s="218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287"/>
      <c r="AI17" s="287"/>
      <c r="AJ17" s="287"/>
      <c r="AK17" s="287"/>
      <c r="AL17" s="287"/>
      <c r="AM17" s="287"/>
      <c r="AN17" s="287"/>
      <c r="AO17" s="287"/>
      <c r="AP17" s="287"/>
      <c r="AQ17" s="287"/>
      <c r="AR17" s="287"/>
      <c r="AS17" s="287"/>
      <c r="AT17" s="287"/>
      <c r="AU17" s="287"/>
      <c r="AV17" s="287"/>
      <c r="AW17" s="287"/>
      <c r="AX17" s="287"/>
      <c r="AY17" s="287"/>
      <c r="AZ17" s="287"/>
      <c r="BA17" s="287"/>
      <c r="BB17" s="287"/>
      <c r="BC17" s="287"/>
      <c r="BD17" s="287"/>
      <c r="BE17" s="287"/>
      <c r="BF17" s="287"/>
      <c r="BG17" s="287"/>
      <c r="BH17" s="287"/>
      <c r="BI17" s="287"/>
      <c r="BJ17" s="287"/>
      <c r="BK17" s="287"/>
      <c r="BL17" s="287"/>
      <c r="BM17" s="287"/>
      <c r="BN17" s="287"/>
      <c r="BO17" s="287"/>
      <c r="BP17" s="287"/>
      <c r="BQ17" s="287"/>
      <c r="BR17" s="287"/>
      <c r="BS17" s="287"/>
      <c r="BT17" s="287"/>
      <c r="BU17" s="287"/>
      <c r="BV17" s="287"/>
      <c r="BW17" s="287"/>
      <c r="BX17" s="287"/>
      <c r="BY17" s="287"/>
      <c r="BZ17" s="287"/>
      <c r="CA17" s="287"/>
      <c r="CB17" s="287"/>
      <c r="CC17" s="287"/>
      <c r="CD17" s="287"/>
      <c r="CE17" s="287"/>
      <c r="CF17" s="287"/>
      <c r="CG17" s="287"/>
      <c r="CH17" s="287"/>
      <c r="CI17" s="287"/>
      <c r="CJ17" s="287"/>
      <c r="CK17" s="287"/>
      <c r="CL17" s="287"/>
      <c r="CM17" s="287"/>
      <c r="CN17" s="287"/>
      <c r="CO17" s="287"/>
      <c r="CP17" s="287"/>
      <c r="CQ17" s="287"/>
      <c r="CR17" s="287"/>
      <c r="CS17" s="287"/>
      <c r="CT17" s="287"/>
      <c r="CU17" s="287"/>
      <c r="CV17" s="287"/>
      <c r="CW17" s="287"/>
      <c r="CX17" s="287"/>
      <c r="CY17" s="287"/>
      <c r="CZ17" s="287"/>
      <c r="DA17" s="287"/>
      <c r="DB17" s="287"/>
      <c r="DC17" s="287"/>
      <c r="DD17" s="287"/>
      <c r="DE17" s="287"/>
      <c r="DF17" s="287"/>
      <c r="DG17" s="287"/>
      <c r="DH17" s="287"/>
      <c r="DI17" s="287"/>
      <c r="DJ17" s="287"/>
      <c r="DK17" s="287"/>
      <c r="DL17" s="287"/>
      <c r="DM17" s="287"/>
      <c r="DN17" s="287"/>
      <c r="DO17" s="287"/>
      <c r="DP17" s="287"/>
      <c r="DQ17" s="287"/>
      <c r="DR17" s="287"/>
      <c r="DS17" s="287"/>
      <c r="DT17" s="287"/>
      <c r="DU17" s="287"/>
      <c r="DV17" s="287"/>
    </row>
    <row r="18" spans="1:126" s="153" customFormat="1">
      <c r="A18" s="283" t="s">
        <v>172</v>
      </c>
      <c r="B18" s="218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287"/>
      <c r="BA18" s="287"/>
      <c r="BB18" s="287"/>
      <c r="BC18" s="287"/>
      <c r="BD18" s="287"/>
      <c r="BE18" s="287"/>
      <c r="BF18" s="287"/>
      <c r="BG18" s="287"/>
      <c r="BH18" s="287"/>
      <c r="BI18" s="287"/>
      <c r="BJ18" s="287"/>
      <c r="BK18" s="287"/>
      <c r="BL18" s="287"/>
      <c r="BM18" s="287"/>
      <c r="BN18" s="287"/>
      <c r="BO18" s="287"/>
      <c r="BP18" s="287"/>
      <c r="BQ18" s="287"/>
      <c r="BR18" s="287"/>
      <c r="BS18" s="287"/>
      <c r="BT18" s="287"/>
      <c r="BU18" s="287"/>
      <c r="BV18" s="287"/>
      <c r="BW18" s="287"/>
      <c r="BX18" s="287"/>
      <c r="BY18" s="287"/>
      <c r="BZ18" s="287"/>
      <c r="CA18" s="287"/>
      <c r="CB18" s="287"/>
      <c r="CC18" s="287"/>
      <c r="CD18" s="287"/>
      <c r="CE18" s="287"/>
      <c r="CF18" s="287"/>
      <c r="CG18" s="287"/>
      <c r="CH18" s="287"/>
      <c r="CI18" s="287"/>
      <c r="CJ18" s="287"/>
      <c r="CK18" s="287"/>
      <c r="CL18" s="287"/>
      <c r="CM18" s="287"/>
      <c r="CN18" s="287"/>
      <c r="CO18" s="287"/>
      <c r="CP18" s="287"/>
      <c r="CQ18" s="287"/>
      <c r="CR18" s="287"/>
      <c r="CS18" s="287"/>
      <c r="CT18" s="287"/>
      <c r="CU18" s="287"/>
      <c r="CV18" s="287"/>
      <c r="CW18" s="287"/>
      <c r="CX18" s="287"/>
      <c r="CY18" s="287"/>
      <c r="CZ18" s="287"/>
      <c r="DA18" s="287"/>
      <c r="DB18" s="287"/>
      <c r="DC18" s="287"/>
      <c r="DD18" s="287"/>
      <c r="DE18" s="287"/>
      <c r="DF18" s="287"/>
      <c r="DG18" s="287"/>
      <c r="DH18" s="287"/>
      <c r="DI18" s="287"/>
      <c r="DJ18" s="287"/>
      <c r="DK18" s="287"/>
      <c r="DL18" s="287"/>
      <c r="DM18" s="287"/>
      <c r="DN18" s="287"/>
      <c r="DO18" s="287"/>
      <c r="DP18" s="287"/>
      <c r="DQ18" s="287"/>
      <c r="DR18" s="287"/>
      <c r="DS18" s="287"/>
      <c r="DT18" s="287"/>
      <c r="DU18" s="287"/>
      <c r="DV18" s="287"/>
    </row>
    <row r="19" spans="1:126" s="153" customFormat="1">
      <c r="A19" s="284" t="s">
        <v>173</v>
      </c>
      <c r="B19" s="218" t="s">
        <v>169</v>
      </c>
      <c r="C19" s="162">
        <f>Financials!C26/Financials!C6</f>
        <v>9.1065500624665355E-2</v>
      </c>
      <c r="D19" s="162">
        <f>Financials!D26/Financials!D6</f>
        <v>7.9617519319852226E-2</v>
      </c>
      <c r="E19" s="162">
        <f>Financials!E26/Financials!E6</f>
        <v>0.13313969973642489</v>
      </c>
      <c r="F19" s="162">
        <f>Financials!F26/Financials!F6</f>
        <v>0.10816163347410099</v>
      </c>
      <c r="G19" s="162">
        <f>Financials!G26/Financials!G6</f>
        <v>8.2892052699802529E-2</v>
      </c>
      <c r="H19" s="162">
        <f>Financials!H26/Financials!H6</f>
        <v>0</v>
      </c>
      <c r="I19" s="162">
        <f>Financials!I26/Financials!I6</f>
        <v>6.1671115183832476E-2</v>
      </c>
      <c r="J19" s="162">
        <f>Financials!J26/Financials!J6</f>
        <v>5.0750577035493113E-2</v>
      </c>
      <c r="K19" s="162">
        <f>Financials!K26/Financials!K6</f>
        <v>5.1122657471244531E-2</v>
      </c>
      <c r="L19" s="162">
        <f>Financials!L26/Financials!L6</f>
        <v>5.160504432567925E-2</v>
      </c>
      <c r="M19" s="162">
        <f>Financials!M26/Financials!M6</f>
        <v>5.1613035866072791E-2</v>
      </c>
      <c r="N19" s="162">
        <f>Financials!N26/Financials!N6</f>
        <v>4.9859334077199495E-2</v>
      </c>
      <c r="O19" s="162">
        <f>Financials!O26/Financials!O6</f>
        <v>4.9149663021480827E-2</v>
      </c>
      <c r="P19" s="162">
        <f>Financials!P26/Financials!P6</f>
        <v>4.8346671661155992E-2</v>
      </c>
      <c r="Q19" s="162">
        <f>Financials!Q26/Financials!Q6</f>
        <v>4.8257095807102614E-2</v>
      </c>
      <c r="R19" s="162">
        <f>Financials!R26/Financials!R6</f>
        <v>4.7164513426444669E-2</v>
      </c>
      <c r="S19" s="162">
        <f>Financials!S26/Financials!S6</f>
        <v>4.6197965153028167E-2</v>
      </c>
      <c r="T19" s="162">
        <f>Financials!T26/Financials!T6</f>
        <v>4.5885830087523519E-2</v>
      </c>
      <c r="U19" s="162">
        <f>Financials!U26/Financials!U6</f>
        <v>4.8745900483909636E-2</v>
      </c>
      <c r="V19" s="162">
        <f>Financials!V26/Financials!V6</f>
        <v>4.5508251817851786E-2</v>
      </c>
      <c r="W19" s="162">
        <f>Financials!W26/Financials!W6</f>
        <v>5.1395026697772614E-2</v>
      </c>
      <c r="X19" s="162">
        <f>Financials!X26/Financials!X6</f>
        <v>5.2066425356898295E-2</v>
      </c>
      <c r="Y19" s="162">
        <f>Financials!Y26/Financials!Y6</f>
        <v>5.2881829297358691E-2</v>
      </c>
      <c r="Z19" s="162">
        <f>Financials!Z26/Financials!Z6</f>
        <v>5.206713276257105E-2</v>
      </c>
      <c r="AA19" s="162">
        <f>Financials!AA26/Financials!AA6</f>
        <v>5.1465247514096445E-2</v>
      </c>
      <c r="AB19" s="162">
        <f>Financials!AB26/Financials!AB6</f>
        <v>5.0652954076312359E-2</v>
      </c>
      <c r="AC19" s="162">
        <f>Financials!AC26/Financials!AC6</f>
        <v>5.0184601374312778E-2</v>
      </c>
      <c r="AD19" s="162">
        <f>Financials!AD26/Financials!AD6</f>
        <v>4.4874208645282014E-2</v>
      </c>
      <c r="AE19" s="162">
        <f>Financials!AE26/Financials!AE6</f>
        <v>4.4348666317381165E-2</v>
      </c>
      <c r="AF19" s="162">
        <f>Financials!AF26/Financials!AF6</f>
        <v>4.385173388912867E-2</v>
      </c>
      <c r="AG19" s="162">
        <f>Financials!AG26/Financials!AG6</f>
        <v>4.3409929406888682E-2</v>
      </c>
      <c r="AH19" s="292">
        <f>Financials!AH26/Financials!AH6</f>
        <v>3.7983047976071181E-2</v>
      </c>
      <c r="AI19" s="292">
        <f>Financials!AI26/Financials!AI6</f>
        <v>4.3007772302882157E-2</v>
      </c>
      <c r="AJ19" s="292">
        <f>Financials!AJ26/Financials!AJ6</f>
        <v>3.5797516859361889E-2</v>
      </c>
      <c r="AK19" s="292">
        <f>Financials!AK26/Financials!AK6</f>
        <v>3.5816013898262167E-2</v>
      </c>
      <c r="AL19" s="292">
        <f>Financials!AL26/Financials!AL6</f>
        <v>3.615230892043321E-2</v>
      </c>
      <c r="AM19" s="292">
        <f>Financials!AM26/Financials!AM6</f>
        <v>3.6031371427676019E-2</v>
      </c>
      <c r="AN19" s="292">
        <f>Financials!AN26/Financials!AN6</f>
        <v>3.5712709707352679E-2</v>
      </c>
      <c r="AO19" s="292">
        <f>Financials!AO26/Financials!AO6</f>
        <v>3.4931910268925961E-2</v>
      </c>
      <c r="AP19" s="292">
        <f>Financials!AP26/Financials!AP6</f>
        <v>3.4776308787202642E-2</v>
      </c>
      <c r="AQ19" s="292">
        <f>Financials!AQ26/Financials!AQ6</f>
        <v>3.4567702475509117E-2</v>
      </c>
      <c r="AR19" s="292">
        <f>Financials!AR26/Financials!AR6</f>
        <v>3.3885189605144778E-2</v>
      </c>
      <c r="AS19" s="292">
        <f>Financials!AS26/Financials!AS6</f>
        <v>3.359891034926208E-2</v>
      </c>
      <c r="AT19" s="292">
        <f>Financials!AT26/Financials!AT6</f>
        <v>3.3240573172381237E-2</v>
      </c>
      <c r="AU19" s="292">
        <f>Financials!AU26/Financials!AU6</f>
        <v>3.6389517748937589E-2</v>
      </c>
      <c r="AV19" s="292">
        <f>Financials!AV26/Financials!AV6</f>
        <v>3.3060577303147605E-2</v>
      </c>
      <c r="AW19" s="292">
        <f>Financials!AW26/Financials!AW6</f>
        <v>3.4095315054269194E-2</v>
      </c>
      <c r="AX19" s="292">
        <f>Financials!AX26/Financials!AX6</f>
        <v>3.4650147381486932E-2</v>
      </c>
      <c r="AY19" s="292">
        <f>Financials!AY26/Financials!AY6</f>
        <v>3.4102579456386638E-2</v>
      </c>
      <c r="AZ19" s="292">
        <f>Financials!AZ26/Financials!AZ6</f>
        <v>3.4118359534637141E-2</v>
      </c>
      <c r="BA19" s="292">
        <f>Financials!BA26/Financials!BA6</f>
        <v>3.3953286304554166E-2</v>
      </c>
      <c r="BB19" s="292">
        <f>Financials!BB26/Financials!BB6</f>
        <v>3.3468320679988242E-2</v>
      </c>
      <c r="BC19" s="292">
        <f>Financials!BC26/Financials!BC6</f>
        <v>3.3132110142300282E-2</v>
      </c>
      <c r="BD19" s="292">
        <f>Financials!BD26/Financials!BD6</f>
        <v>3.3063827704264505E-2</v>
      </c>
      <c r="BE19" s="292">
        <f>Financials!BE26/Financials!BE6</f>
        <v>3.2871558631270774E-2</v>
      </c>
      <c r="BF19" s="292">
        <f>Financials!BF26/Financials!BF6</f>
        <v>3.2999763970851526E-2</v>
      </c>
      <c r="BG19" s="292">
        <f>Financials!BG26/Financials!BG6</f>
        <v>3.2753108886558954E-2</v>
      </c>
      <c r="BH19" s="292">
        <f>Financials!BH26/Financials!BH6</f>
        <v>2.5526986308424475E-2</v>
      </c>
      <c r="BI19" s="292">
        <f>Financials!BI26/Financials!BI6</f>
        <v>2.3599917395022551E-2</v>
      </c>
      <c r="BJ19" s="292">
        <f>Financials!BJ26/Financials!BJ6</f>
        <v>2.4155227729285033E-2</v>
      </c>
      <c r="BK19" s="292">
        <f>Financials!BK26/Financials!BK6</f>
        <v>2.4348146040618617E-2</v>
      </c>
      <c r="BL19" s="292">
        <f>Financials!BL26/Financials!BL6</f>
        <v>2.4216700088593418E-2</v>
      </c>
      <c r="BM19" s="292">
        <f>Financials!BM26/Financials!BM6</f>
        <v>2.4310750509530441E-2</v>
      </c>
      <c r="BN19" s="292">
        <f>Financials!BN26/Financials!BN6</f>
        <v>2.4265148305826666E-2</v>
      </c>
      <c r="BO19" s="292">
        <f>Financials!BO26/Financials!BO6</f>
        <v>2.350076971034441E-2</v>
      </c>
      <c r="BP19" s="292">
        <f>Financials!BP26/Financials!BP6</f>
        <v>2.3615243425829161E-2</v>
      </c>
      <c r="BQ19" s="292">
        <f>Financials!BQ26/Financials!BQ6</f>
        <v>2.3339361718385892E-2</v>
      </c>
      <c r="BR19" s="292">
        <f>Financials!BR26/Financials!BR6</f>
        <v>2.3083538262693534E-2</v>
      </c>
      <c r="BS19" s="292">
        <f>Financials!BS26/Financials!BS6</f>
        <v>2.2945895694244697E-2</v>
      </c>
      <c r="BT19" s="292">
        <f>Financials!BT26/Financials!BT6</f>
        <v>2.2831787000074225E-2</v>
      </c>
      <c r="BU19" s="292">
        <f>Financials!BU26/Financials!BU6</f>
        <v>3.6299423606301562E-2</v>
      </c>
      <c r="BV19" s="292">
        <f>Financials!BV26/Financials!BV6</f>
        <v>2.2920070857634783E-2</v>
      </c>
      <c r="BW19" s="292">
        <f>Financials!BW26/Financials!BW6</f>
        <v>2.3147160279251691E-2</v>
      </c>
      <c r="BX19" s="292">
        <f>Financials!BX26/Financials!BX6</f>
        <v>2.3122090222421961E-2</v>
      </c>
      <c r="BY19" s="292">
        <f>Financials!BY26/Financials!BY6</f>
        <v>2.3198162671384737E-2</v>
      </c>
      <c r="BZ19" s="292">
        <f>Financials!BZ26/Financials!BZ6</f>
        <v>2.2860062421808301E-2</v>
      </c>
      <c r="CA19" s="292">
        <f>Financials!CA26/Financials!CA6</f>
        <v>2.2742375648947839E-2</v>
      </c>
      <c r="CB19" s="292">
        <f>Financials!CB26/Financials!CB6</f>
        <v>2.2278720145439239E-2</v>
      </c>
      <c r="CC19" s="292">
        <f>Financials!CC26/Financials!CC6</f>
        <v>2.2233700955791771E-2</v>
      </c>
      <c r="CD19" s="292">
        <f>Financials!CD26/Financials!CD6</f>
        <v>2.2915296919364433E-2</v>
      </c>
      <c r="CE19" s="292">
        <f>Financials!CE26/Financials!CE6</f>
        <v>2.27565100877112E-2</v>
      </c>
      <c r="CF19" s="292">
        <f>Financials!CF26/Financials!CF6</f>
        <v>2.2563636309722516E-2</v>
      </c>
      <c r="CG19" s="292">
        <f>Financials!CG26/Financials!CG6</f>
        <v>2.2450943468816469E-2</v>
      </c>
      <c r="CH19" s="292">
        <f>Financials!CH26/Financials!CH6</f>
        <v>2.2120229934700031E-2</v>
      </c>
      <c r="CI19" s="292">
        <f>Financials!CI26/Financials!CI6</f>
        <v>2.0932095250181262E-2</v>
      </c>
      <c r="CJ19" s="292">
        <f>Financials!CJ26/Financials!CJ6</f>
        <v>2.1270798927257174E-2</v>
      </c>
      <c r="CK19" s="292">
        <f>Financials!CK26/Financials!CK6</f>
        <v>2.1355613850684234E-2</v>
      </c>
      <c r="CL19" s="292">
        <f>Financials!CL26/Financials!CL6</f>
        <v>2.1820768770050656E-2</v>
      </c>
      <c r="CM19" s="292">
        <f>Financials!CM26/Financials!CM6</f>
        <v>2.1764096830521721E-2</v>
      </c>
      <c r="CN19" s="292">
        <f>Financials!CN26/Financials!CN6</f>
        <v>2.1294192402571528E-2</v>
      </c>
      <c r="CO19" s="292">
        <f>Financials!CO26/Financials!CO6</f>
        <v>2.0830112792482279E-2</v>
      </c>
      <c r="CP19" s="292">
        <f>Financials!CP26/Financials!CP6</f>
        <v>2.0582479452309396E-2</v>
      </c>
      <c r="CQ19" s="292">
        <f>Financials!CQ26/Financials!CQ6</f>
        <v>2.0672953511310332E-2</v>
      </c>
      <c r="CR19" s="292" t="e">
        <f>Financials!CR26/Financials!CR6</f>
        <v>#DIV/0!</v>
      </c>
      <c r="CS19" s="292" t="e">
        <f>Financials!CS26/Financials!CS6</f>
        <v>#DIV/0!</v>
      </c>
      <c r="CT19" s="292" t="e">
        <f>Financials!CT26/Financials!CT6</f>
        <v>#DIV/0!</v>
      </c>
      <c r="CU19" s="292" t="e">
        <f>Financials!CU26/Financials!CU6</f>
        <v>#DIV/0!</v>
      </c>
      <c r="CV19" s="292" t="e">
        <f>Financials!CV26/Financials!CV6</f>
        <v>#DIV/0!</v>
      </c>
      <c r="CW19" s="292" t="e">
        <f>Financials!CW26/Financials!CW6</f>
        <v>#DIV/0!</v>
      </c>
      <c r="CX19" s="292" t="e">
        <f>Financials!CX26/Financials!CX6</f>
        <v>#DIV/0!</v>
      </c>
      <c r="CY19" s="292" t="e">
        <f>Financials!CY26/Financials!CY6</f>
        <v>#DIV/0!</v>
      </c>
      <c r="CZ19" s="292" t="e">
        <f>Financials!CZ26/Financials!CZ6</f>
        <v>#DIV/0!</v>
      </c>
      <c r="DA19" s="292" t="e">
        <f>Financials!DA26/Financials!DA6</f>
        <v>#DIV/0!</v>
      </c>
      <c r="DB19" s="292" t="e">
        <f>Financials!DB26/Financials!DB6</f>
        <v>#DIV/0!</v>
      </c>
      <c r="DC19" s="292" t="e">
        <f>Financials!DC26/Financials!DC6</f>
        <v>#DIV/0!</v>
      </c>
      <c r="DD19" s="292" t="e">
        <f>Financials!DD26/Financials!DD6</f>
        <v>#DIV/0!</v>
      </c>
      <c r="DE19" s="292" t="e">
        <f>Financials!DE26/Financials!DE6</f>
        <v>#DIV/0!</v>
      </c>
      <c r="DF19" s="292" t="e">
        <f>Financials!DF26/Financials!DF6</f>
        <v>#DIV/0!</v>
      </c>
      <c r="DG19" s="292" t="e">
        <f>Financials!DG26/Financials!DG6</f>
        <v>#DIV/0!</v>
      </c>
      <c r="DH19" s="292" t="e">
        <f>Financials!DH26/Financials!DH6</f>
        <v>#DIV/0!</v>
      </c>
      <c r="DI19" s="292" t="e">
        <f>Financials!DI26/Financials!DI6</f>
        <v>#DIV/0!</v>
      </c>
      <c r="DJ19" s="292" t="e">
        <f>Financials!DJ26/Financials!DJ6</f>
        <v>#DIV/0!</v>
      </c>
      <c r="DK19" s="292" t="e">
        <f>Financials!DK26/Financials!DK6</f>
        <v>#DIV/0!</v>
      </c>
      <c r="DL19" s="292" t="e">
        <f>Financials!DL26/Financials!DL6</f>
        <v>#DIV/0!</v>
      </c>
      <c r="DM19" s="292" t="e">
        <f>Financials!DM26/Financials!DM6</f>
        <v>#DIV/0!</v>
      </c>
      <c r="DN19" s="292" t="e">
        <f>Financials!DN26/Financials!DN6</f>
        <v>#DIV/0!</v>
      </c>
      <c r="DO19" s="292" t="e">
        <f>Financials!DO26/Financials!DO6</f>
        <v>#DIV/0!</v>
      </c>
      <c r="DP19" s="292" t="e">
        <f>Financials!DP26/Financials!DP6</f>
        <v>#DIV/0!</v>
      </c>
      <c r="DQ19" s="292" t="e">
        <f>Financials!DQ26/Financials!DQ6</f>
        <v>#DIV/0!</v>
      </c>
      <c r="DR19" s="292" t="e">
        <f>Financials!DR26/Financials!DR6</f>
        <v>#DIV/0!</v>
      </c>
      <c r="DS19" s="292" t="e">
        <f>Financials!DS26/Financials!DS6</f>
        <v>#DIV/0!</v>
      </c>
      <c r="DT19" s="292" t="e">
        <f>Financials!DT26/Financials!DT6</f>
        <v>#DIV/0!</v>
      </c>
      <c r="DU19" s="292" t="e">
        <f>Financials!DU26/Financials!DU6</f>
        <v>#DIV/0!</v>
      </c>
      <c r="DV19" s="292" t="e">
        <f>Financials!DV26/Financials!DV6</f>
        <v>#DIV/0!</v>
      </c>
    </row>
    <row r="20" spans="1:126" s="153" customFormat="1">
      <c r="A20" s="284" t="s">
        <v>174</v>
      </c>
      <c r="B20" s="218" t="s">
        <v>175</v>
      </c>
      <c r="C20" s="162">
        <f>Financials!C26/Financials!C14</f>
        <v>-5.6164591922507308</v>
      </c>
      <c r="D20" s="162">
        <f>Financials!D26/Financials!D14</f>
        <v>8.2043795620437958</v>
      </c>
      <c r="E20" s="162">
        <f>Financials!E26/Financials!E14</f>
        <v>-20.910161090458487</v>
      </c>
      <c r="F20" s="162">
        <f>Financials!F26/Financials!F14</f>
        <v>0.78347282235582205</v>
      </c>
      <c r="G20" s="162">
        <f>Financials!G26/Financials!G14</f>
        <v>0.63441119688785919</v>
      </c>
      <c r="H20" s="162">
        <f>Financials!H26/Financials!H14</f>
        <v>0</v>
      </c>
      <c r="I20" s="162">
        <f>Financials!I26/Financials!I14</f>
        <v>0.41129500317359818</v>
      </c>
      <c r="J20" s="162">
        <f>Financials!J26/Financials!J14</f>
        <v>0.37783763519670327</v>
      </c>
      <c r="K20" s="162">
        <f>Financials!K26/Financials!K14</f>
        <v>0.37364293480148886</v>
      </c>
      <c r="L20" s="162">
        <f>Financials!L26/Financials!L14</f>
        <v>0.37638820598940104</v>
      </c>
      <c r="M20" s="162">
        <f>Financials!M26/Financials!M14</f>
        <v>0.37602637702879177</v>
      </c>
      <c r="N20" s="162">
        <f>Financials!N26/Financials!N14</f>
        <v>0.36570652513081131</v>
      </c>
      <c r="O20" s="162">
        <f>Financials!O26/Financials!O14</f>
        <v>0.3601077884936954</v>
      </c>
      <c r="P20" s="162">
        <f>Financials!P26/Financials!P14</f>
        <v>0.34051549560164718</v>
      </c>
      <c r="Q20" s="162">
        <f>Financials!Q26/Financials!Q14</f>
        <v>0.32959244971894924</v>
      </c>
      <c r="R20" s="162">
        <f>Financials!R26/Financials!R14</f>
        <v>0.31997581607059833</v>
      </c>
      <c r="S20" s="162">
        <f>Financials!S26/Financials!S14</f>
        <v>0.31196698509910831</v>
      </c>
      <c r="T20" s="162">
        <f>Financials!T26/Financials!T14</f>
        <v>0.29851384477810672</v>
      </c>
      <c r="U20" s="162">
        <f>Financials!U26/Financials!U14</f>
        <v>0.29609018020616179</v>
      </c>
      <c r="V20" s="162">
        <f>Financials!V26/Financials!V14</f>
        <v>0.27810238606501753</v>
      </c>
      <c r="W20" s="162">
        <f>Financials!W26/Financials!W14</f>
        <v>0.34076005300615453</v>
      </c>
      <c r="X20" s="162">
        <f>Financials!X26/Financials!X14</f>
        <v>0.34149551427293617</v>
      </c>
      <c r="Y20" s="162">
        <f>Financials!Y26/Financials!Y14</f>
        <v>0.34024206049111821</v>
      </c>
      <c r="Z20" s="162">
        <f>Financials!Z26/Financials!Z14</f>
        <v>0.32639653589093065</v>
      </c>
      <c r="AA20" s="162">
        <f>Financials!AA26/Financials!AA14</f>
        <v>0.30391366220558214</v>
      </c>
      <c r="AB20" s="162">
        <f>Financials!AB26/Financials!AB14</f>
        <v>0.29655042225636891</v>
      </c>
      <c r="AC20" s="162">
        <f>Financials!AC26/Financials!AC14</f>
        <v>0.28534536358366436</v>
      </c>
      <c r="AD20" s="162">
        <f>Financials!AD26/Financials!AD14</f>
        <v>0.25138386162724163</v>
      </c>
      <c r="AE20" s="162">
        <f>Financials!AE26/Financials!AE14</f>
        <v>0.24710589425422855</v>
      </c>
      <c r="AF20" s="162">
        <f>Financials!AF26/Financials!AF14</f>
        <v>0.24174760887767238</v>
      </c>
      <c r="AG20" s="162">
        <f>Financials!AG26/Financials!AG14</f>
        <v>0.22269763720850216</v>
      </c>
      <c r="AH20" s="292">
        <f>Financials!AH26/Financials!AH14</f>
        <v>0.20749636391691739</v>
      </c>
      <c r="AI20" s="292">
        <f>Financials!AI26/Financials!AI14</f>
        <v>0.2219842278569992</v>
      </c>
      <c r="AJ20" s="292">
        <f>Financials!AJ26/Financials!AJ14</f>
        <v>0.19447906465787074</v>
      </c>
      <c r="AK20" s="292">
        <f>Financials!AK26/Financials!AK14</f>
        <v>0.19793506372114333</v>
      </c>
      <c r="AL20" s="292">
        <f>Financials!AL26/Financials!AL14</f>
        <v>0.19781011502206819</v>
      </c>
      <c r="AM20" s="292">
        <f>Financials!AM26/Financials!AM14</f>
        <v>0.19853616235608651</v>
      </c>
      <c r="AN20" s="292">
        <f>Financials!AN26/Financials!AN14</f>
        <v>0.19539705530284121</v>
      </c>
      <c r="AO20" s="292">
        <f>Financials!AO26/Financials!AO14</f>
        <v>0.19439674933173659</v>
      </c>
      <c r="AP20" s="292">
        <f>Financials!AP26/Financials!AP14</f>
        <v>0.18958411199263742</v>
      </c>
      <c r="AQ20" s="292">
        <f>Financials!AQ26/Financials!AQ14</f>
        <v>0.18863320256550548</v>
      </c>
      <c r="AR20" s="292">
        <f>Financials!AR26/Financials!AR14</f>
        <v>0.18924887975583277</v>
      </c>
      <c r="AS20" s="292">
        <f>Financials!AS26/Financials!AS14</f>
        <v>0.18672505507151713</v>
      </c>
      <c r="AT20" s="292">
        <f>Financials!AT26/Financials!AT14</f>
        <v>0.17603193531142278</v>
      </c>
      <c r="AU20" s="292">
        <f>Financials!AU26/Financials!AU14</f>
        <v>0.19004385213225247</v>
      </c>
      <c r="AV20" s="292">
        <f>Financials!AV26/Financials!AV14</f>
        <v>0.17639596192158014</v>
      </c>
      <c r="AW20" s="292">
        <f>Financials!AW26/Financials!AW14</f>
        <v>0.19070459837557335</v>
      </c>
      <c r="AX20" s="292">
        <f>Financials!AX26/Financials!AX14</f>
        <v>0.19159480883580707</v>
      </c>
      <c r="AY20" s="292">
        <f>Financials!AY26/Financials!AY14</f>
        <v>0.18760306317662126</v>
      </c>
      <c r="AZ20" s="292">
        <f>Financials!AZ26/Financials!AZ14</f>
        <v>0.18626125370025223</v>
      </c>
      <c r="BA20" s="292">
        <f>Financials!BA26/Financials!BA14</f>
        <v>0.18676579275135566</v>
      </c>
      <c r="BB20" s="292">
        <f>Financials!BB26/Financials!BB14</f>
        <v>0.18483314129741216</v>
      </c>
      <c r="BC20" s="292">
        <f>Financials!BC26/Financials!BC14</f>
        <v>0.18223713571508907</v>
      </c>
      <c r="BD20" s="292">
        <f>Financials!BD26/Financials!BD14</f>
        <v>0.17958495843925548</v>
      </c>
      <c r="BE20" s="292">
        <f>Financials!BE26/Financials!BE14</f>
        <v>0.17568037313720111</v>
      </c>
      <c r="BF20" s="292">
        <f>Financials!BF26/Financials!BF14</f>
        <v>0.17380413585784996</v>
      </c>
      <c r="BG20" s="292">
        <f>Financials!BG26/Financials!BG14</f>
        <v>0.17004461724699077</v>
      </c>
      <c r="BH20" s="292">
        <f>Financials!BH26/Financials!BH14</f>
        <v>0.13649038669750926</v>
      </c>
      <c r="BI20" s="292">
        <f>Financials!BI26/Financials!BI14</f>
        <v>0.13346084672129083</v>
      </c>
      <c r="BJ20" s="292">
        <f>Financials!BJ26/Financials!BJ14</f>
        <v>0.13361296162052835</v>
      </c>
      <c r="BK20" s="292">
        <f>Financials!BK26/Financials!BK14</f>
        <v>0.13551108890161942</v>
      </c>
      <c r="BL20" s="292">
        <f>Financials!BL26/Financials!BL14</f>
        <v>0.13510931453946357</v>
      </c>
      <c r="BM20" s="292">
        <f>Financials!BM26/Financials!BM14</f>
        <v>0.13328501843290461</v>
      </c>
      <c r="BN20" s="292">
        <f>Financials!BN26/Financials!BN14</f>
        <v>0.13313974407422338</v>
      </c>
      <c r="BO20" s="292">
        <f>Financials!BO26/Financials!BO14</f>
        <v>0.13186646816183037</v>
      </c>
      <c r="BP20" s="292">
        <f>Financials!BP26/Financials!BP14</f>
        <v>0.13187203122552899</v>
      </c>
      <c r="BQ20" s="292">
        <f>Financials!BQ26/Financials!BQ14</f>
        <v>0.13164863192717829</v>
      </c>
      <c r="BR20" s="292">
        <f>Financials!BR26/Financials!BR14</f>
        <v>0.12772242581460597</v>
      </c>
      <c r="BS20" s="292">
        <f>Financials!BS26/Financials!BS14</f>
        <v>0.12709912200642443</v>
      </c>
      <c r="BT20" s="292">
        <f>Financials!BT26/Financials!BT14</f>
        <v>0.12812865509259852</v>
      </c>
      <c r="BU20" s="292">
        <f>Financials!BU26/Financials!BU14</f>
        <v>0.19438212993591517</v>
      </c>
      <c r="BV20" s="292">
        <f>Financials!BV26/Financials!BV14</f>
        <v>0.14664341205316925</v>
      </c>
      <c r="BW20" s="292">
        <f>Financials!BW26/Financials!BW14</f>
        <v>0.14588167257411933</v>
      </c>
      <c r="BX20" s="292">
        <f>Financials!BX26/Financials!BX14</f>
        <v>0.14638186261289987</v>
      </c>
      <c r="BY20" s="292">
        <f>Financials!BY26/Financials!BY14</f>
        <v>0.14829483494992773</v>
      </c>
      <c r="BZ20" s="292">
        <f>Financials!BZ26/Financials!BZ14</f>
        <v>0.14854149649018702</v>
      </c>
      <c r="CA20" s="292">
        <f>Financials!CA26/Financials!CA14</f>
        <v>0.14636803082567365</v>
      </c>
      <c r="CB20" s="292">
        <f>Financials!CB26/Financials!CB14</f>
        <v>0.14591838655209249</v>
      </c>
      <c r="CC20" s="292">
        <f>Financials!CC26/Financials!CC14</f>
        <v>0.14350272017956553</v>
      </c>
      <c r="CD20" s="292">
        <f>Financials!CD26/Financials!CD14</f>
        <v>0.14632327037980875</v>
      </c>
      <c r="CE20" s="292">
        <f>Financials!CE26/Financials!CE14</f>
        <v>0.14359674165123809</v>
      </c>
      <c r="CF20" s="292">
        <f>Financials!CF26/Financials!CF14</f>
        <v>0.14049796234033338</v>
      </c>
      <c r="CG20" s="292">
        <f>Financials!CG26/Financials!CG14</f>
        <v>0.12946255099150047</v>
      </c>
      <c r="CH20" s="292">
        <f>Financials!CH26/Financials!CH14</f>
        <v>0.11821941465859122</v>
      </c>
      <c r="CI20" s="292">
        <f>Financials!CI26/Financials!CI14</f>
        <v>0.11519841431122657</v>
      </c>
      <c r="CJ20" s="292">
        <f>Financials!CJ26/Financials!CJ14</f>
        <v>0.11730278534608626</v>
      </c>
      <c r="CK20" s="292">
        <f>Financials!CK26/Financials!CK14</f>
        <v>0.1156342860833704</v>
      </c>
      <c r="CL20" s="292">
        <f>Financials!CL26/Financials!CL14</f>
        <v>0.11888744936571134</v>
      </c>
      <c r="CM20" s="292">
        <f>Financials!CM26/Financials!CM14</f>
        <v>0.11772635109954876</v>
      </c>
      <c r="CN20" s="292">
        <f>Financials!CN26/Financials!CN14</f>
        <v>0.11449753171723936</v>
      </c>
      <c r="CO20" s="292">
        <f>Financials!CO26/Financials!CO14</f>
        <v>0.11219975922142718</v>
      </c>
      <c r="CP20" s="292">
        <f>Financials!CP26/Financials!CP14</f>
        <v>0.11195454111504444</v>
      </c>
      <c r="CQ20" s="292">
        <f>Financials!CQ26/Financials!CQ14</f>
        <v>0.11015574873127558</v>
      </c>
      <c r="CR20" s="292" t="e">
        <f>Financials!CR26/Financials!CR14</f>
        <v>#DIV/0!</v>
      </c>
      <c r="CS20" s="292" t="e">
        <f>Financials!CS26/Financials!CS14</f>
        <v>#DIV/0!</v>
      </c>
      <c r="CT20" s="292" t="e">
        <f>Financials!CT26/Financials!CT14</f>
        <v>#DIV/0!</v>
      </c>
      <c r="CU20" s="292" t="e">
        <f>Financials!CU26/Financials!CU14</f>
        <v>#DIV/0!</v>
      </c>
      <c r="CV20" s="292" t="e">
        <f>Financials!CV26/Financials!CV14</f>
        <v>#DIV/0!</v>
      </c>
      <c r="CW20" s="292" t="e">
        <f>Financials!CW26/Financials!CW14</f>
        <v>#DIV/0!</v>
      </c>
      <c r="CX20" s="292" t="e">
        <f>Financials!CX26/Financials!CX14</f>
        <v>#DIV/0!</v>
      </c>
      <c r="CY20" s="292" t="e">
        <f>Financials!CY26/Financials!CY14</f>
        <v>#DIV/0!</v>
      </c>
      <c r="CZ20" s="292" t="e">
        <f>Financials!CZ26/Financials!CZ14</f>
        <v>#DIV/0!</v>
      </c>
      <c r="DA20" s="292" t="e">
        <f>Financials!DA26/Financials!DA14</f>
        <v>#DIV/0!</v>
      </c>
      <c r="DB20" s="292" t="e">
        <f>Financials!DB26/Financials!DB14</f>
        <v>#DIV/0!</v>
      </c>
      <c r="DC20" s="292" t="e">
        <f>Financials!DC26/Financials!DC14</f>
        <v>#DIV/0!</v>
      </c>
      <c r="DD20" s="292" t="e">
        <f>Financials!DD26/Financials!DD14</f>
        <v>#DIV/0!</v>
      </c>
      <c r="DE20" s="292" t="e">
        <f>Financials!DE26/Financials!DE14</f>
        <v>#DIV/0!</v>
      </c>
      <c r="DF20" s="292" t="e">
        <f>Financials!DF26/Financials!DF14</f>
        <v>#DIV/0!</v>
      </c>
      <c r="DG20" s="292" t="e">
        <f>Financials!DG26/Financials!DG14</f>
        <v>#DIV/0!</v>
      </c>
      <c r="DH20" s="292" t="e">
        <f>Financials!DH26/Financials!DH14</f>
        <v>#DIV/0!</v>
      </c>
      <c r="DI20" s="292" t="e">
        <f>Financials!DI26/Financials!DI14</f>
        <v>#DIV/0!</v>
      </c>
      <c r="DJ20" s="292" t="e">
        <f>Financials!DJ26/Financials!DJ14</f>
        <v>#DIV/0!</v>
      </c>
      <c r="DK20" s="292" t="e">
        <f>Financials!DK26/Financials!DK14</f>
        <v>#DIV/0!</v>
      </c>
      <c r="DL20" s="292" t="e">
        <f>Financials!DL26/Financials!DL14</f>
        <v>#DIV/0!</v>
      </c>
      <c r="DM20" s="292" t="e">
        <f>Financials!DM26/Financials!DM14</f>
        <v>#DIV/0!</v>
      </c>
      <c r="DN20" s="292" t="e">
        <f>Financials!DN26/Financials!DN14</f>
        <v>#DIV/0!</v>
      </c>
      <c r="DO20" s="292" t="e">
        <f>Financials!DO26/Financials!DO14</f>
        <v>#DIV/0!</v>
      </c>
      <c r="DP20" s="292" t="e">
        <f>Financials!DP26/Financials!DP14</f>
        <v>#DIV/0!</v>
      </c>
      <c r="DQ20" s="292" t="e">
        <f>Financials!DQ26/Financials!DQ14</f>
        <v>#DIV/0!</v>
      </c>
      <c r="DR20" s="292" t="e">
        <f>Financials!DR26/Financials!DR14</f>
        <v>#DIV/0!</v>
      </c>
      <c r="DS20" s="292" t="e">
        <f>Financials!DS26/Financials!DS14</f>
        <v>#DIV/0!</v>
      </c>
      <c r="DT20" s="292" t="e">
        <f>Financials!DT26/Financials!DT14</f>
        <v>#DIV/0!</v>
      </c>
      <c r="DU20" s="292" t="e">
        <f>Financials!DU26/Financials!DU14</f>
        <v>#DIV/0!</v>
      </c>
      <c r="DV20" s="292" t="e">
        <f>Financials!DV26/Financials!DV14</f>
        <v>#DIV/0!</v>
      </c>
    </row>
    <row r="21" spans="1:126" s="153" customFormat="1">
      <c r="A21" s="288" t="s">
        <v>176</v>
      </c>
      <c r="B21" s="222" t="s">
        <v>177</v>
      </c>
      <c r="C21" s="162">
        <f>Financials!C31/Financials!C5</f>
        <v>0.72996135518583349</v>
      </c>
      <c r="D21" s="162">
        <f>Financials!D31/Financials!D5</f>
        <v>0.74325511322986593</v>
      </c>
      <c r="E21" s="162">
        <f>Financials!E31/Financials!E5</f>
        <v>0.69729658901012481</v>
      </c>
      <c r="F21" s="162">
        <f>Financials!F31/Financials!F5</f>
        <v>0.76472331113169756</v>
      </c>
      <c r="G21" s="162">
        <f>Financials!G31/Financials!G5</f>
        <v>0.80233203189240743</v>
      </c>
      <c r="H21" s="162">
        <f>Financials!H31/Financials!H5</f>
        <v>0.83422365273014343</v>
      </c>
      <c r="I21" s="162">
        <f>Financials!I31/Financials!I5</f>
        <v>0.8165878016916478</v>
      </c>
      <c r="J21" s="162">
        <f>Financials!J31/Financials!J5</f>
        <v>0.83429568337012172</v>
      </c>
      <c r="K21" s="162">
        <f>Financials!K31/Financials!K5</f>
        <v>0.83191769292062123</v>
      </c>
      <c r="L21" s="162">
        <f>Financials!L31/Financials!L5</f>
        <v>0.84391516415248746</v>
      </c>
      <c r="M21" s="162">
        <f>Financials!M31/Financials!M5</f>
        <v>0.84521067834431773</v>
      </c>
      <c r="N21" s="162">
        <f>Financials!N31/Financials!N5</f>
        <v>0.80908781470393143</v>
      </c>
      <c r="O21" s="162">
        <f>Financials!O31/Financials!O5</f>
        <v>0.81348284789848679</v>
      </c>
      <c r="P21" s="162">
        <f>Financials!P31/Financials!P5</f>
        <v>0.83427107376565057</v>
      </c>
      <c r="Q21" s="162">
        <f>Financials!Q31/Financials!Q5</f>
        <v>0.8239918622334913</v>
      </c>
      <c r="R21" s="162">
        <f>Financials!R31/Financials!R5</f>
        <v>0.80859624639654737</v>
      </c>
      <c r="S21" s="162">
        <f>Financials!S31/Financials!S5</f>
        <v>0.82174337958157417</v>
      </c>
      <c r="T21" s="162">
        <f>Financials!T31/Financials!T5</f>
        <v>0.82709286272975047</v>
      </c>
      <c r="U21" s="162">
        <f>Financials!U31/Financials!U5</f>
        <v>0.82725770020121114</v>
      </c>
      <c r="V21" s="162">
        <f>Financials!V31/Financials!V5</f>
        <v>0.82121021657442161</v>
      </c>
      <c r="W21" s="162">
        <f>Financials!W31/Financials!W5</f>
        <v>0.82328400114869127</v>
      </c>
      <c r="X21" s="162">
        <f>Financials!X31/Financials!X5</f>
        <v>0.82359305374142477</v>
      </c>
      <c r="Y21" s="162">
        <f>Financials!Y31/Financials!Y5</f>
        <v>0.83613123286343205</v>
      </c>
      <c r="Z21" s="162">
        <f>Financials!Z31/Financials!Z5</f>
        <v>0.82334193866970884</v>
      </c>
      <c r="AA21" s="162">
        <f>Financials!AA31/Financials!AA5</f>
        <v>0.81307191771943077</v>
      </c>
      <c r="AB21" s="162">
        <f>Financials!AB31/Financials!AB5</f>
        <v>0.80217995172202261</v>
      </c>
      <c r="AC21" s="162">
        <f>Financials!AC31/Financials!AC5</f>
        <v>0.8218214697368178</v>
      </c>
      <c r="AD21" s="162">
        <f>Financials!AD31/Financials!AD5</f>
        <v>0.81290428668820358</v>
      </c>
      <c r="AE21" s="162">
        <f>Financials!AE31/Financials!AE5</f>
        <v>0.79896481029033939</v>
      </c>
      <c r="AF21" s="162">
        <f>Financials!AF31/Financials!AF5</f>
        <v>0.79664586375175073</v>
      </c>
      <c r="AG21" s="162">
        <f>Financials!AG31/Financials!AG5</f>
        <v>0.78815823250233386</v>
      </c>
      <c r="AH21" s="292">
        <f>Financials!AH31/Financials!AH5</f>
        <v>0.79384664453967224</v>
      </c>
      <c r="AI21" s="292">
        <f>Financials!AI31/Financials!AI5</f>
        <v>0.77288846521204102</v>
      </c>
      <c r="AJ21" s="292">
        <f>Financials!AJ31/Financials!AJ5</f>
        <v>0.77423354926723209</v>
      </c>
      <c r="AK21" s="292">
        <f>Financials!AK31/Financials!AK5</f>
        <v>0.76880982169650924</v>
      </c>
      <c r="AL21" s="292">
        <f>Financials!AL31/Financials!AL5</f>
        <v>0.7797989196104923</v>
      </c>
      <c r="AM21" s="292">
        <f>Financials!AM31/Financials!AM5</f>
        <v>0.76923295622915411</v>
      </c>
      <c r="AN21" s="292">
        <f>Financials!AN31/Financials!AN5</f>
        <v>0.75666362223435735</v>
      </c>
      <c r="AO21" s="292">
        <f>Financials!AO31/Financials!AO5</f>
        <v>0.73852251553198967</v>
      </c>
      <c r="AP21" s="292">
        <f>Financials!AP31/Financials!AP5</f>
        <v>0.75805831403099211</v>
      </c>
      <c r="AQ21" s="292">
        <f>Financials!AQ31/Financials!AQ5</f>
        <v>0.75525679467183082</v>
      </c>
      <c r="AR21" s="292">
        <f>Financials!AR31/Financials!AR5</f>
        <v>0.74176842525760356</v>
      </c>
      <c r="AS21" s="292">
        <f>Financials!AS31/Financials!AS5</f>
        <v>0.74749262325756216</v>
      </c>
      <c r="AT21" s="292">
        <f>Financials!AT31/Financials!AT5</f>
        <v>0.7587349134823258</v>
      </c>
      <c r="AU21" s="292">
        <f>Financials!AU31/Financials!AU5</f>
        <v>0.75201027522690067</v>
      </c>
      <c r="AV21" s="292">
        <f>Financials!AV31/Financials!AV5</f>
        <v>0.74529907515104066</v>
      </c>
      <c r="AW21" s="292">
        <f>Financials!AW31/Financials!AW5</f>
        <v>0.74088657615415698</v>
      </c>
      <c r="AX21" s="292">
        <f>Financials!AX31/Financials!AX5</f>
        <v>0.73825713133906756</v>
      </c>
      <c r="AY21" s="292">
        <f>Financials!AY31/Financials!AY5</f>
        <v>0.7126949426456638</v>
      </c>
      <c r="AZ21" s="292">
        <f>Financials!AZ31/Financials!AZ5</f>
        <v>0.69749175922907747</v>
      </c>
      <c r="BA21" s="292">
        <f>Financials!BA31/Financials!BA5</f>
        <v>0.69348485772200485</v>
      </c>
      <c r="BB21" s="292">
        <f>Financials!BB31/Financials!BB5</f>
        <v>0.68548254013206833</v>
      </c>
      <c r="BC21" s="292">
        <f>Financials!BC31/Financials!BC5</f>
        <v>0.70210790368037135</v>
      </c>
      <c r="BD21" s="292">
        <f>Financials!BD31/Financials!BD5</f>
        <v>0.7070404056538836</v>
      </c>
      <c r="BE21" s="292">
        <f>Financials!BE31/Financials!BE5</f>
        <v>0.70492957500825615</v>
      </c>
      <c r="BF21" s="292">
        <f>Financials!BF31/Financials!BF5</f>
        <v>0.70237051375679815</v>
      </c>
      <c r="BG21" s="292">
        <f>Financials!BG31/Financials!BG5</f>
        <v>0.6981171765285018</v>
      </c>
      <c r="BH21" s="292">
        <f>Financials!BH31/Financials!BH5</f>
        <v>0.69981058855742984</v>
      </c>
      <c r="BI21" s="292">
        <f>Financials!BI31/Financials!BI5</f>
        <v>0.69164964348746938</v>
      </c>
      <c r="BJ21" s="292">
        <f>Financials!BJ31/Financials!BJ5</f>
        <v>0.69388668885021065</v>
      </c>
      <c r="BK21" s="292">
        <f>Financials!BK31/Financials!BK5</f>
        <v>0.69132941231376555</v>
      </c>
      <c r="BL21" s="292">
        <f>Financials!BL31/Financials!BL5</f>
        <v>0.69502081430232643</v>
      </c>
      <c r="BM21" s="292">
        <f>Financials!BM31/Financials!BM5</f>
        <v>0.68793951249248908</v>
      </c>
      <c r="BN21" s="292">
        <f>Financials!BN31/Financials!BN5</f>
        <v>0.68809689536893326</v>
      </c>
      <c r="BO21" s="292">
        <f>Financials!BO31/Financials!BO5</f>
        <v>0.66889194438110455</v>
      </c>
      <c r="BP21" s="292">
        <f>Financials!BP31/Financials!BP5</f>
        <v>0.66591081128717788</v>
      </c>
      <c r="BQ21" s="292">
        <f>Financials!BQ31/Financials!BQ5</f>
        <v>0.6574118290412071</v>
      </c>
      <c r="BR21" s="292">
        <f>Financials!BR31/Financials!BR5</f>
        <v>0.66354734264052229</v>
      </c>
      <c r="BS21" s="292">
        <f>Financials!BS31/Financials!BS5</f>
        <v>0.66532730769730775</v>
      </c>
      <c r="BT21" s="292">
        <f>Financials!BT31/Financials!BT5</f>
        <v>0.67347531773630109</v>
      </c>
      <c r="BU21" s="292">
        <f>Financials!BU31/Financials!BU5</f>
        <v>0.66988402289940396</v>
      </c>
      <c r="BV21" s="292">
        <f>Financials!BV31/Financials!BV5</f>
        <v>0.68226633037438544</v>
      </c>
      <c r="BW21" s="292">
        <f>Financials!BW31/Financials!BW5</f>
        <v>0.68375403292986581</v>
      </c>
      <c r="BX21" s="292">
        <f>Financials!BX31/Financials!BX5</f>
        <v>0.70409445984274888</v>
      </c>
      <c r="BY21" s="292">
        <f>Financials!BY31/Financials!BY5</f>
        <v>0.7113390799819459</v>
      </c>
      <c r="BZ21" s="292">
        <f>Financials!BZ31/Financials!BZ5</f>
        <v>0.7038849683657773</v>
      </c>
      <c r="CA21" s="292">
        <f>Financials!CA31/Financials!CA5</f>
        <v>0.70183395010986549</v>
      </c>
      <c r="CB21" s="292">
        <f>Financials!CB31/Financials!CB5</f>
        <v>0.69398186003155737</v>
      </c>
      <c r="CC21" s="292">
        <f>Financials!CC31/Financials!CC5</f>
        <v>0.69453792380429891</v>
      </c>
      <c r="CD21" s="292">
        <f>Financials!CD31/Financials!CD5</f>
        <v>0.70032025201545467</v>
      </c>
      <c r="CE21" s="292">
        <f>Financials!CE31/Financials!CE5</f>
        <v>0.69762327808180347</v>
      </c>
      <c r="CF21" s="292">
        <f>Financials!CF31/Financials!CF5</f>
        <v>0.69263324180190811</v>
      </c>
      <c r="CG21" s="292">
        <f>Financials!CG31/Financials!CG5</f>
        <v>0.70041791981783219</v>
      </c>
      <c r="CH21" s="292">
        <f>Financials!CH31/Financials!CH5</f>
        <v>0.70326698227278339</v>
      </c>
      <c r="CI21" s="292">
        <f>Financials!CI31/Financials!CI5</f>
        <v>0.72351558013808492</v>
      </c>
      <c r="CJ21" s="292">
        <f>Financials!CJ31/Financials!CJ5</f>
        <v>0.72447146752536895</v>
      </c>
      <c r="CK21" s="292">
        <f>Financials!CK31/Financials!CK5</f>
        <v>0.72720054553892544</v>
      </c>
      <c r="CL21" s="292">
        <f>Financials!CL31/Financials!CL5</f>
        <v>0.72765305478860509</v>
      </c>
      <c r="CM21" s="292">
        <f>Financials!CM31/Financials!CM5</f>
        <v>0.72113500506060568</v>
      </c>
      <c r="CN21" s="292">
        <f>Financials!CN31/Financials!CN5</f>
        <v>0.70841811624320172</v>
      </c>
      <c r="CO21" s="292">
        <f>Financials!CO31/Financials!CO5</f>
        <v>0.69589942688792683</v>
      </c>
      <c r="CP21" s="292">
        <f>Financials!CP31/Financials!CP5</f>
        <v>0.6971875731387327</v>
      </c>
      <c r="CQ21" s="292">
        <f>Financials!CQ31/Financials!CQ5</f>
        <v>0.70210368359727027</v>
      </c>
      <c r="CR21" s="292" t="e">
        <f>Financials!CR31/Financials!CR5</f>
        <v>#DIV/0!</v>
      </c>
      <c r="CS21" s="292" t="e">
        <f>Financials!CS31/Financials!CS5</f>
        <v>#DIV/0!</v>
      </c>
      <c r="CT21" s="292" t="e">
        <f>Financials!CT31/Financials!CT5</f>
        <v>#DIV/0!</v>
      </c>
      <c r="CU21" s="292" t="e">
        <f>Financials!CU31/Financials!CU5</f>
        <v>#DIV/0!</v>
      </c>
      <c r="CV21" s="292" t="e">
        <f>Financials!CV31/Financials!CV5</f>
        <v>#DIV/0!</v>
      </c>
      <c r="CW21" s="292" t="e">
        <f>Financials!CW31/Financials!CW5</f>
        <v>#DIV/0!</v>
      </c>
      <c r="CX21" s="292" t="e">
        <f>Financials!CX31/Financials!CX5</f>
        <v>#DIV/0!</v>
      </c>
      <c r="CY21" s="292" t="e">
        <f>Financials!CY31/Financials!CY5</f>
        <v>#DIV/0!</v>
      </c>
      <c r="CZ21" s="292" t="e">
        <f>Financials!CZ31/Financials!CZ5</f>
        <v>#DIV/0!</v>
      </c>
      <c r="DA21" s="292" t="e">
        <f>Financials!DA31/Financials!DA5</f>
        <v>#DIV/0!</v>
      </c>
      <c r="DB21" s="292" t="e">
        <f>Financials!DB31/Financials!DB5</f>
        <v>#DIV/0!</v>
      </c>
      <c r="DC21" s="292" t="e">
        <f>Financials!DC31/Financials!DC5</f>
        <v>#DIV/0!</v>
      </c>
      <c r="DD21" s="292" t="e">
        <f>Financials!DD31/Financials!DD5</f>
        <v>#DIV/0!</v>
      </c>
      <c r="DE21" s="292" t="e">
        <f>Financials!DE31/Financials!DE5</f>
        <v>#DIV/0!</v>
      </c>
      <c r="DF21" s="292" t="e">
        <f>Financials!DF31/Financials!DF5</f>
        <v>#DIV/0!</v>
      </c>
      <c r="DG21" s="292" t="e">
        <f>Financials!DG31/Financials!DG5</f>
        <v>#DIV/0!</v>
      </c>
      <c r="DH21" s="292" t="e">
        <f>Financials!DH31/Financials!DH5</f>
        <v>#DIV/0!</v>
      </c>
      <c r="DI21" s="292" t="e">
        <f>Financials!DI31/Financials!DI5</f>
        <v>#DIV/0!</v>
      </c>
      <c r="DJ21" s="292" t="e">
        <f>Financials!DJ31/Financials!DJ5</f>
        <v>#DIV/0!</v>
      </c>
      <c r="DK21" s="292" t="e">
        <f>Financials!DK31/Financials!DK5</f>
        <v>#DIV/0!</v>
      </c>
      <c r="DL21" s="292" t="e">
        <f>Financials!DL31/Financials!DL5</f>
        <v>#DIV/0!</v>
      </c>
      <c r="DM21" s="292" t="e">
        <f>Financials!DM31/Financials!DM5</f>
        <v>#DIV/0!</v>
      </c>
      <c r="DN21" s="292" t="e">
        <f>Financials!DN31/Financials!DN5</f>
        <v>#DIV/0!</v>
      </c>
      <c r="DO21" s="292" t="e">
        <f>Financials!DO31/Financials!DO5</f>
        <v>#DIV/0!</v>
      </c>
      <c r="DP21" s="292" t="e">
        <f>Financials!DP31/Financials!DP5</f>
        <v>#DIV/0!</v>
      </c>
      <c r="DQ21" s="292" t="e">
        <f>Financials!DQ31/Financials!DQ5</f>
        <v>#DIV/0!</v>
      </c>
      <c r="DR21" s="292" t="e">
        <f>Financials!DR31/Financials!DR5</f>
        <v>#DIV/0!</v>
      </c>
      <c r="DS21" s="292" t="e">
        <f>Financials!DS31/Financials!DS5</f>
        <v>#DIV/0!</v>
      </c>
      <c r="DT21" s="292" t="e">
        <f>Financials!DT31/Financials!DT5</f>
        <v>#DIV/0!</v>
      </c>
      <c r="DU21" s="292" t="e">
        <f>Financials!DU31/Financials!DU5</f>
        <v>#DIV/0!</v>
      </c>
      <c r="DV21" s="292" t="e">
        <f>Financials!DV31/Financials!DV5</f>
        <v>#DIV/0!</v>
      </c>
    </row>
    <row r="22" spans="1:126" s="153" customFormat="1">
      <c r="A22" s="283"/>
      <c r="B22" s="216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2"/>
      <c r="BM22" s="282"/>
      <c r="BN22" s="282"/>
      <c r="BO22" s="282"/>
      <c r="BP22" s="282"/>
      <c r="BQ22" s="282"/>
      <c r="BR22" s="282"/>
      <c r="BS22" s="282"/>
      <c r="BT22" s="282"/>
      <c r="BU22" s="282"/>
      <c r="BV22" s="282"/>
      <c r="BW22" s="282"/>
      <c r="BX22" s="282"/>
      <c r="BY22" s="282"/>
      <c r="BZ22" s="282"/>
      <c r="CA22" s="282"/>
      <c r="CB22" s="282"/>
      <c r="CC22" s="282"/>
      <c r="CD22" s="282"/>
      <c r="CE22" s="282"/>
      <c r="CF22" s="282"/>
      <c r="CG22" s="282"/>
      <c r="CH22" s="282"/>
      <c r="CI22" s="282"/>
      <c r="CJ22" s="282"/>
      <c r="CK22" s="282"/>
      <c r="CL22" s="282"/>
      <c r="CM22" s="282"/>
      <c r="CN22" s="282"/>
      <c r="CO22" s="282"/>
      <c r="CP22" s="282"/>
      <c r="CQ22" s="282"/>
      <c r="CR22" s="282"/>
      <c r="CS22" s="282"/>
      <c r="CT22" s="282"/>
      <c r="CU22" s="282"/>
      <c r="CV22" s="282"/>
      <c r="CW22" s="282"/>
      <c r="CX22" s="282"/>
      <c r="CY22" s="282"/>
      <c r="CZ22" s="282"/>
      <c r="DA22" s="282"/>
      <c r="DB22" s="282"/>
      <c r="DC22" s="282"/>
      <c r="DD22" s="282"/>
      <c r="DE22" s="282"/>
      <c r="DF22" s="282"/>
      <c r="DG22" s="282"/>
      <c r="DH22" s="282"/>
      <c r="DI22" s="282"/>
      <c r="DJ22" s="282"/>
      <c r="DK22" s="282"/>
      <c r="DL22" s="282"/>
      <c r="DM22" s="282"/>
      <c r="DN22" s="282"/>
      <c r="DO22" s="282"/>
      <c r="DP22" s="282"/>
      <c r="DQ22" s="282"/>
      <c r="DR22" s="282"/>
      <c r="DS22" s="282"/>
      <c r="DT22" s="282"/>
      <c r="DU22" s="282"/>
      <c r="DV22" s="282"/>
    </row>
    <row r="23" spans="1:126" s="153" customFormat="1">
      <c r="A23" s="283" t="s">
        <v>178</v>
      </c>
      <c r="B23" s="216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293"/>
      <c r="AI23" s="293"/>
      <c r="AJ23" s="293"/>
      <c r="AK23" s="293"/>
      <c r="AL23" s="293"/>
      <c r="AM23" s="293"/>
      <c r="AN23" s="293"/>
      <c r="AO23" s="293"/>
      <c r="AP23" s="293"/>
      <c r="AQ23" s="293"/>
      <c r="AR23" s="293"/>
      <c r="AS23" s="293"/>
      <c r="AT23" s="293"/>
      <c r="AU23" s="293"/>
      <c r="AV23" s="293"/>
      <c r="AW23" s="293"/>
      <c r="AX23" s="293"/>
      <c r="AY23" s="293"/>
      <c r="AZ23" s="293"/>
      <c r="BA23" s="293"/>
      <c r="BB23" s="293"/>
      <c r="BC23" s="293"/>
      <c r="BD23" s="293"/>
      <c r="BE23" s="293"/>
      <c r="BF23" s="293"/>
      <c r="BG23" s="293"/>
      <c r="BH23" s="293"/>
      <c r="BI23" s="293"/>
      <c r="BJ23" s="293"/>
      <c r="BK23" s="293"/>
      <c r="BL23" s="293"/>
      <c r="BM23" s="293"/>
      <c r="BN23" s="293"/>
      <c r="BO23" s="293"/>
      <c r="BP23" s="293"/>
      <c r="BQ23" s="293"/>
      <c r="BR23" s="293"/>
      <c r="BS23" s="293"/>
      <c r="BT23" s="293"/>
      <c r="BU23" s="293"/>
      <c r="BV23" s="293"/>
      <c r="BW23" s="293"/>
      <c r="BX23" s="293"/>
      <c r="BY23" s="293"/>
      <c r="BZ23" s="293"/>
      <c r="CA23" s="293"/>
      <c r="CB23" s="293"/>
      <c r="CC23" s="293"/>
      <c r="CD23" s="293"/>
      <c r="CE23" s="293"/>
      <c r="CF23" s="293"/>
      <c r="CG23" s="293"/>
      <c r="CH23" s="293"/>
      <c r="CI23" s="293"/>
      <c r="CJ23" s="293"/>
      <c r="CK23" s="293"/>
      <c r="CL23" s="293"/>
      <c r="CM23" s="293"/>
      <c r="CN23" s="293"/>
      <c r="CO23" s="293"/>
      <c r="CP23" s="293"/>
      <c r="CQ23" s="293"/>
      <c r="CR23" s="293"/>
      <c r="CS23" s="293"/>
      <c r="CT23" s="293"/>
      <c r="CU23" s="293"/>
      <c r="CV23" s="293"/>
      <c r="CW23" s="293"/>
      <c r="CX23" s="293"/>
      <c r="CY23" s="293"/>
      <c r="CZ23" s="293"/>
      <c r="DA23" s="293"/>
      <c r="DB23" s="293"/>
      <c r="DC23" s="293"/>
      <c r="DD23" s="293"/>
      <c r="DE23" s="293"/>
      <c r="DF23" s="293"/>
      <c r="DG23" s="293"/>
      <c r="DH23" s="293"/>
      <c r="DI23" s="293"/>
      <c r="DJ23" s="293"/>
      <c r="DK23" s="293"/>
      <c r="DL23" s="293"/>
      <c r="DM23" s="293"/>
      <c r="DN23" s="293"/>
      <c r="DO23" s="293"/>
      <c r="DP23" s="293"/>
      <c r="DQ23" s="293"/>
      <c r="DR23" s="293"/>
      <c r="DS23" s="293"/>
      <c r="DT23" s="293"/>
      <c r="DU23" s="293"/>
      <c r="DV23" s="293"/>
    </row>
    <row r="24" spans="1:126" s="153" customFormat="1">
      <c r="A24" s="288" t="s">
        <v>179</v>
      </c>
      <c r="B24" s="222" t="s">
        <v>177</v>
      </c>
      <c r="C24" s="162">
        <f>Financials!C6/Financials!C5</f>
        <v>0.77704418358480454</v>
      </c>
      <c r="D24" s="162">
        <f>Financials!D6/Financials!D5</f>
        <v>0.76049769764974628</v>
      </c>
      <c r="E24" s="162">
        <f>Financials!E6/Financials!E5</f>
        <v>0.71546362155947574</v>
      </c>
      <c r="F24" s="162">
        <f>Financials!F6/Financials!F5</f>
        <v>0.75401240612069376</v>
      </c>
      <c r="G24" s="162">
        <f>Financials!G6/Financials!G5</f>
        <v>0.76592635761239536</v>
      </c>
      <c r="H24" s="162">
        <f>Financials!H6/Financials!H5</f>
        <v>0.73577879413144365</v>
      </c>
      <c r="I24" s="162">
        <f>Financials!I6/Financials!I5</f>
        <v>0.72249884015091448</v>
      </c>
      <c r="J24" s="162">
        <f>Financials!J6/Financials!J5</f>
        <v>0.78225521356594985</v>
      </c>
      <c r="K24" s="162">
        <f>Financials!K6/Financials!K5</f>
        <v>0.77452863282791717</v>
      </c>
      <c r="L24" s="162">
        <f>Financials!L6/Financials!L5</f>
        <v>0.76614130732610208</v>
      </c>
      <c r="M24" s="162">
        <f>Financials!M6/Financials!M5</f>
        <v>0.76202969034340506</v>
      </c>
      <c r="N24" s="162">
        <f>Financials!N6/Financials!N5</f>
        <v>0.73531262662969554</v>
      </c>
      <c r="O24" s="162">
        <f>Financials!O6/Financials!O5</f>
        <v>0.73127608752548134</v>
      </c>
      <c r="P24" s="162">
        <f>Financials!P6/Financials!P5</f>
        <v>0.71449666725077587</v>
      </c>
      <c r="Q24" s="162">
        <f>Financials!Q6/Financials!Q5</f>
        <v>0.69590737691983962</v>
      </c>
      <c r="R24" s="162">
        <f>Financials!R6/Financials!R5</f>
        <v>0.68241623988099831</v>
      </c>
      <c r="S24" s="162">
        <f>Financials!S6/Financials!S5</f>
        <v>0.68399394721914231</v>
      </c>
      <c r="T24" s="162">
        <f>Financials!T6/Financials!T5</f>
        <v>0.67949054626457694</v>
      </c>
      <c r="U24" s="162">
        <f>Financials!U6/Financials!U5</f>
        <v>0.69370986156005032</v>
      </c>
      <c r="V24" s="162">
        <f>Financials!V6/Financials!V5</f>
        <v>0.67713940361908476</v>
      </c>
      <c r="W24" s="162">
        <f>Financials!W6/Financials!W5</f>
        <v>0.73152803257384502</v>
      </c>
      <c r="X24" s="162">
        <f>Financials!X6/Financials!X5</f>
        <v>0.72412503551784924</v>
      </c>
      <c r="Y24" s="162">
        <f>Financials!Y6/Financials!Y5</f>
        <v>0.71692236914403606</v>
      </c>
      <c r="Z24" s="162">
        <f>Financials!Z6/Financials!Z5</f>
        <v>0.71708782641998625</v>
      </c>
      <c r="AA24" s="162">
        <f>Financials!AA6/Financials!AA5</f>
        <v>0.71182467649064407</v>
      </c>
      <c r="AB24" s="162">
        <f>Financials!AB6/Financials!AB5</f>
        <v>0.70792899132419007</v>
      </c>
      <c r="AC24" s="162">
        <f>Financials!AC6/Financials!AC5</f>
        <v>0.70310313310385586</v>
      </c>
      <c r="AD24" s="162">
        <f>Financials!AD6/Financials!AD5</f>
        <v>0.70393940395342658</v>
      </c>
      <c r="AE24" s="162">
        <f>Financials!AE6/Financials!AE5</f>
        <v>0.70070088153402343</v>
      </c>
      <c r="AF24" s="162">
        <f>Financials!AF6/Financials!AF5</f>
        <v>0.69665732293360028</v>
      </c>
      <c r="AG24" s="162">
        <f>Financials!AG6/Financials!AG5</f>
        <v>0.68955669211698101</v>
      </c>
      <c r="AH24" s="292">
        <f>Financials!AH6/Financials!AH5</f>
        <v>0.71678971711286543</v>
      </c>
      <c r="AI24" s="292">
        <f>Financials!AI6/Financials!AI5</f>
        <v>0.68717814964072998</v>
      </c>
      <c r="AJ24" s="292">
        <f>Financials!AJ6/Financials!AJ5</f>
        <v>0.76227899204251504</v>
      </c>
      <c r="AK24" s="292">
        <f>Financials!AK6/Financials!AK5</f>
        <v>0.75986627206260116</v>
      </c>
      <c r="AL24" s="292">
        <f>Financials!AL6/Financials!AL5</f>
        <v>0.76058666652500717</v>
      </c>
      <c r="AM24" s="292">
        <f>Financials!AM6/Financials!AM5</f>
        <v>0.75685974438079473</v>
      </c>
      <c r="AN24" s="292">
        <f>Financials!AN6/Financials!AN5</f>
        <v>0.75090619653570612</v>
      </c>
      <c r="AO24" s="292">
        <f>Financials!AO6/Financials!AO5</f>
        <v>0.751683300006042</v>
      </c>
      <c r="AP24" s="292">
        <f>Financials!AP6/Financials!AP5</f>
        <v>0.75480141369265141</v>
      </c>
      <c r="AQ24" s="292">
        <f>Financials!AQ6/Financials!AQ5</f>
        <v>0.75498778938119637</v>
      </c>
      <c r="AR24" s="292">
        <f>Financials!AR6/Financials!AR5</f>
        <v>0.76177767071552693</v>
      </c>
      <c r="AS24" s="292">
        <f>Financials!AS6/Financials!AS5</f>
        <v>0.75554059561271325</v>
      </c>
      <c r="AT24" s="292">
        <f>Financials!AT6/Financials!AT5</f>
        <v>0.75050391630511826</v>
      </c>
      <c r="AU24" s="292">
        <f>Financials!AU6/Financials!AU5</f>
        <v>0.7522006350625704</v>
      </c>
      <c r="AV24" s="292">
        <f>Financials!AV6/Financials!AV5</f>
        <v>0.74596014277820555</v>
      </c>
      <c r="AW24" s="292">
        <f>Financials!AW6/Financials!AW5</f>
        <v>0.80763756221792704</v>
      </c>
      <c r="AX24" s="292">
        <f>Financials!AX6/Financials!AX5</f>
        <v>0.80125147405569841</v>
      </c>
      <c r="AY24" s="292">
        <f>Financials!AY6/Financials!AY5</f>
        <v>0.79934933112493134</v>
      </c>
      <c r="AZ24" s="292">
        <f>Financials!AZ6/Financials!AZ5</f>
        <v>0.79289355116839166</v>
      </c>
      <c r="BA24" s="292">
        <f>Financials!BA6/Financials!BA5</f>
        <v>0.78808216013076182</v>
      </c>
      <c r="BB24" s="292">
        <f>Financials!BB6/Financials!BB5</f>
        <v>0.78527695943447806</v>
      </c>
      <c r="BC24" s="292">
        <f>Financials!BC6/Financials!BC5</f>
        <v>0.78006941048025147</v>
      </c>
      <c r="BD24" s="292">
        <f>Financials!BD6/Financials!BD5</f>
        <v>0.77407191395761288</v>
      </c>
      <c r="BE24" s="292">
        <f>Financials!BE6/Financials!BE5</f>
        <v>0.76769197198016248</v>
      </c>
      <c r="BF24" s="292">
        <f>Financials!BF6/Financials!BF5</f>
        <v>0.76117611587056677</v>
      </c>
      <c r="BG24" s="292">
        <f>Financials!BG6/Financials!BG5</f>
        <v>0.75611226677789556</v>
      </c>
      <c r="BH24" s="292">
        <f>Financials!BH6/Financials!BH5</f>
        <v>0.75977180555330559</v>
      </c>
      <c r="BI24" s="292">
        <f>Financials!BI6/Financials!BI5</f>
        <v>0.82132928576855457</v>
      </c>
      <c r="BJ24" s="292">
        <f>Financials!BJ6/Financials!BJ5</f>
        <v>0.81489892165980504</v>
      </c>
      <c r="BK24" s="292">
        <f>Financials!BK6/Financials!BK5</f>
        <v>0.81095846429357066</v>
      </c>
      <c r="BL24" s="292">
        <f>Financials!BL6/Financials!BL5</f>
        <v>0.8081178049759592</v>
      </c>
      <c r="BM24" s="292">
        <f>Financials!BM6/Financials!BM5</f>
        <v>0.79859408010057009</v>
      </c>
      <c r="BN24" s="292">
        <f>Financials!BN6/Financials!BN5</f>
        <v>0.79313384938289111</v>
      </c>
      <c r="BO24" s="292">
        <f>Financials!BO6/Financials!BO5</f>
        <v>0.79148703852436619</v>
      </c>
      <c r="BP24" s="292">
        <f>Financials!BP6/Financials!BP5</f>
        <v>0.78501760185111435</v>
      </c>
      <c r="BQ24" s="292">
        <f>Financials!BQ6/Financials!BQ5</f>
        <v>0.78053584045231161</v>
      </c>
      <c r="BR24" s="292">
        <f>Financials!BR6/Financials!BR5</f>
        <v>0.77554966118733903</v>
      </c>
      <c r="BS24" s="292">
        <f>Financials!BS6/Financials!BS5</f>
        <v>0.76998809160763493</v>
      </c>
      <c r="BT24" s="292">
        <f>Financials!BT6/Financials!BT5</f>
        <v>0.76240012790026868</v>
      </c>
      <c r="BU24" s="292">
        <f>Financials!BU6/Financials!BU5</f>
        <v>0.7528985933595066</v>
      </c>
      <c r="BV24" s="292">
        <f>Financials!BV6/Financials!BV5</f>
        <v>0.82498287777413393</v>
      </c>
      <c r="BW24" s="292">
        <f>Financials!BW6/Financials!BW5</f>
        <v>0.81645180994060673</v>
      </c>
      <c r="BX24" s="292">
        <f>Financials!BX6/Financials!BX5</f>
        <v>0.81287969133708726</v>
      </c>
      <c r="BY24" s="292">
        <f>Financials!BY6/Financials!BY5</f>
        <v>0.80652875729532714</v>
      </c>
      <c r="BZ24" s="292">
        <f>Financials!BZ6/Financials!BZ5</f>
        <v>0.80159107421567222</v>
      </c>
      <c r="CA24" s="292">
        <f>Financials!CA6/Financials!CA5</f>
        <v>0.79468895909100501</v>
      </c>
      <c r="CB24" s="292">
        <f>Financials!CB6/Financials!CB5</f>
        <v>0.79212133380089111</v>
      </c>
      <c r="CC24" s="292">
        <f>Financials!CC6/Financials!CC5</f>
        <v>0.78462904136427003</v>
      </c>
      <c r="CD24" s="292">
        <f>Financials!CD6/Financials!CD5</f>
        <v>0.77695237083452906</v>
      </c>
      <c r="CE24" s="292">
        <f>Financials!CE6/Financials!CE5</f>
        <v>0.77029815535888113</v>
      </c>
      <c r="CF24" s="292">
        <f>Financials!CF6/Financials!CF5</f>
        <v>0.76375191814488907</v>
      </c>
      <c r="CG24" s="292">
        <f>Financials!CG6/Financials!CG5</f>
        <v>0.7568436326317457</v>
      </c>
      <c r="CH24" s="292">
        <f>Financials!CH6/Financials!CH5</f>
        <v>0.75708374371289966</v>
      </c>
      <c r="CI24" s="292">
        <f>Financials!CI6/Financials!CI5</f>
        <v>0.82048346439397246</v>
      </c>
      <c r="CJ24" s="292">
        <f>Financials!CJ6/Financials!CJ5</f>
        <v>0.81348062311578639</v>
      </c>
      <c r="CK24" s="292">
        <f>Financials!CK6/Financials!CK5</f>
        <v>0.80735664213054859</v>
      </c>
      <c r="CL24" s="292">
        <f>Financials!CL6/Financials!CL5</f>
        <v>0.80154648473302059</v>
      </c>
      <c r="CM24" s="292">
        <f>Financials!CM6/Financials!CM5</f>
        <v>0.79452757689148146</v>
      </c>
      <c r="CN24" s="292">
        <f>Financials!CN6/Financials!CN5</f>
        <v>0.78808850968813782</v>
      </c>
      <c r="CO24" s="292">
        <f>Financials!CO6/Financials!CO5</f>
        <v>0.78634436197749746</v>
      </c>
      <c r="CP24" s="292">
        <f>Financials!CP6/Financials!CP5</f>
        <v>0.78190821726187898</v>
      </c>
      <c r="CQ24" s="292">
        <f>Financials!CQ6/Financials!CQ5</f>
        <v>0.77374523198301326</v>
      </c>
      <c r="CR24" s="292" t="e">
        <f>Financials!CR6/Financials!CR5</f>
        <v>#DIV/0!</v>
      </c>
      <c r="CS24" s="292" t="e">
        <f>Financials!CS6/Financials!CS5</f>
        <v>#DIV/0!</v>
      </c>
      <c r="CT24" s="292" t="e">
        <f>Financials!CT6/Financials!CT5</f>
        <v>#DIV/0!</v>
      </c>
      <c r="CU24" s="292" t="e">
        <f>Financials!CU6/Financials!CU5</f>
        <v>#DIV/0!</v>
      </c>
      <c r="CV24" s="292" t="e">
        <f>Financials!CV6/Financials!CV5</f>
        <v>#DIV/0!</v>
      </c>
      <c r="CW24" s="292" t="e">
        <f>Financials!CW6/Financials!CW5</f>
        <v>#DIV/0!</v>
      </c>
      <c r="CX24" s="292" t="e">
        <f>Financials!CX6/Financials!CX5</f>
        <v>#DIV/0!</v>
      </c>
      <c r="CY24" s="292" t="e">
        <f>Financials!CY6/Financials!CY5</f>
        <v>#DIV/0!</v>
      </c>
      <c r="CZ24" s="292" t="e">
        <f>Financials!CZ6/Financials!CZ5</f>
        <v>#DIV/0!</v>
      </c>
      <c r="DA24" s="292" t="e">
        <f>Financials!DA6/Financials!DA5</f>
        <v>#DIV/0!</v>
      </c>
      <c r="DB24" s="292" t="e">
        <f>Financials!DB6/Financials!DB5</f>
        <v>#DIV/0!</v>
      </c>
      <c r="DC24" s="292" t="e">
        <f>Financials!DC6/Financials!DC5</f>
        <v>#DIV/0!</v>
      </c>
      <c r="DD24" s="292" t="e">
        <f>Financials!DD6/Financials!DD5</f>
        <v>#DIV/0!</v>
      </c>
      <c r="DE24" s="292" t="e">
        <f>Financials!DE6/Financials!DE5</f>
        <v>#DIV/0!</v>
      </c>
      <c r="DF24" s="292" t="e">
        <f>Financials!DF6/Financials!DF5</f>
        <v>#DIV/0!</v>
      </c>
      <c r="DG24" s="292" t="e">
        <f>Financials!DG6/Financials!DG5</f>
        <v>#DIV/0!</v>
      </c>
      <c r="DH24" s="292" t="e">
        <f>Financials!DH6/Financials!DH5</f>
        <v>#DIV/0!</v>
      </c>
      <c r="DI24" s="292" t="e">
        <f>Financials!DI6/Financials!DI5</f>
        <v>#DIV/0!</v>
      </c>
      <c r="DJ24" s="292" t="e">
        <f>Financials!DJ6/Financials!DJ5</f>
        <v>#DIV/0!</v>
      </c>
      <c r="DK24" s="292" t="e">
        <f>Financials!DK6/Financials!DK5</f>
        <v>#DIV/0!</v>
      </c>
      <c r="DL24" s="292" t="e">
        <f>Financials!DL6/Financials!DL5</f>
        <v>#DIV/0!</v>
      </c>
      <c r="DM24" s="292" t="e">
        <f>Financials!DM6/Financials!DM5</f>
        <v>#DIV/0!</v>
      </c>
      <c r="DN24" s="292" t="e">
        <f>Financials!DN6/Financials!DN5</f>
        <v>#DIV/0!</v>
      </c>
      <c r="DO24" s="292" t="e">
        <f>Financials!DO6/Financials!DO5</f>
        <v>#DIV/0!</v>
      </c>
      <c r="DP24" s="292" t="e">
        <f>Financials!DP6/Financials!DP5</f>
        <v>#DIV/0!</v>
      </c>
      <c r="DQ24" s="292" t="e">
        <f>Financials!DQ6/Financials!DQ5</f>
        <v>#DIV/0!</v>
      </c>
      <c r="DR24" s="292" t="e">
        <f>Financials!DR6/Financials!DR5</f>
        <v>#DIV/0!</v>
      </c>
      <c r="DS24" s="292" t="e">
        <f>Financials!DS6/Financials!DS5</f>
        <v>#DIV/0!</v>
      </c>
      <c r="DT24" s="292" t="e">
        <f>Financials!DT6/Financials!DT5</f>
        <v>#DIV/0!</v>
      </c>
      <c r="DU24" s="292" t="e">
        <f>Financials!DU6/Financials!DU5</f>
        <v>#DIV/0!</v>
      </c>
      <c r="DV24" s="292" t="e">
        <f>Financials!DV6/Financials!DV5</f>
        <v>#DIV/0!</v>
      </c>
    </row>
    <row r="25" spans="1:126" s="153" customFormat="1">
      <c r="A25" s="294" t="s">
        <v>180</v>
      </c>
      <c r="B25" s="223" t="s">
        <v>177</v>
      </c>
      <c r="C25" s="164">
        <f>Financials!C7/Financials!C5</f>
        <v>0.66015458934274562</v>
      </c>
      <c r="D25" s="164">
        <f>Financials!D7/Financials!D5</f>
        <v>0.6290524859283505</v>
      </c>
      <c r="E25" s="164">
        <f>Financials!E7/Financials!E5</f>
        <v>0.57812880082882445</v>
      </c>
      <c r="F25" s="164">
        <f>Financials!F7/Financials!F5</f>
        <v>0.58150513209807542</v>
      </c>
      <c r="G25" s="164">
        <f>Financials!G7/Financials!G5</f>
        <v>0.56151036379133579</v>
      </c>
      <c r="H25" s="164">
        <f>Financials!H7/Financials!H5</f>
        <v>0.52254737891964986</v>
      </c>
      <c r="I25" s="164">
        <f>Financials!I7/Financials!I5</f>
        <v>0.58855137609277552</v>
      </c>
      <c r="J25" s="164">
        <f>Financials!J7/Financials!J5</f>
        <v>0.60605108956925657</v>
      </c>
      <c r="K25" s="164">
        <f>Financials!K7/Financials!K5</f>
        <v>0.61495252344908358</v>
      </c>
      <c r="L25" s="164">
        <f>Financials!L7/Financials!L5</f>
        <v>0.62167278041721219</v>
      </c>
      <c r="M25" s="164">
        <f>Financials!M7/Financials!M5</f>
        <v>0.62530675216951548</v>
      </c>
      <c r="N25" s="164">
        <f>Financials!N7/Financials!N5</f>
        <v>0.59267763029617515</v>
      </c>
      <c r="O25" s="164">
        <f>Financials!O7/Financials!O5</f>
        <v>0.58787109584923047</v>
      </c>
      <c r="P25" s="164">
        <f>Financials!P7/Financials!P5</f>
        <v>0.57387705612877815</v>
      </c>
      <c r="Q25" s="164">
        <f>Financials!Q7/Financials!Q5</f>
        <v>0.56566289823961624</v>
      </c>
      <c r="R25" s="164">
        <f>Financials!R7/Financials!R5</f>
        <v>0.5499826700292143</v>
      </c>
      <c r="S25" s="164">
        <f>Financials!S7/Financials!S5</f>
        <v>0.54813315549797492</v>
      </c>
      <c r="T25" s="164">
        <f>Financials!T7/Financials!T5</f>
        <v>0.54458462603821756</v>
      </c>
      <c r="U25" s="164">
        <f>Financials!U7/Financials!U5</f>
        <v>0.4750324165777397</v>
      </c>
      <c r="V25" s="164">
        <f>Financials!V7/Financials!V5</f>
        <v>0.54720649409373567</v>
      </c>
      <c r="W25" s="164">
        <f>Financials!W7/Financials!W5</f>
        <v>0.56106441647039063</v>
      </c>
      <c r="X25" s="164">
        <f>Financials!X7/Financials!X5</f>
        <v>0.57421695541922402</v>
      </c>
      <c r="Y25" s="164">
        <f>Financials!Y7/Financials!Y5</f>
        <v>0.57992392458370601</v>
      </c>
      <c r="Z25" s="164">
        <f>Financials!Z7/Financials!Z5</f>
        <v>0.57649624985970238</v>
      </c>
      <c r="AA25" s="164">
        <f>Financials!AA7/Financials!AA5</f>
        <v>0.57388941941644067</v>
      </c>
      <c r="AB25" s="164">
        <f>Financials!AB7/Financials!AB5</f>
        <v>0.56830168337298448</v>
      </c>
      <c r="AC25" s="164">
        <f>Financials!AC7/Financials!AC5</f>
        <v>0.70310313310385586</v>
      </c>
      <c r="AD25" s="164">
        <f>Financials!AD7/Financials!AD5</f>
        <v>0.70393940395342658</v>
      </c>
      <c r="AE25" s="164">
        <f>Financials!AE7/Financials!AE5</f>
        <v>0.70070088153402343</v>
      </c>
      <c r="AF25" s="164">
        <f>Financials!AF7/Financials!AF5</f>
        <v>0.69665732293360028</v>
      </c>
      <c r="AG25" s="164">
        <f>Financials!AG7/Financials!AG5</f>
        <v>0.68955669211698101</v>
      </c>
      <c r="AH25" s="295">
        <f>Financials!AH7/Financials!AH5</f>
        <v>0.71678971711286543</v>
      </c>
      <c r="AI25" s="295">
        <f>Financials!AI7/Financials!AI5</f>
        <v>0.68717814964072998</v>
      </c>
      <c r="AJ25" s="295">
        <f>Financials!AJ7/Financials!AJ5</f>
        <v>0.76227899204251504</v>
      </c>
      <c r="AK25" s="295">
        <f>Financials!AK7/Financials!AK5</f>
        <v>0.75986627206260116</v>
      </c>
      <c r="AL25" s="295">
        <f>Financials!AL7/Financials!AL5</f>
        <v>0.76058666652500717</v>
      </c>
      <c r="AM25" s="295">
        <f>Financials!AM7/Financials!AM5</f>
        <v>0.75685974438079473</v>
      </c>
      <c r="AN25" s="295">
        <f>Financials!AN7/Financials!AN5</f>
        <v>0.75090619653570612</v>
      </c>
      <c r="AO25" s="295">
        <f>Financials!AO7/Financials!AO5</f>
        <v>0.751683300006042</v>
      </c>
      <c r="AP25" s="295">
        <f>Financials!AP7/Financials!AP5</f>
        <v>0.75480141369265141</v>
      </c>
      <c r="AQ25" s="295">
        <f>Financials!AQ7/Financials!AQ5</f>
        <v>0.75498778938119637</v>
      </c>
      <c r="AR25" s="295">
        <f>Financials!AR7/Financials!AR5</f>
        <v>0.76177767071552693</v>
      </c>
      <c r="AS25" s="295">
        <f>Financials!AS7/Financials!AS5</f>
        <v>0.75554059561271325</v>
      </c>
      <c r="AT25" s="295">
        <f>Financials!AT7/Financials!AT5</f>
        <v>0.75050391630511826</v>
      </c>
      <c r="AU25" s="295">
        <f>Financials!AU7/Financials!AU5</f>
        <v>0.7522006350625704</v>
      </c>
      <c r="AV25" s="295">
        <f>Financials!AV7/Financials!AV5</f>
        <v>0.74596014277820555</v>
      </c>
      <c r="AW25" s="295">
        <f>Financials!AW7/Financials!AW5</f>
        <v>0.80763756221792704</v>
      </c>
      <c r="AX25" s="295">
        <f>Financials!AX7/Financials!AX5</f>
        <v>0.80125147405569841</v>
      </c>
      <c r="AY25" s="295">
        <f>Financials!AY7/Financials!AY5</f>
        <v>0.79934933112493134</v>
      </c>
      <c r="AZ25" s="295">
        <f>Financials!AZ7/Financials!AZ5</f>
        <v>0.79289355116839166</v>
      </c>
      <c r="BA25" s="295">
        <f>Financials!BA7/Financials!BA5</f>
        <v>0.78808216013076182</v>
      </c>
      <c r="BB25" s="295">
        <f>Financials!BB7/Financials!BB5</f>
        <v>0.78527695943447806</v>
      </c>
      <c r="BC25" s="295">
        <f>Financials!BC7/Financials!BC5</f>
        <v>0.78006941048025147</v>
      </c>
      <c r="BD25" s="295">
        <f>Financials!BD7/Financials!BD5</f>
        <v>0.77407191395761288</v>
      </c>
      <c r="BE25" s="295">
        <f>Financials!BE7/Financials!BE5</f>
        <v>0.76769197198016248</v>
      </c>
      <c r="BF25" s="295">
        <f>Financials!BF7/Financials!BF5</f>
        <v>0.76117611587056677</v>
      </c>
      <c r="BG25" s="295">
        <f>Financials!BG7/Financials!BG5</f>
        <v>0.75611226677789556</v>
      </c>
      <c r="BH25" s="295">
        <f>Financials!BH7/Financials!BH5</f>
        <v>0.75977180555330559</v>
      </c>
      <c r="BI25" s="295">
        <f>Financials!BI7/Financials!BI5</f>
        <v>0.82132928576855457</v>
      </c>
      <c r="BJ25" s="295">
        <f>Financials!BJ7/Financials!BJ5</f>
        <v>0.81489892165980504</v>
      </c>
      <c r="BK25" s="295">
        <f>Financials!BK7/Financials!BK5</f>
        <v>0.81095846429357066</v>
      </c>
      <c r="BL25" s="295">
        <f>Financials!BL7/Financials!BL5</f>
        <v>0.8081178049759592</v>
      </c>
      <c r="BM25" s="295">
        <f>Financials!BM7/Financials!BM5</f>
        <v>0.79859408010057009</v>
      </c>
      <c r="BN25" s="295">
        <f>Financials!BN7/Financials!BN5</f>
        <v>0.79313384938289111</v>
      </c>
      <c r="BO25" s="295">
        <f>Financials!BO7/Financials!BO5</f>
        <v>0.79148703852436619</v>
      </c>
      <c r="BP25" s="295">
        <f>Financials!BP7/Financials!BP5</f>
        <v>0.78501760185111435</v>
      </c>
      <c r="BQ25" s="295">
        <f>Financials!BQ7/Financials!BQ5</f>
        <v>0.78053584045231161</v>
      </c>
      <c r="BR25" s="295">
        <f>Financials!BR7/Financials!BR5</f>
        <v>0.77554966118733903</v>
      </c>
      <c r="BS25" s="295">
        <f>Financials!BS7/Financials!BS5</f>
        <v>0.76998809160763493</v>
      </c>
      <c r="BT25" s="295">
        <f>Financials!BT7/Financials!BT5</f>
        <v>0.76240012790026868</v>
      </c>
      <c r="BU25" s="295">
        <f>Financials!BU7/Financials!BU5</f>
        <v>0.7528985933595066</v>
      </c>
      <c r="BV25" s="295">
        <f>Financials!BV7/Financials!BV5</f>
        <v>0.82498287777413393</v>
      </c>
      <c r="BW25" s="295">
        <f>Financials!BW7/Financials!BW5</f>
        <v>0.81645180994060673</v>
      </c>
      <c r="BX25" s="295">
        <f>Financials!BX7/Financials!BX5</f>
        <v>0.81287969133708726</v>
      </c>
      <c r="BY25" s="295">
        <f>Financials!BY7/Financials!BY5</f>
        <v>0.80652875729532714</v>
      </c>
      <c r="BZ25" s="295">
        <f>Financials!BZ7/Financials!BZ5</f>
        <v>0.80159107421567222</v>
      </c>
      <c r="CA25" s="295">
        <f>Financials!CA7/Financials!CA5</f>
        <v>0.79468895909100501</v>
      </c>
      <c r="CB25" s="295">
        <f>Financials!CB7/Financials!CB5</f>
        <v>0.79212133380089111</v>
      </c>
      <c r="CC25" s="295">
        <f>Financials!CC7/Financials!CC5</f>
        <v>0.78462904136427003</v>
      </c>
      <c r="CD25" s="295">
        <f>Financials!CD7/Financials!CD5</f>
        <v>0.77695237083452906</v>
      </c>
      <c r="CE25" s="295">
        <f>Financials!CE7/Financials!CE5</f>
        <v>0.77029815535888113</v>
      </c>
      <c r="CF25" s="295">
        <f>Financials!CF7/Financials!CF5</f>
        <v>0.76375191814488907</v>
      </c>
      <c r="CG25" s="295">
        <f>Financials!CG7/Financials!CG5</f>
        <v>0.7568436326317457</v>
      </c>
      <c r="CH25" s="295">
        <f>Financials!CH7/Financials!CH5</f>
        <v>0.75708374371289966</v>
      </c>
      <c r="CI25" s="295">
        <f>Financials!CI7/Financials!CI5</f>
        <v>0.82048346439397246</v>
      </c>
      <c r="CJ25" s="295">
        <f>Financials!CJ7/Financials!CJ5</f>
        <v>0.81348062311578639</v>
      </c>
      <c r="CK25" s="295">
        <f>Financials!CK7/Financials!CK5</f>
        <v>0.80735664213054859</v>
      </c>
      <c r="CL25" s="295">
        <f>Financials!CL7/Financials!CL5</f>
        <v>0.80154648473302059</v>
      </c>
      <c r="CM25" s="295">
        <f>Financials!CM7/Financials!CM5</f>
        <v>0.79452757689148146</v>
      </c>
      <c r="CN25" s="295">
        <f>Financials!CN7/Financials!CN5</f>
        <v>0.78808850968813782</v>
      </c>
      <c r="CO25" s="295">
        <f>Financials!CO7/Financials!CO5</f>
        <v>0.78634436197749746</v>
      </c>
      <c r="CP25" s="295">
        <f>Financials!CP7/Financials!CP5</f>
        <v>0.78190821726187898</v>
      </c>
      <c r="CQ25" s="295">
        <f>Financials!CQ7/Financials!CQ5</f>
        <v>0.77374523198301326</v>
      </c>
      <c r="CR25" s="295" t="e">
        <f>Financials!CR7/Financials!CR5</f>
        <v>#DIV/0!</v>
      </c>
      <c r="CS25" s="295" t="e">
        <f>Financials!CS7/Financials!CS5</f>
        <v>#DIV/0!</v>
      </c>
      <c r="CT25" s="295" t="e">
        <f>Financials!CT7/Financials!CT5</f>
        <v>#DIV/0!</v>
      </c>
      <c r="CU25" s="295" t="e">
        <f>Financials!CU7/Financials!CU5</f>
        <v>#DIV/0!</v>
      </c>
      <c r="CV25" s="295" t="e">
        <f>Financials!CV7/Financials!CV5</f>
        <v>#DIV/0!</v>
      </c>
      <c r="CW25" s="295" t="e">
        <f>Financials!CW7/Financials!CW5</f>
        <v>#DIV/0!</v>
      </c>
      <c r="CX25" s="295" t="e">
        <f>Financials!CX7/Financials!CX5</f>
        <v>#DIV/0!</v>
      </c>
      <c r="CY25" s="295" t="e">
        <f>Financials!CY7/Financials!CY5</f>
        <v>#DIV/0!</v>
      </c>
      <c r="CZ25" s="295" t="e">
        <f>Financials!CZ7/Financials!CZ5</f>
        <v>#DIV/0!</v>
      </c>
      <c r="DA25" s="295" t="e">
        <f>Financials!DA7/Financials!DA5</f>
        <v>#DIV/0!</v>
      </c>
      <c r="DB25" s="295" t="e">
        <f>Financials!DB7/Financials!DB5</f>
        <v>#DIV/0!</v>
      </c>
      <c r="DC25" s="295" t="e">
        <f>Financials!DC7/Financials!DC5</f>
        <v>#DIV/0!</v>
      </c>
      <c r="DD25" s="295" t="e">
        <f>Financials!DD7/Financials!DD5</f>
        <v>#DIV/0!</v>
      </c>
      <c r="DE25" s="295" t="e">
        <f>Financials!DE7/Financials!DE5</f>
        <v>#DIV/0!</v>
      </c>
      <c r="DF25" s="295" t="e">
        <f>Financials!DF7/Financials!DF5</f>
        <v>#DIV/0!</v>
      </c>
      <c r="DG25" s="295" t="e">
        <f>Financials!DG7/Financials!DG5</f>
        <v>#DIV/0!</v>
      </c>
      <c r="DH25" s="295" t="e">
        <f>Financials!DH7/Financials!DH5</f>
        <v>#DIV/0!</v>
      </c>
      <c r="DI25" s="295" t="e">
        <f>Financials!DI7/Financials!DI5</f>
        <v>#DIV/0!</v>
      </c>
      <c r="DJ25" s="295" t="e">
        <f>Financials!DJ7/Financials!DJ5</f>
        <v>#DIV/0!</v>
      </c>
      <c r="DK25" s="295" t="e">
        <f>Financials!DK7/Financials!DK5</f>
        <v>#DIV/0!</v>
      </c>
      <c r="DL25" s="295" t="e">
        <f>Financials!DL7/Financials!DL5</f>
        <v>#DIV/0!</v>
      </c>
      <c r="DM25" s="295" t="e">
        <f>Financials!DM7/Financials!DM5</f>
        <v>#DIV/0!</v>
      </c>
      <c r="DN25" s="295" t="e">
        <f>Financials!DN7/Financials!DN5</f>
        <v>#DIV/0!</v>
      </c>
      <c r="DO25" s="295" t="e">
        <f>Financials!DO7/Financials!DO5</f>
        <v>#DIV/0!</v>
      </c>
      <c r="DP25" s="295" t="e">
        <f>Financials!DP7/Financials!DP5</f>
        <v>#DIV/0!</v>
      </c>
      <c r="DQ25" s="295" t="e">
        <f>Financials!DQ7/Financials!DQ5</f>
        <v>#DIV/0!</v>
      </c>
      <c r="DR25" s="295" t="e">
        <f>Financials!DR7/Financials!DR5</f>
        <v>#DIV/0!</v>
      </c>
      <c r="DS25" s="295" t="e">
        <f>Financials!DS7/Financials!DS5</f>
        <v>#DIV/0!</v>
      </c>
      <c r="DT25" s="295" t="e">
        <f>Financials!DT7/Financials!DT5</f>
        <v>#DIV/0!</v>
      </c>
      <c r="DU25" s="295" t="e">
        <f>Financials!DU7/Financials!DU5</f>
        <v>#DIV/0!</v>
      </c>
      <c r="DV25" s="295" t="e">
        <f>Financials!DV7/Financials!DV5</f>
        <v>#DIV/0!</v>
      </c>
    </row>
    <row r="26" spans="1:126" s="153" customFormat="1">
      <c r="A26" s="294" t="s">
        <v>181</v>
      </c>
      <c r="B26" s="223" t="s">
        <v>177</v>
      </c>
      <c r="C26" s="165">
        <f>Financials!C8/Financials!C5</f>
        <v>0.11688959424205884</v>
      </c>
      <c r="D26" s="165">
        <f>Financials!D8/Financials!D5</f>
        <v>0.13144521172139581</v>
      </c>
      <c r="E26" s="165">
        <f>Financials!E8/Financials!E5</f>
        <v>0.13733482073065131</v>
      </c>
      <c r="F26" s="165">
        <f>Financials!F8/Financials!F5</f>
        <v>0.1725072740226184</v>
      </c>
      <c r="G26" s="165">
        <f>Financials!G8/Financials!G5</f>
        <v>0.20441599382105952</v>
      </c>
      <c r="H26" s="165">
        <f>Financials!H8/Financials!H5</f>
        <v>0.21323141521179378</v>
      </c>
      <c r="I26" s="165">
        <f>Financials!I8/Financials!I5</f>
        <v>0.13394746405813895</v>
      </c>
      <c r="J26" s="165">
        <f>Financials!J8/Financials!J5</f>
        <v>0.17620412399669322</v>
      </c>
      <c r="K26" s="165">
        <f>Financials!K8/Financials!K5</f>
        <v>0.15957610937883357</v>
      </c>
      <c r="L26" s="165">
        <f>Financials!L8/Financials!L5</f>
        <v>0.14446852690888992</v>
      </c>
      <c r="M26" s="165">
        <f>Financials!M8/Financials!M5</f>
        <v>0</v>
      </c>
      <c r="N26" s="165">
        <f>Financials!N8/Financials!N5</f>
        <v>0.14263499633352036</v>
      </c>
      <c r="O26" s="165">
        <f>Financials!O8/Financials!O5</f>
        <v>0.14340499167625087</v>
      </c>
      <c r="P26" s="165">
        <f>Financials!P8/Financials!P5</f>
        <v>0.1406196111219977</v>
      </c>
      <c r="Q26" s="165">
        <f>Financials!Q8/Financials!Q5</f>
        <v>0.1302444786802234</v>
      </c>
      <c r="R26" s="165">
        <f>Financials!R8/Financials!R5</f>
        <v>0.13243356985178406</v>
      </c>
      <c r="S26" s="165">
        <f>Financials!S8/Financials!S5</f>
        <v>0.13586079172116741</v>
      </c>
      <c r="T26" s="165">
        <f>Financials!T8/Financials!T5</f>
        <v>0.13490592022635939</v>
      </c>
      <c r="U26" s="165">
        <f>Financials!U8/Financials!U5</f>
        <v>0.21867744498231059</v>
      </c>
      <c r="V26" s="165">
        <f>Financials!V8/Financials!V5</f>
        <v>0.12993290952534908</v>
      </c>
      <c r="W26" s="165">
        <f>Financials!W8/Financials!W5</f>
        <v>0.17046361610345442</v>
      </c>
      <c r="X26" s="165">
        <f>Financials!X8/Financials!X5</f>
        <v>0.1499080800986253</v>
      </c>
      <c r="Y26" s="165">
        <f>Financials!Y8/Financials!Y5</f>
        <v>0.13699844456033003</v>
      </c>
      <c r="Z26" s="165">
        <f>Financials!Z8/Financials!Z5</f>
        <v>0.1405915765602839</v>
      </c>
      <c r="AA26" s="165">
        <f>Financials!AA8/Financials!AA5</f>
        <v>0.13793525707420348</v>
      </c>
      <c r="AB26" s="165">
        <f>Financials!AB8/Financials!AB5</f>
        <v>0.13962730795120559</v>
      </c>
      <c r="AC26" s="165">
        <f>Financials!AC8/Financials!AC5</f>
        <v>0.57911081734215453</v>
      </c>
      <c r="AD26" s="165">
        <f>Financials!AD8/Financials!AD5</f>
        <v>0.58140240827951573</v>
      </c>
      <c r="AE26" s="165">
        <f>Financials!AE8/Financials!AE5</f>
        <v>0.57975585588400813</v>
      </c>
      <c r="AF26" s="165">
        <f>Financials!AF8/Financials!AF5</f>
        <v>0.57711527578364019</v>
      </c>
      <c r="AG26" s="165">
        <f>Financials!AG8/Financials!AG5</f>
        <v>0.56941600183616048</v>
      </c>
      <c r="AH26" s="296">
        <f>Financials!AH8/Financials!AH5</f>
        <v>0.56141021287711479</v>
      </c>
      <c r="AI26" s="296">
        <f>Financials!AI8/Financials!AI5</f>
        <v>0.56854443453416192</v>
      </c>
      <c r="AJ26" s="296">
        <f>Financials!AJ8/Financials!AJ5</f>
        <v>0.60878093665817479</v>
      </c>
      <c r="AK26" s="296">
        <f>Financials!AK8/Financials!AK5</f>
        <v>0.61873761562041141</v>
      </c>
      <c r="AL26" s="296">
        <f>Financials!AL8/Financials!AL5</f>
        <v>0.62636775210698303</v>
      </c>
      <c r="AM26" s="296">
        <f>Financials!AM8/Financials!AM5</f>
        <v>0.62702741747770474</v>
      </c>
      <c r="AN26" s="296">
        <f>Financials!AN8/Financials!AN5</f>
        <v>0.62227005402248881</v>
      </c>
      <c r="AO26" s="296">
        <f>Financials!AO8/Financials!AO5</f>
        <v>0.61549385974862936</v>
      </c>
      <c r="AP26" s="296">
        <f>Financials!AP8/Financials!AP5</f>
        <v>0.62432089950518388</v>
      </c>
      <c r="AQ26" s="296">
        <f>Financials!AQ8/Financials!AQ5</f>
        <v>0.62375486321632534</v>
      </c>
      <c r="AR26" s="296">
        <f>Financials!AR8/Financials!AR5</f>
        <v>0.62410966286912395</v>
      </c>
      <c r="AS26" s="296">
        <f>Financials!AS8/Financials!AS5</f>
        <v>0.62485443513371908</v>
      </c>
      <c r="AT26" s="296">
        <f>Financials!AT8/Financials!AT5</f>
        <v>0.61621843947292254</v>
      </c>
      <c r="AU26" s="296">
        <f>Financials!AU8/Financials!AU5</f>
        <v>0.6206735140915175</v>
      </c>
      <c r="AV26" s="296">
        <f>Financials!AV8/Financials!AV5</f>
        <v>0.61540213198254012</v>
      </c>
      <c r="AW26" s="296">
        <f>Financials!AW8/Financials!AW5</f>
        <v>0.63348364979716221</v>
      </c>
      <c r="AX26" s="296">
        <f>Financials!AX8/Financials!AX5</f>
        <v>0.64662379035777839</v>
      </c>
      <c r="AY26" s="296">
        <f>Financials!AY8/Financials!AY5</f>
        <v>0.6421355809634971</v>
      </c>
      <c r="AZ26" s="296">
        <f>Financials!AZ8/Financials!AZ5</f>
        <v>0.64523120781224808</v>
      </c>
      <c r="BA26" s="296">
        <f>Financials!BA8/Financials!BA5</f>
        <v>0.63592003480774906</v>
      </c>
      <c r="BB26" s="296">
        <f>Financials!BB8/Financials!BB5</f>
        <v>0.63419691556862479</v>
      </c>
      <c r="BC26" s="296">
        <f>Financials!BC8/Financials!BC5</f>
        <v>0.63101666025600622</v>
      </c>
      <c r="BD26" s="296">
        <f>Financials!BD8/Financials!BD5</f>
        <v>0.62940842098696725</v>
      </c>
      <c r="BE26" s="296">
        <f>Financials!BE8/Financials!BE5</f>
        <v>0.62714306965291355</v>
      </c>
      <c r="BF26" s="296">
        <f>Financials!BF8/Financials!BF5</f>
        <v>0.62811810973680782</v>
      </c>
      <c r="BG26" s="296">
        <f>Financials!BG8/Financials!BG5</f>
        <v>0.61534602753170131</v>
      </c>
      <c r="BH26" s="296">
        <f>Financials!BH8/Financials!BH5</f>
        <v>0.61212851042736427</v>
      </c>
      <c r="BI26" s="296">
        <f>Financials!BI8/Financials!BI5</f>
        <v>0.62788347274423018</v>
      </c>
      <c r="BJ26" s="296">
        <f>Financials!BJ8/Financials!BJ5</f>
        <v>0.64710497394165556</v>
      </c>
      <c r="BK26" s="296">
        <f>Financials!BK8/Financials!BK5</f>
        <v>0.65150935880189198</v>
      </c>
      <c r="BL26" s="296">
        <f>Financials!BL8/Financials!BL5</f>
        <v>0.65221577504713901</v>
      </c>
      <c r="BM26" s="296">
        <f>Financials!BM8/Financials!BM5</f>
        <v>0.65048649311040807</v>
      </c>
      <c r="BN26" s="296">
        <f>Financials!BN8/Financials!BN5</f>
        <v>0.65208786113746886</v>
      </c>
      <c r="BO26" s="296">
        <f>Financials!BO8/Financials!BO5</f>
        <v>0.63888938983844079</v>
      </c>
      <c r="BP26" s="296">
        <f>Financials!BP8/Financials!BP5</f>
        <v>0.63838181359636204</v>
      </c>
      <c r="BQ26" s="296">
        <f>Financials!BQ8/Financials!BQ5</f>
        <v>0.63362329817799246</v>
      </c>
      <c r="BR26" s="296">
        <f>Financials!BR8/Financials!BR5</f>
        <v>0.62944250544139446</v>
      </c>
      <c r="BS26" s="296">
        <f>Financials!BS8/Financials!BS5</f>
        <v>0.6266115626964377</v>
      </c>
      <c r="BT26" s="296">
        <f>Financials!BT8/Financials!BT5</f>
        <v>0.61931499809646862</v>
      </c>
      <c r="BU26" s="296">
        <f>Financials!BU8/Financials!BU5</f>
        <v>0.60660894384895669</v>
      </c>
      <c r="BV26" s="296">
        <f>Financials!BV8/Financials!BV5</f>
        <v>0.63750020714673616</v>
      </c>
      <c r="BW26" s="296">
        <f>Financials!BW8/Financials!BW5</f>
        <v>0.64509624239841923</v>
      </c>
      <c r="BX26" s="296">
        <f>Financials!BX8/Financials!BX5</f>
        <v>0.64839868270728673</v>
      </c>
      <c r="BY26" s="296">
        <f>Financials!BY8/Financials!BY5</f>
        <v>0.65451217504310766</v>
      </c>
      <c r="BZ26" s="296">
        <f>Financials!BZ8/Financials!BZ5</f>
        <v>0.65120304218470249</v>
      </c>
      <c r="CA26" s="296">
        <f>Financials!CA8/Financials!CA5</f>
        <v>0.64809659693564714</v>
      </c>
      <c r="CB26" s="296">
        <f>Financials!CB8/Financials!CB5</f>
        <v>0.64202447623434589</v>
      </c>
      <c r="CC26" s="296">
        <f>Financials!CC8/Financials!CC5</f>
        <v>0.64188960150433694</v>
      </c>
      <c r="CD26" s="296">
        <f>Financials!CD8/Financials!CD5</f>
        <v>0.64360495788166161</v>
      </c>
      <c r="CE26" s="296">
        <f>Financials!CE8/Financials!CE5</f>
        <v>0.6415671863666923</v>
      </c>
      <c r="CF26" s="296">
        <f>Financials!CF8/Financials!CF5</f>
        <v>0.63729062571686179</v>
      </c>
      <c r="CG26" s="296">
        <f>Financials!CG8/Financials!CG5</f>
        <v>0.62974914812604976</v>
      </c>
      <c r="CH26" s="296">
        <f>Financials!CH8/Financials!CH5</f>
        <v>0.62525722140862794</v>
      </c>
      <c r="CI26" s="296">
        <f>Financials!CI8/Financials!CI5</f>
        <v>0.65344370936182905</v>
      </c>
      <c r="CJ26" s="296">
        <f>Financials!CJ8/Financials!CJ5</f>
        <v>0.66111091434510783</v>
      </c>
      <c r="CK26" s="296">
        <f>Financials!CK8/Financials!CK5</f>
        <v>0.66493689142185053</v>
      </c>
      <c r="CL26" s="296">
        <f>Financials!CL8/Financials!CL5</f>
        <v>0.6643970474729447</v>
      </c>
      <c r="CM26" s="296">
        <f>Financials!CM8/Financials!CM5</f>
        <v>0.66451893749347912</v>
      </c>
      <c r="CN26" s="296">
        <f>Financials!CN8/Financials!CN5</f>
        <v>0.65896441809533113</v>
      </c>
      <c r="CO26" s="296">
        <f>Financials!CO8/Financials!CO5</f>
        <v>0.65475033138161098</v>
      </c>
      <c r="CP26" s="296">
        <f>Financials!CP8/Financials!CP5</f>
        <v>0.65221181515988125</v>
      </c>
      <c r="CQ26" s="296">
        <f>Financials!CQ8/Financials!CQ5</f>
        <v>0.65521249491734779</v>
      </c>
      <c r="CR26" s="296" t="e">
        <f>Financials!CR8/Financials!CR5</f>
        <v>#DIV/0!</v>
      </c>
      <c r="CS26" s="296" t="e">
        <f>Financials!CS8/Financials!CS5</f>
        <v>#DIV/0!</v>
      </c>
      <c r="CT26" s="296" t="e">
        <f>Financials!CT8/Financials!CT5</f>
        <v>#DIV/0!</v>
      </c>
      <c r="CU26" s="296" t="e">
        <f>Financials!CU8/Financials!CU5</f>
        <v>#DIV/0!</v>
      </c>
      <c r="CV26" s="296" t="e">
        <f>Financials!CV8/Financials!CV5</f>
        <v>#DIV/0!</v>
      </c>
      <c r="CW26" s="296" t="e">
        <f>Financials!CW8/Financials!CW5</f>
        <v>#DIV/0!</v>
      </c>
      <c r="CX26" s="296" t="e">
        <f>Financials!CX8/Financials!CX5</f>
        <v>#DIV/0!</v>
      </c>
      <c r="CY26" s="296" t="e">
        <f>Financials!CY8/Financials!CY5</f>
        <v>#DIV/0!</v>
      </c>
      <c r="CZ26" s="296" t="e">
        <f>Financials!CZ8/Financials!CZ5</f>
        <v>#DIV/0!</v>
      </c>
      <c r="DA26" s="296" t="e">
        <f>Financials!DA8/Financials!DA5</f>
        <v>#DIV/0!</v>
      </c>
      <c r="DB26" s="296" t="e">
        <f>Financials!DB8/Financials!DB5</f>
        <v>#DIV/0!</v>
      </c>
      <c r="DC26" s="296" t="e">
        <f>Financials!DC8/Financials!DC5</f>
        <v>#DIV/0!</v>
      </c>
      <c r="DD26" s="296" t="e">
        <f>Financials!DD8/Financials!DD5</f>
        <v>#DIV/0!</v>
      </c>
      <c r="DE26" s="296" t="e">
        <f>Financials!DE8/Financials!DE5</f>
        <v>#DIV/0!</v>
      </c>
      <c r="DF26" s="296" t="e">
        <f>Financials!DF8/Financials!DF5</f>
        <v>#DIV/0!</v>
      </c>
      <c r="DG26" s="296" t="e">
        <f>Financials!DG8/Financials!DG5</f>
        <v>#DIV/0!</v>
      </c>
      <c r="DH26" s="296" t="e">
        <f>Financials!DH8/Financials!DH5</f>
        <v>#DIV/0!</v>
      </c>
      <c r="DI26" s="296" t="e">
        <f>Financials!DI8/Financials!DI5</f>
        <v>#DIV/0!</v>
      </c>
      <c r="DJ26" s="296" t="e">
        <f>Financials!DJ8/Financials!DJ5</f>
        <v>#DIV/0!</v>
      </c>
      <c r="DK26" s="296" t="e">
        <f>Financials!DK8/Financials!DK5</f>
        <v>#DIV/0!</v>
      </c>
      <c r="DL26" s="296" t="e">
        <f>Financials!DL8/Financials!DL5</f>
        <v>#DIV/0!</v>
      </c>
      <c r="DM26" s="296" t="e">
        <f>Financials!DM8/Financials!DM5</f>
        <v>#DIV/0!</v>
      </c>
      <c r="DN26" s="296" t="e">
        <f>Financials!DN8/Financials!DN5</f>
        <v>#DIV/0!</v>
      </c>
      <c r="DO26" s="296" t="e">
        <f>Financials!DO8/Financials!DO5</f>
        <v>#DIV/0!</v>
      </c>
      <c r="DP26" s="296" t="e">
        <f>Financials!DP8/Financials!DP5</f>
        <v>#DIV/0!</v>
      </c>
      <c r="DQ26" s="296" t="e">
        <f>Financials!DQ8/Financials!DQ5</f>
        <v>#DIV/0!</v>
      </c>
      <c r="DR26" s="296" t="e">
        <f>Financials!DR8/Financials!DR5</f>
        <v>#DIV/0!</v>
      </c>
      <c r="DS26" s="296" t="e">
        <f>Financials!DS8/Financials!DS5</f>
        <v>#DIV/0!</v>
      </c>
      <c r="DT26" s="296" t="e">
        <f>Financials!DT8/Financials!DT5</f>
        <v>#DIV/0!</v>
      </c>
      <c r="DU26" s="296" t="e">
        <f>Financials!DU8/Financials!DU5</f>
        <v>#DIV/0!</v>
      </c>
      <c r="DV26" s="296" t="e">
        <f>Financials!DV8/Financials!DV5</f>
        <v>#DIV/0!</v>
      </c>
    </row>
    <row r="27" spans="1:126" s="153" customFormat="1">
      <c r="A27" s="288" t="s">
        <v>182</v>
      </c>
      <c r="B27" s="218" t="s">
        <v>183</v>
      </c>
      <c r="C27" s="166">
        <f>Financials!C9/Financials!C5</f>
        <v>2.4795113899575932E-2</v>
      </c>
      <c r="D27" s="166">
        <f>Financials!D9/Financials!D5</f>
        <v>0</v>
      </c>
      <c r="E27" s="166">
        <f>Financials!E9/Financials!E5</f>
        <v>0</v>
      </c>
      <c r="F27" s="166">
        <f>Financials!F9/Financials!F5</f>
        <v>0</v>
      </c>
      <c r="G27" s="166">
        <f>Financials!G9/Financials!G5</f>
        <v>0</v>
      </c>
      <c r="H27" s="166">
        <f>Financials!H9/Financials!H5</f>
        <v>3.7590577381442086E-2</v>
      </c>
      <c r="I27" s="166">
        <f>Financials!I9/Financials!I5</f>
        <v>3.7007320245325943E-2</v>
      </c>
      <c r="J27" s="166">
        <f>Financials!J9/Financials!J5</f>
        <v>3.4245183095487568E-2</v>
      </c>
      <c r="K27" s="166">
        <f>Financials!K9/Financials!K5</f>
        <v>3.4155523053677125E-2</v>
      </c>
      <c r="L27" s="166">
        <f>Financials!L9/Financials!L5</f>
        <v>3.4104451998119539E-2</v>
      </c>
      <c r="M27" s="166">
        <f>Financials!M9/Financials!M5</f>
        <v>3.3769378859805674E-2</v>
      </c>
      <c r="N27" s="166">
        <f>Financials!N9/Financials!N5</f>
        <v>6.6104278196467955E-2</v>
      </c>
      <c r="O27" s="166">
        <f>Financials!O9/Financials!O5</f>
        <v>6.4805667319768334E-2</v>
      </c>
      <c r="P27" s="166">
        <f>Financials!P9/Financials!P5</f>
        <v>7.6955188477632386E-2</v>
      </c>
      <c r="Q27" s="166">
        <f>Financials!Q9/Financials!Q5</f>
        <v>9.0280535479552157E-2</v>
      </c>
      <c r="R27" s="166">
        <f>Financials!R9/Financials!R5</f>
        <v>0.10233064935762549</v>
      </c>
      <c r="S27" s="166">
        <f>Financials!S9/Financials!S5</f>
        <v>9.5146853178735599E-2</v>
      </c>
      <c r="T27" s="166">
        <f>Financials!T9/Financials!T5</f>
        <v>9.1981501523159023E-2</v>
      </c>
      <c r="U27" s="166">
        <f>Financials!U9/Financials!U5</f>
        <v>9.1999833253417221E-2</v>
      </c>
      <c r="V27" s="166">
        <f>Financials!V9/Financials!V5</f>
        <v>8.9268010864099773E-2</v>
      </c>
      <c r="W27" s="166">
        <f>Financials!W9/Financials!W5</f>
        <v>8.5737702179401507E-2</v>
      </c>
      <c r="X27" s="166">
        <f>Financials!X9/Financials!X5</f>
        <v>8.4283301777339462E-2</v>
      </c>
      <c r="Y27" s="166">
        <f>Financials!Y9/Financials!Y5</f>
        <v>8.2291624422517237E-2</v>
      </c>
      <c r="Z27" s="166">
        <f>Financials!Z9/Financials!Z5</f>
        <v>7.6779277269630852E-2</v>
      </c>
      <c r="AA27" s="166">
        <f>Financials!AA9/Financials!AA5</f>
        <v>7.3709077807157686E-2</v>
      </c>
      <c r="AB27" s="166">
        <f>Financials!AB9/Financials!AB5</f>
        <v>7.0557542162109521E-2</v>
      </c>
      <c r="AC27" s="166">
        <f>Financials!AC9/Financials!AC5</f>
        <v>4.9570570139601471E-2</v>
      </c>
      <c r="AD27" s="166">
        <f>Financials!AD9/Financials!AD5</f>
        <v>5.0362631142604537E-2</v>
      </c>
      <c r="AE27" s="166">
        <f>Financials!AE9/Financials!AE5</f>
        <v>5.0228585933690117E-2</v>
      </c>
      <c r="AF27" s="166">
        <f>Financials!AF9/Financials!AF5</f>
        <v>5.0122632316057458E-2</v>
      </c>
      <c r="AG27" s="166">
        <f>Financials!AG9/Financials!AG5</f>
        <v>5.0299675900937868E-2</v>
      </c>
      <c r="AH27" s="286">
        <f>Financials!AH9/Financials!AH5</f>
        <v>5.0662706139116019E-2</v>
      </c>
      <c r="AI27" s="286">
        <f>Financials!AI9/Financials!AI5</f>
        <v>5.005070660523929E-2</v>
      </c>
      <c r="AJ27" s="286">
        <f>Financials!AJ9/Financials!AJ5</f>
        <v>6.1779050511826708E-2</v>
      </c>
      <c r="AK27" s="286">
        <f>Financials!AK9/Financials!AK5</f>
        <v>6.2019943852057349E-2</v>
      </c>
      <c r="AL27" s="286">
        <f>Financials!AL9/Financials!AL5</f>
        <v>6.3259814370934808E-2</v>
      </c>
      <c r="AM27" s="286">
        <f>Financials!AM9/Financials!AM5</f>
        <v>6.3170644198234857E-2</v>
      </c>
      <c r="AN27" s="286">
        <f>Financials!AN9/Financials!AN5</f>
        <v>6.2511303968021806E-2</v>
      </c>
      <c r="AO27" s="286">
        <f>Financials!AO9/Financials!AO5</f>
        <v>6.1563110893412286E-2</v>
      </c>
      <c r="AP27" s="286">
        <f>Financials!AP9/Financials!AP5</f>
        <v>6.2103802312193743E-2</v>
      </c>
      <c r="AQ27" s="286">
        <f>Financials!AQ9/Financials!AQ5</f>
        <v>6.2471604644519639E-2</v>
      </c>
      <c r="AR27" s="286">
        <f>Financials!AR9/Financials!AR5</f>
        <v>6.2042168906618421E-2</v>
      </c>
      <c r="AS27" s="286">
        <f>Financials!AS9/Financials!AS5</f>
        <v>6.1465488065123232E-2</v>
      </c>
      <c r="AT27" s="286">
        <f>Financials!AT9/Financials!AT5</f>
        <v>6.1470544248553596E-2</v>
      </c>
      <c r="AU27" s="286">
        <f>Financials!AU9/Financials!AU5</f>
        <v>6.1609659300105014E-2</v>
      </c>
      <c r="AV27" s="286">
        <f>Financials!AV9/Financials!AV5</f>
        <v>6.0926578600850115E-2</v>
      </c>
      <c r="AW27" s="286">
        <f>Financials!AW9/Financials!AW5</f>
        <v>6.4066533131639611E-2</v>
      </c>
      <c r="AX27" s="286">
        <f>Financials!AX9/Financials!AX5</f>
        <v>6.5186153331859828E-2</v>
      </c>
      <c r="AY27" s="286">
        <f>Financials!AY9/Financials!AY5</f>
        <v>6.4195517156080045E-2</v>
      </c>
      <c r="AZ27" s="286">
        <f>Financials!AZ9/Financials!AZ5</f>
        <v>6.4165253061002778E-2</v>
      </c>
      <c r="BA27" s="286">
        <f>Financials!BA9/Financials!BA5</f>
        <v>6.3901913349050488E-2</v>
      </c>
      <c r="BB27" s="286">
        <f>Financials!BB9/Financials!BB5</f>
        <v>6.2904047969492963E-2</v>
      </c>
      <c r="BC27" s="286">
        <f>Financials!BC9/Financials!BC5</f>
        <v>6.2171869246668197E-2</v>
      </c>
      <c r="BD27" s="286">
        <f>Financials!BD9/Financials!BD5</f>
        <v>6.1708115455771449E-2</v>
      </c>
      <c r="BE27" s="286">
        <f>Financials!BE9/Financials!BE5</f>
        <v>6.1125069995300679E-2</v>
      </c>
      <c r="BF27" s="286">
        <f>Financials!BF9/Financials!BF5</f>
        <v>6.091546136874891E-2</v>
      </c>
      <c r="BG27" s="286">
        <f>Financials!BG9/Financials!BG5</f>
        <v>6.1403060393530204E-2</v>
      </c>
      <c r="BH27" s="286">
        <f>Financials!BH9/Financials!BH5</f>
        <v>6.1700247636957119E-2</v>
      </c>
      <c r="BI27" s="286">
        <f>Financials!BI9/Financials!BI5</f>
        <v>6.3783430809269556E-2</v>
      </c>
      <c r="BJ27" s="286">
        <f>Financials!BJ9/Financials!BJ5</f>
        <v>6.5306261548271585E-2</v>
      </c>
      <c r="BK27" s="286">
        <f>Financials!BK9/Financials!BK5</f>
        <v>6.518284186065737E-2</v>
      </c>
      <c r="BL27" s="286">
        <f>Financials!BL9/Financials!BL5</f>
        <v>6.5019418794572542E-2</v>
      </c>
      <c r="BM27" s="286">
        <f>Financials!BM9/Financials!BM5</f>
        <v>6.4860303541794076E-2</v>
      </c>
      <c r="BN27" s="286">
        <f>Financials!BN9/Financials!BN5</f>
        <v>6.4653591980809652E-2</v>
      </c>
      <c r="BO27" s="286">
        <f>Financials!BO9/Financials!BO5</f>
        <v>6.2606665872103937E-2</v>
      </c>
      <c r="BP27" s="286">
        <f>Financials!BP9/Financials!BP5</f>
        <v>6.2654971809155705E-2</v>
      </c>
      <c r="BQ27" s="286">
        <f>Financials!BQ9/Financials!BQ5</f>
        <v>6.1764429486605793E-2</v>
      </c>
      <c r="BR27" s="286">
        <f>Financials!BR9/Financials!BR5</f>
        <v>6.0871061037214777E-2</v>
      </c>
      <c r="BS27" s="286">
        <f>Financials!BS9/Financials!BS5</f>
        <v>1.3910092865393922</v>
      </c>
      <c r="BT27" s="286">
        <f>Financials!BT9/Financials!BT5</f>
        <v>6.0863987834613539E-2</v>
      </c>
      <c r="BU27" s="286">
        <f>Financials!BU9/Financials!BU5</f>
        <v>6.0105460554754353E-2</v>
      </c>
      <c r="BV27" s="286">
        <f>Financials!BV9/Financials!BV5</f>
        <v>6.4102324371910768E-2</v>
      </c>
      <c r="BW27" s="286">
        <f>Financials!BW9/Financials!BW5</f>
        <v>6.4456556734542717E-2</v>
      </c>
      <c r="BX27" s="286">
        <f>Financials!BX9/Financials!BX5</f>
        <v>6.4285713328363012E-2</v>
      </c>
      <c r="BY27" s="286">
        <f>Financials!BY9/Financials!BY5</f>
        <v>6.4460401906755019E-2</v>
      </c>
      <c r="BZ27" s="286">
        <f>Financials!BZ9/Financials!BZ5</f>
        <v>6.4298333207928104E-2</v>
      </c>
      <c r="CA27" s="286">
        <f>Financials!CA9/Financials!CA5</f>
        <v>6.401688167663605E-2</v>
      </c>
      <c r="CB27" s="286">
        <f>Financials!CB9/Financials!CB5</f>
        <v>6.3301219521471788E-2</v>
      </c>
      <c r="CC27" s="286">
        <f>Financials!CC9/Financials!CC5</f>
        <v>6.3261158762597941E-2</v>
      </c>
      <c r="CD27" s="286">
        <f>Financials!CD9/Financials!CD5</f>
        <v>6.3126428279267358E-2</v>
      </c>
      <c r="CE27" s="286">
        <f>Financials!CE9/Financials!CE5</f>
        <v>6.2757318806838921E-2</v>
      </c>
      <c r="CF27" s="286">
        <f>Financials!CF9/Financials!CF5</f>
        <v>6.3241233302256422E-2</v>
      </c>
      <c r="CG27" s="286">
        <f>Financials!CG9/Financials!CG5</f>
        <v>6.2909111781450089E-2</v>
      </c>
      <c r="CH27" s="286">
        <f>Financials!CH9/Financials!CH5</f>
        <v>6.2849131196844932E-2</v>
      </c>
      <c r="CI27" s="286">
        <f>Financials!CI9/Financials!CI5</f>
        <v>6.7105619500705746E-2</v>
      </c>
      <c r="CJ27" s="286">
        <f>Financials!CJ9/Financials!CJ5</f>
        <v>6.8220531297154455E-2</v>
      </c>
      <c r="CK27" s="286">
        <f>Financials!CK9/Financials!CK5</f>
        <v>6.8808169175737219E-2</v>
      </c>
      <c r="CL27" s="286">
        <f>Financials!CL9/Financials!CL5</f>
        <v>6.8803595885804994E-2</v>
      </c>
      <c r="CM27" s="286">
        <f>Financials!CM9/Financials!CM5</f>
        <v>6.9012576413803345E-2</v>
      </c>
      <c r="CN27" s="286">
        <f>Financials!CN9/Financials!CN5</f>
        <v>6.9019710440297644E-2</v>
      </c>
      <c r="CO27" s="286">
        <f>Financials!CO9/Financials!CO5</f>
        <v>6.7630708585564303E-2</v>
      </c>
      <c r="CP27" s="286">
        <f>Financials!CP9/Financials!CP5</f>
        <v>6.6757503818514308E-2</v>
      </c>
      <c r="CQ27" s="286">
        <f>Financials!CQ9/Financials!CQ5</f>
        <v>6.6552718348657669E-2</v>
      </c>
      <c r="CR27" s="286" t="e">
        <f>Financials!CR9/Financials!CR5</f>
        <v>#DIV/0!</v>
      </c>
      <c r="CS27" s="286" t="e">
        <f>Financials!CS9/Financials!CS5</f>
        <v>#DIV/0!</v>
      </c>
      <c r="CT27" s="286" t="e">
        <f>Financials!CT9/Financials!CT5</f>
        <v>#DIV/0!</v>
      </c>
      <c r="CU27" s="286" t="e">
        <f>Financials!CU9/Financials!CU5</f>
        <v>#DIV/0!</v>
      </c>
      <c r="CV27" s="286" t="e">
        <f>Financials!CV9/Financials!CV5</f>
        <v>#DIV/0!</v>
      </c>
      <c r="CW27" s="286" t="e">
        <f>Financials!CW9/Financials!CW5</f>
        <v>#DIV/0!</v>
      </c>
      <c r="CX27" s="286" t="e">
        <f>Financials!CX9/Financials!CX5</f>
        <v>#DIV/0!</v>
      </c>
      <c r="CY27" s="286" t="e">
        <f>Financials!CY9/Financials!CY5</f>
        <v>#DIV/0!</v>
      </c>
      <c r="CZ27" s="286" t="e">
        <f>Financials!CZ9/Financials!CZ5</f>
        <v>#DIV/0!</v>
      </c>
      <c r="DA27" s="286" t="e">
        <f>Financials!DA9/Financials!DA5</f>
        <v>#DIV/0!</v>
      </c>
      <c r="DB27" s="286" t="e">
        <f>Financials!DB9/Financials!DB5</f>
        <v>#DIV/0!</v>
      </c>
      <c r="DC27" s="286" t="e">
        <f>Financials!DC9/Financials!DC5</f>
        <v>#DIV/0!</v>
      </c>
      <c r="DD27" s="286" t="e">
        <f>Financials!DD9/Financials!DD5</f>
        <v>#DIV/0!</v>
      </c>
      <c r="DE27" s="286" t="e">
        <f>Financials!DE9/Financials!DE5</f>
        <v>#DIV/0!</v>
      </c>
      <c r="DF27" s="286" t="e">
        <f>Financials!DF9/Financials!DF5</f>
        <v>#DIV/0!</v>
      </c>
      <c r="DG27" s="286" t="e">
        <f>Financials!DG9/Financials!DG5</f>
        <v>#DIV/0!</v>
      </c>
      <c r="DH27" s="286" t="e">
        <f>Financials!DH9/Financials!DH5</f>
        <v>#DIV/0!</v>
      </c>
      <c r="DI27" s="286" t="e">
        <f>Financials!DI9/Financials!DI5</f>
        <v>#DIV/0!</v>
      </c>
      <c r="DJ27" s="286" t="e">
        <f>Financials!DJ9/Financials!DJ5</f>
        <v>#DIV/0!</v>
      </c>
      <c r="DK27" s="286" t="e">
        <f>Financials!DK9/Financials!DK5</f>
        <v>#DIV/0!</v>
      </c>
      <c r="DL27" s="286" t="e">
        <f>Financials!DL9/Financials!DL5</f>
        <v>#DIV/0!</v>
      </c>
      <c r="DM27" s="286" t="e">
        <f>Financials!DM9/Financials!DM5</f>
        <v>#DIV/0!</v>
      </c>
      <c r="DN27" s="286" t="e">
        <f>Financials!DN9/Financials!DN5</f>
        <v>#DIV/0!</v>
      </c>
      <c r="DO27" s="286" t="e">
        <f>Financials!DO9/Financials!DO5</f>
        <v>#DIV/0!</v>
      </c>
      <c r="DP27" s="286" t="e">
        <f>Financials!DP9/Financials!DP5</f>
        <v>#DIV/0!</v>
      </c>
      <c r="DQ27" s="286" t="e">
        <f>Financials!DQ9/Financials!DQ5</f>
        <v>#DIV/0!</v>
      </c>
      <c r="DR27" s="286" t="e">
        <f>Financials!DR9/Financials!DR5</f>
        <v>#DIV/0!</v>
      </c>
      <c r="DS27" s="286" t="e">
        <f>Financials!DS9/Financials!DS5</f>
        <v>#DIV/0!</v>
      </c>
      <c r="DT27" s="286" t="e">
        <f>Financials!DT9/Financials!DT5</f>
        <v>#DIV/0!</v>
      </c>
      <c r="DU27" s="286" t="e">
        <f>Financials!DU9/Financials!DU5</f>
        <v>#DIV/0!</v>
      </c>
      <c r="DV27" s="286" t="e">
        <f>Financials!DV9/Financials!DV5</f>
        <v>#DIV/0!</v>
      </c>
    </row>
    <row r="28" spans="1:126" s="153" customFormat="1">
      <c r="A28" s="284"/>
      <c r="B28" s="178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2"/>
      <c r="BN28" s="282"/>
      <c r="BO28" s="282"/>
      <c r="BP28" s="282"/>
      <c r="BQ28" s="282"/>
      <c r="BR28" s="282"/>
      <c r="BS28" s="282"/>
      <c r="BT28" s="282"/>
      <c r="BU28" s="282"/>
      <c r="BV28" s="282"/>
      <c r="BW28" s="282"/>
      <c r="BX28" s="282"/>
      <c r="BY28" s="282"/>
      <c r="BZ28" s="282"/>
      <c r="CA28" s="282"/>
      <c r="CB28" s="282"/>
      <c r="CC28" s="282"/>
      <c r="CD28" s="282"/>
      <c r="CE28" s="282"/>
      <c r="CF28" s="282"/>
      <c r="CG28" s="282"/>
      <c r="CH28" s="282"/>
      <c r="CI28" s="282"/>
      <c r="CJ28" s="282"/>
      <c r="CK28" s="282"/>
      <c r="CL28" s="282"/>
      <c r="CM28" s="282"/>
      <c r="CN28" s="282"/>
      <c r="CO28" s="282"/>
      <c r="CP28" s="282"/>
      <c r="CQ28" s="282"/>
      <c r="CR28" s="282"/>
      <c r="CS28" s="282"/>
      <c r="CT28" s="282"/>
      <c r="CU28" s="282"/>
      <c r="CV28" s="282"/>
      <c r="CW28" s="282"/>
      <c r="CX28" s="282"/>
      <c r="CY28" s="282"/>
      <c r="CZ28" s="282"/>
      <c r="DA28" s="282"/>
      <c r="DB28" s="282"/>
      <c r="DC28" s="282"/>
      <c r="DD28" s="282"/>
      <c r="DE28" s="282"/>
      <c r="DF28" s="282"/>
      <c r="DG28" s="282"/>
      <c r="DH28" s="282"/>
      <c r="DI28" s="282"/>
      <c r="DJ28" s="282"/>
      <c r="DK28" s="282"/>
      <c r="DL28" s="282"/>
      <c r="DM28" s="282"/>
      <c r="DN28" s="282"/>
      <c r="DO28" s="282"/>
      <c r="DP28" s="282"/>
      <c r="DQ28" s="282"/>
      <c r="DR28" s="282"/>
      <c r="DS28" s="282"/>
      <c r="DT28" s="282"/>
      <c r="DU28" s="282"/>
      <c r="DV28" s="282"/>
    </row>
    <row r="29" spans="1:126" s="153" customFormat="1">
      <c r="A29" s="283" t="s">
        <v>184</v>
      </c>
      <c r="B29" s="216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293"/>
      <c r="AI29" s="293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  <c r="BG29" s="293"/>
      <c r="BH29" s="293"/>
      <c r="BI29" s="293"/>
      <c r="BJ29" s="293"/>
      <c r="BK29" s="293"/>
      <c r="BL29" s="293"/>
      <c r="BM29" s="293"/>
      <c r="BN29" s="293"/>
      <c r="BO29" s="293"/>
      <c r="BP29" s="293"/>
      <c r="BQ29" s="293"/>
      <c r="BR29" s="293"/>
      <c r="BS29" s="293"/>
      <c r="BT29" s="293"/>
      <c r="BU29" s="293"/>
      <c r="BV29" s="293"/>
      <c r="BW29" s="293"/>
      <c r="BX29" s="293"/>
      <c r="BY29" s="293"/>
      <c r="BZ29" s="293"/>
      <c r="CA29" s="293"/>
      <c r="CB29" s="293"/>
      <c r="CC29" s="293"/>
      <c r="CD29" s="293"/>
      <c r="CE29" s="293"/>
      <c r="CF29" s="293"/>
      <c r="CG29" s="293"/>
      <c r="CH29" s="293"/>
      <c r="CI29" s="293"/>
      <c r="CJ29" s="293"/>
      <c r="CK29" s="293"/>
      <c r="CL29" s="293"/>
      <c r="CM29" s="293"/>
      <c r="CN29" s="293"/>
      <c r="CO29" s="293"/>
      <c r="CP29" s="293"/>
      <c r="CQ29" s="293"/>
      <c r="CR29" s="293"/>
      <c r="CS29" s="293"/>
      <c r="CT29" s="293"/>
      <c r="CU29" s="293"/>
      <c r="CV29" s="293"/>
      <c r="CW29" s="293"/>
      <c r="CX29" s="293"/>
      <c r="CY29" s="293"/>
      <c r="CZ29" s="293"/>
      <c r="DA29" s="293"/>
      <c r="DB29" s="293"/>
      <c r="DC29" s="293"/>
      <c r="DD29" s="293"/>
      <c r="DE29" s="293"/>
      <c r="DF29" s="293"/>
      <c r="DG29" s="293"/>
      <c r="DH29" s="293"/>
      <c r="DI29" s="293"/>
      <c r="DJ29" s="293"/>
      <c r="DK29" s="293"/>
      <c r="DL29" s="293"/>
      <c r="DM29" s="293"/>
      <c r="DN29" s="293"/>
      <c r="DO29" s="293"/>
      <c r="DP29" s="293"/>
      <c r="DQ29" s="293"/>
      <c r="DR29" s="293"/>
      <c r="DS29" s="293"/>
      <c r="DT29" s="293"/>
      <c r="DU29" s="293"/>
      <c r="DV29" s="293"/>
    </row>
    <row r="30" spans="1:126">
      <c r="A30" s="288" t="s">
        <v>36</v>
      </c>
      <c r="B30" s="222" t="s">
        <v>177</v>
      </c>
      <c r="C30" s="167" t="e">
        <f>Financials!C5/Financials!B5-1</f>
        <v>#VALUE!</v>
      </c>
      <c r="D30" s="167">
        <f>Financials!D5/Financials!C5-1</f>
        <v>0.13275903195824768</v>
      </c>
      <c r="E30" s="167">
        <f>Financials!E5/Financials!D5-1</f>
        <v>0.2618584208410446</v>
      </c>
      <c r="F30" s="167">
        <f>Financials!F5/Financials!E5-1</f>
        <v>0.15862046605852975</v>
      </c>
      <c r="G30" s="167">
        <f>Financials!G5/Financials!F5-1</f>
        <v>0.19558167701304829</v>
      </c>
      <c r="H30" s="167">
        <f>Financials!H5/Financials!G5-1</f>
        <v>0.24218484095163895</v>
      </c>
      <c r="I30" s="167">
        <f>Financials!I5/Financials!H5-1</f>
        <v>1.5760588236318096E-2</v>
      </c>
      <c r="J30" s="167">
        <f>Financials!J5/Financials!I5-1</f>
        <v>-1.7583925960322766E-2</v>
      </c>
      <c r="K30" s="167">
        <f>Financials!K5/Financials!J5-1</f>
        <v>2.6250525184328133E-3</v>
      </c>
      <c r="L30" s="167">
        <f>Financials!L5/Financials!K5-1</f>
        <v>1.4974894057937504E-3</v>
      </c>
      <c r="M30" s="167">
        <f>Financials!M5/Financials!L5-1</f>
        <v>9.9223956622040976E-3</v>
      </c>
      <c r="N30" s="167">
        <f>Financials!N5/Financials!M5-1</f>
        <v>7.2785266270823046E-2</v>
      </c>
      <c r="O30" s="167">
        <f>Financials!O5/Financials!N5-1</f>
        <v>2.0038538763777147E-2</v>
      </c>
      <c r="P30" s="167">
        <f>Financials!P5/Financials!O5-1</f>
        <v>4.2627400176873609E-2</v>
      </c>
      <c r="Q30" s="167">
        <f>Financials!Q5/Financials!P5-1</f>
        <v>2.8618110681277509E-2</v>
      </c>
      <c r="R30" s="167">
        <f>Financials!R5/Financials!Q5-1</f>
        <v>4.3929389432227239E-2</v>
      </c>
      <c r="S30" s="167">
        <f>Financials!S5/Financials!R5-1</f>
        <v>2.1183900782749898E-2</v>
      </c>
      <c r="T30" s="167">
        <f>Financials!T5/Financials!S5-1</f>
        <v>1.6072261101361285E-2</v>
      </c>
      <c r="U30" s="167">
        <f>Financials!U5/Financials!T5-1</f>
        <v>-1.9925772701001598E-4</v>
      </c>
      <c r="V30" s="167">
        <f>Financials!V5/Financials!U5-1</f>
        <v>1.023999090243791</v>
      </c>
      <c r="W30" s="167">
        <f>Financials!W5/Financials!V5-1</f>
        <v>-0.50429319409011342</v>
      </c>
      <c r="X30" s="167">
        <f>Financials!X5/Financials!W5-1</f>
        <v>-2.3820566407595223E-3</v>
      </c>
      <c r="Y30" s="167">
        <f>Financials!Y5/Financials!X5-1</f>
        <v>4.0412039292345714E-3</v>
      </c>
      <c r="Z30" s="167">
        <f>Financials!Z5/Financials!Y5-1</f>
        <v>1.5837570481824548E-2</v>
      </c>
      <c r="AA30" s="167">
        <f>Financials!AA5/Financials!Z5-1</f>
        <v>1.9601611953597109E-2</v>
      </c>
      <c r="AB30" s="167">
        <f>Financials!AB5/Financials!AA5-1</f>
        <v>2.205474544144459E-2</v>
      </c>
      <c r="AC30" s="167">
        <f>Financials!AC5/Financials!AB5-1</f>
        <v>1.626030983492055E-2</v>
      </c>
      <c r="AD30" s="167">
        <f>Financials!AD5/Financials!AC5-1</f>
        <v>6.8459807333700606E-3</v>
      </c>
      <c r="AE30" s="167">
        <f>Financials!AE5/Financials!AD5-1</f>
        <v>1.6998131563140451E-2</v>
      </c>
      <c r="AF30" s="167">
        <f>Financials!AF5/Financials!AE5-1</f>
        <v>1.767349109141203E-2</v>
      </c>
      <c r="AG30" s="167">
        <f>Financials!AG5/Financials!AF5-1</f>
        <v>2.10524147391149E-2</v>
      </c>
      <c r="AH30" s="297">
        <f>Financials!AH5/Financials!AG5-1</f>
        <v>-7.1656308891209219E-3</v>
      </c>
      <c r="AI30" s="297">
        <f>Financials!AI5/Financials!AH5-1</f>
        <v>2.3450678666799618E-2</v>
      </c>
      <c r="AJ30" s="297">
        <f>Financials!AJ5/Financials!AI5-1</f>
        <v>-2.0639792802044754E-2</v>
      </c>
      <c r="AK30" s="297">
        <f>Financials!AK5/Financials!AJ5-1</f>
        <v>3.6805230387355614E-3</v>
      </c>
      <c r="AL30" s="297">
        <f>Financials!AL5/Financials!AK5-1</f>
        <v>-6.7082349844639344E-3</v>
      </c>
      <c r="AM30" s="297">
        <f>Financials!AM5/Financials!AL5-1</f>
        <v>9.3216388892061186E-3</v>
      </c>
      <c r="AN30" s="297">
        <f>Financials!AN5/Financials!AM5-1</f>
        <v>1.7954335784561737E-2</v>
      </c>
      <c r="AO30" s="297">
        <f>Financials!AO5/Financials!AN5-1</f>
        <v>2.2330685905822101E-2</v>
      </c>
      <c r="AP30" s="297">
        <f>Financials!AP5/Financials!AO5-1</f>
        <v>1.3381119123103691E-3</v>
      </c>
      <c r="AQ30" s="297">
        <f>Financials!AQ5/Financials!AP5-1</f>
        <v>6.8041507774667664E-3</v>
      </c>
      <c r="AR30" s="297">
        <f>Financials!AR5/Financials!AQ5-1</f>
        <v>1.2586139919400718E-2</v>
      </c>
      <c r="AS30" s="297">
        <f>Financials!AS5/Financials!AR5-1</f>
        <v>1.7872319181196694E-2</v>
      </c>
      <c r="AT30" s="297">
        <f>Financials!AT5/Financials!AS5-1</f>
        <v>1.8589585708907785E-2</v>
      </c>
      <c r="AU30" s="297">
        <f>Financials!AU5/Financials!AT5-1</f>
        <v>-2.258006523327305E-3</v>
      </c>
      <c r="AV30" s="297">
        <f>Financials!AV5/Financials!AU5-1</f>
        <v>1.4879357675937177E-2</v>
      </c>
      <c r="AW30" s="297">
        <f>Financials!AW5/Financials!AV5-1</f>
        <v>-1.9121395254596218E-2</v>
      </c>
      <c r="AX30" s="297">
        <f>Financials!AX5/Financials!AW5-1</f>
        <v>-5.4360403899516019E-3</v>
      </c>
      <c r="AY30" s="297">
        <f>Financials!AY5/Financials!AX5-1</f>
        <v>1.9407553976869441E-2</v>
      </c>
      <c r="AZ30" s="297">
        <f>Financials!AZ5/Financials!AY5-1</f>
        <v>8.598271337785901E-3</v>
      </c>
      <c r="BA30" s="297">
        <f>Financials!BA5/Financials!AZ5-1</f>
        <v>1.19213357842749E-2</v>
      </c>
      <c r="BB30" s="297">
        <f>Financials!BB5/Financials!BA5-1</f>
        <v>1.9044643581253684E-2</v>
      </c>
      <c r="BC30" s="297">
        <f>Financials!BC5/Financials!BB5-1</f>
        <v>1.7819449680041011E-2</v>
      </c>
      <c r="BD30" s="297">
        <f>Financials!BD5/Financials!BC5-1</f>
        <v>1.0750249064054973E-2</v>
      </c>
      <c r="BE30" s="297">
        <f>Financials!BE5/Financials!BD5-1</f>
        <v>1.5132505144038078E-2</v>
      </c>
      <c r="BF30" s="297">
        <f>Financials!BF5/Financials!BE5-1</f>
        <v>9.6727702790349035E-3</v>
      </c>
      <c r="BG30" s="297">
        <f>Financials!BG5/Financials!BF5-1</f>
        <v>1.9561873832459664E-2</v>
      </c>
      <c r="BH30" s="297">
        <f>Financials!BH5/Financials!BG5-1</f>
        <v>-4.8166287658629736E-3</v>
      </c>
      <c r="BI30" s="297">
        <f>Financials!BI5/Financials!BH5-1</f>
        <v>-2.5537016628930376E-3</v>
      </c>
      <c r="BJ30" s="297">
        <f>Financials!BJ5/Financials!BI5-1</f>
        <v>-1.4137378765452957E-2</v>
      </c>
      <c r="BK30" s="297">
        <f>Financials!BK5/Financials!BJ5-1</f>
        <v>7.1138778124346658E-3</v>
      </c>
      <c r="BL30" s="297">
        <f>Financials!BL5/Financials!BK5-1</f>
        <v>1.0119321418224025E-2</v>
      </c>
      <c r="BM30" s="297">
        <f>Financials!BM5/Financials!BL5-1</f>
        <v>1.4939380065894792E-2</v>
      </c>
      <c r="BN30" s="297">
        <f>Financials!BN5/Financials!BM5-1</f>
        <v>9.9243934433423941E-3</v>
      </c>
      <c r="BO30" s="297">
        <f>Financials!BO5/Financials!BN5-1</f>
        <v>3.7613708788181377E-2</v>
      </c>
      <c r="BP30" s="297">
        <f>Financials!BP5/Financials!BO5-1</f>
        <v>6.1963705865981655E-3</v>
      </c>
      <c r="BQ30" s="297">
        <f>Financials!BQ5/Financials!BP5-1</f>
        <v>2.0505158618923325E-2</v>
      </c>
      <c r="BR30" s="297">
        <f>Financials!BR5/Financials!BQ5-1</f>
        <v>2.0449681138947629E-2</v>
      </c>
      <c r="BS30" s="297">
        <f>Financials!BS5/Financials!BR5-1</f>
        <v>1.611134605034481E-2</v>
      </c>
      <c r="BT30" s="297">
        <f>Financials!BT5/Financials!BS5-1</f>
        <v>1.7872113378357923E-2</v>
      </c>
      <c r="BU30" s="297">
        <f>Financials!BU5/Financials!BT5-1</f>
        <v>1.2619939243586398E-2</v>
      </c>
      <c r="BV30" s="297">
        <f>Financials!BV5/Financials!BU5-1</f>
        <v>-2.9712765402117869E-2</v>
      </c>
      <c r="BW30" s="297">
        <f>Financials!BW5/Financials!BV5-1</f>
        <v>2.1331971614633183E-3</v>
      </c>
      <c r="BX30" s="297">
        <f>Financials!BX5/Financials!BW5-1</f>
        <v>7.1124653154635009E-3</v>
      </c>
      <c r="BY30" s="297">
        <f>Financials!BY5/Financials!BX5-1</f>
        <v>6.1680645494746056E-3</v>
      </c>
      <c r="BZ30" s="297">
        <f>Financials!BZ5/Financials!BY5-1</f>
        <v>2.2663314587170635E-2</v>
      </c>
      <c r="CA30" s="297">
        <f>Financials!CA5/Financials!BZ5-1</f>
        <v>1.5513494180646292E-2</v>
      </c>
      <c r="CB30" s="297">
        <f>Financials!CB5/Financials!CA5-1</f>
        <v>2.5742599605074856E-2</v>
      </c>
      <c r="CC30" s="297">
        <f>Financials!CC5/Financials!CB5-1</f>
        <v>1.3192709293426308E-2</v>
      </c>
      <c r="CD30" s="297">
        <f>Financials!CD5/Financials!CC5-1</f>
        <v>8.557635296290611E-3</v>
      </c>
      <c r="CE30" s="297">
        <f>Financials!CE5/Financials!CD5-1</f>
        <v>1.7234400253681059E-2</v>
      </c>
      <c r="CF30" s="297">
        <f>Financials!CF5/Financials!CE5-1</f>
        <v>1.8750336505576781E-2</v>
      </c>
      <c r="CG30" s="297">
        <f>Financials!CG5/Financials!CF5-1</f>
        <v>1.5744042490076771E-2</v>
      </c>
      <c r="CH30" s="297">
        <f>Financials!CH5/Financials!CG5-1</f>
        <v>9.5435760500262035E-4</v>
      </c>
      <c r="CI30" s="297">
        <f>Financials!CI5/Financials!CH5-1</f>
        <v>-2.8595624417271037E-2</v>
      </c>
      <c r="CJ30" s="297">
        <f>Financials!CJ5/Financials!CI5-1</f>
        <v>-6.1274830201685226E-4</v>
      </c>
      <c r="CK30" s="297">
        <f>Financials!CK5/Financials!CJ5-1</f>
        <v>5.1574986385864996E-3</v>
      </c>
      <c r="CL30" s="297">
        <f>Financials!CL5/Financials!CK5-1</f>
        <v>1.3220489040220329E-2</v>
      </c>
      <c r="CM30" s="297">
        <f>Financials!CM5/Financials!CL5-1</f>
        <v>1.3001909945826506E-2</v>
      </c>
      <c r="CN30" s="297">
        <f>Financials!CN5/Financials!CM5-1</f>
        <v>3.1960180272754712E-2</v>
      </c>
      <c r="CO30" s="297">
        <f>Financials!CO5/Financials!CN5-1</f>
        <v>2.6077784096601331E-2</v>
      </c>
      <c r="CP30" s="297">
        <f>Financials!CP5/Financials!CO5-1</f>
        <v>1.9291677843623845E-2</v>
      </c>
      <c r="CQ30" s="297">
        <f>Financials!CQ5/Financials!CP5-1</f>
        <v>8.1178911440700219E-3</v>
      </c>
      <c r="CR30" s="297">
        <f>Financials!CR5/Financials!CQ5-1</f>
        <v>-1</v>
      </c>
      <c r="CS30" s="297" t="e">
        <f>Financials!CS5/Financials!CR5-1</f>
        <v>#DIV/0!</v>
      </c>
      <c r="CT30" s="297" t="e">
        <f>Financials!CT5/Financials!CS5-1</f>
        <v>#DIV/0!</v>
      </c>
      <c r="CU30" s="297" t="e">
        <f>Financials!CU5/Financials!CT5-1</f>
        <v>#DIV/0!</v>
      </c>
      <c r="CV30" s="297" t="e">
        <f>Financials!CV5/Financials!CU5-1</f>
        <v>#DIV/0!</v>
      </c>
      <c r="CW30" s="297" t="e">
        <f>Financials!CW5/Financials!CV5-1</f>
        <v>#DIV/0!</v>
      </c>
      <c r="CX30" s="297" t="e">
        <f>Financials!CX5/Financials!CW5-1</f>
        <v>#DIV/0!</v>
      </c>
      <c r="CY30" s="297" t="e">
        <f>Financials!CY5/Financials!CX5-1</f>
        <v>#DIV/0!</v>
      </c>
      <c r="CZ30" s="297" t="e">
        <f>Financials!CZ5/Financials!CY5-1</f>
        <v>#DIV/0!</v>
      </c>
      <c r="DA30" s="297" t="e">
        <f>Financials!DA5/Financials!CZ5-1</f>
        <v>#DIV/0!</v>
      </c>
      <c r="DB30" s="297" t="e">
        <f>Financials!DB5/Financials!DA5-1</f>
        <v>#DIV/0!</v>
      </c>
      <c r="DC30" s="297" t="e">
        <f>Financials!DC5/Financials!DB5-1</f>
        <v>#DIV/0!</v>
      </c>
      <c r="DD30" s="297" t="e">
        <f>Financials!DD5/Financials!DC5-1</f>
        <v>#DIV/0!</v>
      </c>
      <c r="DE30" s="297" t="e">
        <f>Financials!DE5/Financials!DD5-1</f>
        <v>#DIV/0!</v>
      </c>
      <c r="DF30" s="297" t="e">
        <f>Financials!DF5/Financials!DE5-1</f>
        <v>#DIV/0!</v>
      </c>
      <c r="DG30" s="297" t="e">
        <f>Financials!DG5/Financials!DF5-1</f>
        <v>#DIV/0!</v>
      </c>
      <c r="DH30" s="297" t="e">
        <f>Financials!DH5/Financials!DG5-1</f>
        <v>#DIV/0!</v>
      </c>
      <c r="DI30" s="297" t="e">
        <f>Financials!DI5/Financials!DH5-1</f>
        <v>#DIV/0!</v>
      </c>
      <c r="DJ30" s="297" t="e">
        <f>Financials!DJ5/Financials!DI5-1</f>
        <v>#DIV/0!</v>
      </c>
      <c r="DK30" s="297" t="e">
        <f>Financials!DK5/Financials!DJ5-1</f>
        <v>#DIV/0!</v>
      </c>
      <c r="DL30" s="297" t="e">
        <f>Financials!DL5/Financials!DK5-1</f>
        <v>#DIV/0!</v>
      </c>
      <c r="DM30" s="297" t="e">
        <f>Financials!DM5/Financials!DL5-1</f>
        <v>#DIV/0!</v>
      </c>
      <c r="DN30" s="297" t="e">
        <f>Financials!DN5/Financials!DM5-1</f>
        <v>#DIV/0!</v>
      </c>
      <c r="DO30" s="297" t="e">
        <f>Financials!DO5/Financials!DN5-1</f>
        <v>#DIV/0!</v>
      </c>
      <c r="DP30" s="297" t="e">
        <f>Financials!DP5/Financials!DO5-1</f>
        <v>#DIV/0!</v>
      </c>
      <c r="DQ30" s="297" t="e">
        <f>Financials!DQ5/Financials!DP5-1</f>
        <v>#DIV/0!</v>
      </c>
      <c r="DR30" s="297" t="e">
        <f>Financials!DR5/Financials!DQ5-1</f>
        <v>#DIV/0!</v>
      </c>
      <c r="DS30" s="297" t="e">
        <f>Financials!DS5/Financials!DR5-1</f>
        <v>#DIV/0!</v>
      </c>
      <c r="DT30" s="297" t="e">
        <f>Financials!DT5/Financials!DS5-1</f>
        <v>#DIV/0!</v>
      </c>
      <c r="DU30" s="297" t="e">
        <f>Financials!DU5/Financials!DT5-1</f>
        <v>#DIV/0!</v>
      </c>
      <c r="DV30" s="297" t="e">
        <f>Financials!DV5/Financials!DU5-1</f>
        <v>#DIV/0!</v>
      </c>
    </row>
    <row r="31" spans="1:126">
      <c r="A31" s="288" t="s">
        <v>105</v>
      </c>
      <c r="B31" s="222" t="s">
        <v>177</v>
      </c>
      <c r="C31" s="167" t="e">
        <f>Financials!C6/Financials!B6-1</f>
        <v>#VALUE!</v>
      </c>
      <c r="D31" s="167">
        <f>Financials!D6/Financials!C6-1</f>
        <v>0.10863790501841541</v>
      </c>
      <c r="E31" s="167">
        <f>Financials!E6/Financials!D6-1</f>
        <v>0.18713547517674867</v>
      </c>
      <c r="F31" s="167">
        <f>Financials!F6/Financials!E6-1</f>
        <v>0.2210462965108968</v>
      </c>
      <c r="G31" s="167">
        <f>Financials!G6/Financials!F6-1</f>
        <v>0.21447274828544938</v>
      </c>
      <c r="H31" s="167">
        <f>Financials!H6/Financials!G6-1</f>
        <v>0.19329130702965225</v>
      </c>
      <c r="I31" s="167">
        <f>Financials!I6/Financials!H6-1</f>
        <v>-2.5727124439999249E-3</v>
      </c>
      <c r="J31" s="167">
        <f>Financials!J6/Financials!I6-1</f>
        <v>6.3669660214273227E-2</v>
      </c>
      <c r="K31" s="167">
        <f>Financials!K6/Financials!J6-1</f>
        <v>-7.2781904180294621E-3</v>
      </c>
      <c r="L31" s="167">
        <f>Financials!L6/Financials!K6-1</f>
        <v>-9.3476686385614016E-3</v>
      </c>
      <c r="M31" s="167">
        <f>Financials!M6/Financials!L6-1</f>
        <v>4.5024893949086042E-3</v>
      </c>
      <c r="N31" s="167">
        <f>Financials!N6/Financials!M6-1</f>
        <v>3.5172988595434607E-2</v>
      </c>
      <c r="O31" s="167">
        <f>Financials!O6/Financials!N6-1</f>
        <v>1.4438981105699522E-2</v>
      </c>
      <c r="P31" s="167">
        <f>Financials!P6/Financials!O6-1</f>
        <v>1.8703900371635385E-2</v>
      </c>
      <c r="Q31" s="167">
        <f>Financials!Q6/Financials!P6-1</f>
        <v>1.856221402370295E-3</v>
      </c>
      <c r="R31" s="167">
        <f>Financials!R6/Financials!Q6-1</f>
        <v>2.3691359316724725E-2</v>
      </c>
      <c r="S31" s="167">
        <f>Financials!S6/Financials!R6-1</f>
        <v>2.3544819588170229E-2</v>
      </c>
      <c r="T31" s="167">
        <f>Financials!T6/Financials!S6-1</f>
        <v>9.3824639048296632E-3</v>
      </c>
      <c r="U31" s="167">
        <f>Financials!U6/Financials!T6-1</f>
        <v>2.072300832243168E-2</v>
      </c>
      <c r="V31" s="167">
        <f>Financials!V6/Financials!U6-1</f>
        <v>0.97565237693339646</v>
      </c>
      <c r="W31" s="167">
        <f>Financials!W6/Financials!V6-1</f>
        <v>-0.46447744360670395</v>
      </c>
      <c r="X31" s="167">
        <f>Financials!X6/Financials!W6-1</f>
        <v>-1.2477859356223364E-2</v>
      </c>
      <c r="Y31" s="167">
        <f>Financials!Y6/Financials!X6-1</f>
        <v>-5.9457091903930559E-3</v>
      </c>
      <c r="Z31" s="167">
        <f>Financials!Z6/Financials!Y6-1</f>
        <v>1.607201388107371E-2</v>
      </c>
      <c r="AA31" s="167">
        <f>Financials!AA6/Financials!Z6-1</f>
        <v>1.2118126731568202E-2</v>
      </c>
      <c r="AB31" s="167">
        <f>Financials!AB6/Financials!AA6-1</f>
        <v>1.6461228326036581E-2</v>
      </c>
      <c r="AC31" s="167">
        <f>Financials!AC6/Financials!AB6-1</f>
        <v>9.332597832276468E-3</v>
      </c>
      <c r="AD31" s="167">
        <f>Financials!AD6/Financials!AC6-1</f>
        <v>8.0435233185920385E-3</v>
      </c>
      <c r="AE31" s="167">
        <f>Financials!AE6/Financials!AD6-1</f>
        <v>1.2319360590722583E-2</v>
      </c>
      <c r="AF31" s="167">
        <f>Financials!AF6/Financials!AE6-1</f>
        <v>1.1800767785689281E-2</v>
      </c>
      <c r="AG31" s="167">
        <f>Financials!AG6/Financials!AF6-1</f>
        <v>1.0645409741377954E-2</v>
      </c>
      <c r="AH31" s="297">
        <f>Financials!AH6/Financials!AG6-1</f>
        <v>3.2044898861176563E-2</v>
      </c>
      <c r="AI31" s="297">
        <f>Financials!AI6/Financials!AH6-1</f>
        <v>-1.8829474217945008E-2</v>
      </c>
      <c r="AJ31" s="297">
        <f>Financials!AJ6/Financials!AI6-1</f>
        <v>8.6393262037965712E-2</v>
      </c>
      <c r="AK31" s="297">
        <f>Financials!AK6/Financials!AJ6-1</f>
        <v>5.0373333750397542E-4</v>
      </c>
      <c r="AL31" s="297">
        <f>Financials!AL6/Financials!AK6-1</f>
        <v>-5.7665404871830583E-3</v>
      </c>
      <c r="AM31" s="297">
        <f>Financials!AM6/Financials!AL6-1</f>
        <v>4.375899853580778E-3</v>
      </c>
      <c r="AN31" s="297">
        <f>Financials!AN6/Financials!AM6-1</f>
        <v>9.9469871480359906E-3</v>
      </c>
      <c r="AO31" s="297">
        <f>Financials!AO6/Financials!AN6-1</f>
        <v>2.338868319964349E-2</v>
      </c>
      <c r="AP31" s="297">
        <f>Financials!AP6/Financials!AO6-1</f>
        <v>5.4918373863928061E-3</v>
      </c>
      <c r="AQ31" s="297">
        <f>Financials!AQ6/Financials!AP6-1</f>
        <v>7.0527510230771195E-3</v>
      </c>
      <c r="AR31" s="297">
        <f>Financials!AR6/Financials!AQ6-1</f>
        <v>2.1692697439325226E-2</v>
      </c>
      <c r="AS31" s="297">
        <f>Financials!AS6/Financials!AR6-1</f>
        <v>9.5384622779808304E-3</v>
      </c>
      <c r="AT31" s="297">
        <f>Financials!AT6/Financials!AS6-1</f>
        <v>1.1799336291387963E-2</v>
      </c>
      <c r="AU31" s="297">
        <f>Financials!AU6/Financials!AT6-1</f>
        <v>-2.3386731661245719E-6</v>
      </c>
      <c r="AV31" s="297">
        <f>Financials!AV6/Financials!AU6-1</f>
        <v>6.4596003586478989E-3</v>
      </c>
      <c r="AW31" s="297">
        <f>Financials!AW6/Financials!AV6-1</f>
        <v>6.1979534480089082E-2</v>
      </c>
      <c r="AX31" s="297">
        <f>Financials!AX6/Financials!AW6-1</f>
        <v>-1.3300178248526251E-2</v>
      </c>
      <c r="AY31" s="297">
        <f>Financials!AY6/Financials!AX6-1</f>
        <v>1.6987516154595372E-2</v>
      </c>
      <c r="AZ31" s="297">
        <f>Financials!AZ6/Financials!AY6-1</f>
        <v>4.5253548642842922E-4</v>
      </c>
      <c r="BA31" s="297">
        <f>Financials!BA6/Financials!AZ6-1</f>
        <v>5.7808529431617739E-3</v>
      </c>
      <c r="BB31" s="297">
        <f>Financials!BB6/Financials!BA6-1</f>
        <v>1.541732540513352E-2</v>
      </c>
      <c r="BC31" s="297">
        <f>Financials!BC6/Financials!BB6-1</f>
        <v>1.1069799703566696E-2</v>
      </c>
      <c r="BD31" s="297">
        <f>Financials!BD6/Financials!BC6-1</f>
        <v>2.9791827684471084E-3</v>
      </c>
      <c r="BE31" s="297">
        <f>Financials!BE6/Financials!BD6-1</f>
        <v>6.7657289240738994E-3</v>
      </c>
      <c r="BF31" s="297">
        <f>Financials!BF6/Financials!BE6-1</f>
        <v>1.1030799226985355E-3</v>
      </c>
      <c r="BG31" s="297">
        <f>Financials!BG6/Financials!BF6-1</f>
        <v>1.2779071059117575E-2</v>
      </c>
      <c r="BH31" s="297">
        <f>Financials!BH6/Financials!BG6-1</f>
        <v>5.46087619568425E-11</v>
      </c>
      <c r="BI31" s="297">
        <f>Financials!BI6/Financials!BH6-1</f>
        <v>7.8260406371748914E-2</v>
      </c>
      <c r="BJ31" s="297">
        <f>Financials!BJ6/Financials!BI6-1</f>
        <v>-2.1855909841344445E-2</v>
      </c>
      <c r="BK31" s="297">
        <f>Financials!BK6/Financials!BJ6-1</f>
        <v>2.2439618106073755E-3</v>
      </c>
      <c r="BL31" s="297">
        <f>Financials!BL6/Financials!BK6-1</f>
        <v>6.5810330981364018E-3</v>
      </c>
      <c r="BM31" s="297">
        <f>Financials!BM6/Financials!BL6-1</f>
        <v>2.97824845683059E-3</v>
      </c>
      <c r="BN31" s="297">
        <f>Financials!BN6/Financials!BM6-1</f>
        <v>3.0192330708560533E-3</v>
      </c>
      <c r="BO31" s="297">
        <f>Financials!BO6/Financials!BN6-1</f>
        <v>3.5459276060444189E-2</v>
      </c>
      <c r="BP31" s="297">
        <f>Financials!BP6/Financials!BO6-1</f>
        <v>-2.0280517772880424E-3</v>
      </c>
      <c r="BQ31" s="297">
        <f>Financials!BQ6/Financials!BP6-1</f>
        <v>1.4678969987748092E-2</v>
      </c>
      <c r="BR31" s="297">
        <f>Financials!BR6/Financials!BQ6-1</f>
        <v>1.3930896507489354E-2</v>
      </c>
      <c r="BS31" s="297">
        <f>Financials!BS6/Financials!BR6-1</f>
        <v>8.8246766923385511E-3</v>
      </c>
      <c r="BT31" s="297">
        <f>Financials!BT6/Financials!BS6-1</f>
        <v>7.8413392154361716E-3</v>
      </c>
      <c r="BU31" s="297">
        <f>Financials!BU6/Financials!BT6-1</f>
        <v>-4.7197468155957267E-11</v>
      </c>
      <c r="BV31" s="297">
        <f>Financials!BV6/Financials!BU6-1</f>
        <v>6.3184819477867027E-2</v>
      </c>
      <c r="BW31" s="297">
        <f>Financials!BW6/Financials!BV6-1</f>
        <v>-8.2297649236171555E-3</v>
      </c>
      <c r="BX31" s="297">
        <f>Financials!BX6/Financials!BW6-1</f>
        <v>2.7061731995192684E-3</v>
      </c>
      <c r="BY31" s="297">
        <f>Financials!BY6/Financials!BX6-1</f>
        <v>-1.6930089660517345E-3</v>
      </c>
      <c r="BZ31" s="297">
        <f>Financials!BZ6/Financials!BY6-1</f>
        <v>1.6402425190548575E-2</v>
      </c>
      <c r="CA31" s="297">
        <f>Financials!CA6/Financials!BZ6-1</f>
        <v>6.7693960077142012E-3</v>
      </c>
      <c r="CB31" s="297">
        <f>Financials!CB6/Financials!CA6-1</f>
        <v>2.2428444287117877E-2</v>
      </c>
      <c r="CC31" s="297">
        <f>Financials!CC6/Financials!CB6-1</f>
        <v>3.6094096791441377E-3</v>
      </c>
      <c r="CD31" s="297">
        <f>Financials!CD6/Financials!CC6-1</f>
        <v>-1.3099126381604931E-3</v>
      </c>
      <c r="CE31" s="297">
        <f>Financials!CE6/Financials!CD6-1</f>
        <v>8.5222872045132014E-3</v>
      </c>
      <c r="CF31" s="297">
        <f>Financials!CF6/Financials!CE6-1</f>
        <v>1.0092674120947498E-2</v>
      </c>
      <c r="CG31" s="297">
        <f>Financials!CG6/Financials!CF6-1</f>
        <v>6.5564389147694246E-3</v>
      </c>
      <c r="CH31" s="297">
        <f>Financials!CH6/Financials!CG6-1</f>
        <v>1.2719136002281584E-3</v>
      </c>
      <c r="CI31" s="297">
        <f>Financials!CI6/Financials!CH6-1</f>
        <v>5.2751738528712178E-2</v>
      </c>
      <c r="CJ31" s="297">
        <f>Financials!CJ6/Financials!CI6-1</f>
        <v>-9.1425366558295362E-3</v>
      </c>
      <c r="CK31" s="297">
        <f>Financials!CK6/Financials!CJ6-1</f>
        <v>-2.4094491582213884E-3</v>
      </c>
      <c r="CL31" s="297">
        <f>Financials!CL6/Financials!CK6-1</f>
        <v>5.9288285614156333E-3</v>
      </c>
      <c r="CM31" s="297">
        <f>Financials!CM6/Financials!CL6-1</f>
        <v>4.1313488684098232E-3</v>
      </c>
      <c r="CN31" s="297">
        <f>Financials!CN6/Financials!CM6-1</f>
        <v>2.3596894786870992E-2</v>
      </c>
      <c r="CO31" s="297">
        <f>Financials!CO6/Financials!CN6-1</f>
        <v>2.3806933556248744E-2</v>
      </c>
      <c r="CP31" s="297">
        <f>Financials!CP6/Financials!CO6-1</f>
        <v>1.3541365882374867E-2</v>
      </c>
      <c r="CQ31" s="297">
        <f>Financials!CQ6/Financials!CP6-1</f>
        <v>-2.4066836373382028E-3</v>
      </c>
      <c r="CR31" s="297">
        <f>Financials!CR6/Financials!CQ6-1</f>
        <v>-1</v>
      </c>
      <c r="CS31" s="297" t="e">
        <f>Financials!CS6/Financials!CR6-1</f>
        <v>#DIV/0!</v>
      </c>
      <c r="CT31" s="297" t="e">
        <f>Financials!CT6/Financials!CS6-1</f>
        <v>#DIV/0!</v>
      </c>
      <c r="CU31" s="297" t="e">
        <f>Financials!CU6/Financials!CT6-1</f>
        <v>#DIV/0!</v>
      </c>
      <c r="CV31" s="297" t="e">
        <f>Financials!CV6/Financials!CU6-1</f>
        <v>#DIV/0!</v>
      </c>
      <c r="CW31" s="297" t="e">
        <f>Financials!CW6/Financials!CV6-1</f>
        <v>#DIV/0!</v>
      </c>
      <c r="CX31" s="297" t="e">
        <f>Financials!CX6/Financials!CW6-1</f>
        <v>#DIV/0!</v>
      </c>
      <c r="CY31" s="297" t="e">
        <f>Financials!CY6/Financials!CX6-1</f>
        <v>#DIV/0!</v>
      </c>
      <c r="CZ31" s="297" t="e">
        <f>Financials!CZ6/Financials!CY6-1</f>
        <v>#DIV/0!</v>
      </c>
      <c r="DA31" s="297" t="e">
        <f>Financials!DA6/Financials!CZ6-1</f>
        <v>#DIV/0!</v>
      </c>
      <c r="DB31" s="297" t="e">
        <f>Financials!DB6/Financials!DA6-1</f>
        <v>#DIV/0!</v>
      </c>
      <c r="DC31" s="297" t="e">
        <f>Financials!DC6/Financials!DB6-1</f>
        <v>#DIV/0!</v>
      </c>
      <c r="DD31" s="297" t="e">
        <f>Financials!DD6/Financials!DC6-1</f>
        <v>#DIV/0!</v>
      </c>
      <c r="DE31" s="297" t="e">
        <f>Financials!DE6/Financials!DD6-1</f>
        <v>#DIV/0!</v>
      </c>
      <c r="DF31" s="297" t="e">
        <f>Financials!DF6/Financials!DE6-1</f>
        <v>#DIV/0!</v>
      </c>
      <c r="DG31" s="297" t="e">
        <f>Financials!DG6/Financials!DF6-1</f>
        <v>#DIV/0!</v>
      </c>
      <c r="DH31" s="297" t="e">
        <f>Financials!DH6/Financials!DG6-1</f>
        <v>#DIV/0!</v>
      </c>
      <c r="DI31" s="297" t="e">
        <f>Financials!DI6/Financials!DH6-1</f>
        <v>#DIV/0!</v>
      </c>
      <c r="DJ31" s="297" t="e">
        <f>Financials!DJ6/Financials!DI6-1</f>
        <v>#DIV/0!</v>
      </c>
      <c r="DK31" s="297" t="e">
        <f>Financials!DK6/Financials!DJ6-1</f>
        <v>#DIV/0!</v>
      </c>
      <c r="DL31" s="297" t="e">
        <f>Financials!DL6/Financials!DK6-1</f>
        <v>#DIV/0!</v>
      </c>
      <c r="DM31" s="297" t="e">
        <f>Financials!DM6/Financials!DL6-1</f>
        <v>#DIV/0!</v>
      </c>
      <c r="DN31" s="297" t="e">
        <f>Financials!DN6/Financials!DM6-1</f>
        <v>#DIV/0!</v>
      </c>
      <c r="DO31" s="297" t="e">
        <f>Financials!DO6/Financials!DN6-1</f>
        <v>#DIV/0!</v>
      </c>
      <c r="DP31" s="297" t="e">
        <f>Financials!DP6/Financials!DO6-1</f>
        <v>#DIV/0!</v>
      </c>
      <c r="DQ31" s="297" t="e">
        <f>Financials!DQ6/Financials!DP6-1</f>
        <v>#DIV/0!</v>
      </c>
      <c r="DR31" s="297" t="e">
        <f>Financials!DR6/Financials!DQ6-1</f>
        <v>#DIV/0!</v>
      </c>
      <c r="DS31" s="297" t="e">
        <f>Financials!DS6/Financials!DR6-1</f>
        <v>#DIV/0!</v>
      </c>
      <c r="DT31" s="297" t="e">
        <f>Financials!DT6/Financials!DS6-1</f>
        <v>#DIV/0!</v>
      </c>
      <c r="DU31" s="297" t="e">
        <f>Financials!DU6/Financials!DT6-1</f>
        <v>#DIV/0!</v>
      </c>
      <c r="DV31" s="297" t="e">
        <f>Financials!DV6/Financials!DU6-1</f>
        <v>#DIV/0!</v>
      </c>
    </row>
    <row r="32" spans="1:126">
      <c r="A32" s="298" t="s">
        <v>185</v>
      </c>
      <c r="B32" s="222" t="s">
        <v>177</v>
      </c>
      <c r="C32" s="167" t="e">
        <f>Financials!C8/Financials!B8-1</f>
        <v>#VALUE!</v>
      </c>
      <c r="D32" s="167">
        <f>Financials!D8/Financials!C8-1</f>
        <v>0.27381527629171987</v>
      </c>
      <c r="E32" s="167">
        <f>Financials!E8/Financials!D8-1</f>
        <v>0.31839796782387797</v>
      </c>
      <c r="F32" s="167">
        <f>Financials!F8/Financials!E8-1</f>
        <v>0.4553516519934131</v>
      </c>
      <c r="G32" s="167">
        <f>Financials!G8/Financials!F8-1</f>
        <v>0.41672876164530415</v>
      </c>
      <c r="H32" s="167">
        <f>Financials!H8/Financials!G8-1</f>
        <v>0.29575395075307931</v>
      </c>
      <c r="I32" s="167">
        <f>Financials!I8/Financials!H8-1</f>
        <v>-0.36192068720588355</v>
      </c>
      <c r="J32" s="167">
        <f>Financials!J8/Financials!I8-1</f>
        <v>0.29234073182077203</v>
      </c>
      <c r="K32" s="167">
        <f>Financials!K8/Financials!J8-1</f>
        <v>-9.1990576510894817E-2</v>
      </c>
      <c r="L32" s="167">
        <f>Financials!L8/Financials!K8-1</f>
        <v>-9.3317492445408545E-2</v>
      </c>
      <c r="M32" s="167">
        <f>Financials!M8/Financials!L8-1</f>
        <v>-1</v>
      </c>
      <c r="N32" s="167" t="e">
        <f>Financials!N8/Financials!M8-1</f>
        <v>#DIV/0!</v>
      </c>
      <c r="O32" s="167">
        <f>Financials!O8/Financials!N8-1</f>
        <v>2.5545076040345505E-2</v>
      </c>
      <c r="P32" s="167">
        <f>Financials!P8/Financials!O8-1</f>
        <v>2.2376263505561322E-2</v>
      </c>
      <c r="Q32" s="167">
        <f>Financials!Q8/Financials!P8-1</f>
        <v>-4.7274924757905734E-2</v>
      </c>
      <c r="R32" s="167">
        <f>Financials!R8/Financials!Q8-1</f>
        <v>6.1475289521778054E-2</v>
      </c>
      <c r="S32" s="167">
        <f>Financials!S8/Financials!R8-1</f>
        <v>4.7610914729000253E-2</v>
      </c>
      <c r="T32" s="167">
        <f>Financials!T8/Financials!S8-1</f>
        <v>8.9309922591920277E-3</v>
      </c>
      <c r="U32" s="167">
        <f>Financials!U8/Financials!T8-1</f>
        <v>0.62063956455601121</v>
      </c>
      <c r="V32" s="167">
        <f>Financials!V8/Financials!U8-1</f>
        <v>0.20261186833104272</v>
      </c>
      <c r="W32" s="167">
        <f>Financials!W8/Financials!V8-1</f>
        <v>-0.34966456942144364</v>
      </c>
      <c r="X32" s="167">
        <f>Financials!X8/Financials!W8-1</f>
        <v>-0.12268087478467948</v>
      </c>
      <c r="Y32" s="167">
        <f>Financials!Y8/Financials!X8-1</f>
        <v>-8.2423821836087652E-2</v>
      </c>
      <c r="Z32" s="167">
        <f>Financials!Z8/Financials!Y8-1</f>
        <v>4.2480489625671414E-2</v>
      </c>
      <c r="AA32" s="167">
        <f>Financials!AA8/Financials!Z8-1</f>
        <v>3.3738790735760027E-4</v>
      </c>
      <c r="AB32" s="167">
        <f>Financials!AB8/Financials!AA8-1</f>
        <v>3.4592284175562593E-2</v>
      </c>
      <c r="AC32" s="167">
        <f>Financials!AC8/Financials!AB8-1</f>
        <v>3.2149873638368787</v>
      </c>
      <c r="AD32" s="167">
        <f>Financials!AD8/Financials!AC8-1</f>
        <v>1.083015622392014E-2</v>
      </c>
      <c r="AE32" s="167">
        <f>Financials!AE8/Financials!AD8-1</f>
        <v>1.4117956514145824E-2</v>
      </c>
      <c r="AF32" s="167">
        <f>Financials!AF8/Financials!AE8-1</f>
        <v>1.3038353141575421E-2</v>
      </c>
      <c r="AG32" s="167">
        <f>Financials!AG8/Financials!AF8-1</f>
        <v>7.4305915337986583E-3</v>
      </c>
      <c r="AH32" s="297">
        <f>Financials!AH8/Financials!AG8-1</f>
        <v>-2.1124533351921659E-2</v>
      </c>
      <c r="AI32" s="297">
        <f>Financials!AI8/Financials!AH8-1</f>
        <v>3.6456362976041934E-2</v>
      </c>
      <c r="AJ32" s="297">
        <f>Financials!AJ8/Financials!AI8-1</f>
        <v>4.8670584124574034E-2</v>
      </c>
      <c r="AK32" s="297">
        <f>Financials!AK8/Financials!AJ8-1</f>
        <v>2.0095828030714413E-2</v>
      </c>
      <c r="AL32" s="297">
        <f>Financials!AL8/Financials!AK8-1</f>
        <v>5.5408210721274997E-3</v>
      </c>
      <c r="AM32" s="297">
        <f>Financials!AM8/Financials!AL8-1</f>
        <v>1.0384615919641904E-2</v>
      </c>
      <c r="AN32" s="297">
        <f>Financials!AN8/Financials!AM8-1</f>
        <v>1.0230943439740958E-2</v>
      </c>
      <c r="AO32" s="297">
        <f>Financials!AO8/Financials!AN8-1</f>
        <v>1.1198041332867392E-2</v>
      </c>
      <c r="AP32" s="297">
        <f>Financials!AP8/Financials!AO8-1</f>
        <v>1.5698695992244271E-2</v>
      </c>
      <c r="AQ32" s="297">
        <f>Financials!AQ8/Financials!AP8-1</f>
        <v>5.8913386554233504E-3</v>
      </c>
      <c r="AR32" s="297">
        <f>Financials!AR8/Financials!AQ8-1</f>
        <v>1.3162111718673764E-2</v>
      </c>
      <c r="AS32" s="297">
        <f>Financials!AS8/Financials!AR8-1</f>
        <v>1.9086982432427568E-2</v>
      </c>
      <c r="AT32" s="297">
        <f>Financials!AT8/Financials!AS8-1</f>
        <v>4.5118505633898742E-3</v>
      </c>
      <c r="AU32" s="297">
        <f>Financials!AU8/Financials!AT8-1</f>
        <v>4.9553690368819847E-3</v>
      </c>
      <c r="AV32" s="297">
        <f>Financials!AV8/Financials!AU8-1</f>
        <v>6.2599840964894238E-3</v>
      </c>
      <c r="AW32" s="297">
        <f>Financials!AW8/Financials!AV8-1</f>
        <v>9.6984170989120599E-3</v>
      </c>
      <c r="AX32" s="297">
        <f>Financials!AX8/Financials!AW8-1</f>
        <v>1.5193868890238438E-2</v>
      </c>
      <c r="AY32" s="297">
        <f>Financials!AY8/Financials!AX8-1</f>
        <v>1.2331856131250873E-2</v>
      </c>
      <c r="AZ32" s="297">
        <f>Financials!AZ8/Financials!AY8-1</f>
        <v>1.3460552732740494E-2</v>
      </c>
      <c r="BA32" s="297">
        <f>Financials!BA8/Financials!AZ8-1</f>
        <v>-2.6814523486463626E-3</v>
      </c>
      <c r="BB32" s="297">
        <f>Financials!BB8/Financials!BA8-1</f>
        <v>1.6283391639549727E-2</v>
      </c>
      <c r="BC32" s="297">
        <f>Financials!BC8/Financials!BB8-1</f>
        <v>1.2715473875887007E-2</v>
      </c>
      <c r="BD32" s="297">
        <f>Financials!BD8/Financials!BC8-1</f>
        <v>8.1742025915636507E-3</v>
      </c>
      <c r="BE32" s="297">
        <f>Financials!BE8/Financials!BD8-1</f>
        <v>1.1478865157519946E-2</v>
      </c>
      <c r="BF32" s="297">
        <f>Financials!BF8/Financials!BE8-1</f>
        <v>1.1242541947217966E-2</v>
      </c>
      <c r="BG32" s="297">
        <f>Financials!BG8/Financials!BF8-1</f>
        <v>-1.1697813513672495E-3</v>
      </c>
      <c r="BH32" s="297">
        <f>Financials!BH8/Financials!BG8-1</f>
        <v>-1.0020236777670055E-2</v>
      </c>
      <c r="BI32" s="297">
        <f>Financials!BI8/Financials!BH8-1</f>
        <v>2.311856907062837E-2</v>
      </c>
      <c r="BJ32" s="297">
        <f>Financials!BJ8/Financials!BI8-1</f>
        <v>1.6042997653335167E-2</v>
      </c>
      <c r="BK32" s="297">
        <f>Financials!BK8/Financials!BJ8-1</f>
        <v>1.3968588090663925E-2</v>
      </c>
      <c r="BL32" s="297">
        <f>Financials!BL8/Financials!BK8-1</f>
        <v>1.1214569995466217E-2</v>
      </c>
      <c r="BM32" s="297">
        <f>Financials!BM8/Financials!BL8-1</f>
        <v>1.2248374414125518E-2</v>
      </c>
      <c r="BN32" s="297">
        <f>Financials!BN8/Financials!BM8-1</f>
        <v>1.2410625902491201E-2</v>
      </c>
      <c r="BO32" s="297">
        <f>Financials!BO8/Financials!BN8-1</f>
        <v>1.6612068409490366E-2</v>
      </c>
      <c r="BP32" s="297">
        <f>Financials!BP8/Financials!BO8-1</f>
        <v>5.3969812389289551E-3</v>
      </c>
      <c r="BQ32" s="297">
        <f>Financials!BQ8/Financials!BP8-1</f>
        <v>1.2898285383520891E-2</v>
      </c>
      <c r="BR32" s="297">
        <f>Financials!BR8/Financials!BQ8-1</f>
        <v>1.3716518663329458E-2</v>
      </c>
      <c r="BS32" s="297">
        <f>Financials!BS8/Financials!BR8-1</f>
        <v>1.1541344790019448E-2</v>
      </c>
      <c r="BT32" s="297">
        <f>Financials!BT8/Financials!BS8-1</f>
        <v>6.0195238764781944E-3</v>
      </c>
      <c r="BU32" s="297">
        <f>Financials!BU8/Financials!BT8-1</f>
        <v>-8.1552784076693863E-3</v>
      </c>
      <c r="BV32" s="297">
        <f>Financials!BV8/Financials!BU8-1</f>
        <v>1.9698636692047078E-2</v>
      </c>
      <c r="BW32" s="297">
        <f>Financials!BW8/Financials!BV8-1</f>
        <v>1.4073960485432302E-2</v>
      </c>
      <c r="BX32" s="297">
        <f>Financials!BX8/Financials!BW8-1</f>
        <v>1.2268174777752661E-2</v>
      </c>
      <c r="BY32" s="297">
        <f>Financials!BY8/Financials!BX8-1</f>
        <v>1.5654821563674037E-2</v>
      </c>
      <c r="BZ32" s="297">
        <f>Financials!BZ8/Financials!BY8-1</f>
        <v>1.7492854958725657E-2</v>
      </c>
      <c r="CA32" s="297">
        <f>Financials!CA8/Financials!BZ8-1</f>
        <v>1.066917241770482E-2</v>
      </c>
      <c r="CB32" s="297">
        <f>Financials!CB8/Financials!CA8-1</f>
        <v>1.613225308772237E-2</v>
      </c>
      <c r="CC32" s="297">
        <f>Financials!CC8/Financials!CB8-1</f>
        <v>1.2979860565423662E-2</v>
      </c>
      <c r="CD32" s="297">
        <f>Financials!CD8/Financials!CC8-1</f>
        <v>1.1252858536471511E-2</v>
      </c>
      <c r="CE32" s="297">
        <f>Financials!CE8/Financials!CD8-1</f>
        <v>1.4013649295350206E-2</v>
      </c>
      <c r="CF32" s="297">
        <f>Financials!CF8/Financials!CE8-1</f>
        <v>1.1959547179560159E-2</v>
      </c>
      <c r="CG32" s="297">
        <f>Financials!CG8/Financials!CF8-1</f>
        <v>3.7240776179698898E-3</v>
      </c>
      <c r="CH32" s="297">
        <f>Financials!CH8/Financials!CG8-1</f>
        <v>-6.1853322782232656E-3</v>
      </c>
      <c r="CI32" s="297">
        <f>Financials!CI8/Financials!CH8-1</f>
        <v>1.5195117684618786E-2</v>
      </c>
      <c r="CJ32" s="297">
        <f>Financials!CJ8/Financials!CI8-1</f>
        <v>1.1113597528027652E-2</v>
      </c>
      <c r="CK32" s="297">
        <f>Financials!CK8/Financials!CJ8-1</f>
        <v>1.0974540022810064E-2</v>
      </c>
      <c r="CL32" s="297">
        <f>Financials!CL8/Financials!CK8-1</f>
        <v>1.2397883230598206E-2</v>
      </c>
      <c r="CM32" s="297">
        <f>Financials!CM8/Financials!CL8-1</f>
        <v>1.3187754877068025E-2</v>
      </c>
      <c r="CN32" s="297">
        <f>Financials!CN8/Financials!CM8-1</f>
        <v>2.3334327018576406E-2</v>
      </c>
      <c r="CO32" s="297">
        <f>Financials!CO8/Financials!CN8-1</f>
        <v>1.9516002248496589E-2</v>
      </c>
      <c r="CP32" s="297">
        <f>Financials!CP8/Financials!CO8-1</f>
        <v>1.53398074361355E-2</v>
      </c>
      <c r="CQ32" s="297">
        <f>Financials!CQ8/Financials!CP8-1</f>
        <v>1.275601464748144E-2</v>
      </c>
      <c r="CR32" s="297">
        <f>Financials!CR8/Financials!CQ8-1</f>
        <v>-1</v>
      </c>
      <c r="CS32" s="297" t="e">
        <f>Financials!CS8/Financials!CR8-1</f>
        <v>#DIV/0!</v>
      </c>
      <c r="CT32" s="297" t="e">
        <f>Financials!CT8/Financials!CS8-1</f>
        <v>#DIV/0!</v>
      </c>
      <c r="CU32" s="297" t="e">
        <f>Financials!CU8/Financials!CT8-1</f>
        <v>#DIV/0!</v>
      </c>
      <c r="CV32" s="297" t="e">
        <f>Financials!CV8/Financials!CU8-1</f>
        <v>#DIV/0!</v>
      </c>
      <c r="CW32" s="297" t="e">
        <f>Financials!CW8/Financials!CV8-1</f>
        <v>#DIV/0!</v>
      </c>
      <c r="CX32" s="297" t="e">
        <f>Financials!CX8/Financials!CW8-1</f>
        <v>#DIV/0!</v>
      </c>
      <c r="CY32" s="297" t="e">
        <f>Financials!CY8/Financials!CX8-1</f>
        <v>#DIV/0!</v>
      </c>
      <c r="CZ32" s="297" t="e">
        <f>Financials!CZ8/Financials!CY8-1</f>
        <v>#DIV/0!</v>
      </c>
      <c r="DA32" s="297" t="e">
        <f>Financials!DA8/Financials!CZ8-1</f>
        <v>#DIV/0!</v>
      </c>
      <c r="DB32" s="297" t="e">
        <f>Financials!DB8/Financials!DA8-1</f>
        <v>#DIV/0!</v>
      </c>
      <c r="DC32" s="297" t="e">
        <f>Financials!DC8/Financials!DB8-1</f>
        <v>#DIV/0!</v>
      </c>
      <c r="DD32" s="297" t="e">
        <f>Financials!DD8/Financials!DC8-1</f>
        <v>#DIV/0!</v>
      </c>
      <c r="DE32" s="297" t="e">
        <f>Financials!DE8/Financials!DD8-1</f>
        <v>#DIV/0!</v>
      </c>
      <c r="DF32" s="297" t="e">
        <f>Financials!DF8/Financials!DE8-1</f>
        <v>#DIV/0!</v>
      </c>
      <c r="DG32" s="297" t="e">
        <f>Financials!DG8/Financials!DF8-1</f>
        <v>#DIV/0!</v>
      </c>
      <c r="DH32" s="297" t="e">
        <f>Financials!DH8/Financials!DG8-1</f>
        <v>#DIV/0!</v>
      </c>
      <c r="DI32" s="297" t="e">
        <f>Financials!DI8/Financials!DH8-1</f>
        <v>#DIV/0!</v>
      </c>
      <c r="DJ32" s="297" t="e">
        <f>Financials!DJ8/Financials!DI8-1</f>
        <v>#DIV/0!</v>
      </c>
      <c r="DK32" s="297" t="e">
        <f>Financials!DK8/Financials!DJ8-1</f>
        <v>#DIV/0!</v>
      </c>
      <c r="DL32" s="297" t="e">
        <f>Financials!DL8/Financials!DK8-1</f>
        <v>#DIV/0!</v>
      </c>
      <c r="DM32" s="297" t="e">
        <f>Financials!DM8/Financials!DL8-1</f>
        <v>#DIV/0!</v>
      </c>
      <c r="DN32" s="297" t="e">
        <f>Financials!DN8/Financials!DM8-1</f>
        <v>#DIV/0!</v>
      </c>
      <c r="DO32" s="297" t="e">
        <f>Financials!DO8/Financials!DN8-1</f>
        <v>#DIV/0!</v>
      </c>
      <c r="DP32" s="297" t="e">
        <f>Financials!DP8/Financials!DO8-1</f>
        <v>#DIV/0!</v>
      </c>
      <c r="DQ32" s="297" t="e">
        <f>Financials!DQ8/Financials!DP8-1</f>
        <v>#DIV/0!</v>
      </c>
      <c r="DR32" s="297" t="e">
        <f>Financials!DR8/Financials!DQ8-1</f>
        <v>#DIV/0!</v>
      </c>
      <c r="DS32" s="297" t="e">
        <f>Financials!DS8/Financials!DR8-1</f>
        <v>#DIV/0!</v>
      </c>
      <c r="DT32" s="297" t="e">
        <f>Financials!DT8/Financials!DS8-1</f>
        <v>#DIV/0!</v>
      </c>
      <c r="DU32" s="297" t="e">
        <f>Financials!DU8/Financials!DT8-1</f>
        <v>#DIV/0!</v>
      </c>
      <c r="DV32" s="297" t="e">
        <f>Financials!DV8/Financials!DU8-1</f>
        <v>#DIV/0!</v>
      </c>
    </row>
    <row r="33" spans="1:126">
      <c r="A33" s="298" t="s">
        <v>186</v>
      </c>
      <c r="B33" s="222" t="s">
        <v>177</v>
      </c>
      <c r="C33" s="167" t="e">
        <f>Financials!C7/Financials!B7-1</f>
        <v>#VALUE!</v>
      </c>
      <c r="D33" s="167">
        <f>Financials!D7/Financials!C7-1</f>
        <v>7.9390943446385531E-2</v>
      </c>
      <c r="E33" s="167">
        <f>Financials!E7/Financials!D7-1</f>
        <v>0.15970719769109976</v>
      </c>
      <c r="F33" s="167">
        <f>Financials!F7/Financials!E7-1</f>
        <v>0.16538692796656718</v>
      </c>
      <c r="G33" s="167">
        <f>Financials!G7/Financials!F7-1</f>
        <v>0.15447218837034593</v>
      </c>
      <c r="H33" s="167">
        <f>Financials!H7/Financials!G7-1</f>
        <v>0.15599011991560463</v>
      </c>
      <c r="I33" s="167">
        <f>Financials!I7/Financials!H7-1</f>
        <v>0.14406332536445055</v>
      </c>
      <c r="J33" s="167">
        <f>Financials!J7/Financials!I7-1</f>
        <v>1.1626777656609688E-2</v>
      </c>
      <c r="K33" s="167">
        <f>Financials!K7/Financials!J7-1</f>
        <v>1.7351204760142513E-2</v>
      </c>
      <c r="L33" s="167">
        <f>Financials!L7/Financials!K7-1</f>
        <v>1.24419448313835E-2</v>
      </c>
      <c r="M33" s="167">
        <f>Financials!M7/Financials!L7-1</f>
        <v>1.5825870244752016E-2</v>
      </c>
      <c r="N33" s="167">
        <f>Financials!N7/Financials!M7-1</f>
        <v>1.6806275038716123E-2</v>
      </c>
      <c r="O33" s="167">
        <f>Financials!O7/Financials!N7-1</f>
        <v>1.1766165852842292E-2</v>
      </c>
      <c r="P33" s="167">
        <f>Financials!P7/Financials!O7-1</f>
        <v>1.7808065879395096E-2</v>
      </c>
      <c r="Q33" s="167">
        <f>Financials!Q7/Financials!P7-1</f>
        <v>1.3895041552527632E-2</v>
      </c>
      <c r="R33" s="167">
        <f>Financials!R7/Financials!Q7-1</f>
        <v>1.4991569552605277E-2</v>
      </c>
      <c r="S33" s="167">
        <f>Financials!S7/Financials!R7-1</f>
        <v>1.7749802643866497E-2</v>
      </c>
      <c r="T33" s="167">
        <f>Financials!T7/Financials!S7-1</f>
        <v>9.4943660851680711E-3</v>
      </c>
      <c r="U33" s="167">
        <f>Financials!U7/Financials!T7-1</f>
        <v>-0.12788988159054937</v>
      </c>
      <c r="V33" s="167">
        <f>Financials!V7/Financials!U7-1</f>
        <v>1.3315155083526053</v>
      </c>
      <c r="W33" s="167">
        <f>Financials!W7/Financials!V7-1</f>
        <v>-0.4917394935912629</v>
      </c>
      <c r="X33" s="167">
        <f>Financials!X7/Financials!W7-1</f>
        <v>2.1004222137409823E-2</v>
      </c>
      <c r="Y33" s="167">
        <f>Financials!Y7/Financials!X7-1</f>
        <v>1.4020066685925592E-2</v>
      </c>
      <c r="Z33" s="167">
        <f>Financials!Z7/Financials!Y7-1</f>
        <v>9.8334023204000864E-3</v>
      </c>
      <c r="AA33" s="167">
        <f>Financials!AA7/Financials!Z7-1</f>
        <v>1.4991124855569637E-2</v>
      </c>
      <c r="AB33" s="167">
        <f>Financials!AB7/Financials!AA7-1</f>
        <v>1.210339950916417E-2</v>
      </c>
      <c r="AC33" s="167">
        <f>Financials!AC7/Financials!AB7-1</f>
        <v>0.25731777469514894</v>
      </c>
      <c r="AD33" s="167">
        <f>Financials!AD7/Financials!AC7-1</f>
        <v>8.0435233185920385E-3</v>
      </c>
      <c r="AE33" s="167">
        <f>Financials!AE7/Financials!AD7-1</f>
        <v>1.2319360590722583E-2</v>
      </c>
      <c r="AF33" s="167">
        <f>Financials!AF7/Financials!AE7-1</f>
        <v>1.1800767785689281E-2</v>
      </c>
      <c r="AG33" s="167">
        <f>Financials!AG7/Financials!AF7-1</f>
        <v>1.0645409741377954E-2</v>
      </c>
      <c r="AH33" s="297">
        <f>Financials!AH7/Financials!AG7-1</f>
        <v>3.2044898861176563E-2</v>
      </c>
      <c r="AI33" s="297">
        <f>Financials!AI7/Financials!AH7-1</f>
        <v>-1.8829474217945008E-2</v>
      </c>
      <c r="AJ33" s="297">
        <f>Financials!AJ7/Financials!AI7-1</f>
        <v>8.6393262037965712E-2</v>
      </c>
      <c r="AK33" s="297">
        <f>Financials!AK7/Financials!AJ7-1</f>
        <v>5.0373333750397542E-4</v>
      </c>
      <c r="AL33" s="297">
        <f>Financials!AL7/Financials!AK7-1</f>
        <v>-5.7665404871830583E-3</v>
      </c>
      <c r="AM33" s="297">
        <f>Financials!AM7/Financials!AL7-1</f>
        <v>4.375899853580778E-3</v>
      </c>
      <c r="AN33" s="297">
        <f>Financials!AN7/Financials!AM7-1</f>
        <v>9.9469871480359906E-3</v>
      </c>
      <c r="AO33" s="297">
        <f>Financials!AO7/Financials!AN7-1</f>
        <v>2.338868319964349E-2</v>
      </c>
      <c r="AP33" s="297">
        <f>Financials!AP7/Financials!AO7-1</f>
        <v>5.4918373863928061E-3</v>
      </c>
      <c r="AQ33" s="297">
        <f>Financials!AQ7/Financials!AP7-1</f>
        <v>7.0527510230771195E-3</v>
      </c>
      <c r="AR33" s="297">
        <f>Financials!AR7/Financials!AQ7-1</f>
        <v>2.1692697439325226E-2</v>
      </c>
      <c r="AS33" s="297">
        <f>Financials!AS7/Financials!AR7-1</f>
        <v>9.5384622779808304E-3</v>
      </c>
      <c r="AT33" s="297">
        <f>Financials!AT7/Financials!AS7-1</f>
        <v>1.1799336291387963E-2</v>
      </c>
      <c r="AU33" s="297">
        <f>Financials!AU7/Financials!AT7-1</f>
        <v>-2.3386731661245719E-6</v>
      </c>
      <c r="AV33" s="297">
        <f>Financials!AV7/Financials!AU7-1</f>
        <v>6.4596003586478989E-3</v>
      </c>
      <c r="AW33" s="297">
        <f>Financials!AW7/Financials!AV7-1</f>
        <v>6.1979534480089082E-2</v>
      </c>
      <c r="AX33" s="297">
        <f>Financials!AX7/Financials!AW7-1</f>
        <v>-1.3300178248526251E-2</v>
      </c>
      <c r="AY33" s="297">
        <f>Financials!AY7/Financials!AX7-1</f>
        <v>1.6987516154595372E-2</v>
      </c>
      <c r="AZ33" s="297">
        <f>Financials!AZ7/Financials!AY7-1</f>
        <v>4.5253548642842922E-4</v>
      </c>
      <c r="BA33" s="297">
        <f>Financials!BA7/Financials!AZ7-1</f>
        <v>5.7808529431617739E-3</v>
      </c>
      <c r="BB33" s="297">
        <f>Financials!BB7/Financials!BA7-1</f>
        <v>1.541732540513352E-2</v>
      </c>
      <c r="BC33" s="297">
        <f>Financials!BC7/Financials!BB7-1</f>
        <v>1.1069799703566696E-2</v>
      </c>
      <c r="BD33" s="297">
        <f>Financials!BD7/Financials!BC7-1</f>
        <v>2.9791827684471084E-3</v>
      </c>
      <c r="BE33" s="297">
        <f>Financials!BE7/Financials!BD7-1</f>
        <v>6.7657289240738994E-3</v>
      </c>
      <c r="BF33" s="297">
        <f>Financials!BF7/Financials!BE7-1</f>
        <v>1.1030799226985355E-3</v>
      </c>
      <c r="BG33" s="297">
        <f>Financials!BG7/Financials!BF7-1</f>
        <v>1.2779071059117575E-2</v>
      </c>
      <c r="BH33" s="297">
        <f>Financials!BH7/Financials!BG7-1</f>
        <v>5.46087619568425E-11</v>
      </c>
      <c r="BI33" s="297">
        <f>Financials!BI7/Financials!BH7-1</f>
        <v>7.8260406371748914E-2</v>
      </c>
      <c r="BJ33" s="297">
        <f>Financials!BJ7/Financials!BI7-1</f>
        <v>-2.1855909841344445E-2</v>
      </c>
      <c r="BK33" s="297">
        <f>Financials!BK7/Financials!BJ7-1</f>
        <v>2.2439618106073755E-3</v>
      </c>
      <c r="BL33" s="297">
        <f>Financials!BL7/Financials!BK7-1</f>
        <v>6.5810330981364018E-3</v>
      </c>
      <c r="BM33" s="297">
        <f>Financials!BM7/Financials!BL7-1</f>
        <v>2.97824845683059E-3</v>
      </c>
      <c r="BN33" s="297">
        <f>Financials!BN7/Financials!BM7-1</f>
        <v>3.0192330708560533E-3</v>
      </c>
      <c r="BO33" s="297">
        <f>Financials!BO7/Financials!BN7-1</f>
        <v>3.5459276060444189E-2</v>
      </c>
      <c r="BP33" s="297">
        <f>Financials!BP7/Financials!BO7-1</f>
        <v>-2.0280517772880424E-3</v>
      </c>
      <c r="BQ33" s="297">
        <f>Financials!BQ7/Financials!BP7-1</f>
        <v>1.4678969987748092E-2</v>
      </c>
      <c r="BR33" s="297">
        <f>Financials!BR7/Financials!BQ7-1</f>
        <v>1.3930896507489354E-2</v>
      </c>
      <c r="BS33" s="297">
        <f>Financials!BS7/Financials!BR7-1</f>
        <v>8.8246766923385511E-3</v>
      </c>
      <c r="BT33" s="297">
        <f>Financials!BT7/Financials!BS7-1</f>
        <v>7.8413392154361716E-3</v>
      </c>
      <c r="BU33" s="297">
        <f>Financials!BU7/Financials!BT7-1</f>
        <v>-4.7197468155957267E-11</v>
      </c>
      <c r="BV33" s="297">
        <f>Financials!BV7/Financials!BU7-1</f>
        <v>6.3184819477867027E-2</v>
      </c>
      <c r="BW33" s="297">
        <f>Financials!BW7/Financials!BV7-1</f>
        <v>-8.2297649236171555E-3</v>
      </c>
      <c r="BX33" s="297">
        <f>Financials!BX7/Financials!BW7-1</f>
        <v>2.7061731995192684E-3</v>
      </c>
      <c r="BY33" s="297">
        <f>Financials!BY7/Financials!BX7-1</f>
        <v>-1.6930089660517345E-3</v>
      </c>
      <c r="BZ33" s="297">
        <f>Financials!BZ7/Financials!BY7-1</f>
        <v>1.6402425190548575E-2</v>
      </c>
      <c r="CA33" s="297">
        <f>Financials!CA7/Financials!BZ7-1</f>
        <v>6.7693960077142012E-3</v>
      </c>
      <c r="CB33" s="297">
        <f>Financials!CB7/Financials!CA7-1</f>
        <v>2.2428444287117877E-2</v>
      </c>
      <c r="CC33" s="297">
        <f>Financials!CC7/Financials!CB7-1</f>
        <v>3.6094096791441377E-3</v>
      </c>
      <c r="CD33" s="297">
        <f>Financials!CD7/Financials!CC7-1</f>
        <v>-1.3099126381604931E-3</v>
      </c>
      <c r="CE33" s="297">
        <f>Financials!CE7/Financials!CD7-1</f>
        <v>8.5222872045132014E-3</v>
      </c>
      <c r="CF33" s="297">
        <f>Financials!CF7/Financials!CE7-1</f>
        <v>1.0092674120947498E-2</v>
      </c>
      <c r="CG33" s="297">
        <f>Financials!CG7/Financials!CF7-1</f>
        <v>6.5564389147694246E-3</v>
      </c>
      <c r="CH33" s="297">
        <f>Financials!CH7/Financials!CG7-1</f>
        <v>1.2719136002281584E-3</v>
      </c>
      <c r="CI33" s="297">
        <f>Financials!CI7/Financials!CH7-1</f>
        <v>5.2751738528712178E-2</v>
      </c>
      <c r="CJ33" s="297">
        <f>Financials!CJ7/Financials!CI7-1</f>
        <v>-9.1425366558295362E-3</v>
      </c>
      <c r="CK33" s="297">
        <f>Financials!CK7/Financials!CJ7-1</f>
        <v>-2.4094491582213884E-3</v>
      </c>
      <c r="CL33" s="297">
        <f>Financials!CL7/Financials!CK7-1</f>
        <v>5.9288285614156333E-3</v>
      </c>
      <c r="CM33" s="297">
        <f>Financials!CM7/Financials!CL7-1</f>
        <v>4.1313488684098232E-3</v>
      </c>
      <c r="CN33" s="297">
        <f>Financials!CN7/Financials!CM7-1</f>
        <v>2.3596894786870992E-2</v>
      </c>
      <c r="CO33" s="297">
        <f>Financials!CO7/Financials!CN7-1</f>
        <v>2.3806933556248744E-2</v>
      </c>
      <c r="CP33" s="297">
        <f>Financials!CP7/Financials!CO7-1</f>
        <v>1.3541365882374867E-2</v>
      </c>
      <c r="CQ33" s="297">
        <f>Financials!CQ7/Financials!CP7-1</f>
        <v>-2.4066836373382028E-3</v>
      </c>
      <c r="CR33" s="297">
        <f>Financials!CR7/Financials!CQ7-1</f>
        <v>-1</v>
      </c>
      <c r="CS33" s="297" t="e">
        <f>Financials!CS7/Financials!CR7-1</f>
        <v>#DIV/0!</v>
      </c>
      <c r="CT33" s="297" t="e">
        <f>Financials!CT7/Financials!CS7-1</f>
        <v>#DIV/0!</v>
      </c>
      <c r="CU33" s="297" t="e">
        <f>Financials!CU7/Financials!CT7-1</f>
        <v>#DIV/0!</v>
      </c>
      <c r="CV33" s="297" t="e">
        <f>Financials!CV7/Financials!CU7-1</f>
        <v>#DIV/0!</v>
      </c>
      <c r="CW33" s="297" t="e">
        <f>Financials!CW7/Financials!CV7-1</f>
        <v>#DIV/0!</v>
      </c>
      <c r="CX33" s="297" t="e">
        <f>Financials!CX7/Financials!CW7-1</f>
        <v>#DIV/0!</v>
      </c>
      <c r="CY33" s="297" t="e">
        <f>Financials!CY7/Financials!CX7-1</f>
        <v>#DIV/0!</v>
      </c>
      <c r="CZ33" s="297" t="e">
        <f>Financials!CZ7/Financials!CY7-1</f>
        <v>#DIV/0!</v>
      </c>
      <c r="DA33" s="297" t="e">
        <f>Financials!DA7/Financials!CZ7-1</f>
        <v>#DIV/0!</v>
      </c>
      <c r="DB33" s="297" t="e">
        <f>Financials!DB7/Financials!DA7-1</f>
        <v>#DIV/0!</v>
      </c>
      <c r="DC33" s="297" t="e">
        <f>Financials!DC7/Financials!DB7-1</f>
        <v>#DIV/0!</v>
      </c>
      <c r="DD33" s="297" t="e">
        <f>Financials!DD7/Financials!DC7-1</f>
        <v>#DIV/0!</v>
      </c>
      <c r="DE33" s="297" t="e">
        <f>Financials!DE7/Financials!DD7-1</f>
        <v>#DIV/0!</v>
      </c>
      <c r="DF33" s="297" t="e">
        <f>Financials!DF7/Financials!DE7-1</f>
        <v>#DIV/0!</v>
      </c>
      <c r="DG33" s="297" t="e">
        <f>Financials!DG7/Financials!DF7-1</f>
        <v>#DIV/0!</v>
      </c>
      <c r="DH33" s="297" t="e">
        <f>Financials!DH7/Financials!DG7-1</f>
        <v>#DIV/0!</v>
      </c>
      <c r="DI33" s="297" t="e">
        <f>Financials!DI7/Financials!DH7-1</f>
        <v>#DIV/0!</v>
      </c>
      <c r="DJ33" s="297" t="e">
        <f>Financials!DJ7/Financials!DI7-1</f>
        <v>#DIV/0!</v>
      </c>
      <c r="DK33" s="297" t="e">
        <f>Financials!DK7/Financials!DJ7-1</f>
        <v>#DIV/0!</v>
      </c>
      <c r="DL33" s="297" t="e">
        <f>Financials!DL7/Financials!DK7-1</f>
        <v>#DIV/0!</v>
      </c>
      <c r="DM33" s="297" t="e">
        <f>Financials!DM7/Financials!DL7-1</f>
        <v>#DIV/0!</v>
      </c>
      <c r="DN33" s="297" t="e">
        <f>Financials!DN7/Financials!DM7-1</f>
        <v>#DIV/0!</v>
      </c>
      <c r="DO33" s="297" t="e">
        <f>Financials!DO7/Financials!DN7-1</f>
        <v>#DIV/0!</v>
      </c>
      <c r="DP33" s="297" t="e">
        <f>Financials!DP7/Financials!DO7-1</f>
        <v>#DIV/0!</v>
      </c>
      <c r="DQ33" s="297" t="e">
        <f>Financials!DQ7/Financials!DP7-1</f>
        <v>#DIV/0!</v>
      </c>
      <c r="DR33" s="297" t="e">
        <f>Financials!DR7/Financials!DQ7-1</f>
        <v>#DIV/0!</v>
      </c>
      <c r="DS33" s="297" t="e">
        <f>Financials!DS7/Financials!DR7-1</f>
        <v>#DIV/0!</v>
      </c>
      <c r="DT33" s="297" t="e">
        <f>Financials!DT7/Financials!DS7-1</f>
        <v>#DIV/0!</v>
      </c>
      <c r="DU33" s="297" t="e">
        <f>Financials!DU7/Financials!DT7-1</f>
        <v>#DIV/0!</v>
      </c>
      <c r="DV33" s="297" t="e">
        <f>Financials!DV7/Financials!DU7-1</f>
        <v>#DIV/0!</v>
      </c>
    </row>
    <row r="34" spans="1:126">
      <c r="A34" s="288" t="s">
        <v>130</v>
      </c>
      <c r="B34" s="222" t="s">
        <v>177</v>
      </c>
      <c r="C34" s="167" t="e">
        <f>Financials!C31/Financials!B31-1</f>
        <v>#VALUE!</v>
      </c>
      <c r="D34" s="167">
        <f>Financials!D31/Financials!C31-1</f>
        <v>0.15338837676679828</v>
      </c>
      <c r="E34" s="167">
        <f>Financials!E31/Financials!D31-1</f>
        <v>0.18383251861200467</v>
      </c>
      <c r="F34" s="167">
        <f>Financials!F31/Financials!E31-1</f>
        <v>0.27065597783436801</v>
      </c>
      <c r="G34" s="167">
        <f>Financials!G31/Financials!F31-1</f>
        <v>0.25437980279642902</v>
      </c>
      <c r="H34" s="167">
        <f>Financials!H31/Financials!G31-1</f>
        <v>0.29156002028303774</v>
      </c>
      <c r="I34" s="167">
        <f>Financials!I31/Financials!H31-1</f>
        <v>-5.7130326161767275E-3</v>
      </c>
      <c r="J34" s="167">
        <f>Financials!J31/Financials!I31-1</f>
        <v>3.7199773824492244E-3</v>
      </c>
      <c r="K34" s="167">
        <f>Financials!K31/Financials!J31-1</f>
        <v>-2.3272662011875056E-4</v>
      </c>
      <c r="L34" s="167">
        <f>Financials!L31/Financials!K31-1</f>
        <v>1.5940549602950327E-2</v>
      </c>
      <c r="M34" s="167">
        <f>Financials!M31/Financials!L31-1</f>
        <v>1.1472751493932343E-2</v>
      </c>
      <c r="N34" s="167">
        <f>Financials!N31/Financials!M31-1</f>
        <v>2.6936252667696392E-2</v>
      </c>
      <c r="O34" s="167">
        <f>Financials!O31/Financials!N31-1</f>
        <v>2.5579474069091335E-2</v>
      </c>
      <c r="P34" s="167">
        <f>Financials!P31/Financials!O31-1</f>
        <v>6.9271322597811213E-2</v>
      </c>
      <c r="Q34" s="167">
        <f>Financials!Q31/Financials!P31-1</f>
        <v>1.5944312586159803E-2</v>
      </c>
      <c r="R34" s="167">
        <f>Financials!R31/Financials!Q31-1</f>
        <v>2.4424420296937699E-2</v>
      </c>
      <c r="S34" s="167">
        <f>Financials!S31/Financials!R31-1</f>
        <v>3.7787540497658867E-2</v>
      </c>
      <c r="T34" s="167">
        <f>Financials!T31/Financials!S31-1</f>
        <v>2.2686809600503066E-2</v>
      </c>
      <c r="U34" s="167">
        <f>Financials!U31/Financials!T31-1</f>
        <v>-2.1198154342982889E-11</v>
      </c>
      <c r="V34" s="167">
        <f>Financials!V31/Financials!U31-1</f>
        <v>1.0092030945632322</v>
      </c>
      <c r="W34" s="167">
        <f>Financials!W31/Financials!V31-1</f>
        <v>-0.50304139630836575</v>
      </c>
      <c r="X34" s="167">
        <f>Financials!X31/Financials!W31-1</f>
        <v>-2.0075608270154754E-3</v>
      </c>
      <c r="Y34" s="167">
        <f>Financials!Y31/Financials!X31-1</f>
        <v>1.9326481535149043E-2</v>
      </c>
      <c r="Z34" s="167">
        <f>Financials!Z31/Financials!Y31-1</f>
        <v>2.9952450136661035E-4</v>
      </c>
      <c r="AA34" s="167">
        <f>Financials!AA31/Financials!Z31-1</f>
        <v>6.8835304082557336E-3</v>
      </c>
      <c r="AB34" s="167">
        <f>Financials!AB31/Financials!AA31-1</f>
        <v>8.363231453281994E-3</v>
      </c>
      <c r="AC34" s="167">
        <f>Financials!AC31/Financials!AB31-1</f>
        <v>4.1143623286589825E-2</v>
      </c>
      <c r="AD34" s="167">
        <f>Financials!AD31/Financials!AC31-1</f>
        <v>-4.0788128411225477E-3</v>
      </c>
      <c r="AE34" s="167">
        <f>Financials!AE31/Financials!AD31-1</f>
        <v>-4.4109428883731816E-4</v>
      </c>
      <c r="AF34" s="167">
        <f>Financials!AF31/Financials!AE31-1</f>
        <v>1.4719755971685844E-2</v>
      </c>
      <c r="AG34" s="167">
        <f>Financials!AG31/Financials!AF31-1</f>
        <v>1.0173909273940129E-2</v>
      </c>
      <c r="AH34" s="297">
        <f>Financials!AH31/Financials!AG31-1</f>
        <v>0</v>
      </c>
      <c r="AI34" s="297">
        <f>Financials!AI31/Financials!AH31-1</f>
        <v>-3.5692287725305194E-3</v>
      </c>
      <c r="AJ34" s="297">
        <f>Financials!AJ31/Financials!AI31-1</f>
        <v>-1.8935378959318627E-2</v>
      </c>
      <c r="AK34" s="297">
        <f>Financials!AK31/Financials!AJ31-1</f>
        <v>-3.3505462428201627E-3</v>
      </c>
      <c r="AL34" s="297">
        <f>Financials!AL31/Financials!AK31-1</f>
        <v>7.4895290852277085E-3</v>
      </c>
      <c r="AM34" s="297">
        <f>Financials!AM31/Financials!AL31-1</f>
        <v>-4.3542655116647344E-3</v>
      </c>
      <c r="AN34" s="297">
        <f>Financials!AN31/Financials!AM31-1</f>
        <v>1.3208726258200354E-3</v>
      </c>
      <c r="AO34" s="297">
        <f>Financials!AO31/Financials!AN31-1</f>
        <v>-2.1798224801328203E-3</v>
      </c>
      <c r="AP34" s="297">
        <f>Financials!AP31/Financials!AO31-1</f>
        <v>2.7826051240198435E-2</v>
      </c>
      <c r="AQ34" s="297">
        <f>Financials!AQ31/Financials!AP31-1</f>
        <v>3.0833534890779557E-3</v>
      </c>
      <c r="AR34" s="297">
        <f>Financials!AR31/Financials!AQ31-1</f>
        <v>-5.4979554708221023E-3</v>
      </c>
      <c r="AS34" s="297">
        <f>Financials!AS31/Financials!AR31-1</f>
        <v>2.5727200159241459E-2</v>
      </c>
      <c r="AT34" s="297">
        <f>Financials!AT31/Financials!AS31-1</f>
        <v>3.3909174673621534E-2</v>
      </c>
      <c r="AU34" s="297">
        <f>Financials!AU31/Financials!AT31-1</f>
        <v>-1.1100955304454874E-2</v>
      </c>
      <c r="AV34" s="297">
        <f>Financials!AV31/Financials!AU31-1</f>
        <v>5.8222228912185869E-3</v>
      </c>
      <c r="AW34" s="297">
        <f>Financials!AW31/Financials!AV31-1</f>
        <v>-2.4928628892483928E-2</v>
      </c>
      <c r="AX34" s="297">
        <f>Financials!AX31/Financials!AW31-1</f>
        <v>-8.9657993720164697E-3</v>
      </c>
      <c r="AY34" s="297">
        <f>Financials!AY31/Financials!AX31-1</f>
        <v>-1.5889481627748059E-2</v>
      </c>
      <c r="AZ34" s="297">
        <f>Financials!AZ31/Financials!AY31-1</f>
        <v>-1.2917111465237441E-2</v>
      </c>
      <c r="BA34" s="297">
        <f>Financials!BA31/Financials!AZ31-1</f>
        <v>6.108121403255673E-3</v>
      </c>
      <c r="BB34" s="297">
        <f>Financials!BB31/Financials!BA31-1</f>
        <v>7.2855996952083668E-3</v>
      </c>
      <c r="BC34" s="297">
        <f>Financials!BC31/Financials!BB31-1</f>
        <v>4.2505152650979205E-2</v>
      </c>
      <c r="BD34" s="297">
        <f>Financials!BD31/Financials!BC31-1</f>
        <v>1.7851048773192213E-2</v>
      </c>
      <c r="BE34" s="297">
        <f>Financials!BE31/Financials!BD31-1</f>
        <v>1.2101882305377343E-2</v>
      </c>
      <c r="BF34" s="297">
        <f>Financials!BF31/Financials!BE31-1</f>
        <v>6.0074190798840021E-3</v>
      </c>
      <c r="BG34" s="297">
        <f>Financials!BG31/Financials!BF31-1</f>
        <v>1.3387724448926663E-2</v>
      </c>
      <c r="BH34" s="297">
        <f>Financials!BH31/Financials!BG31-1</f>
        <v>-2.4026278667341749E-3</v>
      </c>
      <c r="BI34" s="297">
        <f>Financials!BI31/Financials!BH31-1</f>
        <v>-1.4185569748433546E-2</v>
      </c>
      <c r="BJ34" s="297">
        <f>Financials!BJ31/Financials!BI31-1</f>
        <v>-1.0948742111189014E-2</v>
      </c>
      <c r="BK34" s="297">
        <f>Financials!BK31/Financials!BJ31-1</f>
        <v>3.4022218163733964E-3</v>
      </c>
      <c r="BL34" s="297">
        <f>Financials!BL31/Financials!BK31-1</f>
        <v>1.551292453325348E-2</v>
      </c>
      <c r="BM34" s="297">
        <f>Financials!BM31/Financials!BL31-1</f>
        <v>4.5985500921186251E-3</v>
      </c>
      <c r="BN34" s="297">
        <f>Financials!BN31/Financials!BM31-1</f>
        <v>1.0155438183679255E-2</v>
      </c>
      <c r="BO34" s="297">
        <f>Financials!BO31/Financials!BN31-1</f>
        <v>8.6536588944932102E-3</v>
      </c>
      <c r="BP34" s="297">
        <f>Financials!BP31/Financials!BO31-1</f>
        <v>1.7119313217179855E-3</v>
      </c>
      <c r="BQ34" s="297">
        <f>Financials!BQ31/Financials!BP31-1</f>
        <v>7.4805086537741428E-3</v>
      </c>
      <c r="BR34" s="297">
        <f>Financials!BR31/Financials!BQ31-1</f>
        <v>2.9973365714529576E-2</v>
      </c>
      <c r="BS34" s="297">
        <f>Financials!BS31/Financials!BR31-1</f>
        <v>1.8837063679738808E-2</v>
      </c>
      <c r="BT34" s="297">
        <f>Financials!BT31/Financials!BS31-1</f>
        <v>3.0337605328361272E-2</v>
      </c>
      <c r="BU34" s="297">
        <f>Financials!BU31/Financials!BT31-1</f>
        <v>7.2201619039089504E-3</v>
      </c>
      <c r="BV34" s="297">
        <f>Financials!BV31/Financials!BU31-1</f>
        <v>-1.1777728190990544E-2</v>
      </c>
      <c r="BW34" s="297">
        <f>Financials!BW31/Financials!BV31-1</f>
        <v>4.3183791819960682E-3</v>
      </c>
      <c r="BX34" s="297">
        <f>Financials!BX31/Financials!BW31-1</f>
        <v>3.7072211813812705E-2</v>
      </c>
      <c r="BY34" s="297">
        <f>Financials!BY31/Financials!BX31-1</f>
        <v>1.6520802483927399E-2</v>
      </c>
      <c r="BZ34" s="297">
        <f>Financials!BZ31/Financials!BY31-1</f>
        <v>1.1946840957059779E-2</v>
      </c>
      <c r="CA34" s="297">
        <f>Financials!CA31/Financials!BZ31-1</f>
        <v>1.2554435798528774E-2</v>
      </c>
      <c r="CB34" s="297">
        <f>Financials!CB31/Financials!CA31-1</f>
        <v>1.4266632550479885E-2</v>
      </c>
      <c r="CC34" s="297">
        <f>Financials!CC31/Financials!CB31-1</f>
        <v>1.4004545730214701E-2</v>
      </c>
      <c r="CD34" s="297">
        <f>Financials!CD31/Financials!CC31-1</f>
        <v>1.695431324183283E-2</v>
      </c>
      <c r="CE34" s="297">
        <f>Financials!CE31/Financials!CD31-1</f>
        <v>1.3316971543027467E-2</v>
      </c>
      <c r="CF34" s="297">
        <f>Financials!CF31/Financials!CE31-1</f>
        <v>1.1463307389667055E-2</v>
      </c>
      <c r="CG34" s="297">
        <f>Financials!CG31/Financials!CF31-1</f>
        <v>2.7160243504061432E-2</v>
      </c>
      <c r="CH34" s="297">
        <f>Financials!CH31/Financials!CG31-1</f>
        <v>5.0259003206913899E-3</v>
      </c>
      <c r="CI34" s="297">
        <f>Financials!CI31/Financials!CH31-1</f>
        <v>-6.2676328546873439E-4</v>
      </c>
      <c r="CJ34" s="297">
        <f>Financials!CJ31/Financials!CI31-1</f>
        <v>7.0761257912432818E-4</v>
      </c>
      <c r="CK34" s="297">
        <f>Financials!CK31/Financials!CJ31-1</f>
        <v>8.9439186049462549E-3</v>
      </c>
      <c r="CL34" s="297">
        <f>Financials!CL31/Financials!CK31-1</f>
        <v>1.3850977625615712E-2</v>
      </c>
      <c r="CM34" s="297">
        <f>Financials!CM31/Financials!CL31-1</f>
        <v>3.9278096171975196E-3</v>
      </c>
      <c r="CN34" s="297">
        <f>Financials!CN31/Financials!CM31-1</f>
        <v>1.3762030433372319E-2</v>
      </c>
      <c r="CO34" s="297">
        <f>Financials!CO31/Financials!CN31-1</f>
        <v>7.9456263511543668E-3</v>
      </c>
      <c r="CP34" s="297">
        <f>Financials!CP31/Financials!CO31-1</f>
        <v>2.1178440071843552E-2</v>
      </c>
      <c r="CQ34" s="297">
        <f>Financials!CQ31/Financials!CP31-1</f>
        <v>1.522647870219318E-2</v>
      </c>
      <c r="CR34" s="297">
        <f>Financials!CR31/Financials!CQ31-1</f>
        <v>-1</v>
      </c>
      <c r="CS34" s="297" t="e">
        <f>Financials!CS31/Financials!CR31-1</f>
        <v>#DIV/0!</v>
      </c>
      <c r="CT34" s="297" t="e">
        <f>Financials!CT31/Financials!CS31-1</f>
        <v>#DIV/0!</v>
      </c>
      <c r="CU34" s="297" t="e">
        <f>Financials!CU31/Financials!CT31-1</f>
        <v>#DIV/0!</v>
      </c>
      <c r="CV34" s="297" t="e">
        <f>Financials!CV31/Financials!CU31-1</f>
        <v>#DIV/0!</v>
      </c>
      <c r="CW34" s="297" t="e">
        <f>Financials!CW31/Financials!CV31-1</f>
        <v>#DIV/0!</v>
      </c>
      <c r="CX34" s="297" t="e">
        <f>Financials!CX31/Financials!CW31-1</f>
        <v>#DIV/0!</v>
      </c>
      <c r="CY34" s="297" t="e">
        <f>Financials!CY31/Financials!CX31-1</f>
        <v>#DIV/0!</v>
      </c>
      <c r="CZ34" s="297" t="e">
        <f>Financials!CZ31/Financials!CY31-1</f>
        <v>#DIV/0!</v>
      </c>
      <c r="DA34" s="297" t="e">
        <f>Financials!DA31/Financials!CZ31-1</f>
        <v>#DIV/0!</v>
      </c>
      <c r="DB34" s="297" t="e">
        <f>Financials!DB31/Financials!DA31-1</f>
        <v>#DIV/0!</v>
      </c>
      <c r="DC34" s="297" t="e">
        <f>Financials!DC31/Financials!DB31-1</f>
        <v>#DIV/0!</v>
      </c>
      <c r="DD34" s="297" t="e">
        <f>Financials!DD31/Financials!DC31-1</f>
        <v>#DIV/0!</v>
      </c>
      <c r="DE34" s="297" t="e">
        <f>Financials!DE31/Financials!DD31-1</f>
        <v>#DIV/0!</v>
      </c>
      <c r="DF34" s="297" t="e">
        <f>Financials!DF31/Financials!DE31-1</f>
        <v>#DIV/0!</v>
      </c>
      <c r="DG34" s="297" t="e">
        <f>Financials!DG31/Financials!DF31-1</f>
        <v>#DIV/0!</v>
      </c>
      <c r="DH34" s="297" t="e">
        <f>Financials!DH31/Financials!DG31-1</f>
        <v>#DIV/0!</v>
      </c>
      <c r="DI34" s="297" t="e">
        <f>Financials!DI31/Financials!DH31-1</f>
        <v>#DIV/0!</v>
      </c>
      <c r="DJ34" s="297" t="e">
        <f>Financials!DJ31/Financials!DI31-1</f>
        <v>#DIV/0!</v>
      </c>
      <c r="DK34" s="297" t="e">
        <f>Financials!DK31/Financials!DJ31-1</f>
        <v>#DIV/0!</v>
      </c>
      <c r="DL34" s="297" t="e">
        <f>Financials!DL31/Financials!DK31-1</f>
        <v>#DIV/0!</v>
      </c>
      <c r="DM34" s="297" t="e">
        <f>Financials!DM31/Financials!DL31-1</f>
        <v>#DIV/0!</v>
      </c>
      <c r="DN34" s="297" t="e">
        <f>Financials!DN31/Financials!DM31-1</f>
        <v>#DIV/0!</v>
      </c>
      <c r="DO34" s="297" t="e">
        <f>Financials!DO31/Financials!DN31-1</f>
        <v>#DIV/0!</v>
      </c>
      <c r="DP34" s="297" t="e">
        <f>Financials!DP31/Financials!DO31-1</f>
        <v>#DIV/0!</v>
      </c>
      <c r="DQ34" s="297" t="e">
        <f>Financials!DQ31/Financials!DP31-1</f>
        <v>#DIV/0!</v>
      </c>
      <c r="DR34" s="297" t="e">
        <f>Financials!DR31/Financials!DQ31-1</f>
        <v>#DIV/0!</v>
      </c>
      <c r="DS34" s="297" t="e">
        <f>Financials!DS31/Financials!DR31-1</f>
        <v>#DIV/0!</v>
      </c>
      <c r="DT34" s="297" t="e">
        <f>Financials!DT31/Financials!DS31-1</f>
        <v>#DIV/0!</v>
      </c>
      <c r="DU34" s="297" t="e">
        <f>Financials!DU31/Financials!DT31-1</f>
        <v>#DIV/0!</v>
      </c>
      <c r="DV34" s="297" t="e">
        <f>Financials!DV31/Financials!DU31-1</f>
        <v>#DIV/0!</v>
      </c>
    </row>
    <row r="35" spans="1:126">
      <c r="A35" s="288" t="s">
        <v>187</v>
      </c>
      <c r="B35" s="222" t="s">
        <v>177</v>
      </c>
      <c r="C35" s="167" t="e">
        <f>Financials!C14/Financials!B14-1</f>
        <v>#VALUE!</v>
      </c>
      <c r="D35" s="167">
        <f>Financials!D14/Financials!C14-1</f>
        <v>-1.6635312012168275</v>
      </c>
      <c r="E35" s="167">
        <f>Financials!E14/Financials!D14-1</f>
        <v>-1.7789105386981963</v>
      </c>
      <c r="F35" s="167">
        <f>Financials!F14/Financials!E14-1</f>
        <v>-27.474711586121437</v>
      </c>
      <c r="G35" s="167">
        <f>Financials!G14/Financials!F14-1</f>
        <v>0.14942470585400813</v>
      </c>
      <c r="H35" s="167">
        <f>Financials!H14/Financials!G14-1</f>
        <v>0.35475881034397561</v>
      </c>
      <c r="I35" s="167">
        <f>Financials!I14/Financials!H14-1</f>
        <v>8.2124397590126463E-3</v>
      </c>
      <c r="J35" s="167">
        <f>Financials!J14/Financials!I14-1</f>
        <v>-4.7172740480621367E-2</v>
      </c>
      <c r="K35" s="167">
        <f>Financials!K14/Financials!J14-1</f>
        <v>1.1226494614284599E-2</v>
      </c>
      <c r="L35" s="167">
        <f>Financials!L14/Financials!K14-1</f>
        <v>-7.2937226624723017E-3</v>
      </c>
      <c r="M35" s="167">
        <f>Financials!M14/Financials!L14-1</f>
        <v>5.6247720615145713E-3</v>
      </c>
      <c r="N35" s="167">
        <f>Financials!N14/Financials!M14-1</f>
        <v>2.821894384927659E-2</v>
      </c>
      <c r="O35" s="167">
        <f>Financials!O14/Financials!N14-1</f>
        <v>1.5547391131236044E-2</v>
      </c>
      <c r="P35" s="167">
        <f>Financials!P14/Financials!O14-1</f>
        <v>5.9716362963820879E-2</v>
      </c>
      <c r="Q35" s="167">
        <f>Financials!Q14/Financials!P14-1</f>
        <v>3.3141068286037134E-2</v>
      </c>
      <c r="R35" s="167">
        <f>Financials!R14/Financials!Q14-1</f>
        <v>3.0583804113574642E-2</v>
      </c>
      <c r="S35" s="167">
        <f>Financials!S14/Financials!R14-1</f>
        <v>2.8307190444389452E-2</v>
      </c>
      <c r="T35" s="167">
        <f>Financials!T14/Financials!S14-1</f>
        <v>4.7745149306067436E-2</v>
      </c>
      <c r="U35" s="167">
        <f>Financials!U14/Financials!T14-1</f>
        <v>9.3220792322460611E-2</v>
      </c>
      <c r="V35" s="167">
        <f>Financials!V14/Financials!U14-1</f>
        <v>0.96373045535013624</v>
      </c>
      <c r="W35" s="167">
        <f>Financials!W14/Financials!V14-1</f>
        <v>-0.50641182174494181</v>
      </c>
      <c r="X35" s="167">
        <f>Financials!X14/Financials!W14-1</f>
        <v>-1.7319276959516516E-3</v>
      </c>
      <c r="Y35" s="167">
        <f>Financials!Y14/Financials!X14-1</f>
        <v>1.3341469228131286E-2</v>
      </c>
      <c r="Z35" s="167">
        <f>Financials!Z14/Financials!Y14-1</f>
        <v>4.2855512460383549E-2</v>
      </c>
      <c r="AA35" s="167">
        <f>Financials!AA14/Financials!Z14-1</f>
        <v>7.4427024040775613E-2</v>
      </c>
      <c r="AB35" s="167">
        <f>Financials!AB14/Financials!AA14-1</f>
        <v>2.5258096136197672E-2</v>
      </c>
      <c r="AC35" s="167">
        <f>Financials!AC14/Financials!AB14-1</f>
        <v>3.9268409803403737E-2</v>
      </c>
      <c r="AD35" s="167">
        <f>Financials!AD14/Financials!AC14-1</f>
        <v>2.3149354708973391E-2</v>
      </c>
      <c r="AE35" s="167">
        <f>Financials!AE14/Financials!AD14-1</f>
        <v>1.7783937015279472E-2</v>
      </c>
      <c r="AF35" s="167">
        <f>Financials!AF14/Financials!AE14-1</f>
        <v>2.2638474967989541E-2</v>
      </c>
      <c r="AG35" s="167">
        <f>Financials!AG14/Financials!AF14-1</f>
        <v>8.6044687048648649E-2</v>
      </c>
      <c r="AH35" s="297">
        <f>Financials!AH14/Financials!AG14-1</f>
        <v>-3.0820001934458219E-2</v>
      </c>
      <c r="AI35" s="297">
        <f>Financials!AI14/Financials!AH14-1</f>
        <v>3.846054660159548E-2</v>
      </c>
      <c r="AJ35" s="297">
        <f>Financials!AJ14/Financials!AI14-1</f>
        <v>3.2148722636034854E-2</v>
      </c>
      <c r="AK35" s="297">
        <f>Financials!AK14/Financials!AJ14-1</f>
        <v>-1.6457382291568123E-2</v>
      </c>
      <c r="AL35" s="297">
        <f>Financials!AL14/Financials!AK14-1</f>
        <v>4.2027442106764568E-3</v>
      </c>
      <c r="AM35" s="297">
        <f>Financials!AM14/Financials!AL14-1</f>
        <v>-2.6446789484350086E-3</v>
      </c>
      <c r="AN35" s="297">
        <f>Financials!AN14/Financials!AM14-1</f>
        <v>1.7096587856855194E-2</v>
      </c>
      <c r="AO35" s="297">
        <f>Financials!AO14/Financials!AN14-1</f>
        <v>6.1648897052757334E-3</v>
      </c>
      <c r="AP35" s="297">
        <f>Financials!AP14/Financials!AO14-1</f>
        <v>2.6423901651365433E-2</v>
      </c>
      <c r="AQ35" s="297">
        <f>Financials!AQ14/Financials!AP14-1</f>
        <v>6.058078330728689E-3</v>
      </c>
      <c r="AR35" s="297">
        <f>Financials!AR14/Financials!AQ14-1</f>
        <v>-1.7380569061579143E-3</v>
      </c>
      <c r="AS35" s="297">
        <f>Financials!AS14/Financials!AR14-1</f>
        <v>1.4539274147771453E-2</v>
      </c>
      <c r="AT35" s="297">
        <f>Financials!AT14/Financials!AS14-1</f>
        <v>6.1814944553234774E-2</v>
      </c>
      <c r="AU35" s="297">
        <f>Financials!AU14/Financials!AT14-1</f>
        <v>1.4015093591837946E-2</v>
      </c>
      <c r="AV35" s="297">
        <f>Financials!AV14/Financials!AU14-1</f>
        <v>-1.4865189423215797E-2</v>
      </c>
      <c r="AW35" s="297">
        <f>Financials!AW14/Financials!AV14-1</f>
        <v>1.3043037992002793E-2</v>
      </c>
      <c r="AX35" s="297">
        <f>Financials!AX14/Financials!AW14-1</f>
        <v>-1.9027585341442332E-3</v>
      </c>
      <c r="AY35" s="297">
        <f>Financials!AY14/Financials!AX14-1</f>
        <v>2.2213418977738764E-2</v>
      </c>
      <c r="AZ35" s="297">
        <f>Financials!AZ14/Financials!AY14-1</f>
        <v>8.1259746348207873E-3</v>
      </c>
      <c r="BA35" s="297">
        <f>Financials!BA14/Financials!AZ14-1</f>
        <v>-1.7892925885384381E-3</v>
      </c>
      <c r="BB35" s="297">
        <f>Financials!BB14/Financials!BA14-1</f>
        <v>1.1379545965208626E-2</v>
      </c>
      <c r="BC35" s="297">
        <f>Financials!BC14/Financials!BB14-1</f>
        <v>1.5171172973886593E-2</v>
      </c>
      <c r="BD35" s="297">
        <f>Financials!BD14/Financials!BC14-1</f>
        <v>1.5693970238038757E-2</v>
      </c>
      <c r="BE35" s="297">
        <f>Financials!BE14/Financials!BD14-1</f>
        <v>2.3157058155486521E-2</v>
      </c>
      <c r="BF35" s="297">
        <f>Financials!BF14/Financials!BE14-1</f>
        <v>1.5856754446585519E-2</v>
      </c>
      <c r="BG35" s="297">
        <f>Financials!BG14/Financials!BF14-1</f>
        <v>2.7433285488055015E-2</v>
      </c>
      <c r="BH35" s="297">
        <f>Financials!BH14/Financials!BG14-1</f>
        <v>-2.90254626815456E-2</v>
      </c>
      <c r="BI35" s="297">
        <f>Financials!BI14/Financials!BH14-1</f>
        <v>1.9489562874342559E-2</v>
      </c>
      <c r="BJ35" s="297">
        <f>Financials!BJ14/Financials!BI14-1</f>
        <v>2.0203158176190783E-5</v>
      </c>
      <c r="BK35" s="297">
        <f>Financials!BK14/Financials!BJ14-1</f>
        <v>-3.9022350230550895E-3</v>
      </c>
      <c r="BL35" s="297">
        <f>Financials!BL14/Financials!BK14-1</f>
        <v>4.1240116465801613E-3</v>
      </c>
      <c r="BM35" s="297">
        <f>Financials!BM14/Financials!BL14-1</f>
        <v>2.0654775589275198E-2</v>
      </c>
      <c r="BN35" s="297">
        <f>Financials!BN14/Financials!BM14-1</f>
        <v>2.23014895838336E-3</v>
      </c>
      <c r="BO35" s="297">
        <f>Financials!BO14/Financials!BN14-1</f>
        <v>1.2524412649612682E-2</v>
      </c>
      <c r="BP35" s="297">
        <f>Financials!BP14/Financials!BO14-1</f>
        <v>2.7908270109848754E-3</v>
      </c>
      <c r="BQ35" s="297">
        <f>Financials!BQ14/Financials!BP14-1</f>
        <v>4.5268579135306908E-3</v>
      </c>
      <c r="BR35" s="297">
        <f>Financials!BR14/Financials!BQ14-1</f>
        <v>3.3643915961327764E-2</v>
      </c>
      <c r="BS35" s="297">
        <f>Financials!BS14/Financials!BR14-1</f>
        <v>7.7271081062093572E-3</v>
      </c>
      <c r="BT35" s="297">
        <f>Financials!BT14/Financials!BS14-1</f>
        <v>-5.2284866848905098E-3</v>
      </c>
      <c r="BU35" s="297">
        <f>Financials!BU14/Financials!BT14-1</f>
        <v>4.7972184706079668E-2</v>
      </c>
      <c r="BV35" s="297">
        <f>Financials!BV14/Financials!BU14-1</f>
        <v>-0.11014596638832164</v>
      </c>
      <c r="BW35" s="297">
        <f>Financials!BW14/Financials!BV14-1</f>
        <v>6.8265426764868575E-3</v>
      </c>
      <c r="BX35" s="297">
        <f>Financials!BX14/Financials!BW14-1</f>
        <v>-1.8023885716710319E-3</v>
      </c>
      <c r="BY35" s="297">
        <f>Financials!BY14/Financials!BX14-1</f>
        <v>-1.1328865785662612E-2</v>
      </c>
      <c r="BZ35" s="297">
        <f>Financials!BZ14/Financials!BY14-1</f>
        <v>-7.4266786594168188E-5</v>
      </c>
      <c r="CA35" s="297">
        <f>Financials!CA14/Financials!BZ14-1</f>
        <v>1.6459284123269802E-2</v>
      </c>
      <c r="CB35" s="297">
        <f>Financials!CB14/Financials!CA14-1</f>
        <v>4.6702533490163844E-3</v>
      </c>
      <c r="CC35" s="297">
        <f>Financials!CC14/Financials!CB14-1</f>
        <v>1.8441603406734064E-2</v>
      </c>
      <c r="CD35" s="297">
        <f>Financials!CD14/Financials!CC14-1</f>
        <v>9.4648524619753704E-3</v>
      </c>
      <c r="CE35" s="297">
        <f>Financials!CE14/Financials!CD14-1</f>
        <v>2.0550464894296461E-2</v>
      </c>
      <c r="CF35" s="297">
        <f>Financials!CF14/Financials!CE14-1</f>
        <v>2.3621059218491336E-2</v>
      </c>
      <c r="CG35" s="297">
        <f>Financials!CG14/Financials!CF14-1</f>
        <v>8.6899783050670809E-2</v>
      </c>
      <c r="CH35" s="297">
        <f>Financials!CH14/Financials!CG14-1</f>
        <v>8.0344910721427798E-2</v>
      </c>
      <c r="CI35" s="297">
        <f>Financials!CI14/Financials!CH14-1</f>
        <v>2.2330543468725761E-2</v>
      </c>
      <c r="CJ35" s="297">
        <f>Financials!CJ14/Financials!CI14-1</f>
        <v>-1.1172669625958753E-2</v>
      </c>
      <c r="CK35" s="297">
        <f>Financials!CK14/Financials!CJ14-1</f>
        <v>1.6020065878309397E-2</v>
      </c>
      <c r="CL35" s="297">
        <f>Financials!CL14/Financials!CK14-1</f>
        <v>-2.858109523429242E-4</v>
      </c>
      <c r="CM35" s="297">
        <f>Financials!CM14/Financials!CL14-1</f>
        <v>1.1401176564067361E-2</v>
      </c>
      <c r="CN35" s="297">
        <f>Financials!CN14/Financials!CM14-1</f>
        <v>2.9738719251311885E-2</v>
      </c>
      <c r="CO35" s="297">
        <f>Financials!CO14/Financials!CN14-1</f>
        <v>2.2004278091313223E-2</v>
      </c>
      <c r="CP35" s="297">
        <f>Financials!CP14/Financials!CO14-1</f>
        <v>3.6857495154067887E-3</v>
      </c>
      <c r="CQ35" s="297">
        <f>Financials!CQ14/Financials!CP14-1</f>
        <v>1.8340264311073051E-2</v>
      </c>
      <c r="CR35" s="297">
        <f>Financials!CR14/Financials!CQ14-1</f>
        <v>-1</v>
      </c>
      <c r="CS35" s="297" t="e">
        <f>Financials!CS14/Financials!CR14-1</f>
        <v>#DIV/0!</v>
      </c>
      <c r="CT35" s="297" t="e">
        <f>Financials!CT14/Financials!CS14-1</f>
        <v>#DIV/0!</v>
      </c>
      <c r="CU35" s="297" t="e">
        <f>Financials!CU14/Financials!CT14-1</f>
        <v>#DIV/0!</v>
      </c>
      <c r="CV35" s="297" t="e">
        <f>Financials!CV14/Financials!CU14-1</f>
        <v>#DIV/0!</v>
      </c>
      <c r="CW35" s="297" t="e">
        <f>Financials!CW14/Financials!CV14-1</f>
        <v>#DIV/0!</v>
      </c>
      <c r="CX35" s="297" t="e">
        <f>Financials!CX14/Financials!CW14-1</f>
        <v>#DIV/0!</v>
      </c>
      <c r="CY35" s="297" t="e">
        <f>Financials!CY14/Financials!CX14-1</f>
        <v>#DIV/0!</v>
      </c>
      <c r="CZ35" s="297" t="e">
        <f>Financials!CZ14/Financials!CY14-1</f>
        <v>#DIV/0!</v>
      </c>
      <c r="DA35" s="297" t="e">
        <f>Financials!DA14/Financials!CZ14-1</f>
        <v>#DIV/0!</v>
      </c>
      <c r="DB35" s="297" t="e">
        <f>Financials!DB14/Financials!DA14-1</f>
        <v>#DIV/0!</v>
      </c>
      <c r="DC35" s="297" t="e">
        <f>Financials!DC14/Financials!DB14-1</f>
        <v>#DIV/0!</v>
      </c>
      <c r="DD35" s="297" t="e">
        <f>Financials!DD14/Financials!DC14-1</f>
        <v>#DIV/0!</v>
      </c>
      <c r="DE35" s="297" t="e">
        <f>Financials!DE14/Financials!DD14-1</f>
        <v>#DIV/0!</v>
      </c>
      <c r="DF35" s="297" t="e">
        <f>Financials!DF14/Financials!DE14-1</f>
        <v>#DIV/0!</v>
      </c>
      <c r="DG35" s="297" t="e">
        <f>Financials!DG14/Financials!DF14-1</f>
        <v>#DIV/0!</v>
      </c>
      <c r="DH35" s="297" t="e">
        <f>Financials!DH14/Financials!DG14-1</f>
        <v>#DIV/0!</v>
      </c>
      <c r="DI35" s="297" t="e">
        <f>Financials!DI14/Financials!DH14-1</f>
        <v>#DIV/0!</v>
      </c>
      <c r="DJ35" s="297" t="e">
        <f>Financials!DJ14/Financials!DI14-1</f>
        <v>#DIV/0!</v>
      </c>
      <c r="DK35" s="297" t="e">
        <f>Financials!DK14/Financials!DJ14-1</f>
        <v>#DIV/0!</v>
      </c>
      <c r="DL35" s="297" t="e">
        <f>Financials!DL14/Financials!DK14-1</f>
        <v>#DIV/0!</v>
      </c>
      <c r="DM35" s="297" t="e">
        <f>Financials!DM14/Financials!DL14-1</f>
        <v>#DIV/0!</v>
      </c>
      <c r="DN35" s="297" t="e">
        <f>Financials!DN14/Financials!DM14-1</f>
        <v>#DIV/0!</v>
      </c>
      <c r="DO35" s="297" t="e">
        <f>Financials!DO14/Financials!DN14-1</f>
        <v>#DIV/0!</v>
      </c>
      <c r="DP35" s="297" t="e">
        <f>Financials!DP14/Financials!DO14-1</f>
        <v>#DIV/0!</v>
      </c>
      <c r="DQ35" s="297" t="e">
        <f>Financials!DQ14/Financials!DP14-1</f>
        <v>#DIV/0!</v>
      </c>
      <c r="DR35" s="297" t="e">
        <f>Financials!DR14/Financials!DQ14-1</f>
        <v>#DIV/0!</v>
      </c>
      <c r="DS35" s="297" t="e">
        <f>Financials!DS14/Financials!DR14-1</f>
        <v>#DIV/0!</v>
      </c>
      <c r="DT35" s="297" t="e">
        <f>Financials!DT14/Financials!DS14-1</f>
        <v>#DIV/0!</v>
      </c>
      <c r="DU35" s="297" t="e">
        <f>Financials!DU14/Financials!DT14-1</f>
        <v>#DIV/0!</v>
      </c>
      <c r="DV35" s="297" t="e">
        <f>Financials!DV14/Financials!DU14-1</f>
        <v>#DIV/0!</v>
      </c>
    </row>
    <row r="36" spans="1:126">
      <c r="A36" s="288" t="s">
        <v>188</v>
      </c>
      <c r="B36" s="222" t="s">
        <v>177</v>
      </c>
      <c r="C36" s="168" t="e">
        <f>Financials!C41/Financials!B41-1</f>
        <v>#VALUE!</v>
      </c>
      <c r="D36" s="168">
        <f>Financials!D41/Financials!C41-1</f>
        <v>0.15640708814718951</v>
      </c>
      <c r="E36" s="168">
        <f>Financials!E41/Financials!D41-1</f>
        <v>0.24259420726390712</v>
      </c>
      <c r="F36" s="168">
        <f>Financials!F41/Financials!E41-1</f>
        <v>0.24085762219704621</v>
      </c>
      <c r="G36" s="168">
        <f>Financials!G41/Financials!F41-1</f>
        <v>0.14622521757975226</v>
      </c>
      <c r="H36" s="168">
        <f>Financials!H41/Financials!G41-1</f>
        <v>0.23979648656391817</v>
      </c>
      <c r="I36" s="168">
        <f>Financials!I41/Financials!H41-1</f>
        <v>-0.91315264201729973</v>
      </c>
      <c r="J36" s="168">
        <f>Financials!J41/Financials!I41-1</f>
        <v>0.98768188345076458</v>
      </c>
      <c r="K36" s="168">
        <f>Financials!K41/Financials!J41-1</f>
        <v>0.52747200911947911</v>
      </c>
      <c r="L36" s="168">
        <f>Financials!L41/Financials!K41-1</f>
        <v>0.35455040132893423</v>
      </c>
      <c r="M36" s="168">
        <f>Financials!M41/Financials!L41-1</f>
        <v>0.27295204547526208</v>
      </c>
      <c r="N36" s="168">
        <f>Financials!N41/Financials!M41-1</f>
        <v>0.25045677058841731</v>
      </c>
      <c r="O36" s="168">
        <f>Financials!O41/Financials!N41-1</f>
        <v>0.18497401998721319</v>
      </c>
      <c r="P36" s="168">
        <f>Financials!P41/Financials!O41-1</f>
        <v>0.19024253357590015</v>
      </c>
      <c r="Q36" s="168">
        <f>Financials!Q41/Financials!P41-1</f>
        <v>0.16149225313465476</v>
      </c>
      <c r="R36" s="168">
        <f>Financials!R41/Financials!Q41-1</f>
        <v>0.12248494062933113</v>
      </c>
      <c r="S36" s="168">
        <f>Financials!S41/Financials!R41-1</f>
        <v>0.10193075266125207</v>
      </c>
      <c r="T36" s="168">
        <f>Financials!T41/Financials!S41-1</f>
        <v>0.12587088604343188</v>
      </c>
      <c r="U36" s="168">
        <f>Financials!U41/Financials!T41-1</f>
        <v>7.251874656333257E-10</v>
      </c>
      <c r="V36" s="168">
        <f>Financials!V41/Financials!U41-1</f>
        <v>-0.82426686510203384</v>
      </c>
      <c r="W36" s="168">
        <f>Financials!W41/Financials!V41-1</f>
        <v>-2.9327355106097741E-2</v>
      </c>
      <c r="X36" s="168">
        <f>Financials!X41/Financials!W41-1</f>
        <v>0.53253943558766803</v>
      </c>
      <c r="Y36" s="168">
        <f>Financials!Y41/Financials!X41-1</f>
        <v>0.362791160469222</v>
      </c>
      <c r="Z36" s="168">
        <f>Financials!Z41/Financials!Y41-1</f>
        <v>0.26027664193038302</v>
      </c>
      <c r="AA36" s="168">
        <f>Financials!AA41/Financials!Z41-1</f>
        <v>0.23036037117890462</v>
      </c>
      <c r="AB36" s="168">
        <f>Financials!AB41/Financials!AA41-1</f>
        <v>0.16720918792955142</v>
      </c>
      <c r="AC36" s="168">
        <f>Financials!AC41/Financials!AB41-1</f>
        <v>0.17110712701142772</v>
      </c>
      <c r="AD36" s="168">
        <f>Financials!AD41/Financials!AC41-1</f>
        <v>0.11760878720220291</v>
      </c>
      <c r="AE36" s="168">
        <f>Financials!AE41/Financials!AD41-1</f>
        <v>0.11252569515050914</v>
      </c>
      <c r="AF36" s="168">
        <f>Financials!AF41/Financials!AE41-1</f>
        <v>0.1120043302102689</v>
      </c>
      <c r="AG36" s="168">
        <f>Financials!AG41/Financials!AF41-1</f>
        <v>0.10782349623797782</v>
      </c>
      <c r="AH36" s="299">
        <f>Financials!AH41/Financials!AG41-1</f>
        <v>1.7275705046735368E-3</v>
      </c>
      <c r="AI36" s="299">
        <f>Financials!AI41/Financials!AH41-1</f>
        <v>-0.91417448604976692</v>
      </c>
      <c r="AJ36" s="299">
        <f>Financials!AJ41/Financials!AI41-1</f>
        <v>0.97553242919490235</v>
      </c>
      <c r="AK36" s="299">
        <f>Financials!AK41/Financials!AJ41-1</f>
        <v>0.50897630398937821</v>
      </c>
      <c r="AL36" s="299">
        <f>Financials!AL41/Financials!AK41-1</f>
        <v>0.35560930263489632</v>
      </c>
      <c r="AM36" s="299">
        <f>Financials!AM41/Financials!AL41-1</f>
        <v>0.2427300379304691</v>
      </c>
      <c r="AN36" s="299">
        <f>Financials!AN41/Financials!AM41-1</f>
        <v>0.23924918120781014</v>
      </c>
      <c r="AO36" s="299">
        <f>Financials!AO41/Financials!AN41-1</f>
        <v>0.16864568923654644</v>
      </c>
      <c r="AP36" s="299">
        <f>Financials!AP41/Financials!AO41-1</f>
        <v>0.17192257012494916</v>
      </c>
      <c r="AQ36" s="299">
        <f>Financials!AQ41/Financials!AP41-1</f>
        <v>0.12342036441205995</v>
      </c>
      <c r="AR36" s="299">
        <f>Financials!AR41/Financials!AQ41-1</f>
        <v>0.10599731622756203</v>
      </c>
      <c r="AS36" s="299">
        <f>Financials!AS41/Financials!AR41-1</f>
        <v>0.11029134629970727</v>
      </c>
      <c r="AT36" s="299">
        <f>Financials!AT41/Financials!AS41-1</f>
        <v>9.2848313921054082E-2</v>
      </c>
      <c r="AU36" s="299">
        <f>Financials!AU41/Financials!AT41-1</f>
        <v>3.5421352611880508E-2</v>
      </c>
      <c r="AV36" s="299">
        <f>Financials!AV41/Financials!AU41-1</f>
        <v>-0.92181154961363609</v>
      </c>
      <c r="AW36" s="299">
        <f>Financials!AW41/Financials!AV41-1</f>
        <v>1.0465787199326591</v>
      </c>
      <c r="AX36" s="299">
        <f>Financials!AX41/Financials!AW41-1</f>
        <v>0.50393517117272313</v>
      </c>
      <c r="AY36" s="299">
        <f>Financials!AY41/Financials!AX41-1</f>
        <v>0.36641872903940786</v>
      </c>
      <c r="AZ36" s="299">
        <f>Financials!AZ41/Financials!AY41-1</f>
        <v>0.22488994538384466</v>
      </c>
      <c r="BA36" s="299">
        <f>Financials!BA41/Financials!AZ41-1</f>
        <v>0.18395693411494074</v>
      </c>
      <c r="BB36" s="299">
        <f>Financials!BB41/Financials!BA41-1</f>
        <v>0.16647069771355039</v>
      </c>
      <c r="BC36" s="299">
        <f>Financials!BC41/Financials!BB41-1</f>
        <v>0.15859227819579158</v>
      </c>
      <c r="BD36" s="299">
        <f>Financials!BD41/Financials!BC41-1</f>
        <v>0.1318521516599247</v>
      </c>
      <c r="BE36" s="299">
        <f>Financials!BE41/Financials!BD41-1</f>
        <v>0.11930479593581689</v>
      </c>
      <c r="BF36" s="299">
        <f>Financials!BF41/Financials!BE41-1</f>
        <v>0.10185046426716715</v>
      </c>
      <c r="BG36" s="299">
        <f>Financials!BG41/Financials!BF41-1</f>
        <v>0.10099177684658089</v>
      </c>
      <c r="BH36" s="299">
        <f>Financials!BH41/Financials!BG41-1</f>
        <v>8.7992650514256976E-3</v>
      </c>
      <c r="BI36" s="299">
        <f>Financials!BI41/Financials!BH41-1</f>
        <v>-0.91568991731572913</v>
      </c>
      <c r="BJ36" s="299">
        <f>Financials!BJ41/Financials!BI41-1</f>
        <v>0.93785787108224472</v>
      </c>
      <c r="BK36" s="299">
        <f>Financials!BK41/Financials!BJ41-1</f>
        <v>0.52891942586094642</v>
      </c>
      <c r="BL36" s="299">
        <f>Financials!BL41/Financials!BK41-1</f>
        <v>0.44227299487587812</v>
      </c>
      <c r="BM36" s="299">
        <f>Financials!BM41/Financials!BL41-1</f>
        <v>0.24138026754184061</v>
      </c>
      <c r="BN36" s="299">
        <f>Financials!BN41/Financials!BM41-1</f>
        <v>0.19653239010486234</v>
      </c>
      <c r="BO36" s="299">
        <f>Financials!BO41/Financials!BN41-1</f>
        <v>0.18678507471126871</v>
      </c>
      <c r="BP36" s="299">
        <f>Financials!BP41/Financials!BO41-1</f>
        <v>0.12702641016935146</v>
      </c>
      <c r="BQ36" s="299">
        <f>Financials!BQ41/Financials!BP41-1</f>
        <v>0.13275606253041272</v>
      </c>
      <c r="BR36" s="299">
        <f>Financials!BR41/Financials!BQ41-1</f>
        <v>0.11305959513917463</v>
      </c>
      <c r="BS36" s="299">
        <f>Financials!BS41/Financials!BR41-1</f>
        <v>9.8063717917045379E-2</v>
      </c>
      <c r="BT36" s="299">
        <f>Financials!BT41/Financials!BS41-1</f>
        <v>0.11516147444621683</v>
      </c>
      <c r="BU36" s="299">
        <f>Financials!BU41/Financials!BT41-1</f>
        <v>7.2546746388013617E-10</v>
      </c>
      <c r="BV36" s="299">
        <f>Financials!BV41/Financials!BU41-1</f>
        <v>-0.92151175389410134</v>
      </c>
      <c r="BW36" s="299">
        <f>Financials!BW41/Financials!BV41-1</f>
        <v>1.173539290454829</v>
      </c>
      <c r="BX36" s="299">
        <f>Financials!BX41/Financials!BW41-1</f>
        <v>0.52753175336546354</v>
      </c>
      <c r="BY36" s="299">
        <f>Financials!BY41/Financials!BX41-1</f>
        <v>0.30574855476339957</v>
      </c>
      <c r="BZ36" s="299">
        <f>Financials!BZ41/Financials!BY41-1</f>
        <v>0.27207166454156595</v>
      </c>
      <c r="CA36" s="299">
        <f>Financials!CA41/Financials!BZ41-1</f>
        <v>0.23556809713441829</v>
      </c>
      <c r="CB36" s="299">
        <f>Financials!CB41/Financials!CA41-1</f>
        <v>0.16406078616914055</v>
      </c>
      <c r="CC36" s="299">
        <f>Financials!CC41/Financials!CB41-1</f>
        <v>0.16070323902349815</v>
      </c>
      <c r="CD36" s="299">
        <f>Financials!CD41/Financials!CC41-1</f>
        <v>0.14534250054873254</v>
      </c>
      <c r="CE36" s="299">
        <f>Financials!CE41/Financials!CD41-1</f>
        <v>0.11628055514748659</v>
      </c>
      <c r="CF36" s="299">
        <f>Financials!CF41/Financials!CE41-1</f>
        <v>9.1829257907822148E-2</v>
      </c>
      <c r="CG36" s="299">
        <f>Financials!CG41/Financials!CF41-1</f>
        <v>0.17475414102191378</v>
      </c>
      <c r="CH36" s="299">
        <f>Financials!CH41/Financials!CG41-1</f>
        <v>-1.2739954395067143E-2</v>
      </c>
      <c r="CI36" s="299">
        <f>Financials!CI41/Financials!CH41-1</f>
        <v>-0.91187786669507731</v>
      </c>
      <c r="CJ36" s="299">
        <f>Financials!CJ41/Financials!CI41-1</f>
        <v>0.87545339191047211</v>
      </c>
      <c r="CK36" s="299">
        <f>Financials!CK41/Financials!CJ41-1</f>
        <v>0.56778038958498755</v>
      </c>
      <c r="CL36" s="299">
        <f>Financials!CL41/Financials!CK41-1</f>
        <v>0.32341155677319056</v>
      </c>
      <c r="CM36" s="299">
        <f>Financials!CM41/Financials!CL41-1</f>
        <v>0.24980369953025927</v>
      </c>
      <c r="CN36" s="299">
        <f>Financials!CN41/Financials!CM41-1</f>
        <v>0.24578788706111609</v>
      </c>
      <c r="CO36" s="299">
        <f>Financials!CO41/Financials!CN41-1</f>
        <v>0.16135997588616857</v>
      </c>
      <c r="CP36" s="299">
        <f>Financials!CP41/Financials!CO41-1</f>
        <v>0.14171210822313163</v>
      </c>
      <c r="CQ36" s="299">
        <f>Financials!CQ41/Financials!CP41-1</f>
        <v>0.15433819363082724</v>
      </c>
      <c r="CR36" s="299">
        <f>Financials!CR41/Financials!CQ41-1</f>
        <v>-1</v>
      </c>
      <c r="CS36" s="299" t="e">
        <f>Financials!CS41/Financials!CR41-1</f>
        <v>#DIV/0!</v>
      </c>
      <c r="CT36" s="299" t="e">
        <f>Financials!CT41/Financials!CS41-1</f>
        <v>#DIV/0!</v>
      </c>
      <c r="CU36" s="299" t="e">
        <f>Financials!CU41/Financials!CT41-1</f>
        <v>#DIV/0!</v>
      </c>
      <c r="CV36" s="299" t="e">
        <f>Financials!CV41/Financials!CU41-1</f>
        <v>#DIV/0!</v>
      </c>
      <c r="CW36" s="299" t="e">
        <f>Financials!CW41/Financials!CV41-1</f>
        <v>#DIV/0!</v>
      </c>
      <c r="CX36" s="299" t="e">
        <f>Financials!CX41/Financials!CW41-1</f>
        <v>#DIV/0!</v>
      </c>
      <c r="CY36" s="299" t="e">
        <f>Financials!CY41/Financials!CX41-1</f>
        <v>#DIV/0!</v>
      </c>
      <c r="CZ36" s="299" t="e">
        <f>Financials!CZ41/Financials!CY41-1</f>
        <v>#DIV/0!</v>
      </c>
      <c r="DA36" s="299" t="e">
        <f>Financials!DA41/Financials!CZ41-1</f>
        <v>#DIV/0!</v>
      </c>
      <c r="DB36" s="299" t="e">
        <f>Financials!DB41/Financials!DA41-1</f>
        <v>#DIV/0!</v>
      </c>
      <c r="DC36" s="299" t="e">
        <f>Financials!DC41/Financials!DB41-1</f>
        <v>#DIV/0!</v>
      </c>
      <c r="DD36" s="299" t="e">
        <f>Financials!DD41/Financials!DC41-1</f>
        <v>#DIV/0!</v>
      </c>
      <c r="DE36" s="299" t="e">
        <f>Financials!DE41/Financials!DD41-1</f>
        <v>#DIV/0!</v>
      </c>
      <c r="DF36" s="299" t="e">
        <f>Financials!DF41/Financials!DE41-1</f>
        <v>#DIV/0!</v>
      </c>
      <c r="DG36" s="299" t="e">
        <f>Financials!DG41/Financials!DF41-1</f>
        <v>#DIV/0!</v>
      </c>
      <c r="DH36" s="299" t="e">
        <f>Financials!DH41/Financials!DG41-1</f>
        <v>#DIV/0!</v>
      </c>
      <c r="DI36" s="299" t="e">
        <f>Financials!DI41/Financials!DH41-1</f>
        <v>#DIV/0!</v>
      </c>
      <c r="DJ36" s="299" t="e">
        <f>Financials!DJ41/Financials!DI41-1</f>
        <v>#DIV/0!</v>
      </c>
      <c r="DK36" s="299" t="e">
        <f>Financials!DK41/Financials!DJ41-1</f>
        <v>#DIV/0!</v>
      </c>
      <c r="DL36" s="299" t="e">
        <f>Financials!DL41/Financials!DK41-1</f>
        <v>#DIV/0!</v>
      </c>
      <c r="DM36" s="299" t="e">
        <f>Financials!DM41/Financials!DL41-1</f>
        <v>#DIV/0!</v>
      </c>
      <c r="DN36" s="299" t="e">
        <f>Financials!DN41/Financials!DM41-1</f>
        <v>#DIV/0!</v>
      </c>
      <c r="DO36" s="299" t="e">
        <f>Financials!DO41/Financials!DN41-1</f>
        <v>#DIV/0!</v>
      </c>
      <c r="DP36" s="299" t="e">
        <f>Financials!DP41/Financials!DO41-1</f>
        <v>#DIV/0!</v>
      </c>
      <c r="DQ36" s="299" t="e">
        <f>Financials!DQ41/Financials!DP41-1</f>
        <v>#DIV/0!</v>
      </c>
      <c r="DR36" s="299" t="e">
        <f>Financials!DR41/Financials!DQ41-1</f>
        <v>#DIV/0!</v>
      </c>
      <c r="DS36" s="299" t="e">
        <f>Financials!DS41/Financials!DR41-1</f>
        <v>#DIV/0!</v>
      </c>
      <c r="DT36" s="299" t="e">
        <f>Financials!DT41/Financials!DS41-1</f>
        <v>#DIV/0!</v>
      </c>
      <c r="DU36" s="299" t="e">
        <f>Financials!DU41/Financials!DT41-1</f>
        <v>#DIV/0!</v>
      </c>
      <c r="DV36" s="299" t="e">
        <f>Financials!DV41/Financials!DU41-1</f>
        <v>#DIV/0!</v>
      </c>
    </row>
    <row r="37" spans="1:126">
      <c r="A37" s="288" t="s">
        <v>104</v>
      </c>
      <c r="B37" s="222" t="s">
        <v>177</v>
      </c>
      <c r="C37" s="169">
        <v>8795</v>
      </c>
      <c r="D37" s="169">
        <v>8796</v>
      </c>
      <c r="E37" s="169">
        <v>8797</v>
      </c>
      <c r="F37" s="169">
        <v>8798</v>
      </c>
      <c r="G37" s="169">
        <v>8799</v>
      </c>
      <c r="H37" s="169">
        <v>8800</v>
      </c>
      <c r="I37" s="169">
        <v>8801</v>
      </c>
      <c r="J37" s="169">
        <v>8802</v>
      </c>
      <c r="K37" s="169">
        <v>8803</v>
      </c>
      <c r="L37" s="169">
        <v>8804</v>
      </c>
      <c r="M37" s="169">
        <v>8805</v>
      </c>
      <c r="N37" s="169">
        <v>8806</v>
      </c>
      <c r="O37" s="169">
        <v>8807</v>
      </c>
      <c r="P37" s="169">
        <v>8808</v>
      </c>
      <c r="Q37" s="169">
        <v>8809</v>
      </c>
      <c r="R37" s="169">
        <v>8810</v>
      </c>
      <c r="S37" s="169">
        <v>8811</v>
      </c>
      <c r="T37" s="169">
        <v>8812</v>
      </c>
      <c r="U37" s="169">
        <v>8813</v>
      </c>
      <c r="V37" s="169">
        <v>8814</v>
      </c>
      <c r="W37" s="169">
        <v>8815</v>
      </c>
      <c r="X37" s="169">
        <v>8816</v>
      </c>
      <c r="Y37" s="169">
        <v>8817</v>
      </c>
      <c r="Z37" s="169">
        <v>8818</v>
      </c>
      <c r="AA37" s="169">
        <v>8819</v>
      </c>
      <c r="AB37" s="169">
        <v>8820</v>
      </c>
      <c r="AC37" s="169">
        <v>8821</v>
      </c>
      <c r="AD37" s="169">
        <v>8822</v>
      </c>
      <c r="AE37" s="169">
        <v>8823</v>
      </c>
      <c r="AF37" s="169">
        <v>8824</v>
      </c>
      <c r="AG37" s="169">
        <v>8825</v>
      </c>
      <c r="AH37" s="300">
        <v>8826</v>
      </c>
      <c r="AI37" s="300">
        <v>8827</v>
      </c>
      <c r="AJ37" s="300">
        <v>8828</v>
      </c>
      <c r="AK37" s="300">
        <v>8829</v>
      </c>
      <c r="AL37" s="300">
        <v>8830</v>
      </c>
      <c r="AM37" s="300">
        <v>8831</v>
      </c>
      <c r="AN37" s="300">
        <v>8832</v>
      </c>
      <c r="AO37" s="300">
        <v>8833</v>
      </c>
      <c r="AP37" s="300">
        <v>8834</v>
      </c>
      <c r="AQ37" s="300">
        <v>8835</v>
      </c>
      <c r="AR37" s="300">
        <v>8836</v>
      </c>
      <c r="AS37" s="300">
        <v>8837</v>
      </c>
      <c r="AT37" s="300">
        <v>8838</v>
      </c>
      <c r="AU37" s="300">
        <v>8839</v>
      </c>
      <c r="AV37" s="300">
        <v>8840</v>
      </c>
      <c r="AW37" s="300">
        <v>8841</v>
      </c>
      <c r="AX37" s="300">
        <v>8842</v>
      </c>
      <c r="AY37" s="300">
        <v>8843</v>
      </c>
      <c r="AZ37" s="300">
        <v>8844</v>
      </c>
      <c r="BA37" s="300">
        <v>8845</v>
      </c>
      <c r="BB37" s="300">
        <v>8846</v>
      </c>
      <c r="BC37" s="300">
        <v>8847</v>
      </c>
      <c r="BD37" s="300">
        <v>8848</v>
      </c>
      <c r="BE37" s="300">
        <v>8849</v>
      </c>
      <c r="BF37" s="300">
        <v>8850</v>
      </c>
      <c r="BG37" s="300">
        <v>8851</v>
      </c>
      <c r="BH37" s="300">
        <v>8852</v>
      </c>
      <c r="BI37" s="300">
        <v>8853</v>
      </c>
      <c r="BJ37" s="300">
        <v>8854</v>
      </c>
      <c r="BK37" s="300">
        <v>8855</v>
      </c>
      <c r="BL37" s="300">
        <v>8856</v>
      </c>
      <c r="BM37" s="300">
        <v>8857</v>
      </c>
      <c r="BN37" s="300">
        <v>8858</v>
      </c>
      <c r="BO37" s="300">
        <v>8859</v>
      </c>
      <c r="BP37" s="300">
        <v>8860</v>
      </c>
      <c r="BQ37" s="300">
        <v>8861</v>
      </c>
      <c r="BR37" s="300">
        <v>8862</v>
      </c>
      <c r="BS37" s="300">
        <v>8863</v>
      </c>
      <c r="BT37" s="300">
        <v>8864</v>
      </c>
      <c r="BU37" s="300">
        <v>8865</v>
      </c>
      <c r="BV37" s="300">
        <v>8866</v>
      </c>
      <c r="BW37" s="300">
        <v>8867</v>
      </c>
      <c r="BX37" s="300">
        <v>8868</v>
      </c>
      <c r="BY37" s="300">
        <v>8869</v>
      </c>
      <c r="BZ37" s="300">
        <v>8870</v>
      </c>
      <c r="CA37" s="300">
        <v>8871</v>
      </c>
      <c r="CB37" s="300">
        <v>8872</v>
      </c>
      <c r="CC37" s="300">
        <v>8873</v>
      </c>
      <c r="CD37" s="300">
        <v>8874</v>
      </c>
      <c r="CE37" s="300">
        <v>8875</v>
      </c>
      <c r="CF37" s="300">
        <v>8876</v>
      </c>
      <c r="CG37" s="300">
        <v>8877</v>
      </c>
      <c r="CH37" s="300">
        <v>8878</v>
      </c>
      <c r="CI37" s="300">
        <v>8879</v>
      </c>
      <c r="CJ37" s="300">
        <v>8880</v>
      </c>
      <c r="CK37" s="300">
        <v>8881</v>
      </c>
      <c r="CL37" s="300">
        <v>8882</v>
      </c>
      <c r="CM37" s="300">
        <v>8883</v>
      </c>
      <c r="CN37" s="300">
        <v>8884</v>
      </c>
      <c r="CO37" s="300">
        <v>8885</v>
      </c>
      <c r="CP37" s="300">
        <v>8886</v>
      </c>
      <c r="CQ37" s="300">
        <v>8887</v>
      </c>
      <c r="CR37" s="300">
        <v>8888</v>
      </c>
      <c r="CS37" s="300">
        <v>8889</v>
      </c>
      <c r="CT37" s="300">
        <v>8890</v>
      </c>
      <c r="CU37" s="300">
        <v>8891</v>
      </c>
      <c r="CV37" s="300">
        <v>8892</v>
      </c>
      <c r="CW37" s="300">
        <v>8893</v>
      </c>
      <c r="CX37" s="300">
        <v>8894</v>
      </c>
      <c r="CY37" s="300">
        <v>8895</v>
      </c>
      <c r="CZ37" s="300">
        <v>8896</v>
      </c>
      <c r="DA37" s="300">
        <v>8897</v>
      </c>
      <c r="DB37" s="300">
        <v>8898</v>
      </c>
      <c r="DC37" s="300">
        <v>8899</v>
      </c>
      <c r="DD37" s="300">
        <v>8900</v>
      </c>
      <c r="DE37" s="300">
        <v>8901</v>
      </c>
      <c r="DF37" s="300">
        <v>8902</v>
      </c>
      <c r="DG37" s="300">
        <v>8903</v>
      </c>
      <c r="DH37" s="300">
        <v>8904</v>
      </c>
      <c r="DI37" s="300">
        <v>8905</v>
      </c>
      <c r="DJ37" s="300">
        <v>8906</v>
      </c>
      <c r="DK37" s="300">
        <v>8907</v>
      </c>
      <c r="DL37" s="300">
        <v>8908</v>
      </c>
      <c r="DM37" s="300">
        <v>8909</v>
      </c>
      <c r="DN37" s="300">
        <v>8910</v>
      </c>
      <c r="DO37" s="300">
        <v>8911</v>
      </c>
      <c r="DP37" s="300">
        <v>8912</v>
      </c>
      <c r="DQ37" s="300">
        <v>8913</v>
      </c>
      <c r="DR37" s="300">
        <v>8914</v>
      </c>
      <c r="DS37" s="300">
        <v>8915</v>
      </c>
      <c r="DT37" s="300">
        <v>8916</v>
      </c>
      <c r="DU37" s="300">
        <v>8917</v>
      </c>
      <c r="DV37" s="300">
        <v>8918</v>
      </c>
    </row>
    <row r="38" spans="1:126">
      <c r="A38" s="288"/>
      <c r="B38" s="178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301"/>
      <c r="AI38" s="301"/>
      <c r="AJ38" s="301"/>
      <c r="AK38" s="301"/>
      <c r="AL38" s="301"/>
      <c r="AM38" s="301"/>
      <c r="AN38" s="301"/>
      <c r="AO38" s="301"/>
      <c r="AP38" s="301"/>
      <c r="AQ38" s="301"/>
      <c r="AR38" s="301"/>
      <c r="AS38" s="301"/>
      <c r="AT38" s="301"/>
      <c r="AU38" s="301"/>
      <c r="AV38" s="301"/>
      <c r="AW38" s="301"/>
      <c r="AX38" s="301"/>
      <c r="AY38" s="301"/>
      <c r="AZ38" s="301"/>
      <c r="BA38" s="301"/>
      <c r="BB38" s="301"/>
      <c r="BC38" s="301"/>
      <c r="BD38" s="301"/>
      <c r="BE38" s="301"/>
      <c r="BF38" s="301"/>
      <c r="BG38" s="301"/>
      <c r="BH38" s="301"/>
      <c r="BI38" s="301"/>
      <c r="BJ38" s="301"/>
      <c r="BK38" s="301"/>
      <c r="BL38" s="301"/>
      <c r="BM38" s="301"/>
      <c r="BN38" s="301"/>
      <c r="BO38" s="301"/>
      <c r="BP38" s="301"/>
      <c r="BQ38" s="301"/>
      <c r="BR38" s="301"/>
      <c r="BS38" s="301"/>
      <c r="BT38" s="301"/>
      <c r="BU38" s="301"/>
      <c r="BV38" s="301"/>
      <c r="BW38" s="301"/>
      <c r="BX38" s="301"/>
      <c r="BY38" s="301"/>
      <c r="BZ38" s="301"/>
      <c r="CA38" s="301"/>
      <c r="CB38" s="301"/>
      <c r="CC38" s="301"/>
      <c r="CD38" s="301"/>
      <c r="CE38" s="301"/>
      <c r="CF38" s="301"/>
      <c r="CG38" s="301"/>
      <c r="CH38" s="301"/>
      <c r="CI38" s="301"/>
      <c r="CJ38" s="301"/>
      <c r="CK38" s="301"/>
      <c r="CL38" s="301"/>
      <c r="CM38" s="301"/>
      <c r="CN38" s="301"/>
      <c r="CO38" s="301"/>
      <c r="CP38" s="301"/>
      <c r="CQ38" s="301"/>
      <c r="CR38" s="301"/>
      <c r="CS38" s="301"/>
      <c r="CT38" s="301"/>
      <c r="CU38" s="301"/>
      <c r="CV38" s="301"/>
      <c r="CW38" s="301"/>
      <c r="CX38" s="301"/>
      <c r="CY38" s="301"/>
      <c r="CZ38" s="301"/>
      <c r="DA38" s="301"/>
      <c r="DB38" s="301"/>
      <c r="DC38" s="301"/>
      <c r="DD38" s="301"/>
      <c r="DE38" s="301"/>
      <c r="DF38" s="301"/>
      <c r="DG38" s="301"/>
      <c r="DH38" s="301"/>
      <c r="DI38" s="301"/>
      <c r="DJ38" s="301"/>
      <c r="DK38" s="301"/>
      <c r="DL38" s="301"/>
      <c r="DM38" s="301"/>
      <c r="DN38" s="301"/>
      <c r="DO38" s="301"/>
      <c r="DP38" s="301"/>
      <c r="DQ38" s="301"/>
      <c r="DR38" s="301"/>
      <c r="DS38" s="301"/>
      <c r="DT38" s="301"/>
      <c r="DU38" s="301"/>
      <c r="DV38" s="301"/>
    </row>
    <row r="39" spans="1:126">
      <c r="A39" s="302" t="s">
        <v>189</v>
      </c>
      <c r="B39" s="178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  <c r="BW39" s="303"/>
      <c r="BX39" s="303"/>
      <c r="BY39" s="303"/>
      <c r="BZ39" s="303"/>
      <c r="CA39" s="303"/>
      <c r="CB39" s="303"/>
      <c r="CC39" s="303"/>
      <c r="CD39" s="303"/>
      <c r="CE39" s="303"/>
      <c r="CF39" s="303"/>
      <c r="CG39" s="303"/>
      <c r="CH39" s="303"/>
      <c r="CI39" s="303"/>
      <c r="CJ39" s="303"/>
      <c r="CK39" s="303"/>
      <c r="CL39" s="303"/>
      <c r="CM39" s="303"/>
      <c r="CN39" s="303"/>
      <c r="CO39" s="303"/>
      <c r="CP39" s="303"/>
      <c r="CQ39" s="303"/>
      <c r="CR39" s="303"/>
      <c r="CS39" s="303"/>
      <c r="CT39" s="303"/>
      <c r="CU39" s="303"/>
      <c r="CV39" s="303"/>
      <c r="CW39" s="303"/>
      <c r="CX39" s="303"/>
      <c r="CY39" s="303"/>
      <c r="CZ39" s="303"/>
      <c r="DA39" s="303"/>
      <c r="DB39" s="303"/>
      <c r="DC39" s="303"/>
      <c r="DD39" s="303"/>
      <c r="DE39" s="303"/>
      <c r="DF39" s="303"/>
      <c r="DG39" s="303"/>
      <c r="DH39" s="303"/>
      <c r="DI39" s="303"/>
      <c r="DJ39" s="303"/>
      <c r="DK39" s="303"/>
      <c r="DL39" s="303"/>
      <c r="DM39" s="303"/>
      <c r="DN39" s="303"/>
      <c r="DO39" s="303"/>
      <c r="DP39" s="303"/>
      <c r="DQ39" s="303"/>
      <c r="DR39" s="303"/>
      <c r="DS39" s="303"/>
      <c r="DT39" s="303"/>
      <c r="DU39" s="303"/>
      <c r="DV39" s="303"/>
    </row>
    <row r="40" spans="1:126">
      <c r="A40" s="288" t="s">
        <v>190</v>
      </c>
      <c r="B40" s="222" t="s">
        <v>177</v>
      </c>
      <c r="C40" s="167" t="e">
        <f>Financials!C48/((Financials!C6+Financials!B6)/2)</f>
        <v>#VALUE!</v>
      </c>
      <c r="D40" s="167">
        <f>Financials!D48/((Financials!D6+Financials!C6)/2)</f>
        <v>0.10635011797323642</v>
      </c>
      <c r="E40" s="167">
        <f>Financials!E48/((Financials!E6+Financials!D6)/2)</f>
        <v>0.10751473059354376</v>
      </c>
      <c r="F40" s="167">
        <f>Financials!F48/((Financials!F6+Financials!E6)/2)</f>
        <v>0.1123008626794995</v>
      </c>
      <c r="G40" s="167">
        <f>Financials!G48/((Financials!G6+Financials!F6)/2)</f>
        <v>0.11223718574828524</v>
      </c>
      <c r="H40" s="167">
        <f>Financials!H48/((Financials!H6+Financials!G6)/2)</f>
        <v>0.11346107713769385</v>
      </c>
      <c r="I40" s="167">
        <f>Financials!I48/((Financials!I6+Financials!H6)/2)</f>
        <v>1.2070503514206613E-4</v>
      </c>
      <c r="J40" s="167">
        <f>Financials!J48/((Financials!J6+Financials!I6)/2)</f>
        <v>2.1039584256416978E-2</v>
      </c>
      <c r="K40" s="167">
        <f>Financials!K48/((Financials!K6+Financials!J6)/2)</f>
        <v>3.0701468520675547E-2</v>
      </c>
      <c r="L40" s="167">
        <f>Financials!L48/((Financials!L6+Financials!K6)/2)</f>
        <v>4.1248916569403798E-2</v>
      </c>
      <c r="M40" s="167">
        <f>Financials!M48/((Financials!M6+Financials!L6)/2)</f>
        <v>5.162845956770367E-2</v>
      </c>
      <c r="N40" s="167">
        <f>Financials!N48/((Financials!N6+Financials!M6)/2)</f>
        <v>6.0793586176950812E-2</v>
      </c>
      <c r="O40" s="167">
        <f>Financials!O48/((Financials!O6+Financials!N6)/2)</f>
        <v>6.9252469856621243E-2</v>
      </c>
      <c r="P40" s="167">
        <f>Financials!P48/((Financials!P6+Financials!O6)/2)</f>
        <v>7.780477674481065E-2</v>
      </c>
      <c r="Q40" s="167">
        <f>Financials!Q48/((Financials!Q6+Financials!P6)/2)</f>
        <v>8.6702450189260927E-2</v>
      </c>
      <c r="R40" s="167">
        <f>Financials!R48/((Financials!R6+Financials!Q6)/2)</f>
        <v>9.5369899771654845E-2</v>
      </c>
      <c r="S40" s="167">
        <f>Financials!S48/((Financials!S6+Financials!R6)/2)</f>
        <v>0.10240556566813208</v>
      </c>
      <c r="T40" s="167">
        <f>Financials!T48/((Financials!T6+Financials!S6)/2)</f>
        <v>0.10995522140137079</v>
      </c>
      <c r="U40" s="167">
        <f>Financials!U48/((Financials!U6+Financials!T6)/2)</f>
        <v>8.6962883787065362E-2</v>
      </c>
      <c r="V40" s="167">
        <f>Financials!V48/((Financials!V6+Financials!U6)/2)</f>
        <v>1.4448237746245271E-4</v>
      </c>
      <c r="W40" s="167">
        <f>Financials!W48/((Financials!W6+Financials!V6)/2)</f>
        <v>1.3772249691821437E-2</v>
      </c>
      <c r="X40" s="167">
        <f>Financials!X48/((Financials!X6+Financials!W6)/2)</f>
        <v>2.9876850337242529E-2</v>
      </c>
      <c r="Y40" s="167">
        <f>Financials!Y48/((Financials!Y6+Financials!X6)/2)</f>
        <v>4.0216258959766528E-2</v>
      </c>
      <c r="Z40" s="167">
        <f>Financials!Z48/((Financials!Z6+Financials!Y6)/2)</f>
        <v>4.4468923951431517E-2</v>
      </c>
      <c r="AA40" s="167">
        <f>Financials!AA48/((Financials!AA6+Financials!Z6)/2)</f>
        <v>5.2617149049928195E-2</v>
      </c>
      <c r="AB40" s="167">
        <f>Financials!AB48/((Financials!AB6+Financials!AA6)/2)</f>
        <v>6.0568204435092574E-2</v>
      </c>
      <c r="AC40" s="167">
        <f>Financials!AC48/((Financials!AC6+Financials!AB6)/2)</f>
        <v>0</v>
      </c>
      <c r="AD40" s="167">
        <f>Financials!AD48/((Financials!AD6+Financials!AC6)/2)</f>
        <v>7.6334861263495299E-2</v>
      </c>
      <c r="AE40" s="167">
        <f>Financials!AE48/((Financials!AE6+Financials!AD6)/2)</f>
        <v>8.4116681929149492E-2</v>
      </c>
      <c r="AF40" s="167">
        <f>Financials!AF48/((Financials!AF6+Financials!AE6)/2)</f>
        <v>9.1376154446525026E-2</v>
      </c>
      <c r="AG40" s="167">
        <f>Financials!AG48/((Financials!AG6+Financials!AF6)/2)</f>
        <v>0.10106148650748664</v>
      </c>
      <c r="AH40" s="297">
        <f>Financials!AH48/((Financials!AH6+Financials!AG6)/2)</f>
        <v>9.2710940727105826E-2</v>
      </c>
      <c r="AI40" s="297">
        <f>Financials!AI48/((Financials!AI6+Financials!AH6)/2)</f>
        <v>8.9474951250823869E-3</v>
      </c>
      <c r="AJ40" s="297">
        <f>Financials!AJ48/((Financials!AJ6+Financials!AI6)/2)</f>
        <v>1.8202324660642234E-2</v>
      </c>
      <c r="AK40" s="297">
        <f>Financials!AK48/((Financials!AK6+Financials!AJ6)/2)</f>
        <v>2.6583138194476358E-2</v>
      </c>
      <c r="AL40" s="297">
        <f>Financials!AL48/((Financials!AL6+Financials!AK6)/2)</f>
        <v>3.5512125047940858E-2</v>
      </c>
      <c r="AM40" s="297">
        <f>Financials!AM48/((Financials!AM6+Financials!AL6)/2)</f>
        <v>4.4305606855091266E-2</v>
      </c>
      <c r="AN40" s="297">
        <f>Financials!AN48/((Financials!AN6+Financials!AM6)/2)</f>
        <v>5.2642068606623453E-2</v>
      </c>
      <c r="AO40" s="297">
        <f>Financials!AO48/((Financials!AO6+Financials!AN6)/2)</f>
        <v>6.0350255632094923E-2</v>
      </c>
      <c r="AP40" s="297">
        <f>Financials!AP48/((Financials!AP6+Financials!AO6)/2)</f>
        <v>6.7937881692313642E-2</v>
      </c>
      <c r="AQ40" s="297">
        <f>Financials!AQ48/((Financials!AQ6+Financials!AP6)/2)</f>
        <v>7.5851941077727955E-2</v>
      </c>
      <c r="AR40" s="297">
        <f>Financials!AR48/((Financials!AR6+Financials!AQ6)/2)</f>
        <v>8.3076484609792722E-2</v>
      </c>
      <c r="AS40" s="297">
        <f>Financials!AS48/((Financials!AS6+Financials!AR6)/2)</f>
        <v>8.9950533459413853E-2</v>
      </c>
      <c r="AT40" s="297">
        <f>Financials!AT48/((Financials!AT6+Financials!AS6)/2)</f>
        <v>9.7020624394619906E-2</v>
      </c>
      <c r="AU40" s="297">
        <f>Financials!AU48/((Financials!AU6+Financials!AT6)/2)</f>
        <v>9.4534309043493372E-2</v>
      </c>
      <c r="AV40" s="297">
        <f>Financials!AV48/((Financials!AV6+Financials!AU6)/2)</f>
        <v>7.9877890341198913E-3</v>
      </c>
      <c r="AW40" s="297">
        <f>Financials!AW48/((Financials!AW6+Financials!AV6)/2)</f>
        <v>1.5424735351004878E-2</v>
      </c>
      <c r="AX40" s="297">
        <f>Financials!AX48/((Financials!AX6+Financials!AW6)/2)</f>
        <v>2.3769010649146317E-2</v>
      </c>
      <c r="AY40" s="297">
        <f>Financials!AY48/((Financials!AY6+Financials!AX6)/2)</f>
        <v>3.1646797001204048E-2</v>
      </c>
      <c r="AZ40" s="297">
        <f>Financials!AZ48/((Financials!AZ6+Financials!AY6)/2)</f>
        <v>3.9232092051092224E-2</v>
      </c>
      <c r="BA40" s="297">
        <f>Financials!BA48/((Financials!BA6+Financials!AZ6)/2)</f>
        <v>4.689394872420103E-2</v>
      </c>
      <c r="BB40" s="297">
        <f>Financials!BB48/((Financials!BB6+Financials!BA6)/2)</f>
        <v>5.416679239561506E-2</v>
      </c>
      <c r="BC40" s="297">
        <f>Financials!BC48/((Financials!BC6+Financials!BB6)/2)</f>
        <v>6.1075539802310889E-2</v>
      </c>
      <c r="BD40" s="297">
        <f>Financials!BD48/((Financials!BD6+Financials!BC6)/2)</f>
        <v>6.8067015480839696E-2</v>
      </c>
      <c r="BE40" s="297">
        <f>Financials!BE48/((Financials!BE6+Financials!BD6)/2)</f>
        <v>7.5278755193287042E-2</v>
      </c>
      <c r="BF40" s="297">
        <f>Financials!BF48/((Financials!BF6+Financials!BE6)/2)</f>
        <v>8.2647123016189483E-2</v>
      </c>
      <c r="BG40" s="297">
        <f>Financials!BG48/((Financials!BG6+Financials!BF6)/2)</f>
        <v>8.95777065486697E-2</v>
      </c>
      <c r="BH40" s="297">
        <f>Financials!BH48/((Financials!BH6+Financials!BG6)/2)</f>
        <v>9.5727804749926884E-2</v>
      </c>
      <c r="BI40" s="297">
        <f>Financials!BI48/((Financials!BI6+Financials!BH6)/2)</f>
        <v>7.8875417625707076E-3</v>
      </c>
      <c r="BJ40" s="297">
        <f>Financials!BJ48/((Financials!BJ6+Financials!BI6)/2)</f>
        <v>1.6697342973058527E-2</v>
      </c>
      <c r="BK40" s="297">
        <f>Financials!BK48/((Financials!BK6+Financials!BJ6)/2)</f>
        <v>2.5279758985268377E-2</v>
      </c>
      <c r="BL40" s="297">
        <f>Financials!BL48/((Financials!BL6+Financials!BK6)/2)</f>
        <v>3.3550444064645857E-2</v>
      </c>
      <c r="BM40" s="297">
        <f>Financials!BM48/((Financials!BM6+Financials!BL6)/2)</f>
        <v>4.1743274689262429E-2</v>
      </c>
      <c r="BN40" s="297">
        <f>Financials!BN48/((Financials!BN6+Financials!BM6)/2)</f>
        <v>4.9926722830167851E-2</v>
      </c>
      <c r="BO40" s="297">
        <f>Financials!BO48/((Financials!BO6+Financials!BN6)/2)</f>
        <v>5.7174692060442733E-2</v>
      </c>
      <c r="BP40" s="297">
        <f>Financials!BP48/((Financials!BP6+Financials!BO6)/2)</f>
        <v>6.4264296591124898E-2</v>
      </c>
      <c r="BQ40" s="297">
        <f>Financials!BQ48/((Financials!BQ6+Financials!BP6)/2)</f>
        <v>7.1837748984962674E-2</v>
      </c>
      <c r="BR40" s="297">
        <f>Financials!BR48/((Financials!BR6+Financials!BQ6)/2)</f>
        <v>7.8693881988890102E-2</v>
      </c>
      <c r="BS40" s="297">
        <f>Financials!BS48/((Financials!BS6+Financials!BR6)/2)</f>
        <v>8.5582909242276198E-2</v>
      </c>
      <c r="BT40" s="297">
        <f>Financials!BT48/((Financials!BT6+Financials!BS6)/2)</f>
        <v>9.2584015201639544E-2</v>
      </c>
      <c r="BU40" s="297">
        <f>Financials!BU48/((Financials!BU6+Financials!BT6)/2)</f>
        <v>9.7905615779237509E-2</v>
      </c>
      <c r="BV40" s="297">
        <f>Financials!BV48/((Financials!BV6+Financials!BU6)/2)</f>
        <v>9.5646894916228895E-3</v>
      </c>
      <c r="BW40" s="297">
        <f>Financials!BW48/((Financials!BW6+Financials!BV6)/2)</f>
        <v>1.8585818079164228E-2</v>
      </c>
      <c r="BX40" s="297">
        <f>Financials!BX48/((Financials!BX6+Financials!BW6)/2)</f>
        <v>2.7907746646302821E-2</v>
      </c>
      <c r="BY40" s="297">
        <f>Financials!BY48/((Financials!BY6+Financials!BX6)/2)</f>
        <v>3.7193879829886728E-2</v>
      </c>
      <c r="BZ40" s="297">
        <f>Financials!BZ48/((Financials!BZ6+Financials!BY6)/2)</f>
        <v>4.6166635330789449E-2</v>
      </c>
      <c r="CA40" s="297">
        <f>Financials!CA48/((Financials!CA6+Financials!BZ6)/2)</f>
        <v>5.4711303021675005E-2</v>
      </c>
      <c r="CB40" s="297">
        <f>Financials!CB48/((Financials!CB6+Financials!CA6)/2)</f>
        <v>6.2920601047899608E-2</v>
      </c>
      <c r="CC40" s="297">
        <f>Financials!CC48/((Financials!CC6+Financials!CB6)/2)</f>
        <v>7.1000118854260941E-2</v>
      </c>
      <c r="CD40" s="297">
        <f>Financials!CD48/((Financials!CD6+Financials!CC6)/2)</f>
        <v>7.977033110168355E-2</v>
      </c>
      <c r="CE40" s="297">
        <f>Financials!CE48/((Financials!CE6+Financials!CD6)/2)</f>
        <v>8.8305899033065099E-2</v>
      </c>
      <c r="CF40" s="297">
        <f>Financials!CF48/((Financials!CF6+Financials!CE6)/2)</f>
        <v>9.6211050692555811E-2</v>
      </c>
      <c r="CG40" s="297">
        <f>Financials!CG48/((Financials!CG6+Financials!CF6)/2)</f>
        <v>0.1040832260759134</v>
      </c>
      <c r="CH40" s="297">
        <f>Financials!CH48/((Financials!CH6+Financials!CG6)/2)</f>
        <v>0.10164729741800267</v>
      </c>
      <c r="CI40" s="297">
        <f>Financials!CI48/((Financials!CI6+Financials!CH6)/2)</f>
        <v>1.0121937463328503E-2</v>
      </c>
      <c r="CJ40" s="297">
        <f>Financials!CJ48/((Financials!CJ6+Financials!CI6)/2)</f>
        <v>1.9811620661759909E-2</v>
      </c>
      <c r="CK40" s="297">
        <f>Financials!CK48/((Financials!CK6+Financials!CJ6)/2)</f>
        <v>2.9402228096113023E-2</v>
      </c>
      <c r="CL40" s="297">
        <f>Financials!CL48/((Financials!CL6+Financials!CK6)/2)</f>
        <v>3.7971560707141305E-2</v>
      </c>
      <c r="CM40" s="297">
        <f>Financials!CM48/((Financials!CM6+Financials!CL6)/2)</f>
        <v>4.7204369883380913E-2</v>
      </c>
      <c r="CN40" s="297">
        <f>Financials!CN48/((Financials!CN6+Financials!CM6)/2)</f>
        <v>5.5841202604309997E-2</v>
      </c>
      <c r="CO40" s="297">
        <f>Financials!CO48/((Financials!CO6+Financials!CN6)/2)</f>
        <v>6.3635925793463458E-2</v>
      </c>
      <c r="CP40" s="297">
        <f>Financials!CP48/((Financials!CP6+Financials!CO6)/2)</f>
        <v>7.1418071218857168E-2</v>
      </c>
      <c r="CQ40" s="297">
        <f>Financials!CQ48/((Financials!CQ6+Financials!CP6)/2)</f>
        <v>8.0381533274618597E-2</v>
      </c>
      <c r="CR40" s="297">
        <f>Financials!CR48/((Financials!CR6+Financials!CQ6)/2)</f>
        <v>0</v>
      </c>
      <c r="CS40" s="297" t="e">
        <f>Financials!CS48/((Financials!CS6+Financials!CR6)/2)</f>
        <v>#DIV/0!</v>
      </c>
      <c r="CT40" s="297" t="e">
        <f>Financials!CT48/((Financials!CT6+Financials!CS6)/2)</f>
        <v>#DIV/0!</v>
      </c>
      <c r="CU40" s="297" t="e">
        <f>Financials!CU48/((Financials!CU6+Financials!CT6)/2)</f>
        <v>#DIV/0!</v>
      </c>
      <c r="CV40" s="297" t="e">
        <f>Financials!CV48/((Financials!CV6+Financials!CU6)/2)</f>
        <v>#DIV/0!</v>
      </c>
      <c r="CW40" s="297" t="e">
        <f>Financials!CW48/((Financials!CW6+Financials!CV6)/2)</f>
        <v>#DIV/0!</v>
      </c>
      <c r="CX40" s="297" t="e">
        <f>Financials!CX48/((Financials!CX6+Financials!CW6)/2)</f>
        <v>#DIV/0!</v>
      </c>
      <c r="CY40" s="297" t="e">
        <f>Financials!CY48/((Financials!CY6+Financials!CX6)/2)</f>
        <v>#DIV/0!</v>
      </c>
      <c r="CZ40" s="297" t="e">
        <f>Financials!CZ48/((Financials!CZ6+Financials!CY6)/2)</f>
        <v>#DIV/0!</v>
      </c>
      <c r="DA40" s="297" t="e">
        <f>Financials!DA48/((Financials!DA6+Financials!CZ6)/2)</f>
        <v>#DIV/0!</v>
      </c>
      <c r="DB40" s="297" t="e">
        <f>Financials!DB48/((Financials!DB6+Financials!DA6)/2)</f>
        <v>#DIV/0!</v>
      </c>
      <c r="DC40" s="297" t="e">
        <f>Financials!DC48/((Financials!DC6+Financials!DB6)/2)</f>
        <v>#DIV/0!</v>
      </c>
      <c r="DD40" s="297" t="e">
        <f>Financials!DD48/((Financials!DD6+Financials!DC6)/2)</f>
        <v>#DIV/0!</v>
      </c>
      <c r="DE40" s="297" t="e">
        <f>Financials!DE48/((Financials!DE6+Financials!DD6)/2)</f>
        <v>#DIV/0!</v>
      </c>
      <c r="DF40" s="297" t="e">
        <f>Financials!DF48/((Financials!DF6+Financials!DE6)/2)</f>
        <v>#DIV/0!</v>
      </c>
      <c r="DG40" s="297" t="e">
        <f>Financials!DG48/((Financials!DG6+Financials!DF6)/2)</f>
        <v>#DIV/0!</v>
      </c>
      <c r="DH40" s="297" t="e">
        <f>Financials!DH48/((Financials!DH6+Financials!DG6)/2)</f>
        <v>#DIV/0!</v>
      </c>
      <c r="DI40" s="297" t="e">
        <f>Financials!DI48/((Financials!DI6+Financials!DH6)/2)</f>
        <v>#DIV/0!</v>
      </c>
      <c r="DJ40" s="297" t="e">
        <f>Financials!DJ48/((Financials!DJ6+Financials!DI6)/2)</f>
        <v>#DIV/0!</v>
      </c>
      <c r="DK40" s="297" t="e">
        <f>Financials!DK48/((Financials!DK6+Financials!DJ6)/2)</f>
        <v>#DIV/0!</v>
      </c>
      <c r="DL40" s="297" t="e">
        <f>Financials!DL48/((Financials!DL6+Financials!DK6)/2)</f>
        <v>#DIV/0!</v>
      </c>
      <c r="DM40" s="297" t="e">
        <f>Financials!DM48/((Financials!DM6+Financials!DL6)/2)</f>
        <v>#DIV/0!</v>
      </c>
      <c r="DN40" s="297" t="e">
        <f>Financials!DN48/((Financials!DN6+Financials!DM6)/2)</f>
        <v>#DIV/0!</v>
      </c>
      <c r="DO40" s="297" t="e">
        <f>Financials!DO48/((Financials!DO6+Financials!DN6)/2)</f>
        <v>#DIV/0!</v>
      </c>
      <c r="DP40" s="297" t="e">
        <f>Financials!DP48/((Financials!DP6+Financials!DO6)/2)</f>
        <v>#DIV/0!</v>
      </c>
      <c r="DQ40" s="297" t="e">
        <f>Financials!DQ48/((Financials!DQ6+Financials!DP6)/2)</f>
        <v>#DIV/0!</v>
      </c>
      <c r="DR40" s="297" t="e">
        <f>Financials!DR48/((Financials!DR6+Financials!DQ6)/2)</f>
        <v>#DIV/0!</v>
      </c>
      <c r="DS40" s="297" t="e">
        <f>Financials!DS48/((Financials!DS6+Financials!DR6)/2)</f>
        <v>#DIV/0!</v>
      </c>
      <c r="DT40" s="297" t="e">
        <f>Financials!DT48/((Financials!DT6+Financials!DS6)/2)</f>
        <v>#DIV/0!</v>
      </c>
      <c r="DU40" s="297" t="e">
        <f>Financials!DU48/((Financials!DU6+Financials!DT6)/2)</f>
        <v>#DIV/0!</v>
      </c>
      <c r="DV40" s="297" t="e">
        <f>Financials!DV48/((Financials!DV6+Financials!DU6)/2)</f>
        <v>#DIV/0!</v>
      </c>
    </row>
    <row r="41" spans="1:126">
      <c r="A41" s="288" t="s">
        <v>191</v>
      </c>
      <c r="B41" s="222" t="s">
        <v>177</v>
      </c>
      <c r="C41" s="167" t="e">
        <f>Financials!C49/((Financials!C18+Financials!B18)/2)</f>
        <v>#VALUE!</v>
      </c>
      <c r="D41" s="167">
        <f>Financials!D49/((Financials!D18+Financials!C18)/2)</f>
        <v>0.12036264210677795</v>
      </c>
      <c r="E41" s="167">
        <f>Financials!E49/((Financials!E18+Financials!D18)/2)</f>
        <v>0</v>
      </c>
      <c r="F41" s="167">
        <f>Financials!F49/((Financials!F18+Financials!E18)/2)</f>
        <v>0</v>
      </c>
      <c r="G41" s="167">
        <f>Financials!G49/((Financials!G18+Financials!F18)/2)</f>
        <v>0</v>
      </c>
      <c r="H41" s="167">
        <f>Financials!H49/((Financials!H18+Financials!G18)/2)</f>
        <v>0</v>
      </c>
      <c r="I41" s="167">
        <f>Financials!I49/((Financials!I18+Financials!H18)/2)</f>
        <v>0</v>
      </c>
      <c r="J41" s="167">
        <f>Financials!J49/((Financials!J18+Financials!I18)/2)</f>
        <v>0</v>
      </c>
      <c r="K41" s="167">
        <f>Financials!K49/((Financials!K18+Financials!J18)/2)</f>
        <v>0</v>
      </c>
      <c r="L41" s="167">
        <f>Financials!L49/((Financials!L18+Financials!K18)/2)</f>
        <v>0</v>
      </c>
      <c r="M41" s="167">
        <f>Financials!M49/((Financials!M18+Financials!L18)/2)</f>
        <v>0</v>
      </c>
      <c r="N41" s="167">
        <f>Financials!N49/((Financials!N18+Financials!M18)/2)</f>
        <v>0</v>
      </c>
      <c r="O41" s="167">
        <f>Financials!O49/((Financials!O18+Financials!N18)/2)</f>
        <v>0</v>
      </c>
      <c r="P41" s="167">
        <f>Financials!P49/((Financials!P18+Financials!O18)/2)</f>
        <v>0</v>
      </c>
      <c r="Q41" s="167">
        <f>Financials!Q49/((Financials!Q18+Financials!P18)/2)</f>
        <v>0</v>
      </c>
      <c r="R41" s="167">
        <f>Financials!R49/((Financials!R18+Financials!Q18)/2)</f>
        <v>0</v>
      </c>
      <c r="S41" s="167">
        <f>Financials!S49/((Financials!S18+Financials!R18)/2)</f>
        <v>0</v>
      </c>
      <c r="T41" s="167">
        <f>Financials!T49/((Financials!T18+Financials!S18)/2)</f>
        <v>0</v>
      </c>
      <c r="U41" s="167">
        <f>Financials!U49/((Financials!U18+Financials!T18)/2)</f>
        <v>0</v>
      </c>
      <c r="V41" s="167">
        <f>Financials!V49/((Financials!V18+Financials!U18)/2)</f>
        <v>0</v>
      </c>
      <c r="W41" s="167">
        <f>Financials!W49/((Financials!W18+Financials!V18)/2)</f>
        <v>0</v>
      </c>
      <c r="X41" s="167">
        <f>Financials!X49/((Financials!X18+Financials!W18)/2)</f>
        <v>0</v>
      </c>
      <c r="Y41" s="167">
        <f>Financials!Y49/((Financials!Y18+Financials!X18)/2)</f>
        <v>0</v>
      </c>
      <c r="Z41" s="167">
        <f>Financials!Z49/((Financials!Z18+Financials!Y18)/2)</f>
        <v>0</v>
      </c>
      <c r="AA41" s="167">
        <f>Financials!AA49/((Financials!AA18+Financials!Z18)/2)</f>
        <v>0</v>
      </c>
      <c r="AB41" s="167">
        <f>Financials!AB49/((Financials!AB18+Financials!AA18)/2)</f>
        <v>0</v>
      </c>
      <c r="AC41" s="167">
        <f>Financials!AC49/((Financials!AC18+Financials!AB18)/2)</f>
        <v>0.98409667680605806</v>
      </c>
      <c r="AD41" s="167">
        <f>Financials!AD49/((Financials!AD18+Financials!AC18)/2)</f>
        <v>0</v>
      </c>
      <c r="AE41" s="167">
        <f>Financials!AE49/((Financials!AE18+Financials!AD18)/2)</f>
        <v>0</v>
      </c>
      <c r="AF41" s="167">
        <f>Financials!AF49/((Financials!AF18+Financials!AE18)/2)</f>
        <v>0</v>
      </c>
      <c r="AG41" s="167">
        <f>Financials!AG49/((Financials!AG18+Financials!AF18)/2)</f>
        <v>0</v>
      </c>
      <c r="AH41" s="297">
        <f>Financials!AH49/((Financials!AH18+Financials!AG18)/2)</f>
        <v>0</v>
      </c>
      <c r="AI41" s="297">
        <f>Financials!AI49/((Financials!AI18+Financials!AH18)/2)</f>
        <v>0</v>
      </c>
      <c r="AJ41" s="297">
        <f>Financials!AJ49/((Financials!AJ18+Financials!AI18)/2)</f>
        <v>0</v>
      </c>
      <c r="AK41" s="297">
        <f>Financials!AK49/((Financials!AK18+Financials!AJ18)/2)</f>
        <v>0</v>
      </c>
      <c r="AL41" s="297">
        <f>Financials!AL49/((Financials!AL18+Financials!AK18)/2)</f>
        <v>0</v>
      </c>
      <c r="AM41" s="297">
        <f>Financials!AM49/((Financials!AM18+Financials!AL18)/2)</f>
        <v>0</v>
      </c>
      <c r="AN41" s="297">
        <f>Financials!AN49/((Financials!AN18+Financials!AM18)/2)</f>
        <v>0</v>
      </c>
      <c r="AO41" s="297">
        <f>Financials!AO49/((Financials!AO18+Financials!AN18)/2)</f>
        <v>0</v>
      </c>
      <c r="AP41" s="297">
        <f>Financials!AP49/((Financials!AP18+Financials!AO18)/2)</f>
        <v>0</v>
      </c>
      <c r="AQ41" s="297">
        <f>Financials!AQ49/((Financials!AQ18+Financials!AP18)/2)</f>
        <v>0</v>
      </c>
      <c r="AR41" s="297">
        <f>Financials!AR49/((Financials!AR18+Financials!AQ18)/2)</f>
        <v>0</v>
      </c>
      <c r="AS41" s="297">
        <f>Financials!AS49/((Financials!AS18+Financials!AR18)/2)</f>
        <v>0</v>
      </c>
      <c r="AT41" s="297">
        <f>Financials!AT49/((Financials!AT18+Financials!AS18)/2)</f>
        <v>0</v>
      </c>
      <c r="AU41" s="297">
        <f>Financials!AU49/((Financials!AU18+Financials!AT18)/2)</f>
        <v>0</v>
      </c>
      <c r="AV41" s="297">
        <f>Financials!AV49/((Financials!AV18+Financials!AU18)/2)</f>
        <v>0</v>
      </c>
      <c r="AW41" s="297">
        <f>Financials!AW49/((Financials!AW18+Financials!AV18)/2)</f>
        <v>0</v>
      </c>
      <c r="AX41" s="297">
        <f>Financials!AX49/((Financials!AX18+Financials!AW18)/2)</f>
        <v>0</v>
      </c>
      <c r="AY41" s="297">
        <f>Financials!AY49/((Financials!AY18+Financials!AX18)/2)</f>
        <v>0</v>
      </c>
      <c r="AZ41" s="297">
        <f>Financials!AZ49/((Financials!AZ18+Financials!AY18)/2)</f>
        <v>0</v>
      </c>
      <c r="BA41" s="297">
        <f>Financials!BA49/((Financials!BA18+Financials!AZ18)/2)</f>
        <v>0</v>
      </c>
      <c r="BB41" s="297">
        <f>Financials!BB49/((Financials!BB18+Financials!BA18)/2)</f>
        <v>0</v>
      </c>
      <c r="BC41" s="297">
        <f>Financials!BC49/((Financials!BC18+Financials!BB18)/2)</f>
        <v>0</v>
      </c>
      <c r="BD41" s="297">
        <f>Financials!BD49/((Financials!BD18+Financials!BC18)/2)</f>
        <v>0</v>
      </c>
      <c r="BE41" s="297">
        <f>Financials!BE49/((Financials!BE18+Financials!BD18)/2)</f>
        <v>0</v>
      </c>
      <c r="BF41" s="297">
        <f>Financials!BF49/((Financials!BF18+Financials!BE18)/2)</f>
        <v>0</v>
      </c>
      <c r="BG41" s="297">
        <f>Financials!BG49/((Financials!BG18+Financials!BF18)/2)</f>
        <v>0</v>
      </c>
      <c r="BH41" s="297">
        <f>Financials!BH49/((Financials!BH18+Financials!BG18)/2)</f>
        <v>0</v>
      </c>
      <c r="BI41" s="297">
        <f>Financials!BI49/((Financials!BI18+Financials!BH18)/2)</f>
        <v>0</v>
      </c>
      <c r="BJ41" s="297">
        <f>Financials!BJ49/((Financials!BJ18+Financials!BI18)/2)</f>
        <v>0</v>
      </c>
      <c r="BK41" s="297">
        <f>Financials!BK49/((Financials!BK18+Financials!BJ18)/2)</f>
        <v>0</v>
      </c>
      <c r="BL41" s="297">
        <f>Financials!BL49/((Financials!BL18+Financials!BK18)/2)</f>
        <v>0</v>
      </c>
      <c r="BM41" s="297">
        <f>Financials!BM49/((Financials!BM18+Financials!BL18)/2)</f>
        <v>0</v>
      </c>
      <c r="BN41" s="297">
        <f>Financials!BN49/((Financials!BN18+Financials!BM18)/2)</f>
        <v>0</v>
      </c>
      <c r="BO41" s="297">
        <f>Financials!BO49/((Financials!BO18+Financials!BN18)/2)</f>
        <v>0</v>
      </c>
      <c r="BP41" s="297">
        <f>Financials!BP49/((Financials!BP18+Financials!BO18)/2)</f>
        <v>0</v>
      </c>
      <c r="BQ41" s="297">
        <f>Financials!BQ49/((Financials!BQ18+Financials!BP18)/2)</f>
        <v>0</v>
      </c>
      <c r="BR41" s="297">
        <f>Financials!BR49/((Financials!BR18+Financials!BQ18)/2)</f>
        <v>0</v>
      </c>
      <c r="BS41" s="297">
        <f>Financials!BS49/((Financials!BS18+Financials!BR18)/2)</f>
        <v>0</v>
      </c>
      <c r="BT41" s="297">
        <f>Financials!BT49/((Financials!BT18+Financials!BS18)/2)</f>
        <v>0</v>
      </c>
      <c r="BU41" s="297">
        <f>Financials!BU49/((Financials!BU18+Financials!BT18)/2)</f>
        <v>0</v>
      </c>
      <c r="BV41" s="297">
        <f>Financials!BV49/((Financials!BV18+Financials!BU18)/2)</f>
        <v>0</v>
      </c>
      <c r="BW41" s="297">
        <f>Financials!BW49/((Financials!BW18+Financials!BV18)/2)</f>
        <v>0</v>
      </c>
      <c r="BX41" s="297">
        <f>Financials!BX49/((Financials!BX18+Financials!BW18)/2)</f>
        <v>0</v>
      </c>
      <c r="BY41" s="297">
        <f>Financials!BY49/((Financials!BY18+Financials!BX18)/2)</f>
        <v>0</v>
      </c>
      <c r="BZ41" s="297">
        <f>Financials!BZ49/((Financials!BZ18+Financials!BY18)/2)</f>
        <v>0</v>
      </c>
      <c r="CA41" s="297">
        <f>Financials!CA49/((Financials!CA18+Financials!BZ18)/2)</f>
        <v>0</v>
      </c>
      <c r="CB41" s="297">
        <f>Financials!CB49/((Financials!CB18+Financials!CA18)/2)</f>
        <v>0</v>
      </c>
      <c r="CC41" s="297">
        <f>Financials!CC49/((Financials!CC18+Financials!CB18)/2)</f>
        <v>0</v>
      </c>
      <c r="CD41" s="297">
        <f>Financials!CD49/((Financials!CD18+Financials!CC18)/2)</f>
        <v>0</v>
      </c>
      <c r="CE41" s="297">
        <f>Financials!CE49/((Financials!CE18+Financials!CD18)/2)</f>
        <v>0</v>
      </c>
      <c r="CF41" s="297">
        <f>Financials!CF49/((Financials!CF18+Financials!CE18)/2)</f>
        <v>0</v>
      </c>
      <c r="CG41" s="297">
        <f>Financials!CG49/((Financials!CG18+Financials!CF18)/2)</f>
        <v>0</v>
      </c>
      <c r="CH41" s="297">
        <f>Financials!CH49/((Financials!CH18+Financials!CG18)/2)</f>
        <v>0</v>
      </c>
      <c r="CI41" s="297">
        <f>Financials!CI49/((Financials!CI18+Financials!CH18)/2)</f>
        <v>0</v>
      </c>
      <c r="CJ41" s="297">
        <f>Financials!CJ49/((Financials!CJ18+Financials!CI18)/2)</f>
        <v>0</v>
      </c>
      <c r="CK41" s="297">
        <f>Financials!CK49/((Financials!CK18+Financials!CJ18)/2)</f>
        <v>0</v>
      </c>
      <c r="CL41" s="297">
        <f>Financials!CL49/((Financials!CL18+Financials!CK18)/2)</f>
        <v>0</v>
      </c>
      <c r="CM41" s="297">
        <f>Financials!CM49/((Financials!CM18+Financials!CL18)/2)</f>
        <v>0</v>
      </c>
      <c r="CN41" s="297">
        <f>Financials!CN49/((Financials!CN18+Financials!CM18)/2)</f>
        <v>0</v>
      </c>
      <c r="CO41" s="297">
        <f>Financials!CO49/((Financials!CO18+Financials!CN18)/2)</f>
        <v>0</v>
      </c>
      <c r="CP41" s="297">
        <f>Financials!CP49/((Financials!CP18+Financials!CO18)/2)</f>
        <v>0</v>
      </c>
      <c r="CQ41" s="297">
        <f>Financials!CQ49/((Financials!CQ18+Financials!CP18)/2)</f>
        <v>0</v>
      </c>
      <c r="CR41" s="297">
        <f>Financials!CR49/((Financials!CR18+Financials!CQ18)/2)</f>
        <v>0</v>
      </c>
      <c r="CS41" s="297" t="e">
        <f>Financials!CS49/((Financials!CS18+Financials!CR18)/2)</f>
        <v>#DIV/0!</v>
      </c>
      <c r="CT41" s="297" t="e">
        <f>Financials!CT49/((Financials!CT18+Financials!CS18)/2)</f>
        <v>#DIV/0!</v>
      </c>
      <c r="CU41" s="297" t="e">
        <f>Financials!CU49/((Financials!CU18+Financials!CT18)/2)</f>
        <v>#DIV/0!</v>
      </c>
      <c r="CV41" s="297" t="e">
        <f>Financials!CV49/((Financials!CV18+Financials!CU18)/2)</f>
        <v>#DIV/0!</v>
      </c>
      <c r="CW41" s="297" t="e">
        <f>Financials!CW49/((Financials!CW18+Financials!CV18)/2)</f>
        <v>#DIV/0!</v>
      </c>
      <c r="CX41" s="297" t="e">
        <f>Financials!CX49/((Financials!CX18+Financials!CW18)/2)</f>
        <v>#DIV/0!</v>
      </c>
      <c r="CY41" s="297" t="e">
        <f>Financials!CY49/((Financials!CY18+Financials!CX18)/2)</f>
        <v>#DIV/0!</v>
      </c>
      <c r="CZ41" s="297" t="e">
        <f>Financials!CZ49/((Financials!CZ18+Financials!CY18)/2)</f>
        <v>#DIV/0!</v>
      </c>
      <c r="DA41" s="297" t="e">
        <f>Financials!DA49/((Financials!DA18+Financials!CZ18)/2)</f>
        <v>#DIV/0!</v>
      </c>
      <c r="DB41" s="297" t="e">
        <f>Financials!DB49/((Financials!DB18+Financials!DA18)/2)</f>
        <v>#DIV/0!</v>
      </c>
      <c r="DC41" s="297" t="e">
        <f>Financials!DC49/((Financials!DC18+Financials!DB18)/2)</f>
        <v>#DIV/0!</v>
      </c>
      <c r="DD41" s="297" t="e">
        <f>Financials!DD49/((Financials!DD18+Financials!DC18)/2)</f>
        <v>#DIV/0!</v>
      </c>
      <c r="DE41" s="297" t="e">
        <f>Financials!DE49/((Financials!DE18+Financials!DD18)/2)</f>
        <v>#DIV/0!</v>
      </c>
      <c r="DF41" s="297" t="e">
        <f>Financials!DF49/((Financials!DF18+Financials!DE18)/2)</f>
        <v>#DIV/0!</v>
      </c>
      <c r="DG41" s="297" t="e">
        <f>Financials!DG49/((Financials!DG18+Financials!DF18)/2)</f>
        <v>#DIV/0!</v>
      </c>
      <c r="DH41" s="297" t="e">
        <f>Financials!DH49/((Financials!DH18+Financials!DG18)/2)</f>
        <v>#DIV/0!</v>
      </c>
      <c r="DI41" s="297" t="e">
        <f>Financials!DI49/((Financials!DI18+Financials!DH18)/2)</f>
        <v>#DIV/0!</v>
      </c>
      <c r="DJ41" s="297" t="e">
        <f>Financials!DJ49/((Financials!DJ18+Financials!DI18)/2)</f>
        <v>#DIV/0!</v>
      </c>
      <c r="DK41" s="297" t="e">
        <f>Financials!DK49/((Financials!DK18+Financials!DJ18)/2)</f>
        <v>#DIV/0!</v>
      </c>
      <c r="DL41" s="297" t="e">
        <f>Financials!DL49/((Financials!DL18+Financials!DK18)/2)</f>
        <v>#DIV/0!</v>
      </c>
      <c r="DM41" s="297" t="e">
        <f>Financials!DM49/((Financials!DM18+Financials!DL18)/2)</f>
        <v>#DIV/0!</v>
      </c>
      <c r="DN41" s="297" t="e">
        <f>Financials!DN49/((Financials!DN18+Financials!DM18)/2)</f>
        <v>#DIV/0!</v>
      </c>
      <c r="DO41" s="297" t="e">
        <f>Financials!DO49/((Financials!DO18+Financials!DN18)/2)</f>
        <v>#DIV/0!</v>
      </c>
      <c r="DP41" s="297" t="e">
        <f>Financials!DP49/((Financials!DP18+Financials!DO18)/2)</f>
        <v>#DIV/0!</v>
      </c>
      <c r="DQ41" s="297" t="e">
        <f>Financials!DQ49/((Financials!DQ18+Financials!DP18)/2)</f>
        <v>#DIV/0!</v>
      </c>
      <c r="DR41" s="297" t="e">
        <f>Financials!DR49/((Financials!DR18+Financials!DQ18)/2)</f>
        <v>#DIV/0!</v>
      </c>
      <c r="DS41" s="297" t="e">
        <f>Financials!DS49/((Financials!DS18+Financials!DR18)/2)</f>
        <v>#DIV/0!</v>
      </c>
      <c r="DT41" s="297" t="e">
        <f>Financials!DT49/((Financials!DT18+Financials!DS18)/2)</f>
        <v>#DIV/0!</v>
      </c>
      <c r="DU41" s="297" t="e">
        <f>Financials!DU49/((Financials!DU18+Financials!DT18)/2)</f>
        <v>#DIV/0!</v>
      </c>
      <c r="DV41" s="297" t="e">
        <f>Financials!DV49/((Financials!DV18+Financials!DU18)/2)</f>
        <v>#DIV/0!</v>
      </c>
    </row>
    <row r="42" spans="1:126">
      <c r="A42" s="288" t="s">
        <v>192</v>
      </c>
      <c r="B42" s="222" t="s">
        <v>177</v>
      </c>
      <c r="C42" s="167" t="e">
        <f>Financials!C50/((Financials!C9+Financials!B9)/2)</f>
        <v>#VALUE!</v>
      </c>
      <c r="D42" s="167">
        <f>Financials!D50/((Financials!D9+Financials!C9)/2)</f>
        <v>0.20729350987450931</v>
      </c>
      <c r="E42" s="167" t="e">
        <f>Financials!E50/((Financials!E9+Financials!D9)/2)</f>
        <v>#DIV/0!</v>
      </c>
      <c r="F42" s="167" t="e">
        <f>Financials!F50/((Financials!F9+Financials!E9)/2)</f>
        <v>#DIV/0!</v>
      </c>
      <c r="G42" s="167" t="e">
        <f>Financials!G50/((Financials!G9+Financials!F9)/2)</f>
        <v>#DIV/0!</v>
      </c>
      <c r="H42" s="167">
        <f>Financials!H50/((Financials!H9+Financials!G9)/2)</f>
        <v>0</v>
      </c>
      <c r="I42" s="167">
        <f>Financials!I50/((Financials!I9+Financials!H9)/2)</f>
        <v>1.5060000027381818E-2</v>
      </c>
      <c r="J42" s="167">
        <f>Financials!J50/((Financials!J9+Financials!I9)/2)</f>
        <v>5.6023795188639418E-2</v>
      </c>
      <c r="K42" s="167">
        <f>Financials!K50/((Financials!K9+Financials!J9)/2)</f>
        <v>6.0069675840278704E-2</v>
      </c>
      <c r="L42" s="167">
        <f>Financials!L50/((Financials!L9+Financials!K9)/2)</f>
        <v>6.4688446878753789E-2</v>
      </c>
      <c r="M42" s="167">
        <f>Financials!M50/((Financials!M9+Financials!L9)/2)</f>
        <v>7.0096517020386065E-2</v>
      </c>
      <c r="N42" s="167">
        <f>Financials!N50/((Financials!N9+Financials!M9)/2)</f>
        <v>7.1920103032000332E-2</v>
      </c>
      <c r="O42" s="167">
        <f>Financials!O50/((Financials!O9+Financials!N9)/2)</f>
        <v>6.4550454413001293E-2</v>
      </c>
      <c r="P42" s="167">
        <f>Financials!P50/((Financials!P9+Financials!O9)/2)</f>
        <v>7.71798338554293E-2</v>
      </c>
      <c r="Q42" s="167">
        <f>Financials!Q50/((Financials!Q9+Financials!P9)/2)</f>
        <v>7.9005344617980935E-2</v>
      </c>
      <c r="R42" s="167">
        <f>Financials!R50/((Financials!R9+Financials!Q9)/2)</f>
        <v>7.3003508719424265E-2</v>
      </c>
      <c r="S42" s="167">
        <f>Financials!S50/((Financials!S9+Financials!R9)/2)</f>
        <v>8.9830297541546852E-2</v>
      </c>
      <c r="T42" s="167">
        <f>Financials!T50/((Financials!T9+Financials!S9)/2)</f>
        <v>0.10357067800378011</v>
      </c>
      <c r="U42" s="167">
        <f>Financials!U50/((Financials!U9+Financials!T9)/2)</f>
        <v>0.11241964794531484</v>
      </c>
      <c r="V42" s="167">
        <f>Financials!V50/((Financials!V9+Financials!U9)/2)</f>
        <v>1.5136296491303283E-2</v>
      </c>
      <c r="W42" s="167">
        <f>Financials!W50/((Financials!W9+Financials!V9)/2)</f>
        <v>2.4098784829475407E-2</v>
      </c>
      <c r="X42" s="167">
        <f>Financials!X50/((Financials!X9+Financials!W9)/2)</f>
        <v>4.7702563039908448E-2</v>
      </c>
      <c r="Y42" s="167">
        <f>Financials!Y50/((Financials!Y9+Financials!X9)/2)</f>
        <v>6.0776252316370835E-2</v>
      </c>
      <c r="Z42" s="167">
        <f>Financials!Z50/((Financials!Z9+Financials!Y9)/2)</f>
        <v>8.1097319699149087E-2</v>
      </c>
      <c r="AA42" s="167">
        <f>Financials!AA50/((Financials!AA9+Financials!Z9)/2)</f>
        <v>9.6080464909612764E-2</v>
      </c>
      <c r="AB42" s="167">
        <f>Financials!AB50/((Financials!AB9+Financials!AA9)/2)</f>
        <v>0.10931567695139546</v>
      </c>
      <c r="AC42" s="167">
        <f>Financials!AC50/((Financials!AC9+Financials!AB9)/2)</f>
        <v>0.13997972017276741</v>
      </c>
      <c r="AD42" s="167">
        <f>Financials!AD50/((Financials!AD9+Financials!AC9)/2)</f>
        <v>0.18802663431858233</v>
      </c>
      <c r="AE42" s="167">
        <f>Financials!AE50/((Financials!AE9+Financials!AD9)/2)</f>
        <v>0.19689204273276684</v>
      </c>
      <c r="AF42" s="167">
        <f>Financials!AF50/((Financials!AF9+Financials!AE9)/2)</f>
        <v>0.20541546837045449</v>
      </c>
      <c r="AG42" s="167">
        <f>Financials!AG50/((Financials!AG9+Financials!AF9)/2)</f>
        <v>0.21789238833542046</v>
      </c>
      <c r="AH42" s="297">
        <f>Financials!AH50/((Financials!AH9+Financials!AG9)/2)</f>
        <v>0.23062130743766651</v>
      </c>
      <c r="AI42" s="297">
        <f>Financials!AI50/((Financials!AI9+Financials!AH9)/2)</f>
        <v>1.0276385037690659E-2</v>
      </c>
      <c r="AJ42" s="297">
        <f>Financials!AJ50/((Financials!AJ9+Financials!AI9)/2)</f>
        <v>1.8194350192491611E-2</v>
      </c>
      <c r="AK42" s="297">
        <f>Financials!AK50/((Financials!AK9+Financials!AJ9)/2)</f>
        <v>2.7353150129860806E-2</v>
      </c>
      <c r="AL42" s="297">
        <f>Financials!AL50/((Financials!AL9+Financials!AK9)/2)</f>
        <v>3.631430849341722E-2</v>
      </c>
      <c r="AM42" s="297">
        <f>Financials!AM50/((Financials!AM9+Financials!AL9)/2)</f>
        <v>4.2871036772975546E-2</v>
      </c>
      <c r="AN42" s="297">
        <f>Financials!AN50/((Financials!AN9+Financials!AM9)/2)</f>
        <v>4.9382066537728558E-2</v>
      </c>
      <c r="AO42" s="297">
        <f>Financials!AO50/((Financials!AO9+Financials!AN9)/2)</f>
        <v>5.5455107522831774E-2</v>
      </c>
      <c r="AP42" s="297">
        <f>Financials!AP50/((Financials!AP9+Financials!AO9)/2)</f>
        <v>6.1217944047561215E-2</v>
      </c>
      <c r="AQ42" s="297">
        <f>Financials!AQ50/((Financials!AQ9+Financials!AP9)/2)</f>
        <v>6.2512271809052319E-2</v>
      </c>
      <c r="AR42" s="297">
        <f>Financials!AR50/((Financials!AR9+Financials!AQ9)/2)</f>
        <v>6.411153843847972E-2</v>
      </c>
      <c r="AS42" s="297">
        <f>Financials!AS50/((Financials!AS9+Financials!AR9)/2)</f>
        <v>6.6217863824247297E-2</v>
      </c>
      <c r="AT42" s="297">
        <f>Financials!AT50/((Financials!AT9+Financials!AS9)/2)</f>
        <v>6.5331718518342477E-2</v>
      </c>
      <c r="AU42" s="297">
        <f>Financials!AU50/((Financials!AU9+Financials!AT9)/2)</f>
        <v>7.7238558261506482E-2</v>
      </c>
      <c r="AV42" s="297">
        <f>Financials!AV50/((Financials!AV9+Financials!AU9)/2)</f>
        <v>0</v>
      </c>
      <c r="AW42" s="297">
        <f>Financials!AW50/((Financials!AW9+Financials!AV9)/2)</f>
        <v>0</v>
      </c>
      <c r="AX42" s="297">
        <f>Financials!AX50/((Financials!AX9+Financials!AW9)/2)</f>
        <v>0</v>
      </c>
      <c r="AY42" s="297">
        <f>Financials!AY50/((Financials!AY9+Financials!AX9)/2)</f>
        <v>0</v>
      </c>
      <c r="AZ42" s="297">
        <f>Financials!AZ50/((Financials!AZ9+Financials!AY9)/2)</f>
        <v>0</v>
      </c>
      <c r="BA42" s="297">
        <f>Financials!BA50/((Financials!BA9+Financials!AZ9)/2)</f>
        <v>0</v>
      </c>
      <c r="BB42" s="297">
        <f>Financials!BB50/((Financials!BB9+Financials!BA9)/2)</f>
        <v>0</v>
      </c>
      <c r="BC42" s="297">
        <f>Financials!BC50/((Financials!BC9+Financials!BB9)/2)</f>
        <v>0</v>
      </c>
      <c r="BD42" s="297">
        <f>Financials!BD50/((Financials!BD9+Financials!BC9)/2)</f>
        <v>0</v>
      </c>
      <c r="BE42" s="297">
        <f>Financials!BE50/((Financials!BE9+Financials!BD9)/2)</f>
        <v>0</v>
      </c>
      <c r="BF42" s="297">
        <f>Financials!BF50/((Financials!BF9+Financials!BE9)/2)</f>
        <v>0</v>
      </c>
      <c r="BG42" s="297">
        <f>Financials!BG50/((Financials!BG9+Financials!BF9)/2)</f>
        <v>0</v>
      </c>
      <c r="BH42" s="297">
        <f>Financials!BH50/((Financials!BH9+Financials!BG9)/2)</f>
        <v>0</v>
      </c>
      <c r="BI42" s="297">
        <f>Financials!BI50/((Financials!BI9+Financials!BH9)/2)</f>
        <v>0</v>
      </c>
      <c r="BJ42" s="297">
        <f>Financials!BJ50/((Financials!BJ9+Financials!BI9)/2)</f>
        <v>0</v>
      </c>
      <c r="BK42" s="297">
        <f>Financials!BK50/((Financials!BK9+Financials!BJ9)/2)</f>
        <v>0</v>
      </c>
      <c r="BL42" s="297">
        <f>Financials!BL50/((Financials!BL9+Financials!BK9)/2)</f>
        <v>0</v>
      </c>
      <c r="BM42" s="297">
        <f>Financials!BM50/((Financials!BM9+Financials!BL9)/2)</f>
        <v>0</v>
      </c>
      <c r="BN42" s="297">
        <f>Financials!BN50/((Financials!BN9+Financials!BM9)/2)</f>
        <v>0</v>
      </c>
      <c r="BO42" s="297">
        <f>Financials!BO50/((Financials!BO9+Financials!BN9)/2)</f>
        <v>0</v>
      </c>
      <c r="BP42" s="297">
        <f>Financials!BP50/((Financials!BP9+Financials!BO9)/2)</f>
        <v>0</v>
      </c>
      <c r="BQ42" s="297">
        <f>Financials!BQ50/((Financials!BQ9+Financials!BP9)/2)</f>
        <v>0</v>
      </c>
      <c r="BR42" s="297">
        <f>Financials!BR50/((Financials!BR9+Financials!BQ9)/2)</f>
        <v>0</v>
      </c>
      <c r="BS42" s="297">
        <f>Financials!BS50/((Financials!BS9+Financials!BR9)/2)</f>
        <v>0</v>
      </c>
      <c r="BT42" s="297">
        <f>Financials!BT50/((Financials!BT9+Financials!BS9)/2)</f>
        <v>0</v>
      </c>
      <c r="BU42" s="297">
        <f>Financials!BU50/((Financials!BU9+Financials!BT9)/2)</f>
        <v>0</v>
      </c>
      <c r="BV42" s="297">
        <f>Financials!BV50/((Financials!BV9+Financials!BU9)/2)</f>
        <v>0</v>
      </c>
      <c r="BW42" s="297">
        <f>Financials!BW50/((Financials!BW9+Financials!BV9)/2)</f>
        <v>0</v>
      </c>
      <c r="BX42" s="297">
        <f>Financials!BX50/((Financials!BX9+Financials!BW9)/2)</f>
        <v>0</v>
      </c>
      <c r="BY42" s="297">
        <f>Financials!BY50/((Financials!BY9+Financials!BX9)/2)</f>
        <v>0</v>
      </c>
      <c r="BZ42" s="297">
        <f>Financials!BZ50/((Financials!BZ9+Financials!BY9)/2)</f>
        <v>0</v>
      </c>
      <c r="CA42" s="297">
        <f>Financials!CA50/((Financials!CA9+Financials!BZ9)/2)</f>
        <v>0</v>
      </c>
      <c r="CB42" s="297">
        <f>Financials!CB50/((Financials!CB9+Financials!CA9)/2)</f>
        <v>0</v>
      </c>
      <c r="CC42" s="297">
        <f>Financials!CC50/((Financials!CC9+Financials!CB9)/2)</f>
        <v>0</v>
      </c>
      <c r="CD42" s="297">
        <f>Financials!CD50/((Financials!CD9+Financials!CC9)/2)</f>
        <v>0</v>
      </c>
      <c r="CE42" s="297">
        <f>Financials!CE50/((Financials!CE9+Financials!CD9)/2)</f>
        <v>0</v>
      </c>
      <c r="CF42" s="297">
        <f>Financials!CF50/((Financials!CF9+Financials!CE9)/2)</f>
        <v>0</v>
      </c>
      <c r="CG42" s="297">
        <f>Financials!CG50/((Financials!CG9+Financials!CF9)/2)</f>
        <v>0</v>
      </c>
      <c r="CH42" s="297">
        <f>Financials!CH50/((Financials!CH9+Financials!CG9)/2)</f>
        <v>0</v>
      </c>
      <c r="CI42" s="297">
        <f>Financials!CI50/((Financials!CI9+Financials!CH9)/2)</f>
        <v>0</v>
      </c>
      <c r="CJ42" s="297">
        <f>Financials!CJ50/((Financials!CJ9+Financials!CI9)/2)</f>
        <v>0</v>
      </c>
      <c r="CK42" s="297">
        <f>Financials!CK50/((Financials!CK9+Financials!CJ9)/2)</f>
        <v>0</v>
      </c>
      <c r="CL42" s="297">
        <f>Financials!CL50/((Financials!CL9+Financials!CK9)/2)</f>
        <v>0</v>
      </c>
      <c r="CM42" s="297">
        <f>Financials!CM50/((Financials!CM9+Financials!CL9)/2)</f>
        <v>0</v>
      </c>
      <c r="CN42" s="297">
        <f>Financials!CN50/((Financials!CN9+Financials!CM9)/2)</f>
        <v>0</v>
      </c>
      <c r="CO42" s="297">
        <f>Financials!CO50/((Financials!CO9+Financials!CN9)/2)</f>
        <v>0</v>
      </c>
      <c r="CP42" s="297">
        <f>Financials!CP50/((Financials!CP9+Financials!CO9)/2)</f>
        <v>0</v>
      </c>
      <c r="CQ42" s="297">
        <f>Financials!CQ50/((Financials!CQ9+Financials!CP9)/2)</f>
        <v>0</v>
      </c>
      <c r="CR42" s="297">
        <f>Financials!CR50/((Financials!CR9+Financials!CQ9)/2)</f>
        <v>0</v>
      </c>
      <c r="CS42" s="297" t="e">
        <f>Financials!CS50/((Financials!CS9+Financials!CR9)/2)</f>
        <v>#DIV/0!</v>
      </c>
      <c r="CT42" s="297" t="e">
        <f>Financials!CT50/((Financials!CT9+Financials!CS9)/2)</f>
        <v>#DIV/0!</v>
      </c>
      <c r="CU42" s="297" t="e">
        <f>Financials!CU50/((Financials!CU9+Financials!CT9)/2)</f>
        <v>#DIV/0!</v>
      </c>
      <c r="CV42" s="297" t="e">
        <f>Financials!CV50/((Financials!CV9+Financials!CU9)/2)</f>
        <v>#DIV/0!</v>
      </c>
      <c r="CW42" s="297" t="e">
        <f>Financials!CW50/((Financials!CW9+Financials!CV9)/2)</f>
        <v>#DIV/0!</v>
      </c>
      <c r="CX42" s="297" t="e">
        <f>Financials!CX50/((Financials!CX9+Financials!CW9)/2)</f>
        <v>#DIV/0!</v>
      </c>
      <c r="CY42" s="297" t="e">
        <f>Financials!CY50/((Financials!CY9+Financials!CX9)/2)</f>
        <v>#DIV/0!</v>
      </c>
      <c r="CZ42" s="297" t="e">
        <f>Financials!CZ50/((Financials!CZ9+Financials!CY9)/2)</f>
        <v>#DIV/0!</v>
      </c>
      <c r="DA42" s="297" t="e">
        <f>Financials!DA50/((Financials!DA9+Financials!CZ9)/2)</f>
        <v>#DIV/0!</v>
      </c>
      <c r="DB42" s="297" t="e">
        <f>Financials!DB50/((Financials!DB9+Financials!DA9)/2)</f>
        <v>#DIV/0!</v>
      </c>
      <c r="DC42" s="297" t="e">
        <f>Financials!DC50/((Financials!DC9+Financials!DB9)/2)</f>
        <v>#DIV/0!</v>
      </c>
      <c r="DD42" s="297" t="e">
        <f>Financials!DD50/((Financials!DD9+Financials!DC9)/2)</f>
        <v>#DIV/0!</v>
      </c>
      <c r="DE42" s="297" t="e">
        <f>Financials!DE50/((Financials!DE9+Financials!DD9)/2)</f>
        <v>#DIV/0!</v>
      </c>
      <c r="DF42" s="297" t="e">
        <f>Financials!DF50/((Financials!DF9+Financials!DE9)/2)</f>
        <v>#DIV/0!</v>
      </c>
      <c r="DG42" s="297" t="e">
        <f>Financials!DG50/((Financials!DG9+Financials!DF9)/2)</f>
        <v>#DIV/0!</v>
      </c>
      <c r="DH42" s="297" t="e">
        <f>Financials!DH50/((Financials!DH9+Financials!DG9)/2)</f>
        <v>#DIV/0!</v>
      </c>
      <c r="DI42" s="297" t="e">
        <f>Financials!DI50/((Financials!DI9+Financials!DH9)/2)</f>
        <v>#DIV/0!</v>
      </c>
      <c r="DJ42" s="297" t="e">
        <f>Financials!DJ50/((Financials!DJ9+Financials!DI9)/2)</f>
        <v>#DIV/0!</v>
      </c>
      <c r="DK42" s="297" t="e">
        <f>Financials!DK50/((Financials!DK9+Financials!DJ9)/2)</f>
        <v>#DIV/0!</v>
      </c>
      <c r="DL42" s="297" t="e">
        <f>Financials!DL50/((Financials!DL9+Financials!DK9)/2)</f>
        <v>#DIV/0!</v>
      </c>
      <c r="DM42" s="297" t="e">
        <f>Financials!DM50/((Financials!DM9+Financials!DL9)/2)</f>
        <v>#DIV/0!</v>
      </c>
      <c r="DN42" s="297" t="e">
        <f>Financials!DN50/((Financials!DN9+Financials!DM9)/2)</f>
        <v>#DIV/0!</v>
      </c>
      <c r="DO42" s="297" t="e">
        <f>Financials!DO50/((Financials!DO9+Financials!DN9)/2)</f>
        <v>#DIV/0!</v>
      </c>
      <c r="DP42" s="297" t="e">
        <f>Financials!DP50/((Financials!DP9+Financials!DO9)/2)</f>
        <v>#DIV/0!</v>
      </c>
      <c r="DQ42" s="297" t="e">
        <f>Financials!DQ50/((Financials!DQ9+Financials!DP9)/2)</f>
        <v>#DIV/0!</v>
      </c>
      <c r="DR42" s="297" t="e">
        <f>Financials!DR50/((Financials!DR9+Financials!DQ9)/2)</f>
        <v>#DIV/0!</v>
      </c>
      <c r="DS42" s="297" t="e">
        <f>Financials!DS50/((Financials!DS9+Financials!DR9)/2)</f>
        <v>#DIV/0!</v>
      </c>
      <c r="DT42" s="297" t="e">
        <f>Financials!DT50/((Financials!DT9+Financials!DS9)/2)</f>
        <v>#DIV/0!</v>
      </c>
      <c r="DU42" s="297" t="e">
        <f>Financials!DU50/((Financials!DU9+Financials!DT9)/2)</f>
        <v>#DIV/0!</v>
      </c>
      <c r="DV42" s="297" t="e">
        <f>Financials!DV50/((Financials!DV9+Financials!DU9)/2)</f>
        <v>#DIV/0!</v>
      </c>
    </row>
    <row r="43" spans="1:126">
      <c r="A43" s="288" t="s">
        <v>193</v>
      </c>
      <c r="B43" s="222" t="s">
        <v>177</v>
      </c>
      <c r="C43" s="167" t="e">
        <f>(Financials!C52+Financials!C53)/((Financials!C5+Financials!B5)/2)</f>
        <v>#VALUE!</v>
      </c>
      <c r="D43" s="167">
        <f>(Financials!D52+Financials!D53)/((Financials!D5+Financials!C5)/2)</f>
        <v>2.6116108480405114E-2</v>
      </c>
      <c r="E43" s="167">
        <f>(Financials!E52+Financials!E53)/((Financials!E5+Financials!D5)/2)</f>
        <v>2.5768480431393945E-2</v>
      </c>
      <c r="F43" s="167">
        <f>(Financials!F52+Financials!F53)/((Financials!F5+Financials!E5)/2)</f>
        <v>2.7997357069051518E-2</v>
      </c>
      <c r="G43" s="167">
        <f>(Financials!G52+Financials!G53)/((Financials!G5+Financials!F5)/2)</f>
        <v>2.6172108218947433E-2</v>
      </c>
      <c r="H43" s="167">
        <f>(Financials!H52+Financials!H53)/((Financials!H5+Financials!G5)/2)</f>
        <v>3.3636343052757506E-2</v>
      </c>
      <c r="I43" s="167">
        <f>(Financials!I52+Financials!I53)/((Financials!I5+Financials!H5)/2)</f>
        <v>2.6431081224006906E-3</v>
      </c>
      <c r="J43" s="167">
        <f>(Financials!J52+Financials!J53)/((Financials!J5+Financials!I5)/2)</f>
        <v>4.752540411360826E-3</v>
      </c>
      <c r="K43" s="167">
        <f>(Financials!K52+Financials!K53)/((Financials!K5+Financials!J5)/2)</f>
        <v>5.9642787551846873E-3</v>
      </c>
      <c r="L43" s="167">
        <f>(Financials!L52+Financials!L53)/((Financials!L5+Financials!K5)/2)</f>
        <v>7.9113330979429224E-3</v>
      </c>
      <c r="M43" s="167">
        <f>(Financials!M52+Financials!M53)/((Financials!M5+Financials!L5)/2)</f>
        <v>9.9971187026246591E-3</v>
      </c>
      <c r="N43" s="167">
        <f>(Financials!N52+Financials!N53)/((Financials!N5+Financials!M5)/2)</f>
        <v>1.1001387089132741E-2</v>
      </c>
      <c r="O43" s="167">
        <f>(Financials!O52+Financials!O53)/((Financials!O5+Financials!N5)/2)</f>
        <v>1.1758932818885454E-2</v>
      </c>
      <c r="P43" s="167">
        <f>(Financials!P52+Financials!P53)/((Financials!P5+Financials!O5)/2)</f>
        <v>1.2246272170786119E-2</v>
      </c>
      <c r="Q43" s="167">
        <f>(Financials!Q52+Financials!Q53)/((Financials!Q5+Financials!P5)/2)</f>
        <v>1.3938211722454635E-2</v>
      </c>
      <c r="R43" s="167">
        <f>(Financials!R52+Financials!R53)/((Financials!R5+Financials!Q5)/2)</f>
        <v>1.501154650724951E-2</v>
      </c>
      <c r="S43" s="167">
        <f>(Financials!S52+Financials!S53)/((Financials!S5+Financials!R5)/2)</f>
        <v>1.573899531992165E-2</v>
      </c>
      <c r="T43" s="167">
        <f>(Financials!T52+Financials!T53)/((Financials!T5+Financials!S5)/2)</f>
        <v>1.6600901308844916E-2</v>
      </c>
      <c r="U43" s="167">
        <f>(Financials!U52+Financials!U53)/((Financials!U5+Financials!T5)/2)</f>
        <v>2.4926573896681133E-2</v>
      </c>
      <c r="V43" s="167">
        <f>(Financials!V52+Financials!V53)/((Financials!V5+Financials!U5)/2)</f>
        <v>4.3424380462250686E-3</v>
      </c>
      <c r="W43" s="167">
        <f>(Financials!W52+Financials!W53)/((Financials!W5+Financials!V5)/2)</f>
        <v>3.873224340619227E-3</v>
      </c>
      <c r="X43" s="167">
        <f>(Financials!X52+Financials!X53)/((Financials!X5+Financials!W5)/2)</f>
        <v>7.8922860492110693E-3</v>
      </c>
      <c r="Y43" s="167">
        <f>(Financials!Y52+Financials!Y53)/((Financials!Y5+Financials!X5)/2)</f>
        <v>1.0735837260345032E-2</v>
      </c>
      <c r="Z43" s="167">
        <f>(Financials!Z52+Financials!Z53)/((Financials!Z5+Financials!Y5)/2)</f>
        <v>1.337027532046617E-2</v>
      </c>
      <c r="AA43" s="167">
        <f>(Financials!AA52+Financials!AA53)/((Financials!AA5+Financials!Z5)/2)</f>
        <v>1.5587280433043573E-2</v>
      </c>
      <c r="AB43" s="167">
        <f>(Financials!AB52+Financials!AB53)/((Financials!AB5+Financials!AA5)/2)</f>
        <v>1.7176355116337368E-2</v>
      </c>
      <c r="AC43" s="167">
        <f>(Financials!AC52+Financials!AC53)/((Financials!AC5+Financials!AB5)/2)</f>
        <v>1.9271084327467089E-2</v>
      </c>
      <c r="AD43" s="167">
        <f>(Financials!AD52+Financials!AD53)/((Financials!AD5+Financials!AC5)/2)</f>
        <v>2.1537901229672841E-2</v>
      </c>
      <c r="AE43" s="167">
        <f>(Financials!AE52+Financials!AE53)/((Financials!AE5+Financials!AD5)/2)</f>
        <v>2.3660585189986753E-2</v>
      </c>
      <c r="AF43" s="167">
        <f>(Financials!AF52+Financials!AF53)/((Financials!AF5+Financials!AE5)/2)</f>
        <v>2.5708964328741195E-2</v>
      </c>
      <c r="AG43" s="167">
        <f>(Financials!AG52+Financials!AG53)/((Financials!AG5+Financials!AF5)/2)</f>
        <v>1.8774677723941348E-2</v>
      </c>
      <c r="AH43" s="297">
        <f>(Financials!AH52+Financials!AH53)/((Financials!AH5+Financials!AG5)/2)</f>
        <v>2.0687342837470892E-2</v>
      </c>
      <c r="AI43" s="297">
        <f>(Financials!AI52+Financials!AI53)/((Financials!AI5+Financials!AH5)/2)</f>
        <v>2.0186753405371819E-3</v>
      </c>
      <c r="AJ43" s="297">
        <f>(Financials!AJ52+Financials!AJ53)/((Financials!AJ5+Financials!AI5)/2)</f>
        <v>4.2862874798140164E-3</v>
      </c>
      <c r="AK43" s="297">
        <f>(Financials!AK52+Financials!AK53)/((Financials!AK5+Financials!AJ5)/2)</f>
        <v>8.1545848280185941E-3</v>
      </c>
      <c r="AL43" s="297">
        <f>(Financials!AL52+Financials!AL53)/((Financials!AL5+Financials!AK5)/2)</f>
        <v>1.1166373328502397E-2</v>
      </c>
      <c r="AM43" s="297">
        <f>(Financials!AM52+Financials!AM53)/((Financials!AM5+Financials!AL5)/2)</f>
        <v>1.3553880815947649E-2</v>
      </c>
      <c r="AN43" s="297">
        <f>(Financials!AN52+Financials!AN53)/((Financials!AN5+Financials!AM5)/2)</f>
        <v>1.63329219704978E-2</v>
      </c>
      <c r="AO43" s="297">
        <f>(Financials!AO52+Financials!AO53)/((Financials!AO5+Financials!AN5)/2)</f>
        <v>1.8096653495982926E-2</v>
      </c>
      <c r="AP43" s="297">
        <f>(Financials!AP52+Financials!AP53)/((Financials!AP5+Financials!AO5)/2)</f>
        <v>1.992720385775431E-2</v>
      </c>
      <c r="AQ43" s="297">
        <f>(Financials!AQ52+Financials!AQ53)/((Financials!AQ5+Financials!AP5)/2)</f>
        <v>2.2758703848802658E-2</v>
      </c>
      <c r="AR43" s="297">
        <f>(Financials!AR52+Financials!AR53)/((Financials!AR5+Financials!AQ5)/2)</f>
        <v>2.5634946353340248E-2</v>
      </c>
      <c r="AS43" s="297">
        <f>(Financials!AS52+Financials!AS53)/((Financials!AS5+Financials!AR5)/2)</f>
        <v>2.8638886234668922E-2</v>
      </c>
      <c r="AT43" s="297">
        <f>(Financials!AT52+Financials!AT53)/((Financials!AT5+Financials!AS5)/2)</f>
        <v>3.0811612674679689E-2</v>
      </c>
      <c r="AU43" s="297">
        <f>(Financials!AU52+Financials!AU53)/((Financials!AU5+Financials!AT5)/2)</f>
        <v>1.8872783156306555E-2</v>
      </c>
      <c r="AV43" s="297">
        <f>(Financials!AV52+Financials!AV53)/((Financials!AV5+Financials!AU5)/2)</f>
        <v>2.08622325105397E-3</v>
      </c>
      <c r="AW43" s="297">
        <f>(Financials!AW52+Financials!AW53)/((Financials!AW5+Financials!AV5)/2)</f>
        <v>4.6701937883592065E-3</v>
      </c>
      <c r="AX43" s="297">
        <f>(Financials!AX52+Financials!AX53)/((Financials!AX5+Financials!AW5)/2)</f>
        <v>8.8973674877153661E-3</v>
      </c>
      <c r="AY43" s="297">
        <f>(Financials!AY52+Financials!AY53)/((Financials!AY5+Financials!AX5)/2)</f>
        <v>1.1033408752864427E-2</v>
      </c>
      <c r="AZ43" s="297">
        <f>(Financials!AZ52+Financials!AZ53)/((Financials!AZ5+Financials!AY5)/2)</f>
        <v>1.187869203128835E-2</v>
      </c>
      <c r="BA43" s="297">
        <f>(Financials!BA52+Financials!BA53)/((Financials!BA5+Financials!AZ5)/2)</f>
        <v>1.4250217737247457E-2</v>
      </c>
      <c r="BB43" s="297">
        <f>(Financials!BB52+Financials!BB53)/((Financials!BB5+Financials!BA5)/2)</f>
        <v>1.5097239763209204E-2</v>
      </c>
      <c r="BC43" s="297">
        <f>(Financials!BC52+Financials!BC53)/((Financials!BC5+Financials!BB5)/2)</f>
        <v>1.6364029047696339E-2</v>
      </c>
      <c r="BD43" s="297">
        <f>(Financials!BD52+Financials!BD53)/((Financials!BD5+Financials!BC5)/2)</f>
        <v>1.7760516433507102E-2</v>
      </c>
      <c r="BE43" s="297">
        <f>(Financials!BE52+Financials!BE53)/((Financials!BE5+Financials!BD5)/2)</f>
        <v>1.8040528091428195E-2</v>
      </c>
      <c r="BF43" s="297">
        <f>(Financials!BF52+Financials!BF53)/((Financials!BF5+Financials!BE5)/2)</f>
        <v>1.8930954216420659E-2</v>
      </c>
      <c r="BG43" s="297">
        <f>(Financials!BG52+Financials!BG53)/((Financials!BG5+Financials!BF5)/2)</f>
        <v>2.0771954092193491E-2</v>
      </c>
      <c r="BH43" s="297">
        <f>(Financials!BH52+Financials!BH53)/((Financials!BH5+Financials!BG5)/2)</f>
        <v>1.7201481391313042E-2</v>
      </c>
      <c r="BI43" s="297">
        <f>(Financials!BI52+Financials!BI53)/((Financials!BI5+Financials!BH5)/2)</f>
        <v>8.7389886532546136E-4</v>
      </c>
      <c r="BJ43" s="297">
        <f>(Financials!BJ52+Financials!BJ53)/((Financials!BJ5+Financials!BI5)/2)</f>
        <v>2.0768066194314927E-3</v>
      </c>
      <c r="BK43" s="297">
        <f>(Financials!BK52+Financials!BK53)/((Financials!BK5+Financials!BJ5)/2)</f>
        <v>6.0905153295235598E-3</v>
      </c>
      <c r="BL43" s="297">
        <f>(Financials!BL52+Financials!BL53)/((Financials!BL5+Financials!BK5)/2)</f>
        <v>8.1496239450102332E-3</v>
      </c>
      <c r="BM43" s="297">
        <f>(Financials!BM52+Financials!BM53)/((Financials!BM5+Financials!BL5)/2)</f>
        <v>9.3475870324322072E-3</v>
      </c>
      <c r="BN43" s="297">
        <f>(Financials!BN52+Financials!BN53)/((Financials!BN5+Financials!BM5)/2)</f>
        <v>1.1861361479012246E-2</v>
      </c>
      <c r="BO43" s="297">
        <f>(Financials!BO52+Financials!BO53)/((Financials!BO5+Financials!BN5)/2)</f>
        <v>1.2706468542015225E-2</v>
      </c>
      <c r="BP43" s="297">
        <f>(Financials!BP52+Financials!BP53)/((Financials!BP5+Financials!BO5)/2)</f>
        <v>1.3908839902104555E-2</v>
      </c>
      <c r="BQ43" s="297">
        <f>(Financials!BQ52+Financials!BQ53)/((Financials!BQ5+Financials!BP5)/2)</f>
        <v>1.6056234423199946E-2</v>
      </c>
      <c r="BR43" s="297">
        <f>(Financials!BR52+Financials!BR53)/((Financials!BR5+Financials!BQ5)/2)</f>
        <v>1.7537791209021589E-2</v>
      </c>
      <c r="BS43" s="297">
        <f>(Financials!BS52+Financials!BS53)/((Financials!BS5+Financials!BR5)/2)</f>
        <v>1.8749957252887282E-2</v>
      </c>
      <c r="BT43" s="297">
        <f>(Financials!BT52+Financials!BT53)/((Financials!BT5+Financials!BS5)/2)</f>
        <v>2.0516757615563281E-2</v>
      </c>
      <c r="BU43" s="297">
        <f>(Financials!BU52+Financials!BU53)/((Financials!BU5+Financials!BT5)/2)</f>
        <v>1.7133133117705559E-2</v>
      </c>
      <c r="BV43" s="297">
        <f>(Financials!BV52+Financials!BV53)/((Financials!BV5+Financials!BU5)/2)</f>
        <v>2.2144974910665309E-3</v>
      </c>
      <c r="BW43" s="297">
        <f>(Financials!BW52+Financials!BW53)/((Financials!BW5+Financials!BV5)/2)</f>
        <v>3.7974427394787489E-3</v>
      </c>
      <c r="BX43" s="297">
        <f>(Financials!BX52+Financials!BX53)/((Financials!BX5+Financials!BW5)/2)</f>
        <v>5.6327195797790091E-3</v>
      </c>
      <c r="BY43" s="297">
        <f>(Financials!BY52+Financials!BY53)/((Financials!BY5+Financials!BX5)/2)</f>
        <v>8.1706551829477236E-3</v>
      </c>
      <c r="BZ43" s="297">
        <f>(Financials!BZ52+Financials!BZ53)/((Financials!BZ5+Financials!BY5)/2)</f>
        <v>9.7390532635512166E-3</v>
      </c>
      <c r="CA43" s="297">
        <f>(Financials!CA52+Financials!CA53)/((Financials!CA5+Financials!BZ5)/2)</f>
        <v>1.1596529860364288E-2</v>
      </c>
      <c r="CB43" s="297">
        <f>(Financials!CB52+Financials!CB53)/((Financials!CB5+Financials!CA5)/2)</f>
        <v>1.272521127129733E-2</v>
      </c>
      <c r="CC43" s="297">
        <f>(Financials!CC52+Financials!CC53)/((Financials!CC5+Financials!CB5)/2)</f>
        <v>1.3698073248237743E-2</v>
      </c>
      <c r="CD43" s="297">
        <f>(Financials!CD52+Financials!CD53)/((Financials!CD5+Financials!CC5)/2)</f>
        <v>1.5680267659096629E-2</v>
      </c>
      <c r="CE43" s="297">
        <f>(Financials!CE52+Financials!CE53)/((Financials!CE5+Financials!CD5)/2)</f>
        <v>1.6601449606978021E-2</v>
      </c>
      <c r="CF43" s="297">
        <f>(Financials!CF52+Financials!CF53)/((Financials!CF5+Financials!CE5)/2)</f>
        <v>1.6517954820413912E-2</v>
      </c>
      <c r="CG43" s="297">
        <f>(Financials!CG52+Financials!CG53)/((Financials!CG5+Financials!CF5)/2)</f>
        <v>1.8233605739563431E-2</v>
      </c>
      <c r="CH43" s="297">
        <f>(Financials!CH52+Financials!CH53)/((Financials!CH5+Financials!CG5)/2)</f>
        <v>1.6973250959031776E-2</v>
      </c>
      <c r="CI43" s="297">
        <f>(Financials!CI52+Financials!CI53)/((Financials!CI5+Financials!CH5)/2)</f>
        <v>1.9218594326744208E-3</v>
      </c>
      <c r="CJ43" s="297">
        <f>(Financials!CJ52+Financials!CJ53)/((Financials!CJ5+Financials!CI5)/2)</f>
        <v>4.5443361488452802E-3</v>
      </c>
      <c r="CK43" s="297">
        <f>(Financials!CK52+Financials!CK53)/((Financials!CK5+Financials!CJ5)/2)</f>
        <v>5.9828518151604669E-3</v>
      </c>
      <c r="CL43" s="297">
        <f>(Financials!CL52+Financials!CL53)/((Financials!CL5+Financials!CK5)/2)</f>
        <v>8.8029968921516377E-3</v>
      </c>
      <c r="CM43" s="297">
        <f>(Financials!CM52+Financials!CM53)/((Financials!CM5+Financials!CL5)/2)</f>
        <v>9.7745837428907124E-3</v>
      </c>
      <c r="CN43" s="297">
        <f>(Financials!CN52+Financials!CN53)/((Financials!CN5+Financials!CM5)/2)</f>
        <v>1.136614539863225E-2</v>
      </c>
      <c r="CO43" s="297">
        <f>(Financials!CO52+Financials!CO53)/((Financials!CO5+Financials!CN5)/2)</f>
        <v>1.1926658210876982E-2</v>
      </c>
      <c r="CP43" s="297">
        <f>(Financials!CP52+Financials!CP53)/((Financials!CP5+Financials!CO5)/2)</f>
        <v>1.3306185320082866E-2</v>
      </c>
      <c r="CQ43" s="297">
        <f>(Financials!CQ52+Financials!CQ53)/((Financials!CQ5+Financials!CP5)/2)</f>
        <v>1.5182355007945552E-2</v>
      </c>
      <c r="CR43" s="297">
        <f>(Financials!CR52+Financials!CR53)/((Financials!CR5+Financials!CQ5)/2)</f>
        <v>0</v>
      </c>
      <c r="CS43" s="297" t="e">
        <f>(Financials!CS52+Financials!CS53)/((Financials!CS5+Financials!CR5)/2)</f>
        <v>#DIV/0!</v>
      </c>
      <c r="CT43" s="297" t="e">
        <f>(Financials!CT52+Financials!CT53)/((Financials!CT5+Financials!CS5)/2)</f>
        <v>#DIV/0!</v>
      </c>
      <c r="CU43" s="297" t="e">
        <f>(Financials!CU52+Financials!CU53)/((Financials!CU5+Financials!CT5)/2)</f>
        <v>#DIV/0!</v>
      </c>
      <c r="CV43" s="297" t="e">
        <f>(Financials!CV52+Financials!CV53)/((Financials!CV5+Financials!CU5)/2)</f>
        <v>#DIV/0!</v>
      </c>
      <c r="CW43" s="297" t="e">
        <f>(Financials!CW52+Financials!CW53)/((Financials!CW5+Financials!CV5)/2)</f>
        <v>#DIV/0!</v>
      </c>
      <c r="CX43" s="297" t="e">
        <f>(Financials!CX52+Financials!CX53)/((Financials!CX5+Financials!CW5)/2)</f>
        <v>#DIV/0!</v>
      </c>
      <c r="CY43" s="297" t="e">
        <f>(Financials!CY52+Financials!CY53)/((Financials!CY5+Financials!CX5)/2)</f>
        <v>#DIV/0!</v>
      </c>
      <c r="CZ43" s="297" t="e">
        <f>(Financials!CZ52+Financials!CZ53)/((Financials!CZ5+Financials!CY5)/2)</f>
        <v>#DIV/0!</v>
      </c>
      <c r="DA43" s="297" t="e">
        <f>(Financials!DA52+Financials!DA53)/((Financials!DA5+Financials!CZ5)/2)</f>
        <v>#DIV/0!</v>
      </c>
      <c r="DB43" s="297" t="e">
        <f>(Financials!DB52+Financials!DB53)/((Financials!DB5+Financials!DA5)/2)</f>
        <v>#DIV/0!</v>
      </c>
      <c r="DC43" s="297" t="e">
        <f>(Financials!DC52+Financials!DC53)/((Financials!DC5+Financials!DB5)/2)</f>
        <v>#DIV/0!</v>
      </c>
      <c r="DD43" s="297" t="e">
        <f>(Financials!DD52+Financials!DD53)/((Financials!DD5+Financials!DC5)/2)</f>
        <v>#DIV/0!</v>
      </c>
      <c r="DE43" s="297" t="e">
        <f>(Financials!DE52+Financials!DE53)/((Financials!DE5+Financials!DD5)/2)</f>
        <v>#DIV/0!</v>
      </c>
      <c r="DF43" s="297" t="e">
        <f>(Financials!DF52+Financials!DF53)/((Financials!DF5+Financials!DE5)/2)</f>
        <v>#DIV/0!</v>
      </c>
      <c r="DG43" s="297" t="e">
        <f>(Financials!DG52+Financials!DG53)/((Financials!DG5+Financials!DF5)/2)</f>
        <v>#DIV/0!</v>
      </c>
      <c r="DH43" s="297" t="e">
        <f>(Financials!DH52+Financials!DH53)/((Financials!DH5+Financials!DG5)/2)</f>
        <v>#DIV/0!</v>
      </c>
      <c r="DI43" s="297" t="e">
        <f>(Financials!DI52+Financials!DI53)/((Financials!DI5+Financials!DH5)/2)</f>
        <v>#DIV/0!</v>
      </c>
      <c r="DJ43" s="297" t="e">
        <f>(Financials!DJ52+Financials!DJ53)/((Financials!DJ5+Financials!DI5)/2)</f>
        <v>#DIV/0!</v>
      </c>
      <c r="DK43" s="297" t="e">
        <f>(Financials!DK52+Financials!DK53)/((Financials!DK5+Financials!DJ5)/2)</f>
        <v>#DIV/0!</v>
      </c>
      <c r="DL43" s="297" t="e">
        <f>(Financials!DL52+Financials!DL53)/((Financials!DL5+Financials!DK5)/2)</f>
        <v>#DIV/0!</v>
      </c>
      <c r="DM43" s="297" t="e">
        <f>(Financials!DM52+Financials!DM53)/((Financials!DM5+Financials!DL5)/2)</f>
        <v>#DIV/0!</v>
      </c>
      <c r="DN43" s="297" t="e">
        <f>(Financials!DN52+Financials!DN53)/((Financials!DN5+Financials!DM5)/2)</f>
        <v>#DIV/0!</v>
      </c>
      <c r="DO43" s="297" t="e">
        <f>(Financials!DO52+Financials!DO53)/((Financials!DO5+Financials!DN5)/2)</f>
        <v>#DIV/0!</v>
      </c>
      <c r="DP43" s="297" t="e">
        <f>(Financials!DP52+Financials!DP53)/((Financials!DP5+Financials!DO5)/2)</f>
        <v>#DIV/0!</v>
      </c>
      <c r="DQ43" s="297" t="e">
        <f>(Financials!DQ52+Financials!DQ53)/((Financials!DQ5+Financials!DP5)/2)</f>
        <v>#DIV/0!</v>
      </c>
      <c r="DR43" s="297" t="e">
        <f>(Financials!DR52+Financials!DR53)/((Financials!DR5+Financials!DQ5)/2)</f>
        <v>#DIV/0!</v>
      </c>
      <c r="DS43" s="297" t="e">
        <f>(Financials!DS52+Financials!DS53)/((Financials!DS5+Financials!DR5)/2)</f>
        <v>#DIV/0!</v>
      </c>
      <c r="DT43" s="297" t="e">
        <f>(Financials!DT52+Financials!DT53)/((Financials!DT5+Financials!DS5)/2)</f>
        <v>#DIV/0!</v>
      </c>
      <c r="DU43" s="297" t="e">
        <f>(Financials!DU52+Financials!DU53)/((Financials!DU5+Financials!DT5)/2)</f>
        <v>#DIV/0!</v>
      </c>
      <c r="DV43" s="297" t="e">
        <f>(Financials!DV52+Financials!DV53)/((Financials!DV5+Financials!DU5)/2)</f>
        <v>#DIV/0!</v>
      </c>
    </row>
    <row r="44" spans="1:126">
      <c r="A44" s="288" t="s">
        <v>194</v>
      </c>
      <c r="B44" s="222" t="s">
        <v>177</v>
      </c>
      <c r="C44" s="167" t="e">
        <f>Financials!C42/((Financials!C31+Financials!B31)/2)</f>
        <v>#VALUE!</v>
      </c>
      <c r="D44" s="167">
        <f>Financials!D42/((Financials!D31+Financials!C31)/2)</f>
        <v>0.18554548516979741</v>
      </c>
      <c r="E44" s="167">
        <f>Financials!E42/((Financials!E31+Financials!D31)/2)</f>
        <v>0.19537560204943663</v>
      </c>
      <c r="F44" s="167">
        <f>Financials!F42/((Financials!F31+Financials!E31)/2)</f>
        <v>0.19724887216272854</v>
      </c>
      <c r="G44" s="167">
        <f>Financials!G42/((Financials!G31+Financials!F31)/2)</f>
        <v>0.17793580105266721</v>
      </c>
      <c r="H44" s="167">
        <f>Financials!H42/((Financials!H31+Financials!G31)/2)</f>
        <v>0.17620225102572598</v>
      </c>
      <c r="I44" s="167">
        <f>Financials!I42/((Financials!I31+Financials!H31)/2)</f>
        <v>1.3954934844703809E-2</v>
      </c>
      <c r="J44" s="167">
        <f>Financials!J42/((Financials!J31+Financials!I31)/2)</f>
        <v>2.7578433889152182E-2</v>
      </c>
      <c r="K44" s="167">
        <f>Financials!K42/((Financials!K31+Financials!J31)/2)</f>
        <v>4.1917828844916474E-2</v>
      </c>
      <c r="L44" s="167">
        <f>Financials!L42/((Financials!L31+Financials!K31)/2)</f>
        <v>5.6736971985598648E-2</v>
      </c>
      <c r="M44" s="167">
        <f>Financials!M42/((Financials!M31+Financials!L31)/2)</f>
        <v>7.1111771848481567E-2</v>
      </c>
      <c r="N44" s="167">
        <f>Financials!N42/((Financials!N31+Financials!M31)/2)</f>
        <v>8.5105258112084539E-2</v>
      </c>
      <c r="O44" s="167">
        <f>Financials!O42/((Financials!O31+Financials!N31)/2)</f>
        <v>9.8589494515144149E-2</v>
      </c>
      <c r="P44" s="167">
        <f>Financials!P42/((Financials!P31+Financials!O31)/2)</f>
        <v>0.11228132671395365</v>
      </c>
      <c r="Q44" s="167">
        <f>Financials!Q42/((Financials!Q31+Financials!P31)/2)</f>
        <v>0.12602129882747795</v>
      </c>
      <c r="R44" s="167">
        <f>Financials!R42/((Financials!R31+Financials!Q31)/2)</f>
        <v>0.13918683861525172</v>
      </c>
      <c r="S44" s="167">
        <f>Financials!S42/((Financials!S31+Financials!R31)/2)</f>
        <v>0.15074986454214268</v>
      </c>
      <c r="T44" s="167">
        <f>Financials!T42/((Financials!T31+Financials!S31)/2)</f>
        <v>0.16327153001756881</v>
      </c>
      <c r="U44" s="167">
        <f>Financials!U42/((Financials!U31+Financials!T31)/2)</f>
        <v>0.16146056015546464</v>
      </c>
      <c r="V44" s="167">
        <f>Financials!V42/((Financials!V31+Financials!U31)/2)</f>
        <v>1.93163728584104E-2</v>
      </c>
      <c r="W44" s="167">
        <f>Financials!W42/((Financials!W31+Financials!V31)/2)</f>
        <v>1.84360225503605E-2</v>
      </c>
      <c r="X44" s="167">
        <f>Financials!X42/((Financials!X31+Financials!W31)/2)</f>
        <v>4.2629217839108592E-2</v>
      </c>
      <c r="Y44" s="167">
        <f>Financials!Y42/((Financials!Y31+Financials!X31)/2)</f>
        <v>5.7842388388507866E-2</v>
      </c>
      <c r="Z44" s="167">
        <f>Financials!Z42/((Financials!Z31+Financials!Y31)/2)</f>
        <v>7.2387450101091627E-2</v>
      </c>
      <c r="AA44" s="167">
        <f>Financials!AA42/((Financials!AA31+Financials!Z31)/2)</f>
        <v>8.6426712371340905E-2</v>
      </c>
      <c r="AB44" s="167">
        <f>Financials!AB42/((Financials!AB31+Financials!AA31)/2)</f>
        <v>0.10051314792755481</v>
      </c>
      <c r="AC44" s="167">
        <f>Financials!AC42/((Financials!AC31+Financials!AB31)/2)</f>
        <v>0.11531701803316433</v>
      </c>
      <c r="AD44" s="167">
        <f>Financials!AD42/((Financials!AD31+Financials!AC31)/2)</f>
        <v>0.12681565312979157</v>
      </c>
      <c r="AE44" s="167">
        <f>Financials!AE42/((Financials!AE31+Financials!AD31)/2)</f>
        <v>0.14157884182306141</v>
      </c>
      <c r="AF44" s="167">
        <f>Financials!AF42/((Financials!AF31+Financials!AE31)/2)</f>
        <v>0.15662049437520781</v>
      </c>
      <c r="AG44" s="167">
        <f>Financials!AG42/((Financials!AG31+Financials!AF31)/2)</f>
        <v>0.17136842004434127</v>
      </c>
      <c r="AH44" s="297">
        <f>Financials!AH42/((Financials!AH31+Financials!AG31)/2)</f>
        <v>0.17050545630027361</v>
      </c>
      <c r="AI44" s="297">
        <f>Financials!AI42/((Financials!AI31+Financials!AH31)/2)</f>
        <v>1.477401799292517E-2</v>
      </c>
      <c r="AJ44" s="297">
        <f>Financials!AJ42/((Financials!AJ31+Financials!AI31)/2)</f>
        <v>2.9018920256905185E-2</v>
      </c>
      <c r="AK44" s="297">
        <f>Financials!AK42/((Financials!AK31+Financials!AJ31)/2)</f>
        <v>4.4378049812460088E-2</v>
      </c>
      <c r="AL44" s="297">
        <f>Financials!AL42/((Financials!AL31+Financials!AK31)/2)</f>
        <v>6.0350953334615938E-2</v>
      </c>
      <c r="AM44" s="297">
        <f>Financials!AM42/((Financials!AM31+Financials!AL31)/2)</f>
        <v>7.4967905887413699E-2</v>
      </c>
      <c r="AN44" s="297">
        <f>Financials!AN42/((Financials!AN31+Financials!AM31)/2)</f>
        <v>9.0209233797718821E-2</v>
      </c>
      <c r="AO44" s="297">
        <f>Financials!AO42/((Financials!AO31+Financials!AN31)/2)</f>
        <v>0.10604316981080078</v>
      </c>
      <c r="AP44" s="297">
        <f>Financials!AP42/((Financials!AP31+Financials!AO31)/2)</f>
        <v>0.12242256119992317</v>
      </c>
      <c r="AQ44" s="297">
        <f>Financials!AQ42/((Financials!AQ31+Financials!AP31)/2)</f>
        <v>0.13566954903681119</v>
      </c>
      <c r="AR44" s="297">
        <f>Financials!AR42/((Financials!AR31+Financials!AQ31)/2)</f>
        <v>0.15049692169669346</v>
      </c>
      <c r="AS44" s="297">
        <f>Financials!AS42/((Financials!AS31+Financials!AR31)/2)</f>
        <v>0.16569668376462629</v>
      </c>
      <c r="AT44" s="297">
        <f>Financials!AT42/((Financials!AT31+Financials!AS31)/2)</f>
        <v>0.17573819979664401</v>
      </c>
      <c r="AU44" s="297">
        <f>Financials!AU42/((Financials!AU31+Financials!AT31)/2)</f>
        <v>0.17382113963766585</v>
      </c>
      <c r="AV44" s="297">
        <f>Financials!AV42/((Financials!AV31+Financials!AU31)/2)</f>
        <v>1.4503969186121294E-2</v>
      </c>
      <c r="AW44" s="297">
        <f>Financials!AW42/((Financials!AW31+Financials!AV31)/2)</f>
        <v>2.8701239437912505E-2</v>
      </c>
      <c r="AX44" s="297">
        <f>Financials!AX42/((Financials!AX31+Financials!AW31)/2)</f>
        <v>4.4061750514084987E-2</v>
      </c>
      <c r="AY44" s="297">
        <f>Financials!AY42/((Financials!AY31+Financials!AX31)/2)</f>
        <v>5.848035173242834E-2</v>
      </c>
      <c r="AZ44" s="297">
        <f>Financials!AZ42/((Financials!AZ31+Financials!AY31)/2)</f>
        <v>7.3564918377579336E-2</v>
      </c>
      <c r="BA44" s="297">
        <f>Financials!BA42/((Financials!BA31+Financials!AZ31)/2)</f>
        <v>8.763876078044032E-2</v>
      </c>
      <c r="BB44" s="297">
        <f>Financials!BB42/((Financials!BB31+Financials!BA31)/2)</f>
        <v>0.10151574995337549</v>
      </c>
      <c r="BC44" s="297">
        <f>Financials!BC42/((Financials!BC31+Financials!BB31)/2)</f>
        <v>0.11539779959011712</v>
      </c>
      <c r="BD44" s="297">
        <f>Financials!BD42/((Financials!BD31+Financials!BC31)/2)</f>
        <v>0.12698012601020314</v>
      </c>
      <c r="BE44" s="297">
        <f>Financials!BE42/((Financials!BE31+Financials!BD31)/2)</f>
        <v>0.14013083034208693</v>
      </c>
      <c r="BF44" s="297">
        <f>Financials!BF42/((Financials!BF31+Financials!BE31)/2)</f>
        <v>0.15357345961909372</v>
      </c>
      <c r="BG44" s="297">
        <f>Financials!BG42/((Financials!BG31+Financials!BF31)/2)</f>
        <v>0.16647070880865328</v>
      </c>
      <c r="BH44" s="297">
        <f>Financials!BH42/((Financials!BH31+Financials!BG31)/2)</f>
        <v>0.16556999964571442</v>
      </c>
      <c r="BI44" s="297">
        <f>Financials!BI42/((Financials!BI31+Financials!BH31)/2)</f>
        <v>1.380157482061067E-2</v>
      </c>
      <c r="BJ44" s="297">
        <f>Financials!BJ42/((Financials!BJ31+Financials!BI31)/2)</f>
        <v>2.7472836320406476E-2</v>
      </c>
      <c r="BK44" s="297">
        <f>Financials!BK42/((Financials!BK31+Financials!BJ31)/2)</f>
        <v>4.2167085402285372E-2</v>
      </c>
      <c r="BL44" s="297">
        <f>Financials!BL42/((Financials!BL31+Financials!BK31)/2)</f>
        <v>5.6758849383930964E-2</v>
      </c>
      <c r="BM44" s="297">
        <f>Financials!BM42/((Financials!BM31+Financials!BL31)/2)</f>
        <v>7.0754560406185579E-2</v>
      </c>
      <c r="BN44" s="297">
        <f>Financials!BN42/((Financials!BN31+Financials!BM31)/2)</f>
        <v>8.4847189912680046E-2</v>
      </c>
      <c r="BO44" s="297">
        <f>Financials!BO42/((Financials!BO31+Financials!BN31)/2)</f>
        <v>9.9918893773907266E-2</v>
      </c>
      <c r="BP44" s="297">
        <f>Financials!BP42/((Financials!BP31+Financials!BO31)/2)</f>
        <v>0.11245414188495632</v>
      </c>
      <c r="BQ44" s="297">
        <f>Financials!BQ42/((Financials!BQ31+Financials!BP31)/2)</f>
        <v>0.12533243683144385</v>
      </c>
      <c r="BR44" s="297">
        <f>Financials!BR42/((Financials!BR31+Financials!BQ31)/2)</f>
        <v>0.13769324427878488</v>
      </c>
      <c r="BS44" s="297">
        <f>Financials!BS42/((Financials!BS31+Financials!BR31)/2)</f>
        <v>0.14796968557704082</v>
      </c>
      <c r="BT44" s="297">
        <f>Financials!BT42/((Financials!BT31+Financials!BS31)/2)</f>
        <v>0.15801138815783883</v>
      </c>
      <c r="BU44" s="297">
        <f>Financials!BU42/((Financials!BU31+Financials!BT31)/2)</f>
        <v>0.15512510407661548</v>
      </c>
      <c r="BV44" s="297">
        <f>Financials!BV42/((Financials!BV31+Financials!BU31)/2)</f>
        <v>1.3035003534976049E-2</v>
      </c>
      <c r="BW44" s="297">
        <f>Financials!BW42/((Financials!BW31+Financials!BV31)/2)</f>
        <v>2.667355925497113E-2</v>
      </c>
      <c r="BX44" s="297">
        <f>Financials!BX42/((Financials!BX31+Financials!BW31)/2)</f>
        <v>3.9970338383676758E-2</v>
      </c>
      <c r="BY44" s="297">
        <f>Financials!BY42/((Financials!BY31+Financials!BX31)/2)</f>
        <v>5.2462149923875073E-2</v>
      </c>
      <c r="BZ44" s="297">
        <f>Financials!BZ42/((Financials!BZ31+Financials!BY31)/2)</f>
        <v>6.5032702794010744E-2</v>
      </c>
      <c r="CA44" s="297">
        <f>Financials!CA42/((Financials!CA31+Financials!BZ31)/2)</f>
        <v>7.7537995989415159E-2</v>
      </c>
      <c r="CB44" s="297">
        <f>Financials!CB42/((Financials!CB31+Financials!CA31)/2)</f>
        <v>9.0252475326980455E-2</v>
      </c>
      <c r="CC44" s="297">
        <f>Financials!CC42/((Financials!CC31+Financials!CB31)/2)</f>
        <v>0.10255319222078052</v>
      </c>
      <c r="CD44" s="297">
        <f>Financials!CD42/((Financials!CD31+Financials!CC31)/2)</f>
        <v>0.11514579082131277</v>
      </c>
      <c r="CE44" s="297">
        <f>Financials!CE42/((Financials!CE31+Financials!CD31)/2)</f>
        <v>0.12714878101474847</v>
      </c>
      <c r="CF44" s="297">
        <f>Financials!CF42/((Financials!CF31+Financials!CE31)/2)</f>
        <v>0.13935248330038505</v>
      </c>
      <c r="CG44" s="297">
        <f>Financials!CG42/((Financials!CG31+Financials!CF31)/2)</f>
        <v>0.16271463447330864</v>
      </c>
      <c r="CH44" s="297">
        <f>Financials!CH42/((Financials!CH31+Financials!CG31)/2)</f>
        <v>0.14804633226623165</v>
      </c>
      <c r="CI44" s="297">
        <f>Financials!CI42/((Financials!CI31+Financials!CH31)/2)</f>
        <v>1.3346137418549793E-2</v>
      </c>
      <c r="CJ44" s="297">
        <f>Financials!CJ42/((Financials!CJ31+Financials!CI31)/2)</f>
        <v>2.665048918357963E-2</v>
      </c>
      <c r="CK44" s="297">
        <f>Financials!CK42/((Financials!CK31+Financials!CJ31)/2)</f>
        <v>3.9912488230096577E-2</v>
      </c>
      <c r="CL44" s="297">
        <f>Financials!CL42/((Financials!CL31+Financials!CK31)/2)</f>
        <v>5.2898482527584799E-2</v>
      </c>
      <c r="CM44" s="297">
        <f>Financials!CM42/((Financials!CM31+Financials!CL31)/2)</f>
        <v>6.604895853845201E-2</v>
      </c>
      <c r="CN44" s="297">
        <f>Financials!CN42/((Financials!CN31+Financials!CM31)/2)</f>
        <v>7.8810724287631292E-2</v>
      </c>
      <c r="CO44" s="297">
        <f>Financials!CO42/((Financials!CO31+Financials!CN31)/2)</f>
        <v>9.1372701963323519E-2</v>
      </c>
      <c r="CP44" s="297">
        <f>Financials!CP42/((Financials!CP31+Financials!CO31)/2)</f>
        <v>0.10409926002103925</v>
      </c>
      <c r="CQ44" s="297">
        <f>Financials!CQ42/((Financials!CQ31+Financials!CP31)/2)</f>
        <v>0.11572302504219947</v>
      </c>
      <c r="CR44" s="297">
        <f>Financials!CR42/((Financials!CR31+Financials!CQ31)/2)</f>
        <v>0</v>
      </c>
      <c r="CS44" s="297" t="e">
        <f>Financials!CS42/((Financials!CS31+Financials!CR31)/2)</f>
        <v>#DIV/0!</v>
      </c>
      <c r="CT44" s="297" t="e">
        <f>Financials!CT42/((Financials!CT31+Financials!CS31)/2)</f>
        <v>#DIV/0!</v>
      </c>
      <c r="CU44" s="297" t="e">
        <f>Financials!CU42/((Financials!CU31+Financials!CT31)/2)</f>
        <v>#DIV/0!</v>
      </c>
      <c r="CV44" s="297" t="e">
        <f>Financials!CV42/((Financials!CV31+Financials!CU31)/2)</f>
        <v>#DIV/0!</v>
      </c>
      <c r="CW44" s="297" t="e">
        <f>Financials!CW42/((Financials!CW31+Financials!CV31)/2)</f>
        <v>#DIV/0!</v>
      </c>
      <c r="CX44" s="297" t="e">
        <f>Financials!CX42/((Financials!CX31+Financials!CW31)/2)</f>
        <v>#DIV/0!</v>
      </c>
      <c r="CY44" s="297" t="e">
        <f>Financials!CY42/((Financials!CY31+Financials!CX31)/2)</f>
        <v>#DIV/0!</v>
      </c>
      <c r="CZ44" s="297" t="e">
        <f>Financials!CZ42/((Financials!CZ31+Financials!CY31)/2)</f>
        <v>#DIV/0!</v>
      </c>
      <c r="DA44" s="297" t="e">
        <f>Financials!DA42/((Financials!DA31+Financials!CZ31)/2)</f>
        <v>#DIV/0!</v>
      </c>
      <c r="DB44" s="297" t="e">
        <f>Financials!DB42/((Financials!DB31+Financials!DA31)/2)</f>
        <v>#DIV/0!</v>
      </c>
      <c r="DC44" s="297" t="e">
        <f>Financials!DC42/((Financials!DC31+Financials!DB31)/2)</f>
        <v>#DIV/0!</v>
      </c>
      <c r="DD44" s="297" t="e">
        <f>Financials!DD42/((Financials!DD31+Financials!DC31)/2)</f>
        <v>#DIV/0!</v>
      </c>
      <c r="DE44" s="297" t="e">
        <f>Financials!DE42/((Financials!DE31+Financials!DD31)/2)</f>
        <v>#DIV/0!</v>
      </c>
      <c r="DF44" s="297" t="e">
        <f>Financials!DF42/((Financials!DF31+Financials!DE31)/2)</f>
        <v>#DIV/0!</v>
      </c>
      <c r="DG44" s="297" t="e">
        <f>Financials!DG42/((Financials!DG31+Financials!DF31)/2)</f>
        <v>#DIV/0!</v>
      </c>
      <c r="DH44" s="297" t="e">
        <f>Financials!DH42/((Financials!DH31+Financials!DG31)/2)</f>
        <v>#DIV/0!</v>
      </c>
      <c r="DI44" s="297" t="e">
        <f>Financials!DI42/((Financials!DI31+Financials!DH31)/2)</f>
        <v>#DIV/0!</v>
      </c>
      <c r="DJ44" s="297" t="e">
        <f>Financials!DJ42/((Financials!DJ31+Financials!DI31)/2)</f>
        <v>#DIV/0!</v>
      </c>
      <c r="DK44" s="297" t="e">
        <f>Financials!DK42/((Financials!DK31+Financials!DJ31)/2)</f>
        <v>#DIV/0!</v>
      </c>
      <c r="DL44" s="297" t="e">
        <f>Financials!DL42/((Financials!DL31+Financials!DK31)/2)</f>
        <v>#DIV/0!</v>
      </c>
      <c r="DM44" s="297" t="e">
        <f>Financials!DM42/((Financials!DM31+Financials!DL31)/2)</f>
        <v>#DIV/0!</v>
      </c>
      <c r="DN44" s="297" t="e">
        <f>Financials!DN42/((Financials!DN31+Financials!DM31)/2)</f>
        <v>#DIV/0!</v>
      </c>
      <c r="DO44" s="297" t="e">
        <f>Financials!DO42/((Financials!DO31+Financials!DN31)/2)</f>
        <v>#DIV/0!</v>
      </c>
      <c r="DP44" s="297" t="e">
        <f>Financials!DP42/((Financials!DP31+Financials!DO31)/2)</f>
        <v>#DIV/0!</v>
      </c>
      <c r="DQ44" s="297" t="e">
        <f>Financials!DQ42/((Financials!DQ31+Financials!DP31)/2)</f>
        <v>#DIV/0!</v>
      </c>
      <c r="DR44" s="297" t="e">
        <f>Financials!DR42/((Financials!DR31+Financials!DQ31)/2)</f>
        <v>#DIV/0!</v>
      </c>
      <c r="DS44" s="297" t="e">
        <f>Financials!DS42/((Financials!DS31+Financials!DR31)/2)</f>
        <v>#DIV/0!</v>
      </c>
      <c r="DT44" s="297" t="e">
        <f>Financials!DT42/((Financials!DT31+Financials!DS31)/2)</f>
        <v>#DIV/0!</v>
      </c>
      <c r="DU44" s="297" t="e">
        <f>Financials!DU42/((Financials!DU31+Financials!DT31)/2)</f>
        <v>#DIV/0!</v>
      </c>
      <c r="DV44" s="297" t="e">
        <f>Financials!DV42/((Financials!DV31+Financials!DU31)/2)</f>
        <v>#DIV/0!</v>
      </c>
    </row>
    <row r="45" spans="1:126">
      <c r="A45" s="304" t="s">
        <v>195</v>
      </c>
      <c r="B45" s="178" t="s">
        <v>177</v>
      </c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305"/>
      <c r="AI45" s="305"/>
      <c r="AJ45" s="305"/>
      <c r="AK45" s="305"/>
      <c r="AL45" s="305"/>
      <c r="AM45" s="305"/>
      <c r="AN45" s="305"/>
      <c r="AO45" s="305"/>
      <c r="AP45" s="305"/>
      <c r="AQ45" s="305"/>
      <c r="AR45" s="305"/>
      <c r="AS45" s="305"/>
      <c r="AT45" s="305"/>
      <c r="AU45" s="305"/>
      <c r="AV45" s="305"/>
      <c r="AW45" s="305"/>
      <c r="AX45" s="305"/>
      <c r="AY45" s="305"/>
      <c r="AZ45" s="305"/>
      <c r="BA45" s="305"/>
      <c r="BB45" s="305"/>
      <c r="BC45" s="305"/>
      <c r="BD45" s="305"/>
      <c r="BE45" s="305"/>
      <c r="BF45" s="305"/>
      <c r="BG45" s="305"/>
      <c r="BH45" s="305"/>
      <c r="BI45" s="305"/>
      <c r="BJ45" s="305"/>
      <c r="BK45" s="305"/>
      <c r="BL45" s="305"/>
      <c r="BM45" s="305"/>
      <c r="BN45" s="305"/>
      <c r="BO45" s="305"/>
      <c r="BP45" s="305"/>
      <c r="BQ45" s="305"/>
      <c r="BR45" s="305"/>
      <c r="BS45" s="305"/>
      <c r="BT45" s="305"/>
      <c r="BU45" s="305"/>
      <c r="BV45" s="305"/>
      <c r="BW45" s="305"/>
      <c r="BX45" s="305"/>
      <c r="BY45" s="305"/>
      <c r="BZ45" s="305"/>
      <c r="CA45" s="305"/>
      <c r="CB45" s="305"/>
      <c r="CC45" s="305"/>
      <c r="CD45" s="305"/>
      <c r="CE45" s="305"/>
      <c r="CF45" s="305"/>
      <c r="CG45" s="305"/>
      <c r="CH45" s="305"/>
      <c r="CI45" s="305"/>
      <c r="CJ45" s="305"/>
      <c r="CK45" s="305"/>
      <c r="CL45" s="305"/>
      <c r="CM45" s="305"/>
      <c r="CN45" s="305"/>
      <c r="CO45" s="305"/>
      <c r="CP45" s="305"/>
      <c r="CQ45" s="305"/>
      <c r="CR45" s="305"/>
      <c r="CS45" s="305"/>
      <c r="CT45" s="305"/>
      <c r="CU45" s="305"/>
      <c r="CV45" s="305"/>
      <c r="CW45" s="305"/>
      <c r="CX45" s="305"/>
      <c r="CY45" s="305"/>
      <c r="CZ45" s="305"/>
      <c r="DA45" s="305"/>
      <c r="DB45" s="305"/>
      <c r="DC45" s="305"/>
      <c r="DD45" s="305"/>
      <c r="DE45" s="305"/>
      <c r="DF45" s="305"/>
      <c r="DG45" s="305"/>
      <c r="DH45" s="305"/>
      <c r="DI45" s="305"/>
      <c r="DJ45" s="305"/>
      <c r="DK45" s="305"/>
      <c r="DL45" s="305"/>
      <c r="DM45" s="305"/>
      <c r="DN45" s="305"/>
      <c r="DO45" s="305"/>
      <c r="DP45" s="305"/>
      <c r="DQ45" s="305"/>
      <c r="DR45" s="305"/>
      <c r="DS45" s="305"/>
      <c r="DT45" s="305"/>
      <c r="DU45" s="305"/>
      <c r="DV45" s="305"/>
    </row>
    <row r="46" spans="1:126">
      <c r="A46" s="302" t="s">
        <v>196</v>
      </c>
      <c r="B46" s="178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306"/>
      <c r="AI46" s="306"/>
      <c r="AJ46" s="306"/>
      <c r="AK46" s="306"/>
      <c r="AL46" s="306"/>
      <c r="AM46" s="306"/>
      <c r="AN46" s="306"/>
      <c r="AO46" s="306"/>
      <c r="AP46" s="306"/>
      <c r="AQ46" s="306"/>
      <c r="AR46" s="306"/>
      <c r="AS46" s="306"/>
      <c r="AT46" s="306"/>
      <c r="AU46" s="306"/>
      <c r="AV46" s="306"/>
      <c r="AW46" s="306"/>
      <c r="AX46" s="306"/>
      <c r="AY46" s="306"/>
      <c r="AZ46" s="306"/>
      <c r="BA46" s="306"/>
      <c r="BB46" s="306"/>
      <c r="BC46" s="306"/>
      <c r="BD46" s="306"/>
      <c r="BE46" s="306"/>
      <c r="BF46" s="306"/>
      <c r="BG46" s="306"/>
      <c r="BH46" s="306"/>
      <c r="BI46" s="306"/>
      <c r="BJ46" s="306"/>
      <c r="BK46" s="306"/>
      <c r="BL46" s="306"/>
      <c r="BM46" s="306"/>
      <c r="BN46" s="306"/>
      <c r="BO46" s="306"/>
      <c r="BP46" s="306"/>
      <c r="BQ46" s="306"/>
      <c r="BR46" s="306"/>
      <c r="BS46" s="306"/>
      <c r="BT46" s="306"/>
      <c r="BU46" s="306"/>
      <c r="BV46" s="306"/>
      <c r="BW46" s="306"/>
      <c r="BX46" s="306"/>
      <c r="BY46" s="306"/>
      <c r="BZ46" s="306"/>
      <c r="CA46" s="306"/>
      <c r="CB46" s="306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  <c r="CQ46" s="306"/>
      <c r="CR46" s="306"/>
      <c r="CS46" s="306"/>
      <c r="CT46" s="306"/>
      <c r="CU46" s="306"/>
      <c r="CV46" s="306"/>
      <c r="CW46" s="306"/>
      <c r="CX46" s="306"/>
      <c r="CY46" s="306"/>
      <c r="CZ46" s="306"/>
      <c r="DA46" s="306"/>
      <c r="DB46" s="306"/>
      <c r="DC46" s="306"/>
      <c r="DD46" s="306"/>
      <c r="DE46" s="306"/>
      <c r="DF46" s="306"/>
      <c r="DG46" s="306"/>
      <c r="DH46" s="306"/>
      <c r="DI46" s="306"/>
      <c r="DJ46" s="306"/>
      <c r="DK46" s="306"/>
      <c r="DL46" s="306"/>
      <c r="DM46" s="306"/>
      <c r="DN46" s="306"/>
      <c r="DO46" s="306"/>
      <c r="DP46" s="306"/>
      <c r="DQ46" s="306"/>
      <c r="DR46" s="306"/>
      <c r="DS46" s="306"/>
      <c r="DT46" s="306"/>
      <c r="DU46" s="306"/>
      <c r="DV46" s="306"/>
    </row>
    <row r="47" spans="1:126">
      <c r="A47" s="288" t="s">
        <v>197</v>
      </c>
      <c r="B47" s="224">
        <v>0.15</v>
      </c>
      <c r="C47" s="167">
        <f>SFP!B4/(SFP!B28+SFP!B29)</f>
        <v>1.2246272391536948</v>
      </c>
      <c r="D47" s="167">
        <f>SFP!C4/(SFP!C28+SFP!C29)</f>
        <v>0.37345639288738358</v>
      </c>
      <c r="E47" s="167">
        <f>SFP!D4/(SFP!D28+SFP!D29)</f>
        <v>0.51727008120598983</v>
      </c>
      <c r="F47" s="167">
        <f>SFP!E4/(SFP!E28+SFP!E29)</f>
        <v>0.32255384356882277</v>
      </c>
      <c r="G47" s="167">
        <f>SFP!F4/(SFP!F28+SFP!F29+SFP!F33+SFP!F37)</f>
        <v>0.18492020835168529</v>
      </c>
      <c r="H47" s="167">
        <f>SFP!G4/(SFP!G28+SFP!G29+SFP!G33+SFP!G37)</f>
        <v>0.17605031087104245</v>
      </c>
      <c r="I47" s="167">
        <f>SFP!H4/(SFP!H28+SFP!H29+SFP!H33+SFP!H37)</f>
        <v>0.23050628930205624</v>
      </c>
      <c r="J47" s="167">
        <f>SFP!I4/(SFP!I28+SFP!I29+SFP!I33+SFP!I37)</f>
        <v>0.1914255630528319</v>
      </c>
      <c r="K47" s="167">
        <f>SFP!J4/(SFP!J28+SFP!J29+SFP!J33+SFP!J37)</f>
        <v>0.1047685146646838</v>
      </c>
      <c r="L47" s="167">
        <f>SFP!K4/(SFP!K28+SFP!K29+SFP!K33+SFP!K37)</f>
        <v>1.4143074859928922E-2</v>
      </c>
      <c r="M47" s="167">
        <f>SFP!L4/(SFP!L28+SFP!L29+SFP!L33+SFP!L37)</f>
        <v>0.10977558807641558</v>
      </c>
      <c r="N47" s="167">
        <f>SFP!M4/(SFP!M28+SFP!M29+SFP!M33+SFP!M37)</f>
        <v>0.27039129331146955</v>
      </c>
      <c r="O47" s="167">
        <f>SFP!N4/(SFP!N28+SFP!N29+SFP!N33+SFP!N37)</f>
        <v>0.14535483715320832</v>
      </c>
      <c r="P47" s="167">
        <f>SFP!O4/(SFP!O28+SFP!O29+SFP!O33+SFP!O37)</f>
        <v>5.635703376747847E-2</v>
      </c>
      <c r="Q47" s="167">
        <f>SFP!P4/(SFP!P28+SFP!P29+SFP!P33+SFP!P37)</f>
        <v>7.0638774030494816E-2</v>
      </c>
      <c r="R47" s="167">
        <f>SFP!Q4/(SFP!Q28+SFP!Q29+SFP!Q33+SFP!Q37)</f>
        <v>0.21442409899780127</v>
      </c>
      <c r="S47" s="167">
        <f>SFP!R4/(SFP!R28+SFP!R29+SFP!R33+SFP!R37)</f>
        <v>7.6035023546849614E-2</v>
      </c>
      <c r="T47" s="167">
        <f>SFP!S4/(SFP!S28+SFP!S29+SFP!S33+SFP!S37)</f>
        <v>0.11006994455891479</v>
      </c>
      <c r="U47" s="167">
        <f>SFP!T4/(SFP!T28+SFP!T29+SFP!T33+SFP!T37)</f>
        <v>8.3980796451322046E-2</v>
      </c>
      <c r="V47" s="167">
        <f>SFP!U4/(SFP!U28+SFP!U29+SFP!U33+SFP!U37)</f>
        <v>0.11226988000501624</v>
      </c>
      <c r="W47" s="167">
        <f>SFP!V4/(SFP!V28+SFP!V29+SFP!V33+SFP!V37)</f>
        <v>1.3406113633097912E-2</v>
      </c>
      <c r="X47" s="167">
        <f>SFP!W4/(SFP!W28+SFP!W29+SFP!W33+SFP!W37)</f>
        <v>0.10371233095937306</v>
      </c>
      <c r="Y47" s="167">
        <f>SFP!X4/(SFP!X28+SFP!X29+SFP!X33+SFP!X37)</f>
        <v>4.6950324838384933E-2</v>
      </c>
      <c r="Z47" s="167">
        <f>SFP!Y4/(SFP!Y28+SFP!Y29+SFP!Y33+SFP!Y37)</f>
        <v>0.10360910182750116</v>
      </c>
      <c r="AA47" s="167">
        <f>SFP!Z4/(SFP!Z28+SFP!Z29+SFP!Z33+SFP!Z37)</f>
        <v>0.15664133092157378</v>
      </c>
      <c r="AB47" s="167">
        <f>SFP!AA4/(SFP!AA28+SFP!AA29+SFP!AA33+SFP!AA37)</f>
        <v>0.11246304341793256</v>
      </c>
      <c r="AC47" s="167">
        <f>SFP!AB4/(SFP!AB28+SFP!AB29+SFP!AB33+SFP!AB37)</f>
        <v>0.15740024568288208</v>
      </c>
      <c r="AD47" s="167">
        <f>SFP!AC4/(SFP!AC28+SFP!AC29+SFP!AC33+SFP!AC37)</f>
        <v>0.20312981247117518</v>
      </c>
      <c r="AE47" s="167">
        <f>SFP!AD4/(SFP!AD28+SFP!AD29+SFP!AD33+SFP!AD37)</f>
        <v>0.20516868417760215</v>
      </c>
      <c r="AF47" s="167">
        <f>SFP!AE4/(SFP!AE28+SFP!AE29+SFP!AE33+SFP!AE37)</f>
        <v>0.20734692359101448</v>
      </c>
      <c r="AG47" s="167">
        <f>SFP!AF4/(SFP!AF28+SFP!AF29+SFP!AF33+SFP!AF37)</f>
        <v>0.19411982916037326</v>
      </c>
      <c r="AH47" s="297">
        <f>SFP!AG4/(SFP!AG28+SFP!AG29+SFP!AG33+SFP!AG37)</f>
        <v>0.10342448158655637</v>
      </c>
      <c r="AI47" s="297">
        <f>SFP!AH4/(SFP!AH28+SFP!AH29+SFP!AH33+SFP!AH37)</f>
        <v>0.28990232026545781</v>
      </c>
      <c r="AJ47" s="297">
        <f>SFP!AI4/(SFP!AI28+SFP!AI29+SFP!AI33+SFP!AI37)</f>
        <v>0.28276578182973566</v>
      </c>
      <c r="AK47" s="297">
        <f>SFP!AJ4/(SFP!AJ28+SFP!AJ29+SFP!AJ33+SFP!AJ37)</f>
        <v>0.3398292415430943</v>
      </c>
      <c r="AL47" s="297">
        <f>SFP!AK4/(SFP!AK28+SFP!AK29+SFP!AK33+SFP!AK37)</f>
        <v>0.25059851252252685</v>
      </c>
      <c r="AM47" s="297">
        <f>SFP!AL4/(SFP!AL28+SFP!AL29+SFP!AL33+SFP!AL37)</f>
        <v>0.50962912244903003</v>
      </c>
      <c r="AN47" s="297">
        <f>SFP!AM4/(SFP!AM28+SFP!AM29+SFP!AM33+SFP!AM37)</f>
        <v>0.45895322629520779</v>
      </c>
      <c r="AO47" s="297">
        <f>SFP!AN4/(SFP!AN28+SFP!AN29+SFP!AN33+SFP!AN37)</f>
        <v>0.46466837629964225</v>
      </c>
      <c r="AP47" s="297">
        <f>SFP!AO4/(SFP!AO28+SFP!AO29+SFP!AO33+SFP!AO37)</f>
        <v>0.57941644968209993</v>
      </c>
      <c r="AQ47" s="297">
        <f>SFP!AP4/(SFP!AP28+SFP!AP29+SFP!AP33+SFP!AP37)</f>
        <v>0.48849793571060396</v>
      </c>
      <c r="AR47" s="297">
        <f>SFP!AQ4/(SFP!AQ28+SFP!AQ29+SFP!AQ33+SFP!AQ37)</f>
        <v>0.53826592684858454</v>
      </c>
      <c r="AS47" s="297">
        <f>SFP!AR4/(SFP!AR28+SFP!AR29+SFP!AR33+SFP!AR37)</f>
        <v>0.61825180474903441</v>
      </c>
      <c r="AT47" s="297">
        <f>SFP!AS4/(SFP!AS28+SFP!AS29+SFP!AS33+SFP!AS37)</f>
        <v>0.62866250053723716</v>
      </c>
      <c r="AU47" s="297">
        <f>SFP!AT4/(SFP!AT28+SFP!AT29+SFP!AT34+SFP!AT37)</f>
        <v>0.32068195098157726</v>
      </c>
      <c r="AV47" s="297">
        <f>SFP!AU4/(SFP!AU28+SFP!AU29+SFP!AU34+SFP!AU37)</f>
        <v>0.39184587919919184</v>
      </c>
      <c r="AW47" s="297">
        <f>SFP!AV4/(SFP!AV28+SFP!AV29+SFP!AV34+SFP!AV37)</f>
        <v>0.4380937819279706</v>
      </c>
      <c r="AX47" s="297">
        <f>SFP!AW4/(SFP!AW28+SFP!AW29+SFP!AW34+SFP!AW37)</f>
        <v>0.47256452319795006</v>
      </c>
      <c r="AY47" s="297">
        <f>SFP!AX4/(SFP!AX28+SFP!AX29+SFP!AX34+SFP!AX37)</f>
        <v>0.59927823924129608</v>
      </c>
      <c r="AZ47" s="297">
        <f>SFP!AY4/(SFP!AY28+SFP!AY29+SFP!AY34+SFP!AY37)</f>
        <v>0.67883035448756368</v>
      </c>
      <c r="BA47" s="297">
        <f>SFP!AZ4/(SFP!AZ28+SFP!AZ29+SFP!AZ34+SFP!AZ37)</f>
        <v>0.76758377280313117</v>
      </c>
      <c r="BB47" s="297">
        <f>SFP!BA4/(SFP!BA28+SFP!BA29+SFP!BA34+SFP!BA37)</f>
        <v>0.70076312665235418</v>
      </c>
      <c r="BC47" s="297">
        <f>SFP!BB4/(SFP!BB28+SFP!BB29+SFP!BB34+SFP!BB37)</f>
        <v>0.61858615923607108</v>
      </c>
      <c r="BD47" s="297">
        <f>SFP!BC4/(SFP!BC28+SFP!BC29+SFP!BC34+SFP!BC37)</f>
        <v>0.66663639909607098</v>
      </c>
      <c r="BE47" s="297">
        <f>SFP!BD4/(SFP!BD28+SFP!BD29+SFP!BD34+SFP!BD37)</f>
        <v>0.62401090864593678</v>
      </c>
      <c r="BF47" s="297">
        <f>SFP!BE4/(SFP!BE28+SFP!BE29+SFP!BE34+SFP!BE37)</f>
        <v>0.73697173875652466</v>
      </c>
      <c r="BG47" s="297">
        <f>SFP!BF4/(SFP!BF28+SFP!BF29+SFP!BF34+SFP!BF37)</f>
        <v>0.63111944039781542</v>
      </c>
      <c r="BH47" s="297">
        <f>SFP!BG4/(SFP!BG28+SFP!BG29+SFP!BG34+SFP!BG37)</f>
        <v>0.62009015037607795</v>
      </c>
      <c r="BI47" s="297">
        <f>SFP!BH4/(SFP!BH28+SFP!BH29+SFP!BH34+SFP!BH37)</f>
        <v>0.68082798824966373</v>
      </c>
      <c r="BJ47" s="297">
        <f>SFP!BI4/(SFP!BI28+SFP!BI29+SFP!BI34+SFP!BI37)</f>
        <v>0.76169705873860138</v>
      </c>
      <c r="BK47" s="297">
        <f>SFP!BJ4/(SFP!BJ28+SFP!BJ29+SFP!BJ34+SFP!BJ37)</f>
        <v>0.774950353868466</v>
      </c>
      <c r="BL47" s="297">
        <f>SFP!BK4/(SFP!BK28+SFP!BK29+SFP!BK34+SFP!BK37)</f>
        <v>0.88450659084559702</v>
      </c>
      <c r="BM47" s="297">
        <f>SFP!BL4/(SFP!BL28+SFP!BL29+SFP!BL34+SFP!BL37)</f>
        <v>0.80881188845813623</v>
      </c>
      <c r="BN47" s="297">
        <f>SFP!BM4/(SFP!BM28+SFP!BM29+SFP!BM34+SFP!BM37)</f>
        <v>0.92754472217907036</v>
      </c>
      <c r="BO47" s="297">
        <f>SFP!BN4/(SFP!BN28+SFP!BN29+SFP!BN34+SFP!BN37)</f>
        <v>0.88638220675186596</v>
      </c>
      <c r="BP47" s="297">
        <f>SFP!BO4/(SFP!BO28+SFP!BO29+SFP!BO34+SFP!BO37)</f>
        <v>0.90547660491890825</v>
      </c>
      <c r="BQ47" s="297">
        <f>SFP!BP4/(SFP!BP28+SFP!BP29+SFP!BP34+SFP!BP37)</f>
        <v>1.0234308252190674</v>
      </c>
      <c r="BR47" s="297">
        <f>SFP!BQ4/(SFP!BQ28+SFP!BQ29+SFP!BQ34+SFP!BQ37)</f>
        <v>0.89190250030013762</v>
      </c>
      <c r="BS47" s="297">
        <f>SFP!BR4/(SFP!BR28+SFP!BR29+SFP!BR34+SFP!BR37)</f>
        <v>0.87904329241091983</v>
      </c>
      <c r="BT47" s="297">
        <f>SFP!BS4/(SFP!BS28+SFP!BS29+SFP!BS34+SFP!BS37)</f>
        <v>0.92741774128534737</v>
      </c>
      <c r="BU47" s="297">
        <f>SFP!BT4/(SFP!BT28+SFP!BT29+SFP!BT34+SFP!BT37)</f>
        <v>0.93066907116665765</v>
      </c>
      <c r="BV47" s="297">
        <f>SFP!BU4/(SFP!BU28+SFP!BU29+SFP!BU34+SFP!BU37)</f>
        <v>0.89816280670850546</v>
      </c>
      <c r="BW47" s="297">
        <f>SFP!BV4/(SFP!BV28+SFP!BV29+SFP!BV34+SFP!BV37)</f>
        <v>0.90165802781653315</v>
      </c>
      <c r="BX47" s="297">
        <f>SFP!BW4/(SFP!BW28+SFP!BW29+SFP!BW34+SFP!BW37)</f>
        <v>0.82201102378367252</v>
      </c>
      <c r="BY47" s="297">
        <f>SFP!BX4/(SFP!BX28+SFP!BX29+SFP!BX34+SFP!BX37)</f>
        <v>0.79915138196461366</v>
      </c>
      <c r="BZ47" s="297">
        <f>SFP!BY4/(SFP!BY28+SFP!BY29+SFP!BY34+SFP!BY37)</f>
        <v>0.79537450146154998</v>
      </c>
      <c r="CA47" s="297">
        <f>SFP!BZ4/(SFP!BZ28+SFP!BZ29+SFP!BZ34+SFP!BZ37)</f>
        <v>0.90911522742224748</v>
      </c>
      <c r="CB47" s="297">
        <f>SFP!CA4/(SFP!CA28+SFP!CA29+SFP!CA34+SFP!CA37)</f>
        <v>0.81381477382086154</v>
      </c>
      <c r="CC47" s="297">
        <f>SFP!CB4/(SFP!CB28+SFP!CB29+SFP!CB34+SFP!CB37)</f>
        <v>0.8143183729351462</v>
      </c>
      <c r="CD47" s="297">
        <f>SFP!CC4/(SFP!CC28+SFP!CC29+SFP!CC34+SFP!CC37)</f>
        <v>0.7912708206079071</v>
      </c>
      <c r="CE47" s="297">
        <f>SFP!CD4/(SFP!CD28+SFP!CD29+SFP!CD34+SFP!CD37)</f>
        <v>0.79111738617942418</v>
      </c>
      <c r="CF47" s="297">
        <f>SFP!CE4/(SFP!CE28+SFP!CE29+SFP!CE34+SFP!CE37)</f>
        <v>0.81183559955909024</v>
      </c>
      <c r="CG47" s="297">
        <f>SFP!CF4/(SFP!CF28+SFP!CF29+SFP!CF34+SFP!CF37)</f>
        <v>0.79687234724877976</v>
      </c>
      <c r="CH47" s="297">
        <f>SFP!CG4/(SFP!CG28+SFP!CG29+SFP!CG34+SFP!CG37)</f>
        <v>0.77195707729558394</v>
      </c>
      <c r="CI47" s="297">
        <f>SFP!CH4/(SFP!CH28+SFP!CH29+SFP!CH34+SFP!CH37)</f>
        <v>0.77163515020884332</v>
      </c>
      <c r="CJ47" s="297">
        <f>SFP!CI4/(SFP!CI28+SFP!CI29+SFP!CI34+SFP!CI37)</f>
        <v>0.76821571883855133</v>
      </c>
      <c r="CK47" s="297">
        <f>SFP!CJ4/(SFP!CJ28+SFP!CJ29+SFP!CJ34+SFP!CJ37)</f>
        <v>0.74127471476421691</v>
      </c>
      <c r="CL47" s="297">
        <f>SFP!CK4/(SFP!CK28+SFP!CK29+SFP!CK34+SFP!CK37)</f>
        <v>0.75371389223247265</v>
      </c>
      <c r="CM47" s="297">
        <f>SFP!CL4/(SFP!CL28+SFP!CL29+SFP!CL34+SFP!CL37)</f>
        <v>0.82637769696727525</v>
      </c>
      <c r="CN47" s="297">
        <f>SFP!CN4/(SFP!CN28+SFP!CN29+SFP!CN34+SFP!CN37)</f>
        <v>0.9036451985740237</v>
      </c>
      <c r="CO47" s="297">
        <f>SFP!CO4/(SFP!CO28+SFP!CO29+SFP!CO34+SFP!CO37)</f>
        <v>0.8591900273202201</v>
      </c>
      <c r="CP47" s="297">
        <f>SFP!CP4/(SFP!CP28+SFP!CP29+SFP!CP34+SFP!CP37)</f>
        <v>0.87968807145670902</v>
      </c>
      <c r="CQ47" s="297" t="e">
        <f>SFP!CQ4/(SFP!CQ28+SFP!CQ29+SFP!CQ34+SFP!CQ37)</f>
        <v>#DIV/0!</v>
      </c>
      <c r="CR47" s="297" t="e">
        <f>SFP!CR4/(SFP!CR28+SFP!CR29+SFP!CR34+SFP!CR37)</f>
        <v>#DIV/0!</v>
      </c>
      <c r="CS47" s="297" t="e">
        <f>SFP!CS4/(SFP!CS28+SFP!CS29+SFP!CS34+SFP!CS37)</f>
        <v>#DIV/0!</v>
      </c>
      <c r="CT47" s="297" t="e">
        <f>SFP!CT4/(SFP!CT28+SFP!CT29+SFP!CT34+SFP!CT37)</f>
        <v>#DIV/0!</v>
      </c>
      <c r="CU47" s="297" t="e">
        <f>SFP!CU4/(SFP!CU28+SFP!CU29+SFP!CU34+SFP!CU37)</f>
        <v>#DIV/0!</v>
      </c>
      <c r="CV47" s="297" t="e">
        <f>SFP!CV4/(SFP!CV28+SFP!CV29+SFP!CV34+SFP!CV37)</f>
        <v>#DIV/0!</v>
      </c>
      <c r="CW47" s="297" t="e">
        <f>SFP!CW4/(SFP!CW28+SFP!CW29+SFP!CW34+SFP!CW37)</f>
        <v>#DIV/0!</v>
      </c>
      <c r="CX47" s="297" t="e">
        <f>SFP!CX4/(SFP!CX28+SFP!CX29+SFP!CX34+SFP!CX37)</f>
        <v>#DIV/0!</v>
      </c>
      <c r="CY47" s="297" t="e">
        <f>SFP!CY4/(SFP!CY28+SFP!CY29+SFP!CY34+SFP!CY37)</f>
        <v>#DIV/0!</v>
      </c>
      <c r="CZ47" s="297" t="e">
        <f>SFP!CZ4/(SFP!CZ28+SFP!CZ29+SFP!CZ34+SFP!CZ37)</f>
        <v>#DIV/0!</v>
      </c>
      <c r="DA47" s="297" t="e">
        <f>SFP!DA4/(SFP!DA28+SFP!DA29+SFP!DA34+SFP!DA37)</f>
        <v>#DIV/0!</v>
      </c>
      <c r="DB47" s="297" t="e">
        <f>SFP!DB4/(SFP!DB28+SFP!DB29+SFP!DB34+SFP!DB37)</f>
        <v>#DIV/0!</v>
      </c>
      <c r="DC47" s="297" t="e">
        <f>SFP!DC4/(SFP!DC28+SFP!DC29+SFP!DC34+SFP!DC37)</f>
        <v>#DIV/0!</v>
      </c>
      <c r="DD47" s="297" t="e">
        <f>SFP!DD4/(SFP!DD28+SFP!DD29+SFP!DD34+SFP!DD37)</f>
        <v>#DIV/0!</v>
      </c>
      <c r="DE47" s="297" t="e">
        <f>SFP!DE4/(SFP!DE28+SFP!DE29+SFP!DE34+SFP!DE37)</f>
        <v>#DIV/0!</v>
      </c>
      <c r="DF47" s="297" t="e">
        <f>SFP!DF4/(SFP!DF28+SFP!DF29+SFP!DF34+SFP!DF37)</f>
        <v>#DIV/0!</v>
      </c>
      <c r="DG47" s="297" t="e">
        <f>SFP!DG4/(SFP!DG28+SFP!DG29+SFP!DG34+SFP!DG37)</f>
        <v>#DIV/0!</v>
      </c>
      <c r="DH47" s="297" t="e">
        <f>SFP!DH4/(SFP!DH28+SFP!DH29+SFP!DH34+SFP!DH37)</f>
        <v>#DIV/0!</v>
      </c>
      <c r="DI47" s="297" t="e">
        <f>SFP!DI4/(SFP!DI28+SFP!DI29+SFP!DI34+SFP!DI37)</f>
        <v>#DIV/0!</v>
      </c>
      <c r="DJ47" s="297" t="e">
        <f>SFP!DJ4/(SFP!DJ28+SFP!DJ29+SFP!DJ34+SFP!DJ37)</f>
        <v>#DIV/0!</v>
      </c>
      <c r="DK47" s="297" t="e">
        <f>SFP!DK4/(SFP!DK28+SFP!DK29+SFP!DK34+SFP!DK37)</f>
        <v>#DIV/0!</v>
      </c>
      <c r="DL47" s="297" t="e">
        <f>SFP!DL4/(SFP!DL28+SFP!DL29+SFP!DL34+SFP!DL37)</f>
        <v>#DIV/0!</v>
      </c>
      <c r="DM47" s="297" t="e">
        <f>SFP!DM4/(SFP!DM28+SFP!DM29+SFP!DM34+SFP!DM37)</f>
        <v>#DIV/0!</v>
      </c>
      <c r="DN47" s="297" t="e">
        <f>SFP!DN4/(SFP!DN28+SFP!DN29+SFP!DN34+SFP!DN37)</f>
        <v>#DIV/0!</v>
      </c>
      <c r="DO47" s="297" t="e">
        <f>SFP!DO4/(SFP!DO28+SFP!DO29+SFP!DO34+SFP!DO37)</f>
        <v>#DIV/0!</v>
      </c>
      <c r="DP47" s="297" t="e">
        <f>SFP!DP4/(SFP!DP28+SFP!DP29+SFP!DP34+SFP!DP37)</f>
        <v>#DIV/0!</v>
      </c>
      <c r="DQ47" s="297" t="e">
        <f>SFP!DQ4/(SFP!DQ28+SFP!DQ29+SFP!DQ34+SFP!DQ37)</f>
        <v>#DIV/0!</v>
      </c>
      <c r="DR47" s="297" t="e">
        <f>SFP!DR4/(SFP!DR28+SFP!DR29+SFP!DR34+SFP!DR37)</f>
        <v>#DIV/0!</v>
      </c>
      <c r="DS47" s="297" t="e">
        <f>SFP!DS4/(SFP!DS28+SFP!DS29+SFP!DS34+SFP!DS37)</f>
        <v>#DIV/0!</v>
      </c>
      <c r="DT47" s="297" t="e">
        <f>SFP!DT4/(SFP!DT28+SFP!DT29+SFP!DT34+SFP!DT37)</f>
        <v>#DIV/0!</v>
      </c>
      <c r="DU47" s="297" t="e">
        <f>SFP!DU4/(SFP!DU28+SFP!DU29+SFP!DU34+SFP!DU37)</f>
        <v>#DIV/0!</v>
      </c>
      <c r="DV47" s="297" t="e">
        <f>SFP!DV4/(SFP!DV28+SFP!DV29+SFP!DV34+SFP!DV37)</f>
        <v>#DIV/0!</v>
      </c>
    </row>
    <row r="48" spans="1:126">
      <c r="A48" s="288" t="s">
        <v>198</v>
      </c>
      <c r="B48" s="178"/>
      <c r="C48" s="174">
        <f>SFP!B4/(SFP!B31+SFP!B32-SFP!B38)</f>
        <v>0.18335823551716765</v>
      </c>
      <c r="D48" s="174">
        <f>SFP!C4/(SFP!C31+SFP!C32-SFP!C38)</f>
        <v>5.563412651600888E-2</v>
      </c>
      <c r="E48" s="174">
        <f>SFP!D4/(SFP!D31+SFP!D32-SFP!D38)</f>
        <v>9.8710422268686135E-2</v>
      </c>
      <c r="F48" s="174">
        <f>SFP!E4/(SFP!E31+SFP!E32-SFP!E38)</f>
        <v>6.6330829580133227E-2</v>
      </c>
      <c r="G48" s="174">
        <f>SFP!F4/(SFP!F28+SFP!F29+SFP!F33+SFP!F37+SFP!F38)</f>
        <v>0.18492020835168529</v>
      </c>
      <c r="H48" s="174">
        <f>SFP!G4/(SFP!G28+SFP!G29+SFP!G33+SFP!G37+SFP!G38)</f>
        <v>0.15651935833135533</v>
      </c>
      <c r="I48" s="174">
        <f>SFP!H4/(SFP!H28+SFP!H29+SFP!H33+SFP!H37+SFP!H38)</f>
        <v>0.19832038782388692</v>
      </c>
      <c r="J48" s="174">
        <f>SFP!I4/(SFP!I28+SFP!I29+SFP!I33+SFP!I37+SFP!I38)</f>
        <v>0.1657544897728753</v>
      </c>
      <c r="K48" s="174">
        <f>SFP!J4/(SFP!J28+SFP!J29+SFP!J33+SFP!J37+SFP!J38)</f>
        <v>9.0188976098919363E-2</v>
      </c>
      <c r="L48" s="174">
        <f>SFP!K4/(SFP!K28+SFP!K29+SFP!K33+SFP!K37+SFP!K38)</f>
        <v>1.2129097291353167E-2</v>
      </c>
      <c r="M48" s="174">
        <f>SFP!L4/(SFP!L28+SFP!L29+SFP!L33+SFP!L37+SFP!L38)</f>
        <v>9.4096931764543604E-2</v>
      </c>
      <c r="N48" s="174">
        <f>SFP!M4/(SFP!M28+SFP!M29+SFP!M33+SFP!M37+SFP!M38)</f>
        <v>0.20624722708240009</v>
      </c>
      <c r="O48" s="174">
        <f>SFP!N4/(SFP!N28+SFP!N29+SFP!N33+SFP!N37+SFP!N38)</f>
        <v>0.11221859414130617</v>
      </c>
      <c r="P48" s="174">
        <f>SFP!O4/(SFP!O28+SFP!O29+SFP!O33+SFP!O37+SFP!O38)</f>
        <v>4.1830853554462137E-2</v>
      </c>
      <c r="Q48" s="174">
        <f>SFP!P4/(SFP!P28+SFP!P29+SFP!P33+SFP!P37+SFP!P38)</f>
        <v>4.9857943527396809E-2</v>
      </c>
      <c r="R48" s="174">
        <f>SFP!Q4/(SFP!Q28+SFP!Q29+SFP!Q33+SFP!Q37+SFP!Q38)</f>
        <v>0.14689783629362735</v>
      </c>
      <c r="S48" s="174">
        <f>SFP!R4/(SFP!R28+SFP!R29+SFP!R33+SFP!R37+SFP!R38)</f>
        <v>5.3883985629965832E-2</v>
      </c>
      <c r="T48" s="174">
        <f>SFP!S4/(SFP!S28+SFP!S29+SFP!S33+SFP!S37+SFP!S38)</f>
        <v>7.9158411351347116E-2</v>
      </c>
      <c r="U48" s="174">
        <f>SFP!T4/(SFP!T28+SFP!T29+SFP!T33+SFP!T37+SFP!T38)</f>
        <v>6.3722822283145908E-2</v>
      </c>
      <c r="V48" s="174">
        <f>SFP!U4/(SFP!U28+SFP!U29+SFP!U33+SFP!U37+SFP!U38)</f>
        <v>8.0850492291153001E-2</v>
      </c>
      <c r="W48" s="174">
        <f>SFP!V4/(SFP!V28+SFP!V29+SFP!V33+SFP!V37+SFP!V38)</f>
        <v>9.5607858047072908E-3</v>
      </c>
      <c r="X48" s="174">
        <f>SFP!W4/(SFP!W28+SFP!W29+SFP!W33+SFP!W37+SFP!W38)</f>
        <v>7.3107465474062369E-2</v>
      </c>
      <c r="Y48" s="174">
        <f>SFP!X4/(SFP!X28+SFP!X29+SFP!X33+SFP!X37+SFP!X38)</f>
        <v>3.3102501081445808E-2</v>
      </c>
      <c r="Z48" s="174">
        <f>SFP!Y4/(SFP!Y28+SFP!Y29+SFP!Y33+SFP!Y37+SFP!Y38)</f>
        <v>7.5191342364349739E-2</v>
      </c>
      <c r="AA48" s="174">
        <f>SFP!Z4/(SFP!Z28+SFP!Z29+SFP!Z33+SFP!Z37+SFP!Z38)</f>
        <v>0.11495168863773486</v>
      </c>
      <c r="AB48" s="174">
        <f>SFP!AA4/(SFP!AA28+SFP!AA29+SFP!AA33+SFP!AA37+SFP!AA38)</f>
        <v>8.43866870367974E-2</v>
      </c>
      <c r="AC48" s="174">
        <f>SFP!AB4/(SFP!AB28+SFP!AB29+SFP!AB33+SFP!AB37+SFP!AB38)</f>
        <v>0.11195594493344636</v>
      </c>
      <c r="AD48" s="174">
        <f>SFP!AC4/(SFP!AC28+SFP!AC29+SFP!AC33+SFP!AC37+SFP!AC38)</f>
        <v>0.14776075844474304</v>
      </c>
      <c r="AE48" s="174">
        <f>SFP!AD4/(SFP!AD28+SFP!AD29+SFP!AD33+SFP!AD37+SFP!AD38)</f>
        <v>0.14922415798284003</v>
      </c>
      <c r="AF48" s="174">
        <f>SFP!AE4/(SFP!AE28+SFP!AE29+SFP!AE33+SFP!AE37+SFP!AE38)</f>
        <v>0.15256849393959229</v>
      </c>
      <c r="AG48" s="174">
        <f>SFP!AF4/(SFP!AF28+SFP!AF29+SFP!AF33+SFP!AF37+SFP!AF38)</f>
        <v>0.14613526984919567</v>
      </c>
      <c r="AH48" s="307">
        <f>SFP!AG4/(SFP!AG28+SFP!AG29+SFP!AG33+SFP!AG37+SFP!AG38)</f>
        <v>8.8012122847122509E-2</v>
      </c>
      <c r="AI48" s="307">
        <f>SFP!AH4/(SFP!AH28+SFP!AH29+SFP!AH33+SFP!AH37+SFP!AH38)</f>
        <v>0.22049570442911268</v>
      </c>
      <c r="AJ48" s="307">
        <f>SFP!AI4/(SFP!AI28+SFP!AI29+SFP!AI33+SFP!AI37+SFP!AI38)</f>
        <v>0.22284791002598861</v>
      </c>
      <c r="AK48" s="307">
        <f>SFP!AJ4/(SFP!AJ28+SFP!AJ29+SFP!AJ33+SFP!AJ37+SFP!AJ38)</f>
        <v>0.2652860792793279</v>
      </c>
      <c r="AL48" s="307">
        <f>SFP!AK4/(SFP!AK28+SFP!AK29+SFP!AK33+SFP!AK37+SFP!AK38)</f>
        <v>0.20458263781674166</v>
      </c>
      <c r="AM48" s="307">
        <f>SFP!AL4/(SFP!AL28+SFP!AL29+SFP!AL33+SFP!AL37+SFP!AL38)</f>
        <v>0.40496076584191354</v>
      </c>
      <c r="AN48" s="307">
        <f>SFP!AM4/(SFP!AM28+SFP!AM29+SFP!AM33+SFP!AM37+SFP!AM38)</f>
        <v>0.36811300778686151</v>
      </c>
      <c r="AO48" s="307">
        <f>SFP!AN4/(SFP!AN28+SFP!AN29+SFP!AN33+SFP!AN37+SFP!AN38)</f>
        <v>0.38053188924094078</v>
      </c>
      <c r="AP48" s="307">
        <f>SFP!AO4/(SFP!AO28+SFP!AO29+SFP!AO33+SFP!AO37+SFP!AO38)</f>
        <v>0.51386393972989797</v>
      </c>
      <c r="AQ48" s="307">
        <f>SFP!AP4/(SFP!AP28+SFP!AP29+SFP!AP33+SFP!AP37+SFP!AP38)</f>
        <v>0.45459686813166872</v>
      </c>
      <c r="AR48" s="307">
        <f>SFP!AQ4/(SFP!AQ28+SFP!AQ29+SFP!AQ33+SFP!AQ37+SFP!AQ38)</f>
        <v>0.53878003645491956</v>
      </c>
      <c r="AS48" s="307">
        <f>SFP!AR4/(SFP!AR28+SFP!AR29+SFP!AR33+SFP!AR37+SFP!AR38)</f>
        <v>0.61825180474903441</v>
      </c>
      <c r="AT48" s="307">
        <f>SFP!AS4/(SFP!AS28+SFP!AS29+SFP!AS33+SFP!AS37+SFP!AS38)</f>
        <v>0.62866250053723716</v>
      </c>
      <c r="AU48" s="307">
        <f>SFP!AT4/(SFP!AT28+SFP!AT29+SFP!AT34+SFP!AT37+SFP!AT38)</f>
        <v>0.32068195098157726</v>
      </c>
      <c r="AV48" s="307">
        <f>SFP!AU4/(SFP!AU28+SFP!AU29+SFP!AU34+SFP!AU37+SFP!AU38)</f>
        <v>0.39184587919919184</v>
      </c>
      <c r="AW48" s="307">
        <f>SFP!AV4/(SFP!AV28+SFP!AV29+SFP!AV34+SFP!AV37+SFP!AV38)</f>
        <v>0.4380937819279706</v>
      </c>
      <c r="AX48" s="307">
        <f>SFP!AW4/(SFP!AW28+SFP!AW29+SFP!AW34+SFP!AW37+SFP!AW38)</f>
        <v>0.47256452319795006</v>
      </c>
      <c r="AY48" s="307">
        <f>SFP!AX4/(SFP!AX28+SFP!AX29+SFP!AX34+SFP!AX37+SFP!AX38)</f>
        <v>0.59927823924129608</v>
      </c>
      <c r="AZ48" s="307">
        <f>SFP!AY4/(SFP!AY28+SFP!AY29+SFP!AY34+SFP!AY37+SFP!AY38)</f>
        <v>0.67883035448756368</v>
      </c>
      <c r="BA48" s="307">
        <f>SFP!AZ4/(SFP!AZ28+SFP!AZ29+SFP!AZ34+SFP!AZ37+SFP!AZ38)</f>
        <v>0.76758377280313117</v>
      </c>
      <c r="BB48" s="307">
        <f>SFP!BA4/(SFP!BA28+SFP!BA29+SFP!BA34+SFP!BA37+SFP!BA38)</f>
        <v>0.70076312665235418</v>
      </c>
      <c r="BC48" s="307">
        <f>SFP!BB4/(SFP!BB28+SFP!BB29+SFP!BB34+SFP!BB37+SFP!BB38)</f>
        <v>0.61858615923607108</v>
      </c>
      <c r="BD48" s="307">
        <f>SFP!BC4/(SFP!BC28+SFP!BC29+SFP!BC34+SFP!BC37+SFP!BC38)</f>
        <v>0.66663639909607098</v>
      </c>
      <c r="BE48" s="307">
        <f>SFP!BD4/(SFP!BD28+SFP!BD29+SFP!BD34+SFP!BD37+SFP!BD38)</f>
        <v>0.62401090864593678</v>
      </c>
      <c r="BF48" s="307">
        <f>SFP!BE4/(SFP!BE28+SFP!BE29+SFP!BE34+SFP!BE37+SFP!BE38)</f>
        <v>0.73697173875652466</v>
      </c>
      <c r="BG48" s="307">
        <f>SFP!BF4/(SFP!BF28+SFP!BF29+SFP!BF34+SFP!BF37+SFP!BF38)</f>
        <v>0.63111944039781542</v>
      </c>
      <c r="BH48" s="307">
        <f>SFP!BG4/(SFP!BG28+SFP!BG29+SFP!BG34+SFP!BG37+SFP!BG38)</f>
        <v>0.62009015037607795</v>
      </c>
      <c r="BI48" s="307">
        <f>SFP!BH4/(SFP!BH28+SFP!BH29+SFP!BH34+SFP!BH37+SFP!BH38)</f>
        <v>0.68082798824966373</v>
      </c>
      <c r="BJ48" s="307">
        <f>SFP!BI4/(SFP!BI28+SFP!BI29+SFP!BI34+SFP!BI37+SFP!BI38)</f>
        <v>0.76169705873860138</v>
      </c>
      <c r="BK48" s="307">
        <f>SFP!BJ4/(SFP!BJ28+SFP!BJ29+SFP!BJ34+SFP!BJ37+SFP!BJ38)</f>
        <v>0.774950353868466</v>
      </c>
      <c r="BL48" s="307">
        <f>SFP!BK4/(SFP!BK28+SFP!BK29+SFP!BK34+SFP!BK37+SFP!BK38)</f>
        <v>0.88450659084559702</v>
      </c>
      <c r="BM48" s="307">
        <f>SFP!BL4/(SFP!BL28+SFP!BL29+SFP!BL34+SFP!BL37+SFP!BL38)</f>
        <v>0.80881188845813623</v>
      </c>
      <c r="BN48" s="307">
        <f>SFP!BM4/(SFP!BM28+SFP!BM29+SFP!BM34+SFP!BM37+SFP!BM38)</f>
        <v>0.92754472217907036</v>
      </c>
      <c r="BO48" s="307">
        <f>SFP!BN4/(SFP!BN28+SFP!BN29+SFP!BN34+SFP!BN37+SFP!BN38)</f>
        <v>0.88638220675186596</v>
      </c>
      <c r="BP48" s="307">
        <f>SFP!BO4/(SFP!BO28+SFP!BO29+SFP!BO34+SFP!BO37+SFP!BO38)</f>
        <v>0.90547660491890825</v>
      </c>
      <c r="BQ48" s="307">
        <f>SFP!BP4/(SFP!BP28+SFP!BP29+SFP!BP34+SFP!BP37+SFP!BP38)</f>
        <v>1.0234308252190674</v>
      </c>
      <c r="BR48" s="307">
        <f>SFP!BQ4/(SFP!BQ28+SFP!BQ29+SFP!BQ34+SFP!BQ37+SFP!BQ38)</f>
        <v>0.89190250030013762</v>
      </c>
      <c r="BS48" s="307">
        <f>SFP!BR4/(SFP!BR28+SFP!BR29+SFP!BR34+SFP!BR37+SFP!BR38)</f>
        <v>0.87904329241091983</v>
      </c>
      <c r="BT48" s="307">
        <f>SFP!BS4/(SFP!BS28+SFP!BS29+SFP!BS34+SFP!BS37+SFP!BS38)</f>
        <v>0.92741774128534737</v>
      </c>
      <c r="BU48" s="307">
        <f>SFP!BT4/(SFP!BT28+SFP!BT29+SFP!BT34+SFP!BT37+SFP!BT38)</f>
        <v>0.93066907116665765</v>
      </c>
      <c r="BV48" s="307">
        <f>SFP!BU4/(SFP!BU28+SFP!BU29+SFP!BU34+SFP!BU37+SFP!BU38)</f>
        <v>0.89816280670850546</v>
      </c>
      <c r="BW48" s="307">
        <f>SFP!BV4/(SFP!BV28+SFP!BV29+SFP!BV34+SFP!BV37+SFP!BV38)</f>
        <v>0.90165802781653315</v>
      </c>
      <c r="BX48" s="307">
        <f>SFP!BW4/(SFP!BW28+SFP!BW29+SFP!BW34+SFP!BW37+SFP!BW38)</f>
        <v>0.82201102378367252</v>
      </c>
      <c r="BY48" s="307">
        <f>SFP!BX4/(SFP!BX28+SFP!BX29+SFP!BX34+SFP!BX37+SFP!BX38)</f>
        <v>0.79915138196461366</v>
      </c>
      <c r="BZ48" s="307">
        <f>SFP!BY4/(SFP!BY28+SFP!BY29+SFP!BY34+SFP!BY37+SFP!BY38)</f>
        <v>0.79537450146154998</v>
      </c>
      <c r="CA48" s="307">
        <f>SFP!BZ4/(SFP!BZ28+SFP!BZ29+SFP!BZ34+SFP!BZ37+SFP!BZ38)</f>
        <v>0.90911522742224748</v>
      </c>
      <c r="CB48" s="307">
        <f>SFP!CA4/(SFP!CA28+SFP!CA29+SFP!CA34+SFP!CA37+SFP!CA38)</f>
        <v>0.81381477382086154</v>
      </c>
      <c r="CC48" s="307">
        <f>SFP!CB4/(SFP!CB28+SFP!CB29+SFP!CB34+SFP!CB37+SFP!CB38)</f>
        <v>0.8143183729351462</v>
      </c>
      <c r="CD48" s="307">
        <f>SFP!CC4/(SFP!CC28+SFP!CC29+SFP!CC34+SFP!CC37+SFP!CC38)</f>
        <v>0.7912708206079071</v>
      </c>
      <c r="CE48" s="307">
        <f>SFP!CD4/(SFP!CD28+SFP!CD29+SFP!CD34+SFP!CD37+SFP!CD38)</f>
        <v>0.79111738617942418</v>
      </c>
      <c r="CF48" s="307">
        <f>SFP!CE4/(SFP!CE28+SFP!CE29+SFP!CE34+SFP!CE37+SFP!CE38)</f>
        <v>0.81183559955909024</v>
      </c>
      <c r="CG48" s="307">
        <f>SFP!CF4/(SFP!CF28+SFP!CF29+SFP!CF34+SFP!CF37+SFP!CF38)</f>
        <v>0.79687234724877976</v>
      </c>
      <c r="CH48" s="307">
        <f>SFP!CG4/(SFP!CG28+SFP!CG29+SFP!CG34+SFP!CG37+SFP!CG38)</f>
        <v>0.77195707729558394</v>
      </c>
      <c r="CI48" s="307">
        <f>SFP!CH4/(SFP!CH28+SFP!CH29+SFP!CH34+SFP!CH37+SFP!CH38)</f>
        <v>0.77163515020884332</v>
      </c>
      <c r="CJ48" s="307">
        <f>SFP!CI4/(SFP!CI28+SFP!CI29+SFP!CI34+SFP!CI37+SFP!CI38)</f>
        <v>0.76821571883855133</v>
      </c>
      <c r="CK48" s="307">
        <f>SFP!CJ4/(SFP!CJ28+SFP!CJ29+SFP!CJ34+SFP!CJ37+SFP!CJ38)</f>
        <v>0.74127471476421691</v>
      </c>
      <c r="CL48" s="307">
        <f>SFP!CK4/(SFP!CK28+SFP!CK29+SFP!CK34+SFP!CK37+SFP!CK38)</f>
        <v>0.75371389223247265</v>
      </c>
      <c r="CM48" s="307">
        <f>SFP!CL4/(SFP!CL28+SFP!CL29+SFP!CL34+SFP!CL37+SFP!CL38)</f>
        <v>0.82637769696727525</v>
      </c>
      <c r="CN48" s="307">
        <f>SFP!CN4/(SFP!CN28+SFP!CN29+SFP!CN34+SFP!CN37+SFP!CN38)</f>
        <v>0.9036451985740237</v>
      </c>
      <c r="CO48" s="307">
        <f>SFP!CO4/(SFP!CO28+SFP!CO29+SFP!CO34+SFP!CO37+SFP!CO38)</f>
        <v>0.8591900273202201</v>
      </c>
      <c r="CP48" s="307">
        <f>SFP!CP4/(SFP!CP28+SFP!CP29+SFP!CP34+SFP!CP37+SFP!CP38)</f>
        <v>0.87968807145670902</v>
      </c>
      <c r="CQ48" s="307" t="e">
        <f>SFP!CQ4/(SFP!CQ28+SFP!CQ29+SFP!CQ34+SFP!CQ37+SFP!CQ38)</f>
        <v>#DIV/0!</v>
      </c>
      <c r="CR48" s="307" t="e">
        <f>SFP!CR4/(SFP!CR28+SFP!CR29+SFP!CR34+SFP!CR37+SFP!CR38)</f>
        <v>#DIV/0!</v>
      </c>
      <c r="CS48" s="307" t="e">
        <f>SFP!CS4/(SFP!CS28+SFP!CS29+SFP!CS34+SFP!CS37+SFP!CS38)</f>
        <v>#DIV/0!</v>
      </c>
      <c r="CT48" s="307" t="e">
        <f>SFP!CT4/(SFP!CT28+SFP!CT29+SFP!CT34+SFP!CT37+SFP!CT38)</f>
        <v>#DIV/0!</v>
      </c>
      <c r="CU48" s="307" t="e">
        <f>SFP!CU4/(SFP!CU28+SFP!CU29+SFP!CU34+SFP!CU37+SFP!CU38)</f>
        <v>#DIV/0!</v>
      </c>
      <c r="CV48" s="307" t="e">
        <f>SFP!CV4/(SFP!CV28+SFP!CV29+SFP!CV34+SFP!CV37+SFP!CV38)</f>
        <v>#DIV/0!</v>
      </c>
      <c r="CW48" s="307" t="e">
        <f>SFP!CW4/(SFP!CW28+SFP!CW29+SFP!CW34+SFP!CW37+SFP!CW38)</f>
        <v>#DIV/0!</v>
      </c>
      <c r="CX48" s="307" t="e">
        <f>SFP!CX4/(SFP!CX28+SFP!CX29+SFP!CX34+SFP!CX37+SFP!CX38)</f>
        <v>#DIV/0!</v>
      </c>
      <c r="CY48" s="307" t="e">
        <f>SFP!CY4/(SFP!CY28+SFP!CY29+SFP!CY34+SFP!CY37+SFP!CY38)</f>
        <v>#DIV/0!</v>
      </c>
      <c r="CZ48" s="307" t="e">
        <f>SFP!CZ4/(SFP!CZ28+SFP!CZ29+SFP!CZ34+SFP!CZ37+SFP!CZ38)</f>
        <v>#DIV/0!</v>
      </c>
      <c r="DA48" s="307" t="e">
        <f>SFP!DA4/(SFP!DA28+SFP!DA29+SFP!DA34+SFP!DA37+SFP!DA38)</f>
        <v>#DIV/0!</v>
      </c>
      <c r="DB48" s="307" t="e">
        <f>SFP!DB4/(SFP!DB28+SFP!DB29+SFP!DB34+SFP!DB37+SFP!DB38)</f>
        <v>#DIV/0!</v>
      </c>
      <c r="DC48" s="307" t="e">
        <f>SFP!DC4/(SFP!DC28+SFP!DC29+SFP!DC34+SFP!DC37+SFP!DC38)</f>
        <v>#DIV/0!</v>
      </c>
      <c r="DD48" s="307" t="e">
        <f>SFP!DD4/(SFP!DD28+SFP!DD29+SFP!DD34+SFP!DD37+SFP!DD38)</f>
        <v>#DIV/0!</v>
      </c>
      <c r="DE48" s="307" t="e">
        <f>SFP!DE4/(SFP!DE28+SFP!DE29+SFP!DE34+SFP!DE37+SFP!DE38)</f>
        <v>#DIV/0!</v>
      </c>
      <c r="DF48" s="307" t="e">
        <f>SFP!DF4/(SFP!DF28+SFP!DF29+SFP!DF34+SFP!DF37+SFP!DF38)</f>
        <v>#DIV/0!</v>
      </c>
      <c r="DG48" s="307" t="e">
        <f>SFP!DG4/(SFP!DG28+SFP!DG29+SFP!DG34+SFP!DG37+SFP!DG38)</f>
        <v>#DIV/0!</v>
      </c>
      <c r="DH48" s="307" t="e">
        <f>SFP!DH4/(SFP!DH28+SFP!DH29+SFP!DH34+SFP!DH37+SFP!DH38)</f>
        <v>#DIV/0!</v>
      </c>
      <c r="DI48" s="307" t="e">
        <f>SFP!DI4/(SFP!DI28+SFP!DI29+SFP!DI34+SFP!DI37+SFP!DI38)</f>
        <v>#DIV/0!</v>
      </c>
      <c r="DJ48" s="307" t="e">
        <f>SFP!DJ4/(SFP!DJ28+SFP!DJ29+SFP!DJ34+SFP!DJ37+SFP!DJ38)</f>
        <v>#DIV/0!</v>
      </c>
      <c r="DK48" s="307" t="e">
        <f>SFP!DK4/(SFP!DK28+SFP!DK29+SFP!DK34+SFP!DK37+SFP!DK38)</f>
        <v>#DIV/0!</v>
      </c>
      <c r="DL48" s="307" t="e">
        <f>SFP!DL4/(SFP!DL28+SFP!DL29+SFP!DL34+SFP!DL37+SFP!DL38)</f>
        <v>#DIV/0!</v>
      </c>
      <c r="DM48" s="307" t="e">
        <f>SFP!DM4/(SFP!DM28+SFP!DM29+SFP!DM34+SFP!DM37+SFP!DM38)</f>
        <v>#DIV/0!</v>
      </c>
      <c r="DN48" s="307" t="e">
        <f>SFP!DN4/(SFP!DN28+SFP!DN29+SFP!DN34+SFP!DN37+SFP!DN38)</f>
        <v>#DIV/0!</v>
      </c>
      <c r="DO48" s="307" t="e">
        <f>SFP!DO4/(SFP!DO28+SFP!DO29+SFP!DO34+SFP!DO37+SFP!DO38)</f>
        <v>#DIV/0!</v>
      </c>
      <c r="DP48" s="307" t="e">
        <f>SFP!DP4/(SFP!DP28+SFP!DP29+SFP!DP34+SFP!DP37+SFP!DP38)</f>
        <v>#DIV/0!</v>
      </c>
      <c r="DQ48" s="307" t="e">
        <f>SFP!DQ4/(SFP!DQ28+SFP!DQ29+SFP!DQ34+SFP!DQ37+SFP!DQ38)</f>
        <v>#DIV/0!</v>
      </c>
      <c r="DR48" s="307" t="e">
        <f>SFP!DR4/(SFP!DR28+SFP!DR29+SFP!DR34+SFP!DR37+SFP!DR38)</f>
        <v>#DIV/0!</v>
      </c>
      <c r="DS48" s="307" t="e">
        <f>SFP!DS4/(SFP!DS28+SFP!DS29+SFP!DS34+SFP!DS37+SFP!DS38)</f>
        <v>#DIV/0!</v>
      </c>
      <c r="DT48" s="307" t="e">
        <f>SFP!DT4/(SFP!DT28+SFP!DT29+SFP!DT34+SFP!DT37+SFP!DT38)</f>
        <v>#DIV/0!</v>
      </c>
      <c r="DU48" s="307" t="e">
        <f>SFP!DU4/(SFP!DU28+SFP!DU29+SFP!DU34+SFP!DU37+SFP!DU38)</f>
        <v>#DIV/0!</v>
      </c>
      <c r="DV48" s="307" t="e">
        <f>SFP!DV4/(SFP!DV28+SFP!DV29+SFP!DV34+SFP!DV37+SFP!DV38)</f>
        <v>#DIV/0!</v>
      </c>
    </row>
    <row r="49" spans="1:126">
      <c r="A49" s="302" t="s">
        <v>199</v>
      </c>
      <c r="B49" s="178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306"/>
      <c r="AI49" s="306"/>
      <c r="AJ49" s="306"/>
      <c r="AK49" s="306"/>
      <c r="AL49" s="306"/>
      <c r="AM49" s="306"/>
      <c r="AN49" s="306"/>
      <c r="AO49" s="306"/>
      <c r="AP49" s="306"/>
      <c r="AQ49" s="306"/>
      <c r="AR49" s="306"/>
      <c r="AS49" s="306"/>
      <c r="AT49" s="306"/>
      <c r="AU49" s="306"/>
      <c r="AV49" s="306"/>
      <c r="AW49" s="306"/>
      <c r="AX49" s="306"/>
      <c r="AY49" s="306"/>
      <c r="AZ49" s="306"/>
      <c r="BA49" s="306"/>
      <c r="BB49" s="306"/>
      <c r="BC49" s="306"/>
      <c r="BD49" s="306"/>
      <c r="BE49" s="306"/>
      <c r="BF49" s="306"/>
      <c r="BG49" s="306"/>
      <c r="BH49" s="306"/>
      <c r="BI49" s="306"/>
      <c r="BJ49" s="306"/>
      <c r="BK49" s="306"/>
      <c r="BL49" s="306"/>
      <c r="BM49" s="306"/>
      <c r="BN49" s="306"/>
      <c r="BO49" s="306"/>
      <c r="BP49" s="306"/>
      <c r="BQ49" s="306"/>
      <c r="BR49" s="306"/>
      <c r="BS49" s="306"/>
      <c r="BT49" s="306"/>
      <c r="BU49" s="306"/>
      <c r="BV49" s="306"/>
      <c r="BW49" s="306"/>
      <c r="BX49" s="306"/>
      <c r="BY49" s="306"/>
      <c r="BZ49" s="306"/>
      <c r="CA49" s="306"/>
      <c r="CB49" s="306"/>
      <c r="CC49" s="306"/>
      <c r="CD49" s="306"/>
      <c r="CE49" s="306"/>
      <c r="CF49" s="306"/>
      <c r="CG49" s="306"/>
      <c r="CH49" s="306"/>
      <c r="CI49" s="306"/>
      <c r="CJ49" s="306"/>
      <c r="CK49" s="306"/>
      <c r="CL49" s="306"/>
      <c r="CM49" s="306"/>
      <c r="CN49" s="306"/>
      <c r="CO49" s="306"/>
      <c r="CP49" s="306"/>
      <c r="CQ49" s="306"/>
      <c r="CR49" s="306"/>
      <c r="CS49" s="306"/>
      <c r="CT49" s="306"/>
      <c r="CU49" s="306"/>
      <c r="CV49" s="306"/>
      <c r="CW49" s="306"/>
      <c r="CX49" s="306"/>
      <c r="CY49" s="306"/>
      <c r="CZ49" s="306"/>
      <c r="DA49" s="306"/>
      <c r="DB49" s="306"/>
      <c r="DC49" s="306"/>
      <c r="DD49" s="306"/>
      <c r="DE49" s="306"/>
      <c r="DF49" s="306"/>
      <c r="DG49" s="306"/>
      <c r="DH49" s="306"/>
      <c r="DI49" s="306"/>
      <c r="DJ49" s="306"/>
      <c r="DK49" s="306"/>
      <c r="DL49" s="306"/>
      <c r="DM49" s="306"/>
      <c r="DN49" s="306"/>
      <c r="DO49" s="306"/>
      <c r="DP49" s="306"/>
      <c r="DQ49" s="306"/>
      <c r="DR49" s="306"/>
      <c r="DS49" s="306"/>
      <c r="DT49" s="306"/>
      <c r="DU49" s="306"/>
      <c r="DV49" s="306"/>
    </row>
    <row r="50" spans="1:126">
      <c r="A50" s="288" t="s">
        <v>200</v>
      </c>
      <c r="B50" s="224">
        <v>1</v>
      </c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7"/>
      <c r="AX50" s="297"/>
      <c r="AY50" s="297"/>
      <c r="AZ50" s="297"/>
      <c r="BA50" s="297"/>
      <c r="BB50" s="297"/>
      <c r="BC50" s="297"/>
      <c r="BD50" s="297"/>
      <c r="BE50" s="297"/>
      <c r="BF50" s="297"/>
      <c r="BG50" s="297"/>
      <c r="BH50" s="297"/>
      <c r="BI50" s="297"/>
      <c r="BJ50" s="297"/>
      <c r="BK50" s="297"/>
      <c r="BL50" s="297"/>
      <c r="BM50" s="297"/>
      <c r="BN50" s="297"/>
      <c r="BO50" s="297"/>
      <c r="BP50" s="297"/>
      <c r="BQ50" s="297"/>
      <c r="BR50" s="297"/>
      <c r="BS50" s="297"/>
      <c r="BT50" s="297"/>
      <c r="BU50" s="297"/>
      <c r="BV50" s="297"/>
      <c r="BW50" s="297"/>
      <c r="BX50" s="297"/>
      <c r="BY50" s="297"/>
      <c r="BZ50" s="297"/>
      <c r="CA50" s="297"/>
      <c r="CB50" s="297"/>
      <c r="CC50" s="297"/>
      <c r="CD50" s="297"/>
      <c r="CE50" s="297"/>
      <c r="CF50" s="297"/>
      <c r="CG50" s="297"/>
      <c r="CH50" s="297"/>
      <c r="CI50" s="297"/>
      <c r="CJ50" s="297"/>
      <c r="CK50" s="297"/>
      <c r="CL50" s="297"/>
      <c r="CM50" s="297"/>
      <c r="CN50" s="297"/>
      <c r="CO50" s="297"/>
      <c r="CP50" s="297"/>
      <c r="CQ50" s="297"/>
      <c r="CR50" s="297"/>
      <c r="CS50" s="297"/>
      <c r="CT50" s="297"/>
      <c r="CU50" s="297"/>
      <c r="CV50" s="297"/>
      <c r="CW50" s="297"/>
      <c r="CX50" s="297"/>
      <c r="CY50" s="297"/>
      <c r="CZ50" s="297"/>
      <c r="DA50" s="297"/>
      <c r="DB50" s="297"/>
      <c r="DC50" s="297"/>
      <c r="DD50" s="297"/>
      <c r="DE50" s="297"/>
      <c r="DF50" s="297"/>
      <c r="DG50" s="297"/>
      <c r="DH50" s="297"/>
      <c r="DI50" s="297"/>
      <c r="DJ50" s="297"/>
      <c r="DK50" s="297"/>
      <c r="DL50" s="297"/>
      <c r="DM50" s="297"/>
      <c r="DN50" s="297"/>
      <c r="DO50" s="297"/>
      <c r="DP50" s="297"/>
      <c r="DQ50" s="297"/>
      <c r="DR50" s="297"/>
      <c r="DS50" s="297"/>
      <c r="DT50" s="297"/>
      <c r="DU50" s="297"/>
      <c r="DV50" s="297"/>
    </row>
    <row r="51" spans="1:126">
      <c r="A51" s="308"/>
      <c r="B51" s="178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309"/>
      <c r="AI51" s="309"/>
      <c r="AJ51" s="309"/>
      <c r="AK51" s="309"/>
      <c r="AL51" s="309"/>
      <c r="AM51" s="309"/>
      <c r="AN51" s="309"/>
      <c r="AO51" s="309"/>
      <c r="AP51" s="309"/>
      <c r="AQ51" s="309"/>
      <c r="AR51" s="309"/>
      <c r="AS51" s="309"/>
      <c r="AT51" s="309"/>
      <c r="AU51" s="309"/>
      <c r="AV51" s="309"/>
      <c r="AW51" s="309"/>
      <c r="AX51" s="309"/>
      <c r="AY51" s="309"/>
      <c r="AZ51" s="309"/>
      <c r="BA51" s="309"/>
      <c r="BB51" s="309"/>
      <c r="BC51" s="309"/>
      <c r="BD51" s="309"/>
      <c r="BE51" s="309"/>
      <c r="BF51" s="309"/>
      <c r="BG51" s="309"/>
      <c r="BH51" s="309"/>
      <c r="BI51" s="309"/>
      <c r="BJ51" s="309"/>
      <c r="BK51" s="309"/>
      <c r="BL51" s="309"/>
      <c r="BM51" s="309"/>
      <c r="BN51" s="309"/>
      <c r="BO51" s="309"/>
      <c r="BP51" s="309"/>
      <c r="BQ51" s="309"/>
      <c r="BR51" s="309"/>
      <c r="BS51" s="309"/>
      <c r="BT51" s="309"/>
      <c r="BU51" s="309"/>
      <c r="BV51" s="309"/>
      <c r="BW51" s="309"/>
      <c r="BX51" s="309"/>
      <c r="BY51" s="309"/>
      <c r="BZ51" s="309"/>
      <c r="CA51" s="309"/>
      <c r="CB51" s="309"/>
      <c r="CC51" s="309"/>
      <c r="CD51" s="309"/>
      <c r="CE51" s="309"/>
      <c r="CF51" s="309"/>
      <c r="CG51" s="309"/>
      <c r="CH51" s="309"/>
      <c r="CI51" s="309"/>
      <c r="CJ51" s="309"/>
      <c r="CK51" s="309"/>
      <c r="CL51" s="309"/>
      <c r="CM51" s="309"/>
      <c r="CN51" s="309"/>
      <c r="CO51" s="309"/>
      <c r="CP51" s="309"/>
      <c r="CQ51" s="309"/>
      <c r="CR51" s="309"/>
      <c r="CS51" s="309"/>
      <c r="CT51" s="309"/>
      <c r="CU51" s="309"/>
      <c r="CV51" s="309"/>
      <c r="CW51" s="309"/>
      <c r="CX51" s="309"/>
      <c r="CY51" s="309"/>
      <c r="CZ51" s="309"/>
      <c r="DA51" s="309"/>
      <c r="DB51" s="309"/>
      <c r="DC51" s="309"/>
      <c r="DD51" s="309"/>
      <c r="DE51" s="309"/>
      <c r="DF51" s="309"/>
      <c r="DG51" s="309"/>
      <c r="DH51" s="309"/>
      <c r="DI51" s="309"/>
      <c r="DJ51" s="309"/>
      <c r="DK51" s="309"/>
      <c r="DL51" s="309"/>
      <c r="DM51" s="309"/>
      <c r="DN51" s="309"/>
      <c r="DO51" s="309"/>
      <c r="DP51" s="309"/>
      <c r="DQ51" s="309"/>
      <c r="DR51" s="309"/>
      <c r="DS51" s="309"/>
      <c r="DT51" s="309"/>
      <c r="DU51" s="309"/>
      <c r="DV51" s="309"/>
    </row>
    <row r="52" spans="1:126">
      <c r="A52" s="310" t="s">
        <v>201</v>
      </c>
      <c r="B52" s="178"/>
      <c r="C52" s="177">
        <f>SCI!B5/SFP!B13</f>
        <v>0.17520447845644413</v>
      </c>
      <c r="D52" s="177">
        <f>SCI!C5/SFP!C13</f>
        <v>0.17320769793355684</v>
      </c>
      <c r="E52" s="177">
        <f>SCI!D5/SFP!D13</f>
        <v>0.18020606225583677</v>
      </c>
      <c r="F52" s="177">
        <f>SCI!E5/SFP!E13</f>
        <v>0.17624138181789165</v>
      </c>
      <c r="G52" s="177">
        <f>SCI!F5/SFP!F13</f>
        <v>0.15989370810709552</v>
      </c>
      <c r="H52" s="177">
        <f>SCI!G5/SFP!G13</f>
        <v>0.15631408048924586</v>
      </c>
      <c r="I52" s="177">
        <f>SCI!H5/SFP!H13</f>
        <v>1.3995026387960274E-2</v>
      </c>
      <c r="J52" s="177">
        <f>SCI!I5/SFP!I13</f>
        <v>2.7527328425166822E-2</v>
      </c>
      <c r="K52" s="177">
        <f>SCI!J5/SFP!J13</f>
        <v>4.1922707677665622E-2</v>
      </c>
      <c r="L52" s="177">
        <f>SCI!K5/SFP!K13</f>
        <v>5.6291858087639209E-2</v>
      </c>
      <c r="M52" s="177">
        <f>SCI!L5/SFP!L13</f>
        <v>7.0708474930445062E-2</v>
      </c>
      <c r="N52" s="177">
        <f>SCI!M5/SFP!M13</f>
        <v>8.3989114471278423E-2</v>
      </c>
      <c r="O52" s="177">
        <f>SCI!N5/SFP!N13</f>
        <v>9.7360010363891983E-2</v>
      </c>
      <c r="P52" s="177">
        <f>SCI!O5/SFP!O13</f>
        <v>0.10864432839550252</v>
      </c>
      <c r="Q52" s="177">
        <f>SCI!P5/SFP!P13</f>
        <v>0.12503240457602816</v>
      </c>
      <c r="R52" s="177">
        <f>SCI!Q5/SFP!Q13</f>
        <v>0.13752758597602063</v>
      </c>
      <c r="S52" s="177">
        <f>SCI!R5/SFP!R13</f>
        <v>0.14800534006622196</v>
      </c>
      <c r="T52" s="177">
        <f>SCI!S5/SFP!S13</f>
        <v>0.16146056009015849</v>
      </c>
      <c r="U52" s="177">
        <f>SCI!T5/SFP!T13</f>
        <v>0.16146056015717597</v>
      </c>
      <c r="V52" s="177">
        <f>SCI!U5/SFP!U13</f>
        <v>1.4465160127055657E-2</v>
      </c>
      <c r="W52" s="177">
        <f>SCI!V5/SFP!V13</f>
        <v>2.7766862641681756E-2</v>
      </c>
      <c r="X52" s="177">
        <f>SCI!W5/SFP!W13</f>
        <v>4.2672094290102068E-2</v>
      </c>
      <c r="Y52" s="177">
        <f>SCI!X5/SFP!X13</f>
        <v>5.7294041086936823E-2</v>
      </c>
      <c r="Z52" s="177">
        <f>SCI!Y5/SFP!Y13</f>
        <v>7.2376612439788365E-2</v>
      </c>
      <c r="AA52" s="177">
        <f>SCI!Z5/SFP!Z13</f>
        <v>8.6131285499847388E-2</v>
      </c>
      <c r="AB52" s="177">
        <f>SCI!AA5/SFP!AA13</f>
        <v>0.10009632654117573</v>
      </c>
      <c r="AC52" s="177">
        <f>SCI!AB5/SFP!AB13</f>
        <v>0.11303848515721386</v>
      </c>
      <c r="AD52" s="177">
        <f>SCI!AC5/SFP!AC13</f>
        <v>0.12707534100525325</v>
      </c>
      <c r="AE52" s="177">
        <f>SCI!AD5/SFP!AD13</f>
        <v>0.14161008041149856</v>
      </c>
      <c r="AF52" s="177">
        <f>SCI!AE5/SFP!AE13</f>
        <v>0.15548450808746661</v>
      </c>
      <c r="AG52" s="177">
        <f>SCI!AF5/SFP!AF13</f>
        <v>0.17050545637940032</v>
      </c>
      <c r="AH52" s="309">
        <f>SCI!AG5/SFP!AG13</f>
        <v>0.17050545630027361</v>
      </c>
      <c r="AI52" s="309">
        <f>SCI!AH5/SFP!AH13</f>
        <v>1.4800478361085655E-2</v>
      </c>
      <c r="AJ52" s="309">
        <f>SCI!AI5/SFP!AI13</f>
        <v>2.9298965138898722E-2</v>
      </c>
      <c r="AK52" s="309">
        <f>SCI!AJ5/SFP!AJ13</f>
        <v>4.4452645101456786E-2</v>
      </c>
      <c r="AL52" s="309">
        <f>SCI!AK5/SFP!AK13</f>
        <v>6.0126633276058487E-2</v>
      </c>
      <c r="AM52" s="309">
        <f>SCI!AL5/SFP!AL13</f>
        <v>7.5131834760797087E-2</v>
      </c>
      <c r="AN52" s="309">
        <f>SCI!AM5/SFP!AM13</f>
        <v>9.0149734934378875E-2</v>
      </c>
      <c r="AO52" s="309">
        <f>SCI!AN5/SFP!AN13</f>
        <v>0.1061589999426351</v>
      </c>
      <c r="AP52" s="309">
        <f>SCI!AO5/SFP!AO13</f>
        <v>0.12076540508056086</v>
      </c>
      <c r="AQ52" s="309">
        <f>SCI!AP5/SFP!AP13</f>
        <v>0.13546103337561055</v>
      </c>
      <c r="AR52" s="309">
        <f>SCI!AQ5/SFP!AQ13</f>
        <v>0.15091292153225735</v>
      </c>
      <c r="AS52" s="309">
        <f>SCI!AR5/SFP!AR13</f>
        <v>0.16361868888047323</v>
      </c>
      <c r="AT52" s="309">
        <f>SCI!AS5/SFP!AS13</f>
        <v>0.17285635221287859</v>
      </c>
      <c r="AU52" s="309">
        <f>SCI!AT5/SFP!AT13</f>
        <v>0.1747967603101892</v>
      </c>
      <c r="AV52" s="309">
        <f>SCI!AU5/SFP!AU13</f>
        <v>1.4461990922225798E-2</v>
      </c>
      <c r="AW52" s="309">
        <f>SCI!AV5/SFP!AV13</f>
        <v>2.906812670786146E-2</v>
      </c>
      <c r="AX52" s="309">
        <f>SCI!AW5/SFP!AW13</f>
        <v>4.4261061907596336E-2</v>
      </c>
      <c r="AY52" s="309">
        <f>SCI!AX5/SFP!AX13</f>
        <v>5.8952464598356055E-2</v>
      </c>
      <c r="AZ52" s="309">
        <f>SCI!AY5/SFP!AY13</f>
        <v>7.4046259033795581E-2</v>
      </c>
      <c r="BA52" s="309">
        <f>SCI!AZ5/SFP!AZ13</f>
        <v>8.7372731623588273E-2</v>
      </c>
      <c r="BB52" s="309">
        <f>SCI!BA5/SFP!BA13</f>
        <v>0.10114862313395954</v>
      </c>
      <c r="BC52" s="309">
        <f>SCI!BB5/SFP!BB13</f>
        <v>0.11304529271056254</v>
      </c>
      <c r="BD52" s="309">
        <f>SCI!BC5/SFP!BC13</f>
        <v>0.12586663871490278</v>
      </c>
      <c r="BE52" s="309">
        <f>SCI!BD5/SFP!BD13</f>
        <v>0.1392930457050838</v>
      </c>
      <c r="BF52" s="309">
        <f>SCI!BE5/SFP!BE13</f>
        <v>0.15311492416797182</v>
      </c>
      <c r="BG52" s="309">
        <f>SCI!BF5/SFP!BF13</f>
        <v>0.16537109810458653</v>
      </c>
      <c r="BH52" s="309">
        <f>SCI!BG5/SFP!BG13</f>
        <v>0.16576938023058571</v>
      </c>
      <c r="BI52" s="309">
        <f>SCI!BH5/SFP!BH13</f>
        <v>1.3900875052098475E-2</v>
      </c>
      <c r="BJ52" s="309">
        <f>SCI!BI5/SFP!BI13</f>
        <v>2.7624897701217569E-2</v>
      </c>
      <c r="BK52" s="309">
        <f>SCI!BJ5/SFP!BJ13</f>
        <v>4.2095597730258477E-2</v>
      </c>
      <c r="BL52" s="309">
        <f>SCI!BK5/SFP!BK13</f>
        <v>5.6325326714836477E-2</v>
      </c>
      <c r="BM52" s="309">
        <f>SCI!BL5/SFP!BL13</f>
        <v>7.0592620897989067E-2</v>
      </c>
      <c r="BN52" s="309">
        <f>SCI!BM5/SFP!BM13</f>
        <v>8.4420690999915463E-2</v>
      </c>
      <c r="BO52" s="309">
        <f>SCI!BN5/SFP!BN13</f>
        <v>9.9490270917979601E-2</v>
      </c>
      <c r="BP52" s="309">
        <f>SCI!BO5/SFP!BO13</f>
        <v>0.11235804950463708</v>
      </c>
      <c r="BQ52" s="309">
        <f>SCI!BP5/SFP!BP13</f>
        <v>0.124867142282188</v>
      </c>
      <c r="BR52" s="309">
        <f>SCI!BQ5/SFP!BQ13</f>
        <v>0.13568973132176537</v>
      </c>
      <c r="BS52" s="309">
        <f>SCI!BR5/SFP!BR13</f>
        <v>0.1466017954161653</v>
      </c>
      <c r="BT52" s="309">
        <f>SCI!BS5/SFP!BS13</f>
        <v>0.15568511805640384</v>
      </c>
      <c r="BU52" s="309">
        <f>SCI!BT5/SFP!BT13</f>
        <v>0.15456910430161258</v>
      </c>
      <c r="BV52" s="309">
        <f>SCI!BU5/SFP!BU13</f>
        <v>1.3112679748608897E-2</v>
      </c>
      <c r="BW52" s="309">
        <f>SCI!BV5/SFP!BV13</f>
        <v>2.6616213623653389E-2</v>
      </c>
      <c r="BX52" s="309">
        <f>SCI!BW5/SFP!BW13</f>
        <v>3.9255928705184934E-2</v>
      </c>
      <c r="BY52" s="309">
        <f>SCI!BX5/SFP!BX13</f>
        <v>5.2035834586964778E-2</v>
      </c>
      <c r="BZ52" s="309">
        <f>SCI!BY5/SFP!BY13</f>
        <v>6.4648821286681285E-2</v>
      </c>
      <c r="CA52" s="309">
        <f>SCI!BZ5/SFP!BZ13</f>
        <v>7.70573078613601E-2</v>
      </c>
      <c r="CB52" s="309">
        <f>SCI!CA5/SFP!CA13</f>
        <v>8.9617731532331768E-2</v>
      </c>
      <c r="CC52" s="309">
        <f>SCI!CB5/SFP!CB13</f>
        <v>0.1018450046311474</v>
      </c>
      <c r="CD52" s="309">
        <f>SCI!CC5/SFP!CC13</f>
        <v>0.11418595527086416</v>
      </c>
      <c r="CE52" s="309">
        <f>SCI!CD5/SFP!CD13</f>
        <v>0.12631328889034157</v>
      </c>
      <c r="CF52" s="309">
        <f>SCI!CE5/SFP!CE13</f>
        <v>0.13856281533125805</v>
      </c>
      <c r="CG52" s="309">
        <f>SCI!CF5/SFP!CF13</f>
        <v>0.16056337856074862</v>
      </c>
      <c r="CH52" s="309">
        <f>SCI!CG5/SFP!CG13</f>
        <v>0.14767615966243278</v>
      </c>
      <c r="CI52" s="309">
        <f>SCI!CH5/SFP!CH13</f>
        <v>1.3350322476058571E-2</v>
      </c>
      <c r="CJ52" s="309">
        <f>SCI!CI5/SFP!CI13</f>
        <v>2.6641066740325944E-2</v>
      </c>
      <c r="CK52" s="309">
        <f>SCI!CJ5/SFP!CJ13</f>
        <v>3.9735583429211095E-2</v>
      </c>
      <c r="CL52" s="309">
        <f>SCI!CK5/SFP!CK13</f>
        <v>5.2537139631001255E-2</v>
      </c>
      <c r="CM52" s="309">
        <f>SCI!CL5/SFP!CL13</f>
        <v>6.591975216919517E-2</v>
      </c>
      <c r="CN52" s="309">
        <f>SCI!CM5/SFP!CN13</f>
        <v>7.76587409613331E-2</v>
      </c>
      <c r="CO52" s="309">
        <f>SCI!CN5/SFP!CO13</f>
        <v>8.9125027807125071E-2</v>
      </c>
      <c r="CP52" s="309">
        <f>SCI!CO5/SFP!CP13</f>
        <v>0.10147468931460422</v>
      </c>
      <c r="CQ52" s="309" t="e">
        <f>SCI!CP5/SFP!CQ13</f>
        <v>#DIV/0!</v>
      </c>
      <c r="CR52" s="309" t="e">
        <f>SCI!CQ5/SFP!CR13</f>
        <v>#DIV/0!</v>
      </c>
      <c r="CS52" s="309" t="e">
        <f>SCI!CR5/SFP!CS13</f>
        <v>#DIV/0!</v>
      </c>
      <c r="CT52" s="309" t="e">
        <f>SCI!CS5/SFP!CT13</f>
        <v>#DIV/0!</v>
      </c>
      <c r="CU52" s="309" t="e">
        <f>SCI!CT5/SFP!CU13</f>
        <v>#DIV/0!</v>
      </c>
      <c r="CV52" s="309" t="e">
        <f>SCI!CU5/SFP!CV13</f>
        <v>#DIV/0!</v>
      </c>
      <c r="CW52" s="309" t="e">
        <f>SCI!CV5/SFP!CW13</f>
        <v>#DIV/0!</v>
      </c>
      <c r="CX52" s="309" t="e">
        <f>SCI!CW5/SFP!CX13</f>
        <v>#DIV/0!</v>
      </c>
      <c r="CY52" s="309" t="e">
        <f>SCI!CX5/SFP!CY13</f>
        <v>#DIV/0!</v>
      </c>
      <c r="CZ52" s="309" t="e">
        <f>SCI!CY5/SFP!CZ13</f>
        <v>#DIV/0!</v>
      </c>
      <c r="DA52" s="309" t="e">
        <f>SCI!CZ5/SFP!DA13</f>
        <v>#DIV/0!</v>
      </c>
      <c r="DB52" s="309" t="e">
        <f>SCI!DA5/SFP!DB13</f>
        <v>#DIV/0!</v>
      </c>
      <c r="DC52" s="309" t="e">
        <f>SCI!DB5/SFP!DC13</f>
        <v>#DIV/0!</v>
      </c>
      <c r="DD52" s="309" t="e">
        <f>SCI!DC5/SFP!DD13</f>
        <v>#DIV/0!</v>
      </c>
      <c r="DE52" s="309" t="e">
        <f>SCI!DD5/SFP!DE13</f>
        <v>#DIV/0!</v>
      </c>
      <c r="DF52" s="309" t="e">
        <f>SCI!DE5/SFP!DF13</f>
        <v>#DIV/0!</v>
      </c>
      <c r="DG52" s="309" t="e">
        <f>SCI!DF5/SFP!DG13</f>
        <v>#DIV/0!</v>
      </c>
      <c r="DH52" s="309" t="e">
        <f>SCI!DG5/SFP!DH13</f>
        <v>#DIV/0!</v>
      </c>
      <c r="DI52" s="309" t="e">
        <f>SCI!DH5/SFP!DI13</f>
        <v>#DIV/0!</v>
      </c>
      <c r="DJ52" s="309" t="e">
        <f>SCI!DI5/SFP!DJ13</f>
        <v>#DIV/0!</v>
      </c>
      <c r="DK52" s="309" t="e">
        <f>SCI!DJ5/SFP!DK13</f>
        <v>#DIV/0!</v>
      </c>
      <c r="DL52" s="309" t="e">
        <f>SCI!DK5/SFP!DL13</f>
        <v>#DIV/0!</v>
      </c>
      <c r="DM52" s="309" t="e">
        <f>SCI!DL5/SFP!DM13</f>
        <v>#DIV/0!</v>
      </c>
      <c r="DN52" s="309" t="e">
        <f>SCI!DM5/SFP!DN13</f>
        <v>#DIV/0!</v>
      </c>
      <c r="DO52" s="309" t="e">
        <f>SCI!DN5/SFP!DO13</f>
        <v>#DIV/0!</v>
      </c>
      <c r="DP52" s="309" t="e">
        <f>SCI!DO5/SFP!DP13</f>
        <v>#DIV/0!</v>
      </c>
      <c r="DQ52" s="309" t="e">
        <f>SCI!DP5/SFP!DQ13</f>
        <v>#DIV/0!</v>
      </c>
      <c r="DR52" s="309" t="e">
        <f>SCI!DQ5/SFP!DR13</f>
        <v>#DIV/0!</v>
      </c>
      <c r="DS52" s="309" t="e">
        <f>SCI!DR5/SFP!DS13</f>
        <v>#DIV/0!</v>
      </c>
      <c r="DT52" s="309" t="e">
        <f>SCI!DS5/SFP!DT13</f>
        <v>#DIV/0!</v>
      </c>
      <c r="DU52" s="309" t="e">
        <f>SCI!DT5/SFP!DU13</f>
        <v>#DIV/0!</v>
      </c>
      <c r="DV52" s="309" t="e">
        <f>SCI!DU5/SFP!DV13</f>
        <v>#DIV/0!</v>
      </c>
    </row>
    <row r="53" spans="1:126" s="150" customFormat="1">
      <c r="A53" s="310" t="s">
        <v>202</v>
      </c>
      <c r="B53" s="176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311"/>
      <c r="AI53" s="311"/>
      <c r="AJ53" s="311"/>
      <c r="AK53" s="311"/>
      <c r="AL53" s="311"/>
      <c r="AM53" s="311"/>
      <c r="AN53" s="311"/>
      <c r="AO53" s="311"/>
      <c r="AP53" s="311"/>
      <c r="AQ53" s="311"/>
      <c r="AR53" s="311"/>
      <c r="AS53" s="311"/>
      <c r="AT53" s="311"/>
      <c r="AU53" s="311"/>
      <c r="AV53" s="311"/>
      <c r="AW53" s="311"/>
      <c r="AX53" s="311"/>
      <c r="AY53" s="311"/>
      <c r="AZ53" s="311"/>
      <c r="BA53" s="311"/>
      <c r="BB53" s="311"/>
      <c r="BC53" s="311"/>
      <c r="BD53" s="311"/>
      <c r="BE53" s="311"/>
      <c r="BF53" s="311"/>
      <c r="BG53" s="311"/>
      <c r="BH53" s="311"/>
      <c r="BI53" s="311"/>
      <c r="BJ53" s="311"/>
      <c r="BK53" s="311"/>
      <c r="BL53" s="311"/>
      <c r="BM53" s="311"/>
      <c r="BN53" s="311"/>
      <c r="BO53" s="311"/>
      <c r="BP53" s="311"/>
      <c r="BQ53" s="311"/>
      <c r="BR53" s="311"/>
      <c r="BS53" s="311"/>
      <c r="BT53" s="311"/>
      <c r="BU53" s="311"/>
      <c r="BV53" s="311"/>
      <c r="BW53" s="311"/>
      <c r="BX53" s="311"/>
      <c r="BY53" s="311"/>
      <c r="BZ53" s="311"/>
      <c r="CA53" s="311"/>
      <c r="CB53" s="311"/>
      <c r="CC53" s="311"/>
      <c r="CD53" s="311"/>
      <c r="CE53" s="311"/>
      <c r="CF53" s="311"/>
      <c r="CG53" s="311"/>
      <c r="CH53" s="311"/>
      <c r="CI53" s="311"/>
      <c r="CJ53" s="311"/>
      <c r="CK53" s="311"/>
      <c r="CL53" s="311"/>
      <c r="CM53" s="311"/>
      <c r="CN53" s="311"/>
      <c r="CO53" s="311"/>
      <c r="CP53" s="311"/>
      <c r="CQ53" s="311"/>
      <c r="CR53" s="311"/>
      <c r="CS53" s="311"/>
      <c r="CT53" s="311"/>
      <c r="CU53" s="311"/>
      <c r="CV53" s="311"/>
      <c r="CW53" s="311"/>
      <c r="CX53" s="311"/>
      <c r="CY53" s="311"/>
      <c r="CZ53" s="311"/>
      <c r="DA53" s="311"/>
      <c r="DB53" s="311"/>
      <c r="DC53" s="311"/>
      <c r="DD53" s="311"/>
      <c r="DE53" s="311"/>
      <c r="DF53" s="311"/>
      <c r="DG53" s="311"/>
      <c r="DH53" s="311"/>
      <c r="DI53" s="311"/>
      <c r="DJ53" s="311"/>
      <c r="DK53" s="311"/>
      <c r="DL53" s="311"/>
      <c r="DM53" s="311"/>
      <c r="DN53" s="311"/>
      <c r="DO53" s="311"/>
      <c r="DP53" s="311"/>
      <c r="DQ53" s="311"/>
      <c r="DR53" s="311"/>
      <c r="DS53" s="311"/>
      <c r="DT53" s="311"/>
      <c r="DU53" s="311"/>
      <c r="DV53" s="311"/>
    </row>
    <row r="54" spans="1:126">
      <c r="A54" s="308" t="s">
        <v>203</v>
      </c>
      <c r="B54" s="178"/>
      <c r="C54" s="179" t="e">
        <f>SCI!B33/(SFP!B26+SFP!A26/2)</f>
        <v>#VALUE!</v>
      </c>
      <c r="D54" s="179">
        <f>SCI!C33/(SFP!C26+SFP!B26/2)</f>
        <v>9.7870414283700042E-3</v>
      </c>
      <c r="E54" s="179">
        <f>SCI!D33/(SFP!D26+SFP!C26/2)</f>
        <v>1.4654614896578853E-2</v>
      </c>
      <c r="F54" s="179">
        <f>SCI!E33/(SFP!E26+SFP!D26/2)</f>
        <v>1.9719036883629876E-2</v>
      </c>
      <c r="G54" s="179">
        <f>SCI!F33/(SFP!F26+SFP!E26/2)</f>
        <v>1.149004700918918E-2</v>
      </c>
      <c r="H54" s="179">
        <f>SCI!G33/(SFP!G26+SFP!F26/2)</f>
        <v>1.0062483351829009E-2</v>
      </c>
      <c r="I54" s="179">
        <f>SCI!H33/(SFP!H26+SFP!G26/2)</f>
        <v>4.7879381611168632E-3</v>
      </c>
      <c r="J54" s="179">
        <f>SCI!I33/(SFP!I26+SFP!H26/2)</f>
        <v>-4.5950499232461084E-3</v>
      </c>
      <c r="K54" s="179">
        <f>SCI!J33/(SFP!J26+SFP!I26/2)</f>
        <v>-4.3666175431343116E-3</v>
      </c>
      <c r="L54" s="179">
        <f>SCI!K33/(SFP!K26+SFP!J26/2)</f>
        <v>-5.1801016472975041E-3</v>
      </c>
      <c r="M54" s="179">
        <f>SCI!L33/(SFP!L26+SFP!K26/2)</f>
        <v>-5.1940898410668505E-3</v>
      </c>
      <c r="N54" s="179">
        <f>SCI!M33/(SFP!M26+SFP!L26/2)</f>
        <v>-3.9282244067922346E-3</v>
      </c>
      <c r="O54" s="179">
        <f>SCI!N33/(SFP!N26+SFP!M26/2)</f>
        <v>-3.2257270211915497E-3</v>
      </c>
      <c r="P54" s="179">
        <f>SCI!O33/(SFP!O26+SFP!N26/2)</f>
        <v>-6.3032913910524675E-4</v>
      </c>
      <c r="Q54" s="179">
        <f>SCI!P33/(SFP!P26+SFP!O26/2)</f>
        <v>1.1027306828082113E-3</v>
      </c>
      <c r="R54" s="179">
        <f>SCI!Q33/(SFP!Q26+SFP!P26/2)</f>
        <v>1.8772807611566831E-3</v>
      </c>
      <c r="S54" s="179">
        <f>SCI!R33/(SFP!R26+SFP!Q26/2)</f>
        <v>1.5855175008506685E-3</v>
      </c>
      <c r="T54" s="179">
        <f>SCI!S33/(SFP!S26+SFP!R26/2)</f>
        <v>4.3934779810017388E-3</v>
      </c>
      <c r="U54" s="179">
        <f>SCI!T33/(SFP!T26+SFP!S26/2)</f>
        <v>1.3350356696316946E-2</v>
      </c>
      <c r="V54" s="179">
        <f>SCI!U33/(SFP!U26+SFP!T26/2)</f>
        <v>5.6273416332300067E-3</v>
      </c>
      <c r="W54" s="179">
        <f>SCI!V33/(SFP!V26+SFP!U26/2)</f>
        <v>-3.4778066539600623E-3</v>
      </c>
      <c r="X54" s="179">
        <f>SCI!W33/(SFP!W26+SFP!V26/2)</f>
        <v>-5.0508628814855318E-3</v>
      </c>
      <c r="Y54" s="179">
        <f>SCI!X33/(SFP!X26+SFP!W26/2)</f>
        <v>-5.2709880349591093E-3</v>
      </c>
      <c r="Z54" s="179">
        <f>SCI!Y33/(SFP!Y26+SFP!X26/2)</f>
        <v>-3.3761227447101695E-3</v>
      </c>
      <c r="AA54" s="179">
        <f>SCI!Z33/(SFP!Z26+SFP!Y26/2)</f>
        <v>-2.2849143875204722E-3</v>
      </c>
      <c r="AB54" s="179">
        <f>SCI!AA33/(SFP!AA26+SFP!Z26/2)</f>
        <v>-1.6135759118926659E-3</v>
      </c>
      <c r="AC54" s="179">
        <f>SCI!AB33/(SFP!AB26+SFP!AA26/2)</f>
        <v>2.6931490588867862E-4</v>
      </c>
      <c r="AD54" s="179">
        <f>SCI!AC33/(SFP!AC26+SFP!AB26/2)</f>
        <v>1.4119259073608079E-3</v>
      </c>
      <c r="AE54" s="179">
        <f>SCI!AD33/(SFP!AD26+SFP!AC26/2)</f>
        <v>2.391604228044724E-3</v>
      </c>
      <c r="AF54" s="179">
        <f>SCI!AE33/(SFP!AE26+SFP!AD26/2)</f>
        <v>3.7125671048500023E-3</v>
      </c>
      <c r="AG54" s="179">
        <f>SCI!AF33/(SFP!AF26+SFP!AE26/2)</f>
        <v>9.9760548722007663E-3</v>
      </c>
      <c r="AH54" s="312">
        <f>SCI!AG33/(SFP!AG26+SFP!AF26/2)</f>
        <v>1.4588958421380114E-2</v>
      </c>
      <c r="AI54" s="312">
        <f>SCI!AH33/(SFP!AH26+SFP!AG26/2)</f>
        <v>2.0493254584915286E-4</v>
      </c>
      <c r="AJ54" s="312">
        <f>SCI!AI33/(SFP!AI26+SFP!AH26/2)</f>
        <v>-1.2107431394645868E-3</v>
      </c>
      <c r="AK54" s="312">
        <f>SCI!AJ33/(SFP!AJ26+SFP!AI26/2)</f>
        <v>-3.0639459305620057E-3</v>
      </c>
      <c r="AL54" s="312">
        <f>SCI!AK33/(SFP!AK26+SFP!AJ26/2)</f>
        <v>-3.2330903917753757E-3</v>
      </c>
      <c r="AM54" s="312">
        <f>SCI!AL33/(SFP!AL26+SFP!AK26/2)</f>
        <v>-3.6103035186389669E-3</v>
      </c>
      <c r="AN54" s="312">
        <f>SCI!AM33/(SFP!AM26+SFP!AL26/2)</f>
        <v>-2.4965222300028381E-3</v>
      </c>
      <c r="AO54" s="312">
        <f>SCI!AN33/(SFP!AN26+SFP!AM26/2)</f>
        <v>-2.1698517244180112E-3</v>
      </c>
      <c r="AP54" s="312">
        <f>SCI!AO33/(SFP!AO26+SFP!AN26/2)</f>
        <v>-1.9031006453197708E-4</v>
      </c>
      <c r="AQ54" s="312">
        <f>SCI!AP33/(SFP!AP26+SFP!AO26/2)</f>
        <v>-1.5889554663353305E-4</v>
      </c>
      <c r="AR54" s="312">
        <f>SCI!AQ33/(SFP!AQ26+SFP!AP26/2)</f>
        <v>-5.4853700914293043E-4</v>
      </c>
      <c r="AS54" s="312">
        <f>SCI!AR33/(SFP!AR26+SFP!AQ26/2)</f>
        <v>4.2287289208144043E-4</v>
      </c>
      <c r="AT54" s="312">
        <f>SCI!AS33/(SFP!AS26+SFP!AR26/2)</f>
        <v>1.3656530756460489E-4</v>
      </c>
      <c r="AU54" s="312">
        <f>SCI!AT33/(SFP!AT26+SFP!AS26/2)</f>
        <v>1.4378890049553809E-2</v>
      </c>
      <c r="AV54" s="312">
        <f>SCI!AU33/(SFP!AU26+SFP!AT26/2)</f>
        <v>-2.4675756842450962E-4</v>
      </c>
      <c r="AW54" s="312">
        <f>SCI!AV33/(SFP!AV26+SFP!AU26/2)</f>
        <v>-3.1042166150280903E-4</v>
      </c>
      <c r="AX54" s="312">
        <f>SCI!AW33/(SFP!AW26+SFP!AV26/2)</f>
        <v>-2.484619406154642E-3</v>
      </c>
      <c r="AY54" s="312">
        <f>SCI!AX33/(SFP!AX26+SFP!AW26/2)</f>
        <v>-5.0682590655114169E-4</v>
      </c>
      <c r="AZ54" s="312">
        <f>SCI!AY33/(SFP!AY26+SFP!AX26/2)</f>
        <v>-6.370592219070733E-5</v>
      </c>
      <c r="BA54" s="312">
        <f>SCI!AZ33/(SFP!AZ26+SFP!AY26/2)</f>
        <v>-5.6459102772931909E-4</v>
      </c>
      <c r="BB54" s="312">
        <f>SCI!BA33/(SFP!BA26+SFP!AZ26/2)</f>
        <v>3.8620961400532417E-4</v>
      </c>
      <c r="BC54" s="312">
        <f>SCI!BB33/(SFP!BB26+SFP!BA26/2)</f>
        <v>1.5530463353755513E-3</v>
      </c>
      <c r="BD54" s="312">
        <f>SCI!BC33/(SFP!BC26+SFP!BB26/2)</f>
        <v>2.8741418332120369E-3</v>
      </c>
      <c r="BE54" s="312">
        <f>SCI!BD33/(SFP!BD26+SFP!BC26/2)</f>
        <v>4.7878690136255184E-3</v>
      </c>
      <c r="BF54" s="312">
        <f>SCI!BE33/(SFP!BE26+SFP!BD26/2)</f>
        <v>5.9908365727041873E-3</v>
      </c>
      <c r="BG54" s="312">
        <f>SCI!BF33/(SFP!BF26+SFP!BE26/2)</f>
        <v>7.0232424557770739E-3</v>
      </c>
      <c r="BH54" s="312">
        <f>SCI!BG33/(SFP!BG26+SFP!BF26/2)</f>
        <v>1.1472717176086089E-2</v>
      </c>
      <c r="BI54" s="312">
        <f>SCI!BH33/(SFP!BH26+SFP!BG26/2)</f>
        <v>5.7691689395949911E-4</v>
      </c>
      <c r="BJ54" s="312">
        <f>SCI!BI33/(SFP!BI26+SFP!BH26/2)</f>
        <v>3.4272161861373835E-4</v>
      </c>
      <c r="BK54" s="312">
        <f>SCI!BJ33/(SFP!BJ26+SFP!BI26/2)</f>
        <v>-8.7172774139555919E-4</v>
      </c>
      <c r="BL54" s="312">
        <f>SCI!BK33/(SFP!BK26+SFP!BJ26/2)</f>
        <v>-7.2295688068518024E-4</v>
      </c>
      <c r="BM54" s="312">
        <f>SCI!BL33/(SFP!BL26+SFP!BK26/2)</f>
        <v>2.1670599931296617E-3</v>
      </c>
      <c r="BN54" s="312">
        <f>SCI!BM33/(SFP!BM26+SFP!BL26/2)</f>
        <v>1.9964310520450505E-3</v>
      </c>
      <c r="BO54" s="312">
        <f>SCI!BN33/(SFP!BN26+SFP!BM26/2)</f>
        <v>3.8955099836075744E-3</v>
      </c>
      <c r="BP54" s="312">
        <f>SCI!BO33/(SFP!BO26+SFP!BN26/2)</f>
        <v>3.7756733209382727E-3</v>
      </c>
      <c r="BQ54" s="312">
        <f>SCI!BP33/(SFP!BP26+SFP!BO26/2)</f>
        <v>4.0596695649765908E-3</v>
      </c>
      <c r="BR54" s="312">
        <f>SCI!BQ33/(SFP!BQ26+SFP!BP26/2)</f>
        <v>4.8199522562605316E-3</v>
      </c>
      <c r="BS54" s="312">
        <f>SCI!BR33/(SFP!BR26+SFP!BQ26/2)</f>
        <v>5.1833868195554416E-3</v>
      </c>
      <c r="BT54" s="312">
        <f>SCI!BS33/(SFP!BS26+SFP!BR26/2)</f>
        <v>7.063835424450199E-3</v>
      </c>
      <c r="BU54" s="312">
        <f>SCI!BT33/(SFP!BT26+SFP!BS26/2)</f>
        <v>1.0842727316801538E-2</v>
      </c>
      <c r="BV54" s="312">
        <f>SCI!BU33/(SFP!BU26+SFP!BT26/2)</f>
        <v>-1.5656096423980988E-3</v>
      </c>
      <c r="BW54" s="312">
        <f>SCI!BV33/(SFP!BV26+SFP!BU26/2)</f>
        <v>-1.3006114861834957E-3</v>
      </c>
      <c r="BX54" s="312">
        <f>SCI!BW33/(SFP!BW26+SFP!BV26/2)</f>
        <v>-1.6181902799348054E-3</v>
      </c>
      <c r="BY54" s="312">
        <f>SCI!BX33/(SFP!BX26+SFP!BW26/2)</f>
        <v>-2.9343036416031002E-3</v>
      </c>
      <c r="BZ54" s="312">
        <f>SCI!BY33/(SFP!BY26+SFP!BX26/2)</f>
        <v>-3.721290560869272E-3</v>
      </c>
      <c r="CA54" s="312">
        <f>SCI!BZ33/(SFP!BZ26+SFP!BY26/2)</f>
        <v>-2.7666204612404807E-3</v>
      </c>
      <c r="CB54" s="312">
        <f>SCI!CA33/(SFP!CA26+SFP!BZ26/2)</f>
        <v>-2.908340245228421E-3</v>
      </c>
      <c r="CC54" s="312">
        <f>SCI!CB33/(SFP!CB26+SFP!CA26/2)</f>
        <v>-1.8915607542873689E-3</v>
      </c>
      <c r="CD54" s="312">
        <f>SCI!CC33/(SFP!CC26+SFP!CB26/2)</f>
        <v>-1.0398319185292275E-3</v>
      </c>
      <c r="CE54" s="312">
        <f>SCI!CD33/(SFP!CD26+SFP!CC26/2)</f>
        <v>1.7136845176055025E-4</v>
      </c>
      <c r="CF54" s="312">
        <f>SCI!CE33/(SFP!CE26+SFP!CD26/2)</f>
        <v>9.851753738194162E-4</v>
      </c>
      <c r="CG54" s="312">
        <f>SCI!CF33/(SFP!CF26+SFP!CE26/2)</f>
        <v>7.5841112033549892E-3</v>
      </c>
      <c r="CH54" s="312">
        <f>SCI!CG33/(SFP!CG26+SFP!CF26/2)</f>
        <v>1.1359896315419353E-2</v>
      </c>
      <c r="CI54" s="312">
        <f>SCI!CH33/(SFP!CH26+SFP!CG26/2)</f>
        <v>-3.2417130055398952E-4</v>
      </c>
      <c r="CJ54" s="312">
        <f>SCI!CI33/(SFP!CI26+SFP!CH26/2)</f>
        <v>-2.0926731098857205E-3</v>
      </c>
      <c r="CK54" s="312">
        <f>SCI!CJ33/(SFP!CJ26+SFP!CI26/2)</f>
        <v>-1.1761883185666634E-3</v>
      </c>
      <c r="CL54" s="312">
        <f>SCI!CK33/(SFP!CK26+SFP!CJ26/2)</f>
        <v>-1.456504211312083E-3</v>
      </c>
      <c r="CM54" s="312">
        <f>SCI!CL33/(SFP!CL26+SFP!CK26/2)</f>
        <v>-1.060291754775832E-3</v>
      </c>
      <c r="CN54" s="312">
        <f>SCI!CM33/(SFP!CN26+SFP!CM26/2)</f>
        <v>3.6289581028254729E-4</v>
      </c>
      <c r="CO54" s="312">
        <f>SCI!CN33/(SFP!CO26+SFP!CN26/2)</f>
        <v>9.1008490264409773E-4</v>
      </c>
      <c r="CP54" s="312">
        <f>SCI!CO33/(SFP!CP26+SFP!CO26/2)</f>
        <v>9.7975705741712568E-4</v>
      </c>
      <c r="CQ54" s="312">
        <f>SCI!CP33/(SFP!CQ26+SFP!CP26/2)</f>
        <v>7.4962335330163296E-3</v>
      </c>
      <c r="CR54" s="312" t="e">
        <f>SCI!CQ33/(SFP!CR26+SFP!CQ26/2)</f>
        <v>#DIV/0!</v>
      </c>
      <c r="CS54" s="312" t="e">
        <f>SCI!CR33/(SFP!CS26+SFP!CR26/2)</f>
        <v>#DIV/0!</v>
      </c>
      <c r="CT54" s="312" t="e">
        <f>SCI!CS33/(SFP!CT26+SFP!CS26/2)</f>
        <v>#DIV/0!</v>
      </c>
      <c r="CU54" s="312" t="e">
        <f>SCI!CT33/(SFP!CU26+SFP!CT26/2)</f>
        <v>#DIV/0!</v>
      </c>
      <c r="CV54" s="312" t="e">
        <f>SCI!CU33/(SFP!CV26+SFP!CU26/2)</f>
        <v>#DIV/0!</v>
      </c>
      <c r="CW54" s="312" t="e">
        <f>SCI!CV33/(SFP!CW26+SFP!CV26/2)</f>
        <v>#DIV/0!</v>
      </c>
      <c r="CX54" s="312" t="e">
        <f>SCI!CW33/(SFP!CX26+SFP!CW26/2)</f>
        <v>#DIV/0!</v>
      </c>
      <c r="CY54" s="312" t="e">
        <f>SCI!CX33/(SFP!CY26+SFP!CX26/2)</f>
        <v>#DIV/0!</v>
      </c>
      <c r="CZ54" s="312" t="e">
        <f>SCI!CY33/(SFP!CZ26+SFP!CY26/2)</f>
        <v>#DIV/0!</v>
      </c>
      <c r="DA54" s="312" t="e">
        <f>SCI!CZ33/(SFP!DA26+SFP!CZ26/2)</f>
        <v>#DIV/0!</v>
      </c>
      <c r="DB54" s="312" t="e">
        <f>SCI!DA33/(SFP!DB26+SFP!DA26/2)</f>
        <v>#DIV/0!</v>
      </c>
      <c r="DC54" s="312" t="e">
        <f>SCI!DB33/(SFP!DC26+SFP!DB26/2)</f>
        <v>#DIV/0!</v>
      </c>
      <c r="DD54" s="312" t="e">
        <f>SCI!DC33/(SFP!DD26+SFP!DC26/2)</f>
        <v>#DIV/0!</v>
      </c>
      <c r="DE54" s="312" t="e">
        <f>SCI!DD33/(SFP!DE26+SFP!DD26/2)</f>
        <v>#DIV/0!</v>
      </c>
      <c r="DF54" s="312" t="e">
        <f>SCI!DE33/(SFP!DF26+SFP!DE26/2)</f>
        <v>#DIV/0!</v>
      </c>
      <c r="DG54" s="312" t="e">
        <f>SCI!DF33/(SFP!DG26+SFP!DF26/2)</f>
        <v>#DIV/0!</v>
      </c>
      <c r="DH54" s="312" t="e">
        <f>SCI!DG33/(SFP!DH26+SFP!DG26/2)</f>
        <v>#DIV/0!</v>
      </c>
      <c r="DI54" s="312" t="e">
        <f>SCI!DH33/(SFP!DI26+SFP!DH26/2)</f>
        <v>#DIV/0!</v>
      </c>
      <c r="DJ54" s="312" t="e">
        <f>SCI!DI33/(SFP!DJ26+SFP!DI26/2)</f>
        <v>#DIV/0!</v>
      </c>
      <c r="DK54" s="312" t="e">
        <f>SCI!DJ33/(SFP!DK26+SFP!DJ26/2)</f>
        <v>#DIV/0!</v>
      </c>
      <c r="DL54" s="312" t="e">
        <f>SCI!DK33/(SFP!DL26+SFP!DK26/2)</f>
        <v>#DIV/0!</v>
      </c>
      <c r="DM54" s="312" t="e">
        <f>SCI!DL33/(SFP!DM26+SFP!DL26/2)</f>
        <v>#DIV/0!</v>
      </c>
      <c r="DN54" s="312" t="e">
        <f>SCI!DM33/(SFP!DN26+SFP!DM26/2)</f>
        <v>#DIV/0!</v>
      </c>
      <c r="DO54" s="312" t="e">
        <f>SCI!DN33/(SFP!DO26+SFP!DN26/2)</f>
        <v>#DIV/0!</v>
      </c>
      <c r="DP54" s="312" t="e">
        <f>SCI!DO33/(SFP!DP26+SFP!DO26/2)</f>
        <v>#DIV/0!</v>
      </c>
      <c r="DQ54" s="312" t="e">
        <f>SCI!DP33/(SFP!DQ26+SFP!DP26/2)</f>
        <v>#DIV/0!</v>
      </c>
      <c r="DR54" s="312" t="e">
        <f>SCI!DQ33/(SFP!DR26+SFP!DQ26/2)</f>
        <v>#DIV/0!</v>
      </c>
      <c r="DS54" s="312" t="e">
        <f>SCI!DR33/(SFP!DS26+SFP!DR26/2)</f>
        <v>#DIV/0!</v>
      </c>
      <c r="DT54" s="312" t="e">
        <f>SCI!DS33/(SFP!DT26+SFP!DS26/2)</f>
        <v>#DIV/0!</v>
      </c>
      <c r="DU54" s="312" t="e">
        <f>SCI!DT33/(SFP!DU26+SFP!DT26/2)</f>
        <v>#DIV/0!</v>
      </c>
      <c r="DV54" s="312" t="e">
        <f>SCI!DU33/(SFP!DV26+SFP!DU26/2)</f>
        <v>#DIV/0!</v>
      </c>
    </row>
    <row r="55" spans="1:126">
      <c r="A55" s="308" t="s">
        <v>204</v>
      </c>
      <c r="B55" s="178"/>
      <c r="C55" s="180">
        <f>SCI!B23/SCI!B19</f>
        <v>4.8597782258064512</v>
      </c>
      <c r="D55" s="180">
        <f>SCI!C23/SCI!C19</f>
        <v>0.72029681039574722</v>
      </c>
      <c r="E55" s="180">
        <f>SCI!D23/SCI!D19</f>
        <v>0.60105216547885121</v>
      </c>
      <c r="F55" s="180">
        <f>SCI!E23/SCI!E19</f>
        <v>0.60178640089730706</v>
      </c>
      <c r="G55" s="180">
        <f>SCI!F23/SCI!F19</f>
        <v>0.74236942143884244</v>
      </c>
      <c r="H55" s="180">
        <f>SCI!G23/SCI!G19</f>
        <v>0.78085062022590557</v>
      </c>
      <c r="I55" s="180">
        <f>SCI!H23/SCI!H19</f>
        <v>0.37289223051223924</v>
      </c>
      <c r="J55" s="180">
        <f>SCI!I23/SCI!I19</f>
        <v>1.9973958807544836</v>
      </c>
      <c r="K55" s="180">
        <f>SCI!J23/SCI!J19</f>
        <v>1.4315242900874394</v>
      </c>
      <c r="L55" s="180">
        <f>SCI!K23/SCI!K19</f>
        <v>1.3227829840354426</v>
      </c>
      <c r="M55" s="180">
        <f>SCI!L23/SCI!L19</f>
        <v>1.1977732060362993</v>
      </c>
      <c r="N55" s="180">
        <f>SCI!M23/SCI!M19</f>
        <v>1.0531382549518753</v>
      </c>
      <c r="O55" s="180">
        <f>SCI!N23/SCI!N19</f>
        <v>0.98628924784805283</v>
      </c>
      <c r="P55" s="180">
        <f>SCI!O23/SCI!O19</f>
        <v>0.85742478180152071</v>
      </c>
      <c r="Q55" s="180">
        <f>SCI!P23/SCI!P19</f>
        <v>0.80133854997634746</v>
      </c>
      <c r="R55" s="180">
        <f>SCI!Q23/SCI!Q19</f>
        <v>0.78214586427823118</v>
      </c>
      <c r="S55" s="180">
        <f>SCI!R23/SCI!R19</f>
        <v>0.79088623129334246</v>
      </c>
      <c r="T55" s="180">
        <f>SCI!S23/SCI!S19</f>
        <v>0.73158261908990241</v>
      </c>
      <c r="U55" s="180">
        <f>SCI!T23/SCI!T19</f>
        <v>0.6199802000657707</v>
      </c>
      <c r="V55" s="180">
        <f>SCI!U23/SCI!U19</f>
        <v>0.37476692744226925</v>
      </c>
      <c r="W55" s="180">
        <f>SCI!V23/SCI!V19</f>
        <v>1.9963572815293267</v>
      </c>
      <c r="X55" s="180">
        <f>SCI!W23/SCI!W19</f>
        <v>1.5319683162150828</v>
      </c>
      <c r="Y55" s="180">
        <f>SCI!X23/SCI!X19</f>
        <v>1.3202594281055622</v>
      </c>
      <c r="Z55" s="180">
        <f>SCI!Y23/SCI!Y19</f>
        <v>1.0504875440570436</v>
      </c>
      <c r="AA55" s="180">
        <f>SCI!Z23/SCI!Z19</f>
        <v>0.95845663201311759</v>
      </c>
      <c r="AB55" s="180">
        <f>SCI!AA23/SCI!AA19</f>
        <v>0.91414187708124917</v>
      </c>
      <c r="AC55" s="180">
        <f>SCI!AB23/SCI!AB19</f>
        <v>0.84330219009627172</v>
      </c>
      <c r="AD55" s="180">
        <f>SCI!AC23/SCI!AC19</f>
        <v>0.81301304467884594</v>
      </c>
      <c r="AE55" s="180">
        <f>SCI!AD23/SCI!AD19</f>
        <v>0.7917521177156317</v>
      </c>
      <c r="AF55" s="180">
        <f>SCI!AE23/SCI!AE19</f>
        <v>0.77245189069632481</v>
      </c>
      <c r="AG55" s="180">
        <f>SCI!AF23/SCI!AF19</f>
        <v>0.63257263923474571</v>
      </c>
      <c r="AH55" s="313">
        <f>SCI!AG23/SCI!AG19</f>
        <v>0.55328184443801665</v>
      </c>
      <c r="AI55" s="313">
        <f>SCI!AH23/SCI!AH19</f>
        <v>0.72366941864305645</v>
      </c>
      <c r="AJ55" s="313">
        <f>SCI!AI23/SCI!AI19</f>
        <v>0.92816776729589834</v>
      </c>
      <c r="AK55" s="313">
        <f>SCI!AJ23/SCI!AJ19</f>
        <v>1.0552407027706487</v>
      </c>
      <c r="AL55" s="313">
        <f>SCI!AK23/SCI!AK19</f>
        <v>0.98972486703885387</v>
      </c>
      <c r="AM55" s="313">
        <f>SCI!AL23/SCI!AL19</f>
        <v>0.9632943663874286</v>
      </c>
      <c r="AN55" s="313">
        <f>SCI!AM23/SCI!AM19</f>
        <v>0.88527033071031291</v>
      </c>
      <c r="AO55" s="313">
        <f>SCI!AN23/SCI!AN19</f>
        <v>0.85868361295671303</v>
      </c>
      <c r="AP55" s="313">
        <f>SCI!AO23/SCI!AO19</f>
        <v>0.79204831476849957</v>
      </c>
      <c r="AQ55" s="313">
        <f>SCI!AP23/SCI!AP19</f>
        <v>0.79132877079913932</v>
      </c>
      <c r="AR55" s="313">
        <f>SCI!AQ23/SCI!AQ19</f>
        <v>0.79991773913326814</v>
      </c>
      <c r="AS55" s="313">
        <f>SCI!AR23/SCI!AR19</f>
        <v>0.77897263122613825</v>
      </c>
      <c r="AT55" s="313">
        <f>SCI!AS23/SCI!AS19</f>
        <v>0.79162727015438172</v>
      </c>
      <c r="AU55" s="313">
        <f>SCI!AT23/SCI!AT19</f>
        <v>0.51380095145728089</v>
      </c>
      <c r="AV55" s="313">
        <f>SCI!AU23/SCI!AU19</f>
        <v>0.84742909287968959</v>
      </c>
      <c r="AW55" s="313">
        <f>SCI!AV23/SCI!AV19</f>
        <v>0.85354585499642743</v>
      </c>
      <c r="AX55" s="313">
        <f>SCI!AW23/SCI!AW19</f>
        <v>0.99796333371939294</v>
      </c>
      <c r="AY55" s="313">
        <f>SCI!AX23/SCI!AX19</f>
        <v>0.81913577176073726</v>
      </c>
      <c r="AZ55" s="313">
        <f>SCI!AY23/SCI!AY19</f>
        <v>0.77986584179332397</v>
      </c>
      <c r="BA55" s="313">
        <f>SCI!AZ23/SCI!AZ19</f>
        <v>0.79764372626182911</v>
      </c>
      <c r="BB55" s="313">
        <f>SCI!BA23/SCI!BA19</f>
        <v>0.7526708643896054</v>
      </c>
      <c r="BC55" s="313">
        <f>SCI!BB23/SCI!BB19</f>
        <v>0.71816089950526418</v>
      </c>
      <c r="BD55" s="313">
        <f>SCI!BC23/SCI!BC19</f>
        <v>0.6891935201135968</v>
      </c>
      <c r="BE55" s="313">
        <f>SCI!BD23/SCI!BD19</f>
        <v>0.64857889364306343</v>
      </c>
      <c r="BF55" s="313">
        <f>SCI!BE23/SCI!BE19</f>
        <v>0.63216639923166773</v>
      </c>
      <c r="BG55" s="313">
        <f>SCI!BF23/SCI!BF19</f>
        <v>0.62483068515038653</v>
      </c>
      <c r="BH55" s="313">
        <f>SCI!BG23/SCI!BG19</f>
        <v>0.57768988119213172</v>
      </c>
      <c r="BI55" s="313">
        <f>SCI!BH23/SCI!BH19</f>
        <v>0.59837869613721828</v>
      </c>
      <c r="BJ55" s="313">
        <f>SCI!BI23/SCI!BI19</f>
        <v>0.73941676997919648</v>
      </c>
      <c r="BK55" s="313">
        <f>SCI!BJ23/SCI!BJ19</f>
        <v>0.90689698030027199</v>
      </c>
      <c r="BL55" s="313">
        <f>SCI!BK23/SCI!BK19</f>
        <v>0.88340708645316623</v>
      </c>
      <c r="BM55" s="313">
        <f>SCI!BL23/SCI!BL19</f>
        <v>0.71800765886162499</v>
      </c>
      <c r="BN55" s="313">
        <f>SCI!BM23/SCI!BM19</f>
        <v>0.74280131647040815</v>
      </c>
      <c r="BO55" s="313">
        <f>SCI!BN23/SCI!BN19</f>
        <v>0.68663250227621297</v>
      </c>
      <c r="BP55" s="313">
        <f>SCI!BO23/SCI!BO19</f>
        <v>0.69950380652428035</v>
      </c>
      <c r="BQ55" s="313">
        <f>SCI!BP23/SCI!BP19</f>
        <v>0.70589698693413727</v>
      </c>
      <c r="BR55" s="313">
        <f>SCI!BQ23/SCI!BQ19</f>
        <v>0.69748783949439885</v>
      </c>
      <c r="BS55" s="313">
        <f>SCI!BR23/SCI!BR19</f>
        <v>0.69672631439768018</v>
      </c>
      <c r="BT55" s="313">
        <f>SCI!BS23/SCI!BS19</f>
        <v>0.67132896090009564</v>
      </c>
      <c r="BU55" s="313">
        <f>SCI!BT23/SCI!BT19</f>
        <v>0.64322774372910629</v>
      </c>
      <c r="BV55" s="313">
        <f>SCI!BU23/SCI!BU19</f>
        <v>1.7062803825390589</v>
      </c>
      <c r="BW55" s="313">
        <f>SCI!BV23/SCI!BV19</f>
        <v>1.0741815842567837</v>
      </c>
      <c r="BX55" s="313">
        <f>SCI!BW23/SCI!BW19</f>
        <v>1.0296089732639002</v>
      </c>
      <c r="BY55" s="313">
        <f>SCI!BX23/SCI!BX19</f>
        <v>1.1238393532731978</v>
      </c>
      <c r="BZ55" s="313">
        <f>SCI!BY23/SCI!BY19</f>
        <v>1.1242885165920447</v>
      </c>
      <c r="CA55" s="313">
        <f>SCI!BZ23/SCI!BZ19</f>
        <v>0.99823749075226398</v>
      </c>
      <c r="CB55" s="313">
        <f>SCI!CA23/SCI!CA19</f>
        <v>0.98163152520131602</v>
      </c>
      <c r="CC55" s="313">
        <f>SCI!CB23/SCI!CB19</f>
        <v>0.91531041142533576</v>
      </c>
      <c r="CD55" s="313">
        <f>SCI!CC23/SCI!CC19</f>
        <v>0.8732600067420786</v>
      </c>
      <c r="CE55" s="313">
        <f>SCI!CD23/SCI!CD19</f>
        <v>0.84062887189957614</v>
      </c>
      <c r="CF55" s="313">
        <f>SCI!CE23/SCI!CE19</f>
        <v>0.8203717706754885</v>
      </c>
      <c r="CG55" s="313">
        <f>SCI!CF23/SCI!CF19</f>
        <v>0.68148017091048596</v>
      </c>
      <c r="CH55" s="313">
        <f>SCI!CG23/SCI!CG19</f>
        <v>0.63265420888380508</v>
      </c>
      <c r="CI55" s="313">
        <f>SCI!CH23/SCI!CH19</f>
        <v>1.0583764634495263</v>
      </c>
      <c r="CJ55" s="313">
        <f>SCI!CI23/SCI!CI19</f>
        <v>1.4441273871787139</v>
      </c>
      <c r="CK55" s="313">
        <f>SCI!CJ23/SCI!CJ19</f>
        <v>1.0880532306569302</v>
      </c>
      <c r="CL55" s="313">
        <f>SCI!CK23/SCI!CK19</f>
        <v>1.0682201279528736</v>
      </c>
      <c r="CM55" s="313">
        <f>SCI!CL23/SCI!CL19</f>
        <v>1.0203805287290399</v>
      </c>
      <c r="CN55" s="313">
        <f>SCI!CM23/SCI!CM19</f>
        <v>0.91296973277736926</v>
      </c>
      <c r="CO55" s="313">
        <f>SCI!CN23/SCI!CN19</f>
        <v>0.88188145252526529</v>
      </c>
      <c r="CP55" s="313">
        <f>SCI!CO23/SCI!CO19</f>
        <v>0.88197901972799364</v>
      </c>
      <c r="CQ55" s="313">
        <f>SCI!CP23/SCI!CP19</f>
        <v>0.82864381810961385</v>
      </c>
      <c r="CR55" s="313" t="e">
        <f>SCI!CQ23/SCI!CQ19</f>
        <v>#DIV/0!</v>
      </c>
      <c r="CS55" s="313" t="e">
        <f>SCI!CR23/SCI!CR19</f>
        <v>#DIV/0!</v>
      </c>
      <c r="CT55" s="313" t="e">
        <f>SCI!CS23/SCI!CS19</f>
        <v>#DIV/0!</v>
      </c>
      <c r="CU55" s="313" t="e">
        <f>SCI!CT23/SCI!CT19</f>
        <v>#DIV/0!</v>
      </c>
      <c r="CV55" s="313" t="e">
        <f>SCI!CU23/SCI!CU19</f>
        <v>#DIV/0!</v>
      </c>
      <c r="CW55" s="313" t="e">
        <f>SCI!CV23/SCI!CV19</f>
        <v>#DIV/0!</v>
      </c>
      <c r="CX55" s="313" t="e">
        <f>SCI!CW23/SCI!CW19</f>
        <v>#DIV/0!</v>
      </c>
      <c r="CY55" s="313" t="e">
        <f>SCI!CX23/SCI!CX19</f>
        <v>#DIV/0!</v>
      </c>
      <c r="CZ55" s="313" t="e">
        <f>SCI!CY23/SCI!CY19</f>
        <v>#DIV/0!</v>
      </c>
      <c r="DA55" s="313" t="e">
        <f>SCI!CZ23/SCI!CZ19</f>
        <v>#DIV/0!</v>
      </c>
      <c r="DB55" s="313" t="e">
        <f>SCI!DA23/SCI!DA19</f>
        <v>#DIV/0!</v>
      </c>
      <c r="DC55" s="313" t="e">
        <f>SCI!DB23/SCI!DB19</f>
        <v>#DIV/0!</v>
      </c>
      <c r="DD55" s="313" t="e">
        <f>SCI!DC23/SCI!DC19</f>
        <v>#DIV/0!</v>
      </c>
      <c r="DE55" s="313" t="e">
        <f>SCI!DD23/SCI!DD19</f>
        <v>#DIV/0!</v>
      </c>
      <c r="DF55" s="313" t="e">
        <f>SCI!DE23/SCI!DE19</f>
        <v>#DIV/0!</v>
      </c>
      <c r="DG55" s="313" t="e">
        <f>SCI!DF23/SCI!DF19</f>
        <v>#DIV/0!</v>
      </c>
      <c r="DH55" s="313" t="e">
        <f>SCI!DG23/SCI!DG19</f>
        <v>#DIV/0!</v>
      </c>
      <c r="DI55" s="313" t="e">
        <f>SCI!DH23/SCI!DH19</f>
        <v>#DIV/0!</v>
      </c>
      <c r="DJ55" s="313" t="e">
        <f>SCI!DI23/SCI!DI19</f>
        <v>#DIV/0!</v>
      </c>
      <c r="DK55" s="313" t="e">
        <f>SCI!DJ23/SCI!DJ19</f>
        <v>#DIV/0!</v>
      </c>
      <c r="DL55" s="313" t="e">
        <f>SCI!DK23/SCI!DK19</f>
        <v>#DIV/0!</v>
      </c>
      <c r="DM55" s="313" t="e">
        <f>SCI!DL23/SCI!DL19</f>
        <v>#DIV/0!</v>
      </c>
      <c r="DN55" s="313" t="e">
        <f>SCI!DM23/SCI!DM19</f>
        <v>#DIV/0!</v>
      </c>
      <c r="DO55" s="313" t="e">
        <f>SCI!DN23/SCI!DN19</f>
        <v>#DIV/0!</v>
      </c>
      <c r="DP55" s="313" t="e">
        <f>SCI!DO23/SCI!DO19</f>
        <v>#DIV/0!</v>
      </c>
      <c r="DQ55" s="313" t="e">
        <f>SCI!DP23/SCI!DP19</f>
        <v>#DIV/0!</v>
      </c>
      <c r="DR55" s="313" t="e">
        <f>SCI!DQ23/SCI!DQ19</f>
        <v>#DIV/0!</v>
      </c>
      <c r="DS55" s="313" t="e">
        <f>SCI!DR23/SCI!DR19</f>
        <v>#DIV/0!</v>
      </c>
      <c r="DT55" s="313" t="e">
        <f>SCI!DS23/SCI!DS19</f>
        <v>#DIV/0!</v>
      </c>
      <c r="DU55" s="313" t="e">
        <f>SCI!DT23/SCI!DT19</f>
        <v>#DIV/0!</v>
      </c>
      <c r="DV55" s="313" t="e">
        <f>SCI!DU23/SCI!DU19</f>
        <v>#DIV/0!</v>
      </c>
    </row>
    <row r="56" spans="1:126" hidden="1">
      <c r="A56" s="284" t="s">
        <v>205</v>
      </c>
      <c r="B56" s="178"/>
      <c r="C56" s="180" t="e">
        <f>SCI!#REF!/SFP!B26</f>
        <v>#REF!</v>
      </c>
      <c r="D56" s="180" t="e">
        <f>SCI!#REF!/SFP!C26</f>
        <v>#REF!</v>
      </c>
      <c r="E56" s="180" t="e">
        <f>SCI!#REF!/SFP!D26</f>
        <v>#REF!</v>
      </c>
      <c r="F56" s="180" t="e">
        <f>SCI!#REF!/SFP!E26</f>
        <v>#REF!</v>
      </c>
      <c r="G56" s="180" t="e">
        <f>SCI!#REF!/SFP!F26</f>
        <v>#REF!</v>
      </c>
      <c r="H56" s="180" t="e">
        <f>SCI!#REF!/SFP!G26</f>
        <v>#REF!</v>
      </c>
      <c r="I56" s="180" t="e">
        <f>SCI!#REF!/SFP!H26</f>
        <v>#REF!</v>
      </c>
      <c r="J56" s="180" t="e">
        <f>SCI!#REF!/SFP!I26</f>
        <v>#REF!</v>
      </c>
      <c r="K56" s="180" t="e">
        <f>SCI!#REF!/SFP!J26</f>
        <v>#REF!</v>
      </c>
      <c r="L56" s="180" t="e">
        <f>SCI!#REF!/SFP!K26</f>
        <v>#REF!</v>
      </c>
      <c r="M56" s="180" t="e">
        <f>SCI!#REF!/SFP!L26</f>
        <v>#REF!</v>
      </c>
      <c r="N56" s="180" t="e">
        <f>SCI!#REF!/SFP!M26</f>
        <v>#REF!</v>
      </c>
      <c r="O56" s="180" t="e">
        <f>SCI!#REF!/SFP!N26</f>
        <v>#REF!</v>
      </c>
      <c r="P56" s="180" t="e">
        <f>SCI!#REF!/SFP!O26</f>
        <v>#REF!</v>
      </c>
      <c r="Q56" s="180" t="e">
        <f>SCI!#REF!/SFP!P26</f>
        <v>#REF!</v>
      </c>
      <c r="R56" s="180" t="e">
        <f>SCI!#REF!/SFP!Q26</f>
        <v>#REF!</v>
      </c>
      <c r="S56" s="180" t="e">
        <f>SCI!#REF!/SFP!R26</f>
        <v>#REF!</v>
      </c>
      <c r="T56" s="180" t="e">
        <f>SCI!#REF!/SFP!S26</f>
        <v>#REF!</v>
      </c>
      <c r="U56" s="180" t="e">
        <f>SCI!#REF!/SFP!T26</f>
        <v>#REF!</v>
      </c>
      <c r="V56" s="180" t="e">
        <f>SCI!#REF!/SFP!U26</f>
        <v>#REF!</v>
      </c>
      <c r="W56" s="180" t="e">
        <f>SCI!#REF!/SFP!V26</f>
        <v>#REF!</v>
      </c>
      <c r="X56" s="180" t="e">
        <f>SCI!#REF!/SFP!W26</f>
        <v>#REF!</v>
      </c>
      <c r="Y56" s="180" t="e">
        <f>SCI!#REF!/SFP!X26</f>
        <v>#REF!</v>
      </c>
      <c r="Z56" s="180" t="e">
        <f>SCI!#REF!/SFP!Y26</f>
        <v>#REF!</v>
      </c>
      <c r="AA56" s="180" t="e">
        <f>SCI!#REF!/SFP!Z26</f>
        <v>#REF!</v>
      </c>
      <c r="AB56" s="180" t="e">
        <f>SCI!#REF!/SFP!AA26</f>
        <v>#REF!</v>
      </c>
      <c r="AC56" s="180" t="e">
        <f>SCI!#REF!/SFP!AB26</f>
        <v>#REF!</v>
      </c>
      <c r="AD56" s="180" t="e">
        <f>SCI!#REF!/SFP!AC26</f>
        <v>#REF!</v>
      </c>
      <c r="AE56" s="180" t="e">
        <f>SCI!#REF!/SFP!AD26</f>
        <v>#REF!</v>
      </c>
      <c r="AF56" s="180" t="e">
        <f>SCI!#REF!/SFP!AE26</f>
        <v>#REF!</v>
      </c>
      <c r="AG56" s="180" t="e">
        <f>SCI!#REF!/SFP!AF26</f>
        <v>#REF!</v>
      </c>
      <c r="AH56" s="313" t="e">
        <f>SCI!#REF!/SFP!AG26</f>
        <v>#REF!</v>
      </c>
      <c r="AI56" s="313" t="e">
        <f>SCI!#REF!/SFP!AH26</f>
        <v>#REF!</v>
      </c>
      <c r="AJ56" s="313" t="e">
        <f>SCI!#REF!/SFP!AI26</f>
        <v>#REF!</v>
      </c>
      <c r="AK56" s="313" t="e">
        <f>SCI!#REF!/SFP!AJ26</f>
        <v>#REF!</v>
      </c>
      <c r="AL56" s="313" t="e">
        <f>SCI!#REF!/SFP!AK26</f>
        <v>#REF!</v>
      </c>
      <c r="AM56" s="313" t="e">
        <f>SCI!#REF!/SFP!AL26</f>
        <v>#REF!</v>
      </c>
      <c r="AN56" s="313" t="e">
        <f>SCI!#REF!/SFP!AM26</f>
        <v>#REF!</v>
      </c>
      <c r="AO56" s="313" t="e">
        <f>SCI!#REF!/SFP!AN26</f>
        <v>#REF!</v>
      </c>
      <c r="AP56" s="313" t="e">
        <f>SCI!#REF!/SFP!AO26</f>
        <v>#REF!</v>
      </c>
      <c r="AQ56" s="313" t="e">
        <f>SCI!#REF!/SFP!AP26</f>
        <v>#REF!</v>
      </c>
      <c r="AR56" s="313" t="e">
        <f>SCI!#REF!/SFP!AQ26</f>
        <v>#REF!</v>
      </c>
      <c r="AS56" s="313" t="e">
        <f>SCI!#REF!/SFP!AR26</f>
        <v>#REF!</v>
      </c>
      <c r="AT56" s="313" t="e">
        <f>SCI!#REF!/SFP!AS26</f>
        <v>#REF!</v>
      </c>
      <c r="AU56" s="313" t="e">
        <f>SCI!#REF!/SFP!AT26</f>
        <v>#REF!</v>
      </c>
      <c r="AV56" s="313" t="e">
        <f>SCI!#REF!/SFP!AU26</f>
        <v>#REF!</v>
      </c>
      <c r="AW56" s="313" t="e">
        <f>SCI!#REF!/SFP!AV26</f>
        <v>#REF!</v>
      </c>
      <c r="AX56" s="313" t="e">
        <f>SCI!#REF!/SFP!AW26</f>
        <v>#REF!</v>
      </c>
      <c r="AY56" s="313" t="e">
        <f>SCI!#REF!/SFP!AX26</f>
        <v>#REF!</v>
      </c>
      <c r="AZ56" s="313" t="e">
        <f>SCI!#REF!/SFP!AY26</f>
        <v>#REF!</v>
      </c>
      <c r="BA56" s="313" t="e">
        <f>SCI!#REF!/SFP!AZ26</f>
        <v>#REF!</v>
      </c>
      <c r="BB56" s="313" t="e">
        <f>SCI!#REF!/SFP!BA26</f>
        <v>#REF!</v>
      </c>
      <c r="BC56" s="313" t="e">
        <f>SCI!#REF!/SFP!BB26</f>
        <v>#REF!</v>
      </c>
      <c r="BD56" s="313" t="e">
        <f>SCI!#REF!/SFP!BC26</f>
        <v>#REF!</v>
      </c>
      <c r="BE56" s="313" t="e">
        <f>SCI!#REF!/SFP!BD26</f>
        <v>#REF!</v>
      </c>
      <c r="BF56" s="313" t="e">
        <f>SCI!#REF!/SFP!BE26</f>
        <v>#REF!</v>
      </c>
      <c r="BG56" s="313" t="e">
        <f>SCI!#REF!/SFP!BF26</f>
        <v>#REF!</v>
      </c>
      <c r="BH56" s="313" t="e">
        <f>SCI!#REF!/SFP!BG26</f>
        <v>#REF!</v>
      </c>
      <c r="BI56" s="313" t="e">
        <f>SCI!#REF!/SFP!BH26</f>
        <v>#REF!</v>
      </c>
      <c r="BJ56" s="313" t="e">
        <f>SCI!#REF!/SFP!BI26</f>
        <v>#REF!</v>
      </c>
      <c r="BK56" s="313" t="e">
        <f>SCI!#REF!/SFP!BJ26</f>
        <v>#REF!</v>
      </c>
      <c r="BL56" s="313" t="e">
        <f>SCI!#REF!/SFP!BK26</f>
        <v>#REF!</v>
      </c>
      <c r="BM56" s="313" t="e">
        <f>SCI!#REF!/SFP!BL26</f>
        <v>#REF!</v>
      </c>
      <c r="BN56" s="313" t="e">
        <f>SCI!#REF!/SFP!BM26</f>
        <v>#REF!</v>
      </c>
      <c r="BO56" s="313" t="e">
        <f>SCI!#REF!/SFP!BN26</f>
        <v>#REF!</v>
      </c>
      <c r="BP56" s="313" t="e">
        <f>SCI!#REF!/SFP!BO26</f>
        <v>#REF!</v>
      </c>
      <c r="BQ56" s="313" t="e">
        <f>SCI!#REF!/SFP!BP26</f>
        <v>#REF!</v>
      </c>
      <c r="BR56" s="313" t="e">
        <f>SCI!#REF!/SFP!BQ26</f>
        <v>#REF!</v>
      </c>
      <c r="BS56" s="313" t="e">
        <f>SCI!#REF!/SFP!BR26</f>
        <v>#REF!</v>
      </c>
      <c r="BT56" s="313" t="e">
        <f>SCI!#REF!/SFP!BS26</f>
        <v>#REF!</v>
      </c>
      <c r="BU56" s="313" t="e">
        <f>SCI!#REF!/SFP!BT26</f>
        <v>#REF!</v>
      </c>
      <c r="BV56" s="313" t="e">
        <f>SCI!#REF!/SFP!BU26</f>
        <v>#REF!</v>
      </c>
      <c r="BW56" s="313" t="e">
        <f>SCI!#REF!/SFP!BV26</f>
        <v>#REF!</v>
      </c>
      <c r="BX56" s="313" t="e">
        <f>SCI!#REF!/SFP!BW26</f>
        <v>#REF!</v>
      </c>
      <c r="BY56" s="313" t="e">
        <f>SCI!#REF!/SFP!BX26</f>
        <v>#REF!</v>
      </c>
      <c r="BZ56" s="313" t="e">
        <f>SCI!#REF!/SFP!BY26</f>
        <v>#REF!</v>
      </c>
      <c r="CA56" s="313" t="e">
        <f>SCI!#REF!/SFP!BZ26</f>
        <v>#REF!</v>
      </c>
      <c r="CB56" s="313" t="e">
        <f>SCI!#REF!/SFP!CA26</f>
        <v>#REF!</v>
      </c>
      <c r="CC56" s="313" t="e">
        <f>SCI!#REF!/SFP!CB26</f>
        <v>#REF!</v>
      </c>
      <c r="CD56" s="313" t="e">
        <f>SCI!#REF!/SFP!CC26</f>
        <v>#REF!</v>
      </c>
      <c r="CE56" s="313" t="e">
        <f>SCI!#REF!/SFP!CD26</f>
        <v>#REF!</v>
      </c>
      <c r="CF56" s="313" t="e">
        <f>SCI!#REF!/SFP!CE26</f>
        <v>#REF!</v>
      </c>
      <c r="CG56" s="313" t="e">
        <f>SCI!#REF!/SFP!CF26</f>
        <v>#REF!</v>
      </c>
      <c r="CH56" s="313" t="e">
        <f>SCI!#REF!/SFP!CG26</f>
        <v>#REF!</v>
      </c>
      <c r="CI56" s="313" t="e">
        <f>SCI!#REF!/SFP!CH26</f>
        <v>#REF!</v>
      </c>
      <c r="CJ56" s="313" t="e">
        <f>SCI!#REF!/SFP!CI26</f>
        <v>#REF!</v>
      </c>
      <c r="CK56" s="313" t="e">
        <f>SCI!#REF!/SFP!CJ26</f>
        <v>#REF!</v>
      </c>
      <c r="CL56" s="313" t="e">
        <f>SCI!#REF!/SFP!CK26</f>
        <v>#REF!</v>
      </c>
      <c r="CM56" s="313" t="e">
        <f>SCI!#REF!/SFP!CL26</f>
        <v>#REF!</v>
      </c>
      <c r="CN56" s="313" t="e">
        <f>SCI!#REF!/SFP!CN26</f>
        <v>#REF!</v>
      </c>
      <c r="CO56" s="313" t="e">
        <f>SCI!#REF!/SFP!CO26</f>
        <v>#REF!</v>
      </c>
      <c r="CP56" s="313" t="e">
        <f>SCI!#REF!/SFP!CP26</f>
        <v>#REF!</v>
      </c>
      <c r="CQ56" s="313" t="e">
        <f>SCI!#REF!/SFP!CQ26</f>
        <v>#REF!</v>
      </c>
      <c r="CR56" s="313" t="e">
        <f>SCI!#REF!/SFP!CR26</f>
        <v>#REF!</v>
      </c>
      <c r="CS56" s="313" t="e">
        <f>SCI!#REF!/SFP!CS26</f>
        <v>#REF!</v>
      </c>
      <c r="CT56" s="313" t="e">
        <f>SCI!#REF!/SFP!CT26</f>
        <v>#REF!</v>
      </c>
      <c r="CU56" s="313" t="e">
        <f>SCI!#REF!/SFP!CU26</f>
        <v>#REF!</v>
      </c>
      <c r="CV56" s="313" t="e">
        <f>SCI!#REF!/SFP!CV26</f>
        <v>#REF!</v>
      </c>
      <c r="CW56" s="313" t="e">
        <f>SCI!#REF!/SFP!CW26</f>
        <v>#REF!</v>
      </c>
      <c r="CX56" s="313" t="e">
        <f>SCI!#REF!/SFP!CX26</f>
        <v>#REF!</v>
      </c>
      <c r="CY56" s="313" t="e">
        <f>SCI!#REF!/SFP!CY26</f>
        <v>#REF!</v>
      </c>
      <c r="CZ56" s="313" t="e">
        <f>SCI!#REF!/SFP!CZ26</f>
        <v>#REF!</v>
      </c>
      <c r="DA56" s="313" t="e">
        <f>SCI!#REF!/SFP!DA26</f>
        <v>#REF!</v>
      </c>
      <c r="DB56" s="313" t="e">
        <f>SCI!#REF!/SFP!DB26</f>
        <v>#REF!</v>
      </c>
      <c r="DC56" s="313" t="e">
        <f>SCI!#REF!/SFP!DC26</f>
        <v>#REF!</v>
      </c>
      <c r="DD56" s="313" t="e">
        <f>SCI!#REF!/SFP!DD26</f>
        <v>#REF!</v>
      </c>
      <c r="DE56" s="313" t="e">
        <f>SCI!#REF!/SFP!DE26</f>
        <v>#REF!</v>
      </c>
      <c r="DF56" s="313" t="e">
        <f>SCI!#REF!/SFP!DF26</f>
        <v>#REF!</v>
      </c>
      <c r="DG56" s="313" t="e">
        <f>SCI!#REF!/SFP!DG26</f>
        <v>#REF!</v>
      </c>
      <c r="DH56" s="313" t="e">
        <f>SCI!#REF!/SFP!DH26</f>
        <v>#REF!</v>
      </c>
      <c r="DI56" s="313" t="e">
        <f>SCI!#REF!/SFP!DI26</f>
        <v>#REF!</v>
      </c>
      <c r="DJ56" s="313" t="e">
        <f>SCI!#REF!/SFP!DJ26</f>
        <v>#REF!</v>
      </c>
      <c r="DK56" s="313" t="e">
        <f>SCI!#REF!/SFP!DK26</f>
        <v>#REF!</v>
      </c>
      <c r="DL56" s="313" t="e">
        <f>SCI!#REF!/SFP!DL26</f>
        <v>#REF!</v>
      </c>
      <c r="DM56" s="313" t="e">
        <f>SCI!#REF!/SFP!DM26</f>
        <v>#REF!</v>
      </c>
      <c r="DN56" s="313" t="e">
        <f>SCI!#REF!/SFP!DN26</f>
        <v>#REF!</v>
      </c>
      <c r="DO56" s="313" t="e">
        <f>SCI!#REF!/SFP!DO26</f>
        <v>#REF!</v>
      </c>
      <c r="DP56" s="313" t="e">
        <f>SCI!#REF!/SFP!DP26</f>
        <v>#REF!</v>
      </c>
      <c r="DQ56" s="313" t="e">
        <f>SCI!#REF!/SFP!DQ26</f>
        <v>#REF!</v>
      </c>
      <c r="DR56" s="313" t="e">
        <f>SCI!#REF!/SFP!DR26</f>
        <v>#REF!</v>
      </c>
      <c r="DS56" s="313" t="e">
        <f>SCI!#REF!/SFP!DS26</f>
        <v>#REF!</v>
      </c>
      <c r="DT56" s="313" t="e">
        <f>SCI!#REF!/SFP!DT26</f>
        <v>#REF!</v>
      </c>
      <c r="DU56" s="313" t="e">
        <f>SCI!#REF!/SFP!DU26</f>
        <v>#REF!</v>
      </c>
      <c r="DV56" s="313" t="e">
        <f>SCI!#REF!/SFP!DV26</f>
        <v>#REF!</v>
      </c>
    </row>
    <row r="57" spans="1:126" ht="14.45" thickBot="1">
      <c r="A57" s="314" t="s">
        <v>206</v>
      </c>
      <c r="B57" s="315"/>
      <c r="C57" s="316">
        <f>SFP!B4/SFP!B26</f>
        <v>0.14314618108244814</v>
      </c>
      <c r="D57" s="316">
        <f>SFP!C4/SFP!C26</f>
        <v>4.9089054631790911E-2</v>
      </c>
      <c r="E57" s="316">
        <f>SFP!D4/SFP!D26</f>
        <v>7.1039193871754072E-2</v>
      </c>
      <c r="F57" s="316">
        <f>SFP!E4/SFP!E26</f>
        <v>5.5642884279575699E-2</v>
      </c>
      <c r="G57" s="316">
        <f>SFP!F4/SFP!F26</f>
        <v>5.4514072455897025E-2</v>
      </c>
      <c r="H57" s="316">
        <f>SFP!G4/SFP!G26</f>
        <v>5.3034737890517401E-2</v>
      </c>
      <c r="I57" s="316">
        <f>SFP!H4/SFP!H26</f>
        <v>5.256202679575591E-2</v>
      </c>
      <c r="J57" s="316">
        <f>SFP!I4/SFP!I26</f>
        <v>4.2327313051480464E-2</v>
      </c>
      <c r="K57" s="316">
        <f>SFP!J4/SFP!J26</f>
        <v>2.2136115121589993E-2</v>
      </c>
      <c r="L57" s="316">
        <f>SFP!K4/SFP!K26</f>
        <v>2.9048838107464288E-3</v>
      </c>
      <c r="M57" s="316">
        <f>SFP!L4/SFP!L26</f>
        <v>2.2248230083124567E-2</v>
      </c>
      <c r="N57" s="316">
        <f>SFP!M4/SFP!M26</f>
        <v>5.7471681193521071E-2</v>
      </c>
      <c r="O57" s="316">
        <f>SFP!N4/SFP!N26</f>
        <v>3.1900980600069191E-2</v>
      </c>
      <c r="P57" s="316">
        <f>SFP!O4/SFP!O26</f>
        <v>1.2489105426607208E-2</v>
      </c>
      <c r="Q57" s="316">
        <f>SFP!P4/SFP!P26</f>
        <v>1.530060983670083E-2</v>
      </c>
      <c r="R57" s="316">
        <f>SFP!Q4/SFP!Q26</f>
        <v>4.7733360328211724E-2</v>
      </c>
      <c r="S57" s="316">
        <f>SFP!R4/SFP!R26</f>
        <v>1.7598422713606912E-2</v>
      </c>
      <c r="T57" s="316">
        <f>SFP!S4/SFP!S26</f>
        <v>2.5926611837225458E-2</v>
      </c>
      <c r="U57" s="316">
        <f>SFP!T4/SFP!T26</f>
        <v>2.4303343136696357E-2</v>
      </c>
      <c r="V57" s="316">
        <f>SFP!U4/SFP!U26</f>
        <v>2.5789567993895684E-2</v>
      </c>
      <c r="W57" s="316">
        <f>SFP!V4/SFP!V26</f>
        <v>2.8578205437769957E-3</v>
      </c>
      <c r="X57" s="316">
        <f>SFP!W4/SFP!W26</f>
        <v>2.088061032824751E-2</v>
      </c>
      <c r="Y57" s="316">
        <f>SFP!X4/SFP!X26</f>
        <v>9.2357786867467862E-3</v>
      </c>
      <c r="Z57" s="316">
        <f>SFP!Y4/SFP!Y26</f>
        <v>2.1048440928780644E-2</v>
      </c>
      <c r="AA57" s="316">
        <f>SFP!Z4/SFP!Z26</f>
        <v>3.1835709190926119E-2</v>
      </c>
      <c r="AB57" s="316">
        <f>SFP!AA4/SFP!AA26</f>
        <v>2.3849894740486401E-2</v>
      </c>
      <c r="AC57" s="316">
        <f>SFP!AB4/SFP!AB26</f>
        <v>2.6326651694372011E-2</v>
      </c>
      <c r="AD57" s="316">
        <f>SFP!AC4/SFP!AC26</f>
        <v>3.440302828306873E-2</v>
      </c>
      <c r="AE57" s="316">
        <f>SFP!AD4/SFP!AD26</f>
        <v>3.3330080296814724E-2</v>
      </c>
      <c r="AF57" s="316">
        <f>SFP!AE4/SFP!AE26</f>
        <v>3.3709905324301417E-2</v>
      </c>
      <c r="AG57" s="316">
        <f>SFP!AF4/SFP!AF26</f>
        <v>3.1578188038496914E-2</v>
      </c>
      <c r="AH57" s="317">
        <f>SFP!AG4/SFP!AG26</f>
        <v>3.1774864571561895E-2</v>
      </c>
      <c r="AI57" s="317">
        <f>SFP!AH4/SFP!AH26</f>
        <v>4.7105545924627581E-2</v>
      </c>
      <c r="AJ57" s="317">
        <f>SFP!AI4/SFP!AI26</f>
        <v>5.3397815413147691E-2</v>
      </c>
      <c r="AK57" s="317">
        <f>SFP!AJ4/SFP!AJ26</f>
        <v>5.6636200173363196E-2</v>
      </c>
      <c r="AL57" s="317">
        <f>SFP!AK4/SFP!AK26</f>
        <v>4.5718834770640607E-2</v>
      </c>
      <c r="AM57" s="317">
        <f>SFP!AL4/SFP!AL26</f>
        <v>7.7321113401701724E-2</v>
      </c>
      <c r="AN57" s="317">
        <f>SFP!AM4/SFP!AM26</f>
        <v>6.9981008634235398E-2</v>
      </c>
      <c r="AO57" s="317">
        <f>SFP!AN4/SFP!AN26</f>
        <v>7.3380433117648719E-2</v>
      </c>
      <c r="AP57" s="317">
        <f>SFP!AO4/SFP!AO26</f>
        <v>8.9962977535946301E-2</v>
      </c>
      <c r="AQ57" s="317">
        <f>SFP!AP4/SFP!AP26</f>
        <v>7.7159017048371331E-2</v>
      </c>
      <c r="AR57" s="317">
        <f>SFP!AQ4/SFP!AQ26</f>
        <v>8.9738803029077926E-2</v>
      </c>
      <c r="AS57" s="317">
        <f>SFP!AR4/SFP!AR26</f>
        <v>9.9747642159178806E-2</v>
      </c>
      <c r="AT57" s="317">
        <f>SFP!AS4/SFP!AS26</f>
        <v>0.10035169207016877</v>
      </c>
      <c r="AU57" s="317">
        <f>SFP!AT4/SFP!AT26</f>
        <v>0.10060127646004115</v>
      </c>
      <c r="AV57" s="317">
        <f>SFP!AU4/SFP!AU26</f>
        <v>9.1720834030314377E-2</v>
      </c>
      <c r="AW57" s="317">
        <f>SFP!AV4/SFP!AV26</f>
        <v>9.1388866516985648E-2</v>
      </c>
      <c r="AX57" s="317">
        <f>SFP!AW4/SFP!AW26</f>
        <v>9.1810912152568369E-2</v>
      </c>
      <c r="AY57" s="317">
        <f>SFP!AX4/SFP!AX26</f>
        <v>0.1193276070827011</v>
      </c>
      <c r="AZ57" s="317">
        <f>SFP!AY4/SFP!AY26</f>
        <v>0.13345225189691945</v>
      </c>
      <c r="BA57" s="317">
        <f>SFP!AZ4/SFP!AZ26</f>
        <v>0.15970786021632544</v>
      </c>
      <c r="BB57" s="317">
        <f>SFP!BA4/SFP!BA26</f>
        <v>0.14783599096923875</v>
      </c>
      <c r="BC57" s="317">
        <f>SFP!BB4/SFP!BB26</f>
        <v>0.13273086128619985</v>
      </c>
      <c r="BD57" s="317">
        <f>SFP!BC4/SFP!BC26</f>
        <v>0.14367400772577377</v>
      </c>
      <c r="BE57" s="317">
        <f>SFP!BD4/SFP!BD26</f>
        <v>0.13542152800014884</v>
      </c>
      <c r="BF57" s="317">
        <f>SFP!BE4/SFP!BE26</f>
        <v>0.15847912162050404</v>
      </c>
      <c r="BG57" s="317">
        <f>SFP!BF4/SFP!BF26</f>
        <v>0.14290050168390203</v>
      </c>
      <c r="BH57" s="317">
        <f>SFP!BG4/SFP!BG26</f>
        <v>0.14359213167588369</v>
      </c>
      <c r="BI57" s="317">
        <f>SFP!BH4/SFP!BH26</f>
        <v>0.14956427461680086</v>
      </c>
      <c r="BJ57" s="317">
        <f>SFP!BI4/SFP!BI26</f>
        <v>0.15129121737610585</v>
      </c>
      <c r="BK57" s="317">
        <f>SFP!BJ4/SFP!BJ26</f>
        <v>0.15248497497137453</v>
      </c>
      <c r="BL57" s="317">
        <f>SFP!BK4/SFP!BK26</f>
        <v>0.17435925438766431</v>
      </c>
      <c r="BM57" s="317">
        <f>SFP!BL4/SFP!BL26</f>
        <v>0.158383348732591</v>
      </c>
      <c r="BN57" s="317">
        <f>SFP!BM4/SFP!BM26</f>
        <v>0.18140755778081755</v>
      </c>
      <c r="BO57" s="317">
        <f>SFP!BN4/SFP!BN26</f>
        <v>0.18732466646328155</v>
      </c>
      <c r="BP57" s="317">
        <f>SFP!BO4/SFP!BO26</f>
        <v>0.1923486689393212</v>
      </c>
      <c r="BQ57" s="317">
        <f>SFP!BP4/SFP!BP26</f>
        <v>0.22448131648989417</v>
      </c>
      <c r="BR57" s="317">
        <f>SFP!BQ4/SFP!BQ26</f>
        <v>0.20056784482634013</v>
      </c>
      <c r="BS57" s="317">
        <f>SFP!BR4/SFP!BR26</f>
        <v>0.20081150048814103</v>
      </c>
      <c r="BT57" s="317">
        <f>SFP!BS4/SFP!BS26</f>
        <v>0.21635770940644444</v>
      </c>
      <c r="BU57" s="317">
        <f>SFP!BT4/SFP!BT26</f>
        <v>0.21366131656202919</v>
      </c>
      <c r="BV57" s="317">
        <f>SFP!BU4/SFP!BU26</f>
        <v>0.18762696508225377</v>
      </c>
      <c r="BW57" s="317">
        <f>SFP!BV4/SFP!BV26</f>
        <v>0.18068808491827096</v>
      </c>
      <c r="BX57" s="317">
        <f>SFP!BW4/SFP!BW26</f>
        <v>0.16311250434296681</v>
      </c>
      <c r="BY57" s="317">
        <f>SFP!BX4/SFP!BX26</f>
        <v>0.15542235694847747</v>
      </c>
      <c r="BZ57" s="317">
        <f>SFP!BY4/SFP!BY26</f>
        <v>0.16030918439474801</v>
      </c>
      <c r="CA57" s="317">
        <f>SFP!BZ4/SFP!BZ26</f>
        <v>0.18645541302856009</v>
      </c>
      <c r="CB57" s="317">
        <f>SFP!CA4/SFP!CA26</f>
        <v>0.17411405247434195</v>
      </c>
      <c r="CC57" s="317">
        <f>SFP!CB4/SFP!CB26</f>
        <v>0.17401033066615976</v>
      </c>
      <c r="CD57" s="317">
        <f>SFP!CC4/SFP!CC26</f>
        <v>0.16709272170253117</v>
      </c>
      <c r="CE57" s="317">
        <f>SFP!CD4/SFP!CD26</f>
        <v>0.16877413249923809</v>
      </c>
      <c r="CF57" s="317">
        <f>SFP!CE4/SFP!CE26</f>
        <v>0.17683412383158775</v>
      </c>
      <c r="CG57" s="317">
        <f>SFP!CF4/SFP!CF26</f>
        <v>0.17279437982291257</v>
      </c>
      <c r="CH57" s="317">
        <f>SFP!CG4/SFP!CG26</f>
        <v>0.17282115578666082</v>
      </c>
      <c r="CI57" s="317">
        <f>SFP!CH4/SFP!CH26</f>
        <v>0.14602156047629378</v>
      </c>
      <c r="CJ57" s="317">
        <f>SFP!CI4/SFP!CI26</f>
        <v>0.14068715918662952</v>
      </c>
      <c r="CK57" s="317">
        <f>SFP!CJ4/SFP!CJ26</f>
        <v>0.13179779735448344</v>
      </c>
      <c r="CL57" s="317">
        <f>SFP!CK4/SFP!CK26</f>
        <v>0.13533713320729907</v>
      </c>
      <c r="CM57" s="317">
        <f>SFP!CL4/SFP!CL26</f>
        <v>0.1484585342195818</v>
      </c>
      <c r="CN57" s="317">
        <f>SFP!CN4/SFP!CN26</f>
        <v>0.17796747934468587</v>
      </c>
      <c r="CO57" s="317">
        <f>SFP!CO4/SFP!CO26</f>
        <v>0.17300024413331985</v>
      </c>
      <c r="CP57" s="317">
        <f>SFP!CP4/SFP!CP26</f>
        <v>0.1731733446076052</v>
      </c>
      <c r="CQ57" s="317" t="e">
        <f>SFP!CQ4/SFP!CQ26</f>
        <v>#DIV/0!</v>
      </c>
      <c r="CR57" s="317" t="e">
        <f>SFP!CR4/SFP!CR26</f>
        <v>#DIV/0!</v>
      </c>
      <c r="CS57" s="317" t="e">
        <f>SFP!CS4/SFP!CS26</f>
        <v>#DIV/0!</v>
      </c>
      <c r="CT57" s="317" t="e">
        <f>SFP!CT4/SFP!CT26</f>
        <v>#DIV/0!</v>
      </c>
      <c r="CU57" s="317" t="e">
        <f>SFP!CU4/SFP!CU26</f>
        <v>#DIV/0!</v>
      </c>
      <c r="CV57" s="317" t="e">
        <f>SFP!CV4/SFP!CV26</f>
        <v>#DIV/0!</v>
      </c>
      <c r="CW57" s="317" t="e">
        <f>SFP!CW4/SFP!CW26</f>
        <v>#DIV/0!</v>
      </c>
      <c r="CX57" s="317" t="e">
        <f>SFP!CX4/SFP!CX26</f>
        <v>#DIV/0!</v>
      </c>
      <c r="CY57" s="317" t="e">
        <f>SFP!CY4/SFP!CY26</f>
        <v>#DIV/0!</v>
      </c>
      <c r="CZ57" s="317" t="e">
        <f>SFP!CZ4/SFP!CZ26</f>
        <v>#DIV/0!</v>
      </c>
      <c r="DA57" s="317" t="e">
        <f>SFP!DA4/SFP!DA26</f>
        <v>#DIV/0!</v>
      </c>
      <c r="DB57" s="317" t="e">
        <f>SFP!DB4/SFP!DB26</f>
        <v>#DIV/0!</v>
      </c>
      <c r="DC57" s="317" t="e">
        <f>SFP!DC4/SFP!DC26</f>
        <v>#DIV/0!</v>
      </c>
      <c r="DD57" s="317" t="e">
        <f>SFP!DD4/SFP!DD26</f>
        <v>#DIV/0!</v>
      </c>
      <c r="DE57" s="317" t="e">
        <f>SFP!DE4/SFP!DE26</f>
        <v>#DIV/0!</v>
      </c>
      <c r="DF57" s="317" t="e">
        <f>SFP!DF4/SFP!DF26</f>
        <v>#DIV/0!</v>
      </c>
      <c r="DG57" s="317" t="e">
        <f>SFP!DG4/SFP!DG26</f>
        <v>#DIV/0!</v>
      </c>
      <c r="DH57" s="317" t="e">
        <f>SFP!DH4/SFP!DH26</f>
        <v>#DIV/0!</v>
      </c>
      <c r="DI57" s="317" t="e">
        <f>SFP!DI4/SFP!DI26</f>
        <v>#DIV/0!</v>
      </c>
      <c r="DJ57" s="317" t="e">
        <f>SFP!DJ4/SFP!DJ26</f>
        <v>#DIV/0!</v>
      </c>
      <c r="DK57" s="317" t="e">
        <f>SFP!DK4/SFP!DK26</f>
        <v>#DIV/0!</v>
      </c>
      <c r="DL57" s="317" t="e">
        <f>SFP!DL4/SFP!DL26</f>
        <v>#DIV/0!</v>
      </c>
      <c r="DM57" s="317" t="e">
        <f>SFP!DM4/SFP!DM26</f>
        <v>#DIV/0!</v>
      </c>
      <c r="DN57" s="317" t="e">
        <f>SFP!DN4/SFP!DN26</f>
        <v>#DIV/0!</v>
      </c>
      <c r="DO57" s="317" t="e">
        <f>SFP!DO4/SFP!DO26</f>
        <v>#DIV/0!</v>
      </c>
      <c r="DP57" s="317" t="e">
        <f>SFP!DP4/SFP!DP26</f>
        <v>#DIV/0!</v>
      </c>
      <c r="DQ57" s="317" t="e">
        <f>SFP!DQ4/SFP!DQ26</f>
        <v>#DIV/0!</v>
      </c>
      <c r="DR57" s="317" t="e">
        <f>SFP!DR4/SFP!DR26</f>
        <v>#DIV/0!</v>
      </c>
      <c r="DS57" s="317" t="e">
        <f>SFP!DS4/SFP!DS26</f>
        <v>#DIV/0!</v>
      </c>
      <c r="DT57" s="317" t="e">
        <f>SFP!DT4/SFP!DT26</f>
        <v>#DIV/0!</v>
      </c>
      <c r="DU57" s="317" t="e">
        <f>SFP!DU4/SFP!DU26</f>
        <v>#DIV/0!</v>
      </c>
      <c r="DV57" s="317" t="e">
        <f>SFP!DV4/SFP!DV26</f>
        <v>#DIV/0!</v>
      </c>
    </row>
    <row r="75" spans="2:2">
      <c r="B75" s="152"/>
    </row>
  </sheetData>
  <pageMargins left="0.7" right="0.7" top="0.75" bottom="0.75" header="0.3" footer="0.3"/>
  <pageSetup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54"/>
  <sheetViews>
    <sheetView zoomScale="90" zoomScaleNormal="90" workbookViewId="0">
      <pane xSplit="7" ySplit="11" topLeftCell="CH12" activePane="bottomRight" state="frozen"/>
      <selection pane="bottomRight" activeCell="CN7" sqref="CN7"/>
      <selection pane="bottomLeft" activeCell="A12" sqref="A12"/>
      <selection pane="topRight" activeCell="H1" sqref="H1"/>
    </sheetView>
  </sheetViews>
  <sheetFormatPr defaultRowHeight="14.45" outlineLevelCol="1"/>
  <cols>
    <col min="1" max="1" width="21.5703125" customWidth="1"/>
    <col min="2" max="2" width="14" customWidth="1"/>
    <col min="3" max="6" width="12.85546875" hidden="1" customWidth="1"/>
    <col min="7" max="7" width="8.140625" bestFit="1" customWidth="1"/>
    <col min="9" max="20" width="0" hidden="1" customWidth="1"/>
    <col min="21" max="21" width="12.85546875" customWidth="1"/>
    <col min="22" max="22" width="11.140625" hidden="1" customWidth="1"/>
    <col min="23" max="23" width="10.5703125" hidden="1" customWidth="1"/>
    <col min="24" max="24" width="10.42578125" hidden="1" customWidth="1"/>
    <col min="25" max="25" width="10.5703125" hidden="1" customWidth="1"/>
    <col min="26" max="26" width="10.85546875" hidden="1" customWidth="1"/>
    <col min="27" max="27" width="10.7109375" hidden="1" customWidth="1"/>
    <col min="28" max="28" width="10.85546875" hidden="1" customWidth="1"/>
    <col min="29" max="33" width="0" hidden="1" customWidth="1"/>
    <col min="34" max="34" width="12.85546875" bestFit="1" customWidth="1"/>
    <col min="35" max="35" width="0" hidden="1" customWidth="1"/>
    <col min="36" max="36" width="9.5703125" hidden="1" customWidth="1"/>
    <col min="37" max="39" width="0" hidden="1" customWidth="1"/>
    <col min="40" max="44" width="9.5703125" hidden="1" customWidth="1"/>
    <col min="45" max="45" width="0" hidden="1" customWidth="1"/>
    <col min="46" max="46" width="9.5703125" hidden="1" customWidth="1"/>
    <col min="47" max="47" width="12.85546875" bestFit="1" customWidth="1"/>
    <col min="48" max="59" width="12.85546875" hidden="1" customWidth="1"/>
    <col min="60" max="60" width="12.85546875" bestFit="1" customWidth="1"/>
    <col min="61" max="72" width="12.85546875" hidden="1" customWidth="1"/>
    <col min="73" max="73" width="12.85546875" bestFit="1" customWidth="1"/>
    <col min="74" max="85" width="12.85546875" hidden="1" customWidth="1" outlineLevel="1"/>
    <col min="86" max="86" width="12.85546875" bestFit="1" customWidth="1" collapsed="1"/>
    <col min="87" max="91" width="12.85546875" bestFit="1" customWidth="1"/>
    <col min="92" max="92" width="10" bestFit="1" customWidth="1"/>
  </cols>
  <sheetData>
    <row r="1" spans="1:93" ht="15" thickBot="1"/>
    <row r="2" spans="1:93" ht="40.15">
      <c r="A2" s="49" t="s">
        <v>152</v>
      </c>
      <c r="B2" s="50" t="s">
        <v>153</v>
      </c>
      <c r="C2" s="50" t="s">
        <v>207</v>
      </c>
      <c r="D2" s="50" t="s">
        <v>208</v>
      </c>
      <c r="E2" s="50" t="s">
        <v>209</v>
      </c>
      <c r="F2" s="50" t="s">
        <v>210</v>
      </c>
      <c r="G2" s="89" t="s">
        <v>6</v>
      </c>
      <c r="H2" s="89" t="s">
        <v>7</v>
      </c>
      <c r="I2" s="89">
        <v>42736</v>
      </c>
      <c r="J2" s="89">
        <v>42767</v>
      </c>
      <c r="K2" s="89">
        <v>42795</v>
      </c>
      <c r="L2" s="89">
        <v>42826</v>
      </c>
      <c r="M2" s="89">
        <v>42856</v>
      </c>
      <c r="N2" s="89">
        <v>42887</v>
      </c>
      <c r="O2" s="89">
        <v>42917</v>
      </c>
      <c r="P2" s="89">
        <v>42948</v>
      </c>
      <c r="Q2" s="89">
        <v>42979</v>
      </c>
      <c r="R2" s="89">
        <v>43009</v>
      </c>
      <c r="S2" s="89">
        <v>43040</v>
      </c>
      <c r="T2" s="89">
        <v>43070</v>
      </c>
      <c r="U2" s="89" t="s">
        <v>8</v>
      </c>
      <c r="V2" s="89">
        <v>43101</v>
      </c>
      <c r="W2" s="89">
        <v>43132</v>
      </c>
      <c r="X2" s="89">
        <v>43160</v>
      </c>
      <c r="Y2" s="89">
        <v>43191</v>
      </c>
      <c r="Z2" s="89">
        <v>43221</v>
      </c>
      <c r="AA2" s="89">
        <v>43252</v>
      </c>
      <c r="AB2" s="89">
        <v>43282</v>
      </c>
      <c r="AC2" s="89">
        <v>43313</v>
      </c>
      <c r="AD2" s="89">
        <v>43344</v>
      </c>
      <c r="AE2" s="89">
        <v>43374</v>
      </c>
      <c r="AF2" s="89">
        <v>43405</v>
      </c>
      <c r="AG2" s="89">
        <v>43435</v>
      </c>
      <c r="AH2" s="31" t="s">
        <v>211</v>
      </c>
      <c r="AI2" s="197">
        <v>43466</v>
      </c>
      <c r="AJ2" s="197">
        <v>43497</v>
      </c>
      <c r="AK2" s="197">
        <v>43525</v>
      </c>
      <c r="AL2" s="197">
        <v>43556</v>
      </c>
      <c r="AM2" s="197">
        <v>43586</v>
      </c>
      <c r="AN2" s="197">
        <v>43617</v>
      </c>
      <c r="AO2" s="197">
        <v>43647</v>
      </c>
      <c r="AP2" s="197">
        <v>43678</v>
      </c>
      <c r="AQ2" s="197">
        <v>43709</v>
      </c>
      <c r="AR2" s="197">
        <v>43739</v>
      </c>
      <c r="AS2" s="197">
        <v>43770</v>
      </c>
      <c r="AT2" s="197">
        <v>43800</v>
      </c>
      <c r="AU2" s="197" t="s">
        <v>212</v>
      </c>
      <c r="AV2" s="197">
        <v>43831</v>
      </c>
      <c r="AW2" s="197">
        <v>43862</v>
      </c>
      <c r="AX2" s="197">
        <v>43891</v>
      </c>
      <c r="AY2" s="197">
        <v>43922</v>
      </c>
      <c r="AZ2" s="197">
        <v>43952</v>
      </c>
      <c r="BA2" s="197">
        <v>43983</v>
      </c>
      <c r="BB2" s="197">
        <v>44013</v>
      </c>
      <c r="BC2" s="197">
        <v>44044</v>
      </c>
      <c r="BD2" s="197">
        <v>44075</v>
      </c>
      <c r="BE2" s="197">
        <v>44105</v>
      </c>
      <c r="BF2" s="197">
        <v>44136</v>
      </c>
      <c r="BG2" s="197">
        <v>44166</v>
      </c>
      <c r="BH2" s="197" t="s">
        <v>213</v>
      </c>
      <c r="BI2" s="197">
        <v>44197</v>
      </c>
      <c r="BJ2" s="197">
        <v>44228</v>
      </c>
      <c r="BK2" s="197">
        <v>44256</v>
      </c>
      <c r="BL2" s="197">
        <v>44287</v>
      </c>
      <c r="BM2" s="197">
        <v>44317</v>
      </c>
      <c r="BN2" s="197">
        <v>44348</v>
      </c>
      <c r="BO2" s="197">
        <v>44378</v>
      </c>
      <c r="BP2" s="197">
        <v>44409</v>
      </c>
      <c r="BQ2" s="197">
        <v>44440</v>
      </c>
      <c r="BR2" s="197">
        <v>44470</v>
      </c>
      <c r="BS2" s="197">
        <v>44501</v>
      </c>
      <c r="BT2" s="197">
        <v>44531</v>
      </c>
      <c r="BU2" s="197" t="s">
        <v>214</v>
      </c>
      <c r="BV2" s="197">
        <v>44562</v>
      </c>
      <c r="BW2" s="197">
        <v>44593</v>
      </c>
      <c r="BX2" s="197">
        <v>44621</v>
      </c>
      <c r="BY2" s="197">
        <v>44652</v>
      </c>
      <c r="BZ2" s="197">
        <v>44682</v>
      </c>
      <c r="CA2" s="197">
        <v>44713</v>
      </c>
      <c r="CB2" s="197">
        <v>44743</v>
      </c>
      <c r="CC2" s="197">
        <v>44774</v>
      </c>
      <c r="CD2" s="197">
        <v>44805</v>
      </c>
      <c r="CE2" s="197">
        <v>44835</v>
      </c>
      <c r="CF2" s="197">
        <v>44866</v>
      </c>
      <c r="CG2" s="197">
        <v>44896</v>
      </c>
      <c r="CH2" s="197" t="s">
        <v>13</v>
      </c>
      <c r="CI2" s="197">
        <v>44927</v>
      </c>
      <c r="CJ2" s="197">
        <v>44958</v>
      </c>
      <c r="CK2" s="197">
        <v>44986</v>
      </c>
      <c r="CL2" s="197">
        <v>45017</v>
      </c>
      <c r="CM2" s="197">
        <v>45047</v>
      </c>
    </row>
    <row r="3" spans="1:93">
      <c r="A3" s="51" t="s">
        <v>215</v>
      </c>
      <c r="B3" s="52"/>
      <c r="C3" s="52"/>
      <c r="D3" s="52"/>
      <c r="E3" s="31"/>
    </row>
    <row r="4" spans="1:93">
      <c r="A4" s="53" t="s">
        <v>216</v>
      </c>
      <c r="B4" s="54" t="s">
        <v>156</v>
      </c>
      <c r="C4" s="55">
        <f>'Prudential Ratios'!C6</f>
        <v>-24.983000000000001</v>
      </c>
      <c r="D4" s="55">
        <f>'Prudential Ratios'!D6</f>
        <v>16.577000000000002</v>
      </c>
      <c r="E4" s="55">
        <f>'Prudential Ratios'!E6</f>
        <v>-12.912000000000001</v>
      </c>
      <c r="F4" s="55">
        <f>'Prudential Ratios'!F6</f>
        <v>341.841476</v>
      </c>
      <c r="G4" s="55" t="e">
        <f>'Prudential Ratios'!#REF!</f>
        <v>#REF!</v>
      </c>
      <c r="H4" s="55">
        <f>'Prudential Ratios'!H6</f>
        <v>532.31323799999996</v>
      </c>
      <c r="I4" s="55">
        <f>'Prudential Ratios'!I6</f>
        <v>536.68482840000001</v>
      </c>
      <c r="J4" s="55">
        <f>'Prudential Ratios'!J6</f>
        <v>511.36793426999998</v>
      </c>
      <c r="K4" s="55">
        <f>'Prudential Ratios'!K6</f>
        <v>517.10880363000001</v>
      </c>
      <c r="L4" s="55">
        <f>'Prudential Ratios'!L6</f>
        <v>513.33715542999994</v>
      </c>
      <c r="M4" s="55">
        <f>'Prudential Ratios'!M6</f>
        <v>516.22455991999993</v>
      </c>
      <c r="N4" s="55">
        <f>'Prudential Ratios'!N6</f>
        <v>530.79187178999996</v>
      </c>
      <c r="O4" s="55">
        <f>'Prudential Ratios'!O6</f>
        <v>539.04430062999995</v>
      </c>
      <c r="P4" s="55">
        <f>'Prudential Ratios'!P6</f>
        <v>571.23406574000001</v>
      </c>
      <c r="Q4" s="55">
        <f>'Prudential Ratios'!Q6</f>
        <v>590.16537291999998</v>
      </c>
      <c r="R4" s="55">
        <f>'Prudential Ratios'!R6</f>
        <v>608.21487507999996</v>
      </c>
      <c r="S4" s="55">
        <f>'Prudential Ratios'!S6</f>
        <v>625.43172937999998</v>
      </c>
      <c r="T4" s="55">
        <f>'Prudential Ratios'!T6</f>
        <v>655.29306068000005</v>
      </c>
      <c r="U4" s="55">
        <f>'Prudential Ratios'!U6</f>
        <v>716.379999</v>
      </c>
      <c r="V4" s="55">
        <f>'Prudential Ratios'!V6</f>
        <v>1406.7772216400001</v>
      </c>
      <c r="W4" s="55">
        <f>'Prudential Ratios'!W6</f>
        <v>694.36860603999992</v>
      </c>
      <c r="X4" s="55">
        <f>'Prudential Ratios'!X6</f>
        <v>693.16600981999989</v>
      </c>
      <c r="Y4" s="55">
        <f>'Prudential Ratios'!Y6</f>
        <v>702.41386280999996</v>
      </c>
      <c r="Z4" s="55">
        <f>'Prudential Ratios'!Z6</f>
        <v>732.51616885999999</v>
      </c>
      <c r="AA4" s="55">
        <f>'Prudential Ratios'!AA6</f>
        <v>787.03516736999995</v>
      </c>
      <c r="AB4" s="55">
        <f>'Prudential Ratios'!AB6</f>
        <v>806.91417729</v>
      </c>
      <c r="AC4" s="55">
        <f>'Prudential Ratios'!AC6</f>
        <v>838.60041388000002</v>
      </c>
      <c r="AD4" s="55">
        <f>'Prudential Ratios'!AD6</f>
        <v>858.01347231999989</v>
      </c>
      <c r="AE4" s="55">
        <f>'Prudential Ratios'!AE6</f>
        <v>873.27232987000002</v>
      </c>
      <c r="AF4" s="55">
        <f>'Prudential Ratios'!AF6</f>
        <v>893.04188364999993</v>
      </c>
      <c r="AG4" s="55">
        <f>'Prudential Ratios'!AG6</f>
        <v>969.88339305</v>
      </c>
      <c r="AH4" s="55">
        <f>'Prudential Ratios'!AH6</f>
        <v>939.99158499999999</v>
      </c>
      <c r="AI4" s="55">
        <f>'Prudential Ratios'!AI6</f>
        <v>976.14417516000003</v>
      </c>
      <c r="AJ4" s="55">
        <f>'Prudential Ratios'!AJ6</f>
        <v>1007.5259635</v>
      </c>
      <c r="AK4" s="55">
        <f>'Prudential Ratios'!AK6</f>
        <v>990.94472354999994</v>
      </c>
      <c r="AL4" s="55">
        <f>'Prudential Ratios'!AL6</f>
        <v>995.10941075000005</v>
      </c>
      <c r="AM4" s="55">
        <f>'Prudential Ratios'!AM6</f>
        <v>992.47766583999987</v>
      </c>
      <c r="AN4" s="55">
        <f>'Prudential Ratios'!AN6</f>
        <v>1009.44564745</v>
      </c>
      <c r="AO4" s="55">
        <f>'Prudential Ratios'!AO6</f>
        <v>1015.66876853</v>
      </c>
      <c r="AP4" s="55">
        <f>'Prudential Ratios'!AP6</f>
        <v>1042.5067001800001</v>
      </c>
      <c r="AQ4" s="55">
        <f>'Prudential Ratios'!AQ6</f>
        <v>1048.82228743</v>
      </c>
      <c r="AR4" s="55">
        <f>'Prudential Ratios'!AR6</f>
        <v>1046.9993746099999</v>
      </c>
      <c r="AS4" s="55">
        <f>'Prudential Ratios'!AS6</f>
        <v>1062.22198555</v>
      </c>
      <c r="AT4" s="55">
        <f>'Prudential Ratios'!AT6</f>
        <v>1127.88317869</v>
      </c>
      <c r="AU4" s="55">
        <f>'Prudential Ratios'!AU6</f>
        <v>1143.6905670000001</v>
      </c>
      <c r="AV4" s="55">
        <f>'Prudential Ratios'!AV6</f>
        <v>1126.6893900799998</v>
      </c>
      <c r="AW4" s="55">
        <f>'Prudential Ratios'!AW6</f>
        <v>1141.3848426</v>
      </c>
      <c r="AX4" s="55">
        <f>'Prudential Ratios'!AX6</f>
        <v>1139.2130628499999</v>
      </c>
      <c r="AY4" s="55">
        <f>'Prudential Ratios'!AY6</f>
        <v>1164.51887992</v>
      </c>
      <c r="AZ4" s="55">
        <f>'Prudential Ratios'!AZ6</f>
        <v>1173.9817307999999</v>
      </c>
      <c r="BA4" s="55">
        <f>'Prudential Ratios'!BA6</f>
        <v>1171.8811339900001</v>
      </c>
      <c r="BB4" s="55">
        <f>'Prudential Ratios'!BB6</f>
        <v>1185.21660922</v>
      </c>
      <c r="BC4" s="55">
        <f>'Prudential Ratios'!BC6</f>
        <v>1203.1977354100002</v>
      </c>
      <c r="BD4" s="55">
        <f>'Prudential Ratios'!BD6</f>
        <v>1222.0806848600002</v>
      </c>
      <c r="BE4" s="55">
        <f>'Prudential Ratios'!BE6</f>
        <v>1250.38047835</v>
      </c>
      <c r="BF4" s="55">
        <f>'Prudential Ratios'!BF6</f>
        <v>1270.2074545599999</v>
      </c>
      <c r="BG4" s="55">
        <f>'Prudential Ratios'!BG6</f>
        <v>1305.0534182899999</v>
      </c>
      <c r="BH4" s="55">
        <f>'Prudential Ratios'!BH6</f>
        <v>1267.1736390000001</v>
      </c>
      <c r="BI4" s="55">
        <f>'Prudential Ratios'!BI6</f>
        <v>1291.8702993099998</v>
      </c>
      <c r="BJ4" s="55">
        <f>'Prudential Ratios'!BJ6</f>
        <v>1291.89639917</v>
      </c>
      <c r="BK4" s="55">
        <f>'Prudential Ratios'!BK6</f>
        <v>1286.8551157950001</v>
      </c>
      <c r="BL4" s="55">
        <f>'Prudential Ratios'!BL6</f>
        <v>1292.1621212800001</v>
      </c>
      <c r="BM4" s="55">
        <f>'Prudential Ratios'!BM6</f>
        <v>1318.8514399200001</v>
      </c>
      <c r="BN4" s="55">
        <f>'Prudential Ratios'!BN6</f>
        <v>1321.7926750849999</v>
      </c>
      <c r="BO4" s="55">
        <f>'Prudential Ratios'!BO6</f>
        <v>1338.3473519850002</v>
      </c>
      <c r="BP4" s="55">
        <f>'Prudential Ratios'!BP6</f>
        <v>1342.082447925</v>
      </c>
      <c r="BQ4" s="55">
        <f>'Prudential Ratios'!BQ6</f>
        <v>1348.157864475</v>
      </c>
      <c r="BR4" s="55">
        <f>'Prudential Ratios'!BR6</f>
        <v>1393.5151743699998</v>
      </c>
      <c r="BS4" s="55">
        <f>'Prudential Ratios'!BS6</f>
        <v>1404.2830167699999</v>
      </c>
      <c r="BT4" s="55">
        <f>'Prudential Ratios'!BT6</f>
        <v>1396.9407417150001</v>
      </c>
      <c r="BU4" s="55">
        <f>'Prudential Ratios'!BU6</f>
        <v>1463.9550409999999</v>
      </c>
      <c r="BV4" s="55">
        <f>'Prudential Ratios'!BV6</f>
        <v>1302.70629826</v>
      </c>
      <c r="BW4" s="55">
        <f>'Prudential Ratios'!BW6</f>
        <v>1311.5992784</v>
      </c>
      <c r="BX4" s="55">
        <f>'Prudential Ratios'!BX6</f>
        <v>1309.23526685</v>
      </c>
      <c r="BY4" s="55">
        <f>'Prudential Ratios'!BY6</f>
        <v>1294.40311623</v>
      </c>
      <c r="BZ4" s="55">
        <f>'Prudential Ratios'!BZ6</f>
        <v>1294.3069850700001</v>
      </c>
      <c r="CA4" s="55">
        <f>'Prudential Ratios'!CA6</f>
        <v>1315.61035148</v>
      </c>
      <c r="CB4" s="55">
        <f>'Prudential Ratios'!CB6</f>
        <v>1321.7545851300001</v>
      </c>
      <c r="CC4" s="55">
        <f>'Prudential Ratios'!CC6</f>
        <v>1346.12985899</v>
      </c>
      <c r="CD4" s="55">
        <f>'Prudential Ratios'!CD6</f>
        <v>1358.8707795</v>
      </c>
      <c r="CE4" s="55">
        <f>'Prudential Ratios'!CE6</f>
        <v>1386.7962057499999</v>
      </c>
      <c r="CF4" s="55">
        <f>'Prudential Ratios'!CF6</f>
        <v>1419.5538010499999</v>
      </c>
      <c r="CG4" s="55">
        <f>'Prudential Ratios'!CG6</f>
        <v>1542.91271839</v>
      </c>
      <c r="CH4" s="55">
        <f>'Prudential Ratios'!CH6</f>
        <v>1666.8779030000001</v>
      </c>
      <c r="CI4" s="55">
        <f>'Prudential Ratios'!CI6</f>
        <v>1704.1001924700001</v>
      </c>
      <c r="CJ4" s="55">
        <f>'Prudential Ratios'!CJ6</f>
        <v>1685.06084401</v>
      </c>
      <c r="CK4" s="55">
        <f>'Prudential Ratios'!CK6</f>
        <v>1712.0556297399999</v>
      </c>
      <c r="CL4" s="55">
        <f>'Prudential Ratios'!CL6</f>
        <v>1711.5663054899999</v>
      </c>
      <c r="CM4" s="55">
        <f>'Prudential Ratios'!CM6</f>
        <v>1731.0801751399999</v>
      </c>
      <c r="CN4" s="55">
        <f>'Prudential Ratios'!CN6</f>
        <v>1782.5602824699999</v>
      </c>
      <c r="CO4" s="55">
        <f>'Prudential Ratios'!CO6</f>
        <v>1821.7842346399998</v>
      </c>
    </row>
    <row r="5" spans="1:93">
      <c r="A5" s="53" t="s">
        <v>217</v>
      </c>
      <c r="B5" s="54" t="s">
        <v>158</v>
      </c>
      <c r="C5" s="56">
        <f>'Prudential Ratios'!C7</f>
        <v>-1.25990263907317E-2</v>
      </c>
      <c r="D5" s="56">
        <f>'Prudential Ratios'!D7</f>
        <v>7.380075443541332E-3</v>
      </c>
      <c r="E5" s="56">
        <f>'Prudential Ratios'!E7</f>
        <v>-4.5555178333958534E-3</v>
      </c>
      <c r="F5" s="56">
        <f>'Prudential Ratios'!F7</f>
        <v>0.10409450229622942</v>
      </c>
      <c r="G5" s="56" t="e">
        <f>'Prudential Ratios'!#REF!</f>
        <v>#REF!</v>
      </c>
      <c r="H5" s="56">
        <f>'Prudential Ratios'!H7</f>
        <v>0.10914524727592771</v>
      </c>
      <c r="I5" s="56">
        <f>'Prudential Ratios'!I7</f>
        <v>0.10833418555373452</v>
      </c>
      <c r="J5" s="56">
        <f>'Prudential Ratios'!J7</f>
        <v>0.10507133164970973</v>
      </c>
      <c r="K5" s="56">
        <f>'Prudential Ratios'!K7</f>
        <v>0.10597273040575408</v>
      </c>
      <c r="L5" s="56">
        <f>'Prudential Ratios'!L7</f>
        <v>0.10504249467745196</v>
      </c>
      <c r="M5" s="56">
        <f>'Prudential Ratios'!M7</f>
        <v>0.10459549686243159</v>
      </c>
      <c r="N5" s="56">
        <f>'Prudential Ratios'!N7</f>
        <v>0.10025032473565838</v>
      </c>
      <c r="O5" s="56">
        <f>'Prudential Ratios'!O7</f>
        <v>9.9808930620153988E-2</v>
      </c>
      <c r="P5" s="56">
        <f>'Prudential Ratios'!P7</f>
        <v>0.10144482768259781</v>
      </c>
      <c r="Q5" s="56">
        <f>'Prudential Ratios'!Q7</f>
        <v>0.1018908927966241</v>
      </c>
      <c r="R5" s="56">
        <f>'Prudential Ratios'!R7</f>
        <v>0.10058832040353283</v>
      </c>
      <c r="S5" s="56">
        <f>'Prudential Ratios'!S7</f>
        <v>0.10128997633667372</v>
      </c>
      <c r="T5" s="56">
        <f>'Prudential Ratios'!T7</f>
        <v>0.10444737588352422</v>
      </c>
      <c r="U5" s="56">
        <f>'Prudential Ratios'!U7</f>
        <v>0.11420679960668695</v>
      </c>
      <c r="V5" s="56">
        <f>'Prudential Ratios'!V7</f>
        <v>0.11080606294576328</v>
      </c>
      <c r="W5" s="56">
        <f>'Prudential Ratios'!W7</f>
        <v>0.11033248302618029</v>
      </c>
      <c r="X5" s="56">
        <f>'Prudential Ratios'!X7</f>
        <v>0.1104043846406664</v>
      </c>
      <c r="Y5" s="56">
        <f>'Prudential Ratios'!Y7</f>
        <v>0.11142704194128451</v>
      </c>
      <c r="Z5" s="56">
        <f>'Prudential Ratios'!Z7</f>
        <v>0.11439063517852237</v>
      </c>
      <c r="AA5" s="56">
        <f>'Prudential Ratios'!AA7</f>
        <v>0.12054158044876387</v>
      </c>
      <c r="AB5" s="56">
        <f>'Prudential Ratios'!AB7</f>
        <v>0.12091938502058297</v>
      </c>
      <c r="AC5" s="56">
        <f>'Prudential Ratios'!AC7</f>
        <v>0.12365699591786676</v>
      </c>
      <c r="AD5" s="56">
        <f>'Prudential Ratios'!AD7</f>
        <v>0.12565931433371838</v>
      </c>
      <c r="AE5" s="56">
        <f>'Prudential Ratios'!AE7</f>
        <v>0.1257564077021828</v>
      </c>
      <c r="AF5" s="56">
        <f>'Prudential Ratios'!AF7</f>
        <v>0.12636994292942749</v>
      </c>
      <c r="AG5" s="56">
        <f>'Prudential Ratios'!AG7</f>
        <v>0.13441367273609769</v>
      </c>
      <c r="AH5" s="56">
        <f>'Prudential Ratios'!AH7</f>
        <v>0.13121125450060334</v>
      </c>
      <c r="AI5" s="56">
        <f>'Prudential Ratios'!AI7</f>
        <v>0.13313559110290887</v>
      </c>
      <c r="AJ5" s="56">
        <f>'Prudential Ratios'!AJ7</f>
        <v>0.14031173544146805</v>
      </c>
      <c r="AK5" s="56">
        <f>'Prudential Ratios'!AK7</f>
        <v>0.1374965124893516</v>
      </c>
      <c r="AL5" s="56">
        <f>'Prudential Ratios'!AL7</f>
        <v>0.13900686588199468</v>
      </c>
      <c r="AM5" s="56">
        <f>'Prudential Ratios'!AM7</f>
        <v>0.1373588279576429</v>
      </c>
      <c r="AN5" s="56">
        <f>'Prudential Ratios'!AN7</f>
        <v>0.13724308676386718</v>
      </c>
      <c r="AO5" s="56">
        <f>'Prudential Ratios'!AO7</f>
        <v>0.13507290464848559</v>
      </c>
      <c r="AP5" s="56">
        <f>'Prudential Ratios'!AP7</f>
        <v>0.13845678712049528</v>
      </c>
      <c r="AQ5" s="56">
        <f>'Prudential Ratios'!AQ7</f>
        <v>0.13835418643708064</v>
      </c>
      <c r="AR5" s="56">
        <f>'Prudential Ratios'!AR7</f>
        <v>0.13639700717100603</v>
      </c>
      <c r="AS5" s="56">
        <f>'Prudential Ratios'!AS7</f>
        <v>0.13595037220632683</v>
      </c>
      <c r="AT5" s="56">
        <f>'Prudential Ratios'!AT7</f>
        <v>0.14171962775938496</v>
      </c>
      <c r="AU5" s="56">
        <f>'Prudential Ratios'!AU7</f>
        <v>0.14403106468986465</v>
      </c>
      <c r="AV5" s="56">
        <f>'Prudential Ratios'!AV7</f>
        <v>0.13980973655366186</v>
      </c>
      <c r="AW5" s="56">
        <f>'Prudential Ratios'!AW7</f>
        <v>0.14439430075645848</v>
      </c>
      <c r="AX5" s="56">
        <f>'Prudential Ratios'!AX7</f>
        <v>0.14490727506848242</v>
      </c>
      <c r="AY5" s="56">
        <f>'Prudential Ratios'!AY7</f>
        <v>0.14530612462565887</v>
      </c>
      <c r="AZ5" s="56">
        <f>'Prudential Ratios'!AZ7</f>
        <v>0.1452380820704299</v>
      </c>
      <c r="BA5" s="56">
        <f>'Prudential Ratios'!BA7</f>
        <v>0.14327023605470726</v>
      </c>
      <c r="BB5" s="56">
        <f>'Prudential Ratios'!BB7</f>
        <v>0.14219257929869528</v>
      </c>
      <c r="BC5" s="56">
        <f>'Prudential Ratios'!BC7</f>
        <v>0.14182260671105892</v>
      </c>
      <c r="BD5" s="56">
        <f>'Prudential Ratios'!BD7</f>
        <v>0.14251628096381944</v>
      </c>
      <c r="BE5" s="56">
        <f>'Prudential Ratios'!BE7</f>
        <v>0.14364286241579094</v>
      </c>
      <c r="BF5" s="56">
        <f>'Prudential Ratios'!BF7</f>
        <v>0.1445226377381614</v>
      </c>
      <c r="BG5" s="56">
        <f>'Prudential Ratios'!BG7</f>
        <v>0.1456384083494274</v>
      </c>
      <c r="BH5" s="56">
        <f>'Prudential Ratios'!BH7</f>
        <v>0.14209560795566342</v>
      </c>
      <c r="BI5" s="56">
        <f>'Prudential Ratios'!BI7</f>
        <v>0.14523587834512491</v>
      </c>
      <c r="BJ5" s="56">
        <f>'Prudential Ratios'!BJ7</f>
        <v>0.14732155316597012</v>
      </c>
      <c r="BK5" s="56">
        <f>'Prudential Ratios'!BK7</f>
        <v>0.14571010595177716</v>
      </c>
      <c r="BL5" s="56">
        <f>'Prudential Ratios'!BL7</f>
        <v>0.14484528017969567</v>
      </c>
      <c r="BM5" s="56">
        <f>'Prudential Ratios'!BM7</f>
        <v>0.14566094275243774</v>
      </c>
      <c r="BN5" s="56">
        <f>'Prudential Ratios'!BN7</f>
        <v>0.14455120531790991</v>
      </c>
      <c r="BO5" s="56">
        <f>'Prudential Ratios'!BO7</f>
        <v>0.14105598550085138</v>
      </c>
      <c r="BP5" s="56">
        <f>'Prudential Ratios'!BP7</f>
        <v>0.14057857143013258</v>
      </c>
      <c r="BQ5" s="56">
        <f>'Prudential Ratios'!BQ7</f>
        <v>0.13837749810083652</v>
      </c>
      <c r="BR5" s="56">
        <f>'Prudential Ratios'!BR7</f>
        <v>0.14016669480286117</v>
      </c>
      <c r="BS5" s="56">
        <f>'Prudential Ratios'!BS7</f>
        <v>0.1390101375755079</v>
      </c>
      <c r="BT5" s="56">
        <f>'Prudential Ratios'!BT7</f>
        <v>0.13585530353431308</v>
      </c>
      <c r="BU5" s="56">
        <f>'Prudential Ratios'!BU7</f>
        <v>0.14059823802710428</v>
      </c>
      <c r="BV5" s="56">
        <f>'Prudential Ratios'!BV7</f>
        <v>0.12894316730752825</v>
      </c>
      <c r="BW5" s="56">
        <f>'Prudential Ratios'!BW7</f>
        <v>0.12954705393426594</v>
      </c>
      <c r="BX5" s="56">
        <f>'Prudential Ratios'!BX7</f>
        <v>0.12840031700357871</v>
      </c>
      <c r="BY5" s="56">
        <f>'Prudential Ratios'!BY7</f>
        <v>0.12616747789769125</v>
      </c>
      <c r="BZ5" s="56">
        <f>'Prudential Ratios'!BZ7</f>
        <v>0.12336230902685963</v>
      </c>
      <c r="CA5" s="56">
        <f>'Prudential Ratios'!CA7</f>
        <v>0.12347720147471483</v>
      </c>
      <c r="CB5" s="56">
        <f>'Prudential Ratios'!CB7</f>
        <v>0.12094054720569446</v>
      </c>
      <c r="CC5" s="56">
        <f>'Prudential Ratios'!CC7</f>
        <v>0.12156708559317546</v>
      </c>
      <c r="CD5" s="56">
        <f>'Prudential Ratios'!CD7</f>
        <v>0.12167643754587769</v>
      </c>
      <c r="CE5" s="56">
        <f>'Prudential Ratios'!CE7</f>
        <v>0.12207308843778747</v>
      </c>
      <c r="CF5" s="56">
        <f>'Prudential Ratios'!CF7</f>
        <v>0.12265672914266229</v>
      </c>
      <c r="CG5" s="56">
        <f>'Prudential Ratios'!CG7</f>
        <v>0.13124917963392038</v>
      </c>
      <c r="CH5" s="56">
        <f>'Prudential Ratios'!CH7</f>
        <v>0.1416591897288321</v>
      </c>
      <c r="CI5" s="56">
        <f>'Prudential Ratios'!CI7</f>
        <v>0.14908571555068373</v>
      </c>
      <c r="CJ5" s="56">
        <f>'Prudential Ratios'!CJ7</f>
        <v>0.14751041686234848</v>
      </c>
      <c r="CK5" s="56">
        <f>'Prudential Ratios'!CK7</f>
        <v>0.14910453701157592</v>
      </c>
      <c r="CL5" s="56">
        <f>'Prudential Ratios'!CL7</f>
        <v>0.14711696310351347</v>
      </c>
      <c r="CM5" s="56">
        <f>'Prudential Ratios'!CM7</f>
        <v>0.14688449065548481</v>
      </c>
      <c r="CN5" s="56">
        <f>'Prudential Ratios'!CN7</f>
        <v>0.14656829805727872</v>
      </c>
      <c r="CO5" s="56">
        <f>'Prudential Ratios'!CO7</f>
        <v>0.14598642517047136</v>
      </c>
    </row>
    <row r="6" spans="1:93">
      <c r="A6" s="53" t="s">
        <v>218</v>
      </c>
      <c r="B6" s="54" t="s">
        <v>160</v>
      </c>
      <c r="C6" s="56">
        <f>'Prudential Ratios'!C10</f>
        <v>-2.1175724218341435E-2</v>
      </c>
      <c r="D6" s="56">
        <f>'Prudential Ratios'!D10</f>
        <v>-5.1687685286550564E-4</v>
      </c>
      <c r="E6" s="56">
        <f>'Prudential Ratios'!E10</f>
        <v>-2.0994120870215325E-2</v>
      </c>
      <c r="F6" s="56">
        <f>'Prudential Ratios'!F10</f>
        <v>8.8508617975989315E-2</v>
      </c>
      <c r="G6" s="56" t="e">
        <f>'Prudential Ratios'!#REF!</f>
        <v>#REF!</v>
      </c>
      <c r="H6" s="56">
        <f>'Prudential Ratios'!H10</f>
        <v>7.5713937635985787E-2</v>
      </c>
      <c r="I6" s="56">
        <f>'Prudential Ratios'!I10</f>
        <v>7.5091289874963288E-2</v>
      </c>
      <c r="J6" s="56">
        <f>'Prudential Ratios'!J10</f>
        <v>6.8939609809475944E-2</v>
      </c>
      <c r="K6" s="56">
        <f>'Prudential Ratios'!K10</f>
        <v>6.9130652257062539E-2</v>
      </c>
      <c r="L6" s="56">
        <f>'Prudential Ratios'!L10</f>
        <v>6.7795429731327017E-2</v>
      </c>
      <c r="M6" s="56">
        <f>'Prudential Ratios'!M10</f>
        <v>6.7053792622543226E-2</v>
      </c>
      <c r="N6" s="56">
        <f>'Prudential Ratios'!N10</f>
        <v>6.3984072583380291E-2</v>
      </c>
      <c r="O6" s="56">
        <f>'Prudential Ratios'!O10</f>
        <v>6.3566147959214739E-2</v>
      </c>
      <c r="P6" s="56">
        <f>'Prudential Ratios'!P10</f>
        <v>6.4645040936468445E-2</v>
      </c>
      <c r="Q6" s="56">
        <f>'Prudential Ratios'!Q10</f>
        <v>6.5391910407367582E-2</v>
      </c>
      <c r="R6" s="56">
        <f>'Prudential Ratios'!R10</f>
        <v>6.3846792804999067E-2</v>
      </c>
      <c r="S6" s="56">
        <f>'Prudential Ratios'!S10</f>
        <v>6.3667347296986865E-2</v>
      </c>
      <c r="T6" s="56">
        <f>'Prudential Ratios'!T10</f>
        <v>6.5412994340485517E-2</v>
      </c>
      <c r="U6" s="56">
        <f>'Prudential Ratios'!U10</f>
        <v>7.5164638679942261E-2</v>
      </c>
      <c r="V6" s="56">
        <f>'Prudential Ratios'!V10</f>
        <v>7.1667753125084652E-2</v>
      </c>
      <c r="W6" s="56">
        <f>'Prudential Ratios'!W10</f>
        <v>6.8248713611578901E-2</v>
      </c>
      <c r="X6" s="56">
        <f>'Prudential Ratios'!X10</f>
        <v>6.7513212502164313E-2</v>
      </c>
      <c r="Y6" s="56">
        <f>'Prudential Ratios'!Y10</f>
        <v>6.6897407671509077E-2</v>
      </c>
      <c r="Z6" s="56">
        <f>'Prudential Ratios'!Z10</f>
        <v>6.8589339803177052E-2</v>
      </c>
      <c r="AA6" s="56">
        <f>'Prudential Ratios'!AA10</f>
        <v>7.3128854232933985E-2</v>
      </c>
      <c r="AB6" s="56">
        <f>'Prudential Ratios'!AB10</f>
        <v>7.2479788179522858E-2</v>
      </c>
      <c r="AC6" s="56">
        <f>'Prudential Ratios'!AC10</f>
        <v>7.4086425778265283E-2</v>
      </c>
      <c r="AD6" s="56">
        <f>'Prudential Ratios'!AD10</f>
        <v>7.529668319111385E-2</v>
      </c>
      <c r="AE6" s="56">
        <f>'Prudential Ratios'!AE10</f>
        <v>7.5527821768492681E-2</v>
      </c>
      <c r="AF6" s="56">
        <f>'Prudential Ratios'!AF10</f>
        <v>7.6247310613370048E-2</v>
      </c>
      <c r="AG6" s="56">
        <f>'Prudential Ratios'!AG10</f>
        <v>8.4113996835159827E-2</v>
      </c>
      <c r="AH6" s="56">
        <f>'Prudential Ratios'!AH10</f>
        <v>8.0548548361487324E-2</v>
      </c>
      <c r="AI6" s="56">
        <f>'Prudential Ratios'!AI10</f>
        <v>8.308488449766957E-2</v>
      </c>
      <c r="AJ6" s="56">
        <f>'Prudential Ratios'!AJ10</f>
        <v>7.8532684929641342E-2</v>
      </c>
      <c r="AK6" s="56">
        <f>'Prudential Ratios'!AK10</f>
        <v>7.5476568637294239E-2</v>
      </c>
      <c r="AL6" s="56">
        <f>'Prudential Ratios'!AL10</f>
        <v>7.5747051511059885E-2</v>
      </c>
      <c r="AM6" s="56">
        <f>'Prudential Ratios'!AM10</f>
        <v>7.4188183759408027E-2</v>
      </c>
      <c r="AN6" s="56">
        <f>'Prudential Ratios'!AN10</f>
        <v>7.4731782795845372E-2</v>
      </c>
      <c r="AO6" s="56">
        <f>'Prudential Ratios'!AO10</f>
        <v>7.3509793755073327E-2</v>
      </c>
      <c r="AP6" s="56">
        <f>'Prudential Ratios'!AP10</f>
        <v>7.6352984808301536E-2</v>
      </c>
      <c r="AQ6" s="56">
        <f>'Prudential Ratios'!AQ10</f>
        <v>7.5882581792560994E-2</v>
      </c>
      <c r="AR6" s="56">
        <f>'Prudential Ratios'!AR10</f>
        <v>7.4354838264387602E-2</v>
      </c>
      <c r="AS6" s="56">
        <f>'Prudential Ratios'!AS10</f>
        <v>7.4484884141203606E-2</v>
      </c>
      <c r="AT6" s="56">
        <f>'Prudential Ratios'!AT10</f>
        <v>8.0249083510831348E-2</v>
      </c>
      <c r="AU6" s="56">
        <f>'Prudential Ratios'!AU10</f>
        <v>8.242140538975963E-2</v>
      </c>
      <c r="AV6" s="56">
        <f>'Prudential Ratios'!AV10</f>
        <v>7.8883157952811755E-2</v>
      </c>
      <c r="AW6" s="56">
        <f>'Prudential Ratios'!AW10</f>
        <v>8.0327767624818858E-2</v>
      </c>
      <c r="AX6" s="56">
        <f>'Prudential Ratios'!AX10</f>
        <v>7.9721121736622602E-2</v>
      </c>
      <c r="AY6" s="56">
        <f>'Prudential Ratios'!AY10</f>
        <v>8.1110607469578822E-2</v>
      </c>
      <c r="AZ6" s="56">
        <f>'Prudential Ratios'!AZ10</f>
        <v>8.1072829009427125E-2</v>
      </c>
      <c r="BA6" s="56">
        <f>'Prudential Ratios'!BA10</f>
        <v>7.9368322705656774E-2</v>
      </c>
      <c r="BB6" s="56">
        <f>'Prudential Ratios'!BB10</f>
        <v>7.9288531329202327E-2</v>
      </c>
      <c r="BC6" s="56">
        <f>'Prudential Ratios'!BC10</f>
        <v>7.9650737464390733E-2</v>
      </c>
      <c r="BD6" s="56">
        <f>'Prudential Ratios'!BD10</f>
        <v>8.0808165508047994E-2</v>
      </c>
      <c r="BE6" s="56">
        <f>'Prudential Ratios'!BE10</f>
        <v>8.251779242049026E-2</v>
      </c>
      <c r="BF6" s="56">
        <f>'Prudential Ratios'!BF10</f>
        <v>8.3607176369412478E-2</v>
      </c>
      <c r="BG6" s="56">
        <f>'Prudential Ratios'!BG10</f>
        <v>8.4235347955897183E-2</v>
      </c>
      <c r="BH6" s="56">
        <f>'Prudential Ratios'!BH10</f>
        <v>8.0395360318706297E-2</v>
      </c>
      <c r="BI6" s="56">
        <f>'Prudential Ratios'!BI10</f>
        <v>8.1452447535855371E-2</v>
      </c>
      <c r="BJ6" s="56">
        <f>'Prudential Ratios'!BJ10</f>
        <v>8.2015291617698549E-2</v>
      </c>
      <c r="BK6" s="56">
        <f>'Prudential Ratios'!BK10</f>
        <v>8.0527264091119793E-2</v>
      </c>
      <c r="BL6" s="56">
        <f>'Prudential Ratios'!BL10</f>
        <v>7.9825861385123126E-2</v>
      </c>
      <c r="BM6" s="56">
        <f>'Prudential Ratios'!BM10</f>
        <v>8.0800639210643663E-2</v>
      </c>
      <c r="BN6" s="56">
        <f>'Prudential Ratios'!BN10</f>
        <v>7.9897613337100271E-2</v>
      </c>
      <c r="BO6" s="56">
        <f>'Prudential Ratios'!BO10</f>
        <v>7.8449319628747446E-2</v>
      </c>
      <c r="BP6" s="56">
        <f>'Prudential Ratios'!BP10</f>
        <v>7.7923599620976891E-2</v>
      </c>
      <c r="BQ6" s="56">
        <f>'Prudential Ratios'!BQ10</f>
        <v>7.6613068614230728E-2</v>
      </c>
      <c r="BR6" s="56">
        <f>'Prudential Ratios'!BR10</f>
        <v>7.9295633765646398E-2</v>
      </c>
      <c r="BS6" s="56">
        <f>'Prudential Ratios'!BS10</f>
        <v>7.8704556220810032E-2</v>
      </c>
      <c r="BT6" s="56">
        <f>'Prudential Ratios'!BT10</f>
        <v>7.4991315699699537E-2</v>
      </c>
      <c r="BU6" s="56">
        <f>'Prudential Ratios'!BU10</f>
        <v>8.0492777472349938E-2</v>
      </c>
      <c r="BV6" s="56">
        <f>'Prudential Ratios'!BV10</f>
        <v>6.4840842935617482E-2</v>
      </c>
      <c r="BW6" s="56">
        <f>'Prudential Ratios'!BW10</f>
        <v>6.5090497199723235E-2</v>
      </c>
      <c r="BX6" s="56">
        <f>'Prudential Ratios'!BX10</f>
        <v>6.4114603675215681E-2</v>
      </c>
      <c r="BY6" s="56">
        <f>'Prudential Ratios'!BY10</f>
        <v>6.1707075990936236E-2</v>
      </c>
      <c r="BZ6" s="56">
        <f>'Prudential Ratios'!BZ10</f>
        <v>5.9063975818931531E-2</v>
      </c>
      <c r="CA6" s="56">
        <f>'Prudential Ratios'!CA10</f>
        <v>5.9460319798078781E-2</v>
      </c>
      <c r="CB6" s="56">
        <f>'Prudential Ratios'!CB10</f>
        <v>5.7639327684222669E-2</v>
      </c>
      <c r="CC6" s="56">
        <f>'Prudential Ratios'!CC10</f>
        <v>5.8305926830577511E-2</v>
      </c>
      <c r="CD6" s="56">
        <f>'Prudential Ratios'!CD10</f>
        <v>5.8550009266610331E-2</v>
      </c>
      <c r="CE6" s="56">
        <f>'Prudential Ratios'!CE10</f>
        <v>5.9315769630948541E-2</v>
      </c>
      <c r="CF6" s="56">
        <f>'Prudential Ratios'!CF10</f>
        <v>5.9415495840405862E-2</v>
      </c>
      <c r="CG6" s="56">
        <f>'Prudential Ratios'!CG10</f>
        <v>6.8340067852470279E-2</v>
      </c>
      <c r="CH6" s="56">
        <f>'Prudential Ratios'!CH10</f>
        <v>7.8810058531987179E-2</v>
      </c>
      <c r="CI6" s="56">
        <f>'Prudential Ratios'!CI10</f>
        <v>8.1980096049977982E-2</v>
      </c>
      <c r="CJ6" s="56">
        <f>'Prudential Ratios'!CJ10</f>
        <v>7.9289885565194021E-2</v>
      </c>
      <c r="CK6" s="56">
        <f>'Prudential Ratios'!CK10</f>
        <v>8.0296367835838683E-2</v>
      </c>
      <c r="CL6" s="56">
        <f>'Prudential Ratios'!CL10</f>
        <v>7.8313367217708471E-2</v>
      </c>
      <c r="CM6" s="56">
        <f>'Prudential Ratios'!CM10</f>
        <v>7.7871914241681467E-2</v>
      </c>
      <c r="CN6" s="56">
        <f>'Prudential Ratios'!CN10</f>
        <v>7.7548587616981066E-2</v>
      </c>
      <c r="CO6" s="56">
        <f>'Prudential Ratios'!CO10</f>
        <v>7.8355716584907073E-2</v>
      </c>
    </row>
    <row r="7" spans="1:93">
      <c r="A7" s="53" t="s">
        <v>219</v>
      </c>
      <c r="B7" s="54" t="s">
        <v>160</v>
      </c>
      <c r="C7" s="56">
        <f>'Prudential Ratios'!C8</f>
        <v>-1.6214041179238393E-2</v>
      </c>
      <c r="D7" s="56">
        <f>'Prudential Ratios'!D8</f>
        <v>9.7042705932560095E-3</v>
      </c>
      <c r="E7" s="56">
        <f>'Prudential Ratios'!E8</f>
        <v>-6.3672249659127616E-3</v>
      </c>
      <c r="F7" s="56">
        <f>'Prudential Ratios'!F8</f>
        <v>0.1380540975867805</v>
      </c>
      <c r="G7" s="56" t="e">
        <f>'Prudential Ratios'!#REF!</f>
        <v>#REF!</v>
      </c>
      <c r="H7" s="56">
        <f>'Prudential Ratios'!H8</f>
        <v>0.14833975665847934</v>
      </c>
      <c r="I7" s="56">
        <f>'Prudential Ratios'!I8</f>
        <v>0.14994375012575223</v>
      </c>
      <c r="J7" s="56">
        <f>'Prudential Ratios'!J8</f>
        <v>0.13431848050041978</v>
      </c>
      <c r="K7" s="56">
        <f>'Prudential Ratios'!K8</f>
        <v>0.13682222440096523</v>
      </c>
      <c r="L7" s="56">
        <f>'Prudential Ratios'!L8</f>
        <v>0.13710590157846878</v>
      </c>
      <c r="M7" s="56">
        <f>'Prudential Ratios'!M8</f>
        <v>0.13725908345552276</v>
      </c>
      <c r="N7" s="56">
        <f>'Prudential Ratios'!N8</f>
        <v>0.13633700973578491</v>
      </c>
      <c r="O7" s="56">
        <f>'Prudential Ratios'!O8</f>
        <v>0.13648597612140043</v>
      </c>
      <c r="P7" s="56">
        <f>'Prudential Ratios'!P8</f>
        <v>0.14198082696863362</v>
      </c>
      <c r="Q7" s="56">
        <f>'Prudential Ratios'!Q8</f>
        <v>0.14641444562292769</v>
      </c>
      <c r="R7" s="56">
        <f>'Prudential Ratios'!R8</f>
        <v>0.1474002441985755</v>
      </c>
      <c r="S7" s="56">
        <f>'Prudential Ratios'!S8</f>
        <v>0.1480860711538165</v>
      </c>
      <c r="T7" s="56">
        <f>'Prudential Ratios'!T8</f>
        <v>0.15371424438163556</v>
      </c>
      <c r="U7" s="56">
        <f>'Prudential Ratios'!U8</f>
        <v>0.16463193899226519</v>
      </c>
      <c r="V7" s="56">
        <f>'Prudential Ratios'!V8</f>
        <v>0.16363848027975</v>
      </c>
      <c r="W7" s="56">
        <f>'Prudential Ratios'!W8</f>
        <v>0.15082468219021072</v>
      </c>
      <c r="X7" s="56">
        <f>'Prudential Ratios'!X8</f>
        <v>0.15246591296448139</v>
      </c>
      <c r="Y7" s="56">
        <f>'Prudential Ratios'!Y8</f>
        <v>0.15542413898219129</v>
      </c>
      <c r="Z7" s="56">
        <f>'Prudential Ratios'!Z8</f>
        <v>0.15952109485613508</v>
      </c>
      <c r="AA7" s="56">
        <f>'Prudential Ratios'!AA8</f>
        <v>0.16934167138324574</v>
      </c>
      <c r="AB7" s="56">
        <f>'Prudential Ratios'!AB8</f>
        <v>0.17080722290296621</v>
      </c>
      <c r="AC7" s="56">
        <f>'Prudential Ratios'!AC8</f>
        <v>0.17587319711118582</v>
      </c>
      <c r="AD7" s="56">
        <f>'Prudential Ratios'!AD8</f>
        <v>0.17850870917013212</v>
      </c>
      <c r="AE7" s="56">
        <f>'Prudential Ratios'!AE8</f>
        <v>0.17947231267480079</v>
      </c>
      <c r="AF7" s="56">
        <f>'Prudential Ratios'!AF8</f>
        <v>0.18139469545412651</v>
      </c>
      <c r="AG7" s="56">
        <f>'Prudential Ratios'!AG8</f>
        <v>0.19492766044143453</v>
      </c>
      <c r="AH7" s="56">
        <f>'Prudential Ratios'!AH8</f>
        <v>0.18305404132903161</v>
      </c>
      <c r="AI7" s="56">
        <f>'Prudential Ratios'!AI8</f>
        <v>0.19374246863424679</v>
      </c>
      <c r="AJ7" s="56">
        <f>'Prudential Ratios'!AJ8</f>
        <v>0.18406874242395804</v>
      </c>
      <c r="AK7" s="56">
        <f>'Prudential Ratios'!AK8</f>
        <v>0.18094830306933798</v>
      </c>
      <c r="AL7" s="56">
        <f>'Prudential Ratios'!AL8</f>
        <v>0.1827626909594586</v>
      </c>
      <c r="AM7" s="56">
        <f>'Prudential Ratios'!AM8</f>
        <v>0.18148518133966746</v>
      </c>
      <c r="AN7" s="56">
        <f>'Prudential Ratios'!AN8</f>
        <v>0.18276994835977647</v>
      </c>
      <c r="AO7" s="56">
        <f>'Prudential Ratios'!AO8</f>
        <v>0.17969390120466941</v>
      </c>
      <c r="AP7" s="56">
        <f>'Prudential Ratios'!AP8</f>
        <v>0.18343472151586837</v>
      </c>
      <c r="AQ7" s="56">
        <f>'Prudential Ratios'!AQ8</f>
        <v>0.18325354182281356</v>
      </c>
      <c r="AR7" s="56">
        <f>'Prudential Ratios'!AR8</f>
        <v>0.17905093889519003</v>
      </c>
      <c r="AS7" s="56">
        <f>'Prudential Ratios'!AS8</f>
        <v>0.17993787891182275</v>
      </c>
      <c r="AT7" s="56">
        <f>'Prudential Ratios'!AT8</f>
        <v>0.18883262922477365</v>
      </c>
      <c r="AU7" s="56">
        <f>'Prudential Ratios'!AU8</f>
        <v>0.19147958400471665</v>
      </c>
      <c r="AV7" s="56">
        <f>'Prudential Ratios'!AV8</f>
        <v>0.1874225290817329</v>
      </c>
      <c r="AW7" s="56">
        <f>'Prudential Ratios'!AW8</f>
        <v>0.17878601431058275</v>
      </c>
      <c r="AX7" s="56">
        <f>'Prudential Ratios'!AX8</f>
        <v>0.18085118063496916</v>
      </c>
      <c r="AY7" s="56">
        <f>'Prudential Ratios'!AY8</f>
        <v>0.18178050442748014</v>
      </c>
      <c r="AZ7" s="56">
        <f>'Prudential Ratios'!AZ8</f>
        <v>0.18317475511865375</v>
      </c>
      <c r="BA7" s="56">
        <f>'Prudential Ratios'!BA8</f>
        <v>0.18179606556622888</v>
      </c>
      <c r="BB7" s="56">
        <f>'Prudential Ratios'!BB8</f>
        <v>0.18107315844475577</v>
      </c>
      <c r="BC7" s="56">
        <f>'Prudential Ratios'!BC8</f>
        <v>0.18180767609352291</v>
      </c>
      <c r="BD7" s="56">
        <f>'Prudential Ratios'!BD8</f>
        <v>0.18411245569571646</v>
      </c>
      <c r="BE7" s="56">
        <f>'Prudential Ratios'!BE8</f>
        <v>0.18711002284585923</v>
      </c>
      <c r="BF7" s="56">
        <f>'Prudential Ratios'!BF8</f>
        <v>0.18986754145966472</v>
      </c>
      <c r="BG7" s="56">
        <f>'Prudential Ratios'!BG8</f>
        <v>0.1926147937925308</v>
      </c>
      <c r="BH7" s="56">
        <f>'Prudential Ratios'!BH8</f>
        <v>0.18702406027317894</v>
      </c>
      <c r="BI7" s="56">
        <f>'Prudential Ratios'!BI8</f>
        <v>0.17683026876269389</v>
      </c>
      <c r="BJ7" s="56">
        <f>'Prudential Ratios'!BJ8</f>
        <v>0.18078506333755132</v>
      </c>
      <c r="BK7" s="56">
        <f>'Prudential Ratios'!BK8</f>
        <v>0.17967641052825786</v>
      </c>
      <c r="BL7" s="56">
        <f>'Prudential Ratios'!BL8</f>
        <v>0.17923782805899777</v>
      </c>
      <c r="BM7" s="56">
        <f>'Prudential Ratios'!BM8</f>
        <v>0.1823967224175943</v>
      </c>
      <c r="BN7" s="56">
        <f>'Prudential Ratios'!BN8</f>
        <v>0.18225322930093074</v>
      </c>
      <c r="BO7" s="56">
        <f>'Prudential Ratios'!BO8</f>
        <v>0.17821641876010194</v>
      </c>
      <c r="BP7" s="56">
        <f>'Prudential Ratios'!BP8</f>
        <v>0.17907696731721764</v>
      </c>
      <c r="BQ7" s="56">
        <f>'Prudential Ratios'!BQ8</f>
        <v>0.17728525831773251</v>
      </c>
      <c r="BR7" s="56">
        <f>'Prudential Ratios'!BR8</f>
        <v>0.18073206890229429</v>
      </c>
      <c r="BS7" s="56">
        <f>'Prudential Ratios'!BS8</f>
        <v>0.18053543826278248</v>
      </c>
      <c r="BT7" s="56">
        <f>'Prudential Ratios'!BT8</f>
        <v>0.17819422972615848</v>
      </c>
      <c r="BU7" s="56">
        <f>'Prudential Ratios'!BU8</f>
        <v>0.18674259623695311</v>
      </c>
      <c r="BV7" s="56">
        <f>'Prudential Ratios'!BV8</f>
        <v>0.15629799209339548</v>
      </c>
      <c r="BW7" s="56">
        <f>'Prudential Ratios'!BW8</f>
        <v>0.15867079031117579</v>
      </c>
      <c r="BX7" s="56">
        <f>'Prudential Ratios'!BX8</f>
        <v>0.15795734396116592</v>
      </c>
      <c r="BY7" s="56">
        <f>'Prudential Ratios'!BY8</f>
        <v>0.15643270838945725</v>
      </c>
      <c r="BZ7" s="56">
        <f>'Prudential Ratios'!BZ8</f>
        <v>0.15389680972628739</v>
      </c>
      <c r="CA7" s="56">
        <f>'Prudential Ratios'!CA8</f>
        <v>0.15537802565667036</v>
      </c>
      <c r="CB7" s="56">
        <f>'Prudential Ratios'!CB8</f>
        <v>0.15267932076185473</v>
      </c>
      <c r="CC7" s="56">
        <f>'Prudential Ratios'!CC8</f>
        <v>0.15493574566371041</v>
      </c>
      <c r="CD7" s="56">
        <f>'Prudential Ratios'!CD8</f>
        <v>0.15660733156034304</v>
      </c>
      <c r="CE7" s="56">
        <f>'Prudential Ratios'!CE8</f>
        <v>0.15847511458847222</v>
      </c>
      <c r="CF7" s="56">
        <f>'Prudential Ratios'!CF8</f>
        <v>0.16059760535932749</v>
      </c>
      <c r="CG7" s="56">
        <f>'Prudential Ratios'!CG8</f>
        <v>0.17341650768406708</v>
      </c>
      <c r="CH7" s="56">
        <f>'Prudential Ratios'!CH8</f>
        <v>0.18711165165706151</v>
      </c>
      <c r="CI7" s="56">
        <f>'Prudential Ratios'!CI8</f>
        <v>0.18170471681693401</v>
      </c>
      <c r="CJ7" s="56">
        <f>'Prudential Ratios'!CJ8</f>
        <v>0.1813324284201821</v>
      </c>
      <c r="CK7" s="56">
        <f>'Prudential Ratios'!CK8</f>
        <v>0.18468236864702214</v>
      </c>
      <c r="CL7" s="56">
        <f>'Prudential Ratios'!CL8</f>
        <v>0.18354139891526722</v>
      </c>
      <c r="CM7" s="56">
        <f>'Prudential Ratios'!CM8</f>
        <v>0.18487022342277573</v>
      </c>
      <c r="CN7" s="56">
        <f>'Prudential Ratios'!CN8</f>
        <v>0.18597948866844752</v>
      </c>
      <c r="CO7" s="56">
        <f>'Prudential Ratios'!CO8</f>
        <v>0.1856520275714128</v>
      </c>
    </row>
    <row r="8" spans="1:93">
      <c r="A8" s="51" t="s">
        <v>220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</row>
    <row r="9" spans="1:93">
      <c r="A9" s="53" t="s">
        <v>221</v>
      </c>
      <c r="B9" s="54" t="s">
        <v>171</v>
      </c>
      <c r="C9" s="57">
        <f>'Prudential Ratios'!C16</f>
        <v>0</v>
      </c>
      <c r="D9" s="57">
        <f>'Prudential Ratios'!D16</f>
        <v>0</v>
      </c>
      <c r="E9" s="57">
        <f>'Prudential Ratios'!E16</f>
        <v>0</v>
      </c>
      <c r="F9" s="57">
        <f>'Prudential Ratios'!F16</f>
        <v>0</v>
      </c>
      <c r="G9" s="57" t="e">
        <f>'Prudential Ratios'!#REF!</f>
        <v>#REF!</v>
      </c>
      <c r="H9" s="57">
        <f>'Prudential Ratios'!H16</f>
        <v>0</v>
      </c>
      <c r="I9" s="57"/>
      <c r="J9" s="57"/>
      <c r="K9" s="57">
        <f>'Prudential Ratios'!K16</f>
        <v>0</v>
      </c>
      <c r="L9" s="57">
        <f>'Prudential Ratios'!L16</f>
        <v>0</v>
      </c>
      <c r="M9" s="57">
        <f>'Prudential Ratios'!M16</f>
        <v>0</v>
      </c>
      <c r="N9" s="57">
        <f>'Prudential Ratios'!N16</f>
        <v>0</v>
      </c>
      <c r="O9" s="57">
        <f>'Prudential Ratios'!O16</f>
        <v>0</v>
      </c>
      <c r="P9" s="57">
        <f>'Prudential Ratios'!P16</f>
        <v>0</v>
      </c>
      <c r="Q9" s="57">
        <f>'Prudential Ratios'!Q16</f>
        <v>2.0592365760057555E-10</v>
      </c>
      <c r="R9" s="57">
        <f>'Prudential Ratios'!R16</f>
        <v>4.018696371099079E-10</v>
      </c>
      <c r="S9" s="57">
        <f>'Prudential Ratios'!S16</f>
        <v>5.8077736654278333E-10</v>
      </c>
      <c r="T9" s="57">
        <f>'Prudential Ratios'!T16</f>
        <v>5.6768689733614918E-10</v>
      </c>
      <c r="U9" s="57">
        <f>'Prudential Ratios'!U16</f>
        <v>5.6768689734796567E-10</v>
      </c>
      <c r="V9" s="57">
        <f>'Prudential Ratios'!V16</f>
        <v>2.8256670182155425E-10</v>
      </c>
      <c r="W9" s="57">
        <f>'Prudential Ratios'!W16</f>
        <v>5.6745405505251305E-10</v>
      </c>
      <c r="X9" s="57">
        <f>'Prudential Ratios'!X16</f>
        <v>5.6803443984117076E-10</v>
      </c>
      <c r="Y9" s="57">
        <f>'Prudential Ratios'!Y16</f>
        <v>5.5696812629013128E-10</v>
      </c>
      <c r="Z9" s="57">
        <f>'Prudential Ratios'!Z16</f>
        <v>5.5628868534408106E-10</v>
      </c>
      <c r="AA9" s="57">
        <f>'Prudential Ratios'!AA16</f>
        <v>5.520616208347995E-10</v>
      </c>
      <c r="AB9" s="57">
        <f>'Prudential Ratios'!AB16</f>
        <v>5.4708848320200216E-10</v>
      </c>
      <c r="AC9" s="57">
        <f>'Prudential Ratios'!AC16</f>
        <v>5.2550278012412339E-10</v>
      </c>
      <c r="AD9" s="57">
        <f>'Prudential Ratios'!AD16</f>
        <v>5.2714016360666783E-10</v>
      </c>
      <c r="AE9" s="57">
        <f>'Prudential Ratios'!AE16</f>
        <v>5.2690391977036401E-10</v>
      </c>
      <c r="AF9" s="57">
        <f>'Prudential Ratios'!AF16</f>
        <v>5.1900376478807104E-10</v>
      </c>
      <c r="AG9" s="57">
        <f>'Prudential Ratios'!AG16</f>
        <v>5.1347161105342012E-10</v>
      </c>
      <c r="AH9" s="57">
        <f>'Prudential Ratios'!AH16</f>
        <v>5.1347161105342012E-10</v>
      </c>
      <c r="AI9" s="57">
        <f>'Prudential Ratios'!AI16</f>
        <v>5.1446649619587681E-10</v>
      </c>
      <c r="AJ9" s="57">
        <f>'Prudential Ratios'!AJ16</f>
        <v>5.2328798780460423E-10</v>
      </c>
      <c r="AK9" s="57">
        <f>'Prudential Ratios'!AK16</f>
        <v>5.2416821460866268E-10</v>
      </c>
      <c r="AL9" s="57">
        <f>'Prudential Ratios'!AL16</f>
        <v>5.1958381445318576E-10</v>
      </c>
      <c r="AM9" s="57">
        <f>'Prudential Ratios'!AM16</f>
        <v>5.2096494313407351E-10</v>
      </c>
      <c r="AN9" s="57">
        <f>'Prudential Ratios'!AN16</f>
        <v>5.1949074396600773E-10</v>
      </c>
      <c r="AO9" s="57">
        <f>'Prudential Ratios'!AO16</f>
        <v>5.1977260165194199E-10</v>
      </c>
      <c r="AP9" s="57">
        <f>'Prudential Ratios'!AP16</f>
        <v>5.0545214925663471E-10</v>
      </c>
      <c r="AQ9" s="57">
        <f>'Prudential Ratios'!AQ16</f>
        <v>5.0319705924513308E-10</v>
      </c>
      <c r="AR9" s="57">
        <f>'Prudential Ratios'!AR16</f>
        <v>5.0510142675815676E-10</v>
      </c>
      <c r="AS9" s="57">
        <f>'Prudential Ratios'!AS16</f>
        <v>4.9221566707531138E-10</v>
      </c>
      <c r="AT9" s="57">
        <f>'Prudential Ratios'!AT16</f>
        <v>4.7604448350451222E-10</v>
      </c>
      <c r="AU9" s="57">
        <f>'Prudential Ratios'!AU16</f>
        <v>4.8083212838912279E-10</v>
      </c>
      <c r="AV9" s="57">
        <f>'Prudential Ratios'!AV16</f>
        <v>4.7780846221804179E-10</v>
      </c>
      <c r="AW9" s="57">
        <f>'Prudential Ratios'!AW16</f>
        <v>4.8876324863719851E-10</v>
      </c>
      <c r="AX9" s="57">
        <f>'Prudential Ratios'!AX16</f>
        <v>4.920591745284843E-10</v>
      </c>
      <c r="AY9" s="57">
        <f>'Prudential Ratios'!AY16</f>
        <v>4.9880251592631894E-10</v>
      </c>
      <c r="AZ9" s="57">
        <f>'Prudential Ratios'!AZ16</f>
        <v>5.0416578763548001E-10</v>
      </c>
      <c r="BA9" s="57">
        <f>'Prudential Ratios'!BA16</f>
        <v>5.0044548928306905E-10</v>
      </c>
      <c r="BB9" s="57">
        <f>'Prudential Ratios'!BB16</f>
        <v>4.9621359122933468E-10</v>
      </c>
      <c r="BC9" s="57">
        <f>'Prudential Ratios'!BC16</f>
        <v>4.7630817096649251E-10</v>
      </c>
      <c r="BD9" s="57">
        <f>'Prudential Ratios'!BD16</f>
        <v>4.6768512427382493E-10</v>
      </c>
      <c r="BE9" s="57">
        <f>'Prudential Ratios'!BE16</f>
        <v>4.6169879964554163E-10</v>
      </c>
      <c r="BF9" s="57">
        <f>'Prudential Ratios'!BF16</f>
        <v>4.5840691505774096E-10</v>
      </c>
      <c r="BG9" s="57">
        <f>'Prudential Ratios'!BG16</f>
        <v>4.517303441804557E-10</v>
      </c>
      <c r="BH9" s="57">
        <f>'Prudential Ratios'!BH16</f>
        <v>4.5588549216644081E-10</v>
      </c>
      <c r="BI9" s="57">
        <f>'Prudential Ratios'!BI16</f>
        <v>4.6139142561423727E-10</v>
      </c>
      <c r="BJ9" s="57">
        <f>'Prudential Ratios'!BJ16</f>
        <v>4.6597508527784273E-10</v>
      </c>
      <c r="BK9" s="57">
        <f>'Prudential Ratios'!BK16</f>
        <v>4.6400019905912921E-10</v>
      </c>
      <c r="BL9" s="57">
        <f>'Prudential Ratios'!BL16</f>
        <v>4.5683451022140652E-10</v>
      </c>
      <c r="BM9" s="57">
        <f>'Prudential Ratios'!BM16</f>
        <v>4.5439800268756418E-10</v>
      </c>
      <c r="BN9" s="57">
        <f>'Prudential Ratios'!BN16</f>
        <v>4.4963370436678889E-10</v>
      </c>
      <c r="BO9" s="57">
        <f>'Prudential Ratios'!BO16</f>
        <v>4.4555027874227724E-10</v>
      </c>
      <c r="BP9" s="57">
        <f>'Prudential Ratios'!BP16</f>
        <v>4.4439101397044471E-10</v>
      </c>
      <c r="BQ9" s="57">
        <f>'Prudential Ratios'!BQ16</f>
        <v>4.4084792308451253E-10</v>
      </c>
      <c r="BR9" s="57">
        <f>'Prudential Ratios'!BR16</f>
        <v>4.2834230282513333E-10</v>
      </c>
      <c r="BS9" s="57">
        <f>'Prudential Ratios'!BS16</f>
        <v>4.2047958165444707E-10</v>
      </c>
      <c r="BT9" s="57">
        <f>'Prudential Ratios'!BT16</f>
        <v>4.0842366407998502E-10</v>
      </c>
      <c r="BU9" s="57">
        <f>'Prudential Ratios'!BU16</f>
        <v>4.0842366406497211E-10</v>
      </c>
      <c r="BV9" s="57">
        <f>'Prudential Ratios'!BV16</f>
        <v>4.126168559231691E-10</v>
      </c>
      <c r="BW9" s="57">
        <f>'Prudential Ratios'!BW16</f>
        <v>4.1051252785822923E-10</v>
      </c>
      <c r="BX9" s="57">
        <f>'Prudential Ratios'!BX16</f>
        <v>3.9619230766225235E-10</v>
      </c>
      <c r="BY9" s="57">
        <f>'Prudential Ratios'!BY16</f>
        <v>3.897018787326281E-10</v>
      </c>
      <c r="BZ9" s="57">
        <f>'Prudential Ratios'!BZ16</f>
        <v>3.8496662601457623E-10</v>
      </c>
      <c r="CA9" s="57">
        <f>'Prudential Ratios'!CA16</f>
        <v>3.8007865314733417E-10</v>
      </c>
      <c r="CB9" s="57">
        <f>'Prudential Ratios'!CB16</f>
        <v>3.7465857409476434E-10</v>
      </c>
      <c r="CC9" s="57">
        <f>'Prudential Ratios'!CC16</f>
        <v>3.694120934218388E-10</v>
      </c>
      <c r="CD9" s="57">
        <f>'Prudential Ratios'!CD16</f>
        <v>3.6324420374674568E-10</v>
      </c>
      <c r="CE9" s="57">
        <f>'Prudential Ratios'!CE16</f>
        <v>3.5872036308314154E-10</v>
      </c>
      <c r="CF9" s="57">
        <f>'Prudential Ratios'!CF16</f>
        <v>3.5486538398759158E-10</v>
      </c>
      <c r="CG9" s="57">
        <f>'Prudential Ratios'!CG16</f>
        <v>3.459557391920941E-10</v>
      </c>
      <c r="CH9" s="57">
        <f>'Prudential Ratios'!CH16</f>
        <v>3.4550223141706338E-10</v>
      </c>
      <c r="CI9" s="57">
        <f>'Prudential Ratios'!CI16</f>
        <v>3.4554945342013442E-10</v>
      </c>
      <c r="CJ9" s="57">
        <f>'Prudential Ratios'!CJ16</f>
        <v>3.4523721559374026E-10</v>
      </c>
      <c r="CK9" s="57">
        <f>'Prudential Ratios'!CK16</f>
        <v>3.4220417388701577E-10</v>
      </c>
      <c r="CL9" s="57">
        <f>'Prudential Ratios'!CL16</f>
        <v>3.3763440661713373E-10</v>
      </c>
      <c r="CM9" s="57">
        <f>'Prudential Ratios'!CM16</f>
        <v>3.3626249910281624E-10</v>
      </c>
      <c r="CN9" s="57">
        <f>'Prudential Ratios'!CN16</f>
        <v>3.3180106672120897E-10</v>
      </c>
      <c r="CO9" s="57">
        <f>'Prudential Ratios'!CO16</f>
        <v>3.2919932500553239E-10</v>
      </c>
    </row>
    <row r="10" spans="1:93">
      <c r="A10" s="51" t="s">
        <v>202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</row>
    <row r="11" spans="1:93">
      <c r="A11" s="53" t="s">
        <v>222</v>
      </c>
      <c r="B11" s="58"/>
      <c r="C11" s="57" t="e">
        <f>'Prudential Ratios'!C54</f>
        <v>#VALUE!</v>
      </c>
      <c r="D11" s="57">
        <f>'Prudential Ratios'!D54</f>
        <v>9.7870414283700042E-3</v>
      </c>
      <c r="E11" s="57">
        <f>'Prudential Ratios'!E54</f>
        <v>1.4654614896578853E-2</v>
      </c>
      <c r="F11" s="57">
        <f>'Prudential Ratios'!F54</f>
        <v>1.9719036883629876E-2</v>
      </c>
      <c r="G11" s="57">
        <f>'Prudential Ratios'!G54</f>
        <v>1.149004700918918E-2</v>
      </c>
      <c r="H11" s="57">
        <f>'Prudential Ratios'!H54</f>
        <v>1.0062483351829009E-2</v>
      </c>
      <c r="I11" s="57">
        <f>'Prudential Ratios'!I54</f>
        <v>4.7879381611168632E-3</v>
      </c>
      <c r="J11" s="57">
        <f>'Prudential Ratios'!J54</f>
        <v>-4.5950499232461084E-3</v>
      </c>
      <c r="K11" s="57">
        <f>'Prudential Ratios'!K54</f>
        <v>-4.3666175431343116E-3</v>
      </c>
      <c r="L11" s="57">
        <f>'Prudential Ratios'!L54</f>
        <v>-5.1801016472975041E-3</v>
      </c>
      <c r="M11" s="57">
        <f>'Prudential Ratios'!M54</f>
        <v>-5.1940898410668505E-3</v>
      </c>
      <c r="N11" s="57">
        <f>'Prudential Ratios'!N54</f>
        <v>-3.9282244067922346E-3</v>
      </c>
      <c r="O11" s="57">
        <f>'Prudential Ratios'!O54</f>
        <v>-3.2257270211915497E-3</v>
      </c>
      <c r="P11" s="57">
        <f>'Prudential Ratios'!P54</f>
        <v>-6.3032913910524675E-4</v>
      </c>
      <c r="Q11" s="57">
        <f>'Prudential Ratios'!Q54</f>
        <v>1.1027306828082113E-3</v>
      </c>
      <c r="R11" s="57">
        <f>'Prudential Ratios'!R54</f>
        <v>1.8772807611566831E-3</v>
      </c>
      <c r="S11" s="57">
        <f>'Prudential Ratios'!S54</f>
        <v>1.5855175008506685E-3</v>
      </c>
      <c r="T11" s="57">
        <f>'Prudential Ratios'!T54</f>
        <v>4.3934779810017388E-3</v>
      </c>
      <c r="U11" s="57">
        <f>'Prudential Ratios'!U54</f>
        <v>1.3350356696316946E-2</v>
      </c>
      <c r="V11" s="57">
        <f>'Prudential Ratios'!V54</f>
        <v>5.6273416332300067E-3</v>
      </c>
      <c r="W11" s="57">
        <f>'Prudential Ratios'!W54</f>
        <v>-3.4778066539600623E-3</v>
      </c>
      <c r="X11" s="57">
        <f>'Prudential Ratios'!X54</f>
        <v>-5.0508628814855318E-3</v>
      </c>
      <c r="Y11" s="57">
        <f>'Prudential Ratios'!Y54</f>
        <v>-5.2709880349591093E-3</v>
      </c>
      <c r="Z11" s="57">
        <f>'Prudential Ratios'!Z54</f>
        <v>-3.3761227447101695E-3</v>
      </c>
      <c r="AA11" s="57">
        <f>'Prudential Ratios'!AA54</f>
        <v>-2.2849143875204722E-3</v>
      </c>
      <c r="AB11" s="57">
        <f>'Prudential Ratios'!AB54</f>
        <v>-1.6135759118926659E-3</v>
      </c>
      <c r="AC11" s="57">
        <f>'Prudential Ratios'!AC54</f>
        <v>2.6931490588867862E-4</v>
      </c>
      <c r="AD11" s="57">
        <f>'Prudential Ratios'!AD54</f>
        <v>1.4119259073608079E-3</v>
      </c>
      <c r="AE11" s="57">
        <f>'Prudential Ratios'!AE54</f>
        <v>2.391604228044724E-3</v>
      </c>
      <c r="AF11" s="57">
        <f>'Prudential Ratios'!AF54</f>
        <v>3.7125671048500023E-3</v>
      </c>
      <c r="AG11" s="57">
        <f>'Prudential Ratios'!AG54</f>
        <v>9.9760548722007663E-3</v>
      </c>
      <c r="AH11" s="57">
        <f>'Prudential Ratios'!AH54</f>
        <v>1.4588958421380114E-2</v>
      </c>
      <c r="AI11" s="57">
        <f>'Prudential Ratios'!AI54</f>
        <v>2.0493254584915286E-4</v>
      </c>
      <c r="AJ11" s="57">
        <f>'Prudential Ratios'!AJ54</f>
        <v>-1.2107431394645868E-3</v>
      </c>
      <c r="AK11" s="57">
        <f>'Prudential Ratios'!AK54</f>
        <v>-3.0639459305620057E-3</v>
      </c>
      <c r="AL11" s="57">
        <f>'Prudential Ratios'!AL54</f>
        <v>-3.2330903917753757E-3</v>
      </c>
      <c r="AM11" s="57">
        <f>'Prudential Ratios'!AM54</f>
        <v>-3.6103035186389669E-3</v>
      </c>
      <c r="AN11" s="57">
        <f>'Prudential Ratios'!AN54</f>
        <v>-2.4965222300028381E-3</v>
      </c>
      <c r="AO11" s="57">
        <f>'Prudential Ratios'!AO54</f>
        <v>-2.1698517244180112E-3</v>
      </c>
      <c r="AP11" s="57">
        <f>'Prudential Ratios'!AP54</f>
        <v>-1.9031006453197708E-4</v>
      </c>
      <c r="AQ11" s="57">
        <f>'Prudential Ratios'!AQ54</f>
        <v>-1.5889554663353305E-4</v>
      </c>
      <c r="AR11" s="57">
        <f>'Prudential Ratios'!AR54</f>
        <v>-5.4853700914293043E-4</v>
      </c>
      <c r="AS11" s="57">
        <f>'Prudential Ratios'!AS54</f>
        <v>4.2287289208144043E-4</v>
      </c>
      <c r="AT11" s="57">
        <f>'Prudential Ratios'!AT54</f>
        <v>1.3656530756460489E-4</v>
      </c>
      <c r="AU11" s="57">
        <f>'Prudential Ratios'!AU54</f>
        <v>1.4378890049553809E-2</v>
      </c>
      <c r="AV11" s="57">
        <f>'Prudential Ratios'!AV54</f>
        <v>-2.4675756842450962E-4</v>
      </c>
      <c r="AW11" s="57">
        <f>'Prudential Ratios'!AW54</f>
        <v>-3.1042166150280903E-4</v>
      </c>
      <c r="AX11" s="57">
        <f>'Prudential Ratios'!AX54</f>
        <v>-2.484619406154642E-3</v>
      </c>
      <c r="AY11" s="57">
        <f>'Prudential Ratios'!AY54</f>
        <v>-5.0682590655114169E-4</v>
      </c>
      <c r="AZ11" s="57">
        <f>'Prudential Ratios'!AZ54</f>
        <v>-6.370592219070733E-5</v>
      </c>
      <c r="BA11" s="57">
        <f>'Prudential Ratios'!BA54</f>
        <v>-5.6459102772931909E-4</v>
      </c>
      <c r="BB11" s="57">
        <f>'Prudential Ratios'!BB54</f>
        <v>3.8620961400532417E-4</v>
      </c>
      <c r="BC11" s="57">
        <f>'Prudential Ratios'!BC54</f>
        <v>1.5530463353755513E-3</v>
      </c>
      <c r="BD11" s="57">
        <f>'Prudential Ratios'!BD54</f>
        <v>2.8741418332120369E-3</v>
      </c>
      <c r="BE11" s="57">
        <f>'Prudential Ratios'!BE54</f>
        <v>4.7878690136255184E-3</v>
      </c>
      <c r="BF11" s="57">
        <f>'Prudential Ratios'!BF54</f>
        <v>5.9908365727041873E-3</v>
      </c>
      <c r="BG11" s="57">
        <f>'Prudential Ratios'!BG54</f>
        <v>7.0232424557770739E-3</v>
      </c>
      <c r="BH11" s="57">
        <f>'Prudential Ratios'!BH54</f>
        <v>1.1472717176086089E-2</v>
      </c>
      <c r="BI11" s="57">
        <f>'Prudential Ratios'!BI54</f>
        <v>5.7691689395949911E-4</v>
      </c>
      <c r="BJ11" s="57">
        <f>'Prudential Ratios'!BJ54</f>
        <v>3.4272161861373835E-4</v>
      </c>
      <c r="BK11" s="57">
        <f>'Prudential Ratios'!BK54</f>
        <v>-8.7172774139555919E-4</v>
      </c>
      <c r="BL11" s="57">
        <f>'Prudential Ratios'!BL54</f>
        <v>-7.2295688068518024E-4</v>
      </c>
      <c r="BM11" s="57">
        <f>'Prudential Ratios'!BM54</f>
        <v>2.1670599931296617E-3</v>
      </c>
      <c r="BN11" s="57">
        <f>'Prudential Ratios'!BN54</f>
        <v>1.9964310520450505E-3</v>
      </c>
      <c r="BO11" s="57">
        <f>'Prudential Ratios'!BO54</f>
        <v>3.8955099836075744E-3</v>
      </c>
      <c r="BP11" s="57">
        <f>'Prudential Ratios'!BP54</f>
        <v>3.7756733209382727E-3</v>
      </c>
      <c r="BQ11" s="57">
        <f>'Prudential Ratios'!BQ54</f>
        <v>4.0596695649765908E-3</v>
      </c>
      <c r="BR11" s="57">
        <f>'Prudential Ratios'!BR54</f>
        <v>4.8199522562605316E-3</v>
      </c>
      <c r="BS11" s="57">
        <f>'Prudential Ratios'!BS54</f>
        <v>5.1833868195554416E-3</v>
      </c>
      <c r="BT11" s="57">
        <f>'Prudential Ratios'!BT54</f>
        <v>7.063835424450199E-3</v>
      </c>
      <c r="BU11" s="57">
        <f>'Prudential Ratios'!BU54</f>
        <v>1.0842727316801538E-2</v>
      </c>
      <c r="BV11" s="57">
        <f>'Prudential Ratios'!BV54</f>
        <v>-1.5656096423980988E-3</v>
      </c>
      <c r="BW11" s="57">
        <f>'Prudential Ratios'!BW54</f>
        <v>-1.3006114861834957E-3</v>
      </c>
      <c r="BX11" s="57">
        <f>'Prudential Ratios'!BX54</f>
        <v>-1.6181902799348054E-3</v>
      </c>
      <c r="BY11" s="57">
        <f>'Prudential Ratios'!BY54</f>
        <v>-2.9343036416031002E-3</v>
      </c>
      <c r="BZ11" s="57">
        <f>'Prudential Ratios'!BZ54</f>
        <v>-3.721290560869272E-3</v>
      </c>
      <c r="CA11" s="57">
        <f>'Prudential Ratios'!CA54</f>
        <v>-2.7666204612404807E-3</v>
      </c>
      <c r="CB11" s="57">
        <f>'Prudential Ratios'!CB54</f>
        <v>-2.908340245228421E-3</v>
      </c>
      <c r="CC11" s="57">
        <f>'Prudential Ratios'!CC54</f>
        <v>-1.8915607542873689E-3</v>
      </c>
      <c r="CD11" s="57">
        <f>'Prudential Ratios'!CD54</f>
        <v>-1.0398319185292275E-3</v>
      </c>
      <c r="CE11" s="57">
        <f>'Prudential Ratios'!CE54</f>
        <v>1.7136845176055025E-4</v>
      </c>
      <c r="CF11" s="57">
        <f>'Prudential Ratios'!CF54</f>
        <v>9.851753738194162E-4</v>
      </c>
      <c r="CG11" s="57">
        <f>'Prudential Ratios'!CG54</f>
        <v>7.5841112033549892E-3</v>
      </c>
      <c r="CH11" s="57">
        <f>'Prudential Ratios'!CH54</f>
        <v>1.1359896315419353E-2</v>
      </c>
      <c r="CI11" s="57">
        <f>'Prudential Ratios'!CI54</f>
        <v>-3.2417130055398952E-4</v>
      </c>
      <c r="CJ11" s="57">
        <f>'Prudential Ratios'!CJ54</f>
        <v>-2.0926731098857205E-3</v>
      </c>
      <c r="CK11" s="57">
        <f>'Prudential Ratios'!CK54</f>
        <v>-1.1761883185666634E-3</v>
      </c>
      <c r="CL11" s="57">
        <f>'Prudential Ratios'!CL54</f>
        <v>-1.456504211312083E-3</v>
      </c>
      <c r="CM11" s="57">
        <f>'Prudential Ratios'!CM54</f>
        <v>-1.060291754775832E-3</v>
      </c>
      <c r="CN11" s="57">
        <f>'Prudential Ratios'!CN54</f>
        <v>3.6289581028254729E-4</v>
      </c>
      <c r="CO11" s="57">
        <f>'Prudential Ratios'!CO54</f>
        <v>9.1008490264409773E-4</v>
      </c>
    </row>
    <row r="12" spans="1:93">
      <c r="A12" s="53" t="s">
        <v>223</v>
      </c>
      <c r="B12" s="58"/>
      <c r="C12" s="57">
        <f>'Prudential Ratios'!C55</f>
        <v>4.8597782258064512</v>
      </c>
      <c r="D12" s="57">
        <f>'Prudential Ratios'!D55</f>
        <v>0.72029681039574722</v>
      </c>
      <c r="E12" s="57">
        <f>'Prudential Ratios'!E55</f>
        <v>0.60105216547885121</v>
      </c>
      <c r="F12" s="57">
        <f>'Prudential Ratios'!F55</f>
        <v>0.60178640089730706</v>
      </c>
      <c r="G12" s="57">
        <f>'Prudential Ratios'!G55</f>
        <v>0.74236942143884244</v>
      </c>
      <c r="H12" s="57">
        <f>'Prudential Ratios'!H55</f>
        <v>0.78085062022590557</v>
      </c>
      <c r="I12" s="57">
        <f>'Prudential Ratios'!I55</f>
        <v>0.37289223051223924</v>
      </c>
      <c r="J12" s="57">
        <f>'Prudential Ratios'!J55</f>
        <v>1.9973958807544836</v>
      </c>
      <c r="K12" s="57">
        <f>'Prudential Ratios'!K55</f>
        <v>1.4315242900874394</v>
      </c>
      <c r="L12" s="57">
        <f>'Prudential Ratios'!L55</f>
        <v>1.3227829840354426</v>
      </c>
      <c r="M12" s="57">
        <f>'Prudential Ratios'!M55</f>
        <v>1.1977732060362993</v>
      </c>
      <c r="N12" s="57">
        <f>'Prudential Ratios'!N55</f>
        <v>1.0531382549518753</v>
      </c>
      <c r="O12" s="57">
        <f>'Prudential Ratios'!O55</f>
        <v>0.98628924784805283</v>
      </c>
      <c r="P12" s="57">
        <f>'Prudential Ratios'!P55</f>
        <v>0.85742478180152071</v>
      </c>
      <c r="Q12" s="57">
        <f>'Prudential Ratios'!Q55</f>
        <v>0.80133854997634746</v>
      </c>
      <c r="R12" s="57">
        <f>'Prudential Ratios'!R55</f>
        <v>0.78214586427823118</v>
      </c>
      <c r="S12" s="57">
        <f>'Prudential Ratios'!S55</f>
        <v>0.79088623129334246</v>
      </c>
      <c r="T12" s="57">
        <f>'Prudential Ratios'!T55</f>
        <v>0.73158261908990241</v>
      </c>
      <c r="U12" s="57">
        <f>'Prudential Ratios'!U55</f>
        <v>0.6199802000657707</v>
      </c>
      <c r="V12" s="57">
        <f>'Prudential Ratios'!V55</f>
        <v>0.37476692744226925</v>
      </c>
      <c r="W12" s="57">
        <f>'Prudential Ratios'!W55</f>
        <v>1.9963572815293267</v>
      </c>
      <c r="X12" s="57">
        <f>'Prudential Ratios'!X55</f>
        <v>1.5319683162150828</v>
      </c>
      <c r="Y12" s="57">
        <f>'Prudential Ratios'!Y55</f>
        <v>1.3202594281055622</v>
      </c>
      <c r="Z12" s="57">
        <f>'Prudential Ratios'!Z55</f>
        <v>1.0504875440570436</v>
      </c>
      <c r="AA12" s="57">
        <f>'Prudential Ratios'!AA55</f>
        <v>0.95845663201311759</v>
      </c>
      <c r="AB12" s="57">
        <f>'Prudential Ratios'!AB55</f>
        <v>0.91414187708124917</v>
      </c>
      <c r="AC12" s="57">
        <f>'Prudential Ratios'!AC55</f>
        <v>0.84330219009627172</v>
      </c>
      <c r="AD12" s="57">
        <f>'Prudential Ratios'!AD55</f>
        <v>0.81301304467884594</v>
      </c>
      <c r="AE12" s="57">
        <f>'Prudential Ratios'!AE55</f>
        <v>0.7917521177156317</v>
      </c>
      <c r="AF12" s="57">
        <f>'Prudential Ratios'!AF55</f>
        <v>0.77245189069632481</v>
      </c>
      <c r="AG12" s="57">
        <f>'Prudential Ratios'!AG55</f>
        <v>0.63257263923474571</v>
      </c>
      <c r="AH12" s="57">
        <f>'Prudential Ratios'!AH55</f>
        <v>0.55328184443801665</v>
      </c>
      <c r="AI12" s="57">
        <f>'Prudential Ratios'!AI55</f>
        <v>0.72366941864305645</v>
      </c>
      <c r="AJ12" s="57">
        <f>'Prudential Ratios'!AJ55</f>
        <v>0.92816776729589834</v>
      </c>
      <c r="AK12" s="57">
        <f>'Prudential Ratios'!AK55</f>
        <v>1.0552407027706487</v>
      </c>
      <c r="AL12" s="57">
        <f>'Prudential Ratios'!AL55</f>
        <v>0.98972486703885387</v>
      </c>
      <c r="AM12" s="57">
        <f>'Prudential Ratios'!AM55</f>
        <v>0.9632943663874286</v>
      </c>
      <c r="AN12" s="57">
        <f>'Prudential Ratios'!AN55</f>
        <v>0.88527033071031291</v>
      </c>
      <c r="AO12" s="57">
        <f>'Prudential Ratios'!AO55</f>
        <v>0.85868361295671303</v>
      </c>
      <c r="AP12" s="57">
        <f>'Prudential Ratios'!AP55</f>
        <v>0.79204831476849957</v>
      </c>
      <c r="AQ12" s="57">
        <f>'Prudential Ratios'!AQ55</f>
        <v>0.79132877079913932</v>
      </c>
      <c r="AR12" s="57">
        <f>'Prudential Ratios'!AR55</f>
        <v>0.79991773913326814</v>
      </c>
      <c r="AS12" s="57">
        <f>'Prudential Ratios'!AS55</f>
        <v>0.77897263122613825</v>
      </c>
      <c r="AT12" s="57">
        <f>'Prudential Ratios'!AT55</f>
        <v>0.79162727015438172</v>
      </c>
      <c r="AU12" s="57">
        <f>'Prudential Ratios'!AU55</f>
        <v>0.51380095145728089</v>
      </c>
      <c r="AV12" s="57">
        <f>'Prudential Ratios'!AV55</f>
        <v>0.84742909287968959</v>
      </c>
      <c r="AW12" s="57">
        <f>'Prudential Ratios'!AW55</f>
        <v>0.85354585499642743</v>
      </c>
      <c r="AX12" s="57">
        <f>'Prudential Ratios'!AX55</f>
        <v>0.99796333371939294</v>
      </c>
      <c r="AY12" s="57">
        <f>'Prudential Ratios'!AY55</f>
        <v>0.81913577176073726</v>
      </c>
      <c r="AZ12" s="57">
        <f>'Prudential Ratios'!AZ55</f>
        <v>0.77986584179332397</v>
      </c>
      <c r="BA12" s="57">
        <f>'Prudential Ratios'!BA55</f>
        <v>0.79764372626182911</v>
      </c>
      <c r="BB12" s="57">
        <f>'Prudential Ratios'!BB55</f>
        <v>0.7526708643896054</v>
      </c>
      <c r="BC12" s="57">
        <f>'Prudential Ratios'!BC55</f>
        <v>0.71816089950526418</v>
      </c>
      <c r="BD12" s="57">
        <f>'Prudential Ratios'!BD55</f>
        <v>0.6891935201135968</v>
      </c>
      <c r="BE12" s="57">
        <f>'Prudential Ratios'!BE55</f>
        <v>0.64857889364306343</v>
      </c>
      <c r="BF12" s="57">
        <f>'Prudential Ratios'!BF55</f>
        <v>0.63216639923166773</v>
      </c>
      <c r="BG12" s="57">
        <f>'Prudential Ratios'!BG55</f>
        <v>0.62483068515038653</v>
      </c>
      <c r="BH12" s="57">
        <f>'Prudential Ratios'!BH55</f>
        <v>0.57768988119213172</v>
      </c>
      <c r="BI12" s="57">
        <f>'Prudential Ratios'!BI55</f>
        <v>0.59837869613721828</v>
      </c>
      <c r="BJ12" s="57">
        <f>'Prudential Ratios'!BJ55</f>
        <v>0.73941676997919648</v>
      </c>
      <c r="BK12" s="57">
        <f>'Prudential Ratios'!BK55</f>
        <v>0.90689698030027199</v>
      </c>
      <c r="BL12" s="57">
        <f>'Prudential Ratios'!BL55</f>
        <v>0.88340708645316623</v>
      </c>
      <c r="BM12" s="57">
        <f>'Prudential Ratios'!BM55</f>
        <v>0.71800765886162499</v>
      </c>
      <c r="BN12" s="57">
        <f>'Prudential Ratios'!BN55</f>
        <v>0.74280131647040815</v>
      </c>
      <c r="BO12" s="57">
        <f>'Prudential Ratios'!BO55</f>
        <v>0.68663250227621297</v>
      </c>
      <c r="BP12" s="57">
        <f>'Prudential Ratios'!BP55</f>
        <v>0.69950380652428035</v>
      </c>
      <c r="BQ12" s="57">
        <f>'Prudential Ratios'!BQ55</f>
        <v>0.70589698693413727</v>
      </c>
      <c r="BR12" s="57">
        <f>'Prudential Ratios'!BR55</f>
        <v>0.69748783949439885</v>
      </c>
      <c r="BS12" s="57">
        <f>'Prudential Ratios'!BS55</f>
        <v>0.69672631439768018</v>
      </c>
      <c r="BT12" s="57">
        <f>'Prudential Ratios'!BT55</f>
        <v>0.67132896090009564</v>
      </c>
      <c r="BU12" s="57">
        <f>'Prudential Ratios'!BU55</f>
        <v>0.64322774372910629</v>
      </c>
      <c r="BV12" s="57">
        <f>'Prudential Ratios'!BV55</f>
        <v>1.7062803825390589</v>
      </c>
      <c r="BW12" s="57">
        <f>'Prudential Ratios'!BW55</f>
        <v>1.0741815842567837</v>
      </c>
      <c r="BX12" s="57">
        <f>'Prudential Ratios'!BX55</f>
        <v>1.0296089732639002</v>
      </c>
      <c r="BY12" s="57">
        <f>'Prudential Ratios'!BY55</f>
        <v>1.1238393532731978</v>
      </c>
      <c r="BZ12" s="57">
        <f>'Prudential Ratios'!BZ55</f>
        <v>1.1242885165920447</v>
      </c>
      <c r="CA12" s="57">
        <f>'Prudential Ratios'!CA55</f>
        <v>0.99823749075226398</v>
      </c>
      <c r="CB12" s="57">
        <f>'Prudential Ratios'!CB55</f>
        <v>0.98163152520131602</v>
      </c>
      <c r="CC12" s="57">
        <f>'Prudential Ratios'!CC55</f>
        <v>0.91531041142533576</v>
      </c>
      <c r="CD12" s="57">
        <f>'Prudential Ratios'!CD55</f>
        <v>0.8732600067420786</v>
      </c>
      <c r="CE12" s="57">
        <f>'Prudential Ratios'!CE55</f>
        <v>0.84062887189957614</v>
      </c>
      <c r="CF12" s="57">
        <f>'Prudential Ratios'!CF55</f>
        <v>0.8203717706754885</v>
      </c>
      <c r="CG12" s="57">
        <f>'Prudential Ratios'!CG55</f>
        <v>0.68148017091048596</v>
      </c>
      <c r="CH12" s="57">
        <f>'Prudential Ratios'!CH55</f>
        <v>0.63265420888380508</v>
      </c>
      <c r="CI12" s="57">
        <f>'Prudential Ratios'!CI55</f>
        <v>1.0583764634495263</v>
      </c>
      <c r="CJ12" s="57">
        <f>'Prudential Ratios'!CJ55</f>
        <v>1.4441273871787139</v>
      </c>
      <c r="CK12" s="57">
        <f>'Prudential Ratios'!CK55</f>
        <v>1.0880532306569302</v>
      </c>
      <c r="CL12" s="57">
        <f>'Prudential Ratios'!CL55</f>
        <v>1.0682201279528736</v>
      </c>
      <c r="CM12" s="57">
        <f>'Prudential Ratios'!CM55</f>
        <v>1.0203805287290399</v>
      </c>
      <c r="CN12" s="57">
        <f>'Prudential Ratios'!CN55</f>
        <v>0.91296973277736926</v>
      </c>
      <c r="CO12" s="57">
        <f>'Prudential Ratios'!CO55</f>
        <v>0.88188145252526529</v>
      </c>
    </row>
    <row r="13" spans="1:93">
      <c r="A13" s="53" t="s">
        <v>224</v>
      </c>
      <c r="B13" s="58"/>
      <c r="C13" s="57" t="e">
        <f>'Prudential Ratios'!C56</f>
        <v>#REF!</v>
      </c>
      <c r="D13" s="57" t="e">
        <f>'Prudential Ratios'!D56</f>
        <v>#REF!</v>
      </c>
      <c r="E13" s="57" t="e">
        <f>'Prudential Ratios'!E56</f>
        <v>#REF!</v>
      </c>
      <c r="F13" s="57" t="e">
        <f>'Prudential Ratios'!F56</f>
        <v>#REF!</v>
      </c>
      <c r="G13" s="57" t="e">
        <f>'Prudential Ratios'!G56</f>
        <v>#REF!</v>
      </c>
      <c r="H13" s="57" t="e">
        <f>'Prudential Ratios'!H56</f>
        <v>#REF!</v>
      </c>
      <c r="I13" s="57" t="e">
        <f>'Prudential Ratios'!I56</f>
        <v>#REF!</v>
      </c>
      <c r="J13" s="57" t="e">
        <f>'Prudential Ratios'!J56</f>
        <v>#REF!</v>
      </c>
      <c r="K13" s="57" t="e">
        <f>'Prudential Ratios'!K56</f>
        <v>#REF!</v>
      </c>
      <c r="L13" s="57" t="e">
        <f>'Prudential Ratios'!L56</f>
        <v>#REF!</v>
      </c>
      <c r="M13" s="57" t="e">
        <f>'Prudential Ratios'!M56</f>
        <v>#REF!</v>
      </c>
      <c r="N13" s="57" t="e">
        <f>'Prudential Ratios'!N56</f>
        <v>#REF!</v>
      </c>
      <c r="O13" s="57" t="e">
        <f>'Prudential Ratios'!O56</f>
        <v>#REF!</v>
      </c>
      <c r="P13" s="57" t="e">
        <f>'Prudential Ratios'!P56</f>
        <v>#REF!</v>
      </c>
      <c r="Q13" s="57" t="e">
        <f>'Prudential Ratios'!Q56</f>
        <v>#REF!</v>
      </c>
      <c r="R13" s="57" t="e">
        <f>'Prudential Ratios'!R56</f>
        <v>#REF!</v>
      </c>
      <c r="S13" s="57" t="e">
        <f>'Prudential Ratios'!S56</f>
        <v>#REF!</v>
      </c>
      <c r="T13" s="57" t="e">
        <f>'Prudential Ratios'!T56</f>
        <v>#REF!</v>
      </c>
      <c r="U13" s="57" t="e">
        <f>'Prudential Ratios'!U56</f>
        <v>#REF!</v>
      </c>
      <c r="V13" s="57" t="e">
        <f>'Prudential Ratios'!V56</f>
        <v>#REF!</v>
      </c>
      <c r="W13" s="57" t="e">
        <f>'Prudential Ratios'!W56</f>
        <v>#REF!</v>
      </c>
      <c r="X13" s="57" t="e">
        <f>'Prudential Ratios'!X56</f>
        <v>#REF!</v>
      </c>
      <c r="Y13" s="57" t="e">
        <f>'Prudential Ratios'!Y56</f>
        <v>#REF!</v>
      </c>
      <c r="Z13" s="57" t="e">
        <f>'Prudential Ratios'!Z56</f>
        <v>#REF!</v>
      </c>
      <c r="AA13" s="57" t="e">
        <f>'Prudential Ratios'!AA56</f>
        <v>#REF!</v>
      </c>
      <c r="AB13" s="57" t="e">
        <f>'Prudential Ratios'!AB56</f>
        <v>#REF!</v>
      </c>
      <c r="AC13" s="57" t="e">
        <f>'Prudential Ratios'!AC56</f>
        <v>#REF!</v>
      </c>
      <c r="AD13" s="57" t="e">
        <f>'Prudential Ratios'!AD56</f>
        <v>#REF!</v>
      </c>
      <c r="AE13" s="57" t="e">
        <f>'Prudential Ratios'!AE56</f>
        <v>#REF!</v>
      </c>
      <c r="AF13" s="57" t="e">
        <f>'Prudential Ratios'!AF56</f>
        <v>#REF!</v>
      </c>
      <c r="AG13" s="57" t="e">
        <f>'Prudential Ratios'!AG56</f>
        <v>#REF!</v>
      </c>
      <c r="AH13" s="57" t="e">
        <f>'Prudential Ratios'!AH56</f>
        <v>#REF!</v>
      </c>
      <c r="AI13" s="57" t="e">
        <f>'Prudential Ratios'!AI56</f>
        <v>#REF!</v>
      </c>
      <c r="AJ13" s="57" t="e">
        <f>'Prudential Ratios'!AJ56</f>
        <v>#REF!</v>
      </c>
      <c r="AK13" s="57" t="e">
        <f>'Prudential Ratios'!AK56</f>
        <v>#REF!</v>
      </c>
      <c r="AL13" s="57" t="e">
        <f>'Prudential Ratios'!AL56</f>
        <v>#REF!</v>
      </c>
      <c r="AM13" s="57" t="e">
        <f>'Prudential Ratios'!AM56</f>
        <v>#REF!</v>
      </c>
      <c r="AN13" s="57" t="e">
        <f>'Prudential Ratios'!AN56</f>
        <v>#REF!</v>
      </c>
      <c r="AO13" s="57" t="e">
        <f>'Prudential Ratios'!AO56</f>
        <v>#REF!</v>
      </c>
      <c r="AP13" s="57" t="e">
        <f>'Prudential Ratios'!AP56</f>
        <v>#REF!</v>
      </c>
      <c r="AQ13" s="57" t="e">
        <f>'Prudential Ratios'!AQ56</f>
        <v>#REF!</v>
      </c>
      <c r="AR13" s="57" t="e">
        <f>'Prudential Ratios'!AR56</f>
        <v>#REF!</v>
      </c>
      <c r="AS13" s="57" t="e">
        <f>'Prudential Ratios'!AS56</f>
        <v>#REF!</v>
      </c>
      <c r="AT13" s="57" t="e">
        <f>'Prudential Ratios'!AT56</f>
        <v>#REF!</v>
      </c>
      <c r="AU13" s="57" t="e">
        <f>'Prudential Ratios'!AU56</f>
        <v>#REF!</v>
      </c>
      <c r="AV13" s="57" t="e">
        <f>'Prudential Ratios'!AV56</f>
        <v>#REF!</v>
      </c>
      <c r="AW13" s="57" t="e">
        <f>'Prudential Ratios'!AW56</f>
        <v>#REF!</v>
      </c>
      <c r="AX13" s="57" t="e">
        <f>'Prudential Ratios'!AX56</f>
        <v>#REF!</v>
      </c>
      <c r="AY13" s="57" t="e">
        <f>'Prudential Ratios'!AY56</f>
        <v>#REF!</v>
      </c>
      <c r="AZ13" s="57" t="e">
        <f>'Prudential Ratios'!AZ56</f>
        <v>#REF!</v>
      </c>
      <c r="BA13" s="57" t="e">
        <f>'Prudential Ratios'!BA56</f>
        <v>#REF!</v>
      </c>
      <c r="BB13" s="57" t="e">
        <f>'Prudential Ratios'!BB56</f>
        <v>#REF!</v>
      </c>
      <c r="BC13" s="57" t="e">
        <f>'Prudential Ratios'!BC56</f>
        <v>#REF!</v>
      </c>
      <c r="BD13" s="57" t="e">
        <f>'Prudential Ratios'!BD56</f>
        <v>#REF!</v>
      </c>
      <c r="BE13" s="57" t="e">
        <f>'Prudential Ratios'!BE56</f>
        <v>#REF!</v>
      </c>
      <c r="BF13" s="57" t="e">
        <f>'Prudential Ratios'!BF56</f>
        <v>#REF!</v>
      </c>
      <c r="BG13" s="57" t="e">
        <f>'Prudential Ratios'!BG56</f>
        <v>#REF!</v>
      </c>
      <c r="BH13" s="57" t="e">
        <f>'Prudential Ratios'!BH56</f>
        <v>#REF!</v>
      </c>
      <c r="BI13" s="57" t="e">
        <f>'Prudential Ratios'!BI56</f>
        <v>#REF!</v>
      </c>
      <c r="BJ13" s="57" t="e">
        <f>'Prudential Ratios'!BJ56</f>
        <v>#REF!</v>
      </c>
      <c r="BK13" s="57" t="e">
        <f>'Prudential Ratios'!BK56</f>
        <v>#REF!</v>
      </c>
      <c r="BL13" s="57" t="e">
        <f>'Prudential Ratios'!BL56</f>
        <v>#REF!</v>
      </c>
      <c r="BM13" s="57" t="e">
        <f>'Prudential Ratios'!BM56</f>
        <v>#REF!</v>
      </c>
      <c r="BN13" s="57" t="e">
        <f>'Prudential Ratios'!BN56</f>
        <v>#REF!</v>
      </c>
      <c r="BO13" s="57" t="e">
        <f>'Prudential Ratios'!BO56</f>
        <v>#REF!</v>
      </c>
      <c r="BP13" s="57" t="e">
        <f>'Prudential Ratios'!BP56</f>
        <v>#REF!</v>
      </c>
      <c r="BQ13" s="57" t="e">
        <f>'Prudential Ratios'!BQ56</f>
        <v>#REF!</v>
      </c>
      <c r="BR13" s="57" t="e">
        <f>'Prudential Ratios'!BR56</f>
        <v>#REF!</v>
      </c>
      <c r="BS13" s="57" t="e">
        <f>'Prudential Ratios'!BS56</f>
        <v>#REF!</v>
      </c>
      <c r="BT13" s="57" t="e">
        <f>'Prudential Ratios'!BT56</f>
        <v>#REF!</v>
      </c>
      <c r="BU13" s="57" t="e">
        <f>'Prudential Ratios'!BU56</f>
        <v>#REF!</v>
      </c>
      <c r="BV13" s="57" t="e">
        <f>'Prudential Ratios'!BV56</f>
        <v>#REF!</v>
      </c>
      <c r="BW13" s="57" t="e">
        <f>'Prudential Ratios'!BW56</f>
        <v>#REF!</v>
      </c>
      <c r="BX13" s="57" t="e">
        <f>'Prudential Ratios'!BX56</f>
        <v>#REF!</v>
      </c>
      <c r="BY13" s="57" t="e">
        <f>'Prudential Ratios'!BY56</f>
        <v>#REF!</v>
      </c>
      <c r="BZ13" s="57" t="e">
        <f>'Prudential Ratios'!BZ56</f>
        <v>#REF!</v>
      </c>
      <c r="CA13" s="57" t="e">
        <f>'Prudential Ratios'!CA56</f>
        <v>#REF!</v>
      </c>
      <c r="CB13" s="57" t="e">
        <f>'Prudential Ratios'!CB56</f>
        <v>#REF!</v>
      </c>
      <c r="CC13" s="57" t="e">
        <f>'Prudential Ratios'!CC56</f>
        <v>#REF!</v>
      </c>
      <c r="CD13" s="57" t="e">
        <f>'Prudential Ratios'!CD56</f>
        <v>#REF!</v>
      </c>
      <c r="CE13" s="57" t="e">
        <f>'Prudential Ratios'!CE56</f>
        <v>#REF!</v>
      </c>
      <c r="CF13" s="57" t="e">
        <f>'Prudential Ratios'!CF56</f>
        <v>#REF!</v>
      </c>
      <c r="CG13" s="57" t="e">
        <f>'Prudential Ratios'!CG56</f>
        <v>#REF!</v>
      </c>
      <c r="CH13" s="57" t="e">
        <f>'Prudential Ratios'!CH56</f>
        <v>#REF!</v>
      </c>
      <c r="CI13" s="57" t="e">
        <f>'Prudential Ratios'!CI56</f>
        <v>#REF!</v>
      </c>
      <c r="CJ13" s="57" t="e">
        <f>'Prudential Ratios'!CJ56</f>
        <v>#REF!</v>
      </c>
      <c r="CK13" s="57" t="e">
        <f>'Prudential Ratios'!CK56</f>
        <v>#REF!</v>
      </c>
      <c r="CL13" s="57" t="e">
        <f>'Prudential Ratios'!CL56</f>
        <v>#REF!</v>
      </c>
      <c r="CM13" s="57" t="e">
        <f>'Prudential Ratios'!CM56</f>
        <v>#REF!</v>
      </c>
      <c r="CN13" s="57" t="e">
        <f>'Prudential Ratios'!CN56</f>
        <v>#REF!</v>
      </c>
      <c r="CO13" s="57" t="e">
        <f>'Prudential Ratios'!CO56</f>
        <v>#REF!</v>
      </c>
    </row>
    <row r="14" spans="1:93">
      <c r="A14" s="51" t="s">
        <v>225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</row>
    <row r="15" spans="1:93">
      <c r="A15" s="53" t="s">
        <v>226</v>
      </c>
      <c r="B15" s="59">
        <v>0.15</v>
      </c>
      <c r="C15" s="60">
        <f>'Prudential Ratios'!C47</f>
        <v>1.2246272391536948</v>
      </c>
      <c r="D15" s="60">
        <f>'Prudential Ratios'!D47</f>
        <v>0.37345639288738358</v>
      </c>
      <c r="E15" s="60">
        <f>'Prudential Ratios'!E47</f>
        <v>0.51727008120598983</v>
      </c>
      <c r="F15" s="60">
        <f>'Prudential Ratios'!F47</f>
        <v>0.32255384356882277</v>
      </c>
      <c r="G15" s="60">
        <f>'Prudential Ratios'!G47</f>
        <v>0.18492020835168529</v>
      </c>
      <c r="H15" s="60">
        <f>'Prudential Ratios'!H47</f>
        <v>0.17605031087104245</v>
      </c>
      <c r="I15" s="60">
        <f>'Prudential Ratios'!I47</f>
        <v>0.23050628930205624</v>
      </c>
      <c r="J15" s="60">
        <f>'Prudential Ratios'!J47</f>
        <v>0.1914255630528319</v>
      </c>
      <c r="K15" s="60">
        <f>'Prudential Ratios'!K47</f>
        <v>0.1047685146646838</v>
      </c>
      <c r="L15" s="60">
        <f>'Prudential Ratios'!L47</f>
        <v>1.4143074859928922E-2</v>
      </c>
      <c r="M15" s="60">
        <f>'Prudential Ratios'!M47</f>
        <v>0.10977558807641558</v>
      </c>
      <c r="N15" s="60">
        <f>'Prudential Ratios'!N47</f>
        <v>0.27039129331146955</v>
      </c>
      <c r="O15" s="60">
        <f>'Prudential Ratios'!O47</f>
        <v>0.14535483715320832</v>
      </c>
      <c r="P15" s="60">
        <f>'Prudential Ratios'!P47</f>
        <v>5.635703376747847E-2</v>
      </c>
      <c r="Q15" s="60">
        <f>'Prudential Ratios'!Q47</f>
        <v>7.0638774030494816E-2</v>
      </c>
      <c r="R15" s="60">
        <f>'Prudential Ratios'!R47</f>
        <v>0.21442409899780127</v>
      </c>
      <c r="S15" s="60">
        <f>'Prudential Ratios'!S47</f>
        <v>7.6035023546849614E-2</v>
      </c>
      <c r="T15" s="60">
        <f>'Prudential Ratios'!T47</f>
        <v>0.11006994455891479</v>
      </c>
      <c r="U15" s="60">
        <f>'Prudential Ratios'!U47</f>
        <v>8.3980796451322046E-2</v>
      </c>
      <c r="V15" s="60">
        <f>'Prudential Ratios'!V47</f>
        <v>0.11226988000501624</v>
      </c>
      <c r="W15" s="60">
        <f>'Prudential Ratios'!W47</f>
        <v>1.3406113633097912E-2</v>
      </c>
      <c r="X15" s="60">
        <f>'Prudential Ratios'!X47</f>
        <v>0.10371233095937306</v>
      </c>
      <c r="Y15" s="60">
        <f>'Prudential Ratios'!Y47</f>
        <v>4.6950324838384933E-2</v>
      </c>
      <c r="Z15" s="60">
        <f>'Prudential Ratios'!Z47</f>
        <v>0.10360910182750116</v>
      </c>
      <c r="AA15" s="60">
        <f>'Prudential Ratios'!AA47</f>
        <v>0.15664133092157378</v>
      </c>
      <c r="AB15" s="60">
        <f>'Prudential Ratios'!AB47</f>
        <v>0.11246304341793256</v>
      </c>
      <c r="AC15" s="60">
        <f>'Prudential Ratios'!AC47</f>
        <v>0.15740024568288208</v>
      </c>
      <c r="AD15" s="60">
        <f>'Prudential Ratios'!AD47</f>
        <v>0.20312981247117518</v>
      </c>
      <c r="AE15" s="60">
        <f>'Prudential Ratios'!AE47</f>
        <v>0.20516868417760215</v>
      </c>
      <c r="AF15" s="60">
        <f>'Prudential Ratios'!AF47</f>
        <v>0.20734692359101448</v>
      </c>
      <c r="AG15" s="60">
        <f>'Prudential Ratios'!AG47</f>
        <v>0.19411982916037326</v>
      </c>
      <c r="AH15" s="60">
        <f>'Prudential Ratios'!AH47</f>
        <v>0.10342448158655637</v>
      </c>
      <c r="AI15" s="60">
        <f>'Prudential Ratios'!AI47</f>
        <v>0.28990232026545781</v>
      </c>
      <c r="AJ15" s="60">
        <f>'Prudential Ratios'!AJ47</f>
        <v>0.28276578182973566</v>
      </c>
      <c r="AK15" s="60">
        <f>'Prudential Ratios'!AK47</f>
        <v>0.3398292415430943</v>
      </c>
      <c r="AL15" s="60">
        <f>'Prudential Ratios'!AL47</f>
        <v>0.25059851252252685</v>
      </c>
      <c r="AM15" s="60">
        <f>'Prudential Ratios'!AM47</f>
        <v>0.50962912244903003</v>
      </c>
      <c r="AN15" s="60">
        <f>'Prudential Ratios'!AN47</f>
        <v>0.45895322629520779</v>
      </c>
      <c r="AO15" s="60">
        <f>'Prudential Ratios'!AO47</f>
        <v>0.46466837629964225</v>
      </c>
      <c r="AP15" s="60">
        <f>'Prudential Ratios'!AP47</f>
        <v>0.57941644968209993</v>
      </c>
      <c r="AQ15" s="60">
        <f>'Prudential Ratios'!AQ47</f>
        <v>0.48849793571060396</v>
      </c>
      <c r="AR15" s="60">
        <f>'Prudential Ratios'!AR47</f>
        <v>0.53826592684858454</v>
      </c>
      <c r="AS15" s="60">
        <f>'Prudential Ratios'!AS47</f>
        <v>0.61825180474903441</v>
      </c>
      <c r="AT15" s="60">
        <f>'Prudential Ratios'!AT47</f>
        <v>0.62866250053723716</v>
      </c>
      <c r="AU15" s="60">
        <f>'Prudential Ratios'!AU47</f>
        <v>0.32068195098157726</v>
      </c>
      <c r="AV15" s="60">
        <f>'Prudential Ratios'!AV47</f>
        <v>0.39184587919919184</v>
      </c>
      <c r="AW15" s="60">
        <f>'Prudential Ratios'!AW47</f>
        <v>0.4380937819279706</v>
      </c>
      <c r="AX15" s="60">
        <f>'Prudential Ratios'!AX47</f>
        <v>0.47256452319795006</v>
      </c>
      <c r="AY15" s="60">
        <f>'Prudential Ratios'!AY47</f>
        <v>0.59927823924129608</v>
      </c>
      <c r="AZ15" s="60">
        <f>'Prudential Ratios'!AZ47</f>
        <v>0.67883035448756368</v>
      </c>
      <c r="BA15" s="60">
        <f>'Prudential Ratios'!BA47</f>
        <v>0.76758377280313117</v>
      </c>
      <c r="BB15" s="60">
        <f>'Prudential Ratios'!BB47</f>
        <v>0.70076312665235418</v>
      </c>
      <c r="BC15" s="60">
        <f>'Prudential Ratios'!BC47</f>
        <v>0.61858615923607108</v>
      </c>
      <c r="BD15" s="60">
        <f>'Prudential Ratios'!BD47</f>
        <v>0.66663639909607098</v>
      </c>
      <c r="BE15" s="60">
        <f>'Prudential Ratios'!BE47</f>
        <v>0.62401090864593678</v>
      </c>
      <c r="BF15" s="60">
        <f>'Prudential Ratios'!BF47</f>
        <v>0.73697173875652466</v>
      </c>
      <c r="BG15" s="60">
        <f>'Prudential Ratios'!BG47</f>
        <v>0.63111944039781542</v>
      </c>
      <c r="BH15" s="60">
        <f>'Prudential Ratios'!BH47</f>
        <v>0.62009015037607795</v>
      </c>
      <c r="BI15" s="60">
        <f>'Prudential Ratios'!BI47</f>
        <v>0.68082798824966373</v>
      </c>
      <c r="BJ15" s="60">
        <f>'Prudential Ratios'!BJ47</f>
        <v>0.76169705873860138</v>
      </c>
      <c r="BK15" s="60">
        <f>'Prudential Ratios'!BK47</f>
        <v>0.774950353868466</v>
      </c>
      <c r="BL15" s="60">
        <f>'Prudential Ratios'!BL47</f>
        <v>0.88450659084559702</v>
      </c>
      <c r="BM15" s="60">
        <f>'Prudential Ratios'!BM47</f>
        <v>0.80881188845813623</v>
      </c>
      <c r="BN15" s="60">
        <f>'Prudential Ratios'!BN47</f>
        <v>0.92754472217907036</v>
      </c>
      <c r="BO15" s="60">
        <f>'Prudential Ratios'!BO47</f>
        <v>0.88638220675186596</v>
      </c>
      <c r="BP15" s="60">
        <f>'Prudential Ratios'!BP47</f>
        <v>0.90547660491890825</v>
      </c>
      <c r="BQ15" s="60">
        <f>'Prudential Ratios'!BQ47</f>
        <v>1.0234308252190674</v>
      </c>
      <c r="BR15" s="60">
        <f>'Prudential Ratios'!BR47</f>
        <v>0.89190250030013762</v>
      </c>
      <c r="BS15" s="60">
        <f>'Prudential Ratios'!BS47</f>
        <v>0.87904329241091983</v>
      </c>
      <c r="BT15" s="60">
        <f>'Prudential Ratios'!BT47</f>
        <v>0.92741774128534737</v>
      </c>
      <c r="BU15" s="60">
        <f>'Prudential Ratios'!BU47</f>
        <v>0.93066907116665765</v>
      </c>
      <c r="BV15" s="60">
        <f>'Prudential Ratios'!BV47</f>
        <v>0.89816280670850546</v>
      </c>
      <c r="BW15" s="60">
        <f>'Prudential Ratios'!BW47</f>
        <v>0.90165802781653315</v>
      </c>
      <c r="BX15" s="60">
        <f>'Prudential Ratios'!BX47</f>
        <v>0.82201102378367252</v>
      </c>
      <c r="BY15" s="60">
        <f>'Prudential Ratios'!BY47</f>
        <v>0.79915138196461366</v>
      </c>
      <c r="BZ15" s="60">
        <f>'Prudential Ratios'!BZ47</f>
        <v>0.79537450146154998</v>
      </c>
      <c r="CA15" s="60">
        <f>'Prudential Ratios'!CA47</f>
        <v>0.90911522742224748</v>
      </c>
      <c r="CB15" s="60">
        <f>'Prudential Ratios'!CB47</f>
        <v>0.81381477382086154</v>
      </c>
      <c r="CC15" s="60">
        <f>'Prudential Ratios'!CC47</f>
        <v>0.8143183729351462</v>
      </c>
      <c r="CD15" s="60">
        <f>'Prudential Ratios'!CD47</f>
        <v>0.7912708206079071</v>
      </c>
      <c r="CE15" s="60">
        <f>'Prudential Ratios'!CE47</f>
        <v>0.79111738617942418</v>
      </c>
      <c r="CF15" s="60">
        <f>'Prudential Ratios'!CF47</f>
        <v>0.81183559955909024</v>
      </c>
      <c r="CG15" s="60">
        <f>'Prudential Ratios'!CG47</f>
        <v>0.79687234724877976</v>
      </c>
      <c r="CH15" s="60">
        <f>'Prudential Ratios'!CH47</f>
        <v>0.77195707729558394</v>
      </c>
      <c r="CI15" s="60">
        <f>'Prudential Ratios'!CI47</f>
        <v>0.77163515020884332</v>
      </c>
      <c r="CJ15" s="60">
        <f>'Prudential Ratios'!CJ47</f>
        <v>0.76821571883855133</v>
      </c>
      <c r="CK15" s="60">
        <f>'Prudential Ratios'!CK47</f>
        <v>0.74127471476421691</v>
      </c>
      <c r="CL15" s="60">
        <f>'Prudential Ratios'!CL47</f>
        <v>0.75371389223247265</v>
      </c>
      <c r="CM15" s="60">
        <f>'Prudential Ratios'!CM47</f>
        <v>0.82637769696727525</v>
      </c>
      <c r="CN15" s="60">
        <f>'Prudential Ratios'!CN47</f>
        <v>0.9036451985740237</v>
      </c>
      <c r="CO15" s="60">
        <f>'Prudential Ratios'!CO47</f>
        <v>0.8591900273202201</v>
      </c>
    </row>
    <row r="16" spans="1:93">
      <c r="A16" s="53" t="s">
        <v>227</v>
      </c>
      <c r="B16" s="59"/>
      <c r="C16" s="60">
        <f>'Prudential Ratios'!C48</f>
        <v>0.18335823551716765</v>
      </c>
      <c r="D16" s="60">
        <f>'Prudential Ratios'!D48</f>
        <v>5.563412651600888E-2</v>
      </c>
      <c r="E16" s="60">
        <f>'Prudential Ratios'!E48</f>
        <v>9.8710422268686135E-2</v>
      </c>
      <c r="F16" s="60">
        <f>'Prudential Ratios'!F48</f>
        <v>6.6330829580133227E-2</v>
      </c>
      <c r="G16" s="60">
        <f>'Prudential Ratios'!G48</f>
        <v>0.18492020835168529</v>
      </c>
      <c r="H16" s="60">
        <f>'Prudential Ratios'!H48</f>
        <v>0.15651935833135533</v>
      </c>
      <c r="I16" s="60">
        <f>'Prudential Ratios'!I48</f>
        <v>0.19832038782388692</v>
      </c>
      <c r="J16" s="60">
        <f>'Prudential Ratios'!J48</f>
        <v>0.1657544897728753</v>
      </c>
      <c r="K16" s="60">
        <f>'Prudential Ratios'!K48</f>
        <v>9.0188976098919363E-2</v>
      </c>
      <c r="L16" s="60">
        <f>'Prudential Ratios'!L48</f>
        <v>1.2129097291353167E-2</v>
      </c>
      <c r="M16" s="60">
        <f>'Prudential Ratios'!M48</f>
        <v>9.4096931764543604E-2</v>
      </c>
      <c r="N16" s="60">
        <f>'Prudential Ratios'!N48</f>
        <v>0.20624722708240009</v>
      </c>
      <c r="O16" s="60">
        <f>'Prudential Ratios'!O48</f>
        <v>0.11221859414130617</v>
      </c>
      <c r="P16" s="60">
        <f>'Prudential Ratios'!P48</f>
        <v>4.1830853554462137E-2</v>
      </c>
      <c r="Q16" s="60">
        <f>'Prudential Ratios'!Q48</f>
        <v>4.9857943527396809E-2</v>
      </c>
      <c r="R16" s="60">
        <f>'Prudential Ratios'!R48</f>
        <v>0.14689783629362735</v>
      </c>
      <c r="S16" s="60">
        <f>'Prudential Ratios'!S48</f>
        <v>5.3883985629965832E-2</v>
      </c>
      <c r="T16" s="60">
        <f>'Prudential Ratios'!T48</f>
        <v>7.9158411351347116E-2</v>
      </c>
      <c r="U16" s="60">
        <f>'Prudential Ratios'!U48</f>
        <v>6.3722822283145908E-2</v>
      </c>
      <c r="V16" s="60">
        <f>'Prudential Ratios'!V48</f>
        <v>8.0850492291153001E-2</v>
      </c>
      <c r="W16" s="60">
        <f>'Prudential Ratios'!W48</f>
        <v>9.5607858047072908E-3</v>
      </c>
      <c r="X16" s="60">
        <f>'Prudential Ratios'!X48</f>
        <v>7.3107465474062369E-2</v>
      </c>
      <c r="Y16" s="60">
        <f>'Prudential Ratios'!Y48</f>
        <v>3.3102501081445808E-2</v>
      </c>
      <c r="Z16" s="60">
        <f>'Prudential Ratios'!Z48</f>
        <v>7.5191342364349739E-2</v>
      </c>
      <c r="AA16" s="60">
        <f>'Prudential Ratios'!AA48</f>
        <v>0.11495168863773486</v>
      </c>
      <c r="AB16" s="60">
        <f>'Prudential Ratios'!AB48</f>
        <v>8.43866870367974E-2</v>
      </c>
      <c r="AC16" s="60">
        <f>'Prudential Ratios'!AC48</f>
        <v>0.11195594493344636</v>
      </c>
      <c r="AD16" s="60">
        <f>'Prudential Ratios'!AD48</f>
        <v>0.14776075844474304</v>
      </c>
      <c r="AE16" s="60">
        <f>'Prudential Ratios'!AE48</f>
        <v>0.14922415798284003</v>
      </c>
      <c r="AF16" s="60">
        <f>'Prudential Ratios'!AF48</f>
        <v>0.15256849393959229</v>
      </c>
      <c r="AG16" s="60">
        <f>'Prudential Ratios'!AG48</f>
        <v>0.14613526984919567</v>
      </c>
      <c r="AH16" s="60">
        <f>'Prudential Ratios'!AH48</f>
        <v>8.8012122847122509E-2</v>
      </c>
      <c r="AI16" s="60">
        <f>'Prudential Ratios'!AI48</f>
        <v>0.22049570442911268</v>
      </c>
      <c r="AJ16" s="60">
        <f>'Prudential Ratios'!AJ48</f>
        <v>0.22284791002598861</v>
      </c>
      <c r="AK16" s="60">
        <f>'Prudential Ratios'!AK48</f>
        <v>0.2652860792793279</v>
      </c>
      <c r="AL16" s="60">
        <f>'Prudential Ratios'!AL48</f>
        <v>0.20458263781674166</v>
      </c>
      <c r="AM16" s="60">
        <f>'Prudential Ratios'!AM48</f>
        <v>0.40496076584191354</v>
      </c>
      <c r="AN16" s="60">
        <f>'Prudential Ratios'!AN48</f>
        <v>0.36811300778686151</v>
      </c>
      <c r="AO16" s="60">
        <f>'Prudential Ratios'!AO48</f>
        <v>0.38053188924094078</v>
      </c>
      <c r="AP16" s="60">
        <f>'Prudential Ratios'!AP48</f>
        <v>0.51386393972989797</v>
      </c>
      <c r="AQ16" s="60">
        <f>'Prudential Ratios'!AQ48</f>
        <v>0.45459686813166872</v>
      </c>
      <c r="AR16" s="60">
        <f>'Prudential Ratios'!AR48</f>
        <v>0.53878003645491956</v>
      </c>
      <c r="AS16" s="60">
        <f>'Prudential Ratios'!AS48</f>
        <v>0.61825180474903441</v>
      </c>
      <c r="AT16" s="60">
        <f>'Prudential Ratios'!AT48</f>
        <v>0.62866250053723716</v>
      </c>
      <c r="AU16" s="60">
        <f>'Prudential Ratios'!AU48</f>
        <v>0.32068195098157726</v>
      </c>
      <c r="AV16" s="60">
        <f>'Prudential Ratios'!AV48</f>
        <v>0.39184587919919184</v>
      </c>
      <c r="AW16" s="60">
        <f>'Prudential Ratios'!AW48</f>
        <v>0.4380937819279706</v>
      </c>
      <c r="AX16" s="60">
        <f>'Prudential Ratios'!AX48</f>
        <v>0.47256452319795006</v>
      </c>
      <c r="AY16" s="60">
        <f>'Prudential Ratios'!AY48</f>
        <v>0.59927823924129608</v>
      </c>
      <c r="AZ16" s="60">
        <f>'Prudential Ratios'!AZ48</f>
        <v>0.67883035448756368</v>
      </c>
      <c r="BA16" s="60">
        <f>'Prudential Ratios'!BA48</f>
        <v>0.76758377280313117</v>
      </c>
      <c r="BB16" s="60">
        <f>'Prudential Ratios'!BB48</f>
        <v>0.70076312665235418</v>
      </c>
      <c r="BC16" s="60">
        <f>'Prudential Ratios'!BC48</f>
        <v>0.61858615923607108</v>
      </c>
      <c r="BD16" s="60">
        <f>'Prudential Ratios'!BD48</f>
        <v>0.66663639909607098</v>
      </c>
      <c r="BE16" s="60">
        <f>'Prudential Ratios'!BE48</f>
        <v>0.62401090864593678</v>
      </c>
      <c r="BF16" s="60">
        <f>'Prudential Ratios'!BF48</f>
        <v>0.73697173875652466</v>
      </c>
      <c r="BG16" s="60">
        <f>'Prudential Ratios'!BG48</f>
        <v>0.63111944039781542</v>
      </c>
      <c r="BH16" s="60">
        <f>'Prudential Ratios'!BH48</f>
        <v>0.62009015037607795</v>
      </c>
      <c r="BI16" s="60">
        <f>'Prudential Ratios'!BI48</f>
        <v>0.68082798824966373</v>
      </c>
      <c r="BJ16" s="60">
        <f>'Prudential Ratios'!BJ48</f>
        <v>0.76169705873860138</v>
      </c>
      <c r="BK16" s="60">
        <f>'Prudential Ratios'!BK48</f>
        <v>0.774950353868466</v>
      </c>
      <c r="BL16" s="60">
        <f>'Prudential Ratios'!BL48</f>
        <v>0.88450659084559702</v>
      </c>
      <c r="BM16" s="60">
        <f>'Prudential Ratios'!BM48</f>
        <v>0.80881188845813623</v>
      </c>
      <c r="BN16" s="60">
        <f>'Prudential Ratios'!BN48</f>
        <v>0.92754472217907036</v>
      </c>
      <c r="BO16" s="60">
        <f>'Prudential Ratios'!BO48</f>
        <v>0.88638220675186596</v>
      </c>
      <c r="BP16" s="60">
        <f>'Prudential Ratios'!BP48</f>
        <v>0.90547660491890825</v>
      </c>
      <c r="BQ16" s="60">
        <f>'Prudential Ratios'!BQ48</f>
        <v>1.0234308252190674</v>
      </c>
      <c r="BR16" s="60">
        <f>'Prudential Ratios'!BR48</f>
        <v>0.89190250030013762</v>
      </c>
      <c r="BS16" s="60">
        <f>'Prudential Ratios'!BS48</f>
        <v>0.87904329241091983</v>
      </c>
      <c r="BT16" s="60">
        <f>'Prudential Ratios'!BT48</f>
        <v>0.92741774128534737</v>
      </c>
      <c r="BU16" s="60">
        <f>'Prudential Ratios'!BU48</f>
        <v>0.93066907116665765</v>
      </c>
      <c r="BV16" s="60">
        <f>'Prudential Ratios'!BV48</f>
        <v>0.89816280670850546</v>
      </c>
      <c r="BW16" s="60">
        <f>'Prudential Ratios'!BW48</f>
        <v>0.90165802781653315</v>
      </c>
      <c r="BX16" s="60">
        <f>'Prudential Ratios'!BX48</f>
        <v>0.82201102378367252</v>
      </c>
      <c r="BY16" s="60">
        <f>'Prudential Ratios'!BY48</f>
        <v>0.79915138196461366</v>
      </c>
      <c r="BZ16" s="60">
        <f>'Prudential Ratios'!BZ48</f>
        <v>0.79537450146154998</v>
      </c>
      <c r="CA16" s="60">
        <f>'Prudential Ratios'!CA48</f>
        <v>0.90911522742224748</v>
      </c>
      <c r="CB16" s="60">
        <f>'Prudential Ratios'!CB48</f>
        <v>0.81381477382086154</v>
      </c>
      <c r="CC16" s="60">
        <f>'Prudential Ratios'!CC48</f>
        <v>0.8143183729351462</v>
      </c>
      <c r="CD16" s="60">
        <f>'Prudential Ratios'!CD48</f>
        <v>0.7912708206079071</v>
      </c>
      <c r="CE16" s="60">
        <f>'Prudential Ratios'!CE48</f>
        <v>0.79111738617942418</v>
      </c>
      <c r="CF16" s="60">
        <f>'Prudential Ratios'!CF48</f>
        <v>0.81183559955909024</v>
      </c>
      <c r="CG16" s="60">
        <f>'Prudential Ratios'!CG48</f>
        <v>0.79687234724877976</v>
      </c>
      <c r="CH16" s="60">
        <f>'Prudential Ratios'!CH48</f>
        <v>0.77195707729558394</v>
      </c>
      <c r="CI16" s="60">
        <f>'Prudential Ratios'!CI48</f>
        <v>0.77163515020884332</v>
      </c>
      <c r="CJ16" s="60">
        <f>'Prudential Ratios'!CJ48</f>
        <v>0.76821571883855133</v>
      </c>
      <c r="CK16" s="60">
        <f>'Prudential Ratios'!CK48</f>
        <v>0.74127471476421691</v>
      </c>
      <c r="CL16" s="60">
        <f>'Prudential Ratios'!CL48</f>
        <v>0.75371389223247265</v>
      </c>
      <c r="CM16" s="60">
        <f>'Prudential Ratios'!CM48</f>
        <v>0.82637769696727525</v>
      </c>
      <c r="CN16" s="60">
        <f>'Prudential Ratios'!CN48</f>
        <v>0.9036451985740237</v>
      </c>
      <c r="CO16" s="60">
        <f>'Prudential Ratios'!CO48</f>
        <v>0.8591900273202201</v>
      </c>
    </row>
    <row r="17" spans="1:93">
      <c r="A17" s="53" t="s">
        <v>228</v>
      </c>
      <c r="B17" s="54" t="s">
        <v>183</v>
      </c>
      <c r="C17" s="60">
        <f>'Prudential Ratios'!C27</f>
        <v>2.4795113899575932E-2</v>
      </c>
      <c r="D17" s="60">
        <f>'Prudential Ratios'!D27</f>
        <v>0</v>
      </c>
      <c r="E17" s="60">
        <f>'Prudential Ratios'!E27</f>
        <v>0</v>
      </c>
      <c r="F17" s="60">
        <f>'Prudential Ratios'!F27</f>
        <v>0</v>
      </c>
      <c r="G17" s="60" t="e">
        <f>'Prudential Ratios'!#REF!</f>
        <v>#REF!</v>
      </c>
      <c r="H17" s="60" t="e">
        <f>'Prudential Ratios'!#REF!</f>
        <v>#REF!</v>
      </c>
      <c r="I17" s="60" t="e">
        <f>'Prudential Ratios'!#REF!</f>
        <v>#REF!</v>
      </c>
      <c r="J17" s="60" t="e">
        <f>'Prudential Ratios'!#REF!</f>
        <v>#REF!</v>
      </c>
      <c r="K17" s="60" t="e">
        <f>'Prudential Ratios'!#REF!</f>
        <v>#REF!</v>
      </c>
      <c r="L17" s="60" t="e">
        <f>'Prudential Ratios'!#REF!</f>
        <v>#REF!</v>
      </c>
      <c r="M17" s="60" t="e">
        <f>'Prudential Ratios'!#REF!</f>
        <v>#REF!</v>
      </c>
      <c r="N17" s="60" t="e">
        <f>'Prudential Ratios'!#REF!</f>
        <v>#REF!</v>
      </c>
      <c r="O17" s="60" t="e">
        <f>'Prudential Ratios'!#REF!</f>
        <v>#REF!</v>
      </c>
      <c r="P17" s="60" t="e">
        <f>'Prudential Ratios'!#REF!</f>
        <v>#REF!</v>
      </c>
      <c r="Q17" s="60" t="e">
        <f>'Prudential Ratios'!#REF!</f>
        <v>#REF!</v>
      </c>
      <c r="R17" s="60" t="e">
        <f>'Prudential Ratios'!#REF!</f>
        <v>#REF!</v>
      </c>
      <c r="S17" s="60" t="e">
        <f>'Prudential Ratios'!#REF!</f>
        <v>#REF!</v>
      </c>
      <c r="T17" s="60" t="e">
        <f>'Prudential Ratios'!#REF!</f>
        <v>#REF!</v>
      </c>
      <c r="U17" s="60" t="e">
        <f>'Prudential Ratios'!#REF!</f>
        <v>#REF!</v>
      </c>
      <c r="V17" s="60" t="e">
        <f>'Prudential Ratios'!#REF!</f>
        <v>#REF!</v>
      </c>
      <c r="W17" s="60" t="e">
        <f>'Prudential Ratios'!#REF!</f>
        <v>#REF!</v>
      </c>
      <c r="X17" s="60" t="e">
        <f>'Prudential Ratios'!#REF!</f>
        <v>#REF!</v>
      </c>
      <c r="Y17" s="60" t="e">
        <f>'Prudential Ratios'!#REF!</f>
        <v>#REF!</v>
      </c>
      <c r="Z17" s="60" t="e">
        <f>'Prudential Ratios'!#REF!</f>
        <v>#REF!</v>
      </c>
      <c r="AA17" s="60" t="e">
        <f>'Prudential Ratios'!#REF!</f>
        <v>#REF!</v>
      </c>
      <c r="AB17" s="60" t="e">
        <f>'Prudential Ratios'!#REF!</f>
        <v>#REF!</v>
      </c>
      <c r="AC17" s="60" t="e">
        <f>'Prudential Ratios'!#REF!</f>
        <v>#REF!</v>
      </c>
      <c r="AD17" s="60" t="e">
        <f>'Prudential Ratios'!#REF!</f>
        <v>#REF!</v>
      </c>
      <c r="AE17" s="60" t="e">
        <f>'Prudential Ratios'!#REF!</f>
        <v>#REF!</v>
      </c>
      <c r="AF17" s="60" t="e">
        <f>'Prudential Ratios'!#REF!</f>
        <v>#REF!</v>
      </c>
      <c r="AG17" s="60" t="e">
        <f>'Prudential Ratios'!#REF!</f>
        <v>#REF!</v>
      </c>
      <c r="AH17" s="60" t="e">
        <f>'Prudential Ratios'!#REF!</f>
        <v>#REF!</v>
      </c>
      <c r="AI17" s="60" t="e">
        <f>'Prudential Ratios'!#REF!</f>
        <v>#REF!</v>
      </c>
      <c r="AJ17" s="60" t="e">
        <f>'Prudential Ratios'!#REF!</f>
        <v>#REF!</v>
      </c>
      <c r="AK17" s="60" t="e">
        <f>'Prudential Ratios'!#REF!</f>
        <v>#REF!</v>
      </c>
      <c r="AL17" s="60" t="e">
        <f>'Prudential Ratios'!#REF!</f>
        <v>#REF!</v>
      </c>
      <c r="AM17" s="60" t="e">
        <f>'Prudential Ratios'!#REF!</f>
        <v>#REF!</v>
      </c>
      <c r="AN17" s="60" t="e">
        <f>'Prudential Ratios'!#REF!</f>
        <v>#REF!</v>
      </c>
      <c r="AO17" s="60" t="e">
        <f>'Prudential Ratios'!#REF!</f>
        <v>#REF!</v>
      </c>
      <c r="AP17" s="60" t="e">
        <f>'Prudential Ratios'!#REF!</f>
        <v>#REF!</v>
      </c>
      <c r="AQ17" s="60" t="e">
        <f>'Prudential Ratios'!#REF!</f>
        <v>#REF!</v>
      </c>
      <c r="AR17" s="60" t="e">
        <f>'Prudential Ratios'!#REF!</f>
        <v>#REF!</v>
      </c>
      <c r="AS17" s="60" t="e">
        <f>'Prudential Ratios'!#REF!</f>
        <v>#REF!</v>
      </c>
      <c r="AT17" s="60" t="e">
        <f>'Prudential Ratios'!#REF!</f>
        <v>#REF!</v>
      </c>
      <c r="AU17" s="60" t="e">
        <f>'Prudential Ratios'!#REF!</f>
        <v>#REF!</v>
      </c>
      <c r="AV17" s="60" t="e">
        <f>'Prudential Ratios'!#REF!</f>
        <v>#REF!</v>
      </c>
      <c r="AW17" s="60" t="e">
        <f>'Prudential Ratios'!#REF!</f>
        <v>#REF!</v>
      </c>
      <c r="AX17" s="60" t="e">
        <f>'Prudential Ratios'!#REF!</f>
        <v>#REF!</v>
      </c>
      <c r="AY17" s="60" t="e">
        <f>'Prudential Ratios'!#REF!</f>
        <v>#REF!</v>
      </c>
      <c r="AZ17" s="60" t="e">
        <f>'Prudential Ratios'!#REF!</f>
        <v>#REF!</v>
      </c>
      <c r="BA17" s="60" t="e">
        <f>'Prudential Ratios'!#REF!</f>
        <v>#REF!</v>
      </c>
      <c r="BB17" s="60" t="e">
        <f>'Prudential Ratios'!#REF!</f>
        <v>#REF!</v>
      </c>
      <c r="BC17" s="60" t="e">
        <f>'Prudential Ratios'!#REF!</f>
        <v>#REF!</v>
      </c>
      <c r="BD17" s="60" t="e">
        <f>'Prudential Ratios'!#REF!</f>
        <v>#REF!</v>
      </c>
      <c r="BE17" s="60" t="e">
        <f>'Prudential Ratios'!#REF!</f>
        <v>#REF!</v>
      </c>
      <c r="BF17" s="60" t="e">
        <f>'Prudential Ratios'!#REF!</f>
        <v>#REF!</v>
      </c>
      <c r="BG17" s="60" t="e">
        <f>'Prudential Ratios'!#REF!</f>
        <v>#REF!</v>
      </c>
      <c r="BH17" s="60" t="e">
        <f>'Prudential Ratios'!#REF!</f>
        <v>#REF!</v>
      </c>
      <c r="BI17" s="60" t="e">
        <f>'Prudential Ratios'!#REF!</f>
        <v>#REF!</v>
      </c>
      <c r="BJ17" s="60" t="e">
        <f>'Prudential Ratios'!#REF!</f>
        <v>#REF!</v>
      </c>
      <c r="BK17" s="60" t="e">
        <f>'Prudential Ratios'!#REF!</f>
        <v>#REF!</v>
      </c>
      <c r="BL17" s="60" t="e">
        <f>'Prudential Ratios'!#REF!</f>
        <v>#REF!</v>
      </c>
      <c r="BM17" s="60" t="e">
        <f>'Prudential Ratios'!#REF!</f>
        <v>#REF!</v>
      </c>
      <c r="BN17" s="60" t="e">
        <f>'Prudential Ratios'!#REF!</f>
        <v>#REF!</v>
      </c>
      <c r="BO17" s="60" t="e">
        <f>'Prudential Ratios'!#REF!</f>
        <v>#REF!</v>
      </c>
      <c r="BP17" s="60" t="e">
        <f>'Prudential Ratios'!#REF!</f>
        <v>#REF!</v>
      </c>
      <c r="BQ17" s="60" t="e">
        <f>'Prudential Ratios'!#REF!</f>
        <v>#REF!</v>
      </c>
      <c r="BR17" s="60" t="e">
        <f>'Prudential Ratios'!#REF!</f>
        <v>#REF!</v>
      </c>
      <c r="BS17" s="60" t="e">
        <f>'Prudential Ratios'!#REF!</f>
        <v>#REF!</v>
      </c>
      <c r="BT17" s="60" t="e">
        <f>'Prudential Ratios'!#REF!</f>
        <v>#REF!</v>
      </c>
      <c r="BU17" s="60" t="e">
        <f>'Prudential Ratios'!#REF!</f>
        <v>#REF!</v>
      </c>
      <c r="BV17" s="60" t="e">
        <f>'Prudential Ratios'!#REF!</f>
        <v>#REF!</v>
      </c>
      <c r="BW17" s="60" t="e">
        <f>'Prudential Ratios'!#REF!</f>
        <v>#REF!</v>
      </c>
      <c r="BX17" s="60" t="e">
        <f>'Prudential Ratios'!#REF!</f>
        <v>#REF!</v>
      </c>
      <c r="BY17" s="60" t="e">
        <f>'Prudential Ratios'!#REF!</f>
        <v>#REF!</v>
      </c>
      <c r="BZ17" s="60" t="e">
        <f>'Prudential Ratios'!#REF!</f>
        <v>#REF!</v>
      </c>
      <c r="CA17" s="60" t="e">
        <f>'Prudential Ratios'!#REF!</f>
        <v>#REF!</v>
      </c>
      <c r="CB17" s="60" t="e">
        <f>'Prudential Ratios'!#REF!</f>
        <v>#REF!</v>
      </c>
      <c r="CC17" s="60" t="e">
        <f>'Prudential Ratios'!#REF!</f>
        <v>#REF!</v>
      </c>
      <c r="CD17" s="60" t="e">
        <f>'Prudential Ratios'!#REF!</f>
        <v>#REF!</v>
      </c>
      <c r="CE17" s="60" t="e">
        <f>'Prudential Ratios'!#REF!</f>
        <v>#REF!</v>
      </c>
      <c r="CF17" s="60" t="e">
        <f>'Prudential Ratios'!#REF!</f>
        <v>#REF!</v>
      </c>
      <c r="CG17" s="60" t="e">
        <f>'Prudential Ratios'!#REF!</f>
        <v>#REF!</v>
      </c>
      <c r="CH17" s="60" t="e">
        <f>'Prudential Ratios'!#REF!</f>
        <v>#REF!</v>
      </c>
      <c r="CI17" s="60" t="e">
        <f>'Prudential Ratios'!#REF!</f>
        <v>#REF!</v>
      </c>
      <c r="CJ17" s="60" t="e">
        <f>'Prudential Ratios'!#REF!</f>
        <v>#REF!</v>
      </c>
      <c r="CK17" s="60" t="e">
        <f>'Prudential Ratios'!#REF!</f>
        <v>#REF!</v>
      </c>
      <c r="CL17" s="60" t="e">
        <f>'Prudential Ratios'!#REF!</f>
        <v>#REF!</v>
      </c>
      <c r="CM17" s="60" t="e">
        <f>'Prudential Ratios'!#REF!</f>
        <v>#REF!</v>
      </c>
      <c r="CN17" s="60" t="e">
        <f>'Prudential Ratios'!#REF!</f>
        <v>#REF!</v>
      </c>
      <c r="CO17" s="60" t="e">
        <f>'Prudential Ratios'!#REF!</f>
        <v>#REF!</v>
      </c>
    </row>
    <row r="18" spans="1:93">
      <c r="A18" s="53" t="s">
        <v>229</v>
      </c>
      <c r="B18" s="58"/>
      <c r="C18" s="60">
        <f>'Prudential Ratios'!C57</f>
        <v>0.14314618108244814</v>
      </c>
      <c r="D18" s="60">
        <f>'Prudential Ratios'!D57</f>
        <v>4.9089054631790911E-2</v>
      </c>
      <c r="E18" s="60">
        <f>'Prudential Ratios'!E57</f>
        <v>7.1039193871754072E-2</v>
      </c>
      <c r="F18" s="60">
        <f>'Prudential Ratios'!F57</f>
        <v>5.5642884279575699E-2</v>
      </c>
      <c r="G18" s="60">
        <f>'Prudential Ratios'!G57</f>
        <v>5.4514072455897025E-2</v>
      </c>
      <c r="H18" s="60">
        <f>'Prudential Ratios'!H57</f>
        <v>5.3034737890517401E-2</v>
      </c>
      <c r="I18" s="60">
        <f>'Prudential Ratios'!I57</f>
        <v>5.256202679575591E-2</v>
      </c>
      <c r="J18" s="60">
        <f>'Prudential Ratios'!J57</f>
        <v>4.2327313051480464E-2</v>
      </c>
      <c r="K18" s="60">
        <f>'Prudential Ratios'!K57</f>
        <v>2.2136115121589993E-2</v>
      </c>
      <c r="L18" s="60">
        <f>'Prudential Ratios'!L57</f>
        <v>2.9048838107464288E-3</v>
      </c>
      <c r="M18" s="60">
        <f>'Prudential Ratios'!M57</f>
        <v>2.2248230083124567E-2</v>
      </c>
      <c r="N18" s="60">
        <f>'Prudential Ratios'!N57</f>
        <v>5.7471681193521071E-2</v>
      </c>
      <c r="O18" s="60">
        <f>'Prudential Ratios'!O57</f>
        <v>3.1900980600069191E-2</v>
      </c>
      <c r="P18" s="60">
        <f>'Prudential Ratios'!P57</f>
        <v>1.2489105426607208E-2</v>
      </c>
      <c r="Q18" s="60">
        <f>'Prudential Ratios'!Q57</f>
        <v>1.530060983670083E-2</v>
      </c>
      <c r="R18" s="60">
        <f>'Prudential Ratios'!R57</f>
        <v>4.7733360328211724E-2</v>
      </c>
      <c r="S18" s="60">
        <f>'Prudential Ratios'!S57</f>
        <v>1.7598422713606912E-2</v>
      </c>
      <c r="T18" s="60">
        <f>'Prudential Ratios'!T57</f>
        <v>2.5926611837225458E-2</v>
      </c>
      <c r="U18" s="60">
        <f>'Prudential Ratios'!U57</f>
        <v>2.4303343136696357E-2</v>
      </c>
      <c r="V18" s="60">
        <f>'Prudential Ratios'!V57</f>
        <v>2.5789567993895684E-2</v>
      </c>
      <c r="W18" s="60">
        <f>'Prudential Ratios'!W57</f>
        <v>2.8578205437769957E-3</v>
      </c>
      <c r="X18" s="60">
        <f>'Prudential Ratios'!X57</f>
        <v>2.088061032824751E-2</v>
      </c>
      <c r="Y18" s="60">
        <f>'Prudential Ratios'!Y57</f>
        <v>9.2357786867467862E-3</v>
      </c>
      <c r="Z18" s="60">
        <f>'Prudential Ratios'!Z57</f>
        <v>2.1048440928780644E-2</v>
      </c>
      <c r="AA18" s="60">
        <f>'Prudential Ratios'!AA57</f>
        <v>3.1835709190926119E-2</v>
      </c>
      <c r="AB18" s="60">
        <f>'Prudential Ratios'!AB57</f>
        <v>2.3849894740486401E-2</v>
      </c>
      <c r="AC18" s="60">
        <f>'Prudential Ratios'!AC57</f>
        <v>2.6326651694372011E-2</v>
      </c>
      <c r="AD18" s="60">
        <f>'Prudential Ratios'!AD57</f>
        <v>3.440302828306873E-2</v>
      </c>
      <c r="AE18" s="60">
        <f>'Prudential Ratios'!AE57</f>
        <v>3.3330080296814724E-2</v>
      </c>
      <c r="AF18" s="60">
        <f>'Prudential Ratios'!AF57</f>
        <v>3.3709905324301417E-2</v>
      </c>
      <c r="AG18" s="60">
        <f>'Prudential Ratios'!AG57</f>
        <v>3.1578188038496914E-2</v>
      </c>
      <c r="AH18" s="60">
        <f>'Prudential Ratios'!AH57</f>
        <v>3.1774864571561895E-2</v>
      </c>
      <c r="AI18" s="60">
        <f>'Prudential Ratios'!AI57</f>
        <v>4.7105545924627581E-2</v>
      </c>
      <c r="AJ18" s="60">
        <f>'Prudential Ratios'!AJ57</f>
        <v>5.3397815413147691E-2</v>
      </c>
      <c r="AK18" s="60">
        <f>'Prudential Ratios'!AK57</f>
        <v>5.6636200173363196E-2</v>
      </c>
      <c r="AL18" s="60">
        <f>'Prudential Ratios'!AL57</f>
        <v>4.5718834770640607E-2</v>
      </c>
      <c r="AM18" s="60">
        <f>'Prudential Ratios'!AM57</f>
        <v>7.7321113401701724E-2</v>
      </c>
      <c r="AN18" s="60">
        <f>'Prudential Ratios'!AN57</f>
        <v>6.9981008634235398E-2</v>
      </c>
      <c r="AO18" s="60">
        <f>'Prudential Ratios'!AO57</f>
        <v>7.3380433117648719E-2</v>
      </c>
      <c r="AP18" s="60">
        <f>'Prudential Ratios'!AP57</f>
        <v>8.9962977535946301E-2</v>
      </c>
      <c r="AQ18" s="60">
        <f>'Prudential Ratios'!AQ57</f>
        <v>7.7159017048371331E-2</v>
      </c>
      <c r="AR18" s="60">
        <f>'Prudential Ratios'!AR57</f>
        <v>8.9738803029077926E-2</v>
      </c>
      <c r="AS18" s="60">
        <f>'Prudential Ratios'!AS57</f>
        <v>9.9747642159178806E-2</v>
      </c>
      <c r="AT18" s="60">
        <f>'Prudential Ratios'!AT57</f>
        <v>0.10035169207016877</v>
      </c>
      <c r="AU18" s="60">
        <f>'Prudential Ratios'!AU57</f>
        <v>0.10060127646004115</v>
      </c>
      <c r="AV18" s="60">
        <f>'Prudential Ratios'!AV57</f>
        <v>9.1720834030314377E-2</v>
      </c>
      <c r="AW18" s="60">
        <f>'Prudential Ratios'!AW57</f>
        <v>9.1388866516985648E-2</v>
      </c>
      <c r="AX18" s="60">
        <f>'Prudential Ratios'!AX57</f>
        <v>9.1810912152568369E-2</v>
      </c>
      <c r="AY18" s="60">
        <f>'Prudential Ratios'!AY57</f>
        <v>0.1193276070827011</v>
      </c>
      <c r="AZ18" s="60">
        <f>'Prudential Ratios'!AZ57</f>
        <v>0.13345225189691945</v>
      </c>
      <c r="BA18" s="60">
        <f>'Prudential Ratios'!BA57</f>
        <v>0.15970786021632544</v>
      </c>
      <c r="BB18" s="60">
        <f>'Prudential Ratios'!BB57</f>
        <v>0.14783599096923875</v>
      </c>
      <c r="BC18" s="60">
        <f>'Prudential Ratios'!BC57</f>
        <v>0.13273086128619985</v>
      </c>
      <c r="BD18" s="60">
        <f>'Prudential Ratios'!BD57</f>
        <v>0.14367400772577377</v>
      </c>
      <c r="BE18" s="60">
        <f>'Prudential Ratios'!BE57</f>
        <v>0.13542152800014884</v>
      </c>
      <c r="BF18" s="60">
        <f>'Prudential Ratios'!BF57</f>
        <v>0.15847912162050404</v>
      </c>
      <c r="BG18" s="60">
        <f>'Prudential Ratios'!BG57</f>
        <v>0.14290050168390203</v>
      </c>
      <c r="BH18" s="60">
        <f>'Prudential Ratios'!BH57</f>
        <v>0.14359213167588369</v>
      </c>
      <c r="BI18" s="60">
        <f>'Prudential Ratios'!BI57</f>
        <v>0.14956427461680086</v>
      </c>
      <c r="BJ18" s="60">
        <f>'Prudential Ratios'!BJ57</f>
        <v>0.15129121737610585</v>
      </c>
      <c r="BK18" s="60">
        <f>'Prudential Ratios'!BK57</f>
        <v>0.15248497497137453</v>
      </c>
      <c r="BL18" s="60">
        <f>'Prudential Ratios'!BL57</f>
        <v>0.17435925438766431</v>
      </c>
      <c r="BM18" s="60">
        <f>'Prudential Ratios'!BM57</f>
        <v>0.158383348732591</v>
      </c>
      <c r="BN18" s="60">
        <f>'Prudential Ratios'!BN57</f>
        <v>0.18140755778081755</v>
      </c>
      <c r="BO18" s="60">
        <f>'Prudential Ratios'!BO57</f>
        <v>0.18732466646328155</v>
      </c>
      <c r="BP18" s="60">
        <f>'Prudential Ratios'!BP57</f>
        <v>0.1923486689393212</v>
      </c>
      <c r="BQ18" s="60">
        <f>'Prudential Ratios'!BQ57</f>
        <v>0.22448131648989417</v>
      </c>
      <c r="BR18" s="60">
        <f>'Prudential Ratios'!BR57</f>
        <v>0.20056784482634013</v>
      </c>
      <c r="BS18" s="60">
        <f>'Prudential Ratios'!BS57</f>
        <v>0.20081150048814103</v>
      </c>
      <c r="BT18" s="60">
        <f>'Prudential Ratios'!BT57</f>
        <v>0.21635770940644444</v>
      </c>
      <c r="BU18" s="60">
        <f>'Prudential Ratios'!BU57</f>
        <v>0.21366131656202919</v>
      </c>
      <c r="BV18" s="60">
        <f>'Prudential Ratios'!BV57</f>
        <v>0.18762696508225377</v>
      </c>
      <c r="BW18" s="60">
        <f>'Prudential Ratios'!BW57</f>
        <v>0.18068808491827096</v>
      </c>
      <c r="BX18" s="60">
        <f>'Prudential Ratios'!BX57</f>
        <v>0.16311250434296681</v>
      </c>
      <c r="BY18" s="60">
        <f>'Prudential Ratios'!BY57</f>
        <v>0.15542235694847747</v>
      </c>
      <c r="BZ18" s="60">
        <f>'Prudential Ratios'!BZ57</f>
        <v>0.16030918439474801</v>
      </c>
      <c r="CA18" s="60">
        <f>'Prudential Ratios'!CA57</f>
        <v>0.18645541302856009</v>
      </c>
      <c r="CB18" s="60">
        <f>'Prudential Ratios'!CB57</f>
        <v>0.17411405247434195</v>
      </c>
      <c r="CC18" s="60">
        <f>'Prudential Ratios'!CC57</f>
        <v>0.17401033066615976</v>
      </c>
      <c r="CD18" s="60">
        <f>'Prudential Ratios'!CD57</f>
        <v>0.16709272170253117</v>
      </c>
      <c r="CE18" s="60">
        <f>'Prudential Ratios'!CE57</f>
        <v>0.16877413249923809</v>
      </c>
      <c r="CF18" s="60">
        <f>'Prudential Ratios'!CF57</f>
        <v>0.17683412383158775</v>
      </c>
      <c r="CG18" s="60">
        <f>'Prudential Ratios'!CG57</f>
        <v>0.17279437982291257</v>
      </c>
      <c r="CH18" s="60">
        <f>'Prudential Ratios'!CH57</f>
        <v>0.17282115578666082</v>
      </c>
      <c r="CI18" s="60">
        <f>'Prudential Ratios'!CI57</f>
        <v>0.14602156047629378</v>
      </c>
      <c r="CJ18" s="60">
        <f>'Prudential Ratios'!CJ57</f>
        <v>0.14068715918662952</v>
      </c>
      <c r="CK18" s="60">
        <f>'Prudential Ratios'!CK57</f>
        <v>0.13179779735448344</v>
      </c>
      <c r="CL18" s="60">
        <f>'Prudential Ratios'!CL57</f>
        <v>0.13533713320729907</v>
      </c>
      <c r="CM18" s="60">
        <f>'Prudential Ratios'!CM57</f>
        <v>0.1484585342195818</v>
      </c>
      <c r="CN18" s="60">
        <f>'Prudential Ratios'!CN57</f>
        <v>0.17796747934468587</v>
      </c>
      <c r="CO18" s="60">
        <f>'Prudential Ratios'!CO57</f>
        <v>0.17300024413331985</v>
      </c>
    </row>
    <row r="19" spans="1:93">
      <c r="A19" s="51" t="s">
        <v>230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</row>
    <row r="20" spans="1:93">
      <c r="A20" s="53" t="s">
        <v>231</v>
      </c>
      <c r="B20" s="54" t="s">
        <v>167</v>
      </c>
      <c r="C20" s="60">
        <f>'Prudential Ratios'!C14</f>
        <v>5.6130546146083753E-2</v>
      </c>
      <c r="D20" s="60">
        <f>'Prudential Ratios'!D14</f>
        <v>8.4664962739011029E-2</v>
      </c>
      <c r="E20" s="60">
        <f>'Prudential Ratios'!E14</f>
        <v>0.13640760537135735</v>
      </c>
      <c r="F20" s="60">
        <f>'Prudential Ratios'!F14</f>
        <v>9.8078591082975286E-2</v>
      </c>
      <c r="G20" s="60" t="e">
        <f>'Prudential Ratios'!#REF!</f>
        <v>#REF!</v>
      </c>
      <c r="H20" s="60" t="e">
        <f>'Prudential Ratios'!#REF!</f>
        <v>#REF!</v>
      </c>
      <c r="I20" s="60" t="e">
        <f>'Prudential Ratios'!#REF!</f>
        <v>#REF!</v>
      </c>
      <c r="J20" s="60" t="e">
        <f>'Prudential Ratios'!#REF!</f>
        <v>#REF!</v>
      </c>
      <c r="K20" s="60" t="e">
        <f>'Prudential Ratios'!#REF!</f>
        <v>#REF!</v>
      </c>
      <c r="L20" s="60" t="e">
        <f>'Prudential Ratios'!#REF!</f>
        <v>#REF!</v>
      </c>
      <c r="M20" s="60" t="e">
        <f>'Prudential Ratios'!#REF!</f>
        <v>#REF!</v>
      </c>
      <c r="N20" s="60" t="e">
        <f>'Prudential Ratios'!#REF!</f>
        <v>#REF!</v>
      </c>
      <c r="O20" s="60" t="e">
        <f>'Prudential Ratios'!#REF!</f>
        <v>#REF!</v>
      </c>
      <c r="P20" s="60" t="e">
        <f>'Prudential Ratios'!#REF!</f>
        <v>#REF!</v>
      </c>
      <c r="Q20" s="60" t="e">
        <f>'Prudential Ratios'!#REF!</f>
        <v>#REF!</v>
      </c>
      <c r="R20" s="60" t="e">
        <f>'Prudential Ratios'!#REF!</f>
        <v>#REF!</v>
      </c>
      <c r="S20" s="60" t="e">
        <f>'Prudential Ratios'!#REF!</f>
        <v>#REF!</v>
      </c>
      <c r="T20" s="60" t="e">
        <f>'Prudential Ratios'!#REF!</f>
        <v>#REF!</v>
      </c>
      <c r="U20" s="60" t="e">
        <f>'Prudential Ratios'!#REF!</f>
        <v>#REF!</v>
      </c>
      <c r="V20" s="60" t="e">
        <f>'Prudential Ratios'!#REF!</f>
        <v>#REF!</v>
      </c>
      <c r="W20" s="60" t="e">
        <f>'Prudential Ratios'!#REF!</f>
        <v>#REF!</v>
      </c>
      <c r="X20" s="60" t="e">
        <f>'Prudential Ratios'!#REF!</f>
        <v>#REF!</v>
      </c>
      <c r="Y20" s="60" t="e">
        <f>'Prudential Ratios'!#REF!</f>
        <v>#REF!</v>
      </c>
      <c r="Z20" s="60" t="e">
        <f>'Prudential Ratios'!#REF!</f>
        <v>#REF!</v>
      </c>
      <c r="AA20" s="60" t="e">
        <f>'Prudential Ratios'!#REF!</f>
        <v>#REF!</v>
      </c>
      <c r="AB20" s="60" t="e">
        <f>'Prudential Ratios'!#REF!</f>
        <v>#REF!</v>
      </c>
      <c r="AC20" s="60" t="e">
        <f>'Prudential Ratios'!#REF!</f>
        <v>#REF!</v>
      </c>
      <c r="AD20" s="60" t="e">
        <f>'Prudential Ratios'!#REF!</f>
        <v>#REF!</v>
      </c>
      <c r="AE20" s="60" t="e">
        <f>'Prudential Ratios'!#REF!</f>
        <v>#REF!</v>
      </c>
      <c r="AF20" s="60" t="e">
        <f>'Prudential Ratios'!#REF!</f>
        <v>#REF!</v>
      </c>
      <c r="AG20" s="60" t="e">
        <f>'Prudential Ratios'!#REF!</f>
        <v>#REF!</v>
      </c>
      <c r="AH20" s="60" t="e">
        <f>'Prudential Ratios'!#REF!</f>
        <v>#REF!</v>
      </c>
      <c r="AI20" s="60" t="e">
        <f>'Prudential Ratios'!#REF!</f>
        <v>#REF!</v>
      </c>
      <c r="AJ20" s="60" t="e">
        <f>'Prudential Ratios'!#REF!</f>
        <v>#REF!</v>
      </c>
      <c r="AK20" s="60" t="e">
        <f>'Prudential Ratios'!#REF!</f>
        <v>#REF!</v>
      </c>
      <c r="AL20" s="60" t="e">
        <f>'Prudential Ratios'!#REF!</f>
        <v>#REF!</v>
      </c>
      <c r="AM20" s="60" t="e">
        <f>'Prudential Ratios'!#REF!</f>
        <v>#REF!</v>
      </c>
      <c r="AN20" s="60" t="e">
        <f>'Prudential Ratios'!#REF!</f>
        <v>#REF!</v>
      </c>
      <c r="AO20" s="60" t="e">
        <f>'Prudential Ratios'!#REF!</f>
        <v>#REF!</v>
      </c>
      <c r="AP20" s="60" t="e">
        <f>'Prudential Ratios'!#REF!</f>
        <v>#REF!</v>
      </c>
      <c r="AQ20" s="60" t="e">
        <f>'Prudential Ratios'!#REF!</f>
        <v>#REF!</v>
      </c>
      <c r="AR20" s="60" t="e">
        <f>'Prudential Ratios'!#REF!</f>
        <v>#REF!</v>
      </c>
      <c r="AS20" s="60" t="e">
        <f>'Prudential Ratios'!#REF!</f>
        <v>#REF!</v>
      </c>
      <c r="AT20" s="60" t="e">
        <f>'Prudential Ratios'!#REF!</f>
        <v>#REF!</v>
      </c>
      <c r="AU20" s="60" t="e">
        <f>'Prudential Ratios'!#REF!</f>
        <v>#REF!</v>
      </c>
      <c r="AV20" s="60" t="e">
        <f>'Prudential Ratios'!#REF!</f>
        <v>#REF!</v>
      </c>
      <c r="AW20" s="60" t="e">
        <f>'Prudential Ratios'!#REF!</f>
        <v>#REF!</v>
      </c>
      <c r="AX20" s="60" t="e">
        <f>'Prudential Ratios'!#REF!</f>
        <v>#REF!</v>
      </c>
      <c r="AY20" s="60" t="e">
        <f>'Prudential Ratios'!#REF!</f>
        <v>#REF!</v>
      </c>
      <c r="AZ20" s="60" t="e">
        <f>'Prudential Ratios'!#REF!</f>
        <v>#REF!</v>
      </c>
      <c r="BA20" s="60" t="e">
        <f>'Prudential Ratios'!#REF!</f>
        <v>#REF!</v>
      </c>
      <c r="BB20" s="60" t="e">
        <f>'Prudential Ratios'!#REF!</f>
        <v>#REF!</v>
      </c>
      <c r="BC20" s="60" t="e">
        <f>'Prudential Ratios'!#REF!</f>
        <v>#REF!</v>
      </c>
      <c r="BD20" s="60" t="e">
        <f>'Prudential Ratios'!#REF!</f>
        <v>#REF!</v>
      </c>
      <c r="BE20" s="60" t="e">
        <f>'Prudential Ratios'!#REF!</f>
        <v>#REF!</v>
      </c>
      <c r="BF20" s="60" t="e">
        <f>'Prudential Ratios'!#REF!</f>
        <v>#REF!</v>
      </c>
      <c r="BG20" s="60" t="e">
        <f>'Prudential Ratios'!#REF!</f>
        <v>#REF!</v>
      </c>
      <c r="BH20" s="60" t="e">
        <f>'Prudential Ratios'!#REF!</f>
        <v>#REF!</v>
      </c>
      <c r="BI20" s="60" t="e">
        <f>'Prudential Ratios'!#REF!</f>
        <v>#REF!</v>
      </c>
      <c r="BJ20" s="60" t="e">
        <f>'Prudential Ratios'!#REF!</f>
        <v>#REF!</v>
      </c>
      <c r="BK20" s="60" t="e">
        <f>'Prudential Ratios'!#REF!</f>
        <v>#REF!</v>
      </c>
      <c r="BL20" s="60" t="e">
        <f>'Prudential Ratios'!#REF!</f>
        <v>#REF!</v>
      </c>
      <c r="BM20" s="60" t="e">
        <f>'Prudential Ratios'!#REF!</f>
        <v>#REF!</v>
      </c>
      <c r="BN20" s="60" t="e">
        <f>'Prudential Ratios'!#REF!</f>
        <v>#REF!</v>
      </c>
      <c r="BO20" s="60" t="e">
        <f>'Prudential Ratios'!#REF!</f>
        <v>#REF!</v>
      </c>
      <c r="BP20" s="60" t="e">
        <f>'Prudential Ratios'!#REF!</f>
        <v>#REF!</v>
      </c>
      <c r="BQ20" s="60" t="e">
        <f>'Prudential Ratios'!#REF!</f>
        <v>#REF!</v>
      </c>
      <c r="BR20" s="60" t="e">
        <f>'Prudential Ratios'!#REF!</f>
        <v>#REF!</v>
      </c>
      <c r="BS20" s="60" t="e">
        <f>'Prudential Ratios'!#REF!</f>
        <v>#REF!</v>
      </c>
      <c r="BT20" s="60" t="e">
        <f>'Prudential Ratios'!#REF!</f>
        <v>#REF!</v>
      </c>
      <c r="BU20" s="60" t="e">
        <f>'Prudential Ratios'!#REF!</f>
        <v>#REF!</v>
      </c>
      <c r="BV20" s="60" t="e">
        <f>'Prudential Ratios'!#REF!</f>
        <v>#REF!</v>
      </c>
      <c r="BW20" s="60" t="e">
        <f>'Prudential Ratios'!#REF!</f>
        <v>#REF!</v>
      </c>
      <c r="BX20" s="60" t="e">
        <f>'Prudential Ratios'!#REF!</f>
        <v>#REF!</v>
      </c>
      <c r="BY20" s="60" t="e">
        <f>'Prudential Ratios'!#REF!</f>
        <v>#REF!</v>
      </c>
      <c r="BZ20" s="60" t="e">
        <f>'Prudential Ratios'!#REF!</f>
        <v>#REF!</v>
      </c>
      <c r="CA20" s="60" t="e">
        <f>'Prudential Ratios'!#REF!</f>
        <v>#REF!</v>
      </c>
      <c r="CB20" s="60" t="e">
        <f>'Prudential Ratios'!#REF!</f>
        <v>#REF!</v>
      </c>
      <c r="CC20" s="60" t="e">
        <f>'Prudential Ratios'!#REF!</f>
        <v>#REF!</v>
      </c>
      <c r="CD20" s="60" t="e">
        <f>'Prudential Ratios'!#REF!</f>
        <v>#REF!</v>
      </c>
      <c r="CE20" s="60" t="e">
        <f>'Prudential Ratios'!#REF!</f>
        <v>#REF!</v>
      </c>
      <c r="CF20" s="60" t="e">
        <f>'Prudential Ratios'!#REF!</f>
        <v>#REF!</v>
      </c>
      <c r="CG20" s="60" t="e">
        <f>'Prudential Ratios'!#REF!</f>
        <v>#REF!</v>
      </c>
      <c r="CH20" s="60" t="e">
        <f>'Prudential Ratios'!#REF!</f>
        <v>#REF!</v>
      </c>
      <c r="CI20" s="60" t="e">
        <f>'Prudential Ratios'!#REF!</f>
        <v>#REF!</v>
      </c>
      <c r="CJ20" s="60" t="e">
        <f>'Prudential Ratios'!#REF!</f>
        <v>#REF!</v>
      </c>
      <c r="CK20" s="60" t="e">
        <f>'Prudential Ratios'!#REF!</f>
        <v>#REF!</v>
      </c>
      <c r="CL20" s="60" t="e">
        <f>'Prudential Ratios'!#REF!</f>
        <v>#REF!</v>
      </c>
      <c r="CM20" s="60" t="e">
        <f>'Prudential Ratios'!#REF!</f>
        <v>#REF!</v>
      </c>
      <c r="CN20" s="60" t="e">
        <f>'Prudential Ratios'!#REF!</f>
        <v>#REF!</v>
      </c>
      <c r="CO20" s="60" t="e">
        <f>'Prudential Ratios'!#REF!</f>
        <v>#REF!</v>
      </c>
    </row>
    <row r="21" spans="1:93">
      <c r="A21" s="53" t="s">
        <v>232</v>
      </c>
      <c r="B21" s="54" t="s">
        <v>169</v>
      </c>
      <c r="C21" s="60">
        <f>'Prudential Ratios'!C15</f>
        <v>1.5412034004208921E-2</v>
      </c>
      <c r="D21" s="60">
        <f>'Prudential Ratios'!D15</f>
        <v>1.4411559521196625E-2</v>
      </c>
      <c r="E21" s="60">
        <f>'Prudential Ratios'!E15</f>
        <v>1.2773231694568114E-2</v>
      </c>
      <c r="F21" s="60">
        <f>'Prudential Ratios'!F15</f>
        <v>1.5806849404511311E-2</v>
      </c>
      <c r="G21" s="60" t="e">
        <f>'Prudential Ratios'!#REF!</f>
        <v>#REF!</v>
      </c>
      <c r="H21" s="60" t="e">
        <f>'Prudential Ratios'!#REF!</f>
        <v>#REF!</v>
      </c>
      <c r="I21" s="60" t="e">
        <f>'Prudential Ratios'!#REF!</f>
        <v>#REF!</v>
      </c>
      <c r="J21" s="60" t="e">
        <f>'Prudential Ratios'!#REF!</f>
        <v>#REF!</v>
      </c>
      <c r="K21" s="60" t="e">
        <f>'Prudential Ratios'!#REF!</f>
        <v>#REF!</v>
      </c>
      <c r="L21" s="60" t="e">
        <f>'Prudential Ratios'!#REF!</f>
        <v>#REF!</v>
      </c>
      <c r="M21" s="60" t="e">
        <f>'Prudential Ratios'!#REF!</f>
        <v>#REF!</v>
      </c>
      <c r="N21" s="60" t="e">
        <f>'Prudential Ratios'!#REF!</f>
        <v>#REF!</v>
      </c>
      <c r="O21" s="60" t="e">
        <f>'Prudential Ratios'!#REF!</f>
        <v>#REF!</v>
      </c>
      <c r="P21" s="60" t="e">
        <f>'Prudential Ratios'!#REF!</f>
        <v>#REF!</v>
      </c>
      <c r="Q21" s="60" t="e">
        <f>'Prudential Ratios'!#REF!</f>
        <v>#REF!</v>
      </c>
      <c r="R21" s="60" t="e">
        <f>'Prudential Ratios'!#REF!</f>
        <v>#REF!</v>
      </c>
      <c r="S21" s="60" t="e">
        <f>'Prudential Ratios'!#REF!</f>
        <v>#REF!</v>
      </c>
      <c r="T21" s="60" t="e">
        <f>'Prudential Ratios'!#REF!</f>
        <v>#REF!</v>
      </c>
      <c r="U21" s="60" t="e">
        <f>'Prudential Ratios'!#REF!</f>
        <v>#REF!</v>
      </c>
      <c r="V21" s="60" t="e">
        <f>'Prudential Ratios'!#REF!</f>
        <v>#REF!</v>
      </c>
      <c r="W21" s="60" t="e">
        <f>'Prudential Ratios'!#REF!</f>
        <v>#REF!</v>
      </c>
      <c r="X21" s="60" t="e">
        <f>'Prudential Ratios'!#REF!</f>
        <v>#REF!</v>
      </c>
      <c r="Y21" s="60" t="e">
        <f>'Prudential Ratios'!#REF!</f>
        <v>#REF!</v>
      </c>
      <c r="Z21" s="60" t="e">
        <f>'Prudential Ratios'!#REF!</f>
        <v>#REF!</v>
      </c>
      <c r="AA21" s="60" t="e">
        <f>'Prudential Ratios'!#REF!</f>
        <v>#REF!</v>
      </c>
      <c r="AB21" s="60" t="e">
        <f>'Prudential Ratios'!#REF!</f>
        <v>#REF!</v>
      </c>
      <c r="AC21" s="60" t="e">
        <f>'Prudential Ratios'!#REF!</f>
        <v>#REF!</v>
      </c>
      <c r="AD21" s="60" t="e">
        <f>'Prudential Ratios'!#REF!</f>
        <v>#REF!</v>
      </c>
      <c r="AE21" s="60" t="e">
        <f>'Prudential Ratios'!#REF!</f>
        <v>#REF!</v>
      </c>
      <c r="AF21" s="60" t="e">
        <f>'Prudential Ratios'!#REF!</f>
        <v>#REF!</v>
      </c>
      <c r="AG21" s="60" t="e">
        <f>'Prudential Ratios'!#REF!</f>
        <v>#REF!</v>
      </c>
      <c r="AH21" s="60" t="e">
        <f>'Prudential Ratios'!#REF!</f>
        <v>#REF!</v>
      </c>
      <c r="AI21" s="60" t="e">
        <f>'Prudential Ratios'!#REF!</f>
        <v>#REF!</v>
      </c>
      <c r="AJ21" s="60" t="e">
        <f>'Prudential Ratios'!#REF!</f>
        <v>#REF!</v>
      </c>
      <c r="AK21" s="60" t="e">
        <f>'Prudential Ratios'!#REF!</f>
        <v>#REF!</v>
      </c>
      <c r="AL21" s="60" t="e">
        <f>'Prudential Ratios'!#REF!</f>
        <v>#REF!</v>
      </c>
      <c r="AM21" s="60" t="e">
        <f>'Prudential Ratios'!#REF!</f>
        <v>#REF!</v>
      </c>
      <c r="AN21" s="60" t="e">
        <f>'Prudential Ratios'!#REF!</f>
        <v>#REF!</v>
      </c>
      <c r="AO21" s="60" t="e">
        <f>'Prudential Ratios'!#REF!</f>
        <v>#REF!</v>
      </c>
      <c r="AP21" s="60" t="e">
        <f>'Prudential Ratios'!#REF!</f>
        <v>#REF!</v>
      </c>
      <c r="AQ21" s="60" t="e">
        <f>'Prudential Ratios'!#REF!</f>
        <v>#REF!</v>
      </c>
      <c r="AR21" s="60" t="e">
        <f>'Prudential Ratios'!#REF!</f>
        <v>#REF!</v>
      </c>
      <c r="AS21" s="60" t="e">
        <f>'Prudential Ratios'!#REF!</f>
        <v>#REF!</v>
      </c>
      <c r="AT21" s="60" t="e">
        <f>'Prudential Ratios'!#REF!</f>
        <v>#REF!</v>
      </c>
      <c r="AU21" s="60" t="e">
        <f>'Prudential Ratios'!#REF!</f>
        <v>#REF!</v>
      </c>
      <c r="AV21" s="60" t="e">
        <f>'Prudential Ratios'!#REF!</f>
        <v>#REF!</v>
      </c>
      <c r="AW21" s="60" t="e">
        <f>'Prudential Ratios'!#REF!</f>
        <v>#REF!</v>
      </c>
      <c r="AX21" s="60" t="e">
        <f>'Prudential Ratios'!#REF!</f>
        <v>#REF!</v>
      </c>
      <c r="AY21" s="60" t="e">
        <f>'Prudential Ratios'!#REF!</f>
        <v>#REF!</v>
      </c>
      <c r="AZ21" s="60" t="e">
        <f>'Prudential Ratios'!#REF!</f>
        <v>#REF!</v>
      </c>
      <c r="BA21" s="60" t="e">
        <f>'Prudential Ratios'!#REF!</f>
        <v>#REF!</v>
      </c>
      <c r="BB21" s="60" t="e">
        <f>'Prudential Ratios'!#REF!</f>
        <v>#REF!</v>
      </c>
      <c r="BC21" s="60" t="e">
        <f>'Prudential Ratios'!#REF!</f>
        <v>#REF!</v>
      </c>
      <c r="BD21" s="60" t="e">
        <f>'Prudential Ratios'!#REF!</f>
        <v>#REF!</v>
      </c>
      <c r="BE21" s="60" t="e">
        <f>'Prudential Ratios'!#REF!</f>
        <v>#REF!</v>
      </c>
      <c r="BF21" s="60" t="e">
        <f>'Prudential Ratios'!#REF!</f>
        <v>#REF!</v>
      </c>
      <c r="BG21" s="60" t="e">
        <f>'Prudential Ratios'!#REF!</f>
        <v>#REF!</v>
      </c>
      <c r="BH21" s="60" t="e">
        <f>'Prudential Ratios'!#REF!</f>
        <v>#REF!</v>
      </c>
      <c r="BI21" s="60" t="e">
        <f>'Prudential Ratios'!#REF!</f>
        <v>#REF!</v>
      </c>
      <c r="BJ21" s="60" t="e">
        <f>'Prudential Ratios'!#REF!</f>
        <v>#REF!</v>
      </c>
      <c r="BK21" s="60" t="e">
        <f>'Prudential Ratios'!#REF!</f>
        <v>#REF!</v>
      </c>
      <c r="BL21" s="60" t="e">
        <f>'Prudential Ratios'!#REF!</f>
        <v>#REF!</v>
      </c>
      <c r="BM21" s="60" t="e">
        <f>'Prudential Ratios'!#REF!</f>
        <v>#REF!</v>
      </c>
      <c r="BN21" s="60" t="e">
        <f>'Prudential Ratios'!#REF!</f>
        <v>#REF!</v>
      </c>
      <c r="BO21" s="60" t="e">
        <f>'Prudential Ratios'!#REF!</f>
        <v>#REF!</v>
      </c>
      <c r="BP21" s="60" t="e">
        <f>'Prudential Ratios'!#REF!</f>
        <v>#REF!</v>
      </c>
      <c r="BQ21" s="60" t="e">
        <f>'Prudential Ratios'!#REF!</f>
        <v>#REF!</v>
      </c>
      <c r="BR21" s="60" t="e">
        <f>'Prudential Ratios'!#REF!</f>
        <v>#REF!</v>
      </c>
      <c r="BS21" s="60" t="e">
        <f>'Prudential Ratios'!#REF!</f>
        <v>#REF!</v>
      </c>
      <c r="BT21" s="60" t="e">
        <f>'Prudential Ratios'!#REF!</f>
        <v>#REF!</v>
      </c>
      <c r="BU21" s="60" t="e">
        <f>'Prudential Ratios'!#REF!</f>
        <v>#REF!</v>
      </c>
      <c r="BV21" s="60" t="e">
        <f>'Prudential Ratios'!#REF!</f>
        <v>#REF!</v>
      </c>
      <c r="BW21" s="60" t="e">
        <f>'Prudential Ratios'!#REF!</f>
        <v>#REF!</v>
      </c>
      <c r="BX21" s="60" t="e">
        <f>'Prudential Ratios'!#REF!</f>
        <v>#REF!</v>
      </c>
      <c r="BY21" s="60" t="e">
        <f>'Prudential Ratios'!#REF!</f>
        <v>#REF!</v>
      </c>
      <c r="BZ21" s="60" t="e">
        <f>'Prudential Ratios'!#REF!</f>
        <v>#REF!</v>
      </c>
      <c r="CA21" s="60" t="e">
        <f>'Prudential Ratios'!#REF!</f>
        <v>#REF!</v>
      </c>
      <c r="CB21" s="60" t="e">
        <f>'Prudential Ratios'!#REF!</f>
        <v>#REF!</v>
      </c>
      <c r="CC21" s="60" t="e">
        <f>'Prudential Ratios'!#REF!</f>
        <v>#REF!</v>
      </c>
      <c r="CD21" s="60" t="e">
        <f>'Prudential Ratios'!#REF!</f>
        <v>#REF!</v>
      </c>
      <c r="CE21" s="60" t="e">
        <f>'Prudential Ratios'!#REF!</f>
        <v>#REF!</v>
      </c>
      <c r="CF21" s="60" t="e">
        <f>'Prudential Ratios'!#REF!</f>
        <v>#REF!</v>
      </c>
      <c r="CG21" s="60" t="e">
        <f>'Prudential Ratios'!#REF!</f>
        <v>#REF!</v>
      </c>
      <c r="CH21" s="60" t="e">
        <f>'Prudential Ratios'!#REF!</f>
        <v>#REF!</v>
      </c>
      <c r="CI21" s="60" t="e">
        <f>'Prudential Ratios'!#REF!</f>
        <v>#REF!</v>
      </c>
      <c r="CJ21" s="60" t="e">
        <f>'Prudential Ratios'!#REF!</f>
        <v>#REF!</v>
      </c>
      <c r="CK21" s="60" t="e">
        <f>'Prudential Ratios'!#REF!</f>
        <v>#REF!</v>
      </c>
      <c r="CL21" s="60" t="e">
        <f>'Prudential Ratios'!#REF!</f>
        <v>#REF!</v>
      </c>
      <c r="CM21" s="60" t="e">
        <f>'Prudential Ratios'!#REF!</f>
        <v>#REF!</v>
      </c>
      <c r="CN21" s="60" t="e">
        <f>'Prudential Ratios'!#REF!</f>
        <v>#REF!</v>
      </c>
      <c r="CO21" s="60" t="e">
        <f>'Prudential Ratios'!#REF!</f>
        <v>#REF!</v>
      </c>
    </row>
    <row r="22" spans="1:93">
      <c r="A22" s="53" t="s">
        <v>233</v>
      </c>
      <c r="B22" s="54" t="s">
        <v>169</v>
      </c>
      <c r="C22" s="60">
        <f>'Prudential Ratios'!C19</f>
        <v>9.1065500624665355E-2</v>
      </c>
      <c r="D22" s="60">
        <f>'Prudential Ratios'!D19</f>
        <v>7.9617519319852226E-2</v>
      </c>
      <c r="E22" s="60">
        <f>'Prudential Ratios'!E19</f>
        <v>0.13313969973642489</v>
      </c>
      <c r="F22" s="60">
        <f>'Prudential Ratios'!F19</f>
        <v>0.10816163347410099</v>
      </c>
      <c r="G22" s="60" t="e">
        <f>'Prudential Ratios'!#REF!</f>
        <v>#REF!</v>
      </c>
      <c r="H22" s="60" t="e">
        <f>'Prudential Ratios'!#REF!</f>
        <v>#REF!</v>
      </c>
      <c r="I22" s="60" t="e">
        <f>'Prudential Ratios'!#REF!</f>
        <v>#REF!</v>
      </c>
      <c r="J22" s="60" t="e">
        <f>'Prudential Ratios'!#REF!</f>
        <v>#REF!</v>
      </c>
      <c r="K22" s="60" t="e">
        <f>'Prudential Ratios'!#REF!</f>
        <v>#REF!</v>
      </c>
      <c r="L22" s="60" t="e">
        <f>'Prudential Ratios'!#REF!</f>
        <v>#REF!</v>
      </c>
      <c r="M22" s="60" t="e">
        <f>'Prudential Ratios'!#REF!</f>
        <v>#REF!</v>
      </c>
      <c r="N22" s="60" t="e">
        <f>'Prudential Ratios'!#REF!</f>
        <v>#REF!</v>
      </c>
      <c r="O22" s="60" t="e">
        <f>'Prudential Ratios'!#REF!</f>
        <v>#REF!</v>
      </c>
      <c r="P22" s="60" t="e">
        <f>'Prudential Ratios'!#REF!</f>
        <v>#REF!</v>
      </c>
      <c r="Q22" s="60" t="e">
        <f>'Prudential Ratios'!#REF!</f>
        <v>#REF!</v>
      </c>
      <c r="R22" s="60" t="e">
        <f>'Prudential Ratios'!#REF!</f>
        <v>#REF!</v>
      </c>
      <c r="S22" s="60" t="e">
        <f>'Prudential Ratios'!#REF!</f>
        <v>#REF!</v>
      </c>
      <c r="T22" s="60" t="e">
        <f>'Prudential Ratios'!#REF!</f>
        <v>#REF!</v>
      </c>
      <c r="U22" s="60" t="e">
        <f>'Prudential Ratios'!#REF!</f>
        <v>#REF!</v>
      </c>
      <c r="V22" s="60" t="e">
        <f>'Prudential Ratios'!#REF!</f>
        <v>#REF!</v>
      </c>
      <c r="W22" s="60" t="e">
        <f>'Prudential Ratios'!#REF!</f>
        <v>#REF!</v>
      </c>
      <c r="X22" s="60" t="e">
        <f>'Prudential Ratios'!#REF!</f>
        <v>#REF!</v>
      </c>
      <c r="Y22" s="60" t="e">
        <f>'Prudential Ratios'!#REF!</f>
        <v>#REF!</v>
      </c>
      <c r="Z22" s="60" t="e">
        <f>'Prudential Ratios'!#REF!</f>
        <v>#REF!</v>
      </c>
      <c r="AA22" s="60" t="e">
        <f>'Prudential Ratios'!#REF!</f>
        <v>#REF!</v>
      </c>
      <c r="AB22" s="60" t="e">
        <f>'Prudential Ratios'!#REF!</f>
        <v>#REF!</v>
      </c>
      <c r="AC22" s="60" t="e">
        <f>'Prudential Ratios'!#REF!</f>
        <v>#REF!</v>
      </c>
      <c r="AD22" s="60" t="e">
        <f>'Prudential Ratios'!#REF!</f>
        <v>#REF!</v>
      </c>
      <c r="AE22" s="60" t="e">
        <f>'Prudential Ratios'!#REF!</f>
        <v>#REF!</v>
      </c>
      <c r="AF22" s="60" t="e">
        <f>'Prudential Ratios'!#REF!</f>
        <v>#REF!</v>
      </c>
      <c r="AG22" s="60" t="e">
        <f>'Prudential Ratios'!#REF!</f>
        <v>#REF!</v>
      </c>
      <c r="AH22" s="60" t="e">
        <f>'Prudential Ratios'!#REF!</f>
        <v>#REF!</v>
      </c>
      <c r="AI22" s="60" t="e">
        <f>'Prudential Ratios'!#REF!</f>
        <v>#REF!</v>
      </c>
      <c r="AJ22" s="60" t="e">
        <f>'Prudential Ratios'!#REF!</f>
        <v>#REF!</v>
      </c>
      <c r="AK22" s="60" t="e">
        <f>'Prudential Ratios'!#REF!</f>
        <v>#REF!</v>
      </c>
      <c r="AL22" s="60" t="e">
        <f>'Prudential Ratios'!#REF!</f>
        <v>#REF!</v>
      </c>
      <c r="AM22" s="60" t="e">
        <f>'Prudential Ratios'!#REF!</f>
        <v>#REF!</v>
      </c>
      <c r="AN22" s="60" t="e">
        <f>'Prudential Ratios'!#REF!</f>
        <v>#REF!</v>
      </c>
      <c r="AO22" s="60" t="e">
        <f>'Prudential Ratios'!#REF!</f>
        <v>#REF!</v>
      </c>
      <c r="AP22" s="60" t="e">
        <f>'Prudential Ratios'!#REF!</f>
        <v>#REF!</v>
      </c>
      <c r="AQ22" s="60" t="e">
        <f>'Prudential Ratios'!#REF!</f>
        <v>#REF!</v>
      </c>
      <c r="AR22" s="60" t="e">
        <f>'Prudential Ratios'!#REF!</f>
        <v>#REF!</v>
      </c>
      <c r="AS22" s="60" t="e">
        <f>'Prudential Ratios'!#REF!</f>
        <v>#REF!</v>
      </c>
      <c r="AT22" s="60" t="e">
        <f>'Prudential Ratios'!#REF!</f>
        <v>#REF!</v>
      </c>
      <c r="AU22" s="60" t="e">
        <f>'Prudential Ratios'!#REF!</f>
        <v>#REF!</v>
      </c>
      <c r="AV22" s="60" t="e">
        <f>'Prudential Ratios'!#REF!</f>
        <v>#REF!</v>
      </c>
      <c r="AW22" s="60" t="e">
        <f>'Prudential Ratios'!#REF!</f>
        <v>#REF!</v>
      </c>
      <c r="AX22" s="60" t="e">
        <f>'Prudential Ratios'!#REF!</f>
        <v>#REF!</v>
      </c>
      <c r="AY22" s="60" t="e">
        <f>'Prudential Ratios'!#REF!</f>
        <v>#REF!</v>
      </c>
      <c r="AZ22" s="60" t="e">
        <f>'Prudential Ratios'!#REF!</f>
        <v>#REF!</v>
      </c>
      <c r="BA22" s="60" t="e">
        <f>'Prudential Ratios'!#REF!</f>
        <v>#REF!</v>
      </c>
      <c r="BB22" s="60" t="e">
        <f>'Prudential Ratios'!#REF!</f>
        <v>#REF!</v>
      </c>
      <c r="BC22" s="60" t="e">
        <f>'Prudential Ratios'!#REF!</f>
        <v>#REF!</v>
      </c>
      <c r="BD22" s="60" t="e">
        <f>'Prudential Ratios'!#REF!</f>
        <v>#REF!</v>
      </c>
      <c r="BE22" s="60" t="e">
        <f>'Prudential Ratios'!#REF!</f>
        <v>#REF!</v>
      </c>
      <c r="BF22" s="60" t="e">
        <f>'Prudential Ratios'!#REF!</f>
        <v>#REF!</v>
      </c>
      <c r="BG22" s="60" t="e">
        <f>'Prudential Ratios'!#REF!</f>
        <v>#REF!</v>
      </c>
      <c r="BH22" s="60" t="e">
        <f>'Prudential Ratios'!#REF!</f>
        <v>#REF!</v>
      </c>
      <c r="BI22" s="60" t="e">
        <f>'Prudential Ratios'!#REF!</f>
        <v>#REF!</v>
      </c>
      <c r="BJ22" s="60" t="e">
        <f>'Prudential Ratios'!#REF!</f>
        <v>#REF!</v>
      </c>
      <c r="BK22" s="60" t="e">
        <f>'Prudential Ratios'!#REF!</f>
        <v>#REF!</v>
      </c>
      <c r="BL22" s="60" t="e">
        <f>'Prudential Ratios'!#REF!</f>
        <v>#REF!</v>
      </c>
      <c r="BM22" s="60" t="e">
        <f>'Prudential Ratios'!#REF!</f>
        <v>#REF!</v>
      </c>
      <c r="BN22" s="60" t="e">
        <f>'Prudential Ratios'!#REF!</f>
        <v>#REF!</v>
      </c>
      <c r="BO22" s="60" t="e">
        <f>'Prudential Ratios'!#REF!</f>
        <v>#REF!</v>
      </c>
      <c r="BP22" s="60" t="e">
        <f>'Prudential Ratios'!#REF!</f>
        <v>#REF!</v>
      </c>
      <c r="BQ22" s="60" t="e">
        <f>'Prudential Ratios'!#REF!</f>
        <v>#REF!</v>
      </c>
      <c r="BR22" s="60" t="e">
        <f>'Prudential Ratios'!#REF!</f>
        <v>#REF!</v>
      </c>
      <c r="BS22" s="60" t="e">
        <f>'Prudential Ratios'!#REF!</f>
        <v>#REF!</v>
      </c>
      <c r="BT22" s="60" t="e">
        <f>'Prudential Ratios'!#REF!</f>
        <v>#REF!</v>
      </c>
      <c r="BU22" s="60" t="e">
        <f>'Prudential Ratios'!#REF!</f>
        <v>#REF!</v>
      </c>
      <c r="BV22" s="60" t="e">
        <f>'Prudential Ratios'!#REF!</f>
        <v>#REF!</v>
      </c>
      <c r="BW22" s="60" t="e">
        <f>'Prudential Ratios'!#REF!</f>
        <v>#REF!</v>
      </c>
      <c r="BX22" s="60" t="e">
        <f>'Prudential Ratios'!#REF!</f>
        <v>#REF!</v>
      </c>
      <c r="BY22" s="60" t="e">
        <f>'Prudential Ratios'!#REF!</f>
        <v>#REF!</v>
      </c>
      <c r="BZ22" s="60" t="e">
        <f>'Prudential Ratios'!#REF!</f>
        <v>#REF!</v>
      </c>
      <c r="CA22" s="60" t="e">
        <f>'Prudential Ratios'!#REF!</f>
        <v>#REF!</v>
      </c>
      <c r="CB22" s="60" t="e">
        <f>'Prudential Ratios'!#REF!</f>
        <v>#REF!</v>
      </c>
      <c r="CC22" s="60" t="e">
        <f>'Prudential Ratios'!#REF!</f>
        <v>#REF!</v>
      </c>
      <c r="CD22" s="60" t="e">
        <f>'Prudential Ratios'!#REF!</f>
        <v>#REF!</v>
      </c>
      <c r="CE22" s="60" t="e">
        <f>'Prudential Ratios'!#REF!</f>
        <v>#REF!</v>
      </c>
      <c r="CF22" s="60" t="e">
        <f>'Prudential Ratios'!#REF!</f>
        <v>#REF!</v>
      </c>
      <c r="CG22" s="60" t="e">
        <f>'Prudential Ratios'!#REF!</f>
        <v>#REF!</v>
      </c>
      <c r="CH22" s="60" t="e">
        <f>'Prudential Ratios'!#REF!</f>
        <v>#REF!</v>
      </c>
      <c r="CI22" s="60" t="e">
        <f>'Prudential Ratios'!#REF!</f>
        <v>#REF!</v>
      </c>
      <c r="CJ22" s="60" t="e">
        <f>'Prudential Ratios'!#REF!</f>
        <v>#REF!</v>
      </c>
      <c r="CK22" s="60" t="e">
        <f>'Prudential Ratios'!#REF!</f>
        <v>#REF!</v>
      </c>
      <c r="CL22" s="60" t="e">
        <f>'Prudential Ratios'!#REF!</f>
        <v>#REF!</v>
      </c>
      <c r="CM22" s="60" t="e">
        <f>'Prudential Ratios'!#REF!</f>
        <v>#REF!</v>
      </c>
      <c r="CN22" s="60" t="e">
        <f>'Prudential Ratios'!#REF!</f>
        <v>#REF!</v>
      </c>
      <c r="CO22" s="60" t="e">
        <f>'Prudential Ratios'!#REF!</f>
        <v>#REF!</v>
      </c>
    </row>
    <row r="23" spans="1:93" ht="15" thickBot="1">
      <c r="A23" s="61" t="s">
        <v>234</v>
      </c>
      <c r="B23" s="62" t="s">
        <v>175</v>
      </c>
      <c r="C23" s="60">
        <f>'Prudential Ratios'!C20</f>
        <v>-5.6164591922507308</v>
      </c>
      <c r="D23" s="60">
        <f>'Prudential Ratios'!D20</f>
        <v>8.2043795620437958</v>
      </c>
      <c r="E23" s="60">
        <f>'Prudential Ratios'!E20</f>
        <v>-20.910161090458487</v>
      </c>
      <c r="F23" s="60">
        <f>'Prudential Ratios'!F20</f>
        <v>0.78347282235582205</v>
      </c>
      <c r="G23" s="60" t="e">
        <f>'Prudential Ratios'!#REF!</f>
        <v>#REF!</v>
      </c>
      <c r="H23" s="60" t="e">
        <f>'Prudential Ratios'!#REF!</f>
        <v>#REF!</v>
      </c>
      <c r="I23" s="60" t="e">
        <f>'Prudential Ratios'!#REF!</f>
        <v>#REF!</v>
      </c>
      <c r="J23" s="60" t="e">
        <f>'Prudential Ratios'!#REF!</f>
        <v>#REF!</v>
      </c>
      <c r="K23" s="60" t="e">
        <f>'Prudential Ratios'!#REF!</f>
        <v>#REF!</v>
      </c>
      <c r="L23" s="60" t="e">
        <f>'Prudential Ratios'!#REF!</f>
        <v>#REF!</v>
      </c>
      <c r="M23" s="60" t="e">
        <f>'Prudential Ratios'!#REF!</f>
        <v>#REF!</v>
      </c>
      <c r="N23" s="60" t="e">
        <f>'Prudential Ratios'!#REF!</f>
        <v>#REF!</v>
      </c>
      <c r="O23" s="60" t="e">
        <f>'Prudential Ratios'!#REF!</f>
        <v>#REF!</v>
      </c>
      <c r="P23" s="60" t="e">
        <f>'Prudential Ratios'!#REF!</f>
        <v>#REF!</v>
      </c>
      <c r="Q23" s="60" t="e">
        <f>'Prudential Ratios'!#REF!</f>
        <v>#REF!</v>
      </c>
      <c r="R23" s="60" t="e">
        <f>'Prudential Ratios'!#REF!</f>
        <v>#REF!</v>
      </c>
      <c r="S23" s="60" t="e">
        <f>'Prudential Ratios'!#REF!</f>
        <v>#REF!</v>
      </c>
      <c r="T23" s="60" t="e">
        <f>'Prudential Ratios'!#REF!</f>
        <v>#REF!</v>
      </c>
      <c r="U23" s="60" t="e">
        <f>'Prudential Ratios'!#REF!</f>
        <v>#REF!</v>
      </c>
      <c r="V23" s="60" t="e">
        <f>'Prudential Ratios'!#REF!</f>
        <v>#REF!</v>
      </c>
      <c r="W23" s="60" t="e">
        <f>'Prudential Ratios'!#REF!</f>
        <v>#REF!</v>
      </c>
      <c r="X23" s="60" t="e">
        <f>'Prudential Ratios'!#REF!</f>
        <v>#REF!</v>
      </c>
      <c r="Y23" s="60" t="e">
        <f>'Prudential Ratios'!#REF!</f>
        <v>#REF!</v>
      </c>
      <c r="Z23" s="60" t="e">
        <f>'Prudential Ratios'!#REF!</f>
        <v>#REF!</v>
      </c>
      <c r="AA23" s="60" t="e">
        <f>'Prudential Ratios'!#REF!</f>
        <v>#REF!</v>
      </c>
      <c r="AB23" s="60" t="e">
        <f>'Prudential Ratios'!#REF!</f>
        <v>#REF!</v>
      </c>
      <c r="AC23" s="60" t="e">
        <f>'Prudential Ratios'!#REF!</f>
        <v>#REF!</v>
      </c>
      <c r="AD23" s="60" t="e">
        <f>'Prudential Ratios'!#REF!</f>
        <v>#REF!</v>
      </c>
      <c r="AE23" s="60" t="e">
        <f>'Prudential Ratios'!#REF!</f>
        <v>#REF!</v>
      </c>
      <c r="AF23" s="60" t="e">
        <f>'Prudential Ratios'!#REF!</f>
        <v>#REF!</v>
      </c>
      <c r="AG23" s="60" t="e">
        <f>'Prudential Ratios'!#REF!</f>
        <v>#REF!</v>
      </c>
      <c r="AH23" s="60" t="e">
        <f>'Prudential Ratios'!#REF!</f>
        <v>#REF!</v>
      </c>
      <c r="AI23" s="60" t="e">
        <f>'Prudential Ratios'!#REF!</f>
        <v>#REF!</v>
      </c>
      <c r="AJ23" s="60" t="e">
        <f>'Prudential Ratios'!#REF!</f>
        <v>#REF!</v>
      </c>
      <c r="AK23" s="60" t="e">
        <f>'Prudential Ratios'!#REF!</f>
        <v>#REF!</v>
      </c>
      <c r="AL23" s="60" t="e">
        <f>'Prudential Ratios'!#REF!</f>
        <v>#REF!</v>
      </c>
      <c r="AM23" s="60" t="e">
        <f>'Prudential Ratios'!#REF!</f>
        <v>#REF!</v>
      </c>
      <c r="AN23" s="60" t="e">
        <f>'Prudential Ratios'!#REF!</f>
        <v>#REF!</v>
      </c>
      <c r="AO23" s="60" t="e">
        <f>'Prudential Ratios'!#REF!</f>
        <v>#REF!</v>
      </c>
      <c r="AP23" s="60" t="e">
        <f>'Prudential Ratios'!#REF!</f>
        <v>#REF!</v>
      </c>
      <c r="AQ23" s="60" t="e">
        <f>'Prudential Ratios'!#REF!</f>
        <v>#REF!</v>
      </c>
      <c r="AR23" s="60" t="e">
        <f>'Prudential Ratios'!#REF!</f>
        <v>#REF!</v>
      </c>
      <c r="AS23" s="60" t="e">
        <f>'Prudential Ratios'!#REF!</f>
        <v>#REF!</v>
      </c>
      <c r="AT23" s="60" t="e">
        <f>'Prudential Ratios'!#REF!</f>
        <v>#REF!</v>
      </c>
      <c r="AU23" s="60" t="e">
        <f>'Prudential Ratios'!#REF!</f>
        <v>#REF!</v>
      </c>
      <c r="AV23" s="60" t="e">
        <f>'Prudential Ratios'!#REF!</f>
        <v>#REF!</v>
      </c>
      <c r="AW23" s="60" t="e">
        <f>'Prudential Ratios'!#REF!</f>
        <v>#REF!</v>
      </c>
      <c r="AX23" s="60" t="e">
        <f>'Prudential Ratios'!#REF!</f>
        <v>#REF!</v>
      </c>
      <c r="AY23" s="60" t="e">
        <f>'Prudential Ratios'!#REF!</f>
        <v>#REF!</v>
      </c>
      <c r="AZ23" s="60" t="e">
        <f>'Prudential Ratios'!#REF!</f>
        <v>#REF!</v>
      </c>
      <c r="BA23" s="60" t="e">
        <f>'Prudential Ratios'!#REF!</f>
        <v>#REF!</v>
      </c>
      <c r="BB23" s="60" t="e">
        <f>'Prudential Ratios'!#REF!</f>
        <v>#REF!</v>
      </c>
      <c r="BC23" s="60" t="e">
        <f>'Prudential Ratios'!#REF!</f>
        <v>#REF!</v>
      </c>
      <c r="BD23" s="60" t="e">
        <f>'Prudential Ratios'!#REF!</f>
        <v>#REF!</v>
      </c>
      <c r="BE23" s="60" t="e">
        <f>'Prudential Ratios'!#REF!</f>
        <v>#REF!</v>
      </c>
      <c r="BF23" s="60" t="e">
        <f>'Prudential Ratios'!#REF!</f>
        <v>#REF!</v>
      </c>
      <c r="BG23" s="60" t="e">
        <f>'Prudential Ratios'!#REF!</f>
        <v>#REF!</v>
      </c>
      <c r="BH23" s="60" t="e">
        <f>'Prudential Ratios'!#REF!</f>
        <v>#REF!</v>
      </c>
      <c r="BI23" s="60" t="e">
        <f>'Prudential Ratios'!#REF!</f>
        <v>#REF!</v>
      </c>
      <c r="BJ23" s="60" t="e">
        <f>'Prudential Ratios'!#REF!</f>
        <v>#REF!</v>
      </c>
      <c r="BK23" s="60" t="e">
        <f>'Prudential Ratios'!#REF!</f>
        <v>#REF!</v>
      </c>
      <c r="BL23" s="60" t="e">
        <f>'Prudential Ratios'!#REF!</f>
        <v>#REF!</v>
      </c>
      <c r="BM23" s="60" t="e">
        <f>'Prudential Ratios'!#REF!</f>
        <v>#REF!</v>
      </c>
      <c r="BN23" s="60" t="e">
        <f>'Prudential Ratios'!#REF!</f>
        <v>#REF!</v>
      </c>
      <c r="BO23" s="60" t="e">
        <f>'Prudential Ratios'!#REF!</f>
        <v>#REF!</v>
      </c>
      <c r="BP23" s="60" t="e">
        <f>'Prudential Ratios'!#REF!</f>
        <v>#REF!</v>
      </c>
      <c r="BQ23" s="60" t="e">
        <f>'Prudential Ratios'!#REF!</f>
        <v>#REF!</v>
      </c>
      <c r="BR23" s="60" t="e">
        <f>'Prudential Ratios'!#REF!</f>
        <v>#REF!</v>
      </c>
      <c r="BS23" s="60" t="e">
        <f>'Prudential Ratios'!#REF!</f>
        <v>#REF!</v>
      </c>
      <c r="BT23" s="60" t="e">
        <f>'Prudential Ratios'!#REF!</f>
        <v>#REF!</v>
      </c>
      <c r="BU23" s="60" t="e">
        <f>'Prudential Ratios'!#REF!</f>
        <v>#REF!</v>
      </c>
      <c r="BV23" s="60" t="e">
        <f>'Prudential Ratios'!#REF!</f>
        <v>#REF!</v>
      </c>
      <c r="BW23" s="60" t="e">
        <f>'Prudential Ratios'!#REF!</f>
        <v>#REF!</v>
      </c>
      <c r="BX23" s="60" t="e">
        <f>'Prudential Ratios'!#REF!</f>
        <v>#REF!</v>
      </c>
      <c r="BY23" s="60" t="e">
        <f>'Prudential Ratios'!#REF!</f>
        <v>#REF!</v>
      </c>
      <c r="BZ23" s="60" t="e">
        <f>'Prudential Ratios'!#REF!</f>
        <v>#REF!</v>
      </c>
      <c r="CA23" s="60" t="e">
        <f>'Prudential Ratios'!#REF!</f>
        <v>#REF!</v>
      </c>
      <c r="CB23" s="60" t="e">
        <f>'Prudential Ratios'!#REF!</f>
        <v>#REF!</v>
      </c>
      <c r="CC23" s="60" t="e">
        <f>'Prudential Ratios'!#REF!</f>
        <v>#REF!</v>
      </c>
      <c r="CD23" s="60" t="e">
        <f>'Prudential Ratios'!#REF!</f>
        <v>#REF!</v>
      </c>
      <c r="CE23" s="60" t="e">
        <f>'Prudential Ratios'!#REF!</f>
        <v>#REF!</v>
      </c>
      <c r="CF23" s="60" t="e">
        <f>'Prudential Ratios'!#REF!</f>
        <v>#REF!</v>
      </c>
      <c r="CG23" s="60" t="e">
        <f>'Prudential Ratios'!#REF!</f>
        <v>#REF!</v>
      </c>
      <c r="CH23" s="60" t="e">
        <f>'Prudential Ratios'!#REF!</f>
        <v>#REF!</v>
      </c>
      <c r="CI23" s="60" t="e">
        <f>'Prudential Ratios'!#REF!</f>
        <v>#REF!</v>
      </c>
      <c r="CJ23" s="60" t="e">
        <f>'Prudential Ratios'!#REF!</f>
        <v>#REF!</v>
      </c>
      <c r="CK23" s="60" t="e">
        <f>'Prudential Ratios'!#REF!</f>
        <v>#REF!</v>
      </c>
      <c r="CL23" s="60" t="e">
        <f>'Prudential Ratios'!#REF!</f>
        <v>#REF!</v>
      </c>
      <c r="CM23" s="60" t="e">
        <f>'Prudential Ratios'!#REF!</f>
        <v>#REF!</v>
      </c>
      <c r="CN23" s="60" t="e">
        <f>'Prudential Ratios'!#REF!</f>
        <v>#REF!</v>
      </c>
      <c r="CO23" s="60" t="e">
        <f>'Prudential Ratios'!#REF!</f>
        <v>#REF!</v>
      </c>
    </row>
    <row r="25" spans="1:93" ht="15" thickBot="1"/>
    <row r="26" spans="1:93" ht="26.45" thickBot="1">
      <c r="A26" s="516" t="s">
        <v>235</v>
      </c>
      <c r="B26" s="517"/>
      <c r="C26" s="517"/>
      <c r="D26" s="517"/>
      <c r="E26" s="86"/>
    </row>
    <row r="27" spans="1:93" ht="40.15">
      <c r="A27" s="63" t="s">
        <v>152</v>
      </c>
      <c r="B27" s="64" t="s">
        <v>153</v>
      </c>
      <c r="C27" s="50" t="s">
        <v>207</v>
      </c>
      <c r="D27" s="50" t="s">
        <v>208</v>
      </c>
      <c r="E27" s="50" t="s">
        <v>209</v>
      </c>
      <c r="F27" s="50" t="s">
        <v>210</v>
      </c>
    </row>
    <row r="28" spans="1:93">
      <c r="A28" s="65" t="s">
        <v>215</v>
      </c>
      <c r="B28" s="66"/>
      <c r="C28" s="66"/>
      <c r="D28" s="66"/>
      <c r="E28" s="31"/>
    </row>
    <row r="29" spans="1:93">
      <c r="A29" s="53" t="s">
        <v>216</v>
      </c>
      <c r="B29" s="54" t="s">
        <v>156</v>
      </c>
      <c r="C29" s="67" t="str">
        <f>IF(C4&gt;10,"1","5")</f>
        <v>5</v>
      </c>
      <c r="D29" s="67" t="str">
        <f>IF(D4&gt;10,"1","5")</f>
        <v>1</v>
      </c>
      <c r="E29" s="67" t="str">
        <f>IF(E4&gt;10,"1","5")</f>
        <v>5</v>
      </c>
      <c r="F29" s="67" t="str">
        <f>IF(F4&gt;10,"1","5")</f>
        <v>1</v>
      </c>
    </row>
    <row r="30" spans="1:93">
      <c r="A30" s="53" t="s">
        <v>217</v>
      </c>
      <c r="B30" s="54" t="s">
        <v>158</v>
      </c>
      <c r="C30" s="68" t="str">
        <f>IF(C5&gt;20%,"1",IF(C5&gt;15%,"2",IF(C5&gt;12%,"3",IF(C5&gt;10%,"4","5"))))</f>
        <v>5</v>
      </c>
      <c r="D30" s="68" t="str">
        <f>IF(D5&gt;20%,"1",IF(D5&gt;15%,"2",IF(D5&gt;12%,"3",IF(D5&gt;10%,"4","5"))))</f>
        <v>5</v>
      </c>
      <c r="E30" s="68" t="str">
        <f>IF(E5&gt;20%,"1",IF(E5&gt;15%,"2",IF(E5&gt;12%,"3",IF(E5&gt;10%,"4","5"))))</f>
        <v>5</v>
      </c>
      <c r="F30" s="68" t="str">
        <f>IF(F5&gt;20%,"1",IF(F5&gt;15%,"2",IF(F5&gt;12%,"3",IF(F5&gt;10%,"4","5"))))</f>
        <v>4</v>
      </c>
    </row>
    <row r="31" spans="1:93">
      <c r="A31" s="53" t="s">
        <v>218</v>
      </c>
      <c r="B31" s="54" t="s">
        <v>160</v>
      </c>
      <c r="C31" s="68" t="str">
        <f t="shared" ref="C31:F32" si="0">IF(C6&gt;15%,"1",IF(C6&gt;12%,"2",IF(C6&gt;10%,"3",IF(C6&gt;8%,"4","5"))))</f>
        <v>5</v>
      </c>
      <c r="D31" s="68" t="str">
        <f t="shared" si="0"/>
        <v>5</v>
      </c>
      <c r="E31" s="68" t="str">
        <f t="shared" si="0"/>
        <v>5</v>
      </c>
      <c r="F31" s="68" t="str">
        <f t="shared" si="0"/>
        <v>4</v>
      </c>
    </row>
    <row r="32" spans="1:93">
      <c r="A32" s="53" t="s">
        <v>219</v>
      </c>
      <c r="B32" s="54" t="s">
        <v>160</v>
      </c>
      <c r="C32" s="68" t="str">
        <f t="shared" si="0"/>
        <v>5</v>
      </c>
      <c r="D32" s="68" t="str">
        <f t="shared" si="0"/>
        <v>5</v>
      </c>
      <c r="E32" s="68" t="str">
        <f t="shared" si="0"/>
        <v>5</v>
      </c>
      <c r="F32" s="68" t="str">
        <f t="shared" si="0"/>
        <v>2</v>
      </c>
    </row>
    <row r="33" spans="1:6">
      <c r="A33" s="53"/>
      <c r="B33" s="54"/>
      <c r="C33" s="69">
        <f>(C29+C30+C31+C32)/4</f>
        <v>5</v>
      </c>
      <c r="D33" s="69">
        <f>(D29+D30+D31+D32)/4</f>
        <v>4</v>
      </c>
      <c r="E33" s="69">
        <f>(E29+E30+E31+E32)/4</f>
        <v>5</v>
      </c>
      <c r="F33" s="69">
        <f>(F29+F30+F31+F32)/4</f>
        <v>2.75</v>
      </c>
    </row>
    <row r="34" spans="1:6">
      <c r="A34" s="65" t="s">
        <v>220</v>
      </c>
      <c r="B34" s="66"/>
      <c r="C34" s="66"/>
      <c r="D34" s="66"/>
      <c r="E34" s="66"/>
      <c r="F34" s="66"/>
    </row>
    <row r="35" spans="1:6">
      <c r="A35" s="53" t="s">
        <v>221</v>
      </c>
      <c r="B35" s="54" t="s">
        <v>171</v>
      </c>
      <c r="C35" s="57" t="str">
        <f>IF(C9&lt;4%,"1",IF(C9&lt;8%,"2",IF(C9&lt;12%,"3",IF(C9&lt;15%,"4","5"))))</f>
        <v>1</v>
      </c>
      <c r="D35" s="57" t="str">
        <f>IF(D9&lt;4%,"1",IF(D9&lt;8%,"2",IF(D9&lt;12%,"3",IF(D9&lt;15%,"4","5"))))</f>
        <v>1</v>
      </c>
      <c r="E35" s="57" t="str">
        <f>IF(E9&lt;4%,"1",IF(E9&lt;8%,"2",IF(E9&lt;12%,"3",IF(E9&lt;15%,"4","5"))))</f>
        <v>1</v>
      </c>
      <c r="F35" s="57" t="str">
        <f>IF(F9&lt;4%,"1",IF(F9&lt;8%,"2",IF(F9&lt;12%,"3",IF(F9&lt;15%,"4","5"))))</f>
        <v>1</v>
      </c>
    </row>
    <row r="36" spans="1:6">
      <c r="A36" s="53"/>
      <c r="B36" s="54"/>
      <c r="C36" s="57" t="str">
        <f>C35</f>
        <v>1</v>
      </c>
      <c r="D36" s="57" t="str">
        <f>D35</f>
        <v>1</v>
      </c>
      <c r="E36" s="57" t="str">
        <f>E35</f>
        <v>1</v>
      </c>
      <c r="F36" s="57" t="str">
        <f>F35</f>
        <v>1</v>
      </c>
    </row>
    <row r="37" spans="1:6">
      <c r="A37" s="65" t="s">
        <v>202</v>
      </c>
      <c r="B37" s="66"/>
      <c r="C37" s="66"/>
      <c r="D37" s="66"/>
      <c r="E37" s="66"/>
      <c r="F37" s="66"/>
    </row>
    <row r="38" spans="1:6">
      <c r="A38" s="53" t="s">
        <v>222</v>
      </c>
      <c r="B38" s="58"/>
      <c r="C38" s="68" t="e">
        <f>IF(C11&gt;6%,"1",IF(C11&gt;4%,"2",IF(C11&gt;2%,"3",IF(C11&gt;0%,"4","5"))))</f>
        <v>#VALUE!</v>
      </c>
      <c r="D38" s="68" t="str">
        <f>IF(D11&gt;6%,"1",IF(D11&gt;4%,"2",IF(D11&gt;2%,"3",IF(D11&gt;0%,"4","5"))))</f>
        <v>4</v>
      </c>
      <c r="E38" s="68" t="str">
        <f>IF(E11&gt;6%,"1",IF(E11&gt;4%,"2",IF(E11&gt;2%,"3",IF(E11&gt;0%,"4","5"))))</f>
        <v>4</v>
      </c>
      <c r="F38" s="68" t="str">
        <f>IF(F11&gt;6%,"1",IF(F11&gt;4%,"2",IF(F11&gt;2%,"3",IF(F11&gt;0%,"4","5"))))</f>
        <v>4</v>
      </c>
    </row>
    <row r="39" spans="1:6">
      <c r="A39" s="53" t="s">
        <v>223</v>
      </c>
      <c r="B39" s="58"/>
      <c r="C39" s="70" t="str">
        <f>IF(C12&lt;60%,"1",IF(C12&lt;70%,"2",IF(C12&lt;80%,"3",IF(C12&lt;90%,"4","5"))))</f>
        <v>5</v>
      </c>
      <c r="D39" s="70" t="str">
        <f>IF(D12&lt;60%,"1",IF(D12&lt;70%,"2",IF(D12&lt;80%,"3",IF(D12&lt;90%,"4","5"))))</f>
        <v>3</v>
      </c>
      <c r="E39" s="70" t="str">
        <f>IF(E12&lt;60%,"1",IF(E12&lt;70%,"2",IF(E12&lt;80%,"3",IF(E12&lt;90%,"4","5"))))</f>
        <v>2</v>
      </c>
      <c r="F39" s="70" t="str">
        <f>IF(F12&lt;60%,"1",IF(F12&lt;70%,"2",IF(F12&lt;80%,"3",IF(F12&lt;90%,"4","5"))))</f>
        <v>2</v>
      </c>
    </row>
    <row r="40" spans="1:6">
      <c r="A40" s="53" t="s">
        <v>224</v>
      </c>
      <c r="B40" s="58"/>
      <c r="C40" s="68" t="e">
        <f>IF(C13&gt;4%,"1",IF(C13&gt;6%,"2",IF(C13&gt;8%,"3",IF(C13&gt;10%,"4","5"))))</f>
        <v>#REF!</v>
      </c>
      <c r="D40" s="68" t="e">
        <f>IF(D13&gt;4%,"1",IF(D13&gt;6%,"2",IF(D13&gt;8%,"3",IF(D13&gt;10%,"4","5"))))</f>
        <v>#REF!</v>
      </c>
      <c r="E40" s="68" t="e">
        <f>IF(E13&gt;4%,"1",IF(E13&gt;6%,"2",IF(E13&gt;8%,"3",IF(E13&gt;10%,"4","5"))))</f>
        <v>#REF!</v>
      </c>
      <c r="F40" s="68" t="e">
        <f>IF(F13&gt;4%,"1",IF(F13&gt;6%,"2",IF(F13&gt;8%,"3",IF(F13&gt;10%,"4","5"))))</f>
        <v>#REF!</v>
      </c>
    </row>
    <row r="41" spans="1:6">
      <c r="A41" s="53"/>
      <c r="B41" s="58"/>
      <c r="C41" s="71" t="e">
        <f>(C38+C39+C40)/3</f>
        <v>#VALUE!</v>
      </c>
      <c r="D41" s="71" t="e">
        <f>(D38+D39+D40)/3</f>
        <v>#REF!</v>
      </c>
      <c r="E41" s="71" t="e">
        <f>(E38+E39+E40)/3</f>
        <v>#REF!</v>
      </c>
      <c r="F41" s="71" t="e">
        <f>(F38+F39+F40)/3</f>
        <v>#REF!</v>
      </c>
    </row>
    <row r="42" spans="1:6">
      <c r="A42" s="65" t="s">
        <v>225</v>
      </c>
      <c r="B42" s="66"/>
      <c r="C42" s="66"/>
      <c r="D42" s="66"/>
      <c r="E42" s="66"/>
      <c r="F42" s="66"/>
    </row>
    <row r="43" spans="1:6">
      <c r="A43" s="53" t="s">
        <v>226</v>
      </c>
      <c r="B43" s="59">
        <v>0.15</v>
      </c>
      <c r="C43" s="68" t="str">
        <f t="shared" ref="C43:F44" si="1">IF(C15&gt;30%,"1",IF(C15&gt;25%,"2",IF(C15&gt;20%,"3",IF(C15&gt;15%,"4","5"))))</f>
        <v>1</v>
      </c>
      <c r="D43" s="68" t="str">
        <f t="shared" si="1"/>
        <v>1</v>
      </c>
      <c r="E43" s="68" t="str">
        <f t="shared" si="1"/>
        <v>1</v>
      </c>
      <c r="F43" s="68" t="str">
        <f t="shared" si="1"/>
        <v>1</v>
      </c>
    </row>
    <row r="44" spans="1:6">
      <c r="A44" s="53" t="s">
        <v>236</v>
      </c>
      <c r="B44" s="59"/>
      <c r="C44" s="68" t="str">
        <f t="shared" si="1"/>
        <v>4</v>
      </c>
      <c r="D44" s="68" t="str">
        <f t="shared" si="1"/>
        <v>5</v>
      </c>
      <c r="E44" s="68" t="str">
        <f t="shared" si="1"/>
        <v>5</v>
      </c>
      <c r="F44" s="68" t="str">
        <f t="shared" si="1"/>
        <v>5</v>
      </c>
    </row>
    <row r="45" spans="1:6">
      <c r="A45" s="53" t="s">
        <v>228</v>
      </c>
      <c r="B45" s="54" t="s">
        <v>183</v>
      </c>
      <c r="C45" s="68" t="str">
        <f>IF(C17&lt;15%,"1",IF(C17&lt;18%,"2",IF(C17&lt;22%,"3",IF(C17&lt;25%,"4","5"))))</f>
        <v>1</v>
      </c>
      <c r="D45" s="68" t="str">
        <f>IF(D17&lt;15%,"1",IF(D17&lt;18%,"2",IF(D17&lt;22%,"3",IF(D17&lt;25%,"4","5"))))</f>
        <v>1</v>
      </c>
      <c r="E45" s="68" t="str">
        <f>IF(E17&lt;15%,"1",IF(E17&lt;18%,"2",IF(E17&lt;22%,"3",IF(E17&lt;25%,"4","5"))))</f>
        <v>1</v>
      </c>
      <c r="F45" s="68" t="str">
        <f>IF(F17&lt;15%,"1",IF(F17&lt;18%,"2",IF(F17&lt;22%,"3",IF(F17&lt;25%,"4","5"))))</f>
        <v>1</v>
      </c>
    </row>
    <row r="46" spans="1:6">
      <c r="A46" s="53" t="s">
        <v>229</v>
      </c>
      <c r="B46" s="58"/>
      <c r="C46" s="68" t="str">
        <f>IF(C18&gt;15%,"1",IF(C18&gt;12%,"2",IF(C18&gt;9%,"3",IF(C18&gt;6%,"4","5"))))</f>
        <v>2</v>
      </c>
      <c r="D46" s="68" t="str">
        <f>IF(D18&gt;15%,"1",IF(D18&gt;12%,"2",IF(D18&gt;9%,"3",IF(D18&gt;6%,"4","5"))))</f>
        <v>5</v>
      </c>
      <c r="E46" s="68" t="str">
        <f>IF(E18&gt;15%,"1",IF(E18&gt;12%,"2",IF(E18&gt;9%,"3",IF(E18&gt;6%,"4","5"))))</f>
        <v>4</v>
      </c>
      <c r="F46" s="68" t="str">
        <f>IF(F18&gt;15%,"1",IF(F18&gt;12%,"2",IF(F18&gt;9%,"3",IF(F18&gt;6%,"4","5"))))</f>
        <v>5</v>
      </c>
    </row>
    <row r="47" spans="1:6">
      <c r="A47" s="53"/>
      <c r="B47" s="58"/>
      <c r="C47" s="72">
        <f>(C43+C44+C45+C46)/4</f>
        <v>2</v>
      </c>
      <c r="D47" s="72">
        <f>(D43+D44+D45+D46)/4</f>
        <v>3</v>
      </c>
      <c r="E47" s="72">
        <f>(E43+E44+E45+E46)/4</f>
        <v>2.75</v>
      </c>
      <c r="F47" s="72">
        <f>(F43+F44+F45+F46)/4</f>
        <v>3</v>
      </c>
    </row>
    <row r="48" spans="1:6">
      <c r="A48" s="65" t="s">
        <v>230</v>
      </c>
      <c r="B48" s="66"/>
      <c r="C48" s="66"/>
      <c r="D48" s="66"/>
      <c r="E48" s="66"/>
      <c r="F48" s="66"/>
    </row>
    <row r="49" spans="1:6">
      <c r="A49" s="53" t="s">
        <v>231</v>
      </c>
      <c r="B49" s="54" t="s">
        <v>167</v>
      </c>
      <c r="C49" s="68" t="str">
        <f>IF(C20&lt;6%,"1",IF(C20&lt;7%,"2",IF(C20&lt;8%,"3",IF(C20&lt;10%,"4","5"))))</f>
        <v>1</v>
      </c>
      <c r="D49" s="68" t="str">
        <f>IF(D20&lt;6%,"1",IF(D20&lt;7%,"2",IF(D20&lt;8%,"3",IF(D20&lt;10%,"4","5"))))</f>
        <v>4</v>
      </c>
      <c r="E49" s="68" t="str">
        <f>IF(E20&lt;6%,"1",IF(E20&lt;7%,"2",IF(E20&lt;8%,"3",IF(E20&lt;10%,"4","5"))))</f>
        <v>5</v>
      </c>
      <c r="F49" s="68" t="str">
        <f>IF(F20&lt;6%,"1",IF(F20&lt;7%,"2",IF(F20&lt;8%,"3",IF(F20&lt;10%,"4","5"))))</f>
        <v>4</v>
      </c>
    </row>
    <row r="50" spans="1:6">
      <c r="A50" s="53" t="s">
        <v>232</v>
      </c>
      <c r="B50" s="54" t="s">
        <v>169</v>
      </c>
      <c r="C50" s="68" t="str">
        <f t="shared" ref="C50:F51" si="2">IF(C21&lt;2%,"1",IF(C21&lt;3%,"2",IF(C21&lt;4%,"3",IF(C21&lt;5%,"4","5"))))</f>
        <v>1</v>
      </c>
      <c r="D50" s="68" t="str">
        <f t="shared" si="2"/>
        <v>1</v>
      </c>
      <c r="E50" s="68" t="str">
        <f t="shared" si="2"/>
        <v>1</v>
      </c>
      <c r="F50" s="68" t="str">
        <f t="shared" si="2"/>
        <v>1</v>
      </c>
    </row>
    <row r="51" spans="1:6">
      <c r="A51" s="53" t="s">
        <v>233</v>
      </c>
      <c r="B51" s="54" t="s">
        <v>169</v>
      </c>
      <c r="C51" s="68" t="str">
        <f t="shared" si="2"/>
        <v>5</v>
      </c>
      <c r="D51" s="68" t="str">
        <f t="shared" si="2"/>
        <v>5</v>
      </c>
      <c r="E51" s="68" t="str">
        <f t="shared" si="2"/>
        <v>5</v>
      </c>
      <c r="F51" s="68" t="str">
        <f t="shared" si="2"/>
        <v>5</v>
      </c>
    </row>
    <row r="52" spans="1:6">
      <c r="A52" s="53" t="s">
        <v>234</v>
      </c>
      <c r="B52" s="54" t="s">
        <v>175</v>
      </c>
      <c r="C52" s="68" t="str">
        <f>IF(C23&lt;20%,"1",IF(C23&lt;25%,"2",IF(C23&lt;30%,"3",IF(C23&lt;40%,"4","5"))))</f>
        <v>1</v>
      </c>
      <c r="D52" s="68" t="str">
        <f>IF(D23&lt;20%,"1",IF(D23&lt;25%,"2",IF(D23&lt;30%,"3",IF(D23&lt;40%,"4","5"))))</f>
        <v>5</v>
      </c>
      <c r="E52" s="68" t="str">
        <f>IF(E23&lt;20%,"1",IF(E23&lt;25%,"2",IF(E23&lt;30%,"3",IF(E23&lt;40%,"4","5"))))</f>
        <v>1</v>
      </c>
      <c r="F52" s="68" t="str">
        <f>IF(F23&lt;20%,"1",IF(F23&lt;25%,"2",IF(F23&lt;30%,"3",IF(F23&lt;40%,"4","5"))))</f>
        <v>5</v>
      </c>
    </row>
    <row r="53" spans="1:6">
      <c r="A53" s="53"/>
      <c r="B53" s="58"/>
      <c r="C53" s="73">
        <f>(C49+C50+C51+C52)/4</f>
        <v>2</v>
      </c>
      <c r="D53" s="73">
        <f>(D49+D50+D51+D52)/4</f>
        <v>3.75</v>
      </c>
      <c r="E53" s="73">
        <f>(E49+E50+E51+E52)/4</f>
        <v>3</v>
      </c>
      <c r="F53" s="73">
        <f>(F49+F50+F51+F52)/4</f>
        <v>3.75</v>
      </c>
    </row>
    <row r="54" spans="1:6" s="31" customFormat="1" ht="15" thickBot="1">
      <c r="A54" s="74" t="s">
        <v>237</v>
      </c>
      <c r="B54" s="75"/>
      <c r="C54" s="76"/>
      <c r="D54" s="75"/>
      <c r="E54" s="75"/>
      <c r="F54" s="75"/>
    </row>
  </sheetData>
  <mergeCells count="1">
    <mergeCell ref="A26:D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7"/>
  <sheetViews>
    <sheetView topLeftCell="A84" workbookViewId="0">
      <selection activeCell="H37" sqref="H37"/>
    </sheetView>
  </sheetViews>
  <sheetFormatPr defaultColWidth="9.140625" defaultRowHeight="13.15"/>
  <cols>
    <col min="1" max="1" width="4.5703125" style="22" customWidth="1"/>
    <col min="2" max="2" width="29.7109375" style="22" customWidth="1"/>
    <col min="3" max="3" width="16.28515625" style="22" customWidth="1"/>
    <col min="4" max="4" width="21.28515625" style="22" customWidth="1"/>
    <col min="5" max="5" width="12.5703125" style="22" customWidth="1"/>
    <col min="6" max="6" width="22.42578125" style="22" customWidth="1"/>
    <col min="7" max="7" width="9.140625" style="22"/>
    <col min="8" max="8" width="14.5703125" style="22" bestFit="1" customWidth="1"/>
    <col min="9" max="16384" width="9.140625" style="22"/>
  </cols>
  <sheetData>
    <row r="1" spans="1:8" ht="14.25" customHeight="1">
      <c r="B1" s="209" t="s">
        <v>238</v>
      </c>
    </row>
    <row r="2" spans="1:8" ht="13.9">
      <c r="A2" s="207"/>
      <c r="B2" s="207"/>
      <c r="C2" s="208" t="s">
        <v>239</v>
      </c>
      <c r="D2" s="208" t="s">
        <v>240</v>
      </c>
      <c r="E2" s="208" t="s">
        <v>241</v>
      </c>
      <c r="F2" s="208" t="s">
        <v>242</v>
      </c>
    </row>
    <row r="3" spans="1:8" ht="27.6">
      <c r="A3" s="23" t="s">
        <v>243</v>
      </c>
      <c r="B3" s="24" t="s">
        <v>244</v>
      </c>
      <c r="C3" s="24" t="s">
        <v>245</v>
      </c>
      <c r="D3" s="24" t="s">
        <v>246</v>
      </c>
      <c r="E3" s="24" t="s">
        <v>247</v>
      </c>
      <c r="F3" s="24" t="s">
        <v>248</v>
      </c>
    </row>
    <row r="4" spans="1:8" ht="13.9">
      <c r="A4" s="23">
        <v>1</v>
      </c>
      <c r="B4" s="23" t="s">
        <v>249</v>
      </c>
      <c r="C4" s="186">
        <v>23916</v>
      </c>
      <c r="D4" s="193">
        <v>7087070080</v>
      </c>
      <c r="E4" s="203">
        <v>0.01</v>
      </c>
      <c r="F4" s="194">
        <f>D4*E4</f>
        <v>70870700.799999997</v>
      </c>
    </row>
    <row r="5" spans="1:8" ht="13.9">
      <c r="A5" s="23">
        <v>2</v>
      </c>
      <c r="B5" s="23" t="s">
        <v>250</v>
      </c>
      <c r="C5" s="186">
        <v>684</v>
      </c>
      <c r="D5" s="193">
        <v>33563540</v>
      </c>
      <c r="E5" s="203">
        <v>0.05</v>
      </c>
      <c r="F5" s="194">
        <f>D5*E5</f>
        <v>1678177</v>
      </c>
      <c r="H5" s="87"/>
    </row>
    <row r="6" spans="1:8" ht="13.9">
      <c r="A6" s="23">
        <v>3</v>
      </c>
      <c r="B6" s="23" t="s">
        <v>251</v>
      </c>
      <c r="C6" s="186">
        <v>428</v>
      </c>
      <c r="D6" s="193">
        <v>49523088</v>
      </c>
      <c r="E6" s="203">
        <v>0.25</v>
      </c>
      <c r="F6" s="194">
        <f>D6*E6</f>
        <v>12380772</v>
      </c>
    </row>
    <row r="7" spans="1:8" ht="13.9">
      <c r="A7" s="23">
        <v>4</v>
      </c>
      <c r="B7" s="23" t="s">
        <v>252</v>
      </c>
      <c r="C7" s="186">
        <v>518</v>
      </c>
      <c r="D7" s="193">
        <v>46822836</v>
      </c>
      <c r="E7" s="203">
        <v>0.5</v>
      </c>
      <c r="F7" s="194">
        <f>D7*E7</f>
        <v>23411418</v>
      </c>
    </row>
    <row r="8" spans="1:8" ht="13.9">
      <c r="A8" s="23">
        <v>5</v>
      </c>
      <c r="B8" s="23" t="s">
        <v>253</v>
      </c>
      <c r="C8" s="186">
        <v>989</v>
      </c>
      <c r="D8" s="193">
        <v>128358910</v>
      </c>
      <c r="E8" s="203">
        <v>1</v>
      </c>
      <c r="F8" s="194">
        <f>D8*E8</f>
        <v>128358910</v>
      </c>
    </row>
    <row r="9" spans="1:8" ht="13.9">
      <c r="A9" s="23"/>
      <c r="B9" s="24" t="s">
        <v>254</v>
      </c>
      <c r="C9" s="205">
        <f>SUM(C4:C8)</f>
        <v>26535</v>
      </c>
      <c r="D9" s="195">
        <f>SUM(D4:D8)</f>
        <v>7345338454</v>
      </c>
      <c r="E9" s="189"/>
      <c r="F9" s="195">
        <f>SUM(F4:F8)</f>
        <v>236699977.80000001</v>
      </c>
    </row>
    <row r="10" spans="1:8" ht="13.9">
      <c r="A10" s="23"/>
      <c r="B10" s="23" t="s">
        <v>255</v>
      </c>
      <c r="C10" s="186"/>
      <c r="D10" s="186"/>
      <c r="E10" s="186"/>
      <c r="F10" s="186"/>
    </row>
    <row r="11" spans="1:8" ht="13.9">
      <c r="A11" s="23">
        <v>1</v>
      </c>
      <c r="B11" s="23" t="s">
        <v>249</v>
      </c>
      <c r="C11" s="186">
        <v>0</v>
      </c>
      <c r="D11" s="186"/>
      <c r="E11" s="187">
        <v>0.01</v>
      </c>
      <c r="F11" s="23">
        <f>D11*E11</f>
        <v>0</v>
      </c>
    </row>
    <row r="12" spans="1:8" ht="13.9">
      <c r="A12" s="23">
        <v>2</v>
      </c>
      <c r="B12" s="23" t="s">
        <v>250</v>
      </c>
      <c r="C12" s="186">
        <v>0</v>
      </c>
      <c r="D12" s="186"/>
      <c r="E12" s="187">
        <v>0.05</v>
      </c>
      <c r="F12" s="23">
        <f>D12*E12</f>
        <v>0</v>
      </c>
    </row>
    <row r="13" spans="1:8" ht="13.9">
      <c r="A13" s="23">
        <v>3</v>
      </c>
      <c r="B13" s="23" t="s">
        <v>251</v>
      </c>
      <c r="C13" s="186">
        <v>0</v>
      </c>
      <c r="D13" s="186"/>
      <c r="E13" s="187">
        <v>0.25</v>
      </c>
      <c r="F13" s="23">
        <f>D13*E13</f>
        <v>0</v>
      </c>
    </row>
    <row r="14" spans="1:8" ht="13.9">
      <c r="A14" s="23">
        <v>4</v>
      </c>
      <c r="B14" s="23" t="s">
        <v>252</v>
      </c>
      <c r="C14" s="186">
        <v>0</v>
      </c>
      <c r="D14" s="186"/>
      <c r="E14" s="187">
        <v>0.5</v>
      </c>
      <c r="F14" s="23">
        <f>D14*E14</f>
        <v>0</v>
      </c>
    </row>
    <row r="15" spans="1:8" ht="13.9">
      <c r="A15" s="23">
        <v>5</v>
      </c>
      <c r="B15" s="23" t="s">
        <v>253</v>
      </c>
      <c r="C15" s="186">
        <v>0</v>
      </c>
      <c r="D15" s="186"/>
      <c r="E15" s="187">
        <v>1</v>
      </c>
      <c r="F15" s="23">
        <f>D15*E15</f>
        <v>0</v>
      </c>
    </row>
    <row r="16" spans="1:8" ht="13.9">
      <c r="A16" s="23"/>
      <c r="B16" s="24" t="s">
        <v>254</v>
      </c>
      <c r="C16" s="188">
        <f>SUM(C10:C15)</f>
        <v>0</v>
      </c>
      <c r="D16" s="188">
        <f>SUM(D10:D15)</f>
        <v>0</v>
      </c>
      <c r="E16" s="24"/>
      <c r="F16" s="188">
        <f>SUM(F10:F15)</f>
        <v>0</v>
      </c>
    </row>
    <row r="17" spans="1:6" ht="13.9">
      <c r="A17" s="23"/>
      <c r="B17" s="24" t="s">
        <v>256</v>
      </c>
      <c r="C17" s="205">
        <f>C9+C16</f>
        <v>26535</v>
      </c>
      <c r="D17" s="195">
        <f>D9+D16</f>
        <v>7345338454</v>
      </c>
      <c r="E17" s="204"/>
      <c r="F17" s="195">
        <f>F9+F16</f>
        <v>236699977.80000001</v>
      </c>
    </row>
    <row r="18" spans="1:6" ht="13.9">
      <c r="A18" s="33"/>
      <c r="B18" s="43"/>
      <c r="C18" s="43"/>
      <c r="D18" s="43"/>
      <c r="E18" s="43"/>
      <c r="F18" s="44"/>
    </row>
    <row r="19" spans="1:6" ht="15" customHeight="1">
      <c r="A19" s="206"/>
      <c r="B19" s="206"/>
      <c r="C19" s="206"/>
      <c r="D19" s="206"/>
      <c r="E19" s="206"/>
      <c r="F19" s="206"/>
    </row>
    <row r="20" spans="1:6" ht="15" customHeight="1">
      <c r="A20" s="45"/>
      <c r="B20" s="210">
        <f>(D6+D7+D8)/D9</f>
        <v>3.0591488112795408E-2</v>
      </c>
      <c r="C20" s="45"/>
      <c r="D20" s="45"/>
      <c r="E20" s="45"/>
      <c r="F20" s="45"/>
    </row>
    <row r="21" spans="1:6" ht="13.9">
      <c r="A21" s="37"/>
      <c r="B21" s="190"/>
      <c r="C21" s="191"/>
      <c r="D21" s="192"/>
      <c r="E21" s="192"/>
      <c r="F21" s="192"/>
    </row>
    <row r="22" spans="1:6" ht="15.75" customHeight="1">
      <c r="B22" s="209" t="s">
        <v>257</v>
      </c>
    </row>
    <row r="23" spans="1:6" ht="24" customHeight="1">
      <c r="A23" s="207"/>
      <c r="B23" s="207"/>
      <c r="C23" s="208" t="s">
        <v>239</v>
      </c>
      <c r="D23" s="208" t="s">
        <v>240</v>
      </c>
      <c r="E23" s="208" t="s">
        <v>241</v>
      </c>
      <c r="F23" s="208" t="s">
        <v>242</v>
      </c>
    </row>
    <row r="24" spans="1:6" ht="13.9" customHeight="1">
      <c r="A24" s="23" t="s">
        <v>243</v>
      </c>
      <c r="B24" s="24" t="s">
        <v>244</v>
      </c>
      <c r="C24" s="24" t="s">
        <v>245</v>
      </c>
      <c r="D24" s="24" t="s">
        <v>246</v>
      </c>
      <c r="E24" s="24" t="s">
        <v>247</v>
      </c>
      <c r="F24" s="24" t="s">
        <v>248</v>
      </c>
    </row>
    <row r="25" spans="1:6" ht="20.25" customHeight="1">
      <c r="A25" s="23">
        <v>1</v>
      </c>
      <c r="B25" s="23" t="s">
        <v>249</v>
      </c>
      <c r="C25" s="186"/>
      <c r="D25" s="193"/>
      <c r="E25" s="203">
        <v>0.01</v>
      </c>
      <c r="F25" s="194">
        <f>D25*E25</f>
        <v>0</v>
      </c>
    </row>
    <row r="26" spans="1:6" ht="13.9" customHeight="1">
      <c r="A26" s="23">
        <v>2</v>
      </c>
      <c r="B26" s="23" t="s">
        <v>250</v>
      </c>
      <c r="C26" s="186"/>
      <c r="D26" s="193"/>
      <c r="E26" s="203">
        <v>0.05</v>
      </c>
      <c r="F26" s="194">
        <f>D26*E26</f>
        <v>0</v>
      </c>
    </row>
    <row r="27" spans="1:6" ht="13.9" customHeight="1">
      <c r="A27" s="23">
        <v>3</v>
      </c>
      <c r="B27" s="23" t="s">
        <v>251</v>
      </c>
      <c r="C27" s="186"/>
      <c r="D27" s="193"/>
      <c r="E27" s="203">
        <v>0.25</v>
      </c>
      <c r="F27" s="194">
        <f>D27*E27</f>
        <v>0</v>
      </c>
    </row>
    <row r="28" spans="1:6" ht="13.9" customHeight="1">
      <c r="A28" s="23">
        <v>4</v>
      </c>
      <c r="B28" s="23" t="s">
        <v>252</v>
      </c>
      <c r="C28" s="186"/>
      <c r="D28" s="193"/>
      <c r="E28" s="203">
        <v>0.5</v>
      </c>
      <c r="F28" s="194">
        <f>D28*E28</f>
        <v>0</v>
      </c>
    </row>
    <row r="29" spans="1:6" ht="13.9" customHeight="1">
      <c r="A29" s="23">
        <v>5</v>
      </c>
      <c r="B29" s="23" t="s">
        <v>253</v>
      </c>
      <c r="C29" s="186"/>
      <c r="D29" s="193"/>
      <c r="E29" s="203">
        <v>1</v>
      </c>
      <c r="F29" s="194">
        <f>D29*E29</f>
        <v>0</v>
      </c>
    </row>
    <row r="30" spans="1:6" ht="13.9" customHeight="1">
      <c r="A30" s="23"/>
      <c r="B30" s="24" t="s">
        <v>254</v>
      </c>
      <c r="C30" s="205"/>
      <c r="D30" s="195"/>
      <c r="E30" s="189"/>
      <c r="F30" s="195">
        <f>SUM(F25:F29)</f>
        <v>0</v>
      </c>
    </row>
    <row r="31" spans="1:6" ht="13.9" customHeight="1">
      <c r="A31" s="23"/>
      <c r="B31" s="23" t="s">
        <v>255</v>
      </c>
      <c r="C31" s="186"/>
      <c r="D31" s="186"/>
      <c r="E31" s="186"/>
      <c r="F31" s="186"/>
    </row>
    <row r="32" spans="1:6" ht="13.9" customHeight="1">
      <c r="A32" s="23">
        <v>1</v>
      </c>
      <c r="B32" s="23" t="s">
        <v>249</v>
      </c>
      <c r="C32" s="186">
        <v>0</v>
      </c>
      <c r="D32" s="186"/>
      <c r="E32" s="187">
        <v>0.01</v>
      </c>
      <c r="F32" s="23">
        <f>D32*E32</f>
        <v>0</v>
      </c>
    </row>
    <row r="33" spans="1:6" ht="13.9" customHeight="1">
      <c r="A33" s="23">
        <v>2</v>
      </c>
      <c r="B33" s="23" t="s">
        <v>250</v>
      </c>
      <c r="C33" s="186">
        <v>0</v>
      </c>
      <c r="D33" s="186"/>
      <c r="E33" s="187">
        <v>0.05</v>
      </c>
      <c r="F33" s="23">
        <f>D33*E33</f>
        <v>0</v>
      </c>
    </row>
    <row r="34" spans="1:6" ht="13.9" customHeight="1">
      <c r="A34" s="23">
        <v>3</v>
      </c>
      <c r="B34" s="23" t="s">
        <v>251</v>
      </c>
      <c r="C34" s="186">
        <v>0</v>
      </c>
      <c r="D34" s="186"/>
      <c r="E34" s="187">
        <v>0.25</v>
      </c>
      <c r="F34" s="23">
        <f>D34*E34</f>
        <v>0</v>
      </c>
    </row>
    <row r="35" spans="1:6" ht="13.9" customHeight="1">
      <c r="A35" s="23">
        <v>4</v>
      </c>
      <c r="B35" s="23" t="s">
        <v>252</v>
      </c>
      <c r="C35" s="186">
        <v>0</v>
      </c>
      <c r="D35" s="186"/>
      <c r="E35" s="187">
        <v>0.5</v>
      </c>
      <c r="F35" s="23">
        <f>D35*E35</f>
        <v>0</v>
      </c>
    </row>
    <row r="36" spans="1:6" ht="13.9" customHeight="1">
      <c r="A36" s="23">
        <v>5</v>
      </c>
      <c r="B36" s="23" t="s">
        <v>253</v>
      </c>
      <c r="C36" s="186">
        <v>0</v>
      </c>
      <c r="D36" s="186"/>
      <c r="E36" s="187">
        <v>1</v>
      </c>
      <c r="F36" s="23">
        <f>D36*E36</f>
        <v>0</v>
      </c>
    </row>
    <row r="37" spans="1:6" ht="13.9" customHeight="1">
      <c r="A37" s="23"/>
      <c r="B37" s="24" t="s">
        <v>254</v>
      </c>
      <c r="C37" s="188">
        <f>SUM(C31:C36)</f>
        <v>0</v>
      </c>
      <c r="D37" s="188">
        <f>SUM(D31:D36)</f>
        <v>0</v>
      </c>
      <c r="E37" s="24"/>
      <c r="F37" s="188">
        <f>SUM(F31:F36)</f>
        <v>0</v>
      </c>
    </row>
    <row r="38" spans="1:6" ht="13.9" customHeight="1">
      <c r="A38" s="23"/>
      <c r="B38" s="24" t="s">
        <v>256</v>
      </c>
      <c r="C38" s="205"/>
      <c r="D38" s="195"/>
      <c r="E38" s="204"/>
      <c r="F38" s="195">
        <f>F30+F37</f>
        <v>0</v>
      </c>
    </row>
    <row r="39" spans="1:6" ht="13.15" customHeight="1">
      <c r="A39" s="33"/>
      <c r="B39" s="43"/>
      <c r="C39" s="43"/>
      <c r="D39" s="43"/>
      <c r="E39" s="43"/>
      <c r="F39" s="44"/>
    </row>
    <row r="40" spans="1:6" ht="13.15" customHeight="1">
      <c r="A40" s="206"/>
      <c r="B40" s="206"/>
      <c r="C40" s="206"/>
      <c r="D40" s="206"/>
      <c r="E40" s="206"/>
      <c r="F40" s="206"/>
    </row>
    <row r="41" spans="1:6" ht="13.15" customHeight="1">
      <c r="A41" s="45"/>
      <c r="B41" s="210" t="e">
        <f>(D27+D28+D29)/D30</f>
        <v>#DIV/0!</v>
      </c>
      <c r="C41" s="45"/>
      <c r="D41" s="45"/>
      <c r="E41" s="45"/>
      <c r="F41" s="45"/>
    </row>
    <row r="44" spans="1:6">
      <c r="B44" s="209" t="s">
        <v>258</v>
      </c>
    </row>
    <row r="45" spans="1:6" ht="13.9">
      <c r="A45" s="207"/>
      <c r="B45" s="207"/>
      <c r="C45" s="208" t="s">
        <v>239</v>
      </c>
      <c r="D45" s="208" t="s">
        <v>240</v>
      </c>
      <c r="E45" s="208" t="s">
        <v>241</v>
      </c>
      <c r="F45" s="208" t="s">
        <v>242</v>
      </c>
    </row>
    <row r="46" spans="1:6" ht="27.6">
      <c r="A46" s="23" t="s">
        <v>243</v>
      </c>
      <c r="B46" s="24" t="s">
        <v>244</v>
      </c>
      <c r="C46" s="24" t="s">
        <v>245</v>
      </c>
      <c r="D46" s="24" t="s">
        <v>246</v>
      </c>
      <c r="E46" s="24" t="s">
        <v>247</v>
      </c>
      <c r="F46" s="24" t="s">
        <v>248</v>
      </c>
    </row>
    <row r="47" spans="1:6" ht="13.9">
      <c r="A47" s="23">
        <v>1</v>
      </c>
      <c r="B47" s="23" t="s">
        <v>249</v>
      </c>
      <c r="C47" s="186"/>
      <c r="D47" s="193"/>
      <c r="E47" s="203">
        <v>0.01</v>
      </c>
      <c r="F47" s="194">
        <f>D47*E47</f>
        <v>0</v>
      </c>
    </row>
    <row r="48" spans="1:6" ht="13.9">
      <c r="A48" s="23">
        <v>2</v>
      </c>
      <c r="B48" s="23" t="s">
        <v>250</v>
      </c>
      <c r="C48" s="186"/>
      <c r="D48" s="193"/>
      <c r="E48" s="203">
        <v>0.05</v>
      </c>
      <c r="F48" s="194">
        <f>D48*E48</f>
        <v>0</v>
      </c>
    </row>
    <row r="49" spans="1:6" ht="13.9">
      <c r="A49" s="23">
        <v>3</v>
      </c>
      <c r="B49" s="23" t="s">
        <v>251</v>
      </c>
      <c r="C49" s="186"/>
      <c r="D49" s="193"/>
      <c r="E49" s="203">
        <v>0.25</v>
      </c>
      <c r="F49" s="194">
        <f>D49*E49</f>
        <v>0</v>
      </c>
    </row>
    <row r="50" spans="1:6" ht="13.9">
      <c r="A50" s="23">
        <v>4</v>
      </c>
      <c r="B50" s="23" t="s">
        <v>252</v>
      </c>
      <c r="C50" s="186"/>
      <c r="D50" s="193"/>
      <c r="E50" s="203">
        <v>0.5</v>
      </c>
      <c r="F50" s="194">
        <f>D50*E50</f>
        <v>0</v>
      </c>
    </row>
    <row r="51" spans="1:6" ht="13.9">
      <c r="A51" s="23">
        <v>5</v>
      </c>
      <c r="B51" s="23" t="s">
        <v>253</v>
      </c>
      <c r="C51" s="186"/>
      <c r="D51" s="193"/>
      <c r="E51" s="203">
        <v>1</v>
      </c>
      <c r="F51" s="194">
        <f>D51*E51</f>
        <v>0</v>
      </c>
    </row>
    <row r="52" spans="1:6" ht="13.9">
      <c r="A52" s="23"/>
      <c r="B52" s="24" t="s">
        <v>254</v>
      </c>
      <c r="C52" s="205">
        <f>SUM(C47:C51)</f>
        <v>0</v>
      </c>
      <c r="D52" s="195">
        <f>SUM(D47:D51)</f>
        <v>0</v>
      </c>
      <c r="E52" s="189"/>
      <c r="F52" s="195">
        <f>SUM(F47:F51)</f>
        <v>0</v>
      </c>
    </row>
    <row r="53" spans="1:6" ht="13.9">
      <c r="A53" s="23"/>
      <c r="B53" s="23" t="s">
        <v>255</v>
      </c>
      <c r="C53" s="186"/>
      <c r="D53" s="186"/>
      <c r="E53" s="186"/>
      <c r="F53" s="186"/>
    </row>
    <row r="54" spans="1:6" ht="13.9">
      <c r="A54" s="23">
        <v>1</v>
      </c>
      <c r="B54" s="23" t="s">
        <v>249</v>
      </c>
      <c r="C54" s="186">
        <v>0</v>
      </c>
      <c r="D54" s="186"/>
      <c r="E54" s="187">
        <v>0.01</v>
      </c>
      <c r="F54" s="23">
        <f>D54*E54</f>
        <v>0</v>
      </c>
    </row>
    <row r="55" spans="1:6" ht="13.9">
      <c r="A55" s="23">
        <v>2</v>
      </c>
      <c r="B55" s="23" t="s">
        <v>250</v>
      </c>
      <c r="C55" s="186">
        <v>0</v>
      </c>
      <c r="D55" s="186"/>
      <c r="E55" s="187">
        <v>0.05</v>
      </c>
      <c r="F55" s="23">
        <f>D55*E55</f>
        <v>0</v>
      </c>
    </row>
    <row r="56" spans="1:6" ht="13.9">
      <c r="A56" s="23">
        <v>3</v>
      </c>
      <c r="B56" s="23" t="s">
        <v>251</v>
      </c>
      <c r="C56" s="186">
        <v>0</v>
      </c>
      <c r="D56" s="186"/>
      <c r="E56" s="187">
        <v>0.25</v>
      </c>
      <c r="F56" s="23">
        <f>D56*E56</f>
        <v>0</v>
      </c>
    </row>
    <row r="57" spans="1:6" ht="13.9">
      <c r="A57" s="23">
        <v>4</v>
      </c>
      <c r="B57" s="23" t="s">
        <v>252</v>
      </c>
      <c r="C57" s="186">
        <v>0</v>
      </c>
      <c r="D57" s="186"/>
      <c r="E57" s="187">
        <v>0.5</v>
      </c>
      <c r="F57" s="23">
        <f>D57*E57</f>
        <v>0</v>
      </c>
    </row>
    <row r="58" spans="1:6" ht="13.9">
      <c r="A58" s="23">
        <v>5</v>
      </c>
      <c r="B58" s="23" t="s">
        <v>253</v>
      </c>
      <c r="C58" s="186">
        <v>0</v>
      </c>
      <c r="D58" s="186"/>
      <c r="E58" s="187">
        <v>1</v>
      </c>
      <c r="F58" s="23">
        <f>D58*E58</f>
        <v>0</v>
      </c>
    </row>
    <row r="59" spans="1:6" ht="13.9">
      <c r="A59" s="23"/>
      <c r="B59" s="24" t="s">
        <v>254</v>
      </c>
      <c r="C59" s="188">
        <f>SUM(C53:C58)</f>
        <v>0</v>
      </c>
      <c r="D59" s="188">
        <f>SUM(D53:D58)</f>
        <v>0</v>
      </c>
      <c r="E59" s="24"/>
      <c r="F59" s="188">
        <f>SUM(F53:F58)</f>
        <v>0</v>
      </c>
    </row>
    <row r="60" spans="1:6" ht="13.9">
      <c r="A60" s="23"/>
      <c r="B60" s="24" t="s">
        <v>256</v>
      </c>
      <c r="C60" s="205">
        <f>C52+C59</f>
        <v>0</v>
      </c>
      <c r="D60" s="195">
        <f>D52+D59</f>
        <v>0</v>
      </c>
      <c r="E60" s="204"/>
      <c r="F60" s="195">
        <f>F52+F59</f>
        <v>0</v>
      </c>
    </row>
    <row r="61" spans="1:6" ht="13.9">
      <c r="A61" s="33"/>
      <c r="B61" s="43"/>
      <c r="C61" s="43"/>
      <c r="D61" s="43"/>
      <c r="E61" s="43"/>
      <c r="F61" s="44"/>
    </row>
    <row r="62" spans="1:6" ht="13.9">
      <c r="A62" s="206"/>
      <c r="B62" s="206"/>
      <c r="C62" s="206"/>
      <c r="D62" s="206"/>
      <c r="E62" s="206"/>
      <c r="F62" s="206"/>
    </row>
    <row r="63" spans="1:6" ht="13.9">
      <c r="A63" s="45"/>
      <c r="B63" s="210" t="e">
        <f>(D49+D50+D51)/D52</f>
        <v>#DIV/0!</v>
      </c>
      <c r="C63" s="45"/>
      <c r="D63" s="45"/>
      <c r="E63" s="45"/>
      <c r="F63" s="45"/>
    </row>
    <row r="66" spans="1:6">
      <c r="B66" s="209" t="s">
        <v>259</v>
      </c>
    </row>
    <row r="67" spans="1:6" ht="13.9">
      <c r="A67" s="207"/>
      <c r="B67" s="207"/>
      <c r="C67" s="208" t="s">
        <v>239</v>
      </c>
      <c r="D67" s="208" t="s">
        <v>240</v>
      </c>
      <c r="E67" s="208" t="s">
        <v>241</v>
      </c>
      <c r="F67" s="208" t="s">
        <v>242</v>
      </c>
    </row>
    <row r="68" spans="1:6" ht="27.6">
      <c r="A68" s="23" t="s">
        <v>243</v>
      </c>
      <c r="B68" s="24" t="s">
        <v>244</v>
      </c>
      <c r="C68" s="24" t="s">
        <v>245</v>
      </c>
      <c r="D68" s="24" t="s">
        <v>246</v>
      </c>
      <c r="E68" s="24" t="s">
        <v>247</v>
      </c>
      <c r="F68" s="24" t="s">
        <v>248</v>
      </c>
    </row>
    <row r="69" spans="1:6" ht="13.9">
      <c r="A69" s="23">
        <v>1</v>
      </c>
      <c r="B69" s="23" t="s">
        <v>249</v>
      </c>
      <c r="C69" s="186"/>
      <c r="D69" s="193"/>
      <c r="E69" s="203">
        <v>0.01</v>
      </c>
      <c r="F69" s="194">
        <f>D69*E69</f>
        <v>0</v>
      </c>
    </row>
    <row r="70" spans="1:6" ht="13.9">
      <c r="A70" s="23">
        <v>2</v>
      </c>
      <c r="B70" s="23" t="s">
        <v>250</v>
      </c>
      <c r="C70" s="186"/>
      <c r="D70" s="193"/>
      <c r="E70" s="203">
        <v>0.05</v>
      </c>
      <c r="F70" s="194">
        <f>D70*E70</f>
        <v>0</v>
      </c>
    </row>
    <row r="71" spans="1:6" ht="13.9">
      <c r="A71" s="23">
        <v>3</v>
      </c>
      <c r="B71" s="23" t="s">
        <v>251</v>
      </c>
      <c r="C71" s="186"/>
      <c r="D71" s="193"/>
      <c r="E71" s="203">
        <v>0.25</v>
      </c>
      <c r="F71" s="194">
        <f>D71*E71</f>
        <v>0</v>
      </c>
    </row>
    <row r="72" spans="1:6" ht="13.9">
      <c r="A72" s="23">
        <v>4</v>
      </c>
      <c r="B72" s="23" t="s">
        <v>252</v>
      </c>
      <c r="C72" s="186"/>
      <c r="D72" s="193"/>
      <c r="E72" s="203">
        <v>0.5</v>
      </c>
      <c r="F72" s="194">
        <f>D72*E72</f>
        <v>0</v>
      </c>
    </row>
    <row r="73" spans="1:6" ht="13.9">
      <c r="A73" s="23">
        <v>5</v>
      </c>
      <c r="B73" s="23" t="s">
        <v>253</v>
      </c>
      <c r="C73" s="186"/>
      <c r="D73" s="193"/>
      <c r="E73" s="203">
        <v>1</v>
      </c>
      <c r="F73" s="194">
        <f>D73*E73</f>
        <v>0</v>
      </c>
    </row>
    <row r="74" spans="1:6" ht="13.9">
      <c r="A74" s="23"/>
      <c r="B74" s="24" t="s">
        <v>254</v>
      </c>
      <c r="C74" s="205">
        <f>SUM(C69:C73)</f>
        <v>0</v>
      </c>
      <c r="D74" s="195">
        <f>SUM(D69:D73)</f>
        <v>0</v>
      </c>
      <c r="E74" s="189"/>
      <c r="F74" s="195">
        <f>SUM(F69:F73)</f>
        <v>0</v>
      </c>
    </row>
    <row r="75" spans="1:6" ht="13.9">
      <c r="A75" s="23"/>
      <c r="B75" s="23" t="s">
        <v>255</v>
      </c>
      <c r="C75" s="186"/>
      <c r="D75" s="186"/>
      <c r="E75" s="186"/>
      <c r="F75" s="186"/>
    </row>
    <row r="76" spans="1:6" ht="13.9">
      <c r="A76" s="23">
        <v>1</v>
      </c>
      <c r="B76" s="23" t="s">
        <v>249</v>
      </c>
      <c r="C76" s="186">
        <v>0</v>
      </c>
      <c r="D76" s="186"/>
      <c r="E76" s="187">
        <v>0.01</v>
      </c>
      <c r="F76" s="23">
        <f>D76*E76</f>
        <v>0</v>
      </c>
    </row>
    <row r="77" spans="1:6" ht="13.9">
      <c r="A77" s="23">
        <v>2</v>
      </c>
      <c r="B77" s="23" t="s">
        <v>250</v>
      </c>
      <c r="C77" s="186">
        <v>0</v>
      </c>
      <c r="D77" s="186"/>
      <c r="E77" s="187">
        <v>0.05</v>
      </c>
      <c r="F77" s="23">
        <f>D77*E77</f>
        <v>0</v>
      </c>
    </row>
    <row r="78" spans="1:6" ht="13.9">
      <c r="A78" s="23">
        <v>3</v>
      </c>
      <c r="B78" s="23" t="s">
        <v>251</v>
      </c>
      <c r="C78" s="186">
        <v>0</v>
      </c>
      <c r="D78" s="186"/>
      <c r="E78" s="187">
        <v>0.25</v>
      </c>
      <c r="F78" s="23">
        <f>D78*E78</f>
        <v>0</v>
      </c>
    </row>
    <row r="79" spans="1:6" ht="13.9">
      <c r="A79" s="23">
        <v>4</v>
      </c>
      <c r="B79" s="23" t="s">
        <v>252</v>
      </c>
      <c r="C79" s="186">
        <v>0</v>
      </c>
      <c r="D79" s="186"/>
      <c r="E79" s="187">
        <v>0.5</v>
      </c>
      <c r="F79" s="23">
        <f>D79*E79</f>
        <v>0</v>
      </c>
    </row>
    <row r="80" spans="1:6" ht="13.9">
      <c r="A80" s="23">
        <v>5</v>
      </c>
      <c r="B80" s="23" t="s">
        <v>253</v>
      </c>
      <c r="C80" s="186">
        <v>0</v>
      </c>
      <c r="D80" s="186"/>
      <c r="E80" s="187">
        <v>1</v>
      </c>
      <c r="F80" s="23">
        <f>D80*E80</f>
        <v>0</v>
      </c>
    </row>
    <row r="81" spans="1:6" ht="13.9">
      <c r="A81" s="23"/>
      <c r="B81" s="24" t="s">
        <v>254</v>
      </c>
      <c r="C81" s="188">
        <f>SUM(C75:C80)</f>
        <v>0</v>
      </c>
      <c r="D81" s="188">
        <f>SUM(D75:D80)</f>
        <v>0</v>
      </c>
      <c r="E81" s="24"/>
      <c r="F81" s="188">
        <f>SUM(F75:F80)</f>
        <v>0</v>
      </c>
    </row>
    <row r="82" spans="1:6" ht="13.9">
      <c r="A82" s="23"/>
      <c r="B82" s="24" t="s">
        <v>256</v>
      </c>
      <c r="C82" s="205">
        <f>C74+C81</f>
        <v>0</v>
      </c>
      <c r="D82" s="195">
        <f>D74+D81</f>
        <v>0</v>
      </c>
      <c r="E82" s="204"/>
      <c r="F82" s="195">
        <f>F74+F81</f>
        <v>0</v>
      </c>
    </row>
    <row r="83" spans="1:6" ht="13.9">
      <c r="A83" s="33"/>
      <c r="B83" s="43"/>
      <c r="C83" s="43"/>
      <c r="D83" s="43"/>
      <c r="E83" s="43"/>
      <c r="F83" s="44"/>
    </row>
    <row r="84" spans="1:6" ht="13.9">
      <c r="A84" s="206"/>
      <c r="B84" s="206"/>
      <c r="C84" s="206"/>
      <c r="D84" s="206"/>
      <c r="E84" s="206"/>
      <c r="F84" s="206"/>
    </row>
    <row r="85" spans="1:6" ht="13.9">
      <c r="A85" s="45"/>
      <c r="B85" s="210" t="e">
        <f>(D71+D72+D73)/D74</f>
        <v>#DIV/0!</v>
      </c>
      <c r="C85" s="45"/>
      <c r="D85" s="45"/>
      <c r="E85" s="45"/>
      <c r="F85" s="45"/>
    </row>
    <row r="87" spans="1:6">
      <c r="B87" s="209" t="s">
        <v>260</v>
      </c>
    </row>
    <row r="88" spans="1:6" ht="13.9">
      <c r="A88" s="207"/>
      <c r="B88" s="207"/>
      <c r="C88" s="208" t="s">
        <v>239</v>
      </c>
      <c r="D88" s="208" t="s">
        <v>240</v>
      </c>
      <c r="E88" s="208" t="s">
        <v>241</v>
      </c>
      <c r="F88" s="208" t="s">
        <v>242</v>
      </c>
    </row>
    <row r="89" spans="1:6" ht="27.6">
      <c r="A89" s="23" t="s">
        <v>243</v>
      </c>
      <c r="B89" s="24" t="s">
        <v>244</v>
      </c>
      <c r="C89" s="24" t="s">
        <v>245</v>
      </c>
      <c r="D89" s="24" t="s">
        <v>246</v>
      </c>
      <c r="E89" s="24" t="s">
        <v>247</v>
      </c>
      <c r="F89" s="24" t="s">
        <v>248</v>
      </c>
    </row>
    <row r="90" spans="1:6" ht="13.9">
      <c r="A90" s="23">
        <v>1</v>
      </c>
      <c r="B90" s="23" t="s">
        <v>249</v>
      </c>
      <c r="C90" s="186"/>
      <c r="D90" s="193"/>
      <c r="E90" s="203">
        <v>0.01</v>
      </c>
      <c r="F90" s="194">
        <f>D90*E90</f>
        <v>0</v>
      </c>
    </row>
    <row r="91" spans="1:6" ht="13.9">
      <c r="A91" s="23">
        <v>2</v>
      </c>
      <c r="B91" s="23" t="s">
        <v>250</v>
      </c>
      <c r="C91" s="186"/>
      <c r="D91" s="193"/>
      <c r="E91" s="203">
        <v>0.05</v>
      </c>
      <c r="F91" s="194">
        <f>D91*E91</f>
        <v>0</v>
      </c>
    </row>
    <row r="92" spans="1:6" ht="13.9">
      <c r="A92" s="23">
        <v>3</v>
      </c>
      <c r="B92" s="23" t="s">
        <v>251</v>
      </c>
      <c r="C92" s="186"/>
      <c r="D92" s="193"/>
      <c r="E92" s="203">
        <v>0.25</v>
      </c>
      <c r="F92" s="194">
        <f>D92*E92</f>
        <v>0</v>
      </c>
    </row>
    <row r="93" spans="1:6" ht="13.9">
      <c r="A93" s="23">
        <v>4</v>
      </c>
      <c r="B93" s="23" t="s">
        <v>252</v>
      </c>
      <c r="C93" s="186"/>
      <c r="D93" s="193"/>
      <c r="E93" s="203">
        <v>0.5</v>
      </c>
      <c r="F93" s="194">
        <f>D93*E93</f>
        <v>0</v>
      </c>
    </row>
    <row r="94" spans="1:6" ht="13.9">
      <c r="A94" s="23">
        <v>5</v>
      </c>
      <c r="B94" s="23" t="s">
        <v>253</v>
      </c>
      <c r="C94" s="186"/>
      <c r="D94" s="193"/>
      <c r="E94" s="203">
        <v>1</v>
      </c>
      <c r="F94" s="194">
        <f>D94*E94</f>
        <v>0</v>
      </c>
    </row>
    <row r="95" spans="1:6" ht="13.9">
      <c r="A95" s="23"/>
      <c r="B95" s="24" t="s">
        <v>254</v>
      </c>
      <c r="C95" s="205">
        <f>SUM(C90:C94)</f>
        <v>0</v>
      </c>
      <c r="D95" s="195">
        <f>SUM(D90:D94)</f>
        <v>0</v>
      </c>
      <c r="E95" s="189"/>
      <c r="F95" s="195">
        <f>SUM(F90:F94)</f>
        <v>0</v>
      </c>
    </row>
    <row r="96" spans="1:6" ht="13.9">
      <c r="A96" s="23"/>
      <c r="B96" s="23" t="s">
        <v>255</v>
      </c>
      <c r="C96" s="186"/>
      <c r="D96" s="186"/>
      <c r="E96" s="186"/>
      <c r="F96" s="186"/>
    </row>
    <row r="97" spans="1:6" ht="13.9">
      <c r="A97" s="23">
        <v>1</v>
      </c>
      <c r="B97" s="23" t="s">
        <v>249</v>
      </c>
      <c r="C97" s="186">
        <v>0</v>
      </c>
      <c r="D97" s="186"/>
      <c r="E97" s="187">
        <v>0.01</v>
      </c>
      <c r="F97" s="23">
        <f>D97*E97</f>
        <v>0</v>
      </c>
    </row>
    <row r="98" spans="1:6" ht="13.9">
      <c r="A98" s="23">
        <v>2</v>
      </c>
      <c r="B98" s="23" t="s">
        <v>250</v>
      </c>
      <c r="C98" s="186">
        <v>0</v>
      </c>
      <c r="D98" s="186"/>
      <c r="E98" s="187">
        <v>0.05</v>
      </c>
      <c r="F98" s="23">
        <f>D98*E98</f>
        <v>0</v>
      </c>
    </row>
    <row r="99" spans="1:6" ht="13.9">
      <c r="A99" s="23">
        <v>3</v>
      </c>
      <c r="B99" s="23" t="s">
        <v>251</v>
      </c>
      <c r="C99" s="186">
        <v>0</v>
      </c>
      <c r="D99" s="186"/>
      <c r="E99" s="187">
        <v>0.25</v>
      </c>
      <c r="F99" s="23">
        <f>D99*E99</f>
        <v>0</v>
      </c>
    </row>
    <row r="100" spans="1:6" ht="13.9">
      <c r="A100" s="23">
        <v>4</v>
      </c>
      <c r="B100" s="23" t="s">
        <v>252</v>
      </c>
      <c r="C100" s="186">
        <v>0</v>
      </c>
      <c r="D100" s="186"/>
      <c r="E100" s="187">
        <v>0.5</v>
      </c>
      <c r="F100" s="23">
        <f>D100*E100</f>
        <v>0</v>
      </c>
    </row>
    <row r="101" spans="1:6" ht="13.9">
      <c r="A101" s="23">
        <v>5</v>
      </c>
      <c r="B101" s="23" t="s">
        <v>253</v>
      </c>
      <c r="C101" s="186">
        <v>0</v>
      </c>
      <c r="D101" s="186"/>
      <c r="E101" s="187">
        <v>1</v>
      </c>
      <c r="F101" s="23">
        <f>D101*E101</f>
        <v>0</v>
      </c>
    </row>
    <row r="102" spans="1:6" ht="13.9">
      <c r="A102" s="23"/>
      <c r="B102" s="24" t="s">
        <v>254</v>
      </c>
      <c r="C102" s="188">
        <f>SUM(C96:C101)</f>
        <v>0</v>
      </c>
      <c r="D102" s="188">
        <f>SUM(D96:D101)</f>
        <v>0</v>
      </c>
      <c r="E102" s="24"/>
      <c r="F102" s="188">
        <f>SUM(F96:F101)</f>
        <v>0</v>
      </c>
    </row>
    <row r="103" spans="1:6" ht="13.9">
      <c r="A103" s="23"/>
      <c r="B103" s="24" t="s">
        <v>256</v>
      </c>
      <c r="C103" s="205">
        <f>C95+C102</f>
        <v>0</v>
      </c>
      <c r="D103" s="195">
        <f>D95+D102</f>
        <v>0</v>
      </c>
      <c r="E103" s="204"/>
      <c r="F103" s="195">
        <f>F95+F102</f>
        <v>0</v>
      </c>
    </row>
    <row r="104" spans="1:6" ht="13.9">
      <c r="A104" s="33"/>
      <c r="B104" s="43"/>
      <c r="C104" s="43"/>
      <c r="D104" s="43"/>
      <c r="E104" s="43"/>
      <c r="F104" s="44"/>
    </row>
    <row r="105" spans="1:6" ht="13.9">
      <c r="A105" s="206"/>
      <c r="B105" s="206"/>
      <c r="C105" s="206"/>
      <c r="D105" s="206"/>
      <c r="E105" s="206"/>
      <c r="F105" s="206"/>
    </row>
    <row r="106" spans="1:6" ht="13.9">
      <c r="A106" s="45"/>
      <c r="B106" s="210" t="e">
        <f>(D92+D93+D94)/D95</f>
        <v>#DIV/0!</v>
      </c>
      <c r="C106" s="45"/>
      <c r="D106" s="45"/>
      <c r="E106" s="45"/>
      <c r="F106" s="45"/>
    </row>
    <row r="108" spans="1:6">
      <c r="B108" s="209" t="s">
        <v>260</v>
      </c>
    </row>
    <row r="109" spans="1:6" ht="13.9">
      <c r="A109" s="207"/>
      <c r="B109" s="207"/>
      <c r="C109" s="208" t="s">
        <v>239</v>
      </c>
      <c r="D109" s="208" t="s">
        <v>240</v>
      </c>
      <c r="E109" s="208" t="s">
        <v>241</v>
      </c>
      <c r="F109" s="208" t="s">
        <v>242</v>
      </c>
    </row>
    <row r="110" spans="1:6" ht="27.6">
      <c r="A110" s="23" t="s">
        <v>243</v>
      </c>
      <c r="B110" s="24" t="s">
        <v>244</v>
      </c>
      <c r="C110" s="24" t="s">
        <v>245</v>
      </c>
      <c r="D110" s="24" t="s">
        <v>246</v>
      </c>
      <c r="E110" s="24" t="s">
        <v>247</v>
      </c>
      <c r="F110" s="24" t="s">
        <v>248</v>
      </c>
    </row>
    <row r="111" spans="1:6" ht="13.9">
      <c r="A111" s="23">
        <v>1</v>
      </c>
      <c r="B111" s="23" t="s">
        <v>249</v>
      </c>
      <c r="C111" s="186"/>
      <c r="D111" s="193"/>
      <c r="E111" s="203">
        <v>0.01</v>
      </c>
      <c r="F111" s="194">
        <f>D111*E111</f>
        <v>0</v>
      </c>
    </row>
    <row r="112" spans="1:6" ht="13.9">
      <c r="A112" s="23">
        <v>2</v>
      </c>
      <c r="B112" s="23" t="s">
        <v>250</v>
      </c>
      <c r="C112" s="186"/>
      <c r="D112" s="193"/>
      <c r="E112" s="203">
        <v>0.05</v>
      </c>
      <c r="F112" s="194">
        <f>D112*E112</f>
        <v>0</v>
      </c>
    </row>
    <row r="113" spans="1:6" ht="13.9">
      <c r="A113" s="23">
        <v>3</v>
      </c>
      <c r="B113" s="23" t="s">
        <v>251</v>
      </c>
      <c r="C113" s="186"/>
      <c r="D113" s="193"/>
      <c r="E113" s="203">
        <v>0.25</v>
      </c>
      <c r="F113" s="194">
        <f>D113*E113</f>
        <v>0</v>
      </c>
    </row>
    <row r="114" spans="1:6" ht="13.9">
      <c r="A114" s="23">
        <v>4</v>
      </c>
      <c r="B114" s="23" t="s">
        <v>252</v>
      </c>
      <c r="C114" s="186"/>
      <c r="D114" s="193"/>
      <c r="E114" s="203">
        <v>0.5</v>
      </c>
      <c r="F114" s="194">
        <f>D114*E114</f>
        <v>0</v>
      </c>
    </row>
    <row r="115" spans="1:6" ht="13.9">
      <c r="A115" s="23">
        <v>5</v>
      </c>
      <c r="B115" s="23" t="s">
        <v>253</v>
      </c>
      <c r="C115" s="186"/>
      <c r="D115" s="193"/>
      <c r="E115" s="203">
        <v>1</v>
      </c>
      <c r="F115" s="194">
        <f>D115*E115</f>
        <v>0</v>
      </c>
    </row>
    <row r="116" spans="1:6" ht="13.9">
      <c r="A116" s="23"/>
      <c r="B116" s="24" t="s">
        <v>254</v>
      </c>
      <c r="C116" s="205">
        <f>SUM(C111:C115)</f>
        <v>0</v>
      </c>
      <c r="D116" s="195">
        <f>SUM(D111:D115)</f>
        <v>0</v>
      </c>
      <c r="E116" s="189"/>
      <c r="F116" s="195">
        <f>SUM(F111:F115)</f>
        <v>0</v>
      </c>
    </row>
    <row r="117" spans="1:6" ht="13.9">
      <c r="A117" s="23"/>
      <c r="B117" s="23" t="s">
        <v>255</v>
      </c>
      <c r="C117" s="186"/>
      <c r="D117" s="186"/>
      <c r="E117" s="186"/>
      <c r="F117" s="186"/>
    </row>
    <row r="118" spans="1:6" ht="13.9">
      <c r="A118" s="23">
        <v>1</v>
      </c>
      <c r="B118" s="23" t="s">
        <v>249</v>
      </c>
      <c r="C118" s="186">
        <v>0</v>
      </c>
      <c r="D118" s="186"/>
      <c r="E118" s="187">
        <v>0.01</v>
      </c>
      <c r="F118" s="23">
        <f>D118*E118</f>
        <v>0</v>
      </c>
    </row>
    <row r="119" spans="1:6" ht="13.9">
      <c r="A119" s="23">
        <v>2</v>
      </c>
      <c r="B119" s="23" t="s">
        <v>250</v>
      </c>
      <c r="C119" s="186">
        <v>0</v>
      </c>
      <c r="D119" s="186"/>
      <c r="E119" s="187">
        <v>0.05</v>
      </c>
      <c r="F119" s="23">
        <f>D119*E119</f>
        <v>0</v>
      </c>
    </row>
    <row r="120" spans="1:6" ht="13.9">
      <c r="A120" s="23">
        <v>3</v>
      </c>
      <c r="B120" s="23" t="s">
        <v>251</v>
      </c>
      <c r="C120" s="186">
        <v>0</v>
      </c>
      <c r="D120" s="186"/>
      <c r="E120" s="187">
        <v>0.25</v>
      </c>
      <c r="F120" s="23">
        <f>D120*E120</f>
        <v>0</v>
      </c>
    </row>
    <row r="121" spans="1:6" ht="13.9">
      <c r="A121" s="23">
        <v>4</v>
      </c>
      <c r="B121" s="23" t="s">
        <v>252</v>
      </c>
      <c r="C121" s="186">
        <v>0</v>
      </c>
      <c r="D121" s="186"/>
      <c r="E121" s="187">
        <v>0.5</v>
      </c>
      <c r="F121" s="23">
        <f>D121*E121</f>
        <v>0</v>
      </c>
    </row>
    <row r="122" spans="1:6" ht="13.9">
      <c r="A122" s="23">
        <v>5</v>
      </c>
      <c r="B122" s="23" t="s">
        <v>253</v>
      </c>
      <c r="C122" s="186">
        <v>0</v>
      </c>
      <c r="D122" s="186"/>
      <c r="E122" s="187">
        <v>1</v>
      </c>
      <c r="F122" s="23">
        <f>D122*E122</f>
        <v>0</v>
      </c>
    </row>
    <row r="123" spans="1:6" ht="13.9">
      <c r="A123" s="23"/>
      <c r="B123" s="24" t="s">
        <v>254</v>
      </c>
      <c r="C123" s="188">
        <f>SUM(C117:C122)</f>
        <v>0</v>
      </c>
      <c r="D123" s="188">
        <f>SUM(D117:D122)</f>
        <v>0</v>
      </c>
      <c r="E123" s="24"/>
      <c r="F123" s="188">
        <f>SUM(F117:F122)</f>
        <v>0</v>
      </c>
    </row>
    <row r="124" spans="1:6" ht="13.9">
      <c r="A124" s="23"/>
      <c r="B124" s="24" t="s">
        <v>256</v>
      </c>
      <c r="C124" s="205">
        <f>C116+C123</f>
        <v>0</v>
      </c>
      <c r="D124" s="195">
        <f>D116+D123</f>
        <v>0</v>
      </c>
      <c r="E124" s="204"/>
      <c r="F124" s="195">
        <f>F116+F123</f>
        <v>0</v>
      </c>
    </row>
    <row r="125" spans="1:6" ht="13.9">
      <c r="A125" s="33"/>
      <c r="B125" s="43"/>
      <c r="C125" s="43"/>
      <c r="D125" s="43"/>
      <c r="E125" s="43"/>
      <c r="F125" s="44"/>
    </row>
    <row r="126" spans="1:6" ht="13.9">
      <c r="A126" s="206"/>
      <c r="B126" s="206"/>
      <c r="C126" s="206"/>
      <c r="D126" s="206"/>
      <c r="E126" s="206"/>
      <c r="F126" s="206"/>
    </row>
    <row r="127" spans="1:6" ht="13.9">
      <c r="A127" s="45"/>
      <c r="B127" s="210" t="e">
        <f>(D113+D114+D115)/D116</f>
        <v>#DIV/0!</v>
      </c>
      <c r="C127" s="45"/>
      <c r="D127" s="45"/>
      <c r="E127" s="45"/>
      <c r="F127" s="4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"/>
  <sheetViews>
    <sheetView workbookViewId="0">
      <selection activeCell="C10" sqref="C10:D14"/>
    </sheetView>
  </sheetViews>
  <sheetFormatPr defaultColWidth="9.140625" defaultRowHeight="13.15"/>
  <cols>
    <col min="1" max="1" width="4.5703125" style="22" customWidth="1"/>
    <col min="2" max="2" width="32.5703125" style="22" customWidth="1"/>
    <col min="3" max="3" width="13" style="22" customWidth="1"/>
    <col min="4" max="4" width="20.28515625" style="22" customWidth="1"/>
    <col min="5" max="5" width="13.28515625" style="22" customWidth="1"/>
    <col min="6" max="6" width="21.5703125" style="22" customWidth="1"/>
    <col min="7" max="8" width="35.140625" style="22" customWidth="1"/>
    <col min="9" max="16384" width="9.140625" style="22"/>
  </cols>
  <sheetData>
    <row r="1" spans="1:7" ht="13.9">
      <c r="A1" s="37"/>
      <c r="B1" s="38" t="s">
        <v>261</v>
      </c>
      <c r="C1" s="37"/>
      <c r="D1" s="37"/>
      <c r="E1" s="37"/>
      <c r="F1" s="37"/>
    </row>
    <row r="2" spans="1:7" ht="14.25" customHeight="1">
      <c r="A2" s="23"/>
      <c r="B2" s="519" t="s">
        <v>262</v>
      </c>
      <c r="C2" s="519"/>
      <c r="D2" s="519"/>
      <c r="E2" s="519"/>
      <c r="F2" s="519"/>
    </row>
    <row r="3" spans="1:7" ht="13.9">
      <c r="A3" s="23"/>
      <c r="B3" s="24" t="s">
        <v>263</v>
      </c>
      <c r="C3" s="23"/>
      <c r="E3" s="23"/>
      <c r="F3" s="39">
        <v>2648</v>
      </c>
    </row>
    <row r="4" spans="1:7" ht="13.9">
      <c r="A4" s="23"/>
      <c r="B4" s="24" t="s">
        <v>264</v>
      </c>
      <c r="C4" s="23"/>
      <c r="D4" s="23"/>
      <c r="E4" s="23"/>
      <c r="F4" s="39">
        <v>2017</v>
      </c>
    </row>
    <row r="5" spans="1:7" ht="14.45">
      <c r="A5" s="23"/>
      <c r="B5" s="24" t="s">
        <v>265</v>
      </c>
      <c r="C5" s="23"/>
      <c r="D5" s="23"/>
      <c r="E5" s="23"/>
      <c r="F5" s="92" t="s">
        <v>266</v>
      </c>
    </row>
    <row r="6" spans="1:7" ht="14.45">
      <c r="A6" s="23"/>
      <c r="B6" s="24" t="s">
        <v>267</v>
      </c>
      <c r="C6" s="23"/>
      <c r="D6" s="23"/>
      <c r="E6" s="23"/>
      <c r="F6" s="92" t="s">
        <v>268</v>
      </c>
    </row>
    <row r="7" spans="1:7" ht="14.25" customHeight="1">
      <c r="A7" s="23"/>
      <c r="B7" s="520" t="s">
        <v>269</v>
      </c>
      <c r="C7" s="520"/>
      <c r="D7" s="520"/>
      <c r="E7" s="520"/>
      <c r="F7" s="520"/>
    </row>
    <row r="8" spans="1:7" ht="13.9">
      <c r="A8" s="23"/>
      <c r="B8" s="23"/>
      <c r="C8" s="24" t="s">
        <v>239</v>
      </c>
      <c r="D8" s="24" t="s">
        <v>240</v>
      </c>
      <c r="E8" s="24" t="s">
        <v>241</v>
      </c>
      <c r="F8" s="24" t="s">
        <v>242</v>
      </c>
    </row>
    <row r="9" spans="1:7" ht="41.45">
      <c r="A9" s="23" t="s">
        <v>243</v>
      </c>
      <c r="B9" s="24" t="s">
        <v>244</v>
      </c>
      <c r="C9" s="24" t="s">
        <v>245</v>
      </c>
      <c r="D9" s="24" t="s">
        <v>246</v>
      </c>
      <c r="E9" s="24" t="s">
        <v>247</v>
      </c>
      <c r="F9" s="24" t="s">
        <v>248</v>
      </c>
    </row>
    <row r="10" spans="1:7" ht="14.45">
      <c r="A10" s="23">
        <v>1</v>
      </c>
      <c r="B10" s="23" t="s">
        <v>249</v>
      </c>
      <c r="C10" s="77">
        <v>18844</v>
      </c>
      <c r="D10" s="77">
        <v>4092223119.04</v>
      </c>
      <c r="E10" s="82">
        <v>99.46</v>
      </c>
      <c r="F10" s="77">
        <v>0</v>
      </c>
    </row>
    <row r="11" spans="1:7" ht="14.45">
      <c r="A11" s="23">
        <v>2</v>
      </c>
      <c r="B11" s="23" t="s">
        <v>250</v>
      </c>
      <c r="C11" s="77">
        <v>298</v>
      </c>
      <c r="D11" s="77">
        <v>1866685.79</v>
      </c>
      <c r="E11" s="82">
        <v>0.05</v>
      </c>
      <c r="F11" s="77">
        <v>93334.29</v>
      </c>
    </row>
    <row r="12" spans="1:7" ht="14.45">
      <c r="A12" s="23">
        <v>3</v>
      </c>
      <c r="B12" s="23" t="s">
        <v>251</v>
      </c>
      <c r="C12" s="77">
        <v>122</v>
      </c>
      <c r="D12" s="77">
        <v>901898</v>
      </c>
      <c r="E12" s="82">
        <v>0.02</v>
      </c>
      <c r="F12" s="77">
        <v>225474.5</v>
      </c>
    </row>
    <row r="13" spans="1:7" ht="14.45">
      <c r="A13" s="23">
        <v>4</v>
      </c>
      <c r="B13" s="23" t="s">
        <v>252</v>
      </c>
      <c r="C13" s="77">
        <v>119</v>
      </c>
      <c r="D13" s="77">
        <v>1199458.17</v>
      </c>
      <c r="E13" s="82">
        <v>0.03</v>
      </c>
      <c r="F13" s="77">
        <v>599729.09</v>
      </c>
      <c r="G13" s="87">
        <f>D12+D13+D14</f>
        <v>20345746.539999999</v>
      </c>
    </row>
    <row r="14" spans="1:7" ht="14.45">
      <c r="A14" s="23">
        <v>5</v>
      </c>
      <c r="B14" s="23" t="s">
        <v>253</v>
      </c>
      <c r="C14" s="77">
        <v>259</v>
      </c>
      <c r="D14" s="77">
        <v>18244390.370000001</v>
      </c>
      <c r="E14" s="82">
        <v>0.44</v>
      </c>
      <c r="F14" s="77">
        <v>18244390.370000001</v>
      </c>
      <c r="G14" s="88">
        <f>G13/D15</f>
        <v>4.9449666390388334E-3</v>
      </c>
    </row>
    <row r="15" spans="1:7" s="96" customFormat="1" ht="14.45">
      <c r="A15" s="24"/>
      <c r="B15" s="24" t="s">
        <v>254</v>
      </c>
      <c r="C15" s="93">
        <f>SUM(C10:C14)</f>
        <v>19642</v>
      </c>
      <c r="D15" s="93">
        <f>SUM(D10:D14)</f>
        <v>4114435551.3699999</v>
      </c>
      <c r="E15" s="94">
        <v>100</v>
      </c>
      <c r="F15" s="93">
        <f>SUM(F11:F14)</f>
        <v>19162928.25</v>
      </c>
      <c r="G15" s="95"/>
    </row>
    <row r="16" spans="1:7" ht="13.9">
      <c r="A16" s="23"/>
      <c r="B16" s="23" t="s">
        <v>255</v>
      </c>
      <c r="C16" s="39"/>
      <c r="D16" s="41"/>
      <c r="E16" s="39"/>
      <c r="F16" s="39"/>
    </row>
    <row r="17" spans="1:6" ht="13.9">
      <c r="A17" s="23">
        <v>1</v>
      </c>
      <c r="B17" s="23" t="s">
        <v>249</v>
      </c>
      <c r="C17" s="39"/>
      <c r="D17" s="23"/>
      <c r="E17" s="42"/>
      <c r="F17" s="39"/>
    </row>
    <row r="18" spans="1:6" ht="13.9">
      <c r="A18" s="23">
        <v>2</v>
      </c>
      <c r="B18" s="23" t="s">
        <v>250</v>
      </c>
      <c r="C18" s="39"/>
      <c r="D18" s="23"/>
      <c r="E18" s="42"/>
      <c r="F18" s="39"/>
    </row>
    <row r="19" spans="1:6" ht="13.9">
      <c r="A19" s="23">
        <v>3</v>
      </c>
      <c r="B19" s="23" t="s">
        <v>251</v>
      </c>
      <c r="C19" s="39"/>
      <c r="D19" s="23"/>
      <c r="E19" s="42"/>
      <c r="F19" s="39"/>
    </row>
    <row r="20" spans="1:6" ht="13.9">
      <c r="A20" s="23">
        <v>4</v>
      </c>
      <c r="B20" s="23" t="s">
        <v>252</v>
      </c>
      <c r="C20" s="39"/>
      <c r="D20" s="23"/>
      <c r="E20" s="42"/>
      <c r="F20" s="39"/>
    </row>
    <row r="21" spans="1:6" ht="13.9">
      <c r="A21" s="23">
        <v>5</v>
      </c>
      <c r="B21" s="23" t="s">
        <v>253</v>
      </c>
      <c r="C21" s="39"/>
      <c r="D21" s="23"/>
      <c r="E21" s="42"/>
      <c r="F21" s="39"/>
    </row>
    <row r="22" spans="1:6" ht="13.9">
      <c r="A22" s="23"/>
      <c r="B22" s="24" t="s">
        <v>254</v>
      </c>
      <c r="C22" s="23"/>
      <c r="D22" s="23"/>
      <c r="E22" s="23"/>
      <c r="F22" s="23"/>
    </row>
    <row r="23" spans="1:6" ht="14.45">
      <c r="A23" s="23"/>
      <c r="B23" s="23" t="s">
        <v>256</v>
      </c>
      <c r="C23" s="77"/>
      <c r="D23" s="77"/>
      <c r="E23" s="23"/>
      <c r="F23" s="77"/>
    </row>
    <row r="24" spans="1:6" ht="13.9">
      <c r="A24" s="33"/>
      <c r="B24" s="43"/>
      <c r="C24" s="43"/>
      <c r="D24" s="43"/>
      <c r="E24" s="43"/>
      <c r="F24" s="44"/>
    </row>
    <row r="25" spans="1:6" ht="15" customHeight="1">
      <c r="A25" s="521" t="s">
        <v>270</v>
      </c>
      <c r="B25" s="521"/>
      <c r="C25" s="521"/>
      <c r="D25" s="521"/>
      <c r="E25" s="521"/>
      <c r="F25" s="521"/>
    </row>
    <row r="26" spans="1:6" ht="15" customHeight="1">
      <c r="A26" s="45"/>
      <c r="B26" s="45"/>
      <c r="C26" s="45"/>
      <c r="D26" s="45"/>
      <c r="E26" s="45"/>
      <c r="F26" s="45"/>
    </row>
    <row r="27" spans="1:6" ht="13.9">
      <c r="A27" s="37"/>
      <c r="B27" s="46" t="s">
        <v>271</v>
      </c>
      <c r="C27" s="47"/>
      <c r="D27" s="37"/>
      <c r="E27" s="37"/>
      <c r="F27" s="37"/>
    </row>
    <row r="28" spans="1:6" ht="15.75" customHeight="1">
      <c r="A28" s="37"/>
      <c r="B28" s="518" t="s">
        <v>272</v>
      </c>
      <c r="C28" s="518"/>
      <c r="D28" s="518"/>
      <c r="E28" s="518"/>
      <c r="F28" s="518"/>
    </row>
    <row r="29" spans="1:6" ht="24" customHeight="1">
      <c r="A29" s="37"/>
      <c r="B29" s="518" t="s">
        <v>273</v>
      </c>
      <c r="C29" s="518"/>
      <c r="D29" s="518"/>
      <c r="E29" s="518"/>
      <c r="F29" s="518"/>
    </row>
    <row r="30" spans="1:6" ht="13.9">
      <c r="A30" s="37"/>
      <c r="B30" s="47" t="s">
        <v>274</v>
      </c>
      <c r="C30" s="47"/>
      <c r="D30" s="37"/>
      <c r="E30" s="37"/>
      <c r="F30" s="37"/>
    </row>
    <row r="31" spans="1:6" ht="20.25" customHeight="1">
      <c r="A31" s="37"/>
      <c r="B31" s="518" t="s">
        <v>273</v>
      </c>
      <c r="C31" s="518"/>
      <c r="D31" s="518"/>
      <c r="E31" s="518"/>
      <c r="F31" s="518"/>
    </row>
    <row r="32" spans="1:6" ht="13.9">
      <c r="A32" s="37"/>
      <c r="B32" s="47" t="s">
        <v>275</v>
      </c>
      <c r="C32" s="47"/>
      <c r="D32" s="37"/>
      <c r="E32" s="37"/>
      <c r="F32" s="37"/>
    </row>
    <row r="33" spans="1:6" ht="13.9">
      <c r="A33" s="48"/>
      <c r="B33" s="48"/>
      <c r="C33" s="48"/>
      <c r="D33" s="48"/>
      <c r="E33" s="48"/>
      <c r="F33" s="48"/>
    </row>
    <row r="34" spans="1:6" ht="13.9">
      <c r="A34" s="48"/>
      <c r="B34" s="48"/>
      <c r="C34" s="48"/>
      <c r="D34" s="48"/>
      <c r="E34" s="48"/>
      <c r="F34" s="48"/>
    </row>
    <row r="35" spans="1:6" ht="13.9">
      <c r="A35" s="48"/>
      <c r="B35" s="48"/>
      <c r="C35" s="48"/>
      <c r="D35" s="48"/>
      <c r="E35" s="48"/>
      <c r="F35" s="48"/>
    </row>
    <row r="36" spans="1:6" ht="13.9">
      <c r="A36" s="48"/>
      <c r="B36" s="48"/>
      <c r="C36" s="48"/>
      <c r="D36" s="48"/>
      <c r="E36" s="48"/>
      <c r="F36" s="48"/>
    </row>
    <row r="37" spans="1:6" ht="13.9">
      <c r="A37" s="48"/>
      <c r="B37" s="48"/>
      <c r="C37" s="48"/>
      <c r="D37" s="48"/>
      <c r="E37" s="48"/>
      <c r="F37" s="48"/>
    </row>
    <row r="38" spans="1:6" ht="13.9">
      <c r="A38" s="48"/>
      <c r="B38" s="48"/>
      <c r="C38" s="48"/>
      <c r="D38" s="48"/>
      <c r="E38" s="48"/>
      <c r="F38" s="48"/>
    </row>
    <row r="39" spans="1:6" ht="13.9">
      <c r="A39" s="48"/>
      <c r="B39" s="48"/>
      <c r="C39" s="48"/>
      <c r="D39" s="48"/>
      <c r="E39" s="48"/>
      <c r="F39" s="48"/>
    </row>
    <row r="40" spans="1:6" ht="13.9">
      <c r="A40" s="48"/>
      <c r="B40" s="48"/>
      <c r="C40" s="48"/>
      <c r="D40" s="48"/>
      <c r="E40" s="48"/>
      <c r="F40" s="48"/>
    </row>
    <row r="41" spans="1:6" ht="13.9">
      <c r="A41" s="48"/>
      <c r="B41" s="48"/>
      <c r="C41" s="48"/>
      <c r="D41" s="48"/>
      <c r="E41" s="48"/>
      <c r="F41" s="48"/>
    </row>
    <row r="42" spans="1:6" ht="13.9">
      <c r="A42" s="48"/>
      <c r="B42" s="48"/>
      <c r="C42" s="48"/>
      <c r="D42" s="48"/>
      <c r="E42" s="48"/>
      <c r="F42" s="48"/>
    </row>
    <row r="43" spans="1:6" ht="13.9">
      <c r="A43" s="48"/>
      <c r="B43" s="48"/>
      <c r="C43" s="48"/>
      <c r="D43" s="48"/>
      <c r="E43" s="48"/>
      <c r="F43" s="48"/>
    </row>
    <row r="44" spans="1:6" ht="13.9">
      <c r="A44" s="48"/>
      <c r="B44" s="48"/>
      <c r="C44" s="48"/>
      <c r="D44" s="48"/>
      <c r="E44" s="48"/>
      <c r="F44" s="48"/>
    </row>
  </sheetData>
  <mergeCells count="6">
    <mergeCell ref="B31:F31"/>
    <mergeCell ref="B2:F2"/>
    <mergeCell ref="B7:F7"/>
    <mergeCell ref="A25:F25"/>
    <mergeCell ref="B28:F28"/>
    <mergeCell ref="B29:F29"/>
  </mergeCells>
  <dataValidations count="7">
    <dataValidation type="decimal" showErrorMessage="1" errorTitle="Error Msg" error="Enter a number" sqref="D10:F14 E16:F21" xr:uid="{00000000-0002-0000-0600-000000000000}">
      <formula1>0</formula1>
      <formula2>999999999999</formula2>
    </dataValidation>
    <dataValidation type="decimal" showErrorMessage="1" errorTitle="Error Msg" error="Enter a NO" sqref="C16:C21 C10:C14" xr:uid="{00000000-0002-0000-0600-000001000000}">
      <formula1>0</formula1>
      <formula2>999999999999</formula2>
    </dataValidation>
    <dataValidation type="decimal" errorStyle="warning" showErrorMessage="1" errorTitle="Error Msg" error="Enter a number" sqref="F15 F23" xr:uid="{00000000-0002-0000-0600-000002000000}">
      <formula1>0</formula1>
      <formula2>999999999999</formula2>
    </dataValidation>
    <dataValidation type="textLength" showInputMessage="1" showErrorMessage="1" errorTitle="Error Msg" error="Enter the End Date" promptTitle="End Date" prompt="End Date of the Reporting Month" sqref="F6" xr:uid="{00000000-0002-0000-0600-000003000000}">
      <formula1>0</formula1>
      <formula2>1028</formula2>
    </dataValidation>
    <dataValidation type="textLength" showInputMessage="1" showErrorMessage="1" errorTitle="Error Message" error="Enter the start date" promptTitle="Start Date" prompt="Start Date of the year" sqref="F5" xr:uid="{00000000-0002-0000-0600-000004000000}">
      <formula1>0</formula1>
      <formula2>1028</formula2>
    </dataValidation>
    <dataValidation type="whole" showInputMessage="1" showErrorMessage="1" errorTitle="Error msg" error="Enter Current Financial year" promptTitle="Financial Year" prompt="current financial year" sqref="F4" xr:uid="{00000000-0002-0000-0600-000005000000}">
      <formula1>2000</formula1>
      <formula2>2090</formula2>
    </dataValidation>
    <dataValidation type="whole" showInputMessage="1" showErrorMessage="1" errorTitle="Error Message" error="Enter cs no of the sacco" promptTitle="CS NUMBER" prompt=" CS number of the Sacco" sqref="F3" xr:uid="{00000000-0002-0000-0600-000006000000}">
      <formula1>0</formula1>
      <formula2>999999999999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4"/>
  <sheetViews>
    <sheetView workbookViewId="0">
      <selection sqref="A1:IV65536"/>
    </sheetView>
  </sheetViews>
  <sheetFormatPr defaultColWidth="9.140625" defaultRowHeight="13.15"/>
  <cols>
    <col min="1" max="1" width="4.5703125" style="22" customWidth="1"/>
    <col min="2" max="2" width="32.5703125" style="22" customWidth="1"/>
    <col min="3" max="3" width="13" style="22" customWidth="1"/>
    <col min="4" max="4" width="20.28515625" style="22" customWidth="1"/>
    <col min="5" max="5" width="13.85546875" style="22" customWidth="1"/>
    <col min="6" max="6" width="21.5703125" style="22" customWidth="1"/>
    <col min="7" max="8" width="35.140625" style="22" customWidth="1"/>
    <col min="9" max="16384" width="9.140625" style="22"/>
  </cols>
  <sheetData>
    <row r="1" spans="1:6" ht="13.9">
      <c r="A1" s="37"/>
      <c r="B1" s="38" t="s">
        <v>261</v>
      </c>
      <c r="C1" s="37"/>
      <c r="D1" s="37"/>
      <c r="E1" s="37"/>
      <c r="F1" s="37"/>
    </row>
    <row r="2" spans="1:6" ht="14.25" customHeight="1">
      <c r="A2" s="23"/>
      <c r="B2" s="519" t="s">
        <v>262</v>
      </c>
      <c r="C2" s="519"/>
      <c r="D2" s="519"/>
      <c r="E2" s="519"/>
      <c r="F2" s="519"/>
    </row>
    <row r="3" spans="1:6" ht="13.9">
      <c r="A3" s="23"/>
      <c r="B3" s="24" t="s">
        <v>263</v>
      </c>
      <c r="C3" s="23"/>
      <c r="E3" s="23"/>
      <c r="F3" s="39">
        <v>2648</v>
      </c>
    </row>
    <row r="4" spans="1:6" ht="13.9">
      <c r="A4" s="23"/>
      <c r="B4" s="24" t="s">
        <v>264</v>
      </c>
      <c r="C4" s="23"/>
      <c r="D4" s="23"/>
      <c r="E4" s="23"/>
      <c r="F4" s="39">
        <v>2017</v>
      </c>
    </row>
    <row r="5" spans="1:6" ht="14.45">
      <c r="A5" s="23"/>
      <c r="B5" s="24" t="s">
        <v>265</v>
      </c>
      <c r="C5" s="23"/>
      <c r="D5" s="23"/>
      <c r="E5" s="23"/>
      <c r="F5" s="92" t="s">
        <v>266</v>
      </c>
    </row>
    <row r="6" spans="1:6" ht="14.45">
      <c r="A6" s="23"/>
      <c r="B6" s="24" t="s">
        <v>267</v>
      </c>
      <c r="C6" s="23"/>
      <c r="D6" s="23"/>
      <c r="E6" s="23"/>
      <c r="F6" s="92" t="s">
        <v>276</v>
      </c>
    </row>
    <row r="7" spans="1:6" ht="14.25" customHeight="1">
      <c r="A7" s="23"/>
      <c r="B7" s="520" t="s">
        <v>269</v>
      </c>
      <c r="C7" s="520"/>
      <c r="D7" s="520"/>
      <c r="E7" s="520"/>
      <c r="F7" s="520"/>
    </row>
    <row r="8" spans="1:6" ht="13.9">
      <c r="A8" s="23"/>
      <c r="B8" s="23"/>
      <c r="C8" s="24" t="s">
        <v>239</v>
      </c>
      <c r="D8" s="24" t="s">
        <v>240</v>
      </c>
      <c r="E8" s="24" t="s">
        <v>241</v>
      </c>
      <c r="F8" s="24" t="s">
        <v>242</v>
      </c>
    </row>
    <row r="9" spans="1:6" ht="41.45">
      <c r="A9" s="23" t="s">
        <v>243</v>
      </c>
      <c r="B9" s="24" t="s">
        <v>244</v>
      </c>
      <c r="C9" s="24" t="s">
        <v>245</v>
      </c>
      <c r="D9" s="24" t="s">
        <v>246</v>
      </c>
      <c r="E9" s="24" t="s">
        <v>247</v>
      </c>
      <c r="F9" s="24" t="s">
        <v>248</v>
      </c>
    </row>
    <row r="10" spans="1:6" ht="14.45">
      <c r="A10" s="23">
        <v>1</v>
      </c>
      <c r="B10" s="23" t="s">
        <v>249</v>
      </c>
      <c r="C10" s="77">
        <v>19227</v>
      </c>
      <c r="D10" s="77">
        <v>4269804690.6999998</v>
      </c>
      <c r="E10" s="82">
        <v>0.01</v>
      </c>
      <c r="F10" s="77">
        <v>0</v>
      </c>
    </row>
    <row r="11" spans="1:6" ht="14.45">
      <c r="A11" s="23">
        <v>2</v>
      </c>
      <c r="B11" s="23" t="s">
        <v>250</v>
      </c>
      <c r="C11" s="77">
        <v>458</v>
      </c>
      <c r="D11" s="77">
        <v>46848840.549999997</v>
      </c>
      <c r="E11" s="82">
        <v>0.25</v>
      </c>
      <c r="F11" s="77">
        <v>2342442.0299999998</v>
      </c>
    </row>
    <row r="12" spans="1:6" ht="14.45">
      <c r="A12" s="23">
        <v>3</v>
      </c>
      <c r="B12" s="23" t="s">
        <v>251</v>
      </c>
      <c r="C12" s="77">
        <v>176</v>
      </c>
      <c r="D12" s="77">
        <v>2832236.34</v>
      </c>
      <c r="E12" s="82">
        <v>0.5</v>
      </c>
      <c r="F12" s="77">
        <v>708059</v>
      </c>
    </row>
    <row r="13" spans="1:6" ht="14.45">
      <c r="A13" s="23">
        <v>4</v>
      </c>
      <c r="B13" s="23" t="s">
        <v>252</v>
      </c>
      <c r="C13" s="77">
        <v>126</v>
      </c>
      <c r="D13" s="77">
        <v>1584372.69</v>
      </c>
      <c r="E13" s="82">
        <v>0.75</v>
      </c>
      <c r="F13" s="77">
        <v>792186.35</v>
      </c>
    </row>
    <row r="14" spans="1:6" ht="14.45">
      <c r="A14" s="23">
        <v>5</v>
      </c>
      <c r="B14" s="23" t="s">
        <v>253</v>
      </c>
      <c r="C14" s="77">
        <v>260</v>
      </c>
      <c r="D14" s="77">
        <v>33735785.469999999</v>
      </c>
      <c r="E14" s="82">
        <v>1</v>
      </c>
      <c r="F14" s="77">
        <v>33735785.469999999</v>
      </c>
    </row>
    <row r="15" spans="1:6" s="96" customFormat="1" ht="14.45">
      <c r="A15" s="24"/>
      <c r="B15" s="24" t="s">
        <v>254</v>
      </c>
      <c r="C15" s="93">
        <f>SUM(C10:C14)</f>
        <v>20247</v>
      </c>
      <c r="D15" s="93">
        <f>SUM(D10:D14)</f>
        <v>4354805925.75</v>
      </c>
      <c r="E15" s="94">
        <v>100</v>
      </c>
      <c r="F15" s="93">
        <f>SUM(F11:F14)</f>
        <v>37578472.850000001</v>
      </c>
    </row>
    <row r="16" spans="1:6" ht="13.9">
      <c r="A16" s="23"/>
      <c r="B16" s="23" t="s">
        <v>255</v>
      </c>
      <c r="C16" s="39"/>
      <c r="D16" s="41"/>
      <c r="E16" s="39"/>
      <c r="F16" s="39"/>
    </row>
    <row r="17" spans="1:6" ht="13.9">
      <c r="A17" s="23">
        <v>1</v>
      </c>
      <c r="B17" s="23" t="s">
        <v>249</v>
      </c>
      <c r="C17" s="39"/>
      <c r="D17" s="23"/>
      <c r="E17" s="42"/>
      <c r="F17" s="39"/>
    </row>
    <row r="18" spans="1:6" ht="13.9">
      <c r="A18" s="23">
        <v>2</v>
      </c>
      <c r="B18" s="23" t="s">
        <v>250</v>
      </c>
      <c r="C18" s="39"/>
      <c r="D18" s="23"/>
      <c r="E18" s="42"/>
      <c r="F18" s="39"/>
    </row>
    <row r="19" spans="1:6" ht="13.9">
      <c r="A19" s="23">
        <v>3</v>
      </c>
      <c r="B19" s="23" t="s">
        <v>251</v>
      </c>
      <c r="C19" s="39"/>
      <c r="D19" s="23"/>
      <c r="E19" s="42"/>
      <c r="F19" s="39"/>
    </row>
    <row r="20" spans="1:6" ht="13.9">
      <c r="A20" s="23">
        <v>4</v>
      </c>
      <c r="B20" s="23" t="s">
        <v>252</v>
      </c>
      <c r="C20" s="39"/>
      <c r="D20" s="23"/>
      <c r="E20" s="42"/>
      <c r="F20" s="39"/>
    </row>
    <row r="21" spans="1:6" ht="13.9">
      <c r="A21" s="23">
        <v>5</v>
      </c>
      <c r="B21" s="23" t="s">
        <v>253</v>
      </c>
      <c r="C21" s="39"/>
      <c r="D21" s="23"/>
      <c r="E21" s="42"/>
      <c r="F21" s="39"/>
    </row>
    <row r="22" spans="1:6" ht="13.9">
      <c r="A22" s="23"/>
      <c r="B22" s="24" t="s">
        <v>254</v>
      </c>
      <c r="C22" s="23"/>
      <c r="D22" s="23"/>
      <c r="E22" s="23"/>
      <c r="F22" s="23"/>
    </row>
    <row r="23" spans="1:6" ht="14.45">
      <c r="A23" s="23"/>
      <c r="B23" s="23" t="s">
        <v>256</v>
      </c>
      <c r="C23" s="77"/>
      <c r="D23" s="77"/>
      <c r="E23" s="23"/>
      <c r="F23" s="77"/>
    </row>
    <row r="24" spans="1:6" ht="13.9">
      <c r="A24" s="33"/>
      <c r="B24" s="43"/>
      <c r="C24" s="43"/>
      <c r="D24" s="43"/>
      <c r="E24" s="43"/>
      <c r="F24" s="44"/>
    </row>
    <row r="25" spans="1:6" ht="15" customHeight="1">
      <c r="A25" s="521" t="s">
        <v>270</v>
      </c>
      <c r="B25" s="521"/>
      <c r="C25" s="521"/>
      <c r="D25" s="521"/>
      <c r="E25" s="521"/>
      <c r="F25" s="521"/>
    </row>
    <row r="26" spans="1:6" ht="15" customHeight="1">
      <c r="A26" s="45"/>
      <c r="B26" s="45"/>
      <c r="C26" s="45"/>
      <c r="D26" s="45"/>
      <c r="E26" s="45"/>
      <c r="F26" s="45"/>
    </row>
    <row r="27" spans="1:6" ht="13.9">
      <c r="A27" s="37"/>
      <c r="B27" s="46" t="s">
        <v>271</v>
      </c>
      <c r="C27" s="47"/>
      <c r="D27" s="37"/>
      <c r="E27" s="37"/>
      <c r="F27" s="37"/>
    </row>
    <row r="28" spans="1:6" ht="15.75" customHeight="1">
      <c r="A28" s="37"/>
      <c r="B28" s="518" t="s">
        <v>272</v>
      </c>
      <c r="C28" s="518"/>
      <c r="D28" s="518"/>
      <c r="E28" s="518"/>
      <c r="F28" s="518"/>
    </row>
    <row r="29" spans="1:6" ht="24" customHeight="1">
      <c r="A29" s="37"/>
      <c r="B29" s="518" t="s">
        <v>273</v>
      </c>
      <c r="C29" s="518"/>
      <c r="D29" s="518"/>
      <c r="E29" s="518"/>
      <c r="F29" s="518"/>
    </row>
    <row r="30" spans="1:6" ht="13.9">
      <c r="A30" s="37"/>
      <c r="B30" s="47" t="s">
        <v>274</v>
      </c>
      <c r="C30" s="47"/>
      <c r="D30" s="37"/>
      <c r="E30" s="37"/>
      <c r="F30" s="37"/>
    </row>
    <row r="31" spans="1:6" ht="20.25" customHeight="1">
      <c r="A31" s="37"/>
      <c r="B31" s="518" t="s">
        <v>273</v>
      </c>
      <c r="C31" s="518"/>
      <c r="D31" s="518"/>
      <c r="E31" s="518"/>
      <c r="F31" s="518"/>
    </row>
    <row r="32" spans="1:6" ht="13.9">
      <c r="A32" s="37"/>
      <c r="B32" s="47" t="s">
        <v>275</v>
      </c>
      <c r="C32" s="47"/>
      <c r="D32" s="37"/>
      <c r="E32" s="37"/>
      <c r="F32" s="37"/>
    </row>
    <row r="33" spans="1:6" ht="13.9">
      <c r="A33" s="48"/>
      <c r="B33" s="48"/>
      <c r="C33" s="48"/>
      <c r="D33" s="48"/>
      <c r="E33" s="48"/>
      <c r="F33" s="48"/>
    </row>
    <row r="34" spans="1:6" ht="13.9">
      <c r="A34" s="48"/>
      <c r="B34" s="48"/>
      <c r="C34" s="48"/>
      <c r="D34" s="48"/>
      <c r="E34" s="48"/>
      <c r="F34" s="48"/>
    </row>
    <row r="35" spans="1:6" ht="13.9">
      <c r="A35" s="48"/>
      <c r="B35" s="48"/>
      <c r="C35" s="48"/>
      <c r="D35" s="48"/>
      <c r="E35" s="48"/>
      <c r="F35" s="48"/>
    </row>
    <row r="36" spans="1:6" ht="13.9">
      <c r="A36" s="48"/>
      <c r="B36" s="48"/>
      <c r="C36" s="48"/>
      <c r="D36" s="48"/>
      <c r="E36" s="48"/>
      <c r="F36" s="48"/>
    </row>
    <row r="37" spans="1:6" ht="13.9">
      <c r="A37" s="48"/>
      <c r="B37" s="48"/>
      <c r="C37" s="48"/>
      <c r="D37" s="48"/>
      <c r="E37" s="48"/>
      <c r="F37" s="48"/>
    </row>
    <row r="38" spans="1:6" ht="13.9">
      <c r="A38" s="48"/>
      <c r="B38" s="48"/>
      <c r="C38" s="48"/>
      <c r="D38" s="48"/>
      <c r="E38" s="48"/>
      <c r="F38" s="48"/>
    </row>
    <row r="39" spans="1:6" ht="13.9">
      <c r="A39" s="48"/>
      <c r="B39" s="48"/>
      <c r="C39" s="48"/>
      <c r="D39" s="48"/>
      <c r="E39" s="48"/>
      <c r="F39" s="48"/>
    </row>
    <row r="40" spans="1:6" ht="13.9">
      <c r="A40" s="48"/>
      <c r="B40" s="48"/>
      <c r="C40" s="48"/>
      <c r="D40" s="48"/>
      <c r="E40" s="48"/>
      <c r="F40" s="48"/>
    </row>
    <row r="41" spans="1:6" ht="13.9">
      <c r="A41" s="48"/>
      <c r="B41" s="48"/>
      <c r="C41" s="48"/>
      <c r="D41" s="48"/>
      <c r="E41" s="48"/>
      <c r="F41" s="48"/>
    </row>
    <row r="42" spans="1:6" ht="13.9">
      <c r="A42" s="48"/>
      <c r="B42" s="48"/>
      <c r="C42" s="48"/>
      <c r="D42" s="48"/>
      <c r="E42" s="48"/>
      <c r="F42" s="48"/>
    </row>
    <row r="43" spans="1:6" ht="13.9">
      <c r="A43" s="48"/>
      <c r="B43" s="48"/>
      <c r="C43" s="48"/>
      <c r="D43" s="48"/>
      <c r="E43" s="48"/>
      <c r="F43" s="48"/>
    </row>
    <row r="44" spans="1:6" ht="13.9">
      <c r="A44" s="48"/>
      <c r="B44" s="48"/>
      <c r="C44" s="48"/>
      <c r="D44" s="48"/>
      <c r="E44" s="48"/>
      <c r="F44" s="48"/>
    </row>
  </sheetData>
  <mergeCells count="6">
    <mergeCell ref="B31:F31"/>
    <mergeCell ref="B2:F2"/>
    <mergeCell ref="B7:F7"/>
    <mergeCell ref="A25:F25"/>
    <mergeCell ref="B28:F28"/>
    <mergeCell ref="B29:F29"/>
  </mergeCells>
  <dataValidations count="7">
    <dataValidation type="decimal" showErrorMessage="1" errorTitle="Error Msg" error="Enter a number" sqref="D10:F14 E16:F21" xr:uid="{00000000-0002-0000-0700-000000000000}">
      <formula1>0</formula1>
      <formula2>999999999999</formula2>
    </dataValidation>
    <dataValidation type="decimal" showErrorMessage="1" errorTitle="Error Msg" error="Enter a NO" sqref="C16:C21 C10:C14" xr:uid="{00000000-0002-0000-0700-000001000000}">
      <formula1>0</formula1>
      <formula2>999999999999</formula2>
    </dataValidation>
    <dataValidation type="decimal" errorStyle="warning" showErrorMessage="1" errorTitle="Error Msg" error="Enter a number" sqref="F15 F23" xr:uid="{00000000-0002-0000-0700-000002000000}">
      <formula1>0</formula1>
      <formula2>999999999999</formula2>
    </dataValidation>
    <dataValidation type="textLength" showInputMessage="1" showErrorMessage="1" errorTitle="Error Msg" error="Enter the End Date" promptTitle="End Date" prompt="End Date of the Reporting Month" sqref="F6" xr:uid="{00000000-0002-0000-0700-000003000000}">
      <formula1>0</formula1>
      <formula2>1028</formula2>
    </dataValidation>
    <dataValidation type="textLength" showInputMessage="1" showErrorMessage="1" errorTitle="Error Message" error="Enter the start date" promptTitle="Start Date" prompt="Start Date of the year" sqref="F5" xr:uid="{00000000-0002-0000-0700-000004000000}">
      <formula1>0</formula1>
      <formula2>1028</formula2>
    </dataValidation>
    <dataValidation type="whole" showInputMessage="1" showErrorMessage="1" errorTitle="Error msg" error="Enter Current Financial year" promptTitle="Financial Year" prompt="current financial year" sqref="F4" xr:uid="{00000000-0002-0000-0700-000005000000}">
      <formula1>2000</formula1>
      <formula2>2090</formula2>
    </dataValidation>
    <dataValidation type="whole" showInputMessage="1" showErrorMessage="1" errorTitle="Error Message" error="Enter cs no of the sacco" promptTitle="CS NUMBER" prompt=" CS number of the Sacco" sqref="F3" xr:uid="{00000000-0002-0000-0700-000006000000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4"/>
  <sheetViews>
    <sheetView workbookViewId="0">
      <selection activeCell="H9" sqref="H9"/>
    </sheetView>
  </sheetViews>
  <sheetFormatPr defaultColWidth="9.140625" defaultRowHeight="13.15"/>
  <cols>
    <col min="1" max="1" width="4.5703125" style="22" customWidth="1"/>
    <col min="2" max="2" width="32.5703125" style="22" customWidth="1"/>
    <col min="3" max="3" width="13" style="22" customWidth="1"/>
    <col min="4" max="4" width="20.28515625" style="22" customWidth="1"/>
    <col min="5" max="5" width="13.85546875" style="22" customWidth="1"/>
    <col min="6" max="6" width="21.5703125" style="22" customWidth="1"/>
    <col min="7" max="8" width="35.140625" style="22" customWidth="1"/>
    <col min="9" max="16384" width="9.140625" style="22"/>
  </cols>
  <sheetData>
    <row r="1" spans="1:7" ht="13.9">
      <c r="A1" s="37"/>
      <c r="B1" s="38" t="s">
        <v>261</v>
      </c>
      <c r="C1" s="37"/>
      <c r="D1" s="37"/>
      <c r="E1" s="37"/>
      <c r="F1" s="37"/>
    </row>
    <row r="2" spans="1:7" ht="14.25" customHeight="1">
      <c r="A2" s="23"/>
      <c r="B2" s="519" t="s">
        <v>262</v>
      </c>
      <c r="C2" s="519"/>
      <c r="D2" s="519"/>
      <c r="E2" s="519"/>
      <c r="F2" s="519"/>
    </row>
    <row r="3" spans="1:7" ht="13.9">
      <c r="A3" s="23"/>
      <c r="B3" s="24" t="s">
        <v>263</v>
      </c>
      <c r="C3" s="23"/>
      <c r="E3" s="23"/>
      <c r="F3" s="39">
        <v>2648</v>
      </c>
    </row>
    <row r="4" spans="1:7" ht="13.9">
      <c r="A4" s="23"/>
      <c r="B4" s="24" t="s">
        <v>264</v>
      </c>
      <c r="C4" s="23"/>
      <c r="D4" s="23"/>
      <c r="E4" s="23"/>
      <c r="F4" s="39">
        <v>2017</v>
      </c>
    </row>
    <row r="5" spans="1:7" ht="14.45">
      <c r="A5" s="23"/>
      <c r="B5" s="24" t="s">
        <v>265</v>
      </c>
      <c r="C5" s="23"/>
      <c r="D5" s="23"/>
      <c r="E5" s="23"/>
      <c r="F5" s="92" t="s">
        <v>266</v>
      </c>
    </row>
    <row r="6" spans="1:7" ht="14.45">
      <c r="A6" s="23"/>
      <c r="B6" s="24" t="s">
        <v>267</v>
      </c>
      <c r="C6" s="23"/>
      <c r="D6" s="23"/>
      <c r="E6" s="23"/>
      <c r="F6" s="92" t="s">
        <v>277</v>
      </c>
    </row>
    <row r="7" spans="1:7" ht="14.25" customHeight="1">
      <c r="A7" s="23"/>
      <c r="B7" s="520" t="s">
        <v>269</v>
      </c>
      <c r="C7" s="520"/>
      <c r="D7" s="520"/>
      <c r="E7" s="520"/>
      <c r="F7" s="520"/>
    </row>
    <row r="8" spans="1:7" ht="13.9">
      <c r="A8" s="23"/>
      <c r="B8" s="23"/>
      <c r="C8" s="24" t="s">
        <v>239</v>
      </c>
      <c r="D8" s="24" t="s">
        <v>240</v>
      </c>
      <c r="E8" s="24" t="s">
        <v>241</v>
      </c>
      <c r="F8" s="24" t="s">
        <v>242</v>
      </c>
    </row>
    <row r="9" spans="1:7" ht="41.45">
      <c r="A9" s="23" t="s">
        <v>243</v>
      </c>
      <c r="B9" s="24" t="s">
        <v>244</v>
      </c>
      <c r="C9" s="24" t="s">
        <v>245</v>
      </c>
      <c r="D9" s="24" t="s">
        <v>246</v>
      </c>
      <c r="E9" s="24" t="s">
        <v>247</v>
      </c>
      <c r="F9" s="24" t="s">
        <v>248</v>
      </c>
    </row>
    <row r="10" spans="1:7" ht="14.45">
      <c r="A10" s="23">
        <v>1</v>
      </c>
      <c r="B10" s="23" t="s">
        <v>249</v>
      </c>
      <c r="C10" s="77">
        <v>20073</v>
      </c>
      <c r="D10" s="77">
        <v>4762212266.6999998</v>
      </c>
      <c r="E10" s="181">
        <v>0.01</v>
      </c>
      <c r="F10" s="77">
        <v>47622122.670000002</v>
      </c>
    </row>
    <row r="11" spans="1:7" ht="14.45">
      <c r="A11" s="23">
        <v>2</v>
      </c>
      <c r="B11" s="23" t="s">
        <v>250</v>
      </c>
      <c r="C11" s="77">
        <v>458</v>
      </c>
      <c r="D11" s="77">
        <v>25499214.75</v>
      </c>
      <c r="E11" s="181">
        <v>0.25</v>
      </c>
      <c r="F11" s="77">
        <v>1272460.74</v>
      </c>
      <c r="G11" s="87">
        <f>D12+D13+D14</f>
        <v>69670282.50999999</v>
      </c>
    </row>
    <row r="12" spans="1:7" ht="14.45">
      <c r="A12" s="23">
        <v>3</v>
      </c>
      <c r="B12" s="23" t="s">
        <v>251</v>
      </c>
      <c r="C12" s="77">
        <v>234</v>
      </c>
      <c r="D12" s="77">
        <v>3869101.32</v>
      </c>
      <c r="E12" s="181">
        <v>0.5</v>
      </c>
      <c r="F12" s="77">
        <v>967275.33</v>
      </c>
      <c r="G12" s="88">
        <f>G11/D15</f>
        <v>1.4343176199764256E-2</v>
      </c>
    </row>
    <row r="13" spans="1:7" ht="14.45">
      <c r="A13" s="23">
        <v>4</v>
      </c>
      <c r="B13" s="23" t="s">
        <v>252</v>
      </c>
      <c r="C13" s="77">
        <v>198</v>
      </c>
      <c r="D13" s="77">
        <v>20994437.969999999</v>
      </c>
      <c r="E13" s="181">
        <v>0.75</v>
      </c>
      <c r="F13" s="77">
        <v>10497218.99</v>
      </c>
    </row>
    <row r="14" spans="1:7" ht="14.45">
      <c r="A14" s="23">
        <v>5</v>
      </c>
      <c r="B14" s="23" t="s">
        <v>253</v>
      </c>
      <c r="C14" s="77">
        <v>355</v>
      </c>
      <c r="D14" s="77">
        <v>44806743.219999999</v>
      </c>
      <c r="E14" s="181">
        <v>1</v>
      </c>
      <c r="F14" s="77">
        <v>33735785.469999999</v>
      </c>
    </row>
    <row r="15" spans="1:7" s="96" customFormat="1" ht="14.45">
      <c r="A15" s="24"/>
      <c r="B15" s="24" t="s">
        <v>254</v>
      </c>
      <c r="C15" s="93">
        <f>SUM(C10:C14)</f>
        <v>21318</v>
      </c>
      <c r="D15" s="93">
        <f>SUM(D10:D14)</f>
        <v>4857381763.96</v>
      </c>
      <c r="E15" s="182"/>
      <c r="F15" s="93">
        <f>SUM(F10:F14)</f>
        <v>94094863.200000003</v>
      </c>
    </row>
    <row r="16" spans="1:7" ht="13.9">
      <c r="A16" s="23"/>
      <c r="B16" s="23" t="s">
        <v>255</v>
      </c>
      <c r="C16" s="39"/>
      <c r="D16" s="41"/>
      <c r="E16" s="39"/>
      <c r="F16" s="39"/>
    </row>
    <row r="17" spans="1:6" ht="13.9">
      <c r="A17" s="23">
        <v>1</v>
      </c>
      <c r="B17" s="23" t="s">
        <v>249</v>
      </c>
      <c r="C17" s="39"/>
      <c r="D17" s="23"/>
      <c r="E17" s="42"/>
      <c r="F17" s="39"/>
    </row>
    <row r="18" spans="1:6" ht="13.9">
      <c r="A18" s="23">
        <v>2</v>
      </c>
      <c r="B18" s="23" t="s">
        <v>250</v>
      </c>
      <c r="C18" s="39"/>
      <c r="D18" s="23"/>
      <c r="E18" s="42"/>
      <c r="F18" s="39"/>
    </row>
    <row r="19" spans="1:6" ht="13.9">
      <c r="A19" s="23">
        <v>3</v>
      </c>
      <c r="B19" s="23" t="s">
        <v>251</v>
      </c>
      <c r="C19" s="39"/>
      <c r="D19" s="23"/>
      <c r="E19" s="42"/>
      <c r="F19" s="39"/>
    </row>
    <row r="20" spans="1:6" ht="13.9">
      <c r="A20" s="23">
        <v>4</v>
      </c>
      <c r="B20" s="23" t="s">
        <v>252</v>
      </c>
      <c r="C20" s="39"/>
      <c r="D20" s="23"/>
      <c r="E20" s="42"/>
      <c r="F20" s="39"/>
    </row>
    <row r="21" spans="1:6" ht="13.9">
      <c r="A21" s="23">
        <v>5</v>
      </c>
      <c r="B21" s="23" t="s">
        <v>253</v>
      </c>
      <c r="C21" s="39"/>
      <c r="D21" s="23"/>
      <c r="E21" s="42"/>
      <c r="F21" s="39"/>
    </row>
    <row r="22" spans="1:6" ht="13.9">
      <c r="A22" s="23"/>
      <c r="B22" s="24" t="s">
        <v>254</v>
      </c>
      <c r="C22" s="23"/>
      <c r="D22" s="23"/>
      <c r="E22" s="23"/>
      <c r="F22" s="23"/>
    </row>
    <row r="23" spans="1:6" ht="14.45">
      <c r="A23" s="23"/>
      <c r="B23" s="23" t="s">
        <v>256</v>
      </c>
      <c r="C23" s="77"/>
      <c r="D23" s="77"/>
      <c r="E23" s="23"/>
      <c r="F23" s="77"/>
    </row>
    <row r="24" spans="1:6" ht="13.9">
      <c r="A24" s="33"/>
      <c r="B24" s="43"/>
      <c r="C24" s="43"/>
      <c r="D24" s="43"/>
      <c r="E24" s="43"/>
      <c r="F24" s="44"/>
    </row>
    <row r="25" spans="1:6" ht="15" customHeight="1">
      <c r="A25" s="521" t="s">
        <v>270</v>
      </c>
      <c r="B25" s="521"/>
      <c r="C25" s="521"/>
      <c r="D25" s="521"/>
      <c r="E25" s="521"/>
      <c r="F25" s="521"/>
    </row>
    <row r="26" spans="1:6" ht="15" customHeight="1">
      <c r="A26" s="45"/>
      <c r="B26" s="45"/>
      <c r="C26" s="45"/>
      <c r="D26" s="45"/>
      <c r="E26" s="45"/>
      <c r="F26" s="45"/>
    </row>
    <row r="27" spans="1:6" ht="13.9">
      <c r="A27" s="37"/>
      <c r="B27" s="46" t="s">
        <v>271</v>
      </c>
      <c r="C27" s="47"/>
      <c r="D27" s="37"/>
      <c r="E27" s="37"/>
      <c r="F27" s="37"/>
    </row>
    <row r="28" spans="1:6" ht="15.75" customHeight="1">
      <c r="A28" s="37"/>
      <c r="B28" s="518" t="s">
        <v>272</v>
      </c>
      <c r="C28" s="518"/>
      <c r="D28" s="518"/>
      <c r="E28" s="518"/>
      <c r="F28" s="518"/>
    </row>
    <row r="29" spans="1:6" ht="24" customHeight="1">
      <c r="A29" s="37"/>
      <c r="B29" s="518" t="s">
        <v>273</v>
      </c>
      <c r="C29" s="518"/>
      <c r="D29" s="518"/>
      <c r="E29" s="518"/>
      <c r="F29" s="518"/>
    </row>
    <row r="30" spans="1:6" ht="13.9">
      <c r="A30" s="37"/>
      <c r="B30" s="47" t="s">
        <v>274</v>
      </c>
      <c r="C30" s="47"/>
      <c r="D30" s="37"/>
      <c r="E30" s="37"/>
      <c r="F30" s="37"/>
    </row>
    <row r="31" spans="1:6" ht="20.25" customHeight="1">
      <c r="A31" s="37"/>
      <c r="B31" s="518" t="s">
        <v>273</v>
      </c>
      <c r="C31" s="518"/>
      <c r="D31" s="518"/>
      <c r="E31" s="518"/>
      <c r="F31" s="518"/>
    </row>
    <row r="32" spans="1:6" ht="13.9">
      <c r="A32" s="37"/>
      <c r="B32" s="47" t="s">
        <v>275</v>
      </c>
      <c r="C32" s="47"/>
      <c r="D32" s="37"/>
      <c r="E32" s="37"/>
      <c r="F32" s="37"/>
    </row>
    <row r="33" spans="1:6" ht="13.9">
      <c r="A33" s="48"/>
      <c r="B33" s="48"/>
      <c r="C33" s="48"/>
      <c r="D33" s="48"/>
      <c r="E33" s="48"/>
      <c r="F33" s="48"/>
    </row>
    <row r="34" spans="1:6" ht="13.9">
      <c r="A34" s="48"/>
      <c r="B34" s="48"/>
      <c r="C34" s="48"/>
      <c r="D34" s="48"/>
      <c r="E34" s="48"/>
      <c r="F34" s="48"/>
    </row>
    <row r="35" spans="1:6" ht="13.9">
      <c r="A35" s="48"/>
      <c r="B35" s="48"/>
      <c r="C35" s="48"/>
      <c r="D35" s="48"/>
      <c r="E35" s="48"/>
      <c r="F35" s="48"/>
    </row>
    <row r="36" spans="1:6" ht="13.9">
      <c r="A36" s="48"/>
      <c r="B36" s="48"/>
      <c r="C36" s="48"/>
      <c r="D36" s="48"/>
      <c r="E36" s="48"/>
      <c r="F36" s="48"/>
    </row>
    <row r="37" spans="1:6" ht="13.9">
      <c r="A37" s="48"/>
      <c r="B37" s="48"/>
      <c r="C37" s="48"/>
      <c r="D37" s="48"/>
      <c r="E37" s="48"/>
      <c r="F37" s="48"/>
    </row>
    <row r="38" spans="1:6" ht="13.9">
      <c r="A38" s="48"/>
      <c r="B38" s="48"/>
      <c r="C38" s="48"/>
      <c r="D38" s="48"/>
      <c r="E38" s="48"/>
      <c r="F38" s="48"/>
    </row>
    <row r="39" spans="1:6" ht="13.9">
      <c r="A39" s="48"/>
      <c r="B39" s="48"/>
      <c r="C39" s="48"/>
      <c r="D39" s="48"/>
      <c r="E39" s="48"/>
      <c r="F39" s="48"/>
    </row>
    <row r="40" spans="1:6" ht="13.9">
      <c r="A40" s="48"/>
      <c r="B40" s="48"/>
      <c r="C40" s="48"/>
      <c r="D40" s="48"/>
      <c r="E40" s="48"/>
      <c r="F40" s="48"/>
    </row>
    <row r="41" spans="1:6" ht="13.9">
      <c r="A41" s="48"/>
      <c r="B41" s="48"/>
      <c r="C41" s="48"/>
      <c r="D41" s="48"/>
      <c r="E41" s="48"/>
      <c r="F41" s="48"/>
    </row>
    <row r="42" spans="1:6" ht="13.9">
      <c r="A42" s="48"/>
      <c r="B42" s="48"/>
      <c r="C42" s="48"/>
      <c r="D42" s="48"/>
      <c r="E42" s="48"/>
      <c r="F42" s="48"/>
    </row>
    <row r="43" spans="1:6" ht="13.9">
      <c r="A43" s="48"/>
      <c r="B43" s="48"/>
      <c r="C43" s="48"/>
      <c r="D43" s="48"/>
      <c r="E43" s="48"/>
      <c r="F43" s="48"/>
    </row>
    <row r="44" spans="1:6" ht="13.9">
      <c r="A44" s="48"/>
      <c r="B44" s="48"/>
      <c r="C44" s="48"/>
      <c r="D44" s="48"/>
      <c r="E44" s="48"/>
      <c r="F44" s="48"/>
    </row>
  </sheetData>
  <mergeCells count="6">
    <mergeCell ref="B31:F31"/>
    <mergeCell ref="B2:F2"/>
    <mergeCell ref="B7:F7"/>
    <mergeCell ref="A25:F25"/>
    <mergeCell ref="B28:F28"/>
    <mergeCell ref="B29:F29"/>
  </mergeCells>
  <dataValidations count="7">
    <dataValidation type="whole" showInputMessage="1" showErrorMessage="1" errorTitle="Error Message" error="Enter cs no of the sacco" promptTitle="CS NUMBER" prompt=" CS number of the Sacco" sqref="F3" xr:uid="{00000000-0002-0000-0800-000000000000}">
      <formula1>0</formula1>
      <formula2>999999999999</formula2>
    </dataValidation>
    <dataValidation type="whole" showInputMessage="1" showErrorMessage="1" errorTitle="Error msg" error="Enter Current Financial year" promptTitle="Financial Year" prompt="current financial year" sqref="F4" xr:uid="{00000000-0002-0000-0800-000001000000}">
      <formula1>2000</formula1>
      <formula2>2090</formula2>
    </dataValidation>
    <dataValidation type="textLength" showInputMessage="1" showErrorMessage="1" errorTitle="Error Message" error="Enter the start date" promptTitle="Start Date" prompt="Start Date of the year" sqref="F5" xr:uid="{00000000-0002-0000-0800-000002000000}">
      <formula1>0</formula1>
      <formula2>1028</formula2>
    </dataValidation>
    <dataValidation type="textLength" showInputMessage="1" showErrorMessage="1" errorTitle="Error Msg" error="Enter the End Date" promptTitle="End Date" prompt="End Date of the Reporting Month" sqref="F6" xr:uid="{00000000-0002-0000-0800-000003000000}">
      <formula1>0</formula1>
      <formula2>1028</formula2>
    </dataValidation>
    <dataValidation type="decimal" errorStyle="warning" showErrorMessage="1" errorTitle="Error Msg" error="Enter a number" sqref="F15 F23" xr:uid="{00000000-0002-0000-0800-000004000000}">
      <formula1>0</formula1>
      <formula2>999999999999</formula2>
    </dataValidation>
    <dataValidation type="decimal" showErrorMessage="1" errorTitle="Error Msg" error="Enter a NO" sqref="C16:C21 C10:C14" xr:uid="{00000000-0002-0000-0800-000005000000}">
      <formula1>0</formula1>
      <formula2>999999999999</formula2>
    </dataValidation>
    <dataValidation type="decimal" showErrorMessage="1" errorTitle="Error Msg" error="Enter a number" sqref="D10:F14 E16:F21" xr:uid="{00000000-0002-0000-0800-000006000000}">
      <formula1>0</formula1>
      <formula2>999999999999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4"/>
  <sheetViews>
    <sheetView topLeftCell="A11" workbookViewId="0">
      <selection activeCell="G15" sqref="G15"/>
    </sheetView>
  </sheetViews>
  <sheetFormatPr defaultColWidth="9.140625" defaultRowHeight="13.15"/>
  <cols>
    <col min="1" max="1" width="4.5703125" style="22" customWidth="1"/>
    <col min="2" max="2" width="32.5703125" style="22" customWidth="1"/>
    <col min="3" max="3" width="7.7109375" style="22" customWidth="1"/>
    <col min="4" max="4" width="21.28515625" style="22" customWidth="1"/>
    <col min="5" max="5" width="12.5703125" style="22" customWidth="1"/>
    <col min="6" max="6" width="22.42578125" style="22" customWidth="1"/>
    <col min="7" max="8" width="35.140625" style="22" customWidth="1"/>
    <col min="9" max="16384" width="9.140625" style="22"/>
  </cols>
  <sheetData>
    <row r="1" spans="1:7" ht="13.9">
      <c r="A1" s="37"/>
      <c r="B1" s="38" t="s">
        <v>261</v>
      </c>
      <c r="C1" s="37"/>
      <c r="D1" s="37"/>
      <c r="E1" s="37"/>
      <c r="F1" s="37"/>
    </row>
    <row r="2" spans="1:7" ht="14.25" customHeight="1">
      <c r="A2" s="23"/>
      <c r="B2" s="519" t="s">
        <v>262</v>
      </c>
      <c r="C2" s="519"/>
      <c r="D2" s="519"/>
      <c r="E2" s="519"/>
      <c r="F2" s="519"/>
    </row>
    <row r="3" spans="1:7" ht="13.9">
      <c r="A3" s="23"/>
      <c r="B3" s="24" t="s">
        <v>278</v>
      </c>
      <c r="C3" s="23"/>
      <c r="E3" s="23"/>
      <c r="F3" s="183" t="s">
        <v>279</v>
      </c>
    </row>
    <row r="4" spans="1:7" ht="13.9">
      <c r="A4" s="23"/>
      <c r="B4" s="24" t="s">
        <v>264</v>
      </c>
      <c r="C4" s="23"/>
      <c r="D4" s="23"/>
      <c r="E4" s="23"/>
      <c r="F4" s="184">
        <v>2017</v>
      </c>
    </row>
    <row r="5" spans="1:7" ht="13.9">
      <c r="A5" s="23"/>
      <c r="B5" s="24" t="s">
        <v>265</v>
      </c>
      <c r="C5" s="23"/>
      <c r="D5" s="23"/>
      <c r="E5" s="33"/>
      <c r="F5" s="185" t="s">
        <v>266</v>
      </c>
    </row>
    <row r="6" spans="1:7" ht="13.9">
      <c r="A6" s="23"/>
      <c r="B6" s="24" t="s">
        <v>267</v>
      </c>
      <c r="C6" s="23"/>
      <c r="D6" s="23"/>
      <c r="E6" s="33"/>
      <c r="F6" s="185" t="s">
        <v>280</v>
      </c>
    </row>
    <row r="7" spans="1:7" ht="14.25" customHeight="1">
      <c r="A7" s="23"/>
      <c r="B7" s="520" t="s">
        <v>269</v>
      </c>
      <c r="C7" s="520"/>
      <c r="D7" s="520"/>
      <c r="E7" s="520"/>
      <c r="F7" s="523"/>
    </row>
    <row r="8" spans="1:7" ht="13.9">
      <c r="A8" s="23"/>
      <c r="B8" s="23"/>
      <c r="C8" s="24" t="s">
        <v>239</v>
      </c>
      <c r="D8" s="24" t="s">
        <v>240</v>
      </c>
      <c r="E8" s="24" t="s">
        <v>241</v>
      </c>
      <c r="F8" s="24" t="s">
        <v>242</v>
      </c>
    </row>
    <row r="9" spans="1:7" ht="27.6">
      <c r="A9" s="23" t="s">
        <v>243</v>
      </c>
      <c r="B9" s="24" t="s">
        <v>244</v>
      </c>
      <c r="C9" s="24" t="s">
        <v>245</v>
      </c>
      <c r="D9" s="24" t="s">
        <v>246</v>
      </c>
      <c r="E9" s="24" t="s">
        <v>247</v>
      </c>
      <c r="F9" s="24" t="s">
        <v>248</v>
      </c>
    </row>
    <row r="10" spans="1:7" ht="13.9">
      <c r="A10" s="23">
        <v>1</v>
      </c>
      <c r="B10" s="23" t="s">
        <v>249</v>
      </c>
      <c r="C10" s="186">
        <v>20997</v>
      </c>
      <c r="D10" s="193">
        <v>5246474132.3500004</v>
      </c>
      <c r="E10" s="187">
        <v>0.01</v>
      </c>
      <c r="F10" s="194">
        <f>D10*E10</f>
        <v>52464741.323500007</v>
      </c>
    </row>
    <row r="11" spans="1:7" ht="13.9">
      <c r="A11" s="23">
        <v>2</v>
      </c>
      <c r="B11" s="23" t="s">
        <v>250</v>
      </c>
      <c r="C11" s="186">
        <v>459</v>
      </c>
      <c r="D11" s="193">
        <v>2917192.12</v>
      </c>
      <c r="E11" s="187">
        <v>0.05</v>
      </c>
      <c r="F11" s="194">
        <f>D11*E11</f>
        <v>145859.606</v>
      </c>
    </row>
    <row r="12" spans="1:7" ht="13.9">
      <c r="A12" s="23">
        <v>3</v>
      </c>
      <c r="B12" s="23" t="s">
        <v>251</v>
      </c>
      <c r="C12" s="186">
        <v>226</v>
      </c>
      <c r="D12" s="193">
        <v>1864231.36</v>
      </c>
      <c r="E12" s="187">
        <v>0.25</v>
      </c>
      <c r="F12" s="194">
        <f>D12*E12</f>
        <v>466057.84</v>
      </c>
    </row>
    <row r="13" spans="1:7" ht="13.9">
      <c r="A13" s="23">
        <v>4</v>
      </c>
      <c r="B13" s="23" t="s">
        <v>252</v>
      </c>
      <c r="C13" s="186">
        <v>189</v>
      </c>
      <c r="D13" s="193">
        <v>1452176.32</v>
      </c>
      <c r="E13" s="187">
        <v>0.5</v>
      </c>
      <c r="F13" s="194">
        <f>D13*E13</f>
        <v>726088.16</v>
      </c>
      <c r="G13" s="88">
        <f>(D12+D13+D14)/D15</f>
        <v>6.7674516034971184E-3</v>
      </c>
    </row>
    <row r="14" spans="1:7" ht="13.9">
      <c r="A14" s="23">
        <v>5</v>
      </c>
      <c r="B14" s="23" t="s">
        <v>253</v>
      </c>
      <c r="C14" s="186">
        <v>419</v>
      </c>
      <c r="D14" s="193">
        <v>32450645.859999999</v>
      </c>
      <c r="E14" s="187">
        <v>1</v>
      </c>
      <c r="F14" s="194">
        <f>D14*E14</f>
        <v>32450645.859999999</v>
      </c>
    </row>
    <row r="15" spans="1:7" ht="13.9">
      <c r="A15" s="23"/>
      <c r="B15" s="24" t="s">
        <v>254</v>
      </c>
      <c r="C15" s="188">
        <f>SUM(C10:C14)</f>
        <v>22290</v>
      </c>
      <c r="D15" s="195">
        <f>SUM(D10:D14)</f>
        <v>5285158378.0099993</v>
      </c>
      <c r="E15" s="189"/>
      <c r="F15" s="195">
        <f>SUM(F10:F14)</f>
        <v>86253392.789499998</v>
      </c>
    </row>
    <row r="16" spans="1:7" ht="13.9">
      <c r="A16" s="23"/>
      <c r="B16" s="23" t="s">
        <v>255</v>
      </c>
      <c r="C16" s="186"/>
      <c r="D16" s="186"/>
      <c r="E16" s="186"/>
      <c r="F16" s="186"/>
    </row>
    <row r="17" spans="1:6" ht="13.9">
      <c r="A17" s="23">
        <v>1</v>
      </c>
      <c r="B17" s="23" t="s">
        <v>249</v>
      </c>
      <c r="C17" s="186">
        <v>0</v>
      </c>
      <c r="D17" s="186"/>
      <c r="E17" s="187">
        <v>0.01</v>
      </c>
      <c r="F17" s="23">
        <f>D17*E17</f>
        <v>0</v>
      </c>
    </row>
    <row r="18" spans="1:6" ht="13.9">
      <c r="A18" s="23">
        <v>2</v>
      </c>
      <c r="B18" s="23" t="s">
        <v>250</v>
      </c>
      <c r="C18" s="186">
        <v>0</v>
      </c>
      <c r="D18" s="186"/>
      <c r="E18" s="187">
        <v>0.05</v>
      </c>
      <c r="F18" s="23">
        <f>D18*E18</f>
        <v>0</v>
      </c>
    </row>
    <row r="19" spans="1:6" ht="13.9">
      <c r="A19" s="23">
        <v>3</v>
      </c>
      <c r="B19" s="23" t="s">
        <v>251</v>
      </c>
      <c r="C19" s="186">
        <v>0</v>
      </c>
      <c r="D19" s="186"/>
      <c r="E19" s="187">
        <v>0.25</v>
      </c>
      <c r="F19" s="23">
        <f>D19*E19</f>
        <v>0</v>
      </c>
    </row>
    <row r="20" spans="1:6" ht="13.9">
      <c r="A20" s="23">
        <v>4</v>
      </c>
      <c r="B20" s="23" t="s">
        <v>252</v>
      </c>
      <c r="C20" s="186">
        <v>0</v>
      </c>
      <c r="D20" s="186"/>
      <c r="E20" s="187">
        <v>0.5</v>
      </c>
      <c r="F20" s="23">
        <f>D20*E20</f>
        <v>0</v>
      </c>
    </row>
    <row r="21" spans="1:6" ht="13.9">
      <c r="A21" s="23">
        <v>5</v>
      </c>
      <c r="B21" s="23" t="s">
        <v>253</v>
      </c>
      <c r="C21" s="186">
        <v>0</v>
      </c>
      <c r="D21" s="186"/>
      <c r="E21" s="187">
        <v>1</v>
      </c>
      <c r="F21" s="23">
        <f>D21*E21</f>
        <v>0</v>
      </c>
    </row>
    <row r="22" spans="1:6" ht="13.9">
      <c r="A22" s="23"/>
      <c r="B22" s="24" t="s">
        <v>254</v>
      </c>
      <c r="C22" s="188">
        <f>SUM(C16:C21)</f>
        <v>0</v>
      </c>
      <c r="D22" s="188">
        <f>SUM(D16:D21)</f>
        <v>0</v>
      </c>
      <c r="E22" s="24"/>
      <c r="F22" s="188">
        <f>SUM(F16:F21)</f>
        <v>0</v>
      </c>
    </row>
    <row r="23" spans="1:6" ht="13.9">
      <c r="A23" s="23"/>
      <c r="B23" s="24" t="s">
        <v>256</v>
      </c>
      <c r="C23" s="188">
        <f>C15+C22</f>
        <v>22290</v>
      </c>
      <c r="D23" s="195">
        <f>D15+D22</f>
        <v>5285158378.0099993</v>
      </c>
      <c r="E23" s="24"/>
      <c r="F23" s="195">
        <f>F15+F22</f>
        <v>86253392.789499998</v>
      </c>
    </row>
    <row r="24" spans="1:6" ht="13.9">
      <c r="A24" s="33"/>
      <c r="B24" s="43"/>
      <c r="C24" s="43"/>
      <c r="D24" s="43"/>
      <c r="E24" s="43"/>
      <c r="F24" s="44"/>
    </row>
    <row r="25" spans="1:6" ht="15" customHeight="1">
      <c r="A25" s="521" t="s">
        <v>270</v>
      </c>
      <c r="B25" s="521"/>
      <c r="C25" s="521"/>
      <c r="D25" s="521"/>
      <c r="E25" s="521"/>
      <c r="F25" s="521"/>
    </row>
    <row r="26" spans="1:6" ht="15" customHeight="1">
      <c r="A26" s="45"/>
      <c r="B26" s="45"/>
      <c r="C26" s="45"/>
      <c r="D26" s="45"/>
      <c r="E26" s="45"/>
      <c r="F26" s="45"/>
    </row>
    <row r="27" spans="1:6" ht="13.9">
      <c r="A27" s="37"/>
      <c r="B27" s="190" t="s">
        <v>271</v>
      </c>
      <c r="C27" s="191"/>
      <c r="D27" s="192"/>
      <c r="E27" s="192"/>
      <c r="F27" s="192"/>
    </row>
    <row r="28" spans="1:6" ht="15.75" customHeight="1">
      <c r="A28" s="37"/>
      <c r="B28" s="522" t="s">
        <v>272</v>
      </c>
      <c r="C28" s="522"/>
      <c r="D28" s="522"/>
      <c r="E28" s="522"/>
      <c r="F28" s="522"/>
    </row>
    <row r="29" spans="1:6" ht="24" customHeight="1">
      <c r="A29" s="37"/>
      <c r="B29" s="522" t="s">
        <v>281</v>
      </c>
      <c r="C29" s="522"/>
      <c r="D29" s="522"/>
      <c r="E29" s="522"/>
      <c r="F29" s="522"/>
    </row>
    <row r="30" spans="1:6" ht="13.9">
      <c r="A30" s="37"/>
      <c r="B30" s="191" t="s">
        <v>274</v>
      </c>
      <c r="C30" s="191"/>
      <c r="D30" s="192"/>
      <c r="E30" s="192"/>
      <c r="F30" s="192"/>
    </row>
    <row r="31" spans="1:6" ht="20.25" customHeight="1">
      <c r="A31" s="37"/>
      <c r="B31" s="522" t="s">
        <v>273</v>
      </c>
      <c r="C31" s="522"/>
      <c r="D31" s="522"/>
      <c r="E31" s="522"/>
      <c r="F31" s="522"/>
    </row>
    <row r="32" spans="1:6" ht="13.9">
      <c r="A32" s="37"/>
      <c r="B32" s="191" t="s">
        <v>275</v>
      </c>
      <c r="C32" s="191"/>
      <c r="D32" s="192"/>
      <c r="E32" s="192"/>
      <c r="F32" s="192"/>
    </row>
    <row r="33" spans="1:6" ht="13.9">
      <c r="A33" s="48"/>
      <c r="B33" s="48"/>
      <c r="C33" s="48"/>
      <c r="D33" s="48"/>
      <c r="E33" s="48"/>
      <c r="F33" s="48"/>
    </row>
    <row r="34" spans="1:6" ht="13.9">
      <c r="A34" s="48"/>
      <c r="B34" s="48"/>
      <c r="C34" s="48"/>
      <c r="D34" s="48"/>
      <c r="E34" s="48"/>
      <c r="F34" s="48"/>
    </row>
    <row r="35" spans="1:6" ht="13.9">
      <c r="A35" s="48"/>
      <c r="B35" s="48"/>
      <c r="C35" s="48"/>
      <c r="D35" s="48"/>
      <c r="E35" s="48"/>
      <c r="F35" s="48"/>
    </row>
    <row r="36" spans="1:6" ht="13.9">
      <c r="A36" s="48"/>
      <c r="B36" s="48"/>
      <c r="C36" s="48"/>
      <c r="D36" s="48"/>
      <c r="E36" s="48"/>
      <c r="F36" s="48"/>
    </row>
    <row r="37" spans="1:6" ht="13.9">
      <c r="A37" s="48"/>
      <c r="B37" s="48"/>
      <c r="C37" s="48"/>
      <c r="D37" s="48"/>
      <c r="E37" s="48"/>
      <c r="F37" s="48"/>
    </row>
    <row r="38" spans="1:6" ht="13.9">
      <c r="A38" s="48"/>
      <c r="B38" s="48"/>
      <c r="C38" s="48"/>
      <c r="D38" s="48"/>
      <c r="E38" s="48"/>
      <c r="F38" s="48"/>
    </row>
    <row r="39" spans="1:6" ht="13.9">
      <c r="A39" s="48"/>
      <c r="B39" s="48"/>
      <c r="C39" s="48"/>
      <c r="D39" s="48"/>
      <c r="E39" s="48"/>
      <c r="F39" s="48"/>
    </row>
    <row r="40" spans="1:6" ht="13.9">
      <c r="A40" s="48"/>
      <c r="B40" s="48"/>
      <c r="C40" s="48"/>
      <c r="D40" s="48"/>
      <c r="E40" s="48"/>
      <c r="F40" s="48"/>
    </row>
    <row r="41" spans="1:6" ht="13.9">
      <c r="A41" s="48"/>
      <c r="B41" s="48"/>
      <c r="C41" s="48"/>
      <c r="D41" s="48"/>
      <c r="E41" s="48"/>
      <c r="F41" s="48"/>
    </row>
    <row r="42" spans="1:6" ht="13.9">
      <c r="A42" s="48"/>
      <c r="B42" s="48"/>
      <c r="C42" s="48"/>
      <c r="D42" s="48"/>
      <c r="E42" s="48"/>
      <c r="F42" s="48"/>
    </row>
    <row r="43" spans="1:6" ht="13.9">
      <c r="A43" s="48"/>
      <c r="B43" s="48"/>
      <c r="C43" s="48"/>
      <c r="D43" s="48"/>
      <c r="E43" s="48"/>
      <c r="F43" s="48"/>
    </row>
    <row r="44" spans="1:6" ht="13.9">
      <c r="A44" s="48"/>
      <c r="B44" s="48"/>
      <c r="C44" s="48"/>
      <c r="D44" s="48"/>
      <c r="E44" s="48"/>
      <c r="F44" s="48"/>
    </row>
  </sheetData>
  <mergeCells count="6">
    <mergeCell ref="B31:F31"/>
    <mergeCell ref="B2:F2"/>
    <mergeCell ref="B7:F7"/>
    <mergeCell ref="A25:F25"/>
    <mergeCell ref="B28:F28"/>
    <mergeCell ref="B29:F29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G26"/>
  <sheetViews>
    <sheetView workbookViewId="0">
      <selection activeCell="F10" sqref="F10"/>
    </sheetView>
  </sheetViews>
  <sheetFormatPr defaultRowHeight="14.45"/>
  <cols>
    <col min="1" max="1" width="32.5703125" customWidth="1"/>
    <col min="2" max="2" width="21" customWidth="1"/>
    <col min="3" max="4" width="18.7109375" bestFit="1" customWidth="1"/>
    <col min="5" max="6" width="19" customWidth="1"/>
    <col min="7" max="7" width="18.140625" customWidth="1"/>
  </cols>
  <sheetData>
    <row r="2" spans="1:7" ht="15.6">
      <c r="A2" s="97" t="s">
        <v>97</v>
      </c>
      <c r="B2" s="97"/>
      <c r="C2" s="97"/>
      <c r="D2" s="200"/>
      <c r="E2" s="201" t="s">
        <v>282</v>
      </c>
    </row>
    <row r="3" spans="1:7" ht="15.6">
      <c r="A3" s="98" t="s">
        <v>98</v>
      </c>
      <c r="B3" s="97" t="s">
        <v>7</v>
      </c>
      <c r="C3" s="99">
        <v>42809</v>
      </c>
      <c r="D3" s="202">
        <v>42901</v>
      </c>
      <c r="E3" s="202">
        <v>42979</v>
      </c>
      <c r="F3" s="202">
        <v>43070</v>
      </c>
      <c r="G3" s="199" t="s">
        <v>8</v>
      </c>
    </row>
    <row r="4" spans="1:7" ht="15.6">
      <c r="A4" s="100" t="s">
        <v>104</v>
      </c>
      <c r="B4" s="58"/>
      <c r="C4" s="58"/>
      <c r="D4" s="58"/>
      <c r="E4" s="58"/>
      <c r="F4" s="198"/>
      <c r="G4" s="114"/>
    </row>
    <row r="5" spans="1:7" ht="15.6">
      <c r="A5" s="100" t="s">
        <v>36</v>
      </c>
      <c r="B5" s="101">
        <v>4877108727</v>
      </c>
      <c r="C5" s="101">
        <v>4879640277.7399998</v>
      </c>
      <c r="D5" s="101">
        <v>5294664862.0800009</v>
      </c>
      <c r="E5" s="101"/>
      <c r="F5" s="58"/>
      <c r="G5" s="58"/>
    </row>
    <row r="6" spans="1:7" ht="15.6">
      <c r="A6" s="100" t="s">
        <v>105</v>
      </c>
      <c r="B6" s="102">
        <v>3588473178</v>
      </c>
      <c r="C6" s="102">
        <v>3779421113.0100002</v>
      </c>
      <c r="D6" s="102">
        <v>3893233926.8600001</v>
      </c>
      <c r="E6" s="102"/>
      <c r="F6" s="58"/>
      <c r="G6" s="58"/>
    </row>
    <row r="7" spans="1:7" ht="15.6">
      <c r="A7" s="100" t="s">
        <v>108</v>
      </c>
      <c r="B7" s="103">
        <v>183333333</v>
      </c>
      <c r="C7" s="103">
        <v>166666666</v>
      </c>
      <c r="D7" s="103">
        <v>349999999</v>
      </c>
      <c r="E7" s="103"/>
      <c r="F7" s="58"/>
      <c r="G7" s="58"/>
    </row>
    <row r="8" spans="1:7" ht="15.6">
      <c r="A8" s="100" t="s">
        <v>109</v>
      </c>
      <c r="B8" s="104">
        <v>429264621</v>
      </c>
      <c r="C8" s="104">
        <v>272719337.10000002</v>
      </c>
      <c r="D8" s="104">
        <v>376914706.43000001</v>
      </c>
      <c r="E8" s="104"/>
      <c r="F8" s="58"/>
      <c r="G8" s="58"/>
    </row>
    <row r="9" spans="1:7" ht="15.6">
      <c r="A9" s="97" t="s">
        <v>111</v>
      </c>
      <c r="B9" s="116">
        <v>532313238</v>
      </c>
      <c r="C9" s="116">
        <v>517108803.63</v>
      </c>
      <c r="D9" s="116">
        <v>530791871.78999996</v>
      </c>
      <c r="E9" s="116"/>
      <c r="F9" s="58"/>
      <c r="G9" s="58"/>
    </row>
    <row r="10" spans="1:7" ht="15.6">
      <c r="A10" s="105" t="s">
        <v>115</v>
      </c>
      <c r="B10" s="102">
        <v>163048132</v>
      </c>
      <c r="C10" s="102">
        <v>179776088.44999999</v>
      </c>
      <c r="D10" s="102">
        <v>192017650.94999999</v>
      </c>
      <c r="E10" s="102"/>
      <c r="F10" s="58"/>
      <c r="G10" s="58"/>
    </row>
    <row r="11" spans="1:7" ht="15.6">
      <c r="A11" s="106" t="s">
        <v>117</v>
      </c>
      <c r="B11" s="102">
        <v>215610102</v>
      </c>
      <c r="C11" s="102">
        <v>183676711.18000001</v>
      </c>
      <c r="D11" s="102">
        <v>185117716.84</v>
      </c>
      <c r="E11" s="102"/>
      <c r="F11" s="58"/>
      <c r="G11" s="58"/>
    </row>
    <row r="12" spans="1:7" ht="15.6">
      <c r="A12" s="106" t="s">
        <v>119</v>
      </c>
      <c r="B12" s="102">
        <v>103653504</v>
      </c>
      <c r="C12" s="102">
        <v>103653504</v>
      </c>
      <c r="D12" s="102">
        <v>103653504</v>
      </c>
      <c r="E12" s="102"/>
      <c r="F12" s="58"/>
      <c r="G12" s="58"/>
    </row>
    <row r="13" spans="1:7" ht="15.6">
      <c r="A13" s="106" t="s">
        <v>121</v>
      </c>
      <c r="B13" s="102">
        <v>50001500</v>
      </c>
      <c r="C13" s="102">
        <v>50002500</v>
      </c>
      <c r="D13" s="102">
        <v>50003000</v>
      </c>
      <c r="E13" s="102"/>
      <c r="F13" s="58"/>
      <c r="G13" s="58"/>
    </row>
    <row r="14" spans="1:7" ht="15.6">
      <c r="A14" s="107" t="s">
        <v>126</v>
      </c>
      <c r="B14" s="102">
        <v>0</v>
      </c>
      <c r="C14" s="102">
        <v>193214051</v>
      </c>
      <c r="D14" s="102">
        <v>194114051</v>
      </c>
      <c r="E14" s="102"/>
      <c r="F14" s="58"/>
      <c r="G14" s="58"/>
    </row>
    <row r="15" spans="1:7" ht="15.6">
      <c r="A15" s="100" t="s">
        <v>131</v>
      </c>
      <c r="B15" s="102">
        <v>4090042731.5999999</v>
      </c>
      <c r="C15" s="102">
        <v>4118959082.1399999</v>
      </c>
      <c r="D15" s="102">
        <v>4355348822.8500004</v>
      </c>
      <c r="E15" s="102"/>
      <c r="F15" s="58"/>
      <c r="G15" s="58"/>
    </row>
    <row r="16" spans="1:7" ht="15.6">
      <c r="A16" s="100" t="s">
        <v>132</v>
      </c>
      <c r="B16" s="102">
        <v>47500000</v>
      </c>
      <c r="C16" s="102">
        <v>59500000</v>
      </c>
      <c r="D16" s="102">
        <v>71500000</v>
      </c>
      <c r="E16" s="102"/>
      <c r="F16" s="58"/>
      <c r="G16" s="58"/>
    </row>
    <row r="17" spans="1:7" ht="15.6">
      <c r="A17" s="100" t="s">
        <v>136</v>
      </c>
      <c r="B17" s="102">
        <v>317680938</v>
      </c>
      <c r="C17" s="102">
        <v>518950865.66000003</v>
      </c>
      <c r="D17" s="102">
        <v>512408697.25</v>
      </c>
      <c r="E17" s="102"/>
      <c r="F17" s="58"/>
      <c r="G17" s="58"/>
    </row>
    <row r="18" spans="1:7" ht="15.6">
      <c r="A18" s="100" t="s">
        <v>137</v>
      </c>
      <c r="B18" s="102">
        <v>103160569</v>
      </c>
      <c r="C18" s="102">
        <v>283632203.63999999</v>
      </c>
      <c r="D18" s="102">
        <v>363903471.00999999</v>
      </c>
      <c r="E18" s="102"/>
      <c r="F18" s="58"/>
      <c r="G18" s="58"/>
    </row>
    <row r="19" spans="1:7" ht="15.6">
      <c r="A19" s="108" t="s">
        <v>138</v>
      </c>
      <c r="B19" s="115">
        <v>691077004</v>
      </c>
      <c r="C19" s="115">
        <v>182223000.25</v>
      </c>
      <c r="D19" s="115">
        <v>392897339.34000003</v>
      </c>
      <c r="E19" s="115"/>
      <c r="F19" s="58"/>
      <c r="G19" s="58"/>
    </row>
    <row r="20" spans="1:7" ht="15.6">
      <c r="A20" s="108" t="s">
        <v>143</v>
      </c>
      <c r="B20" s="102">
        <v>525056688</v>
      </c>
      <c r="C20" s="102">
        <v>165095460.81999999</v>
      </c>
      <c r="D20" s="102">
        <v>326990879.44999999</v>
      </c>
      <c r="E20" s="102"/>
      <c r="F20" s="58"/>
      <c r="G20" s="58"/>
    </row>
    <row r="21" spans="1:7" ht="15.6">
      <c r="A21" s="109" t="s">
        <v>283</v>
      </c>
      <c r="B21" s="106"/>
      <c r="C21" s="106"/>
      <c r="D21" s="106"/>
      <c r="E21" s="106"/>
      <c r="F21" s="58"/>
      <c r="G21" s="58"/>
    </row>
    <row r="22" spans="1:7" ht="15.6">
      <c r="A22" s="110" t="s">
        <v>36</v>
      </c>
      <c r="B22" s="111">
        <v>0.242184840951639</v>
      </c>
      <c r="C22" s="113">
        <v>2.625052518432858E-3</v>
      </c>
      <c r="D22" s="113">
        <v>7.2785266270822949E-2</v>
      </c>
      <c r="E22" s="113"/>
      <c r="F22" s="58"/>
      <c r="G22" s="58"/>
    </row>
    <row r="23" spans="1:7" ht="15.6">
      <c r="A23" s="110" t="s">
        <v>105</v>
      </c>
      <c r="B23" s="111">
        <v>0.19329130702965217</v>
      </c>
      <c r="C23" s="113">
        <v>0.17744677402387757</v>
      </c>
      <c r="D23" s="113">
        <v>3.0113821785621896E-2</v>
      </c>
      <c r="E23" s="113"/>
      <c r="F23" s="58"/>
      <c r="G23" s="58"/>
    </row>
    <row r="24" spans="1:7" ht="15.6">
      <c r="A24" s="110" t="s">
        <v>284</v>
      </c>
      <c r="B24" s="111">
        <v>0</v>
      </c>
      <c r="C24" s="113">
        <v>0</v>
      </c>
      <c r="D24" s="113">
        <v>1.1000000024000001</v>
      </c>
      <c r="E24" s="113"/>
      <c r="F24" s="58"/>
      <c r="G24" s="58"/>
    </row>
    <row r="25" spans="1:7" ht="15.6">
      <c r="A25" s="110" t="s">
        <v>130</v>
      </c>
      <c r="B25" s="111">
        <v>0.29156002028303762</v>
      </c>
      <c r="C25" s="113">
        <v>-2.3272662011871906E-4</v>
      </c>
      <c r="D25" s="113">
        <v>2.693625266769634E-2</v>
      </c>
      <c r="E25" s="113"/>
      <c r="F25" s="58"/>
      <c r="G25" s="58"/>
    </row>
    <row r="26" spans="1:7" ht="15.6">
      <c r="A26" s="112" t="s">
        <v>285</v>
      </c>
      <c r="B26" s="113">
        <v>0.23979648656391822</v>
      </c>
      <c r="C26" s="113">
        <v>0.527472009119479</v>
      </c>
      <c r="D26" s="113">
        <v>0.25045677058841737</v>
      </c>
      <c r="E26" s="113"/>
      <c r="F26" s="58"/>
      <c r="G26" s="58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5"/>
  <sheetViews>
    <sheetView workbookViewId="0">
      <selection activeCell="F5" sqref="F5:AF25"/>
    </sheetView>
  </sheetViews>
  <sheetFormatPr defaultRowHeight="14.45"/>
  <cols>
    <col min="1" max="1" width="36.140625" customWidth="1"/>
    <col min="2" max="2" width="11.85546875" customWidth="1"/>
    <col min="6" max="6" width="10.85546875" customWidth="1"/>
  </cols>
  <sheetData>
    <row r="1" spans="1:6" ht="16.149999999999999" thickBot="1">
      <c r="A1" s="117" t="s">
        <v>151</v>
      </c>
      <c r="B1" s="118"/>
      <c r="C1" s="118"/>
      <c r="D1" s="118"/>
      <c r="E1" s="118"/>
      <c r="F1" s="118"/>
    </row>
    <row r="2" spans="1:6" ht="15.6">
      <c r="A2" s="119"/>
      <c r="B2" s="120"/>
      <c r="C2" s="121"/>
      <c r="D2" s="122"/>
      <c r="E2" s="122"/>
      <c r="F2" s="121"/>
    </row>
    <row r="3" spans="1:6" ht="15.6">
      <c r="A3" s="123" t="s">
        <v>152</v>
      </c>
      <c r="B3" s="124" t="s">
        <v>153</v>
      </c>
      <c r="C3" s="125">
        <v>2016</v>
      </c>
      <c r="D3" s="126">
        <v>42809</v>
      </c>
      <c r="E3" s="126">
        <v>42901</v>
      </c>
      <c r="F3" s="126">
        <v>42231</v>
      </c>
    </row>
    <row r="4" spans="1:6" ht="16.149999999999999" thickBot="1">
      <c r="A4" s="127" t="s">
        <v>154</v>
      </c>
      <c r="B4" s="128"/>
      <c r="C4" s="129"/>
      <c r="D4" s="130"/>
      <c r="E4" s="130"/>
      <c r="F4" s="131"/>
    </row>
    <row r="5" spans="1:6" ht="15.6">
      <c r="A5" s="132" t="s">
        <v>155</v>
      </c>
      <c r="B5" s="133" t="s">
        <v>156</v>
      </c>
      <c r="C5" s="134">
        <v>532.31323799999996</v>
      </c>
      <c r="D5" s="134">
        <v>517.10880363000001</v>
      </c>
      <c r="E5" s="134">
        <v>530.79187178999996</v>
      </c>
      <c r="F5" s="134">
        <v>571.23406574000001</v>
      </c>
    </row>
    <row r="6" spans="1:6" ht="15.6">
      <c r="A6" s="132" t="s">
        <v>157</v>
      </c>
      <c r="B6" s="135" t="s">
        <v>158</v>
      </c>
      <c r="C6" s="136">
        <v>0.10914524727592771</v>
      </c>
      <c r="D6" s="136">
        <v>0.10597273040575408</v>
      </c>
      <c r="E6" s="136">
        <v>0.10025032473565838</v>
      </c>
      <c r="F6" s="136">
        <v>0.10144482768259781</v>
      </c>
    </row>
    <row r="7" spans="1:6" ht="15.6">
      <c r="A7" s="132" t="s">
        <v>159</v>
      </c>
      <c r="B7" s="135" t="s">
        <v>160</v>
      </c>
      <c r="C7" s="136">
        <v>0.14833975665847934</v>
      </c>
      <c r="D7" s="136">
        <v>0.13682222440096523</v>
      </c>
      <c r="E7" s="136">
        <v>0.13633700973578491</v>
      </c>
      <c r="F7" s="136">
        <v>0.14198082696863362</v>
      </c>
    </row>
    <row r="8" spans="1:6" ht="15.6">
      <c r="A8" s="137" t="s">
        <v>161</v>
      </c>
      <c r="B8" s="135" t="s">
        <v>162</v>
      </c>
      <c r="C8" s="136">
        <v>3.3431309639941925E-2</v>
      </c>
      <c r="D8" s="136">
        <v>3.6842078148691546E-2</v>
      </c>
      <c r="E8" s="136">
        <v>3.6266252152278085E-2</v>
      </c>
      <c r="F8" s="136">
        <v>3.6799786746129361E-2</v>
      </c>
    </row>
    <row r="9" spans="1:6" ht="15.6">
      <c r="A9" s="137" t="s">
        <v>163</v>
      </c>
      <c r="B9" s="135" t="s">
        <v>160</v>
      </c>
      <c r="C9" s="136">
        <v>7.5713937635985787E-2</v>
      </c>
      <c r="D9" s="136">
        <v>6.9130652257062539E-2</v>
      </c>
      <c r="E9" s="136">
        <v>6.3984072583380291E-2</v>
      </c>
      <c r="F9" s="136">
        <v>6.4645040936468445E-2</v>
      </c>
    </row>
    <row r="10" spans="1:6" ht="15.6">
      <c r="A10" s="127" t="s">
        <v>164</v>
      </c>
      <c r="B10" s="138"/>
      <c r="C10" s="124"/>
      <c r="D10" s="124"/>
      <c r="E10" s="124"/>
      <c r="F10" s="124"/>
    </row>
    <row r="11" spans="1:6" ht="15.6">
      <c r="A11" s="127" t="s">
        <v>165</v>
      </c>
      <c r="B11" s="138"/>
      <c r="C11" s="124"/>
      <c r="D11" s="124"/>
      <c r="E11" s="124"/>
      <c r="F11" s="124"/>
    </row>
    <row r="12" spans="1:6" ht="15.6">
      <c r="A12" s="137" t="s">
        <v>166</v>
      </c>
      <c r="B12" s="135" t="s">
        <v>167</v>
      </c>
      <c r="C12" s="136">
        <v>6.5137144932057203E-2</v>
      </c>
      <c r="D12" s="136">
        <v>0.1063502299600559</v>
      </c>
      <c r="E12" s="136">
        <v>9.6778306200234365E-2</v>
      </c>
      <c r="F12" s="136">
        <v>0.11869628503317878</v>
      </c>
    </row>
    <row r="13" spans="1:6" ht="15.6">
      <c r="A13" s="132" t="s">
        <v>168</v>
      </c>
      <c r="B13" s="135" t="s">
        <v>169</v>
      </c>
      <c r="C13" s="136">
        <v>2.115199286595687E-2</v>
      </c>
      <c r="D13" s="136">
        <v>5.8125637853650138E-2</v>
      </c>
      <c r="E13" s="136">
        <v>6.8730218151530201E-2</v>
      </c>
      <c r="F13" s="136">
        <v>7.8036856185840067E-2</v>
      </c>
    </row>
    <row r="14" spans="1:6" ht="15.6">
      <c r="A14" s="132" t="s">
        <v>170</v>
      </c>
      <c r="B14" s="139" t="s">
        <v>169</v>
      </c>
      <c r="C14" s="140"/>
      <c r="D14" s="140">
        <v>4.9449666390388334E-3</v>
      </c>
      <c r="E14" s="140">
        <v>8.7609861726339177E-3</v>
      </c>
      <c r="F14" s="140"/>
    </row>
    <row r="15" spans="1:6" ht="15.6">
      <c r="A15" s="127" t="s">
        <v>172</v>
      </c>
      <c r="B15" s="135"/>
      <c r="C15" s="136"/>
      <c r="D15" s="136"/>
      <c r="E15" s="136"/>
      <c r="F15" s="136"/>
    </row>
    <row r="16" spans="1:6" ht="15.6">
      <c r="A16" s="132" t="s">
        <v>173</v>
      </c>
      <c r="B16" s="135" t="s">
        <v>169</v>
      </c>
      <c r="C16" s="141">
        <v>0</v>
      </c>
      <c r="D16" s="141">
        <v>5.1122657471244531E-2</v>
      </c>
      <c r="E16" s="141">
        <v>4.9859334077199495E-2</v>
      </c>
      <c r="F16" s="141">
        <v>4.8346671661155992E-2</v>
      </c>
    </row>
    <row r="17" spans="1:6" ht="15.6">
      <c r="A17" s="132" t="s">
        <v>174</v>
      </c>
      <c r="B17" s="135" t="s">
        <v>175</v>
      </c>
      <c r="C17" s="141">
        <v>0</v>
      </c>
      <c r="D17" s="141">
        <v>0.37364293480148886</v>
      </c>
      <c r="E17" s="141">
        <v>0.36570652513081131</v>
      </c>
      <c r="F17" s="141">
        <v>0.34051549560164718</v>
      </c>
    </row>
    <row r="18" spans="1:6" ht="15.6">
      <c r="A18" s="137" t="s">
        <v>176</v>
      </c>
      <c r="B18" s="142" t="s">
        <v>177</v>
      </c>
      <c r="C18" s="141">
        <v>0.83422365273014343</v>
      </c>
      <c r="D18" s="141">
        <v>0.83191769292062123</v>
      </c>
      <c r="E18" s="141">
        <v>0.80908781470393143</v>
      </c>
      <c r="F18" s="141">
        <v>0.83427107376565057</v>
      </c>
    </row>
    <row r="19" spans="1:6" ht="15.6">
      <c r="A19" s="127" t="s">
        <v>178</v>
      </c>
      <c r="B19" s="138"/>
      <c r="C19" s="143"/>
      <c r="D19" s="143"/>
      <c r="E19" s="143"/>
      <c r="F19" s="143"/>
    </row>
    <row r="20" spans="1:6" ht="15.6">
      <c r="A20" s="137" t="s">
        <v>179</v>
      </c>
      <c r="B20" s="142" t="s">
        <v>177</v>
      </c>
      <c r="C20" s="141">
        <v>0.73577879413144365</v>
      </c>
      <c r="D20" s="141">
        <v>0.77452863282791717</v>
      </c>
      <c r="E20" s="141">
        <v>0.73531262662969554</v>
      </c>
      <c r="F20" s="141">
        <v>0.71449666725077587</v>
      </c>
    </row>
    <row r="21" spans="1:6" ht="15.6">
      <c r="A21" s="144" t="s">
        <v>180</v>
      </c>
      <c r="B21" s="145" t="s">
        <v>177</v>
      </c>
      <c r="C21" s="146">
        <v>0.52254737891964986</v>
      </c>
      <c r="D21" s="146">
        <v>0.61495252344908358</v>
      </c>
      <c r="E21" s="146">
        <v>0.59267763029617515</v>
      </c>
      <c r="F21" s="146">
        <v>0.57387705612877815</v>
      </c>
    </row>
    <row r="22" spans="1:6" ht="15.6">
      <c r="A22" s="144" t="s">
        <v>181</v>
      </c>
      <c r="B22" s="145" t="s">
        <v>177</v>
      </c>
      <c r="C22" s="147">
        <v>0.21323141521179378</v>
      </c>
      <c r="D22" s="147">
        <v>0.15957610937883357</v>
      </c>
      <c r="E22" s="147">
        <v>0.14263499633352036</v>
      </c>
      <c r="F22" s="147">
        <v>0.1406196111219977</v>
      </c>
    </row>
    <row r="23" spans="1:6" ht="15.6">
      <c r="A23" s="137" t="s">
        <v>182</v>
      </c>
      <c r="B23" s="135" t="s">
        <v>183</v>
      </c>
      <c r="C23" s="148">
        <v>3.7590577381442086E-2</v>
      </c>
      <c r="D23" s="148">
        <v>3.4155523053677125E-2</v>
      </c>
      <c r="E23" s="148">
        <v>6.6104278196467955E-2</v>
      </c>
      <c r="F23" s="148">
        <v>7.6955188477632386E-2</v>
      </c>
    </row>
    <row r="24" spans="1:6" ht="15.6">
      <c r="A24" s="149" t="s">
        <v>196</v>
      </c>
      <c r="B24" s="106"/>
      <c r="C24" s="106"/>
      <c r="D24" s="106"/>
      <c r="E24" s="106"/>
      <c r="F24" s="106"/>
    </row>
    <row r="25" spans="1:6" ht="15.6">
      <c r="A25" s="137" t="s">
        <v>197</v>
      </c>
      <c r="B25" s="135" t="s">
        <v>286</v>
      </c>
      <c r="C25" s="111">
        <v>0.24871915724913346</v>
      </c>
      <c r="D25" s="111">
        <v>0.13871822798385736</v>
      </c>
      <c r="E25" s="111">
        <v>0.40292833225259994</v>
      </c>
      <c r="F25" s="111">
        <v>8.8814819831723221E-2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4"/>
  <sheetViews>
    <sheetView workbookViewId="0">
      <selection activeCell="C9" sqref="C9"/>
    </sheetView>
  </sheetViews>
  <sheetFormatPr defaultColWidth="9.140625" defaultRowHeight="13.15"/>
  <cols>
    <col min="1" max="1" width="4.5703125" style="22" customWidth="1"/>
    <col min="2" max="2" width="32.5703125" style="22" customWidth="1"/>
    <col min="3" max="3" width="13" style="22" customWidth="1"/>
    <col min="4" max="4" width="20.28515625" style="22" customWidth="1"/>
    <col min="5" max="5" width="11.28515625" style="22" customWidth="1"/>
    <col min="6" max="6" width="21.5703125" style="22" customWidth="1"/>
    <col min="7" max="8" width="35.140625" style="22" customWidth="1"/>
    <col min="9" max="16384" width="9.140625" style="22"/>
  </cols>
  <sheetData>
    <row r="1" spans="1:6" ht="13.9">
      <c r="A1" s="37"/>
      <c r="B1" s="38" t="s">
        <v>261</v>
      </c>
      <c r="C1" s="37"/>
      <c r="D1" s="37"/>
      <c r="E1" s="37"/>
      <c r="F1" s="37"/>
    </row>
    <row r="2" spans="1:6" ht="14.25" customHeight="1">
      <c r="A2" s="23"/>
      <c r="B2" s="519" t="s">
        <v>262</v>
      </c>
      <c r="C2" s="519"/>
      <c r="D2" s="519"/>
      <c r="E2" s="519"/>
      <c r="F2" s="519"/>
    </row>
    <row r="3" spans="1:6" ht="13.9">
      <c r="A3" s="23"/>
      <c r="B3" s="24" t="s">
        <v>263</v>
      </c>
      <c r="C3" s="23"/>
      <c r="E3" s="23"/>
      <c r="F3" s="39">
        <v>2648</v>
      </c>
    </row>
    <row r="4" spans="1:6" ht="13.9">
      <c r="A4" s="23"/>
      <c r="B4" s="24" t="s">
        <v>264</v>
      </c>
      <c r="C4" s="23"/>
      <c r="D4" s="23"/>
      <c r="E4" s="23"/>
      <c r="F4" s="39">
        <v>2013</v>
      </c>
    </row>
    <row r="5" spans="1:6" ht="14.45">
      <c r="A5" s="23"/>
      <c r="B5" s="24" t="s">
        <v>265</v>
      </c>
      <c r="C5" s="23"/>
      <c r="D5" s="23"/>
      <c r="E5" s="23"/>
      <c r="F5" s="40" t="s">
        <v>287</v>
      </c>
    </row>
    <row r="6" spans="1:6" ht="14.45">
      <c r="A6" s="23"/>
      <c r="B6" s="24" t="s">
        <v>267</v>
      </c>
      <c r="C6" s="23"/>
      <c r="D6" s="23"/>
      <c r="E6" s="23"/>
      <c r="F6" s="40" t="s">
        <v>288</v>
      </c>
    </row>
    <row r="7" spans="1:6" ht="14.25" customHeight="1">
      <c r="A7" s="23"/>
      <c r="B7" s="520" t="s">
        <v>269</v>
      </c>
      <c r="C7" s="520"/>
      <c r="D7" s="520"/>
      <c r="E7" s="520"/>
      <c r="F7" s="520"/>
    </row>
    <row r="8" spans="1:6" ht="13.9">
      <c r="A8" s="23"/>
      <c r="B8" s="23"/>
      <c r="C8" s="24" t="s">
        <v>239</v>
      </c>
      <c r="D8" s="24" t="s">
        <v>240</v>
      </c>
      <c r="E8" s="24" t="s">
        <v>241</v>
      </c>
      <c r="F8" s="24" t="s">
        <v>242</v>
      </c>
    </row>
    <row r="9" spans="1:6" ht="41.45">
      <c r="A9" s="23" t="s">
        <v>243</v>
      </c>
      <c r="B9" s="24" t="s">
        <v>244</v>
      </c>
      <c r="C9" s="24" t="s">
        <v>245</v>
      </c>
      <c r="D9" s="24" t="s">
        <v>246</v>
      </c>
      <c r="E9" s="24" t="s">
        <v>247</v>
      </c>
      <c r="F9" s="24" t="s">
        <v>248</v>
      </c>
    </row>
    <row r="10" spans="1:6" ht="14.45">
      <c r="A10" s="23">
        <v>1</v>
      </c>
      <c r="B10" s="23" t="s">
        <v>249</v>
      </c>
      <c r="C10" s="77">
        <v>14815</v>
      </c>
      <c r="D10" s="77">
        <v>1983978144.4100001</v>
      </c>
      <c r="E10" s="82">
        <v>99.39</v>
      </c>
      <c r="F10" s="77">
        <v>0</v>
      </c>
    </row>
    <row r="11" spans="1:6" ht="14.45">
      <c r="A11" s="23">
        <v>2</v>
      </c>
      <c r="B11" s="23" t="s">
        <v>250</v>
      </c>
      <c r="C11" s="77">
        <v>141</v>
      </c>
      <c r="D11" s="77">
        <v>707842.11</v>
      </c>
      <c r="E11" s="82">
        <v>0.12</v>
      </c>
      <c r="F11" s="77">
        <v>35392.11</v>
      </c>
    </row>
    <row r="12" spans="1:6" ht="14.45">
      <c r="A12" s="23">
        <v>3</v>
      </c>
      <c r="B12" s="23" t="s">
        <v>251</v>
      </c>
      <c r="C12" s="77">
        <v>81</v>
      </c>
      <c r="D12" s="77">
        <v>587546.81000000006</v>
      </c>
      <c r="E12" s="82">
        <v>0.03</v>
      </c>
      <c r="F12" s="77">
        <v>146886.70000000001</v>
      </c>
    </row>
    <row r="13" spans="1:6" ht="14.45">
      <c r="A13" s="23">
        <v>4</v>
      </c>
      <c r="B13" s="23" t="s">
        <v>252</v>
      </c>
      <c r="C13" s="77">
        <v>84</v>
      </c>
      <c r="D13" s="77">
        <v>539766.81000000006</v>
      </c>
      <c r="E13" s="82">
        <v>0.03</v>
      </c>
      <c r="F13" s="77">
        <v>269883.40999999997</v>
      </c>
    </row>
    <row r="14" spans="1:6" ht="14.45">
      <c r="A14" s="23">
        <v>5</v>
      </c>
      <c r="B14" s="23" t="s">
        <v>253</v>
      </c>
      <c r="C14" s="77">
        <v>201</v>
      </c>
      <c r="D14" s="77">
        <v>8707018.8699999992</v>
      </c>
      <c r="E14" s="82">
        <v>0.43</v>
      </c>
      <c r="F14" s="77">
        <v>8707018.8699999992</v>
      </c>
    </row>
    <row r="15" spans="1:6" ht="14.45">
      <c r="A15" s="23"/>
      <c r="B15" s="24" t="s">
        <v>254</v>
      </c>
      <c r="C15" s="77">
        <f>SUM(C10:C14)</f>
        <v>15322</v>
      </c>
      <c r="D15" s="77">
        <f>SUM(D10:D14)</f>
        <v>1994520319.0099998</v>
      </c>
      <c r="E15" s="83">
        <v>100</v>
      </c>
      <c r="F15" s="77">
        <f>SUM(F11:F14)</f>
        <v>9159181.0899999999</v>
      </c>
    </row>
    <row r="16" spans="1:6" ht="13.9">
      <c r="A16" s="23"/>
      <c r="B16" s="23" t="s">
        <v>255</v>
      </c>
      <c r="C16" s="39"/>
      <c r="D16" s="41"/>
      <c r="E16" s="39"/>
      <c r="F16" s="39"/>
    </row>
    <row r="17" spans="1:6" ht="13.9">
      <c r="A17" s="23">
        <v>1</v>
      </c>
      <c r="B17" s="23" t="s">
        <v>249</v>
      </c>
      <c r="C17" s="39"/>
      <c r="D17" s="23"/>
      <c r="E17" s="42"/>
      <c r="F17" s="39"/>
    </row>
    <row r="18" spans="1:6" ht="13.9">
      <c r="A18" s="23">
        <v>2</v>
      </c>
      <c r="B18" s="23" t="s">
        <v>250</v>
      </c>
      <c r="C18" s="39"/>
      <c r="D18" s="23"/>
      <c r="E18" s="42"/>
      <c r="F18" s="39"/>
    </row>
    <row r="19" spans="1:6" ht="13.9">
      <c r="A19" s="23">
        <v>3</v>
      </c>
      <c r="B19" s="23" t="s">
        <v>251</v>
      </c>
      <c r="C19" s="39"/>
      <c r="D19" s="23"/>
      <c r="E19" s="42"/>
      <c r="F19" s="39"/>
    </row>
    <row r="20" spans="1:6" ht="13.9">
      <c r="A20" s="23">
        <v>4</v>
      </c>
      <c r="B20" s="23" t="s">
        <v>252</v>
      </c>
      <c r="C20" s="39"/>
      <c r="D20" s="23"/>
      <c r="E20" s="42"/>
      <c r="F20" s="39"/>
    </row>
    <row r="21" spans="1:6" ht="13.9">
      <c r="A21" s="23">
        <v>5</v>
      </c>
      <c r="B21" s="23" t="s">
        <v>253</v>
      </c>
      <c r="C21" s="39"/>
      <c r="D21" s="23"/>
      <c r="E21" s="42"/>
      <c r="F21" s="39"/>
    </row>
    <row r="22" spans="1:6" ht="13.9">
      <c r="A22" s="23"/>
      <c r="B22" s="24" t="s">
        <v>254</v>
      </c>
      <c r="C22" s="23"/>
      <c r="D22" s="23"/>
      <c r="E22" s="23"/>
      <c r="F22" s="23"/>
    </row>
    <row r="23" spans="1:6" ht="14.45">
      <c r="A23" s="23"/>
      <c r="B23" s="23" t="s">
        <v>256</v>
      </c>
      <c r="C23" s="77"/>
      <c r="D23" s="77"/>
      <c r="E23" s="23"/>
      <c r="F23" s="77"/>
    </row>
    <row r="24" spans="1:6" ht="13.9">
      <c r="A24" s="33"/>
      <c r="B24" s="43"/>
      <c r="C24" s="43"/>
      <c r="D24" s="43"/>
      <c r="E24" s="43"/>
      <c r="F24" s="44"/>
    </row>
    <row r="25" spans="1:6" ht="15" customHeight="1">
      <c r="A25" s="521" t="s">
        <v>270</v>
      </c>
      <c r="B25" s="521"/>
      <c r="C25" s="521"/>
      <c r="D25" s="521"/>
      <c r="E25" s="521"/>
      <c r="F25" s="521"/>
    </row>
    <row r="26" spans="1:6" ht="15" customHeight="1">
      <c r="A26" s="45"/>
      <c r="B26" s="45"/>
      <c r="C26" s="45"/>
      <c r="D26" s="45"/>
      <c r="E26" s="45"/>
      <c r="F26" s="45"/>
    </row>
    <row r="27" spans="1:6" ht="13.9">
      <c r="A27" s="37"/>
      <c r="B27" s="46" t="s">
        <v>271</v>
      </c>
      <c r="C27" s="47"/>
      <c r="D27" s="37"/>
      <c r="E27" s="37"/>
      <c r="F27" s="37"/>
    </row>
    <row r="28" spans="1:6" ht="15.75" customHeight="1">
      <c r="A28" s="37"/>
      <c r="B28" s="518" t="s">
        <v>272</v>
      </c>
      <c r="C28" s="518"/>
      <c r="D28" s="518"/>
      <c r="E28" s="518"/>
      <c r="F28" s="518"/>
    </row>
    <row r="29" spans="1:6" ht="24" customHeight="1">
      <c r="A29" s="37"/>
      <c r="B29" s="518" t="s">
        <v>273</v>
      </c>
      <c r="C29" s="518"/>
      <c r="D29" s="518"/>
      <c r="E29" s="518"/>
      <c r="F29" s="518"/>
    </row>
    <row r="30" spans="1:6" ht="13.9">
      <c r="A30" s="37"/>
      <c r="B30" s="47" t="s">
        <v>274</v>
      </c>
      <c r="C30" s="47"/>
      <c r="D30" s="37"/>
      <c r="E30" s="37"/>
      <c r="F30" s="37"/>
    </row>
    <row r="31" spans="1:6" ht="20.25" customHeight="1">
      <c r="A31" s="37"/>
      <c r="B31" s="518" t="s">
        <v>273</v>
      </c>
      <c r="C31" s="518"/>
      <c r="D31" s="518"/>
      <c r="E31" s="518"/>
      <c r="F31" s="518"/>
    </row>
    <row r="32" spans="1:6" ht="13.9">
      <c r="A32" s="37"/>
      <c r="B32" s="47" t="s">
        <v>275</v>
      </c>
      <c r="C32" s="47"/>
      <c r="D32" s="37"/>
      <c r="E32" s="37"/>
      <c r="F32" s="37"/>
    </row>
    <row r="33" spans="1:6" ht="13.9">
      <c r="A33" s="48"/>
      <c r="B33" s="48"/>
      <c r="C33" s="48"/>
      <c r="D33" s="48"/>
      <c r="E33" s="48"/>
      <c r="F33" s="48"/>
    </row>
    <row r="34" spans="1:6" ht="13.9">
      <c r="A34" s="48"/>
      <c r="B34" s="48"/>
      <c r="C34" s="48"/>
      <c r="D34" s="48"/>
      <c r="E34" s="48"/>
      <c r="F34" s="48"/>
    </row>
    <row r="35" spans="1:6" ht="13.9">
      <c r="A35" s="48"/>
      <c r="B35" s="48"/>
      <c r="C35" s="48"/>
      <c r="D35" s="48"/>
      <c r="E35" s="48"/>
      <c r="F35" s="48"/>
    </row>
    <row r="36" spans="1:6" ht="13.9">
      <c r="A36" s="48"/>
      <c r="B36" s="48"/>
      <c r="C36" s="48"/>
      <c r="D36" s="48"/>
      <c r="E36" s="48"/>
      <c r="F36" s="48"/>
    </row>
    <row r="37" spans="1:6" ht="13.9">
      <c r="A37" s="48"/>
      <c r="B37" s="48"/>
      <c r="C37" s="48"/>
      <c r="D37" s="48"/>
      <c r="E37" s="48"/>
      <c r="F37" s="48"/>
    </row>
    <row r="38" spans="1:6" ht="13.9">
      <c r="A38" s="48"/>
      <c r="B38" s="48"/>
      <c r="C38" s="48"/>
      <c r="D38" s="48"/>
      <c r="E38" s="48"/>
      <c r="F38" s="48"/>
    </row>
    <row r="39" spans="1:6" ht="13.9">
      <c r="A39" s="48"/>
      <c r="B39" s="48"/>
      <c r="C39" s="48"/>
      <c r="D39" s="48"/>
      <c r="E39" s="48"/>
      <c r="F39" s="48"/>
    </row>
    <row r="40" spans="1:6" ht="13.9">
      <c r="A40" s="48"/>
      <c r="B40" s="48"/>
      <c r="C40" s="48"/>
      <c r="D40" s="48"/>
      <c r="E40" s="48"/>
      <c r="F40" s="48"/>
    </row>
    <row r="41" spans="1:6" ht="13.9">
      <c r="A41" s="48"/>
      <c r="B41" s="48"/>
      <c r="C41" s="48"/>
      <c r="D41" s="48"/>
      <c r="E41" s="48"/>
      <c r="F41" s="48"/>
    </row>
    <row r="42" spans="1:6" ht="13.9">
      <c r="A42" s="48"/>
      <c r="B42" s="48"/>
      <c r="C42" s="48"/>
      <c r="D42" s="48"/>
      <c r="E42" s="48"/>
      <c r="F42" s="48"/>
    </row>
    <row r="43" spans="1:6" ht="13.9">
      <c r="A43" s="48"/>
      <c r="B43" s="48"/>
      <c r="C43" s="48"/>
      <c r="D43" s="48"/>
      <c r="E43" s="48"/>
      <c r="F43" s="48"/>
    </row>
    <row r="44" spans="1:6" ht="13.9">
      <c r="A44" s="48"/>
      <c r="B44" s="48"/>
      <c r="C44" s="48"/>
      <c r="D44" s="48"/>
      <c r="E44" s="48"/>
      <c r="F44" s="48"/>
    </row>
  </sheetData>
  <mergeCells count="6">
    <mergeCell ref="B31:F31"/>
    <mergeCell ref="B2:F2"/>
    <mergeCell ref="B7:F7"/>
    <mergeCell ref="A25:F25"/>
    <mergeCell ref="B28:F28"/>
    <mergeCell ref="B29:F29"/>
  </mergeCells>
  <dataValidations count="7">
    <dataValidation type="decimal" showErrorMessage="1" errorTitle="Error Msg" error="Enter a number" sqref="D10:F14 E16:F21" xr:uid="{00000000-0002-0000-0C00-000000000000}">
      <formula1>0</formula1>
      <formula2>999999999999</formula2>
    </dataValidation>
    <dataValidation type="decimal" showErrorMessage="1" errorTitle="Error Msg" error="Enter a NO" sqref="C16:C21 C10:C14" xr:uid="{00000000-0002-0000-0C00-000001000000}">
      <formula1>0</formula1>
      <formula2>999999999999</formula2>
    </dataValidation>
    <dataValidation type="decimal" errorStyle="warning" showErrorMessage="1" errorTitle="Error Msg" error="Enter a number" sqref="F15 F23" xr:uid="{00000000-0002-0000-0C00-000002000000}">
      <formula1>0</formula1>
      <formula2>999999999999</formula2>
    </dataValidation>
    <dataValidation type="textLength" showInputMessage="1" showErrorMessage="1" errorTitle="Error Msg" error="Enter the End Date" promptTitle="End Date" prompt="End Date of the Reporting Month" sqref="F6" xr:uid="{00000000-0002-0000-0C00-000003000000}">
      <formula1>0</formula1>
      <formula2>1028</formula2>
    </dataValidation>
    <dataValidation type="textLength" showInputMessage="1" showErrorMessage="1" errorTitle="Error Message" error="Enter the start date" promptTitle="Start Date" prompt="Start Date of the year" sqref="F5" xr:uid="{00000000-0002-0000-0C00-000004000000}">
      <formula1>0</formula1>
      <formula2>1028</formula2>
    </dataValidation>
    <dataValidation type="whole" showInputMessage="1" showErrorMessage="1" errorTitle="Error msg" error="Enter Current Financial year" promptTitle="Financial Year" prompt="current financial year" sqref="F4" xr:uid="{00000000-0002-0000-0C00-000005000000}">
      <formula1>2000</formula1>
      <formula2>2090</formula2>
    </dataValidation>
    <dataValidation type="whole" showInputMessage="1" showErrorMessage="1" errorTitle="Error Message" error="Enter cs no of the sacco" promptTitle="CS NUMBER" prompt=" CS number of the Sacco" sqref="F3" xr:uid="{00000000-0002-0000-0C00-000006000000}">
      <formula1>0</formula1>
      <formula2>999999999999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DD6909-6315-411E-A108-E7C3C2369834}"/>
</file>

<file path=customXml/itemProps2.xml><?xml version="1.0" encoding="utf-8"?>
<ds:datastoreItem xmlns:ds="http://schemas.openxmlformats.org/officeDocument/2006/customXml" ds:itemID="{43CE01BF-FEDB-4DEA-B08F-C962D710C725}"/>
</file>

<file path=customXml/itemProps3.xml><?xml version="1.0" encoding="utf-8"?>
<ds:datastoreItem xmlns:ds="http://schemas.openxmlformats.org/officeDocument/2006/customXml" ds:itemID="{108E38ED-C3AD-4F62-962C-A081D78C3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Moses Lochit</cp:lastModifiedBy>
  <cp:revision/>
  <dcterms:created xsi:type="dcterms:W3CDTF">2012-07-31T14:31:17Z</dcterms:created>
  <dcterms:modified xsi:type="dcterms:W3CDTF">2023-11-03T06:52:36Z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7a02b3b2-3762-4506-88a3-8b8c11cc60e6_Enabled">
    <vt:lpwstr>true</vt:lpwstr>
  </property>
  <property fmtid="{D5CDD505-2E9C-101B-9397-08002B2CF9AE}" pid="4" name="MSIP_Label_7a02b3b2-3762-4506-88a3-8b8c11cc60e6_SetDate">
    <vt:lpwstr>2022-01-18T14:11:59Z</vt:lpwstr>
  </property>
  <property fmtid="{D5CDD505-2E9C-101B-9397-08002B2CF9AE}" pid="5" name="MSIP_Label_7a02b3b2-3762-4506-88a3-8b8c11cc60e6_Method">
    <vt:lpwstr>Privileged</vt:lpwstr>
  </property>
  <property fmtid="{D5CDD505-2E9C-101B-9397-08002B2CF9AE}" pid="6" name="MSIP_Label_7a02b3b2-3762-4506-88a3-8b8c11cc60e6_Name">
    <vt:lpwstr>Internal Use</vt:lpwstr>
  </property>
  <property fmtid="{D5CDD505-2E9C-101B-9397-08002B2CF9AE}" pid="7" name="MSIP_Label_7a02b3b2-3762-4506-88a3-8b8c11cc60e6_SiteId">
    <vt:lpwstr>d6c8161d-ccd5-4325-b291-dd442c369fe4</vt:lpwstr>
  </property>
  <property fmtid="{D5CDD505-2E9C-101B-9397-08002B2CF9AE}" pid="8" name="MSIP_Label_7a02b3b2-3762-4506-88a3-8b8c11cc60e6_ActionId">
    <vt:lpwstr>abf8410b-9609-4b85-877f-e74af667f644</vt:lpwstr>
  </property>
  <property fmtid="{D5CDD505-2E9C-101B-9397-08002B2CF9AE}" pid="9" name="MSIP_Label_7a02b3b2-3762-4506-88a3-8b8c11cc60e6_ContentBits">
    <vt:lpwstr>0</vt:lpwstr>
  </property>
  <property fmtid="{D5CDD505-2E9C-101B-9397-08002B2CF9AE}" pid="10" name="MediaServiceImageTags">
    <vt:lpwstr/>
  </property>
</Properties>
</file>
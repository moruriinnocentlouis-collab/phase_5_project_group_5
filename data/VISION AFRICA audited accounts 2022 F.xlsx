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srake.sharepoint.com/sites/Supervision/Shared Documents/DT Saccos/Portfolio 3/VISION AFRIKA- 10624/Accounts Approval/"/>
    </mc:Choice>
  </mc:AlternateContent>
  <xr:revisionPtr revIDLastSave="74" documentId="8_{2431FB64-A0AF-40BC-9E1F-EF1BD0DB254D}" xr6:coauthVersionLast="47" xr6:coauthVersionMax="47" xr10:uidLastSave="{208A027E-297F-4C16-998C-530C3208BD6A}"/>
  <bookViews>
    <workbookView xWindow="-108" yWindow="-108" windowWidth="23256" windowHeight="12456" firstSheet="1" activeTab="1" xr2:uid="{00000000-000D-0000-FFFF-FFFF00000000}"/>
  </bookViews>
  <sheets>
    <sheet name="Evolutive SFP" sheetId="1" r:id="rId1"/>
    <sheet name="Evolutitve SCI" sheetId="2" r:id="rId2"/>
    <sheet name="Financials" sheetId="5" r:id="rId3"/>
    <sheet name=" FORM 4-2021" sheetId="4" r:id="rId4"/>
    <sheet name="FORM 4-2022" sheetId="10" r:id="rId5"/>
    <sheet name="compliance status audited 2022" sheetId="9" r:id="rId6"/>
    <sheet name="CAELS" sheetId="3" r:id="rId7"/>
    <sheet name="CAELS Rating" sheetId="7" r:id="rId8"/>
    <sheet name="Compliance Status" sheetId="8" r:id="rId9"/>
    <sheet name="CashFlow Stmnt" sheetId="6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" i="3" l="1"/>
  <c r="AJ8" i="3"/>
  <c r="AJ19" i="3"/>
  <c r="AQ4" i="5"/>
  <c r="AQ5" i="5"/>
  <c r="AJ6" i="5"/>
  <c r="AK6" i="5"/>
  <c r="AL6" i="5"/>
  <c r="AM6" i="5"/>
  <c r="AN6" i="5"/>
  <c r="AO6" i="5"/>
  <c r="AP6" i="5"/>
  <c r="AQ6" i="5"/>
  <c r="AJ7" i="5"/>
  <c r="AK7" i="5"/>
  <c r="AL7" i="5"/>
  <c r="AM7" i="5"/>
  <c r="AN7" i="5"/>
  <c r="AO7" i="5"/>
  <c r="AP7" i="5"/>
  <c r="AQ7" i="5"/>
  <c r="AJ8" i="5"/>
  <c r="AK8" i="5"/>
  <c r="AL8" i="5"/>
  <c r="AM8" i="5"/>
  <c r="AN8" i="5"/>
  <c r="AO8" i="5"/>
  <c r="AP8" i="5"/>
  <c r="AQ8" i="5"/>
  <c r="AJ15" i="5"/>
  <c r="AK15" i="5"/>
  <c r="AL15" i="5"/>
  <c r="AM15" i="5"/>
  <c r="AN15" i="5"/>
  <c r="AO15" i="5"/>
  <c r="AP15" i="5"/>
  <c r="AQ15" i="5"/>
  <c r="AJ17" i="5"/>
  <c r="AK17" i="5"/>
  <c r="AL17" i="5"/>
  <c r="AM17" i="5"/>
  <c r="AN17" i="5"/>
  <c r="AO17" i="5"/>
  <c r="AP17" i="5"/>
  <c r="AQ17" i="5"/>
  <c r="AJ18" i="5"/>
  <c r="AK18" i="5"/>
  <c r="AL18" i="5"/>
  <c r="AM18" i="5"/>
  <c r="AN18" i="5"/>
  <c r="AO18" i="5"/>
  <c r="AP18" i="5"/>
  <c r="AQ18" i="5"/>
  <c r="AJ19" i="5"/>
  <c r="AK19" i="5"/>
  <c r="AL19" i="5"/>
  <c r="AM19" i="5"/>
  <c r="AN19" i="5"/>
  <c r="AO19" i="5"/>
  <c r="AP19" i="5"/>
  <c r="AQ19" i="5"/>
  <c r="AJ20" i="5"/>
  <c r="AK20" i="5"/>
  <c r="AL20" i="5"/>
  <c r="AM20" i="5"/>
  <c r="AN20" i="5"/>
  <c r="AO20" i="5"/>
  <c r="AP20" i="5"/>
  <c r="AQ20" i="5"/>
  <c r="AJ22" i="5"/>
  <c r="AJ21" i="5" s="1"/>
  <c r="AK22" i="5"/>
  <c r="AK21" i="5" s="1"/>
  <c r="AL22" i="5"/>
  <c r="AL21" i="5" s="1"/>
  <c r="AM22" i="5"/>
  <c r="AM21" i="5" s="1"/>
  <c r="AN22" i="5"/>
  <c r="AN21" i="5" s="1"/>
  <c r="AO22" i="5"/>
  <c r="AO21" i="5" s="1"/>
  <c r="AP22" i="5"/>
  <c r="AP21" i="5" s="1"/>
  <c r="AQ22" i="5"/>
  <c r="AQ21" i="5" s="1"/>
  <c r="AJ26" i="5"/>
  <c r="AK26" i="5"/>
  <c r="AL26" i="5"/>
  <c r="AM26" i="5"/>
  <c r="AN26" i="5"/>
  <c r="AO26" i="5"/>
  <c r="AP26" i="5"/>
  <c r="AQ26" i="5"/>
  <c r="AJ27" i="5"/>
  <c r="AK27" i="5"/>
  <c r="AL27" i="5"/>
  <c r="AM27" i="5"/>
  <c r="AN27" i="5"/>
  <c r="AO27" i="5"/>
  <c r="AP27" i="5"/>
  <c r="AQ27" i="5"/>
  <c r="AJ28" i="5"/>
  <c r="AK28" i="5"/>
  <c r="AL28" i="5"/>
  <c r="AM28" i="5"/>
  <c r="AN28" i="5"/>
  <c r="AO28" i="5"/>
  <c r="AP28" i="5"/>
  <c r="AQ28" i="5"/>
  <c r="AQ30" i="5"/>
  <c r="AJ31" i="5"/>
  <c r="AK31" i="5"/>
  <c r="AL31" i="5"/>
  <c r="AM31" i="5"/>
  <c r="AN31" i="5"/>
  <c r="AO31" i="5"/>
  <c r="AP31" i="5"/>
  <c r="AQ31" i="5"/>
  <c r="AJ32" i="5"/>
  <c r="AK32" i="5"/>
  <c r="AL32" i="5"/>
  <c r="AM32" i="5"/>
  <c r="AN32" i="5"/>
  <c r="AO32" i="5"/>
  <c r="AP32" i="5"/>
  <c r="AQ32" i="5"/>
  <c r="AQ34" i="5"/>
  <c r="AJ35" i="5"/>
  <c r="AK35" i="5"/>
  <c r="AL35" i="5"/>
  <c r="AM35" i="5"/>
  <c r="AN35" i="5"/>
  <c r="AO35" i="5"/>
  <c r="AP35" i="5"/>
  <c r="AQ35" i="5"/>
  <c r="AJ38" i="5"/>
  <c r="AK38" i="5"/>
  <c r="AL38" i="5"/>
  <c r="AM38" i="5"/>
  <c r="AN38" i="5"/>
  <c r="AO38" i="5"/>
  <c r="AP38" i="5"/>
  <c r="AQ38" i="5"/>
  <c r="AM39" i="5"/>
  <c r="AN39" i="5"/>
  <c r="AO39" i="5"/>
  <c r="AP39" i="5"/>
  <c r="AQ39" i="5"/>
  <c r="AJ40" i="5"/>
  <c r="AK40" i="5"/>
  <c r="AL40" i="5"/>
  <c r="AM40" i="5"/>
  <c r="AN40" i="5"/>
  <c r="AO40" i="5"/>
  <c r="AP40" i="5"/>
  <c r="AQ40" i="5"/>
  <c r="AJ44" i="5"/>
  <c r="AK44" i="5"/>
  <c r="AL44" i="5"/>
  <c r="AM44" i="5"/>
  <c r="AN44" i="5"/>
  <c r="AO44" i="5"/>
  <c r="AP44" i="5"/>
  <c r="AQ44" i="5"/>
  <c r="AJ45" i="5"/>
  <c r="AK45" i="5"/>
  <c r="AL45" i="5"/>
  <c r="AM45" i="5"/>
  <c r="AN45" i="5"/>
  <c r="AO45" i="5"/>
  <c r="AP45" i="5"/>
  <c r="AQ45" i="5"/>
  <c r="AJ46" i="5"/>
  <c r="AK46" i="5"/>
  <c r="AL46" i="5"/>
  <c r="AM46" i="5"/>
  <c r="AN46" i="5"/>
  <c r="AO46" i="5"/>
  <c r="AP46" i="5"/>
  <c r="AQ46" i="5"/>
  <c r="AM47" i="5"/>
  <c r="AN47" i="5"/>
  <c r="AO47" i="5"/>
  <c r="AP47" i="5"/>
  <c r="AQ47" i="5"/>
  <c r="AG32" i="1"/>
  <c r="AG39" i="1" s="1"/>
  <c r="AH32" i="1"/>
  <c r="AI32" i="1"/>
  <c r="AJ5" i="5" s="1"/>
  <c r="AJ32" i="1"/>
  <c r="AK32" i="1"/>
  <c r="AL5" i="5" s="1"/>
  <c r="AL32" i="1"/>
  <c r="AM5" i="5" s="1"/>
  <c r="AM32" i="1"/>
  <c r="AN5" i="5" s="1"/>
  <c r="AN32" i="1"/>
  <c r="AO32" i="1"/>
  <c r="AP5" i="5" s="1"/>
  <c r="AI39" i="1"/>
  <c r="AK39" i="1"/>
  <c r="AL39" i="1"/>
  <c r="AM39" i="1"/>
  <c r="AO39" i="1"/>
  <c r="AG49" i="1"/>
  <c r="AH49" i="1"/>
  <c r="AI49" i="1"/>
  <c r="AJ49" i="1"/>
  <c r="AK49" i="1"/>
  <c r="AL49" i="1"/>
  <c r="AM49" i="1"/>
  <c r="AN49" i="1"/>
  <c r="AO49" i="1"/>
  <c r="AI50" i="1"/>
  <c r="AK50" i="1"/>
  <c r="AL50" i="1"/>
  <c r="AO50" i="1"/>
  <c r="AG22" i="1"/>
  <c r="AH34" i="5" s="1"/>
  <c r="AH22" i="1"/>
  <c r="AI22" i="1"/>
  <c r="AJ22" i="1"/>
  <c r="AK22" i="1"/>
  <c r="AL22" i="1"/>
  <c r="AM22" i="1"/>
  <c r="AN22" i="1"/>
  <c r="AO22" i="1"/>
  <c r="AG18" i="1"/>
  <c r="AH18" i="1"/>
  <c r="AI18" i="1"/>
  <c r="AJ18" i="1"/>
  <c r="AK18" i="1"/>
  <c r="AL18" i="1"/>
  <c r="AM18" i="1"/>
  <c r="AN18" i="1"/>
  <c r="AO18" i="1"/>
  <c r="AG15" i="1"/>
  <c r="AH30" i="5" s="1"/>
  <c r="AH15" i="1"/>
  <c r="AI15" i="1"/>
  <c r="AJ30" i="5" s="1"/>
  <c r="AJ15" i="1"/>
  <c r="AK30" i="5" s="1"/>
  <c r="AK15" i="1"/>
  <c r="AL30" i="5" s="1"/>
  <c r="AL15" i="1"/>
  <c r="AM30" i="5" s="1"/>
  <c r="AM15" i="1"/>
  <c r="AN30" i="5" s="1"/>
  <c r="AN15" i="1"/>
  <c r="AO30" i="5" s="1"/>
  <c r="AO15" i="1"/>
  <c r="AP30" i="5" s="1"/>
  <c r="AG9" i="1"/>
  <c r="AH9" i="1"/>
  <c r="AI9" i="1"/>
  <c r="AJ9" i="1"/>
  <c r="AK9" i="1"/>
  <c r="AL9" i="1"/>
  <c r="AM9" i="1"/>
  <c r="AN9" i="1"/>
  <c r="AO9" i="1"/>
  <c r="AG5" i="1"/>
  <c r="AH5" i="1"/>
  <c r="AI5" i="1"/>
  <c r="AJ5" i="1"/>
  <c r="AK5" i="1"/>
  <c r="AL5" i="1"/>
  <c r="AM5" i="1"/>
  <c r="AN5" i="1"/>
  <c r="AO5" i="1"/>
  <c r="AF3" i="3"/>
  <c r="AF19" i="3" s="1"/>
  <c r="AG3" i="3"/>
  <c r="AG19" i="3" s="1"/>
  <c r="AH3" i="3"/>
  <c r="AI3" i="3"/>
  <c r="AF8" i="3"/>
  <c r="AH8" i="3"/>
  <c r="AI8" i="3"/>
  <c r="AH19" i="3"/>
  <c r="AI5" i="5"/>
  <c r="AG6" i="5"/>
  <c r="AH6" i="5"/>
  <c r="AI6" i="5"/>
  <c r="AI26" i="3" s="1"/>
  <c r="AG7" i="5"/>
  <c r="AH7" i="5"/>
  <c r="AH27" i="3" s="1"/>
  <c r="AI7" i="5"/>
  <c r="AI27" i="3" s="1"/>
  <c r="AG8" i="5"/>
  <c r="AH8" i="5"/>
  <c r="AI8" i="5"/>
  <c r="AG15" i="5"/>
  <c r="AH15" i="5"/>
  <c r="AI15" i="5"/>
  <c r="AG17" i="5"/>
  <c r="AH17" i="5"/>
  <c r="AI17" i="5"/>
  <c r="AG18" i="5"/>
  <c r="AH18" i="5"/>
  <c r="AI18" i="5"/>
  <c r="AG19" i="5"/>
  <c r="AH19" i="5"/>
  <c r="AI19" i="5"/>
  <c r="AG20" i="5"/>
  <c r="AH20" i="5"/>
  <c r="AI20" i="5"/>
  <c r="AG22" i="5"/>
  <c r="AG21" i="5" s="1"/>
  <c r="AG14" i="5" s="1"/>
  <c r="AG11" i="5" s="1"/>
  <c r="AH22" i="5"/>
  <c r="AH21" i="5" s="1"/>
  <c r="AI22" i="5"/>
  <c r="AI21" i="5" s="1"/>
  <c r="AG26" i="5"/>
  <c r="AH26" i="5"/>
  <c r="AI26" i="5"/>
  <c r="AG27" i="5"/>
  <c r="AH27" i="5"/>
  <c r="AI27" i="5"/>
  <c r="AG28" i="5"/>
  <c r="AH28" i="5"/>
  <c r="AI28" i="5"/>
  <c r="AI30" i="5"/>
  <c r="AG31" i="5"/>
  <c r="AH31" i="5"/>
  <c r="AI31" i="5"/>
  <c r="AI28" i="3" s="1"/>
  <c r="AG32" i="5"/>
  <c r="AH32" i="5"/>
  <c r="AI32" i="5"/>
  <c r="AG35" i="5"/>
  <c r="AH35" i="5"/>
  <c r="AI35" i="5"/>
  <c r="AG38" i="5"/>
  <c r="AH38" i="5"/>
  <c r="AI38" i="5"/>
  <c r="AG40" i="5"/>
  <c r="AH40" i="5"/>
  <c r="AI40" i="5"/>
  <c r="AG44" i="5"/>
  <c r="AH44" i="5"/>
  <c r="AI33" i="3" s="1"/>
  <c r="AI44" i="5"/>
  <c r="AJ33" i="3" s="1"/>
  <c r="AG45" i="5"/>
  <c r="AH34" i="3" s="1"/>
  <c r="AH45" i="5"/>
  <c r="AI34" i="3" s="1"/>
  <c r="AI45" i="5"/>
  <c r="AJ34" i="3" s="1"/>
  <c r="AG46" i="5"/>
  <c r="AH46" i="5"/>
  <c r="AI46" i="5"/>
  <c r="AE5" i="2"/>
  <c r="AF5" i="2"/>
  <c r="AG5" i="2"/>
  <c r="AH5" i="2"/>
  <c r="AI5" i="2"/>
  <c r="AJ5" i="2"/>
  <c r="AK5" i="2"/>
  <c r="AL5" i="2"/>
  <c r="AM5" i="2"/>
  <c r="AE8" i="2"/>
  <c r="AF8" i="2"/>
  <c r="AG8" i="2"/>
  <c r="AH8" i="2"/>
  <c r="AG39" i="5" s="1"/>
  <c r="AI8" i="2"/>
  <c r="AH39" i="5" s="1"/>
  <c r="AJ8" i="2"/>
  <c r="AK8" i="2"/>
  <c r="AJ39" i="5" s="1"/>
  <c r="AL8" i="2"/>
  <c r="AK39" i="5" s="1"/>
  <c r="AM8" i="2"/>
  <c r="AL39" i="5" s="1"/>
  <c r="AE13" i="2"/>
  <c r="AF13" i="2"/>
  <c r="AG13" i="2"/>
  <c r="AH13" i="2"/>
  <c r="AI13" i="2"/>
  <c r="AJ13" i="2"/>
  <c r="AK13" i="2"/>
  <c r="AL13" i="2"/>
  <c r="AM13" i="2"/>
  <c r="AE21" i="2"/>
  <c r="AF21" i="2"/>
  <c r="AG21" i="2"/>
  <c r="AH21" i="2"/>
  <c r="AI21" i="2"/>
  <c r="AJ21" i="2"/>
  <c r="AK21" i="2"/>
  <c r="AL21" i="2"/>
  <c r="AM21" i="2"/>
  <c r="AE24" i="2"/>
  <c r="AE40" i="2" s="1"/>
  <c r="AF24" i="2"/>
  <c r="AF40" i="2" s="1"/>
  <c r="AG32" i="3" s="1"/>
  <c r="AG24" i="2"/>
  <c r="AH24" i="2"/>
  <c r="AI24" i="2"/>
  <c r="AH47" i="5" s="1"/>
  <c r="AJ24" i="2"/>
  <c r="AI47" i="5" s="1"/>
  <c r="AK24" i="2"/>
  <c r="AL24" i="2"/>
  <c r="AM24" i="2"/>
  <c r="AE31" i="2"/>
  <c r="AF31" i="2"/>
  <c r="AG31" i="2"/>
  <c r="AH31" i="2"/>
  <c r="AI31" i="2"/>
  <c r="AJ31" i="2"/>
  <c r="AK31" i="2"/>
  <c r="AL31" i="2"/>
  <c r="AM31" i="2"/>
  <c r="AJ40" i="2"/>
  <c r="AE8" i="3"/>
  <c r="AD8" i="3"/>
  <c r="AA8" i="3"/>
  <c r="AM40" i="2" l="1"/>
  <c r="AL47" i="5"/>
  <c r="AL40" i="2"/>
  <c r="AK47" i="5"/>
  <c r="AK40" i="2"/>
  <c r="AJ47" i="5"/>
  <c r="AG47" i="5"/>
  <c r="AI40" i="2"/>
  <c r="AJ4" i="2"/>
  <c r="AJ20" i="2" s="1"/>
  <c r="AJ30" i="2" s="1"/>
  <c r="AJ34" i="2" s="1"/>
  <c r="AJ36" i="2" s="1"/>
  <c r="AJ38" i="2" s="1"/>
  <c r="AI39" i="5"/>
  <c r="AM4" i="2"/>
  <c r="AM20" i="2" s="1"/>
  <c r="AM30" i="2" s="1"/>
  <c r="AM34" i="2" s="1"/>
  <c r="AM36" i="2" s="1"/>
  <c r="AM38" i="2" s="1"/>
  <c r="AL4" i="2"/>
  <c r="AL20" i="2" s="1"/>
  <c r="AL30" i="2" s="1"/>
  <c r="AL34" i="2" s="1"/>
  <c r="AL36" i="2" s="1"/>
  <c r="AL38" i="2" s="1"/>
  <c r="AK4" i="2"/>
  <c r="AK20" i="2" s="1"/>
  <c r="AK30" i="2" s="1"/>
  <c r="AK34" i="2" s="1"/>
  <c r="AK36" i="2" s="1"/>
  <c r="AK38" i="2" s="1"/>
  <c r="AI4" i="2"/>
  <c r="AI20" i="2" s="1"/>
  <c r="AI30" i="2" s="1"/>
  <c r="AI34" i="2" s="1"/>
  <c r="AI36" i="2" s="1"/>
  <c r="AI38" i="2" s="1"/>
  <c r="AI43" i="5"/>
  <c r="AJ35" i="3"/>
  <c r="AH43" i="5"/>
  <c r="AI37" i="5"/>
  <c r="AJ38" i="3"/>
  <c r="AH37" i="5"/>
  <c r="AI35" i="3"/>
  <c r="AI25" i="5"/>
  <c r="AG25" i="5"/>
  <c r="AJ12" i="3"/>
  <c r="AJ13" i="3"/>
  <c r="AP34" i="5"/>
  <c r="AO28" i="1"/>
  <c r="AP4" i="5" s="1"/>
  <c r="AO34" i="5"/>
  <c r="AN28" i="1"/>
  <c r="AO4" i="5" s="1"/>
  <c r="AN34" i="5"/>
  <c r="AM28" i="1"/>
  <c r="AN4" i="5" s="1"/>
  <c r="AM34" i="5"/>
  <c r="AL28" i="1"/>
  <c r="AM4" i="5" s="1"/>
  <c r="AL34" i="5"/>
  <c r="AK28" i="1"/>
  <c r="AL4" i="5" s="1"/>
  <c r="AK34" i="5"/>
  <c r="AJ28" i="1"/>
  <c r="AK4" i="5" s="1"/>
  <c r="AJ34" i="5"/>
  <c r="AI28" i="1"/>
  <c r="AJ4" i="5" s="1"/>
  <c r="AI34" i="5"/>
  <c r="AM50" i="1"/>
  <c r="AN39" i="1"/>
  <c r="AO5" i="5"/>
  <c r="AJ39" i="1"/>
  <c r="AK5" i="5"/>
  <c r="AJ25" i="3"/>
  <c r="AH39" i="1"/>
  <c r="AJ5" i="3"/>
  <c r="AJ18" i="3"/>
  <c r="AG50" i="1"/>
  <c r="AQ43" i="5"/>
  <c r="AP43" i="5"/>
  <c r="AO43" i="5"/>
  <c r="AN43" i="5"/>
  <c r="AM43" i="5"/>
  <c r="AL43" i="5"/>
  <c r="AK43" i="5"/>
  <c r="AJ43" i="5"/>
  <c r="AQ37" i="5"/>
  <c r="AP37" i="5"/>
  <c r="AO37" i="5"/>
  <c r="AN37" i="5"/>
  <c r="AM37" i="5"/>
  <c r="AL37" i="5"/>
  <c r="AK37" i="5"/>
  <c r="AJ37" i="5"/>
  <c r="AJ30" i="3" s="1"/>
  <c r="AJ28" i="3"/>
  <c r="AQ25" i="5"/>
  <c r="AP25" i="5"/>
  <c r="AO25" i="5"/>
  <c r="AN25" i="5"/>
  <c r="AM25" i="5"/>
  <c r="AL25" i="5"/>
  <c r="AK25" i="5"/>
  <c r="AJ25" i="5"/>
  <c r="AJ27" i="3"/>
  <c r="AJ26" i="3"/>
  <c r="AO14" i="5"/>
  <c r="AO11" i="5" s="1"/>
  <c r="AO12" i="5" s="1"/>
  <c r="AN14" i="5"/>
  <c r="AN11" i="5" s="1"/>
  <c r="AN12" i="5" s="1"/>
  <c r="AQ14" i="5"/>
  <c r="AQ11" i="5" s="1"/>
  <c r="AQ12" i="5" s="1"/>
  <c r="AP14" i="5"/>
  <c r="AP11" i="5" s="1"/>
  <c r="AP12" i="5" s="1"/>
  <c r="AL14" i="5"/>
  <c r="AL11" i="5" s="1"/>
  <c r="AL12" i="5" s="1"/>
  <c r="AM14" i="5"/>
  <c r="AM11" i="5" s="1"/>
  <c r="AM12" i="5" s="1"/>
  <c r="AK14" i="5"/>
  <c r="AK11" i="5" s="1"/>
  <c r="AK12" i="5" s="1"/>
  <c r="AJ14" i="5"/>
  <c r="AJ11" i="5" s="1"/>
  <c r="AI14" i="5"/>
  <c r="AI11" i="5" s="1"/>
  <c r="AH14" i="5"/>
  <c r="AH11" i="5" s="1"/>
  <c r="AH12" i="5" s="1"/>
  <c r="AH50" i="1"/>
  <c r="AH26" i="3"/>
  <c r="AI18" i="3"/>
  <c r="AI5" i="3"/>
  <c r="AH5" i="5"/>
  <c r="AI25" i="3" s="1"/>
  <c r="AH28" i="1"/>
  <c r="AG28" i="1"/>
  <c r="AI21" i="3" s="1"/>
  <c r="AI19" i="3"/>
  <c r="AH25" i="5"/>
  <c r="AI4" i="3"/>
  <c r="AI20" i="3"/>
  <c r="AH4" i="5"/>
  <c r="AI14" i="3"/>
  <c r="AI17" i="3"/>
  <c r="AI6" i="3"/>
  <c r="AI15" i="3"/>
  <c r="AI22" i="3"/>
  <c r="AI16" i="3"/>
  <c r="AI23" i="3"/>
  <c r="AI13" i="3"/>
  <c r="AI12" i="3"/>
  <c r="AJ50" i="1"/>
  <c r="AN50" i="1"/>
  <c r="AH40" i="2"/>
  <c r="AG40" i="2"/>
  <c r="AG43" i="5"/>
  <c r="AI11" i="3"/>
  <c r="AH33" i="3"/>
  <c r="AG4" i="2"/>
  <c r="AG20" i="2" s="1"/>
  <c r="AG30" i="2" s="1"/>
  <c r="AG34" i="2" s="1"/>
  <c r="AG36" i="2" s="1"/>
  <c r="AG38" i="2" s="1"/>
  <c r="AG37" i="5"/>
  <c r="AH4" i="2"/>
  <c r="AH20" i="2" s="1"/>
  <c r="AH39" i="3"/>
  <c r="AI10" i="3"/>
  <c r="AH30" i="3"/>
  <c r="AH37" i="3"/>
  <c r="AH32" i="3"/>
  <c r="AE4" i="2"/>
  <c r="AE20" i="2" s="1"/>
  <c r="AE30" i="2" s="1"/>
  <c r="AE34" i="2" s="1"/>
  <c r="AE36" i="2" s="1"/>
  <c r="AE38" i="2" s="1"/>
  <c r="AF4" i="2"/>
  <c r="AF20" i="2" s="1"/>
  <c r="AG10" i="3"/>
  <c r="AG12" i="5"/>
  <c r="AH28" i="3"/>
  <c r="X8" i="3"/>
  <c r="U8" i="3"/>
  <c r="AC7" i="2"/>
  <c r="AC12" i="2" s="1"/>
  <c r="AC6" i="1"/>
  <c r="AH30" i="2" l="1"/>
  <c r="AH34" i="2" s="1"/>
  <c r="AJ10" i="3"/>
  <c r="AI4" i="5"/>
  <c r="AJ6" i="3"/>
  <c r="AJ14" i="3"/>
  <c r="AJ20" i="3"/>
  <c r="AJ22" i="3"/>
  <c r="AJ23" i="3"/>
  <c r="AJ11" i="3"/>
  <c r="AJ15" i="3"/>
  <c r="AJ16" i="3"/>
  <c r="AJ17" i="3"/>
  <c r="AJ21" i="3"/>
  <c r="AJ4" i="3"/>
  <c r="AJ12" i="5"/>
  <c r="AJ29" i="3"/>
  <c r="AI39" i="3"/>
  <c r="AI37" i="3"/>
  <c r="AJ39" i="3"/>
  <c r="AI30" i="3"/>
  <c r="AJ37" i="3"/>
  <c r="AJ32" i="3"/>
  <c r="AH29" i="3"/>
  <c r="AI12" i="5"/>
  <c r="AI29" i="3"/>
  <c r="AI32" i="3"/>
  <c r="AF30" i="2"/>
  <c r="AF34" i="2" s="1"/>
  <c r="AF36" i="2" s="1"/>
  <c r="AF38" i="2" s="1"/>
  <c r="AH10" i="3"/>
  <c r="G46" i="9"/>
  <c r="G43" i="9"/>
  <c r="G42" i="9"/>
  <c r="G37" i="9"/>
  <c r="G32" i="9"/>
  <c r="AC43" i="1"/>
  <c r="AC34" i="1"/>
  <c r="G41" i="9" s="1"/>
  <c r="AJ24" i="3" l="1"/>
  <c r="AJ36" i="3"/>
  <c r="AH36" i="2"/>
  <c r="AH38" i="2" s="1"/>
  <c r="AJ9" i="3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R44" i="5"/>
  <c r="S44" i="5"/>
  <c r="T44" i="5"/>
  <c r="U44" i="5"/>
  <c r="V44" i="5"/>
  <c r="W44" i="5"/>
  <c r="X44" i="5"/>
  <c r="Y44" i="5"/>
  <c r="Z44" i="5"/>
  <c r="AA44" i="5"/>
  <c r="AB44" i="5"/>
  <c r="AC44" i="5"/>
  <c r="R45" i="5"/>
  <c r="S34" i="3" s="1"/>
  <c r="S45" i="5"/>
  <c r="T45" i="5"/>
  <c r="U45" i="5"/>
  <c r="V45" i="5"/>
  <c r="W34" i="3" s="1"/>
  <c r="W45" i="5"/>
  <c r="X45" i="5"/>
  <c r="Y45" i="5"/>
  <c r="Z45" i="5"/>
  <c r="AA34" i="3" s="1"/>
  <c r="AA45" i="5"/>
  <c r="AB45" i="5"/>
  <c r="AC45" i="5"/>
  <c r="AD45" i="5"/>
  <c r="AE34" i="3" s="1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R26" i="5"/>
  <c r="S26" i="5"/>
  <c r="T26" i="5"/>
  <c r="U26" i="5"/>
  <c r="V26" i="5"/>
  <c r="W26" i="5"/>
  <c r="X26" i="5"/>
  <c r="Y26" i="5"/>
  <c r="Z26" i="5"/>
  <c r="AA26" i="5"/>
  <c r="AB26" i="5"/>
  <c r="AC26" i="5"/>
  <c r="AE26" i="5"/>
  <c r="AF26" i="5"/>
  <c r="S28" i="3"/>
  <c r="T28" i="3"/>
  <c r="S3" i="3"/>
  <c r="T3" i="3"/>
  <c r="T19" i="3" s="1"/>
  <c r="U3" i="3"/>
  <c r="V3" i="3"/>
  <c r="W3" i="3"/>
  <c r="W19" i="3" s="1"/>
  <c r="X3" i="3"/>
  <c r="X19" i="3" s="1"/>
  <c r="Y3" i="3"/>
  <c r="Z3" i="3"/>
  <c r="AA3" i="3"/>
  <c r="AB3" i="3"/>
  <c r="AB19" i="3" s="1"/>
  <c r="AC3" i="3"/>
  <c r="AD3" i="3"/>
  <c r="S33" i="3"/>
  <c r="U33" i="3"/>
  <c r="V33" i="3"/>
  <c r="W33" i="3"/>
  <c r="Y33" i="3"/>
  <c r="Z33" i="3"/>
  <c r="AA33" i="3"/>
  <c r="AC33" i="3"/>
  <c r="AD33" i="3"/>
  <c r="T34" i="3"/>
  <c r="U34" i="3"/>
  <c r="V34" i="3"/>
  <c r="X34" i="3"/>
  <c r="Y34" i="3"/>
  <c r="Z34" i="3"/>
  <c r="AB34" i="3"/>
  <c r="AC34" i="3"/>
  <c r="AD34" i="3"/>
  <c r="W35" i="3"/>
  <c r="X35" i="3"/>
  <c r="AB35" i="3"/>
  <c r="AD35" i="3"/>
  <c r="R6" i="5"/>
  <c r="R7" i="5"/>
  <c r="R8" i="5"/>
  <c r="R8" i="3"/>
  <c r="C95" i="10"/>
  <c r="B95" i="10"/>
  <c r="E94" i="10"/>
  <c r="E93" i="10"/>
  <c r="E92" i="10"/>
  <c r="E91" i="10"/>
  <c r="E90" i="10"/>
  <c r="F88" i="10"/>
  <c r="G35" i="9" s="1"/>
  <c r="G10" i="9" s="1"/>
  <c r="C88" i="10"/>
  <c r="C96" i="10" s="1"/>
  <c r="F89" i="10" s="1"/>
  <c r="B88" i="10"/>
  <c r="B96" i="10" s="1"/>
  <c r="E87" i="10"/>
  <c r="E86" i="10"/>
  <c r="E85" i="10"/>
  <c r="AG8" i="3" s="1"/>
  <c r="E84" i="10"/>
  <c r="E83" i="10"/>
  <c r="C76" i="10"/>
  <c r="F67" i="10" s="1"/>
  <c r="B76" i="10"/>
  <c r="E75" i="10"/>
  <c r="E74" i="10"/>
  <c r="E73" i="10"/>
  <c r="E72" i="10"/>
  <c r="E71" i="10"/>
  <c r="E76" i="10" s="1"/>
  <c r="C69" i="10"/>
  <c r="C77" i="10" s="1"/>
  <c r="F68" i="10" s="1"/>
  <c r="B69" i="10"/>
  <c r="B77" i="10" s="1"/>
  <c r="E68" i="10"/>
  <c r="E67" i="10"/>
  <c r="E66" i="10"/>
  <c r="E65" i="10"/>
  <c r="E64" i="10"/>
  <c r="C57" i="10"/>
  <c r="F53" i="10" s="1"/>
  <c r="B57" i="10"/>
  <c r="E56" i="10"/>
  <c r="E55" i="10"/>
  <c r="E54" i="10"/>
  <c r="E53" i="10"/>
  <c r="E52" i="10"/>
  <c r="C50" i="10"/>
  <c r="B50" i="10"/>
  <c r="E49" i="10"/>
  <c r="E48" i="10"/>
  <c r="E47" i="10"/>
  <c r="E46" i="10"/>
  <c r="E45" i="10"/>
  <c r="C38" i="10"/>
  <c r="F32" i="10" s="1"/>
  <c r="B38" i="10"/>
  <c r="E37" i="10"/>
  <c r="E36" i="10"/>
  <c r="E35" i="10"/>
  <c r="E34" i="10"/>
  <c r="E33" i="10"/>
  <c r="C31" i="10"/>
  <c r="C39" i="10" s="1"/>
  <c r="B31" i="10"/>
  <c r="E30" i="10"/>
  <c r="E29" i="10"/>
  <c r="E28" i="10"/>
  <c r="E27" i="10"/>
  <c r="E26" i="10"/>
  <c r="C20" i="10"/>
  <c r="B20" i="10"/>
  <c r="E19" i="10"/>
  <c r="E18" i="10"/>
  <c r="E17" i="10"/>
  <c r="E16" i="10"/>
  <c r="E15" i="10"/>
  <c r="C13" i="10"/>
  <c r="B13" i="10"/>
  <c r="E12" i="10"/>
  <c r="E11" i="10"/>
  <c r="E10" i="10"/>
  <c r="E9" i="10"/>
  <c r="E8" i="10"/>
  <c r="F16" i="10" l="1"/>
  <c r="E95" i="10"/>
  <c r="Z35" i="3"/>
  <c r="V35" i="3"/>
  <c r="T35" i="3"/>
  <c r="U28" i="3"/>
  <c r="V28" i="3"/>
  <c r="Z28" i="3"/>
  <c r="AA35" i="3"/>
  <c r="AA28" i="3"/>
  <c r="AA19" i="3"/>
  <c r="S19" i="3"/>
  <c r="AD28" i="3"/>
  <c r="AE35" i="3"/>
  <c r="AD19" i="3"/>
  <c r="Z19" i="3"/>
  <c r="V19" i="3"/>
  <c r="AC19" i="3"/>
  <c r="Y19" i="3"/>
  <c r="U19" i="3"/>
  <c r="W28" i="3"/>
  <c r="AB28" i="3"/>
  <c r="X28" i="3"/>
  <c r="AC35" i="3"/>
  <c r="Y35" i="3"/>
  <c r="U35" i="3"/>
  <c r="AB33" i="3"/>
  <c r="X33" i="3"/>
  <c r="T33" i="3"/>
  <c r="AC28" i="3"/>
  <c r="Y28" i="3"/>
  <c r="E57" i="10"/>
  <c r="C58" i="10"/>
  <c r="F54" i="10" s="1"/>
  <c r="B58" i="10"/>
  <c r="E38" i="10"/>
  <c r="B39" i="10"/>
  <c r="E20" i="10"/>
  <c r="C21" i="10"/>
  <c r="F17" i="10" s="1"/>
  <c r="B21" i="10"/>
  <c r="E88" i="10"/>
  <c r="E96" i="10" s="1"/>
  <c r="E69" i="10"/>
  <c r="E77" i="10" s="1"/>
  <c r="E50" i="10"/>
  <c r="E58" i="10" s="1"/>
  <c r="E31" i="10"/>
  <c r="E39" i="10" s="1"/>
  <c r="E13" i="10"/>
  <c r="F33" i="10"/>
  <c r="E21" i="10" l="1"/>
  <c r="AB6" i="5"/>
  <c r="AC6" i="5"/>
  <c r="AC26" i="3" s="1"/>
  <c r="AD6" i="5"/>
  <c r="AD26" i="3" s="1"/>
  <c r="AE6" i="5"/>
  <c r="AF6" i="5"/>
  <c r="AB7" i="5"/>
  <c r="AC7" i="5"/>
  <c r="AC27" i="3" s="1"/>
  <c r="AD7" i="5"/>
  <c r="AE7" i="5"/>
  <c r="AF7" i="5"/>
  <c r="AB8" i="5"/>
  <c r="AC8" i="5"/>
  <c r="AD8" i="5"/>
  <c r="AE8" i="5"/>
  <c r="AF8" i="5"/>
  <c r="AB15" i="5"/>
  <c r="AC15" i="5"/>
  <c r="AD15" i="5"/>
  <c r="AE15" i="5"/>
  <c r="AF15" i="5"/>
  <c r="AB17" i="5"/>
  <c r="AC17" i="5"/>
  <c r="AD17" i="5"/>
  <c r="AE17" i="5"/>
  <c r="AF17" i="5"/>
  <c r="AB18" i="5"/>
  <c r="AC18" i="5"/>
  <c r="AE18" i="5"/>
  <c r="AF18" i="5"/>
  <c r="AB19" i="5"/>
  <c r="AC19" i="5"/>
  <c r="AD19" i="5"/>
  <c r="AE19" i="5"/>
  <c r="AF19" i="5"/>
  <c r="AB20" i="5"/>
  <c r="AC20" i="5"/>
  <c r="AD20" i="5"/>
  <c r="AE20" i="5"/>
  <c r="AF20" i="5"/>
  <c r="AB22" i="5"/>
  <c r="AB21" i="5" s="1"/>
  <c r="AC22" i="5"/>
  <c r="AC21" i="5" s="1"/>
  <c r="AD22" i="5"/>
  <c r="AD21" i="5" s="1"/>
  <c r="AE22" i="5"/>
  <c r="AE21" i="5" s="1"/>
  <c r="AF22" i="5"/>
  <c r="AF21" i="5" s="1"/>
  <c r="AB27" i="5"/>
  <c r="AC27" i="5"/>
  <c r="AD27" i="5"/>
  <c r="AE27" i="5"/>
  <c r="AF27" i="5"/>
  <c r="AB28" i="5"/>
  <c r="AC28" i="5"/>
  <c r="AD28" i="5"/>
  <c r="AE28" i="5"/>
  <c r="AF28" i="5"/>
  <c r="AE31" i="5"/>
  <c r="AF31" i="5"/>
  <c r="AE32" i="5"/>
  <c r="AF32" i="5"/>
  <c r="AE35" i="5"/>
  <c r="AF35" i="5"/>
  <c r="AE38" i="5"/>
  <c r="AF38" i="5"/>
  <c r="AE39" i="5"/>
  <c r="AF39" i="5"/>
  <c r="AE40" i="5"/>
  <c r="AF40" i="5"/>
  <c r="AE44" i="5"/>
  <c r="AF33" i="3" s="1"/>
  <c r="AF44" i="5"/>
  <c r="AG33" i="3" s="1"/>
  <c r="AE45" i="5"/>
  <c r="AF34" i="3" s="1"/>
  <c r="AF45" i="5"/>
  <c r="AG34" i="3" s="1"/>
  <c r="AE46" i="5"/>
  <c r="AF46" i="5"/>
  <c r="AE47" i="5"/>
  <c r="AF47" i="5"/>
  <c r="W6" i="5"/>
  <c r="X6" i="5"/>
  <c r="X26" i="3" s="1"/>
  <c r="Y6" i="5"/>
  <c r="Z6" i="5"/>
  <c r="Z26" i="3" s="1"/>
  <c r="AA6" i="5"/>
  <c r="W7" i="5"/>
  <c r="X7" i="5"/>
  <c r="Y7" i="5"/>
  <c r="Y27" i="3" s="1"/>
  <c r="Z7" i="5"/>
  <c r="AA7" i="5"/>
  <c r="AA27" i="3" s="1"/>
  <c r="W8" i="5"/>
  <c r="X8" i="5"/>
  <c r="Y8" i="5"/>
  <c r="Z8" i="5"/>
  <c r="AA8" i="5"/>
  <c r="W15" i="5"/>
  <c r="X15" i="5"/>
  <c r="Y15" i="5"/>
  <c r="Z15" i="5"/>
  <c r="AA15" i="5"/>
  <c r="W17" i="5"/>
  <c r="X17" i="5"/>
  <c r="Y17" i="5"/>
  <c r="Z17" i="5"/>
  <c r="AA17" i="5"/>
  <c r="W18" i="5"/>
  <c r="X18" i="5"/>
  <c r="Y18" i="5"/>
  <c r="Z18" i="5"/>
  <c r="AA18" i="5"/>
  <c r="W19" i="5"/>
  <c r="X19" i="5"/>
  <c r="Y19" i="5"/>
  <c r="Z19" i="5"/>
  <c r="AA19" i="5"/>
  <c r="W20" i="5"/>
  <c r="X20" i="5"/>
  <c r="Y20" i="5"/>
  <c r="Z20" i="5"/>
  <c r="AA20" i="5"/>
  <c r="W22" i="5"/>
  <c r="W21" i="5" s="1"/>
  <c r="X22" i="5"/>
  <c r="X21" i="5" s="1"/>
  <c r="Y22" i="5"/>
  <c r="Y21" i="5" s="1"/>
  <c r="Z22" i="5"/>
  <c r="Z21" i="5" s="1"/>
  <c r="AA22" i="5"/>
  <c r="AA21" i="5" s="1"/>
  <c r="W27" i="5"/>
  <c r="X27" i="5"/>
  <c r="Y27" i="5"/>
  <c r="Z27" i="5"/>
  <c r="AA27" i="5"/>
  <c r="W28" i="5"/>
  <c r="X28" i="5"/>
  <c r="Y28" i="5"/>
  <c r="Z28" i="5"/>
  <c r="AA28" i="5"/>
  <c r="U6" i="5"/>
  <c r="V6" i="5"/>
  <c r="U7" i="5"/>
  <c r="V7" i="5"/>
  <c r="U8" i="5"/>
  <c r="V8" i="5"/>
  <c r="U15" i="5"/>
  <c r="V15" i="5"/>
  <c r="U17" i="5"/>
  <c r="V17" i="5"/>
  <c r="U18" i="5"/>
  <c r="V18" i="5"/>
  <c r="U19" i="5"/>
  <c r="V19" i="5"/>
  <c r="U20" i="5"/>
  <c r="V20" i="5"/>
  <c r="U22" i="5"/>
  <c r="U21" i="5" s="1"/>
  <c r="V22" i="5"/>
  <c r="V21" i="5" s="1"/>
  <c r="U27" i="5"/>
  <c r="V27" i="5"/>
  <c r="U28" i="5"/>
  <c r="V28" i="5"/>
  <c r="T28" i="5"/>
  <c r="T27" i="5"/>
  <c r="T25" i="5" s="1"/>
  <c r="T22" i="5"/>
  <c r="T21" i="5" s="1"/>
  <c r="T20" i="5"/>
  <c r="T19" i="5"/>
  <c r="T18" i="5"/>
  <c r="T17" i="5"/>
  <c r="T15" i="5"/>
  <c r="T8" i="5"/>
  <c r="T7" i="5"/>
  <c r="T6" i="5"/>
  <c r="AF27" i="3" l="1"/>
  <c r="AG27" i="3"/>
  <c r="AF26" i="3"/>
  <c r="AG26" i="3"/>
  <c r="AF35" i="3"/>
  <c r="AG35" i="3"/>
  <c r="AF28" i="3"/>
  <c r="AH35" i="3"/>
  <c r="AG28" i="3"/>
  <c r="AA25" i="5"/>
  <c r="W25" i="5"/>
  <c r="AE37" i="5"/>
  <c r="AE25" i="5"/>
  <c r="AC25" i="5"/>
  <c r="V25" i="5"/>
  <c r="U26" i="3"/>
  <c r="Y25" i="5"/>
  <c r="AE27" i="3"/>
  <c r="U25" i="5"/>
  <c r="V27" i="3"/>
  <c r="X25" i="5"/>
  <c r="X27" i="3"/>
  <c r="Y26" i="3"/>
  <c r="AE28" i="3"/>
  <c r="AF25" i="5"/>
  <c r="AB25" i="5"/>
  <c r="AB27" i="3"/>
  <c r="U27" i="3"/>
  <c r="W27" i="3"/>
  <c r="AB26" i="3"/>
  <c r="V26" i="3"/>
  <c r="Z25" i="5"/>
  <c r="Z27" i="3"/>
  <c r="AA26" i="3"/>
  <c r="W26" i="3"/>
  <c r="AD27" i="3"/>
  <c r="AE26" i="3"/>
  <c r="Z14" i="5"/>
  <c r="Z11" i="5" s="1"/>
  <c r="AE43" i="5"/>
  <c r="T14" i="5"/>
  <c r="T11" i="5" s="1"/>
  <c r="X14" i="5"/>
  <c r="X11" i="5" s="1"/>
  <c r="Y14" i="5"/>
  <c r="Y11" i="5" s="1"/>
  <c r="Y29" i="3" s="1"/>
  <c r="AF37" i="5"/>
  <c r="V14" i="5"/>
  <c r="V11" i="5" s="1"/>
  <c r="AF43" i="5"/>
  <c r="AE14" i="5"/>
  <c r="AE11" i="5" s="1"/>
  <c r="AC14" i="5"/>
  <c r="AC11" i="5" s="1"/>
  <c r="AF14" i="5"/>
  <c r="AF11" i="5" s="1"/>
  <c r="AB14" i="5"/>
  <c r="AB11" i="5" s="1"/>
  <c r="AA14" i="5"/>
  <c r="AA11" i="5" s="1"/>
  <c r="W14" i="5"/>
  <c r="W11" i="5" s="1"/>
  <c r="W29" i="3" s="1"/>
  <c r="U14" i="5"/>
  <c r="U11" i="5" s="1"/>
  <c r="U29" i="3" s="1"/>
  <c r="AG39" i="3" l="1"/>
  <c r="AG37" i="3"/>
  <c r="AG30" i="3"/>
  <c r="AF39" i="3"/>
  <c r="AF30" i="3"/>
  <c r="AF37" i="3"/>
  <c r="AF29" i="3"/>
  <c r="AG29" i="3"/>
  <c r="Z29" i="3"/>
  <c r="AB29" i="3"/>
  <c r="X29" i="3"/>
  <c r="AC29" i="3"/>
  <c r="AE12" i="5"/>
  <c r="AF12" i="5"/>
  <c r="V29" i="3"/>
  <c r="AA29" i="3"/>
  <c r="AC12" i="5"/>
  <c r="AB12" i="5"/>
  <c r="U12" i="5"/>
  <c r="V12" i="5"/>
  <c r="Y12" i="5"/>
  <c r="T12" i="5"/>
  <c r="W12" i="5"/>
  <c r="AA12" i="5"/>
  <c r="X12" i="5"/>
  <c r="Z12" i="5"/>
  <c r="AC28" i="2"/>
  <c r="AC24" i="2" s="1"/>
  <c r="G47" i="9" s="1"/>
  <c r="AC17" i="2"/>
  <c r="AD49" i="1"/>
  <c r="AC22" i="1"/>
  <c r="AC13" i="1"/>
  <c r="AC14" i="1"/>
  <c r="AC7" i="1"/>
  <c r="AC5" i="1" s="1"/>
  <c r="G40" i="9" s="1"/>
  <c r="AC15" i="1"/>
  <c r="AC18" i="1"/>
  <c r="G36" i="9" s="1"/>
  <c r="AC32" i="1"/>
  <c r="AD5" i="1"/>
  <c r="AE5" i="1"/>
  <c r="AF5" i="1"/>
  <c r="AD9" i="1"/>
  <c r="AE9" i="1"/>
  <c r="AF9" i="1"/>
  <c r="AD15" i="1"/>
  <c r="AF38" i="3" s="1"/>
  <c r="AE15" i="1"/>
  <c r="AF15" i="1"/>
  <c r="AD18" i="1"/>
  <c r="AE18" i="1"/>
  <c r="AF18" i="1"/>
  <c r="AD22" i="1"/>
  <c r="AE22" i="1"/>
  <c r="AF34" i="5" s="1"/>
  <c r="AF22" i="1"/>
  <c r="AG34" i="5" s="1"/>
  <c r="AD32" i="1"/>
  <c r="AE32" i="1"/>
  <c r="AF32" i="1"/>
  <c r="AE49" i="1"/>
  <c r="AF49" i="1"/>
  <c r="AC5" i="2"/>
  <c r="G48" i="9" s="1"/>
  <c r="G15" i="9" s="1"/>
  <c r="AC8" i="2"/>
  <c r="AD39" i="5" s="1"/>
  <c r="AD37" i="5" s="1"/>
  <c r="AC21" i="2"/>
  <c r="AC31" i="2"/>
  <c r="AD5" i="2"/>
  <c r="AD8" i="2"/>
  <c r="AD13" i="2"/>
  <c r="AD21" i="2"/>
  <c r="AD24" i="2"/>
  <c r="AD31" i="2"/>
  <c r="Q31" i="2"/>
  <c r="R31" i="2"/>
  <c r="S31" i="2"/>
  <c r="T31" i="2"/>
  <c r="U31" i="2"/>
  <c r="V31" i="2"/>
  <c r="W31" i="2"/>
  <c r="X31" i="2"/>
  <c r="Y31" i="2"/>
  <c r="Z31" i="2"/>
  <c r="AA31" i="2"/>
  <c r="AB31" i="2"/>
  <c r="Q24" i="2"/>
  <c r="R24" i="2"/>
  <c r="S24" i="2"/>
  <c r="T24" i="2"/>
  <c r="U24" i="2"/>
  <c r="V24" i="2"/>
  <c r="W24" i="2"/>
  <c r="X24" i="2"/>
  <c r="Y24" i="2"/>
  <c r="Z24" i="2"/>
  <c r="AA24" i="2"/>
  <c r="AB24" i="2"/>
  <c r="Q21" i="2"/>
  <c r="R21" i="2"/>
  <c r="S21" i="2"/>
  <c r="T21" i="2"/>
  <c r="U21" i="2"/>
  <c r="V21" i="2"/>
  <c r="W21" i="2"/>
  <c r="X21" i="2"/>
  <c r="Y21" i="2"/>
  <c r="Z21" i="2"/>
  <c r="AA21" i="2"/>
  <c r="AB21" i="2"/>
  <c r="Q13" i="2"/>
  <c r="R13" i="2"/>
  <c r="S13" i="2"/>
  <c r="T13" i="2"/>
  <c r="U13" i="2"/>
  <c r="U40" i="2" s="1"/>
  <c r="V13" i="2"/>
  <c r="V40" i="2" s="1"/>
  <c r="W13" i="2"/>
  <c r="W40" i="2" s="1"/>
  <c r="X13" i="2"/>
  <c r="X40" i="2" s="1"/>
  <c r="Y13" i="2"/>
  <c r="Y40" i="2" s="1"/>
  <c r="Z13" i="2"/>
  <c r="Z40" i="2" s="1"/>
  <c r="AA13" i="2"/>
  <c r="AA40" i="2" s="1"/>
  <c r="AB13" i="2"/>
  <c r="AB40" i="2" s="1"/>
  <c r="Q8" i="2"/>
  <c r="R39" i="5" s="1"/>
  <c r="R37" i="5" s="1"/>
  <c r="R8" i="2"/>
  <c r="S39" i="5" s="1"/>
  <c r="S37" i="5" s="1"/>
  <c r="S8" i="2"/>
  <c r="T39" i="5" s="1"/>
  <c r="T37" i="5" s="1"/>
  <c r="T8" i="2"/>
  <c r="U39" i="5" s="1"/>
  <c r="U37" i="5" s="1"/>
  <c r="U8" i="2"/>
  <c r="V39" i="5" s="1"/>
  <c r="V37" i="5" s="1"/>
  <c r="V8" i="2"/>
  <c r="W39" i="5" s="1"/>
  <c r="W37" i="5" s="1"/>
  <c r="W8" i="2"/>
  <c r="X39" i="5" s="1"/>
  <c r="X37" i="5" s="1"/>
  <c r="X8" i="2"/>
  <c r="Y39" i="5" s="1"/>
  <c r="Y37" i="5" s="1"/>
  <c r="Y8" i="2"/>
  <c r="Z39" i="5" s="1"/>
  <c r="Z37" i="5" s="1"/>
  <c r="Z8" i="2"/>
  <c r="AA39" i="5" s="1"/>
  <c r="AA37" i="5" s="1"/>
  <c r="AA8" i="2"/>
  <c r="AB39" i="5" s="1"/>
  <c r="AB37" i="5" s="1"/>
  <c r="AB8" i="2"/>
  <c r="AC39" i="5" s="1"/>
  <c r="AC37" i="5" s="1"/>
  <c r="Q5" i="2"/>
  <c r="R5" i="2"/>
  <c r="R4" i="2" s="1"/>
  <c r="R20" i="2" s="1"/>
  <c r="S5" i="2"/>
  <c r="T5" i="2"/>
  <c r="U5" i="2"/>
  <c r="V5" i="2"/>
  <c r="W5" i="2"/>
  <c r="X5" i="2"/>
  <c r="Y5" i="2"/>
  <c r="Z5" i="2"/>
  <c r="AA5" i="2"/>
  <c r="AB5" i="2"/>
  <c r="Q4" i="2"/>
  <c r="Q20" i="2" s="1"/>
  <c r="Q49" i="1"/>
  <c r="R49" i="1"/>
  <c r="S49" i="1"/>
  <c r="T49" i="1"/>
  <c r="U49" i="1"/>
  <c r="V49" i="1"/>
  <c r="W49" i="1"/>
  <c r="X49" i="1"/>
  <c r="Y49" i="1"/>
  <c r="Z49" i="1"/>
  <c r="AA49" i="1"/>
  <c r="AB49" i="1"/>
  <c r="Q32" i="1"/>
  <c r="R32" i="1"/>
  <c r="S32" i="1"/>
  <c r="T32" i="1"/>
  <c r="U32" i="1"/>
  <c r="V32" i="1"/>
  <c r="W32" i="1"/>
  <c r="X32" i="1"/>
  <c r="Y32" i="1"/>
  <c r="Z32" i="1"/>
  <c r="AA32" i="1"/>
  <c r="AB32" i="1"/>
  <c r="Q22" i="1"/>
  <c r="R22" i="1"/>
  <c r="S22" i="1"/>
  <c r="T22" i="1"/>
  <c r="U22" i="1"/>
  <c r="V22" i="1"/>
  <c r="W22" i="1"/>
  <c r="X22" i="1"/>
  <c r="Y22" i="1"/>
  <c r="Z22" i="1"/>
  <c r="AA22" i="1"/>
  <c r="AB22" i="1"/>
  <c r="Q18" i="1"/>
  <c r="R18" i="1"/>
  <c r="S18" i="1"/>
  <c r="T18" i="1"/>
  <c r="U18" i="1"/>
  <c r="V18" i="1"/>
  <c r="W18" i="1"/>
  <c r="X18" i="1"/>
  <c r="Y18" i="1"/>
  <c r="Z18" i="1"/>
  <c r="AA18" i="1"/>
  <c r="AB18" i="1"/>
  <c r="Q15" i="1"/>
  <c r="R15" i="1"/>
  <c r="S15" i="1"/>
  <c r="T15" i="1"/>
  <c r="U15" i="1"/>
  <c r="V15" i="1"/>
  <c r="W15" i="1"/>
  <c r="X15" i="1"/>
  <c r="Y15" i="1"/>
  <c r="Z15" i="1"/>
  <c r="AA15" i="1"/>
  <c r="AB15" i="1"/>
  <c r="Q9" i="1"/>
  <c r="R9" i="1"/>
  <c r="S9" i="1"/>
  <c r="T9" i="1"/>
  <c r="U9" i="1"/>
  <c r="V9" i="1"/>
  <c r="W9" i="1"/>
  <c r="X9" i="1"/>
  <c r="Y9" i="1"/>
  <c r="Z9" i="1"/>
  <c r="AA9" i="1"/>
  <c r="AB9" i="1"/>
  <c r="Q5" i="1"/>
  <c r="R5" i="1"/>
  <c r="S5" i="1"/>
  <c r="T5" i="1"/>
  <c r="U5" i="1"/>
  <c r="V5" i="1"/>
  <c r="W5" i="1"/>
  <c r="X5" i="1"/>
  <c r="Y5" i="1"/>
  <c r="Z5" i="1"/>
  <c r="AA5" i="1"/>
  <c r="AB5" i="1"/>
  <c r="F46" i="9"/>
  <c r="F43" i="9"/>
  <c r="F42" i="9"/>
  <c r="F38" i="9"/>
  <c r="F37" i="9"/>
  <c r="F35" i="9"/>
  <c r="D45" i="4"/>
  <c r="F32" i="9"/>
  <c r="P5" i="2"/>
  <c r="P8" i="2"/>
  <c r="P17" i="2"/>
  <c r="P13" i="2" s="1"/>
  <c r="P28" i="2"/>
  <c r="P24" i="2" s="1"/>
  <c r="P43" i="1"/>
  <c r="P42" i="1"/>
  <c r="P37" i="1"/>
  <c r="P9" i="1"/>
  <c r="P8" i="1"/>
  <c r="P6" i="1"/>
  <c r="H27" i="9"/>
  <c r="E27" i="9"/>
  <c r="D27" i="9"/>
  <c r="C27" i="9"/>
  <c r="H26" i="9"/>
  <c r="E26" i="9"/>
  <c r="D26" i="9"/>
  <c r="C26" i="9"/>
  <c r="H25" i="9"/>
  <c r="E25" i="9"/>
  <c r="D25" i="9"/>
  <c r="C25" i="9"/>
  <c r="H24" i="9"/>
  <c r="E24" i="9"/>
  <c r="D24" i="9"/>
  <c r="C24" i="9"/>
  <c r="H22" i="9"/>
  <c r="E22" i="9"/>
  <c r="D22" i="9"/>
  <c r="C22" i="9"/>
  <c r="H21" i="9"/>
  <c r="E21" i="9"/>
  <c r="D21" i="9"/>
  <c r="C21" i="9"/>
  <c r="H20" i="9"/>
  <c r="E20" i="9"/>
  <c r="D20" i="9"/>
  <c r="C20" i="9"/>
  <c r="H18" i="9"/>
  <c r="E18" i="9"/>
  <c r="D18" i="9"/>
  <c r="C18" i="9"/>
  <c r="H17" i="9"/>
  <c r="E17" i="9"/>
  <c r="D17" i="9"/>
  <c r="C17" i="9"/>
  <c r="H16" i="9"/>
  <c r="E16" i="9"/>
  <c r="D16" i="9"/>
  <c r="C16" i="9"/>
  <c r="H15" i="9"/>
  <c r="E15" i="9"/>
  <c r="D15" i="9"/>
  <c r="C15" i="9"/>
  <c r="H13" i="9"/>
  <c r="E13" i="9"/>
  <c r="D13" i="9"/>
  <c r="C13" i="9"/>
  <c r="H12" i="9"/>
  <c r="E12" i="9"/>
  <c r="D12" i="9"/>
  <c r="C12" i="9"/>
  <c r="H11" i="9"/>
  <c r="E11" i="9"/>
  <c r="D11" i="9"/>
  <c r="C11" i="9"/>
  <c r="H10" i="9"/>
  <c r="E10" i="9"/>
  <c r="D10" i="9"/>
  <c r="C10" i="9"/>
  <c r="H8" i="9"/>
  <c r="E8" i="9"/>
  <c r="D8" i="9"/>
  <c r="C8" i="9"/>
  <c r="H7" i="9"/>
  <c r="E7" i="9"/>
  <c r="D7" i="9"/>
  <c r="C7" i="9"/>
  <c r="H6" i="9"/>
  <c r="E6" i="9"/>
  <c r="D6" i="9"/>
  <c r="C6" i="9"/>
  <c r="AF18" i="3" l="1"/>
  <c r="AF5" i="3"/>
  <c r="AF39" i="1"/>
  <c r="AG5" i="5"/>
  <c r="AH18" i="3"/>
  <c r="AH5" i="3"/>
  <c r="AG5" i="3"/>
  <c r="AG18" i="3"/>
  <c r="AH38" i="3"/>
  <c r="AG30" i="5"/>
  <c r="AI38" i="3"/>
  <c r="AF30" i="5"/>
  <c r="AG38" i="3"/>
  <c r="AH12" i="3"/>
  <c r="AH13" i="3"/>
  <c r="AF13" i="3"/>
  <c r="AF12" i="3"/>
  <c r="AG12" i="3"/>
  <c r="AG13" i="3"/>
  <c r="F47" i="9"/>
  <c r="AC30" i="3"/>
  <c r="AD39" i="3"/>
  <c r="AC39" i="3"/>
  <c r="AB30" i="3"/>
  <c r="AB39" i="3"/>
  <c r="AA30" i="3"/>
  <c r="Z30" i="3"/>
  <c r="AA39" i="3"/>
  <c r="Y30" i="3"/>
  <c r="Z39" i="3"/>
  <c r="X30" i="3"/>
  <c r="Y39" i="3"/>
  <c r="W30" i="3"/>
  <c r="X39" i="3"/>
  <c r="V30" i="3"/>
  <c r="W39" i="3"/>
  <c r="U30" i="3"/>
  <c r="V39" i="3"/>
  <c r="U39" i="3"/>
  <c r="T30" i="3"/>
  <c r="T39" i="3"/>
  <c r="S30" i="3"/>
  <c r="S39" i="3"/>
  <c r="AB42" i="2"/>
  <c r="AC32" i="3"/>
  <c r="AA42" i="2"/>
  <c r="AB32" i="3"/>
  <c r="AA32" i="3"/>
  <c r="Z42" i="2"/>
  <c r="Z32" i="3"/>
  <c r="Y42" i="2"/>
  <c r="Y32" i="3"/>
  <c r="X42" i="2"/>
  <c r="W42" i="2"/>
  <c r="X32" i="3"/>
  <c r="W32" i="3"/>
  <c r="V42" i="2"/>
  <c r="AC47" i="5"/>
  <c r="AB47" i="5"/>
  <c r="AA47" i="5"/>
  <c r="Z47" i="5"/>
  <c r="Y47" i="5"/>
  <c r="X47" i="5"/>
  <c r="W47" i="5"/>
  <c r="V47" i="5"/>
  <c r="U47" i="5"/>
  <c r="T47" i="5"/>
  <c r="S47" i="5"/>
  <c r="T10" i="3"/>
  <c r="R47" i="5"/>
  <c r="S10" i="3"/>
  <c r="G31" i="9"/>
  <c r="G25" i="9" s="1"/>
  <c r="AC39" i="1"/>
  <c r="G38" i="9"/>
  <c r="G34" i="9"/>
  <c r="G33" i="9"/>
  <c r="G6" i="9" s="1"/>
  <c r="AC13" i="2"/>
  <c r="AD44" i="5"/>
  <c r="AE33" i="3" s="1"/>
  <c r="AE39" i="3"/>
  <c r="AD30" i="3"/>
  <c r="AE30" i="3"/>
  <c r="G20" i="9"/>
  <c r="AD40" i="2"/>
  <c r="AF32" i="3" s="1"/>
  <c r="AE12" i="3"/>
  <c r="AE13" i="3"/>
  <c r="W13" i="3"/>
  <c r="W12" i="3"/>
  <c r="R30" i="5"/>
  <c r="Z34" i="5"/>
  <c r="Y39" i="1"/>
  <c r="Y50" i="1" s="1"/>
  <c r="AA18" i="3"/>
  <c r="AA5" i="3"/>
  <c r="Z5" i="5"/>
  <c r="Z13" i="3"/>
  <c r="Z12" i="3"/>
  <c r="AC30" i="5"/>
  <c r="AD38" i="3"/>
  <c r="U30" i="5"/>
  <c r="V38" i="3"/>
  <c r="AC34" i="5"/>
  <c r="U34" i="5"/>
  <c r="X39" i="1"/>
  <c r="Z18" i="3"/>
  <c r="Z5" i="3"/>
  <c r="Y5" i="5"/>
  <c r="AC12" i="3"/>
  <c r="AC13" i="3"/>
  <c r="W28" i="1"/>
  <c r="Y12" i="3"/>
  <c r="Y13" i="3"/>
  <c r="U12" i="3"/>
  <c r="U13" i="3"/>
  <c r="T20" i="7" s="1"/>
  <c r="AB30" i="5"/>
  <c r="AC38" i="3"/>
  <c r="X30" i="5"/>
  <c r="Y38" i="3"/>
  <c r="T30" i="5"/>
  <c r="U38" i="3"/>
  <c r="AB34" i="5"/>
  <c r="Y16" i="3"/>
  <c r="Y17" i="3"/>
  <c r="X34" i="5"/>
  <c r="T34" i="5"/>
  <c r="AC18" i="3"/>
  <c r="AC5" i="3"/>
  <c r="W39" i="1"/>
  <c r="W50" i="1" s="1"/>
  <c r="Y18" i="3"/>
  <c r="Y21" i="3"/>
  <c r="Y5" i="3"/>
  <c r="X5" i="5"/>
  <c r="S39" i="1"/>
  <c r="S50" i="1" s="1"/>
  <c r="U18" i="3"/>
  <c r="S11" i="8" s="1"/>
  <c r="U5" i="3"/>
  <c r="T5" i="5"/>
  <c r="AD30" i="5"/>
  <c r="AE38" i="3"/>
  <c r="AC49" i="1"/>
  <c r="AE3" i="3"/>
  <c r="AD18" i="5"/>
  <c r="AD14" i="5" s="1"/>
  <c r="AD11" i="5" s="1"/>
  <c r="AA12" i="3"/>
  <c r="AA13" i="3"/>
  <c r="S12" i="3"/>
  <c r="S13" i="3"/>
  <c r="Z30" i="5"/>
  <c r="AA38" i="3"/>
  <c r="V30" i="5"/>
  <c r="W38" i="3"/>
  <c r="V34" i="5"/>
  <c r="R34" i="5"/>
  <c r="U39" i="1"/>
  <c r="U50" i="1" s="1"/>
  <c r="W18" i="3"/>
  <c r="W5" i="3"/>
  <c r="V5" i="5"/>
  <c r="Q39" i="1"/>
  <c r="Q50" i="1" s="1"/>
  <c r="R5" i="5"/>
  <c r="S18" i="3"/>
  <c r="S5" i="3"/>
  <c r="AD39" i="1"/>
  <c r="AD50" i="1" s="1"/>
  <c r="AE5" i="5"/>
  <c r="AD5" i="5"/>
  <c r="AD12" i="3"/>
  <c r="AD13" i="3"/>
  <c r="T28" i="1"/>
  <c r="V16" i="3" s="1"/>
  <c r="V12" i="3"/>
  <c r="T8" i="8" s="1"/>
  <c r="V13" i="3"/>
  <c r="Y30" i="5"/>
  <c r="Z38" i="3"/>
  <c r="Y34" i="5"/>
  <c r="AD18" i="3"/>
  <c r="AD5" i="3"/>
  <c r="T39" i="1"/>
  <c r="T50" i="1" s="1"/>
  <c r="V18" i="3"/>
  <c r="T11" i="8" s="1"/>
  <c r="V5" i="3"/>
  <c r="U5" i="5"/>
  <c r="AE30" i="5"/>
  <c r="AE18" i="3"/>
  <c r="AD26" i="5"/>
  <c r="AD25" i="5" s="1"/>
  <c r="AB12" i="3"/>
  <c r="AB13" i="3"/>
  <c r="X12" i="3"/>
  <c r="X13" i="3"/>
  <c r="T12" i="3"/>
  <c r="T13" i="3"/>
  <c r="AA30" i="5"/>
  <c r="AB38" i="3"/>
  <c r="W30" i="5"/>
  <c r="X38" i="3"/>
  <c r="S30" i="5"/>
  <c r="T38" i="3"/>
  <c r="AA34" i="5"/>
  <c r="W34" i="5"/>
  <c r="S34" i="5"/>
  <c r="AB18" i="3"/>
  <c r="AB5" i="3"/>
  <c r="V39" i="1"/>
  <c r="X18" i="3"/>
  <c r="X5" i="3"/>
  <c r="W5" i="5"/>
  <c r="R39" i="1"/>
  <c r="T18" i="3"/>
  <c r="T5" i="3"/>
  <c r="AE39" i="1"/>
  <c r="AF5" i="5"/>
  <c r="AE34" i="5"/>
  <c r="AD34" i="5"/>
  <c r="AD47" i="5"/>
  <c r="AC40" i="2"/>
  <c r="G49" i="9" s="1"/>
  <c r="AB39" i="1"/>
  <c r="AB50" i="1" s="1"/>
  <c r="AC5" i="5"/>
  <c r="AB28" i="1"/>
  <c r="AD16" i="3" s="1"/>
  <c r="AA39" i="1"/>
  <c r="AA50" i="1" s="1"/>
  <c r="AB5" i="5"/>
  <c r="AA28" i="1"/>
  <c r="Z39" i="1"/>
  <c r="Z50" i="1" s="1"/>
  <c r="AA5" i="5"/>
  <c r="AA25" i="3" s="1"/>
  <c r="Z28" i="1"/>
  <c r="AC4" i="2"/>
  <c r="AD4" i="2"/>
  <c r="AD20" i="2" s="1"/>
  <c r="AF10" i="3" s="1"/>
  <c r="AC9" i="1"/>
  <c r="F10" i="9"/>
  <c r="AF28" i="1"/>
  <c r="AH15" i="3" s="1"/>
  <c r="AE28" i="1"/>
  <c r="AE50" i="1"/>
  <c r="AD28" i="1"/>
  <c r="AF15" i="3" s="1"/>
  <c r="AF50" i="1"/>
  <c r="AD30" i="2"/>
  <c r="AD34" i="2" s="1"/>
  <c r="AD36" i="2" s="1"/>
  <c r="AD38" i="2" s="1"/>
  <c r="AB4" i="2"/>
  <c r="AB20" i="2" s="1"/>
  <c r="AA4" i="2"/>
  <c r="AA20" i="2" s="1"/>
  <c r="V4" i="2"/>
  <c r="V20" i="2" s="1"/>
  <c r="U4" i="2"/>
  <c r="U20" i="2" s="1"/>
  <c r="Y4" i="2"/>
  <c r="Y20" i="2" s="1"/>
  <c r="Y28" i="1"/>
  <c r="Q30" i="2"/>
  <c r="Q34" i="2" s="1"/>
  <c r="Q36" i="2" s="1"/>
  <c r="Q38" i="2" s="1"/>
  <c r="R30" i="2"/>
  <c r="R34" i="2" s="1"/>
  <c r="R36" i="2" s="1"/>
  <c r="R38" i="2" s="1"/>
  <c r="T4" i="2"/>
  <c r="T20" i="2" s="1"/>
  <c r="X4" i="2"/>
  <c r="X20" i="2" s="1"/>
  <c r="S4" i="2"/>
  <c r="S20" i="2" s="1"/>
  <c r="X50" i="1"/>
  <c r="V50" i="1"/>
  <c r="R50" i="1"/>
  <c r="V28" i="1"/>
  <c r="X16" i="3" s="1"/>
  <c r="Q28" i="1"/>
  <c r="S15" i="3" s="1"/>
  <c r="S28" i="1"/>
  <c r="U15" i="3" s="1"/>
  <c r="R28" i="1"/>
  <c r="T17" i="3" s="1"/>
  <c r="X28" i="1"/>
  <c r="Z15" i="3" s="1"/>
  <c r="U28" i="1"/>
  <c r="W16" i="3" s="1"/>
  <c r="W4" i="2"/>
  <c r="W20" i="2" s="1"/>
  <c r="Z4" i="2"/>
  <c r="Z20" i="2" s="1"/>
  <c r="P7" i="1"/>
  <c r="P5" i="1" s="1"/>
  <c r="F39" i="9"/>
  <c r="F41" i="9"/>
  <c r="F34" i="9"/>
  <c r="F33" i="9"/>
  <c r="F6" i="9" s="1"/>
  <c r="P40" i="2"/>
  <c r="F49" i="9" s="1"/>
  <c r="F48" i="9"/>
  <c r="F15" i="9" s="1"/>
  <c r="P4" i="2"/>
  <c r="F44" i="9" s="1"/>
  <c r="F18" i="9" s="1"/>
  <c r="I31" i="4"/>
  <c r="I22" i="4"/>
  <c r="L32" i="1"/>
  <c r="M32" i="1"/>
  <c r="N5" i="5" s="1"/>
  <c r="N32" i="1"/>
  <c r="O32" i="1"/>
  <c r="P32" i="1"/>
  <c r="L22" i="1"/>
  <c r="M22" i="1"/>
  <c r="N34" i="5" s="1"/>
  <c r="N22" i="1"/>
  <c r="O22" i="1"/>
  <c r="P22" i="1"/>
  <c r="L18" i="1"/>
  <c r="M18" i="1"/>
  <c r="N18" i="1"/>
  <c r="O18" i="1"/>
  <c r="P18" i="1"/>
  <c r="L15" i="1"/>
  <c r="M30" i="5" s="1"/>
  <c r="M15" i="1"/>
  <c r="N30" i="5" s="1"/>
  <c r="N15" i="1"/>
  <c r="O30" i="5" s="1"/>
  <c r="O15" i="1"/>
  <c r="P15" i="1"/>
  <c r="Q30" i="5" s="1"/>
  <c r="L9" i="1"/>
  <c r="M9" i="1"/>
  <c r="N9" i="1"/>
  <c r="O9" i="1"/>
  <c r="L31" i="2"/>
  <c r="M31" i="2"/>
  <c r="N31" i="2"/>
  <c r="O31" i="2"/>
  <c r="L24" i="2"/>
  <c r="M24" i="2"/>
  <c r="N24" i="2"/>
  <c r="O24" i="2"/>
  <c r="L21" i="2"/>
  <c r="M21" i="2"/>
  <c r="N21" i="2"/>
  <c r="O21" i="2"/>
  <c r="L13" i="2"/>
  <c r="L40" i="2" s="1"/>
  <c r="M13" i="2"/>
  <c r="N13" i="2"/>
  <c r="N40" i="2" s="1"/>
  <c r="O13" i="2"/>
  <c r="O40" i="2" s="1"/>
  <c r="L8" i="2"/>
  <c r="M39" i="5" s="1"/>
  <c r="M8" i="2"/>
  <c r="N39" i="5" s="1"/>
  <c r="N8" i="2"/>
  <c r="O39" i="5" s="1"/>
  <c r="O8" i="2"/>
  <c r="P39" i="5" s="1"/>
  <c r="K31" i="2"/>
  <c r="K24" i="2"/>
  <c r="K21" i="2"/>
  <c r="K13" i="2"/>
  <c r="K8" i="2"/>
  <c r="L39" i="5" s="1"/>
  <c r="K32" i="1"/>
  <c r="L5" i="5" s="1"/>
  <c r="K22" i="1"/>
  <c r="K18" i="1"/>
  <c r="J18" i="1"/>
  <c r="K15" i="1"/>
  <c r="L30" i="5" s="1"/>
  <c r="J15" i="1"/>
  <c r="K30" i="5" s="1"/>
  <c r="K9" i="1"/>
  <c r="J31" i="2"/>
  <c r="H21" i="2"/>
  <c r="I21" i="2"/>
  <c r="J21" i="2"/>
  <c r="J24" i="2"/>
  <c r="J13" i="2"/>
  <c r="J8" i="2"/>
  <c r="K39" i="5" s="1"/>
  <c r="J49" i="1"/>
  <c r="I49" i="1"/>
  <c r="J32" i="1"/>
  <c r="J22" i="1"/>
  <c r="J9" i="1"/>
  <c r="I4" i="4"/>
  <c r="I14" i="4"/>
  <c r="H31" i="2"/>
  <c r="I31" i="2"/>
  <c r="H24" i="2"/>
  <c r="I24" i="2"/>
  <c r="H13" i="2"/>
  <c r="I13" i="2"/>
  <c r="H8" i="2"/>
  <c r="I39" i="5" s="1"/>
  <c r="I8" i="2"/>
  <c r="J39" i="5" s="1"/>
  <c r="H32" i="1"/>
  <c r="I32" i="1"/>
  <c r="H22" i="1"/>
  <c r="I22" i="1"/>
  <c r="J34" i="5" s="1"/>
  <c r="H18" i="1"/>
  <c r="I18" i="1"/>
  <c r="H15" i="1"/>
  <c r="I30" i="5" s="1"/>
  <c r="I15" i="1"/>
  <c r="J30" i="5" s="1"/>
  <c r="H9" i="1"/>
  <c r="I9" i="1"/>
  <c r="C24" i="2"/>
  <c r="D47" i="5" s="1"/>
  <c r="C13" i="2"/>
  <c r="B13" i="2"/>
  <c r="C8" i="2"/>
  <c r="D39" i="5" s="1"/>
  <c r="C32" i="1"/>
  <c r="C39" i="1" s="1"/>
  <c r="C22" i="1"/>
  <c r="C18" i="1"/>
  <c r="D31" i="2"/>
  <c r="E31" i="2"/>
  <c r="F31" i="2"/>
  <c r="G31" i="2"/>
  <c r="D24" i="2"/>
  <c r="E24" i="2"/>
  <c r="F24" i="2"/>
  <c r="G24" i="2"/>
  <c r="D21" i="2"/>
  <c r="E21" i="2"/>
  <c r="F21" i="2"/>
  <c r="G21" i="2"/>
  <c r="D13" i="2"/>
  <c r="D40" i="2" s="1"/>
  <c r="E13" i="2"/>
  <c r="E40" i="2" s="1"/>
  <c r="F13" i="2"/>
  <c r="F40" i="2" s="1"/>
  <c r="G13" i="2"/>
  <c r="G40" i="2" s="1"/>
  <c r="D8" i="2"/>
  <c r="E39" i="5" s="1"/>
  <c r="E8" i="2"/>
  <c r="F39" i="5" s="1"/>
  <c r="F8" i="2"/>
  <c r="G39" i="5" s="1"/>
  <c r="G8" i="2"/>
  <c r="C5" i="2"/>
  <c r="C4" i="2" s="1"/>
  <c r="D5" i="2"/>
  <c r="E5" i="2"/>
  <c r="F5" i="2"/>
  <c r="G5" i="2"/>
  <c r="C49" i="1"/>
  <c r="D49" i="1"/>
  <c r="E49" i="1"/>
  <c r="F49" i="1"/>
  <c r="G49" i="1"/>
  <c r="D32" i="1"/>
  <c r="E32" i="1"/>
  <c r="F32" i="1"/>
  <c r="G32" i="1"/>
  <c r="D22" i="1"/>
  <c r="E22" i="1"/>
  <c r="F22" i="1"/>
  <c r="G22" i="1"/>
  <c r="D18" i="1"/>
  <c r="E18" i="1"/>
  <c r="F18" i="1"/>
  <c r="G18" i="1"/>
  <c r="C15" i="1"/>
  <c r="D30" i="5" s="1"/>
  <c r="D15" i="1"/>
  <c r="E30" i="5" s="1"/>
  <c r="E15" i="1"/>
  <c r="F30" i="5" s="1"/>
  <c r="F15" i="1"/>
  <c r="G30" i="5" s="1"/>
  <c r="G15" i="1"/>
  <c r="H30" i="5" s="1"/>
  <c r="C9" i="1"/>
  <c r="D9" i="1"/>
  <c r="E9" i="1"/>
  <c r="F9" i="1"/>
  <c r="G9" i="1"/>
  <c r="C5" i="1"/>
  <c r="D5" i="1"/>
  <c r="E5" i="1"/>
  <c r="F5" i="1"/>
  <c r="G5" i="1"/>
  <c r="H5" i="2"/>
  <c r="H4" i="2" s="1"/>
  <c r="I5" i="2"/>
  <c r="J5" i="2"/>
  <c r="K5" i="2"/>
  <c r="L5" i="2"/>
  <c r="M5" i="2"/>
  <c r="N5" i="2"/>
  <c r="O5" i="2"/>
  <c r="O4" i="2" s="1"/>
  <c r="H49" i="1"/>
  <c r="K49" i="1"/>
  <c r="L49" i="1"/>
  <c r="M49" i="1"/>
  <c r="N49" i="1"/>
  <c r="O49" i="1"/>
  <c r="H5" i="1"/>
  <c r="I5" i="1"/>
  <c r="J5" i="1"/>
  <c r="K5" i="1"/>
  <c r="L5" i="1"/>
  <c r="M5" i="1"/>
  <c r="N5" i="1"/>
  <c r="O5" i="1"/>
  <c r="P49" i="1"/>
  <c r="H7" i="3"/>
  <c r="N7" i="3"/>
  <c r="Q8" i="3"/>
  <c r="N8" i="3"/>
  <c r="K8" i="3"/>
  <c r="H8" i="3"/>
  <c r="P7" i="3"/>
  <c r="P8" i="3"/>
  <c r="O11" i="7" s="1"/>
  <c r="O12" i="7" s="1"/>
  <c r="C45" i="4"/>
  <c r="P31" i="2"/>
  <c r="P21" i="2"/>
  <c r="R3" i="3"/>
  <c r="M40" i="2"/>
  <c r="B5" i="2"/>
  <c r="B8" i="2"/>
  <c r="C39" i="5" s="1"/>
  <c r="G12" i="7"/>
  <c r="J12" i="7"/>
  <c r="K12" i="7"/>
  <c r="Q12" i="7"/>
  <c r="S12" i="7"/>
  <c r="C12" i="7"/>
  <c r="T12" i="7"/>
  <c r="M12" i="7"/>
  <c r="N12" i="7"/>
  <c r="P12" i="7"/>
  <c r="I12" i="7"/>
  <c r="H12" i="7"/>
  <c r="F12" i="7"/>
  <c r="E12" i="7"/>
  <c r="D12" i="7"/>
  <c r="B49" i="1"/>
  <c r="T19" i="7"/>
  <c r="R15" i="7"/>
  <c r="S15" i="7"/>
  <c r="D3" i="3"/>
  <c r="B3" i="8" s="1"/>
  <c r="E3" i="3"/>
  <c r="F3" i="3"/>
  <c r="F19" i="3" s="1"/>
  <c r="G3" i="3"/>
  <c r="H3" i="3"/>
  <c r="I3" i="3"/>
  <c r="I19" i="3" s="1"/>
  <c r="J3" i="3"/>
  <c r="K3" i="3"/>
  <c r="K19" i="3" s="1"/>
  <c r="L3" i="3"/>
  <c r="L19" i="3" s="1"/>
  <c r="M3" i="3"/>
  <c r="M19" i="3" s="1"/>
  <c r="N3" i="3"/>
  <c r="O3" i="3"/>
  <c r="P3" i="3"/>
  <c r="Q3" i="3"/>
  <c r="T8" i="7"/>
  <c r="C46" i="5"/>
  <c r="D46" i="5"/>
  <c r="E46" i="5"/>
  <c r="F46" i="5"/>
  <c r="C45" i="5"/>
  <c r="D45" i="5"/>
  <c r="E45" i="5"/>
  <c r="F45" i="5"/>
  <c r="C44" i="5"/>
  <c r="D44" i="5"/>
  <c r="E44" i="5"/>
  <c r="F44" i="5"/>
  <c r="C40" i="5"/>
  <c r="D40" i="5"/>
  <c r="E40" i="5"/>
  <c r="F40" i="5"/>
  <c r="G40" i="5"/>
  <c r="C38" i="5"/>
  <c r="D38" i="5"/>
  <c r="E38" i="5"/>
  <c r="F38" i="5"/>
  <c r="C35" i="5"/>
  <c r="D35" i="5"/>
  <c r="E35" i="5"/>
  <c r="F35" i="5"/>
  <c r="C32" i="5"/>
  <c r="D32" i="5"/>
  <c r="E32" i="5"/>
  <c r="F32" i="5"/>
  <c r="C31" i="5"/>
  <c r="D31" i="5"/>
  <c r="E31" i="5"/>
  <c r="F31" i="5"/>
  <c r="C28" i="5"/>
  <c r="D28" i="5"/>
  <c r="E28" i="5"/>
  <c r="F28" i="5"/>
  <c r="C27" i="5"/>
  <c r="D27" i="5"/>
  <c r="E27" i="5"/>
  <c r="F27" i="5"/>
  <c r="C26" i="5"/>
  <c r="D26" i="5"/>
  <c r="E26" i="5"/>
  <c r="F26" i="5"/>
  <c r="C22" i="5"/>
  <c r="C21" i="5" s="1"/>
  <c r="D22" i="5"/>
  <c r="D21" i="5" s="1"/>
  <c r="E22" i="5"/>
  <c r="E21" i="5" s="1"/>
  <c r="F22" i="5"/>
  <c r="F21" i="5" s="1"/>
  <c r="C20" i="5"/>
  <c r="D20" i="5"/>
  <c r="E20" i="5"/>
  <c r="F20" i="5"/>
  <c r="C19" i="5"/>
  <c r="D19" i="5"/>
  <c r="E19" i="5"/>
  <c r="F19" i="5"/>
  <c r="C17" i="5"/>
  <c r="D17" i="5"/>
  <c r="E17" i="5"/>
  <c r="F17" i="5"/>
  <c r="C18" i="5"/>
  <c r="D18" i="5"/>
  <c r="E18" i="5"/>
  <c r="F18" i="5"/>
  <c r="C15" i="5"/>
  <c r="D15" i="5"/>
  <c r="E15" i="5"/>
  <c r="F15" i="5"/>
  <c r="H8" i="5"/>
  <c r="I8" i="5"/>
  <c r="J8" i="5"/>
  <c r="K8" i="5"/>
  <c r="L8" i="5"/>
  <c r="M8" i="5"/>
  <c r="N8" i="5"/>
  <c r="O8" i="5"/>
  <c r="P8" i="5"/>
  <c r="Q8" i="5"/>
  <c r="S8" i="5"/>
  <c r="C8" i="5"/>
  <c r="D8" i="5"/>
  <c r="E8" i="5"/>
  <c r="F8" i="5"/>
  <c r="C7" i="5"/>
  <c r="D7" i="5"/>
  <c r="E7" i="5"/>
  <c r="F7" i="5"/>
  <c r="F27" i="3" s="1"/>
  <c r="G7" i="5"/>
  <c r="H7" i="5"/>
  <c r="I7" i="5"/>
  <c r="J7" i="5"/>
  <c r="J27" i="3" s="1"/>
  <c r="K7" i="5"/>
  <c r="L7" i="5"/>
  <c r="M7" i="5"/>
  <c r="N7" i="5"/>
  <c r="N27" i="3" s="1"/>
  <c r="O7" i="5"/>
  <c r="P7" i="5"/>
  <c r="Q7" i="5"/>
  <c r="S7" i="5"/>
  <c r="D6" i="5"/>
  <c r="E6" i="5"/>
  <c r="F6" i="5"/>
  <c r="G6" i="5"/>
  <c r="G26" i="3" s="1"/>
  <c r="H6" i="5"/>
  <c r="I6" i="5"/>
  <c r="J6" i="5"/>
  <c r="K6" i="5"/>
  <c r="K26" i="3" s="1"/>
  <c r="L6" i="5"/>
  <c r="M6" i="5"/>
  <c r="N6" i="5"/>
  <c r="O6" i="5"/>
  <c r="O26" i="3" s="1"/>
  <c r="P6" i="5"/>
  <c r="Q6" i="5"/>
  <c r="S6" i="5"/>
  <c r="S5" i="5"/>
  <c r="S25" i="3" s="1"/>
  <c r="C6" i="5"/>
  <c r="R40" i="2"/>
  <c r="S40" i="2"/>
  <c r="T32" i="3" s="1"/>
  <c r="T40" i="2"/>
  <c r="B21" i="2"/>
  <c r="B24" i="2"/>
  <c r="C47" i="5"/>
  <c r="C43" i="5" s="1"/>
  <c r="B31" i="2"/>
  <c r="B32" i="1"/>
  <c r="D18" i="3" s="1"/>
  <c r="B22" i="1"/>
  <c r="C34" i="5" s="1"/>
  <c r="D34" i="5"/>
  <c r="B18" i="1"/>
  <c r="B15" i="1"/>
  <c r="C30" i="5" s="1"/>
  <c r="B9" i="1"/>
  <c r="B5" i="1"/>
  <c r="D12" i="3" s="1"/>
  <c r="B8" i="8" s="1"/>
  <c r="I15" i="5"/>
  <c r="I17" i="5"/>
  <c r="I18" i="5"/>
  <c r="I19" i="5"/>
  <c r="I22" i="5"/>
  <c r="I21" i="5" s="1"/>
  <c r="I26" i="5"/>
  <c r="I27" i="5"/>
  <c r="I28" i="5"/>
  <c r="I32" i="5"/>
  <c r="I35" i="5"/>
  <c r="I38" i="5"/>
  <c r="I40" i="5"/>
  <c r="I45" i="5"/>
  <c r="I46" i="5"/>
  <c r="I20" i="5"/>
  <c r="R28" i="5"/>
  <c r="S28" i="5"/>
  <c r="S27" i="5"/>
  <c r="S22" i="5"/>
  <c r="S21" i="5" s="1"/>
  <c r="S20" i="5"/>
  <c r="S19" i="5"/>
  <c r="S18" i="5"/>
  <c r="S17" i="5"/>
  <c r="S15" i="5"/>
  <c r="D37" i="6"/>
  <c r="D28" i="6"/>
  <c r="D14" i="6"/>
  <c r="D8" i="6"/>
  <c r="H15" i="5"/>
  <c r="H17" i="5"/>
  <c r="H19" i="5"/>
  <c r="H22" i="5"/>
  <c r="H21" i="5" s="1"/>
  <c r="H27" i="5"/>
  <c r="H31" i="5"/>
  <c r="H32" i="5"/>
  <c r="H35" i="5"/>
  <c r="H38" i="5"/>
  <c r="H40" i="5"/>
  <c r="H45" i="5"/>
  <c r="H46" i="5"/>
  <c r="H39" i="5"/>
  <c r="H20" i="5"/>
  <c r="H18" i="5"/>
  <c r="H28" i="5"/>
  <c r="C37" i="6"/>
  <c r="B37" i="6"/>
  <c r="C28" i="6"/>
  <c r="B28" i="6"/>
  <c r="C14" i="6"/>
  <c r="B14" i="6"/>
  <c r="C8" i="6"/>
  <c r="C18" i="6"/>
  <c r="B8" i="6"/>
  <c r="F44" i="4"/>
  <c r="F43" i="4"/>
  <c r="F42" i="4"/>
  <c r="F41" i="4"/>
  <c r="F40" i="4"/>
  <c r="Q40" i="2"/>
  <c r="R42" i="2" s="1"/>
  <c r="G46" i="5"/>
  <c r="G20" i="5"/>
  <c r="R15" i="5"/>
  <c r="R17" i="5"/>
  <c r="R18" i="5"/>
  <c r="R19" i="5"/>
  <c r="R20" i="5"/>
  <c r="R22" i="5"/>
  <c r="R21" i="5" s="1"/>
  <c r="R27" i="5"/>
  <c r="J20" i="5"/>
  <c r="K20" i="5"/>
  <c r="L20" i="5"/>
  <c r="M20" i="5"/>
  <c r="N20" i="5"/>
  <c r="O20" i="5"/>
  <c r="P20" i="5"/>
  <c r="Q20" i="5"/>
  <c r="P15" i="5"/>
  <c r="Q15" i="5"/>
  <c r="P17" i="5"/>
  <c r="Q17" i="5"/>
  <c r="P18" i="5"/>
  <c r="Q18" i="5"/>
  <c r="P19" i="5"/>
  <c r="Q19" i="5"/>
  <c r="P22" i="5"/>
  <c r="P21" i="5" s="1"/>
  <c r="Q22" i="5"/>
  <c r="Q21" i="5" s="1"/>
  <c r="P26" i="5"/>
  <c r="Q26" i="5"/>
  <c r="P27" i="5"/>
  <c r="Q27" i="5"/>
  <c r="P28" i="5"/>
  <c r="Q28" i="5"/>
  <c r="P31" i="5"/>
  <c r="Q31" i="5"/>
  <c r="P32" i="5"/>
  <c r="Q32" i="5"/>
  <c r="P35" i="5"/>
  <c r="Q35" i="5"/>
  <c r="P38" i="5"/>
  <c r="Q38" i="5"/>
  <c r="Q39" i="5"/>
  <c r="P40" i="5"/>
  <c r="Q40" i="5"/>
  <c r="P44" i="5"/>
  <c r="Q33" i="3" s="1"/>
  <c r="Q44" i="5"/>
  <c r="R33" i="3" s="1"/>
  <c r="P45" i="5"/>
  <c r="Q34" i="3" s="1"/>
  <c r="Q45" i="5"/>
  <c r="R34" i="3" s="1"/>
  <c r="P46" i="5"/>
  <c r="Q46" i="5"/>
  <c r="Q47" i="5"/>
  <c r="O15" i="5"/>
  <c r="O17" i="5"/>
  <c r="O18" i="5"/>
  <c r="O19" i="5"/>
  <c r="O22" i="5"/>
  <c r="O21" i="5" s="1"/>
  <c r="O26" i="5"/>
  <c r="O27" i="5"/>
  <c r="O28" i="5"/>
  <c r="O31" i="5"/>
  <c r="O32" i="5"/>
  <c r="O35" i="5"/>
  <c r="O38" i="5"/>
  <c r="O40" i="5"/>
  <c r="O44" i="5"/>
  <c r="P33" i="3" s="1"/>
  <c r="O45" i="5"/>
  <c r="O46" i="5"/>
  <c r="G17" i="5"/>
  <c r="K17" i="5"/>
  <c r="L17" i="5"/>
  <c r="M17" i="5"/>
  <c r="N17" i="5"/>
  <c r="M46" i="5"/>
  <c r="N46" i="5"/>
  <c r="G45" i="5"/>
  <c r="H34" i="3" s="1"/>
  <c r="M45" i="5"/>
  <c r="N34" i="3" s="1"/>
  <c r="N45" i="5"/>
  <c r="O34" i="3" s="1"/>
  <c r="M44" i="5"/>
  <c r="N33" i="3" s="1"/>
  <c r="N44" i="5"/>
  <c r="O33" i="3" s="1"/>
  <c r="J40" i="5"/>
  <c r="K40" i="5"/>
  <c r="L40" i="5"/>
  <c r="M40" i="5"/>
  <c r="N40" i="5"/>
  <c r="G38" i="5"/>
  <c r="J38" i="5"/>
  <c r="K38" i="5"/>
  <c r="L38" i="5"/>
  <c r="M38" i="5"/>
  <c r="N38" i="5"/>
  <c r="K35" i="5"/>
  <c r="L35" i="5"/>
  <c r="M35" i="5"/>
  <c r="N35" i="5"/>
  <c r="K32" i="5"/>
  <c r="L32" i="5"/>
  <c r="M32" i="5"/>
  <c r="N32" i="5"/>
  <c r="K31" i="5"/>
  <c r="L31" i="5"/>
  <c r="M31" i="5"/>
  <c r="N31" i="5"/>
  <c r="K28" i="5"/>
  <c r="L28" i="5"/>
  <c r="M28" i="5"/>
  <c r="N28" i="5"/>
  <c r="K27" i="5"/>
  <c r="L27" i="5"/>
  <c r="M27" i="5"/>
  <c r="N27" i="5"/>
  <c r="K26" i="5"/>
  <c r="L26" i="5"/>
  <c r="M26" i="5"/>
  <c r="N26" i="5"/>
  <c r="G22" i="5"/>
  <c r="G21" i="5" s="1"/>
  <c r="K22" i="5"/>
  <c r="K21" i="5" s="1"/>
  <c r="L22" i="5"/>
  <c r="L21" i="5" s="1"/>
  <c r="M22" i="5"/>
  <c r="M21" i="5" s="1"/>
  <c r="N22" i="5"/>
  <c r="N21" i="5" s="1"/>
  <c r="G19" i="5"/>
  <c r="K19" i="5"/>
  <c r="L19" i="5"/>
  <c r="M19" i="5"/>
  <c r="N19" i="5"/>
  <c r="K18" i="5"/>
  <c r="L18" i="5"/>
  <c r="M18" i="5"/>
  <c r="N18" i="5"/>
  <c r="G15" i="5"/>
  <c r="K15" i="5"/>
  <c r="L15" i="5"/>
  <c r="M15" i="5"/>
  <c r="N15" i="5"/>
  <c r="G8" i="5"/>
  <c r="C8" i="4"/>
  <c r="U11" i="7"/>
  <c r="U12" i="7" s="1"/>
  <c r="D35" i="4"/>
  <c r="I32" i="4" s="1"/>
  <c r="C35" i="4"/>
  <c r="F34" i="4"/>
  <c r="F33" i="4"/>
  <c r="F32" i="4"/>
  <c r="F31" i="4"/>
  <c r="F30" i="4"/>
  <c r="F35" i="4"/>
  <c r="D8" i="4"/>
  <c r="I5" i="4" s="1"/>
  <c r="E8" i="4"/>
  <c r="M8" i="3"/>
  <c r="L11" i="7" s="1"/>
  <c r="L12" i="7" s="1"/>
  <c r="F4" i="4"/>
  <c r="F5" i="4"/>
  <c r="F6" i="4"/>
  <c r="F7" i="4"/>
  <c r="F3" i="4"/>
  <c r="F8" i="4"/>
  <c r="F22" i="4"/>
  <c r="F23" i="4"/>
  <c r="F24" i="4"/>
  <c r="F25" i="4"/>
  <c r="F21" i="4"/>
  <c r="F26" i="4" s="1"/>
  <c r="D26" i="4"/>
  <c r="C26" i="4"/>
  <c r="C17" i="4"/>
  <c r="D17" i="4"/>
  <c r="F13" i="4"/>
  <c r="F14" i="4"/>
  <c r="F15" i="4"/>
  <c r="F16" i="4"/>
  <c r="F12" i="4"/>
  <c r="F17" i="4"/>
  <c r="L45" i="5"/>
  <c r="M34" i="3" s="1"/>
  <c r="L46" i="5"/>
  <c r="L44" i="5"/>
  <c r="M33" i="3" s="1"/>
  <c r="G35" i="5"/>
  <c r="G32" i="5"/>
  <c r="G31" i="5"/>
  <c r="G26" i="5"/>
  <c r="J44" i="5"/>
  <c r="J46" i="5"/>
  <c r="J45" i="5"/>
  <c r="K34" i="3" s="1"/>
  <c r="J27" i="5"/>
  <c r="J35" i="5"/>
  <c r="J26" i="5"/>
  <c r="J18" i="5"/>
  <c r="J17" i="5"/>
  <c r="J31" i="5"/>
  <c r="J19" i="5"/>
  <c r="J28" i="5"/>
  <c r="J32" i="5"/>
  <c r="J22" i="5"/>
  <c r="J21" i="5" s="1"/>
  <c r="J15" i="5"/>
  <c r="G27" i="5"/>
  <c r="G28" i="5"/>
  <c r="K44" i="5"/>
  <c r="L33" i="3" s="1"/>
  <c r="K45" i="5"/>
  <c r="L34" i="3" s="1"/>
  <c r="K46" i="5"/>
  <c r="G18" i="5"/>
  <c r="G44" i="5"/>
  <c r="H33" i="3" s="1"/>
  <c r="H44" i="5"/>
  <c r="P30" i="5"/>
  <c r="H26" i="5"/>
  <c r="U20" i="7"/>
  <c r="I31" i="5"/>
  <c r="I28" i="3" s="1"/>
  <c r="I44" i="5"/>
  <c r="C38" i="6"/>
  <c r="C40" i="6"/>
  <c r="B18" i="6"/>
  <c r="B38" i="6"/>
  <c r="B40" i="6"/>
  <c r="D18" i="6"/>
  <c r="D38" i="6"/>
  <c r="D40" i="6"/>
  <c r="O47" i="5"/>
  <c r="K5" i="5"/>
  <c r="R5" i="7"/>
  <c r="R11" i="7"/>
  <c r="R12" i="7" s="1"/>
  <c r="AG25" i="3" l="1"/>
  <c r="AH25" i="3"/>
  <c r="AF25" i="3"/>
  <c r="AF21" i="3"/>
  <c r="AF6" i="3"/>
  <c r="AF11" i="3"/>
  <c r="AF17" i="3"/>
  <c r="AF23" i="3"/>
  <c r="AG9" i="3"/>
  <c r="AF4" i="3"/>
  <c r="AF14" i="3"/>
  <c r="AF16" i="3"/>
  <c r="AF20" i="3"/>
  <c r="AF22" i="3"/>
  <c r="AF4" i="5"/>
  <c r="AG6" i="3"/>
  <c r="AG21" i="3"/>
  <c r="AG11" i="3"/>
  <c r="AH9" i="3"/>
  <c r="AG22" i="3"/>
  <c r="AG17" i="3"/>
  <c r="AG23" i="3"/>
  <c r="AG16" i="3"/>
  <c r="AG20" i="3"/>
  <c r="AG14" i="3"/>
  <c r="AG4" i="3"/>
  <c r="AH14" i="3"/>
  <c r="AH16" i="3"/>
  <c r="AH20" i="3"/>
  <c r="AH22" i="3"/>
  <c r="AH6" i="3"/>
  <c r="AH23" i="3"/>
  <c r="AG4" i="5"/>
  <c r="AH21" i="3"/>
  <c r="AH4" i="3"/>
  <c r="AH17" i="3"/>
  <c r="AH11" i="3"/>
  <c r="AI9" i="3"/>
  <c r="AG15" i="3"/>
  <c r="U32" i="3"/>
  <c r="V32" i="3"/>
  <c r="U42" i="2"/>
  <c r="S32" i="3"/>
  <c r="H47" i="5"/>
  <c r="G47" i="5"/>
  <c r="F47" i="5"/>
  <c r="E47" i="5"/>
  <c r="J47" i="5"/>
  <c r="I47" i="5"/>
  <c r="K47" i="5"/>
  <c r="L25" i="3"/>
  <c r="L47" i="5"/>
  <c r="P47" i="5"/>
  <c r="N47" i="5"/>
  <c r="M47" i="5"/>
  <c r="Z30" i="2"/>
  <c r="Z34" i="2" s="1"/>
  <c r="Z36" i="2" s="1"/>
  <c r="Z38" i="2" s="1"/>
  <c r="AB10" i="3"/>
  <c r="W30" i="2"/>
  <c r="W34" i="2" s="1"/>
  <c r="W36" i="2" s="1"/>
  <c r="W38" i="2" s="1"/>
  <c r="Y10" i="3"/>
  <c r="S30" i="2"/>
  <c r="S34" i="2" s="1"/>
  <c r="S36" i="2" s="1"/>
  <c r="S38" i="2" s="1"/>
  <c r="U10" i="3"/>
  <c r="X30" i="2"/>
  <c r="X34" i="2" s="1"/>
  <c r="X36" i="2" s="1"/>
  <c r="X38" i="2" s="1"/>
  <c r="Z10" i="3"/>
  <c r="T30" i="2"/>
  <c r="T34" i="2" s="1"/>
  <c r="T36" i="2" s="1"/>
  <c r="T38" i="2" s="1"/>
  <c r="V10" i="3"/>
  <c r="Y30" i="2"/>
  <c r="Y34" i="2" s="1"/>
  <c r="Y36" i="2" s="1"/>
  <c r="Y38" i="2" s="1"/>
  <c r="AA10" i="3"/>
  <c r="U30" i="2"/>
  <c r="U34" i="2" s="1"/>
  <c r="U36" i="2" s="1"/>
  <c r="U38" i="2" s="1"/>
  <c r="W10" i="3"/>
  <c r="V30" i="2"/>
  <c r="V34" i="2" s="1"/>
  <c r="V36" i="2" s="1"/>
  <c r="V38" i="2" s="1"/>
  <c r="X10" i="3"/>
  <c r="AA30" i="2"/>
  <c r="AA34" i="2" s="1"/>
  <c r="AA36" i="2" s="1"/>
  <c r="AA38" i="2" s="1"/>
  <c r="AC10" i="3"/>
  <c r="AB30" i="2"/>
  <c r="AB34" i="2" s="1"/>
  <c r="AB36" i="2" s="1"/>
  <c r="AB38" i="2" s="1"/>
  <c r="AD10" i="3"/>
  <c r="AC28" i="1"/>
  <c r="AF9" i="3" s="1"/>
  <c r="G39" i="9"/>
  <c r="G26" i="9" s="1"/>
  <c r="AB17" i="3"/>
  <c r="AB15" i="3"/>
  <c r="AB21" i="3"/>
  <c r="AC16" i="3"/>
  <c r="AC17" i="3"/>
  <c r="X25" i="3"/>
  <c r="G12" i="9"/>
  <c r="G13" i="9"/>
  <c r="R43" i="5"/>
  <c r="S37" i="3"/>
  <c r="S43" i="5"/>
  <c r="T37" i="3"/>
  <c r="U37" i="3"/>
  <c r="T43" i="5"/>
  <c r="U43" i="5"/>
  <c r="V37" i="3"/>
  <c r="V43" i="5"/>
  <c r="W37" i="3"/>
  <c r="W43" i="5"/>
  <c r="X37" i="3"/>
  <c r="X43" i="5"/>
  <c r="Y37" i="3"/>
  <c r="Y43" i="5"/>
  <c r="Z37" i="3"/>
  <c r="Z43" i="5"/>
  <c r="AA37" i="3"/>
  <c r="AA43" i="5"/>
  <c r="AB37" i="3"/>
  <c r="AB43" i="5"/>
  <c r="AC37" i="3"/>
  <c r="AC43" i="5"/>
  <c r="AD37" i="3"/>
  <c r="AC20" i="2"/>
  <c r="G44" i="9"/>
  <c r="AE17" i="3"/>
  <c r="G29" i="9"/>
  <c r="AE16" i="3"/>
  <c r="AC50" i="1"/>
  <c r="AC54" i="1" s="1"/>
  <c r="K28" i="3"/>
  <c r="AD25" i="3"/>
  <c r="W17" i="3"/>
  <c r="Z25" i="3"/>
  <c r="G28" i="3"/>
  <c r="N28" i="3"/>
  <c r="P28" i="3"/>
  <c r="S25" i="5"/>
  <c r="N26" i="3"/>
  <c r="J26" i="3"/>
  <c r="F26" i="3"/>
  <c r="M27" i="3"/>
  <c r="I27" i="3"/>
  <c r="AE21" i="3"/>
  <c r="S38" i="3"/>
  <c r="T25" i="3"/>
  <c r="M28" i="3"/>
  <c r="R25" i="5"/>
  <c r="U25" i="3"/>
  <c r="F40" i="9"/>
  <c r="R13" i="3"/>
  <c r="R12" i="3"/>
  <c r="S27" i="3"/>
  <c r="T27" i="3"/>
  <c r="Q5" i="7"/>
  <c r="R19" i="3"/>
  <c r="Q12" i="3"/>
  <c r="Q13" i="3"/>
  <c r="E39" i="1"/>
  <c r="E50" i="1" s="1"/>
  <c r="G18" i="3"/>
  <c r="K34" i="5"/>
  <c r="N39" i="1"/>
  <c r="P18" i="3"/>
  <c r="N11" i="8" s="1"/>
  <c r="AA11" i="3"/>
  <c r="AA20" i="3"/>
  <c r="AB9" i="3"/>
  <c r="AA14" i="3"/>
  <c r="AA23" i="3"/>
  <c r="AA22" i="3"/>
  <c r="AA4" i="3"/>
  <c r="AA6" i="3"/>
  <c r="Z4" i="5"/>
  <c r="X21" i="3"/>
  <c r="AE5" i="3"/>
  <c r="AE4" i="3"/>
  <c r="AE6" i="3"/>
  <c r="O5" i="5"/>
  <c r="O25" i="3" s="1"/>
  <c r="O3" i="8"/>
  <c r="Q19" i="3"/>
  <c r="P28" i="7" s="1"/>
  <c r="P12" i="3"/>
  <c r="P13" i="3"/>
  <c r="O20" i="7" s="1"/>
  <c r="G13" i="3"/>
  <c r="G12" i="3"/>
  <c r="E8" i="8" s="1"/>
  <c r="J39" i="1"/>
  <c r="L18" i="3"/>
  <c r="K27" i="7" s="1"/>
  <c r="M39" i="1"/>
  <c r="O18" i="3"/>
  <c r="T14" i="8"/>
  <c r="U9" i="3"/>
  <c r="T11" i="3"/>
  <c r="T14" i="3"/>
  <c r="T23" i="3"/>
  <c r="T6" i="3"/>
  <c r="T20" i="3"/>
  <c r="T22" i="3"/>
  <c r="T4" i="3"/>
  <c r="AC4" i="5"/>
  <c r="AD14" i="3"/>
  <c r="AD22" i="3"/>
  <c r="AD11" i="3"/>
  <c r="AD20" i="3"/>
  <c r="AD23" i="3"/>
  <c r="AD6" i="3"/>
  <c r="AD4" i="3"/>
  <c r="Z21" i="3"/>
  <c r="AA16" i="3"/>
  <c r="H3" i="8"/>
  <c r="J19" i="3"/>
  <c r="I28" i="7" s="1"/>
  <c r="M12" i="3"/>
  <c r="M13" i="3"/>
  <c r="H12" i="3"/>
  <c r="F8" i="8" s="1"/>
  <c r="H13" i="3"/>
  <c r="F34" i="5"/>
  <c r="Y9" i="3"/>
  <c r="X14" i="3"/>
  <c r="X11" i="3"/>
  <c r="X22" i="3"/>
  <c r="X20" i="3"/>
  <c r="X23" i="3"/>
  <c r="X4" i="3"/>
  <c r="X6" i="3"/>
  <c r="W4" i="5"/>
  <c r="V14" i="3"/>
  <c r="V20" i="3"/>
  <c r="V22" i="3"/>
  <c r="W9" i="3"/>
  <c r="V23" i="3"/>
  <c r="V11" i="3"/>
  <c r="U16" i="7" s="1"/>
  <c r="V4" i="3"/>
  <c r="V6" i="3"/>
  <c r="U7" i="7" s="1"/>
  <c r="U4" i="5"/>
  <c r="S26" i="3"/>
  <c r="T26" i="3"/>
  <c r="Q27" i="3"/>
  <c r="R27" i="3"/>
  <c r="L13" i="3"/>
  <c r="K20" i="7" s="1"/>
  <c r="L12" i="3"/>
  <c r="E34" i="5"/>
  <c r="D39" i="1"/>
  <c r="F18" i="3"/>
  <c r="K39" i="1"/>
  <c r="K50" i="1" s="1"/>
  <c r="M18" i="3"/>
  <c r="L27" i="7" s="1"/>
  <c r="M34" i="5"/>
  <c r="AE4" i="5"/>
  <c r="AE11" i="3"/>
  <c r="X15" i="3"/>
  <c r="AD15" i="3"/>
  <c r="V25" i="3"/>
  <c r="J28" i="3"/>
  <c r="L28" i="3"/>
  <c r="O28" i="3"/>
  <c r="Q26" i="3"/>
  <c r="R26" i="3"/>
  <c r="M26" i="3"/>
  <c r="I26" i="3"/>
  <c r="P27" i="3"/>
  <c r="L27" i="3"/>
  <c r="H27" i="3"/>
  <c r="N3" i="8"/>
  <c r="P19" i="3"/>
  <c r="G5" i="7"/>
  <c r="H19" i="3"/>
  <c r="O12" i="3"/>
  <c r="O13" i="3"/>
  <c r="K12" i="3"/>
  <c r="I8" i="8" s="1"/>
  <c r="K13" i="3"/>
  <c r="F13" i="3"/>
  <c r="E20" i="7" s="1"/>
  <c r="F12" i="3"/>
  <c r="D8" i="8" s="1"/>
  <c r="H34" i="5"/>
  <c r="G39" i="1"/>
  <c r="G50" i="1" s="1"/>
  <c r="I18" i="3"/>
  <c r="I34" i="5"/>
  <c r="P34" i="5"/>
  <c r="R18" i="3"/>
  <c r="L39" i="1"/>
  <c r="L50" i="1" s="1"/>
  <c r="N18" i="3"/>
  <c r="V9" i="3"/>
  <c r="U14" i="3"/>
  <c r="T21" i="7" s="1"/>
  <c r="U20" i="3"/>
  <c r="U22" i="3"/>
  <c r="U23" i="3"/>
  <c r="U11" i="3"/>
  <c r="T16" i="7" s="1"/>
  <c r="U6" i="3"/>
  <c r="S5" i="8" s="1"/>
  <c r="U4" i="3"/>
  <c r="T4" i="5"/>
  <c r="AB4" i="5"/>
  <c r="AD9" i="3"/>
  <c r="AC14" i="3"/>
  <c r="AC20" i="3"/>
  <c r="AC22" i="3"/>
  <c r="AC23" i="3"/>
  <c r="AC11" i="3"/>
  <c r="AC6" i="3"/>
  <c r="AC4" i="3"/>
  <c r="AC25" i="3"/>
  <c r="T15" i="3"/>
  <c r="V21" i="3"/>
  <c r="AD21" i="3"/>
  <c r="Z17" i="3"/>
  <c r="V15" i="3"/>
  <c r="U22" i="7" s="1"/>
  <c r="S16" i="3"/>
  <c r="U21" i="3"/>
  <c r="U17" i="3"/>
  <c r="Z9" i="3"/>
  <c r="Y14" i="3"/>
  <c r="Y20" i="3"/>
  <c r="Y22" i="3"/>
  <c r="Y23" i="3"/>
  <c r="Y11" i="3"/>
  <c r="Y6" i="3"/>
  <c r="Y4" i="3"/>
  <c r="X4" i="5"/>
  <c r="Y25" i="3"/>
  <c r="AD17" i="3"/>
  <c r="AA21" i="3"/>
  <c r="AA17" i="3"/>
  <c r="M5" i="7"/>
  <c r="N19" i="3"/>
  <c r="H39" i="1"/>
  <c r="H50" i="1" s="1"/>
  <c r="J18" i="3"/>
  <c r="I27" i="7" s="1"/>
  <c r="L34" i="5"/>
  <c r="AA9" i="3"/>
  <c r="Z11" i="3"/>
  <c r="Z14" i="3"/>
  <c r="Z20" i="3"/>
  <c r="Z23" i="3"/>
  <c r="Z22" i="3"/>
  <c r="Z6" i="3"/>
  <c r="Z4" i="3"/>
  <c r="Y4" i="5"/>
  <c r="Z16" i="3"/>
  <c r="Q28" i="3"/>
  <c r="S35" i="3"/>
  <c r="R28" i="3"/>
  <c r="H28" i="3"/>
  <c r="P26" i="3"/>
  <c r="L26" i="3"/>
  <c r="H26" i="3"/>
  <c r="O27" i="3"/>
  <c r="K27" i="3"/>
  <c r="G27" i="3"/>
  <c r="F28" i="3"/>
  <c r="N5" i="7"/>
  <c r="O19" i="3"/>
  <c r="N28" i="7" s="1"/>
  <c r="F5" i="7"/>
  <c r="G19" i="3"/>
  <c r="N13" i="3"/>
  <c r="N12" i="3"/>
  <c r="M19" i="7" s="1"/>
  <c r="J13" i="3"/>
  <c r="I20" i="7" s="1"/>
  <c r="J12" i="3"/>
  <c r="I12" i="3"/>
  <c r="H19" i="7" s="1"/>
  <c r="I13" i="3"/>
  <c r="H20" i="7" s="1"/>
  <c r="G34" i="5"/>
  <c r="F39" i="1"/>
  <c r="F50" i="1" s="1"/>
  <c r="H18" i="3"/>
  <c r="I39" i="1"/>
  <c r="I50" i="1" s="1"/>
  <c r="K18" i="3"/>
  <c r="J27" i="7" s="1"/>
  <c r="O34" i="5"/>
  <c r="O39" i="1"/>
  <c r="Q18" i="3"/>
  <c r="W11" i="3"/>
  <c r="W23" i="3"/>
  <c r="X9" i="3"/>
  <c r="W14" i="3"/>
  <c r="W22" i="3"/>
  <c r="W20" i="3"/>
  <c r="W6" i="3"/>
  <c r="W4" i="3"/>
  <c r="V4" i="5"/>
  <c r="S22" i="3"/>
  <c r="S20" i="3"/>
  <c r="S14" i="3"/>
  <c r="R4" i="5"/>
  <c r="S23" i="3"/>
  <c r="T9" i="3"/>
  <c r="S11" i="3"/>
  <c r="S6" i="3"/>
  <c r="S4" i="3"/>
  <c r="AD4" i="5"/>
  <c r="AE36" i="3" s="1"/>
  <c r="AE20" i="3"/>
  <c r="AE23" i="3"/>
  <c r="AE22" i="3"/>
  <c r="AE14" i="3"/>
  <c r="AA4" i="5"/>
  <c r="AC9" i="3"/>
  <c r="AB14" i="3"/>
  <c r="AB11" i="3"/>
  <c r="AB23" i="3"/>
  <c r="AB22" i="3"/>
  <c r="AB6" i="3"/>
  <c r="AB20" i="3"/>
  <c r="AB4" i="3"/>
  <c r="AB25" i="3"/>
  <c r="T21" i="3"/>
  <c r="W25" i="3"/>
  <c r="T16" i="3"/>
  <c r="X17" i="3"/>
  <c r="AB16" i="3"/>
  <c r="AE19" i="3"/>
  <c r="AE25" i="3"/>
  <c r="S21" i="3"/>
  <c r="W21" i="3"/>
  <c r="S17" i="3"/>
  <c r="AA15" i="3"/>
  <c r="AD29" i="3"/>
  <c r="AE29" i="3"/>
  <c r="AD12" i="5"/>
  <c r="AC21" i="3"/>
  <c r="U16" i="3"/>
  <c r="S9" i="8" s="1"/>
  <c r="Y15" i="3"/>
  <c r="AC15" i="3"/>
  <c r="V17" i="3"/>
  <c r="W15" i="3"/>
  <c r="AE15" i="3"/>
  <c r="AD32" i="3"/>
  <c r="AE32" i="3"/>
  <c r="AD42" i="2"/>
  <c r="AC42" i="2"/>
  <c r="AD43" i="5"/>
  <c r="AE37" i="3"/>
  <c r="E43" i="5"/>
  <c r="K4" i="2"/>
  <c r="I5" i="7"/>
  <c r="N20" i="7"/>
  <c r="E28" i="3"/>
  <c r="I5" i="3"/>
  <c r="G6" i="8" s="1"/>
  <c r="K38" i="3"/>
  <c r="E13" i="3"/>
  <c r="D20" i="7" s="1"/>
  <c r="M5" i="3"/>
  <c r="K6" i="8" s="1"/>
  <c r="G3" i="8"/>
  <c r="G11" i="8"/>
  <c r="P5" i="7"/>
  <c r="N5" i="3"/>
  <c r="L6" i="8" s="1"/>
  <c r="H5" i="7"/>
  <c r="H5" i="5"/>
  <c r="P12" i="8"/>
  <c r="P20" i="7"/>
  <c r="K5" i="7"/>
  <c r="I43" i="5"/>
  <c r="B40" i="2"/>
  <c r="D32" i="3" s="1"/>
  <c r="T15" i="7"/>
  <c r="O20" i="2"/>
  <c r="Q10" i="3" s="1"/>
  <c r="J40" i="2"/>
  <c r="N37" i="5"/>
  <c r="M43" i="5"/>
  <c r="S42" i="2"/>
  <c r="N4" i="2"/>
  <c r="N20" i="2" s="1"/>
  <c r="P10" i="3" s="1"/>
  <c r="G4" i="2"/>
  <c r="G20" i="2" s="1"/>
  <c r="D43" i="5"/>
  <c r="L37" i="5"/>
  <c r="H37" i="5"/>
  <c r="C37" i="5"/>
  <c r="J4" i="2"/>
  <c r="J20" i="2" s="1"/>
  <c r="L10" i="3" s="1"/>
  <c r="E37" i="5"/>
  <c r="F32" i="3"/>
  <c r="D37" i="5"/>
  <c r="D30" i="3" s="1"/>
  <c r="P5" i="3"/>
  <c r="N6" i="8" s="1"/>
  <c r="D19" i="3"/>
  <c r="B12" i="8" s="1"/>
  <c r="E18" i="3"/>
  <c r="C11" i="8" s="1"/>
  <c r="P25" i="5"/>
  <c r="F5" i="5"/>
  <c r="O5" i="7"/>
  <c r="N12" i="8"/>
  <c r="T6" i="8"/>
  <c r="E12" i="3"/>
  <c r="D19" i="7" s="1"/>
  <c r="D5" i="5"/>
  <c r="E5" i="3"/>
  <c r="D8" i="7" s="1"/>
  <c r="D5" i="3"/>
  <c r="B6" i="8" s="1"/>
  <c r="H27" i="7"/>
  <c r="E14" i="5"/>
  <c r="D50" i="1"/>
  <c r="K35" i="3"/>
  <c r="D27" i="3"/>
  <c r="D28" i="3"/>
  <c r="L20" i="7"/>
  <c r="M50" i="1"/>
  <c r="K8" i="8"/>
  <c r="L19" i="7"/>
  <c r="Q35" i="3"/>
  <c r="O5" i="3"/>
  <c r="J11" i="8"/>
  <c r="S3" i="8"/>
  <c r="P35" i="3"/>
  <c r="M5" i="5"/>
  <c r="M25" i="3" s="1"/>
  <c r="J20" i="7"/>
  <c r="I11" i="8"/>
  <c r="Q5" i="3"/>
  <c r="O6" i="8" s="1"/>
  <c r="F20" i="7"/>
  <c r="G5" i="3"/>
  <c r="I5" i="5"/>
  <c r="S12" i="8"/>
  <c r="H25" i="5"/>
  <c r="D26" i="3"/>
  <c r="E26" i="3"/>
  <c r="J5" i="3"/>
  <c r="I8" i="7" s="1"/>
  <c r="F5" i="3"/>
  <c r="E8" i="7" s="1"/>
  <c r="I3" i="8"/>
  <c r="C5" i="7"/>
  <c r="D5" i="7"/>
  <c r="M38" i="3"/>
  <c r="E5" i="5"/>
  <c r="E19" i="3"/>
  <c r="C12" i="8" s="1"/>
  <c r="M20" i="7"/>
  <c r="O50" i="1"/>
  <c r="O32" i="3"/>
  <c r="O42" i="2"/>
  <c r="N42" i="2"/>
  <c r="J43" i="5"/>
  <c r="M4" i="2"/>
  <c r="M20" i="2" s="1"/>
  <c r="O10" i="3" s="1"/>
  <c r="E4" i="2"/>
  <c r="E20" i="2" s="1"/>
  <c r="I40" i="2"/>
  <c r="I32" i="3" s="1"/>
  <c r="K40" i="2"/>
  <c r="P37" i="5"/>
  <c r="P32" i="3"/>
  <c r="I37" i="5"/>
  <c r="I30" i="3" s="1"/>
  <c r="L43" i="5"/>
  <c r="H35" i="3"/>
  <c r="L4" i="2"/>
  <c r="L20" i="2" s="1"/>
  <c r="I4" i="2"/>
  <c r="I20" i="2" s="1"/>
  <c r="D4" i="2"/>
  <c r="D20" i="2" s="1"/>
  <c r="C40" i="2"/>
  <c r="E32" i="3" s="1"/>
  <c r="H40" i="2"/>
  <c r="G32" i="3" s="1"/>
  <c r="N32" i="3"/>
  <c r="M42" i="2"/>
  <c r="O35" i="3"/>
  <c r="J37" i="5"/>
  <c r="O37" i="5"/>
  <c r="F43" i="5"/>
  <c r="H20" i="2"/>
  <c r="K37" i="5"/>
  <c r="K30" i="3" s="1"/>
  <c r="K43" i="5"/>
  <c r="G37" i="5"/>
  <c r="F4" i="2"/>
  <c r="F20" i="2" s="1"/>
  <c r="O43" i="5"/>
  <c r="P43" i="5"/>
  <c r="F37" i="5"/>
  <c r="F30" i="3" s="1"/>
  <c r="B4" i="2"/>
  <c r="B20" i="2" s="1"/>
  <c r="B30" i="2" s="1"/>
  <c r="B34" i="2" s="1"/>
  <c r="B36" i="2" s="1"/>
  <c r="B38" i="2" s="1"/>
  <c r="H43" i="5"/>
  <c r="F27" i="9"/>
  <c r="H32" i="3"/>
  <c r="M37" i="5"/>
  <c r="M30" i="3" s="1"/>
  <c r="K33" i="3"/>
  <c r="N43" i="5"/>
  <c r="P34" i="3"/>
  <c r="M37" i="3"/>
  <c r="G43" i="5"/>
  <c r="K20" i="2"/>
  <c r="M10" i="3" s="1"/>
  <c r="C20" i="2"/>
  <c r="P20" i="2"/>
  <c r="G25" i="5"/>
  <c r="L35" i="3"/>
  <c r="M35" i="3"/>
  <c r="O25" i="5"/>
  <c r="P14" i="5"/>
  <c r="P11" i="5" s="1"/>
  <c r="L38" i="3"/>
  <c r="J50" i="1"/>
  <c r="T42" i="2"/>
  <c r="U15" i="7"/>
  <c r="T22" i="7"/>
  <c r="R52" i="1"/>
  <c r="Q52" i="1"/>
  <c r="S10" i="8"/>
  <c r="S14" i="8"/>
  <c r="U21" i="7"/>
  <c r="S4" i="5"/>
  <c r="U14" i="7"/>
  <c r="T10" i="8"/>
  <c r="T9" i="8"/>
  <c r="H5" i="3"/>
  <c r="F6" i="8" s="1"/>
  <c r="P8" i="7"/>
  <c r="J3" i="8"/>
  <c r="C19" i="7"/>
  <c r="T12" i="8"/>
  <c r="U28" i="7"/>
  <c r="T4" i="8"/>
  <c r="T3" i="8"/>
  <c r="U5" i="7"/>
  <c r="U19" i="7"/>
  <c r="I12" i="8"/>
  <c r="J28" i="7"/>
  <c r="N19" i="7"/>
  <c r="M8" i="8"/>
  <c r="J14" i="5"/>
  <c r="J11" i="5" s="1"/>
  <c r="S8" i="8"/>
  <c r="J5" i="7"/>
  <c r="D27" i="7"/>
  <c r="H38" i="3"/>
  <c r="T5" i="7"/>
  <c r="Q34" i="5"/>
  <c r="P5" i="5"/>
  <c r="P25" i="3" s="1"/>
  <c r="K25" i="5"/>
  <c r="N38" i="3"/>
  <c r="O38" i="3"/>
  <c r="P38" i="3"/>
  <c r="M3" i="8"/>
  <c r="L3" i="8"/>
  <c r="C3" i="8"/>
  <c r="M14" i="5"/>
  <c r="M11" i="5" s="1"/>
  <c r="R14" i="5"/>
  <c r="R11" i="5" s="1"/>
  <c r="E25" i="5"/>
  <c r="C50" i="1"/>
  <c r="K5" i="3"/>
  <c r="N25" i="5"/>
  <c r="G14" i="5"/>
  <c r="M25" i="5"/>
  <c r="D14" i="5"/>
  <c r="F25" i="5"/>
  <c r="J5" i="5"/>
  <c r="J25" i="3" s="1"/>
  <c r="C14" i="5"/>
  <c r="N50" i="1"/>
  <c r="G5" i="5"/>
  <c r="G25" i="3" s="1"/>
  <c r="Q38" i="3"/>
  <c r="D13" i="3"/>
  <c r="C20" i="7" s="1"/>
  <c r="C25" i="5"/>
  <c r="J12" i="8"/>
  <c r="K28" i="7"/>
  <c r="F14" i="5"/>
  <c r="F11" i="5" s="1"/>
  <c r="H28" i="7"/>
  <c r="G12" i="8"/>
  <c r="S14" i="5"/>
  <c r="S11" i="5" s="1"/>
  <c r="H8" i="8"/>
  <c r="I19" i="7"/>
  <c r="B11" i="8"/>
  <c r="C27" i="7"/>
  <c r="L28" i="7"/>
  <c r="K12" i="8"/>
  <c r="E27" i="3"/>
  <c r="F13" i="9"/>
  <c r="U27" i="7"/>
  <c r="L5" i="7"/>
  <c r="K3" i="8"/>
  <c r="B39" i="1"/>
  <c r="B50" i="1" s="1"/>
  <c r="I14" i="5"/>
  <c r="E3" i="8"/>
  <c r="J25" i="5"/>
  <c r="D25" i="5"/>
  <c r="L5" i="3"/>
  <c r="N14" i="5"/>
  <c r="N11" i="5" s="1"/>
  <c r="N29" i="3" s="1"/>
  <c r="Q25" i="5"/>
  <c r="C5" i="5"/>
  <c r="S6" i="8"/>
  <c r="E5" i="7"/>
  <c r="T27" i="7"/>
  <c r="N35" i="3"/>
  <c r="L14" i="5"/>
  <c r="L11" i="5" s="1"/>
  <c r="F3" i="8"/>
  <c r="L8" i="8"/>
  <c r="F19" i="7"/>
  <c r="D3" i="8"/>
  <c r="K14" i="5"/>
  <c r="K11" i="5" s="1"/>
  <c r="L25" i="5"/>
  <c r="F45" i="4"/>
  <c r="F20" i="9"/>
  <c r="F36" i="9"/>
  <c r="Q5" i="5"/>
  <c r="Q25" i="3" s="1"/>
  <c r="F31" i="9"/>
  <c r="F26" i="9" s="1"/>
  <c r="F16" i="9"/>
  <c r="Q43" i="5"/>
  <c r="R35" i="3"/>
  <c r="P42" i="2"/>
  <c r="Q32" i="3"/>
  <c r="Q42" i="2"/>
  <c r="R32" i="3"/>
  <c r="P3" i="8"/>
  <c r="Q14" i="5"/>
  <c r="Q11" i="5" s="1"/>
  <c r="Q12" i="8"/>
  <c r="Q3" i="8"/>
  <c r="R5" i="3"/>
  <c r="Q20" i="7"/>
  <c r="P39" i="1"/>
  <c r="R38" i="3"/>
  <c r="O8" i="3"/>
  <c r="O14" i="5"/>
  <c r="O11" i="5" s="1"/>
  <c r="O29" i="3" s="1"/>
  <c r="Q37" i="5"/>
  <c r="H14" i="5"/>
  <c r="I25" i="5"/>
  <c r="B28" i="1"/>
  <c r="O30" i="2"/>
  <c r="O34" i="2" s="1"/>
  <c r="P15" i="7"/>
  <c r="G20" i="7"/>
  <c r="G28" i="1"/>
  <c r="I17" i="3" s="1"/>
  <c r="F28" i="1"/>
  <c r="H16" i="3" s="1"/>
  <c r="E28" i="1"/>
  <c r="G15" i="3" s="1"/>
  <c r="D28" i="1"/>
  <c r="C28" i="1"/>
  <c r="I28" i="1"/>
  <c r="H28" i="1"/>
  <c r="I15" i="4"/>
  <c r="J28" i="1"/>
  <c r="L16" i="3" s="1"/>
  <c r="K28" i="1"/>
  <c r="M15" i="3" s="1"/>
  <c r="P28" i="1"/>
  <c r="O28" i="1"/>
  <c r="N28" i="1"/>
  <c r="P21" i="3" s="1"/>
  <c r="M28" i="1"/>
  <c r="O17" i="3" s="1"/>
  <c r="L28" i="1"/>
  <c r="I23" i="4"/>
  <c r="AH24" i="3" l="1"/>
  <c r="AI24" i="3"/>
  <c r="AI36" i="3"/>
  <c r="AG24" i="3"/>
  <c r="AH36" i="3"/>
  <c r="AG36" i="3"/>
  <c r="AF36" i="3"/>
  <c r="AF24" i="3"/>
  <c r="Q16" i="3"/>
  <c r="Q17" i="3"/>
  <c r="R15" i="3"/>
  <c r="G30" i="9"/>
  <c r="Q30" i="3"/>
  <c r="R30" i="3"/>
  <c r="L29" i="3"/>
  <c r="F45" i="9"/>
  <c r="R10" i="3"/>
  <c r="F30" i="2"/>
  <c r="F34" i="2" s="1"/>
  <c r="F36" i="2" s="1"/>
  <c r="F38" i="2" s="1"/>
  <c r="H10" i="3"/>
  <c r="G30" i="3"/>
  <c r="J10" i="3"/>
  <c r="I15" i="7" s="1"/>
  <c r="P39" i="3"/>
  <c r="O30" i="3"/>
  <c r="K37" i="3"/>
  <c r="J30" i="3"/>
  <c r="D30" i="2"/>
  <c r="D34" i="2" s="1"/>
  <c r="F10" i="3"/>
  <c r="E15" i="7" s="1"/>
  <c r="K10" i="3"/>
  <c r="J15" i="7" s="1"/>
  <c r="L30" i="2"/>
  <c r="L34" i="2" s="1"/>
  <c r="L36" i="2" s="1"/>
  <c r="L38" i="2" s="1"/>
  <c r="N10" i="3"/>
  <c r="Q37" i="3"/>
  <c r="P30" i="3"/>
  <c r="G10" i="3"/>
  <c r="F15" i="7" s="1"/>
  <c r="H30" i="3"/>
  <c r="M39" i="3"/>
  <c r="L30" i="3"/>
  <c r="G30" i="2"/>
  <c r="G34" i="2" s="1"/>
  <c r="G36" i="2" s="1"/>
  <c r="G38" i="2" s="1"/>
  <c r="I10" i="3"/>
  <c r="O39" i="3"/>
  <c r="N30" i="3"/>
  <c r="J42" i="2"/>
  <c r="J19" i="7"/>
  <c r="K11" i="8"/>
  <c r="G27" i="9"/>
  <c r="G18" i="9"/>
  <c r="G16" i="9"/>
  <c r="AC30" i="2"/>
  <c r="AC34" i="2" s="1"/>
  <c r="G45" i="9"/>
  <c r="AE10" i="3"/>
  <c r="G8" i="9"/>
  <c r="G21" i="9"/>
  <c r="G24" i="9"/>
  <c r="G7" i="9"/>
  <c r="G11" i="9"/>
  <c r="G22" i="9"/>
  <c r="H17" i="3"/>
  <c r="I15" i="3"/>
  <c r="I16" i="3"/>
  <c r="G17" i="3"/>
  <c r="P15" i="3"/>
  <c r="R29" i="3"/>
  <c r="P17" i="3"/>
  <c r="H21" i="3"/>
  <c r="L21" i="3"/>
  <c r="Q15" i="3"/>
  <c r="P22" i="7" s="1"/>
  <c r="E25" i="3"/>
  <c r="Q21" i="3"/>
  <c r="N25" i="3"/>
  <c r="N20" i="3"/>
  <c r="N11" i="3"/>
  <c r="M16" i="7" s="1"/>
  <c r="N14" i="3"/>
  <c r="N23" i="3"/>
  <c r="N22" i="3"/>
  <c r="J11" i="3"/>
  <c r="I16" i="7" s="1"/>
  <c r="J20" i="3"/>
  <c r="J22" i="3"/>
  <c r="J14" i="3"/>
  <c r="J23" i="3"/>
  <c r="F20" i="3"/>
  <c r="F14" i="3"/>
  <c r="F23" i="3"/>
  <c r="F22" i="3"/>
  <c r="F11" i="3"/>
  <c r="F12" i="5"/>
  <c r="J12" i="5"/>
  <c r="J16" i="3"/>
  <c r="F15" i="3"/>
  <c r="E22" i="7" s="1"/>
  <c r="R17" i="3"/>
  <c r="O11" i="3"/>
  <c r="O22" i="3"/>
  <c r="O20" i="3"/>
  <c r="O14" i="3"/>
  <c r="O23" i="3"/>
  <c r="K14" i="3"/>
  <c r="K22" i="3"/>
  <c r="K11" i="3"/>
  <c r="K23" i="3"/>
  <c r="K20" i="3"/>
  <c r="S29" i="3"/>
  <c r="T29" i="3"/>
  <c r="C8" i="7"/>
  <c r="N15" i="3"/>
  <c r="Y24" i="3"/>
  <c r="Z36" i="3"/>
  <c r="K15" i="3"/>
  <c r="J22" i="7" s="1"/>
  <c r="O15" i="3"/>
  <c r="K16" i="3"/>
  <c r="P11" i="3"/>
  <c r="P14" i="3"/>
  <c r="P23" i="3"/>
  <c r="P22" i="3"/>
  <c r="P20" i="3"/>
  <c r="Q9" i="3"/>
  <c r="P14" i="7" s="1"/>
  <c r="L11" i="3"/>
  <c r="L14" i="3"/>
  <c r="L20" i="3"/>
  <c r="L23" i="3"/>
  <c r="L22" i="3"/>
  <c r="F9" i="3"/>
  <c r="F52" i="1"/>
  <c r="H11" i="3"/>
  <c r="H14" i="3"/>
  <c r="H23" i="3"/>
  <c r="I9" i="3"/>
  <c r="H14" i="7" s="1"/>
  <c r="H20" i="3"/>
  <c r="H22" i="3"/>
  <c r="K29" i="3"/>
  <c r="E19" i="7"/>
  <c r="M12" i="5"/>
  <c r="M29" i="3"/>
  <c r="I25" i="3"/>
  <c r="G19" i="7"/>
  <c r="G8" i="8"/>
  <c r="J15" i="3"/>
  <c r="Z24" i="3"/>
  <c r="AA36" i="3"/>
  <c r="M16" i="3"/>
  <c r="R25" i="3"/>
  <c r="U24" i="3"/>
  <c r="V36" i="3"/>
  <c r="K17" i="3"/>
  <c r="F17" i="3"/>
  <c r="L15" i="3"/>
  <c r="X24" i="3"/>
  <c r="Y36" i="3"/>
  <c r="H15" i="3"/>
  <c r="O21" i="3"/>
  <c r="S9" i="3"/>
  <c r="R20" i="3"/>
  <c r="R14" i="3"/>
  <c r="R23" i="3"/>
  <c r="R11" i="3"/>
  <c r="Q16" i="7" s="1"/>
  <c r="R22" i="3"/>
  <c r="P12" i="5"/>
  <c r="P29" i="3"/>
  <c r="J21" i="3"/>
  <c r="R16" i="3"/>
  <c r="N21" i="3"/>
  <c r="N16" i="3"/>
  <c r="N9" i="3"/>
  <c r="M14" i="7" s="1"/>
  <c r="M14" i="3"/>
  <c r="M20" i="3"/>
  <c r="M11" i="3"/>
  <c r="L16" i="7" s="1"/>
  <c r="M22" i="3"/>
  <c r="M23" i="3"/>
  <c r="G14" i="3"/>
  <c r="H9" i="3"/>
  <c r="G11" i="3"/>
  <c r="F16" i="7" s="1"/>
  <c r="G20" i="3"/>
  <c r="G22" i="3"/>
  <c r="G23" i="3"/>
  <c r="H25" i="3"/>
  <c r="AE24" i="3"/>
  <c r="M17" i="3"/>
  <c r="AC24" i="3"/>
  <c r="AD36" i="3"/>
  <c r="V24" i="3"/>
  <c r="W36" i="3"/>
  <c r="K25" i="3"/>
  <c r="Q14" i="3"/>
  <c r="Q20" i="3"/>
  <c r="Q11" i="3"/>
  <c r="P16" i="7" s="1"/>
  <c r="Q23" i="3"/>
  <c r="Q22" i="3"/>
  <c r="P4" i="5"/>
  <c r="I11" i="3"/>
  <c r="I14" i="3"/>
  <c r="I20" i="3"/>
  <c r="I23" i="3"/>
  <c r="I22" i="3"/>
  <c r="Q29" i="3"/>
  <c r="O27" i="7"/>
  <c r="T24" i="3"/>
  <c r="U36" i="3"/>
  <c r="F25" i="3"/>
  <c r="H11" i="8"/>
  <c r="AB24" i="3"/>
  <c r="AC36" i="3"/>
  <c r="T36" i="3"/>
  <c r="W24" i="3"/>
  <c r="X36" i="3"/>
  <c r="P16" i="3"/>
  <c r="K21" i="3"/>
  <c r="O16" i="3"/>
  <c r="R21" i="3"/>
  <c r="J17" i="3"/>
  <c r="I21" i="3"/>
  <c r="N17" i="3"/>
  <c r="M21" i="3"/>
  <c r="F21" i="3"/>
  <c r="F16" i="3"/>
  <c r="G16" i="3"/>
  <c r="AD24" i="3"/>
  <c r="AA24" i="3"/>
  <c r="AB36" i="3"/>
  <c r="L17" i="3"/>
  <c r="G21" i="3"/>
  <c r="O12" i="8"/>
  <c r="D25" i="3"/>
  <c r="R12" i="5"/>
  <c r="P37" i="3"/>
  <c r="Q39" i="3"/>
  <c r="O37" i="3"/>
  <c r="H15" i="7"/>
  <c r="L32" i="3"/>
  <c r="I30" i="2"/>
  <c r="I34" i="2" s="1"/>
  <c r="K9" i="3" s="1"/>
  <c r="H30" i="2"/>
  <c r="H34" i="2" s="1"/>
  <c r="H6" i="8"/>
  <c r="Q28" i="7"/>
  <c r="E11" i="5"/>
  <c r="E12" i="5" s="1"/>
  <c r="H11" i="5"/>
  <c r="D28" i="7"/>
  <c r="M8" i="7"/>
  <c r="H8" i="7"/>
  <c r="L8" i="7"/>
  <c r="D6" i="8"/>
  <c r="C28" i="7"/>
  <c r="T28" i="7"/>
  <c r="C8" i="8"/>
  <c r="G11" i="5"/>
  <c r="O8" i="7"/>
  <c r="U8" i="7"/>
  <c r="C11" i="5"/>
  <c r="C12" i="5" s="1"/>
  <c r="C6" i="8"/>
  <c r="J30" i="2"/>
  <c r="J34" i="2" s="1"/>
  <c r="K15" i="7"/>
  <c r="E30" i="2"/>
  <c r="E34" i="2" s="1"/>
  <c r="K32" i="3"/>
  <c r="G15" i="7"/>
  <c r="N30" i="2"/>
  <c r="N34" i="2" s="1"/>
  <c r="O15" i="7"/>
  <c r="J32" i="3"/>
  <c r="M32" i="3"/>
  <c r="K42" i="2"/>
  <c r="E30" i="3"/>
  <c r="O28" i="7"/>
  <c r="H12" i="8"/>
  <c r="M28" i="7"/>
  <c r="L12" i="8"/>
  <c r="M6" i="8"/>
  <c r="N8" i="7"/>
  <c r="M12" i="8"/>
  <c r="E6" i="8"/>
  <c r="F8" i="7"/>
  <c r="M27" i="7"/>
  <c r="L11" i="8"/>
  <c r="P19" i="7"/>
  <c r="O8" i="8"/>
  <c r="Q15" i="7"/>
  <c r="K39" i="3"/>
  <c r="L39" i="3"/>
  <c r="L37" i="3"/>
  <c r="M15" i="7"/>
  <c r="L42" i="2"/>
  <c r="P30" i="2"/>
  <c r="P34" i="2" s="1"/>
  <c r="H37" i="3"/>
  <c r="H39" i="3"/>
  <c r="K30" i="2"/>
  <c r="K34" i="2" s="1"/>
  <c r="L15" i="7"/>
  <c r="M30" i="2"/>
  <c r="M34" i="2" s="1"/>
  <c r="N15" i="7"/>
  <c r="N39" i="3"/>
  <c r="N37" i="3"/>
  <c r="C30" i="2"/>
  <c r="C34" i="2" s="1"/>
  <c r="C36" i="2" s="1"/>
  <c r="C38" i="2" s="1"/>
  <c r="E10" i="3"/>
  <c r="D15" i="7" s="1"/>
  <c r="D10" i="3"/>
  <c r="C15" i="7" s="1"/>
  <c r="T23" i="7"/>
  <c r="T13" i="8"/>
  <c r="T25" i="7"/>
  <c r="U17" i="7"/>
  <c r="T26" i="7"/>
  <c r="S13" i="8"/>
  <c r="U23" i="7"/>
  <c r="T5" i="8"/>
  <c r="U25" i="7"/>
  <c r="U6" i="7"/>
  <c r="U26" i="7"/>
  <c r="D11" i="5"/>
  <c r="G8" i="7"/>
  <c r="J8" i="8"/>
  <c r="K19" i="7"/>
  <c r="J8" i="7"/>
  <c r="I6" i="8"/>
  <c r="S4" i="8"/>
  <c r="T6" i="7"/>
  <c r="E27" i="7"/>
  <c r="D11" i="8"/>
  <c r="G27" i="7"/>
  <c r="F11" i="8"/>
  <c r="O11" i="8"/>
  <c r="P27" i="7"/>
  <c r="T7" i="7"/>
  <c r="S12" i="5"/>
  <c r="J6" i="8"/>
  <c r="K8" i="7"/>
  <c r="M11" i="8"/>
  <c r="N27" i="7"/>
  <c r="L12" i="5"/>
  <c r="F28" i="7"/>
  <c r="E12" i="8"/>
  <c r="G28" i="7"/>
  <c r="F12" i="8"/>
  <c r="K12" i="5"/>
  <c r="F27" i="7"/>
  <c r="E11" i="8"/>
  <c r="D12" i="8"/>
  <c r="E28" i="7"/>
  <c r="N12" i="5"/>
  <c r="I11" i="5"/>
  <c r="N8" i="8"/>
  <c r="O19" i="7"/>
  <c r="F29" i="9"/>
  <c r="F11" i="9" s="1"/>
  <c r="F30" i="9"/>
  <c r="F25" i="9"/>
  <c r="F12" i="9"/>
  <c r="Q12" i="5"/>
  <c r="R28" i="7"/>
  <c r="Q27" i="7"/>
  <c r="P11" i="8"/>
  <c r="P50" i="1"/>
  <c r="P6" i="8"/>
  <c r="Q8" i="7"/>
  <c r="R20" i="7"/>
  <c r="Q19" i="7"/>
  <c r="P8" i="8"/>
  <c r="M4" i="5"/>
  <c r="N6" i="3"/>
  <c r="N4" i="3"/>
  <c r="L14" i="8"/>
  <c r="L52" i="1"/>
  <c r="M22" i="7"/>
  <c r="N4" i="5"/>
  <c r="M14" i="8"/>
  <c r="N16" i="7"/>
  <c r="O6" i="3"/>
  <c r="O4" i="3"/>
  <c r="M52" i="1"/>
  <c r="N22" i="7"/>
  <c r="O22" i="7"/>
  <c r="O4" i="5"/>
  <c r="P24" i="3" s="1"/>
  <c r="P6" i="3"/>
  <c r="P4" i="3"/>
  <c r="N52" i="1"/>
  <c r="N14" i="8"/>
  <c r="O16" i="7"/>
  <c r="Q4" i="3"/>
  <c r="Q6" i="3"/>
  <c r="O52" i="1"/>
  <c r="O14" i="8"/>
  <c r="Q4" i="5"/>
  <c r="S24" i="3" s="1"/>
  <c r="Q22" i="7"/>
  <c r="R6" i="3"/>
  <c r="R4" i="3"/>
  <c r="K52" i="1"/>
  <c r="M4" i="3"/>
  <c r="L22" i="7"/>
  <c r="L4" i="5"/>
  <c r="M6" i="3"/>
  <c r="K14" i="8"/>
  <c r="L6" i="3"/>
  <c r="K4" i="5"/>
  <c r="L4" i="3"/>
  <c r="K16" i="7"/>
  <c r="J52" i="1"/>
  <c r="J14" i="8"/>
  <c r="K22" i="7"/>
  <c r="J4" i="3"/>
  <c r="I4" i="5"/>
  <c r="H52" i="1"/>
  <c r="H14" i="8"/>
  <c r="J6" i="3"/>
  <c r="I22" i="7"/>
  <c r="I10" i="8"/>
  <c r="J26" i="7"/>
  <c r="J4" i="5"/>
  <c r="K24" i="3" s="1"/>
  <c r="J16" i="7"/>
  <c r="K4" i="3"/>
  <c r="K6" i="3"/>
  <c r="I14" i="8"/>
  <c r="I52" i="1"/>
  <c r="C52" i="1"/>
  <c r="E21" i="3"/>
  <c r="E20" i="3"/>
  <c r="E14" i="3"/>
  <c r="E22" i="3"/>
  <c r="E15" i="3"/>
  <c r="D22" i="7" s="1"/>
  <c r="E23" i="3"/>
  <c r="E16" i="3"/>
  <c r="D4" i="5"/>
  <c r="E11" i="3"/>
  <c r="D16" i="7" s="1"/>
  <c r="E6" i="3"/>
  <c r="C14" i="8"/>
  <c r="E17" i="3"/>
  <c r="E4" i="3"/>
  <c r="D36" i="2"/>
  <c r="D38" i="2" s="1"/>
  <c r="E14" i="7"/>
  <c r="D52" i="1"/>
  <c r="D14" i="8"/>
  <c r="F6" i="3"/>
  <c r="F4" i="3"/>
  <c r="E4" i="5"/>
  <c r="F24" i="3" s="1"/>
  <c r="E16" i="7"/>
  <c r="E52" i="1"/>
  <c r="G4" i="3"/>
  <c r="F4" i="5"/>
  <c r="F22" i="7"/>
  <c r="E14" i="8"/>
  <c r="G14" i="7"/>
  <c r="G6" i="3"/>
  <c r="G4" i="5"/>
  <c r="G16" i="7"/>
  <c r="F14" i="8"/>
  <c r="H4" i="3"/>
  <c r="H6" i="3"/>
  <c r="G22" i="7"/>
  <c r="H22" i="7"/>
  <c r="G14" i="8"/>
  <c r="I6" i="3"/>
  <c r="H4" i="5"/>
  <c r="H16" i="7"/>
  <c r="I4" i="3"/>
  <c r="G52" i="1"/>
  <c r="I36" i="2"/>
  <c r="I38" i="2" s="1"/>
  <c r="J14" i="7"/>
  <c r="O36" i="2"/>
  <c r="O38" i="2" s="1"/>
  <c r="B52" i="1"/>
  <c r="B14" i="8"/>
  <c r="D21" i="3"/>
  <c r="D20" i="3"/>
  <c r="D23" i="3"/>
  <c r="D22" i="3"/>
  <c r="D4" i="3"/>
  <c r="D14" i="3"/>
  <c r="D6" i="3"/>
  <c r="D17" i="3"/>
  <c r="D16" i="3"/>
  <c r="D15" i="3"/>
  <c r="C22" i="7" s="1"/>
  <c r="C4" i="5"/>
  <c r="D24" i="3" s="1"/>
  <c r="E9" i="3"/>
  <c r="D14" i="7" s="1"/>
  <c r="D11" i="3"/>
  <c r="C16" i="7" s="1"/>
  <c r="R37" i="3"/>
  <c r="R39" i="3"/>
  <c r="O12" i="5"/>
  <c r="M36" i="2" l="1"/>
  <c r="M38" i="2" s="1"/>
  <c r="O9" i="3"/>
  <c r="N14" i="7" s="1"/>
  <c r="K36" i="2"/>
  <c r="K38" i="2" s="1"/>
  <c r="M9" i="3"/>
  <c r="P36" i="2"/>
  <c r="P38" i="2" s="1"/>
  <c r="F50" i="9" s="1"/>
  <c r="R9" i="3"/>
  <c r="Q14" i="7" s="1"/>
  <c r="N36" i="2"/>
  <c r="N38" i="2" s="1"/>
  <c r="P9" i="3"/>
  <c r="O14" i="7" s="1"/>
  <c r="E36" i="2"/>
  <c r="E38" i="2" s="1"/>
  <c r="G9" i="3"/>
  <c r="F14" i="7" s="1"/>
  <c r="J36" i="2"/>
  <c r="J38" i="2" s="1"/>
  <c r="L9" i="3"/>
  <c r="K14" i="7" s="1"/>
  <c r="H36" i="2"/>
  <c r="H38" i="2" s="1"/>
  <c r="J9" i="3"/>
  <c r="AE9" i="3"/>
  <c r="AC36" i="2"/>
  <c r="AC38" i="2" s="1"/>
  <c r="G50" i="9" s="1"/>
  <c r="G17" i="9" s="1"/>
  <c r="G24" i="3"/>
  <c r="N24" i="3"/>
  <c r="H29" i="3"/>
  <c r="I24" i="3"/>
  <c r="F29" i="3"/>
  <c r="O24" i="3"/>
  <c r="Q24" i="3"/>
  <c r="J24" i="3"/>
  <c r="I29" i="3"/>
  <c r="J29" i="3"/>
  <c r="L24" i="3"/>
  <c r="H24" i="3"/>
  <c r="M24" i="3"/>
  <c r="R24" i="3"/>
  <c r="S36" i="3"/>
  <c r="G12" i="5"/>
  <c r="G29" i="3"/>
  <c r="U9" i="7"/>
  <c r="U30" i="7" s="1"/>
  <c r="H12" i="5"/>
  <c r="D29" i="3"/>
  <c r="I14" i="7"/>
  <c r="I17" i="7" s="1"/>
  <c r="D12" i="5"/>
  <c r="U29" i="7"/>
  <c r="T29" i="7"/>
  <c r="F17" i="9"/>
  <c r="C17" i="7"/>
  <c r="L14" i="7"/>
  <c r="L17" i="7" s="1"/>
  <c r="T9" i="7"/>
  <c r="E29" i="3"/>
  <c r="J17" i="7"/>
  <c r="M17" i="7"/>
  <c r="D17" i="7"/>
  <c r="K17" i="7"/>
  <c r="I12" i="5"/>
  <c r="F24" i="9"/>
  <c r="F21" i="9"/>
  <c r="F7" i="9"/>
  <c r="F22" i="9"/>
  <c r="F8" i="9"/>
  <c r="P52" i="1"/>
  <c r="R27" i="7"/>
  <c r="Q11" i="8"/>
  <c r="P14" i="8"/>
  <c r="R8" i="7"/>
  <c r="Q6" i="8"/>
  <c r="P17" i="7"/>
  <c r="Q8" i="8"/>
  <c r="R19" i="7"/>
  <c r="R14" i="7"/>
  <c r="C25" i="3"/>
  <c r="B9" i="8"/>
  <c r="C25" i="7"/>
  <c r="B10" i="8"/>
  <c r="C26" i="7"/>
  <c r="B5" i="8"/>
  <c r="C7" i="7"/>
  <c r="B13" i="8"/>
  <c r="C21" i="7"/>
  <c r="C23" i="7" s="1"/>
  <c r="B4" i="8"/>
  <c r="C6" i="7"/>
  <c r="C9" i="7" s="1"/>
  <c r="G4" i="8"/>
  <c r="H6" i="7"/>
  <c r="H25" i="7"/>
  <c r="G9" i="8"/>
  <c r="G5" i="8"/>
  <c r="H7" i="7"/>
  <c r="G10" i="8"/>
  <c r="H26" i="7"/>
  <c r="G13" i="8"/>
  <c r="H21" i="7"/>
  <c r="H23" i="7" s="1"/>
  <c r="F5" i="8"/>
  <c r="G7" i="7"/>
  <c r="G6" i="7"/>
  <c r="F4" i="8"/>
  <c r="F13" i="8"/>
  <c r="G21" i="7"/>
  <c r="G23" i="7" s="1"/>
  <c r="G26" i="7"/>
  <c r="F10" i="8"/>
  <c r="H17" i="7"/>
  <c r="K36" i="3"/>
  <c r="F9" i="8"/>
  <c r="G25" i="7"/>
  <c r="F7" i="7"/>
  <c r="E5" i="8"/>
  <c r="E13" i="8"/>
  <c r="F21" i="7"/>
  <c r="F23" i="7" s="1"/>
  <c r="G17" i="7"/>
  <c r="F25" i="7"/>
  <c r="E9" i="8"/>
  <c r="H36" i="3"/>
  <c r="E10" i="8"/>
  <c r="F26" i="7"/>
  <c r="F6" i="7"/>
  <c r="E4" i="8"/>
  <c r="F17" i="7"/>
  <c r="E26" i="7"/>
  <c r="D10" i="8"/>
  <c r="D9" i="8"/>
  <c r="E25" i="7"/>
  <c r="D4" i="8"/>
  <c r="E6" i="7"/>
  <c r="D5" i="8"/>
  <c r="E7" i="7"/>
  <c r="E21" i="7"/>
  <c r="E23" i="7" s="1"/>
  <c r="D13" i="8"/>
  <c r="E17" i="7"/>
  <c r="C4" i="8"/>
  <c r="D6" i="7"/>
  <c r="C10" i="8"/>
  <c r="D26" i="7"/>
  <c r="D7" i="7"/>
  <c r="C5" i="8"/>
  <c r="E24" i="3"/>
  <c r="D25" i="7"/>
  <c r="C9" i="8"/>
  <c r="C13" i="8"/>
  <c r="D21" i="7"/>
  <c r="D23" i="7" s="1"/>
  <c r="I5" i="8"/>
  <c r="J7" i="7"/>
  <c r="J6" i="7"/>
  <c r="I4" i="8"/>
  <c r="J25" i="7"/>
  <c r="J29" i="7" s="1"/>
  <c r="I9" i="8"/>
  <c r="L36" i="3"/>
  <c r="J21" i="7"/>
  <c r="J23" i="7" s="1"/>
  <c r="I13" i="8"/>
  <c r="I7" i="7"/>
  <c r="H5" i="8"/>
  <c r="I26" i="7"/>
  <c r="H10" i="8"/>
  <c r="I21" i="7"/>
  <c r="I23" i="7" s="1"/>
  <c r="H13" i="8"/>
  <c r="I25" i="7"/>
  <c r="H9" i="8"/>
  <c r="I6" i="7"/>
  <c r="H4" i="8"/>
  <c r="K6" i="7"/>
  <c r="J4" i="8"/>
  <c r="M36" i="3"/>
  <c r="J5" i="8"/>
  <c r="K7" i="7"/>
  <c r="J13" i="8"/>
  <c r="K21" i="7"/>
  <c r="K23" i="7" s="1"/>
  <c r="J9" i="8"/>
  <c r="K25" i="7"/>
  <c r="J10" i="8"/>
  <c r="K26" i="7"/>
  <c r="K5" i="8"/>
  <c r="L7" i="7"/>
  <c r="N36" i="3"/>
  <c r="K13" i="8"/>
  <c r="L21" i="7"/>
  <c r="L23" i="7" s="1"/>
  <c r="L26" i="7"/>
  <c r="K10" i="8"/>
  <c r="K9" i="8"/>
  <c r="L25" i="7"/>
  <c r="K4" i="8"/>
  <c r="L6" i="7"/>
  <c r="S20" i="7"/>
  <c r="R22" i="7"/>
  <c r="R16" i="7"/>
  <c r="S14" i="7"/>
  <c r="Q14" i="8"/>
  <c r="Q6" i="7"/>
  <c r="P4" i="8"/>
  <c r="Q7" i="7"/>
  <c r="P5" i="8"/>
  <c r="Q26" i="7"/>
  <c r="P10" i="8"/>
  <c r="P13" i="8"/>
  <c r="Q21" i="7"/>
  <c r="Q23" i="7" s="1"/>
  <c r="P9" i="8"/>
  <c r="Q25" i="7"/>
  <c r="O9" i="8"/>
  <c r="P25" i="7"/>
  <c r="O5" i="8"/>
  <c r="P7" i="7"/>
  <c r="O4" i="8"/>
  <c r="P6" i="7"/>
  <c r="O13" i="8"/>
  <c r="P21" i="7"/>
  <c r="P23" i="7" s="1"/>
  <c r="Q17" i="7"/>
  <c r="R36" i="3"/>
  <c r="P26" i="7"/>
  <c r="O10" i="8"/>
  <c r="N9" i="8"/>
  <c r="O25" i="7"/>
  <c r="N4" i="8"/>
  <c r="O6" i="7"/>
  <c r="O26" i="7"/>
  <c r="N10" i="8"/>
  <c r="O7" i="7"/>
  <c r="N5" i="8"/>
  <c r="Q36" i="3"/>
  <c r="N13" i="8"/>
  <c r="O21" i="7"/>
  <c r="O23" i="7" s="1"/>
  <c r="M9" i="8"/>
  <c r="N25" i="7"/>
  <c r="M4" i="8"/>
  <c r="N6" i="7"/>
  <c r="M5" i="8"/>
  <c r="N7" i="7"/>
  <c r="M10" i="8"/>
  <c r="N26" i="7"/>
  <c r="O17" i="7"/>
  <c r="P36" i="3"/>
  <c r="M13" i="8"/>
  <c r="N21" i="7"/>
  <c r="N23" i="7" s="1"/>
  <c r="L9" i="8"/>
  <c r="M25" i="7"/>
  <c r="L10" i="8"/>
  <c r="M26" i="7"/>
  <c r="M6" i="7"/>
  <c r="L4" i="8"/>
  <c r="L5" i="8"/>
  <c r="M7" i="7"/>
  <c r="O36" i="3"/>
  <c r="N17" i="7"/>
  <c r="L13" i="8"/>
  <c r="M21" i="7"/>
  <c r="M23" i="7" s="1"/>
  <c r="L29" i="7" l="1"/>
  <c r="E29" i="7"/>
  <c r="P9" i="7"/>
  <c r="P30" i="7" s="1"/>
  <c r="I29" i="7"/>
  <c r="J9" i="7"/>
  <c r="J30" i="7" s="1"/>
  <c r="I9" i="7"/>
  <c r="I30" i="7" s="1"/>
  <c r="G9" i="7"/>
  <c r="G30" i="7" s="1"/>
  <c r="C30" i="7"/>
  <c r="F9" i="7"/>
  <c r="F30" i="7" s="1"/>
  <c r="G29" i="7"/>
  <c r="L9" i="7"/>
  <c r="L30" i="7" s="1"/>
  <c r="D29" i="7"/>
  <c r="Q29" i="7"/>
  <c r="R17" i="7"/>
  <c r="S21" i="7"/>
  <c r="M9" i="7"/>
  <c r="M30" i="7" s="1"/>
  <c r="M29" i="7"/>
  <c r="N9" i="7"/>
  <c r="N30" i="7" s="1"/>
  <c r="N29" i="7"/>
  <c r="O9" i="7"/>
  <c r="O30" i="7" s="1"/>
  <c r="O29" i="7"/>
  <c r="P29" i="7"/>
  <c r="S5" i="7"/>
  <c r="R3" i="8"/>
  <c r="Q9" i="7"/>
  <c r="Q30" i="7" s="1"/>
  <c r="Q5" i="8"/>
  <c r="R7" i="7"/>
  <c r="R6" i="7"/>
  <c r="Q4" i="8"/>
  <c r="Q13" i="8"/>
  <c r="R21" i="7"/>
  <c r="R23" i="7" s="1"/>
  <c r="S16" i="7"/>
  <c r="S17" i="7" s="1"/>
  <c r="T14" i="7"/>
  <c r="T17" i="7" s="1"/>
  <c r="T30" i="7" s="1"/>
  <c r="R14" i="8"/>
  <c r="S22" i="7"/>
  <c r="R26" i="7"/>
  <c r="Q10" i="8"/>
  <c r="R25" i="7"/>
  <c r="Q9" i="8"/>
  <c r="S19" i="7"/>
  <c r="R8" i="8"/>
  <c r="R11" i="8"/>
  <c r="S27" i="7"/>
  <c r="K29" i="7"/>
  <c r="K9" i="7"/>
  <c r="K30" i="7" s="1"/>
  <c r="D9" i="7"/>
  <c r="D30" i="7" s="1"/>
  <c r="E9" i="7"/>
  <c r="E30" i="7" s="1"/>
  <c r="F29" i="7"/>
  <c r="H29" i="7"/>
  <c r="H9" i="7"/>
  <c r="H30" i="7" s="1"/>
  <c r="C29" i="7"/>
  <c r="R9" i="7" l="1"/>
  <c r="R30" i="7" s="1"/>
  <c r="R13" i="8"/>
  <c r="S23" i="7"/>
  <c r="R29" i="7"/>
  <c r="R10" i="8"/>
  <c r="S26" i="7"/>
  <c r="R9" i="8"/>
  <c r="S25" i="7"/>
  <c r="R5" i="8"/>
  <c r="S7" i="7"/>
  <c r="S6" i="7"/>
  <c r="R4" i="8"/>
  <c r="R6" i="8"/>
  <c r="S8" i="7"/>
  <c r="S28" i="7"/>
  <c r="R12" i="8"/>
  <c r="S9" i="7" l="1"/>
  <c r="S30" i="7" s="1"/>
  <c r="S29" i="7"/>
</calcChain>
</file>

<file path=xl/sharedStrings.xml><?xml version="1.0" encoding="utf-8"?>
<sst xmlns="http://schemas.openxmlformats.org/spreadsheetml/2006/main" count="548" uniqueCount="346">
  <si>
    <t>VISION AFRIKA SACCO SOCIETY</t>
  </si>
  <si>
    <t xml:space="preserve"> STATEMENT OF FINANCIAL POSITION</t>
  </si>
  <si>
    <t>2010 Audited</t>
  </si>
  <si>
    <t>2020 Audited</t>
  </si>
  <si>
    <t>Audited 2021</t>
  </si>
  <si>
    <t>Audited 2022</t>
  </si>
  <si>
    <t>Cash &amp; cash Equivalent</t>
  </si>
  <si>
    <t>Cash In Hand</t>
  </si>
  <si>
    <t>Cash at Bank</t>
  </si>
  <si>
    <t>Prepayment and Sundry</t>
  </si>
  <si>
    <t>Financial Investment</t>
  </si>
  <si>
    <t xml:space="preserve">Government Securities - Treasury Bills/bonds,  </t>
  </si>
  <si>
    <t>Other Securities - Commercial papers/Bonds</t>
  </si>
  <si>
    <t>Balances  in NACCOS (E.g Jungu Kuu, ESS, Savings,Money Market,Coop FD, CFP)</t>
  </si>
  <si>
    <t>Equity Investments in NACCOs(Shares in- CIC, KUSCCO, COOP BANK,CAK, KERUSSU)</t>
  </si>
  <si>
    <t xml:space="preserve">Equity Investments in companies - shares/stocks </t>
  </si>
  <si>
    <t>Net Loan Portfolio</t>
  </si>
  <si>
    <t>Gross Loan Portfolio</t>
  </si>
  <si>
    <t>Allowance For Loan Loss</t>
  </si>
  <si>
    <t>Accounts Recievables</t>
  </si>
  <si>
    <t>Tax Recoverable</t>
  </si>
  <si>
    <t>Deffered Tax Assets</t>
  </si>
  <si>
    <t>Retirement Benefit Assets</t>
  </si>
  <si>
    <t>Property&amp;Equipments&amp;Other Assets</t>
  </si>
  <si>
    <t>Investment Properties</t>
  </si>
  <si>
    <t>Property and Equipment</t>
  </si>
  <si>
    <t>Prepaid Lease Rentals</t>
  </si>
  <si>
    <t>Intangible Assets</t>
  </si>
  <si>
    <t>Other Assets</t>
  </si>
  <si>
    <t>Total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</si>
  <si>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</si>
  <si>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</si>
  <si>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</si>
  <si>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</si>
  <si>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</si>
  <si>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</si>
  <si>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</si>
  <si>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</si>
  <si>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</si>
  <si>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</si>
  <si>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</si>
  <si>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</si>
  <si>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</si>
  <si>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</si>
  <si>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</si>
  <si>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Statutory Reserves</t>
  </si>
  <si>
    <t>Other Reserves</t>
  </si>
  <si>
    <t>Revaluation Reserves</t>
  </si>
  <si>
    <t>Proposed Dividends</t>
  </si>
  <si>
    <t>Adjustment To Equity</t>
  </si>
  <si>
    <t>Total Equity</t>
  </si>
  <si>
    <t>Total Liabilities and Equity</t>
  </si>
  <si>
    <t>KIPSIGIS EDIS SACCO SOCIETY</t>
  </si>
  <si>
    <t>STATEMENT OF COMPREHENSIVE INCOME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</si>
  <si>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</si>
  <si>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</si>
  <si>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</si>
  <si>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</si>
  <si>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</si>
  <si>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</si>
  <si>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</si>
  <si>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</si>
  <si>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</si>
  <si>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</si>
  <si>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</si>
  <si>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</si>
  <si>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</si>
  <si>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</si>
  <si>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</si>
  <si>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</si>
  <si>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</si>
  <si>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</si>
  <si>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</si>
  <si>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</si>
  <si>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</si>
  <si>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</si>
  <si>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</si>
  <si>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</si>
  <si>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</si>
  <si>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</si>
  <si>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</si>
  <si>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</si>
  <si>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</si>
  <si>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</si>
  <si>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</si>
  <si>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</si>
  <si>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</si>
  <si>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</si>
  <si>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</si>
  <si>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Total Expenses</t>
  </si>
  <si>
    <t>Vision Afrika Sacco Financial Performance</t>
  </si>
  <si>
    <t>Year</t>
  </si>
  <si>
    <t>Audited-2022</t>
  </si>
  <si>
    <t>Membership</t>
  </si>
  <si>
    <t>Total Deposits</t>
  </si>
  <si>
    <t>Deposits-Members(BOSA)</t>
  </si>
  <si>
    <t>Deposits-Customers(FOSA)</t>
  </si>
  <si>
    <t>External Borrowing</t>
  </si>
  <si>
    <t>Share capital and Reserves</t>
  </si>
  <si>
    <t>Core Capital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</si>
  <si>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</si>
  <si>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</si>
  <si>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</si>
  <si>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</si>
  <si>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</si>
  <si>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</si>
  <si>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</si>
  <si>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</si>
  <si>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</si>
  <si>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</si>
  <si>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</si>
  <si>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5.3.6</t>
  </si>
  <si>
    <t>Capital Reserves</t>
  </si>
  <si>
    <t>5.3.7</t>
  </si>
  <si>
    <t>Supplementary Capital &amp; reserves</t>
  </si>
  <si>
    <t>a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</si>
  <si>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</si>
  <si>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</si>
  <si>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</si>
  <si>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</si>
  <si>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</si>
  <si>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</si>
  <si>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</si>
  <si>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</si>
  <si>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</si>
  <si>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</si>
  <si>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Turnover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</si>
  <si>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</si>
  <si>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</si>
  <si>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</si>
  <si>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</si>
  <si>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</si>
  <si>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</si>
  <si>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</si>
  <si>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</si>
  <si>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</si>
  <si>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</si>
  <si>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</si>
  <si>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</si>
  <si>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</si>
  <si>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</si>
  <si>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</si>
  <si>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</si>
  <si>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NPL</t>
  </si>
  <si>
    <t>Substandard</t>
  </si>
  <si>
    <t>PAR</t>
  </si>
  <si>
    <t>Doubtful</t>
  </si>
  <si>
    <t>Loss</t>
  </si>
  <si>
    <t>subtotal</t>
  </si>
  <si>
    <t>VISION AFRIKA SACCO SOCIETY LIMITED</t>
  </si>
  <si>
    <t>FORM 4</t>
  </si>
  <si>
    <t>RISK CLASSIFICATION</t>
  </si>
  <si>
    <t>Reschedule/Renegotiated loans</t>
  </si>
  <si>
    <t>GRAND TOTAL</t>
  </si>
  <si>
    <t>VISION AFRICA SACCO SOCIETY LIMITED</t>
  </si>
  <si>
    <t>PERFORMANCE AND COMPLIANCE REPORT AS AT :  31st December , 2021</t>
  </si>
  <si>
    <t>Prudential Standard</t>
  </si>
  <si>
    <t>Audited</t>
  </si>
  <si>
    <t>Returns</t>
  </si>
  <si>
    <t>Aggregate for all Licensed Saccos</t>
  </si>
  <si>
    <t xml:space="preserve"> 30th September  , 2021</t>
  </si>
  <si>
    <t xml:space="preserve"> 31st December  , 2021</t>
  </si>
  <si>
    <t>A. CAPITAL  ADEQUACY</t>
  </si>
  <si>
    <t xml:space="preserve">Core Capital </t>
  </si>
  <si>
    <t>≥10M</t>
  </si>
  <si>
    <t>Core Capital/Total Assets</t>
  </si>
  <si>
    <t>≥10%</t>
  </si>
  <si>
    <t>Institutional Capital/Total Assets</t>
  </si>
  <si>
    <t>≥8%</t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</si>
  <si>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</si>
  <si>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</si>
  <si>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</si>
  <si>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</si>
  <si>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</si>
  <si>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</si>
  <si>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</si>
  <si>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</si>
  <si>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</si>
  <si>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</si>
  <si>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</si>
  <si>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</si>
  <si>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</si>
  <si>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</si>
  <si>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</si>
  <si>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</si>
  <si>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</si>
  <si>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</si>
  <si>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</si>
  <si>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</si>
  <si>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</si>
  <si>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</si>
  <si>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</si>
  <si>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</si>
  <si>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</si>
  <si>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</si>
  <si>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</si>
  <si>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</si>
  <si>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</si>
  <si>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</si>
  <si>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</si>
  <si>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</si>
  <si>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Financial Investments</t>
  </si>
  <si>
    <t>Liquid Assets</t>
  </si>
  <si>
    <t>Short-term Liabilities)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</si>
  <si>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</si>
  <si>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</si>
  <si>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</si>
  <si>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</si>
  <si>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</si>
  <si>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</si>
  <si>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Net Income</t>
  </si>
  <si>
    <t>G. AREAS OF IMPROVEMENT/REGULATORY CONCERNS</t>
  </si>
  <si>
    <t>Checked by: Masphine Abongo</t>
  </si>
  <si>
    <t>Approved by:</t>
  </si>
  <si>
    <t>DISCLAIMER: This report is prepared based on information submitted by the Sacco as at the stated date and may change upon verification by the Authority.</t>
  </si>
  <si>
    <t>VISION AFRIKA  SACCO 2022 CAELS</t>
  </si>
  <si>
    <t>2020Audited</t>
  </si>
  <si>
    <t>CAPITAL ADEQUACY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</si>
  <si>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</si>
  <si>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</si>
  <si>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</si>
  <si>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</si>
  <si>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</si>
  <si>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</si>
  <si>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</si>
  <si>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</si>
  <si>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</si>
  <si>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</si>
  <si>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</si>
  <si>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</si>
  <si>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</si>
  <si>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</si>
  <si>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</si>
  <si>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</si>
  <si>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</si>
  <si>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</si>
  <si>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</si>
  <si>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</si>
  <si>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</si>
  <si>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</si>
  <si>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</si>
  <si>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</si>
  <si>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</si>
  <si>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</si>
  <si>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</si>
  <si>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</si>
  <si>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</si>
  <si>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</si>
  <si>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</si>
  <si>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</si>
  <si>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</si>
  <si>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</si>
  <si>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BOSA Deposits</t>
  </si>
  <si>
    <t>FOSA Deposits</t>
  </si>
  <si>
    <t>Total Loans &amp; advances</t>
  </si>
  <si>
    <t>Core capital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</si>
  <si>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</si>
  <si>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</si>
  <si>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</si>
  <si>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</si>
  <si>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</si>
  <si>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</si>
  <si>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</si>
  <si>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</si>
  <si>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</si>
  <si>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</si>
  <si>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CAELS RATINGS KINGDOM SACCO</t>
  </si>
  <si>
    <t>FINANCIAL SOUNDNESS INDICATORS</t>
  </si>
  <si>
    <t>Prude.  Std</t>
  </si>
  <si>
    <t>2021 Audited</t>
  </si>
  <si>
    <t>CAPITAL</t>
  </si>
  <si>
    <t>CORE CAPITAL</t>
  </si>
  <si>
    <t>≥ Ksh.10M</t>
  </si>
  <si>
    <t>≥ 10%</t>
  </si>
  <si>
    <t>≥ 8%</t>
  </si>
  <si>
    <t>Asset Quality</t>
  </si>
  <si>
    <t>≤ 6%</t>
  </si>
  <si>
    <t>Earnings</t>
  </si>
  <si>
    <t>CIR</t>
  </si>
  <si>
    <t>OER</t>
  </si>
  <si>
    <t>MIN LIQ</t>
  </si>
  <si>
    <t>TECH LIQ</t>
  </si>
  <si>
    <t>EB</t>
  </si>
  <si>
    <t>≤ 25%</t>
  </si>
  <si>
    <t>LIQ/TA</t>
  </si>
  <si>
    <t>NEA</t>
  </si>
  <si>
    <t>≤ 10%</t>
  </si>
  <si>
    <t>LB</t>
  </si>
  <si>
    <t>≤ 5%</t>
  </si>
  <si>
    <t>FITD</t>
  </si>
  <si>
    <t>FICC</t>
  </si>
  <si>
    <t>≤ 40%</t>
  </si>
  <si>
    <t>FINAL RATING</t>
  </si>
  <si>
    <t>2020 audited</t>
  </si>
  <si>
    <t>AUDITED 2021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</si>
  <si>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</si>
  <si>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</si>
  <si>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</si>
  <si>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</si>
  <si>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</si>
  <si>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</si>
  <si>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</si>
  <si>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</si>
  <si>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</si>
  <si>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 (Max 25%)</t>
  </si>
  <si>
    <t>A=S+L</t>
  </si>
  <si>
    <t>STATEMENT OF CASHFLOWS FOR THE YEAR ENDED 31ST DECEMBER 2020</t>
  </si>
  <si>
    <t>Audited -2021</t>
  </si>
  <si>
    <t>Variance</t>
  </si>
  <si>
    <t>Cash flows from operating activities</t>
  </si>
  <si>
    <t>Interest receipts</t>
  </si>
  <si>
    <t>Interest Payments</t>
  </si>
  <si>
    <t>.</t>
  </si>
  <si>
    <t>Payment to employees and suppliers</t>
  </si>
  <si>
    <t>Other operating income</t>
  </si>
  <si>
    <t>(Increase)/Decrease in Operating assets</t>
  </si>
  <si>
    <t>Net loans to members</t>
  </si>
  <si>
    <t>Recievables and prepayments</t>
  </si>
  <si>
    <t>Trade and Other Receivables</t>
  </si>
  <si>
    <t>Inventories</t>
  </si>
  <si>
    <t>Short term investments</t>
  </si>
  <si>
    <t>Increase/(Decrease) in Operating liabilities</t>
  </si>
  <si>
    <t>Deposits from members</t>
  </si>
  <si>
    <t>Trade and Accrued Expenses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</si>
  <si>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</si>
  <si>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</si>
  <si>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</si>
  <si>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</si>
  <si>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</si>
  <si>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</si>
  <si>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</si>
  <si>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Increase in Other Assets</t>
  </si>
  <si>
    <t>Purchase of Investment Securities</t>
  </si>
  <si>
    <t>Dividends Received</t>
  </si>
  <si>
    <t>Net Cash from investing activities</t>
  </si>
  <si>
    <t>Cashflow from financing activities</t>
  </si>
  <si>
    <t>Share capital contributions</t>
  </si>
  <si>
    <t>Proceeds from long-term borrowings</t>
  </si>
  <si>
    <t>Prior Year Adjustments</t>
  </si>
  <si>
    <t>Housing Contributions Plaza</t>
  </si>
  <si>
    <t>Repayments of long term borrowings</t>
  </si>
  <si>
    <t>Dividend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</si>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</sst>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-* #,##0.00_-;\-* #,##0.00_-;_-* &quot;-&quot;??_-;_-@_-"/>
    <numFmt numFmtId="165" formatCode="[$-10409]#,##0.00;\-\ #,##0.00"/>
    <numFmt numFmtId="166" formatCode="[$-10409]0.00;\-\ 0.00"/>
    <numFmt numFmtId="167" formatCode="_(* #,##0.00_);_(* \(#,##0.00\);_(* \-??_);_(@_)"/>
    <numFmt numFmtId="168" formatCode="d/mmm/yy"/>
    <numFmt numFmtId="169" formatCode="\£#,##0;&quot;-£&quot;#,##0"/>
    <numFmt numFmtId="170" formatCode="_-* #,##0.00_-;\-* #,##0.00_-;_-* \-??_-;_-@_-"/>
    <numFmt numFmtId="171" formatCode="0.0%"/>
    <numFmt numFmtId="172" formatCode="_(* #,##0.0_);_(* \(#,##0.0\);_(* \-??_);_(@_)"/>
    <numFmt numFmtId="173" formatCode="#,##0.00_);\-#,##0.00"/>
    <numFmt numFmtId="174" formatCode="0.0"/>
    <numFmt numFmtId="175" formatCode="_(* #,##0_);_(* \(#,##0\);_(* &quot;-&quot;??_);_(@_)"/>
    <numFmt numFmtId="176" formatCode="#,##0.0"/>
    <numFmt numFmtId="177" formatCode="[$-409]mmm\-yy;@"/>
    <numFmt numFmtId="178" formatCode="[$-409]mmmm\-yy;@"/>
    <numFmt numFmtId="179" formatCode="#,##0.00_ ;\-#,##0.00\ "/>
    <numFmt numFmtId="180" formatCode="[$-10409]#,##0;\-\ #,##0"/>
  </numFmts>
  <fonts count="4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sz val="12"/>
      <name val="Cambria"/>
      <family val="1"/>
      <scheme val="major"/>
    </font>
    <font>
      <b/>
      <sz val="12"/>
      <color theme="1"/>
      <name val="Cambria"/>
      <family val="1"/>
    </font>
    <font>
      <sz val="11"/>
      <color rgb="FFFF0000"/>
      <name val="Calibri"/>
      <family val="2"/>
      <scheme val="minor"/>
    </font>
    <font>
      <u/>
      <sz val="12"/>
      <name val="Cambria"/>
      <family val="1"/>
      <scheme val="major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2"/>
      <color indexed="11"/>
      <name val="Cambria"/>
      <family val="1"/>
      <scheme val="major"/>
    </font>
    <font>
      <b/>
      <sz val="12"/>
      <color indexed="8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rgb="FF000000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u/>
      <sz val="12"/>
      <color indexed="9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2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u val="singleAccounting"/>
      <sz val="12"/>
      <color theme="1"/>
      <name val="Cambria"/>
      <family val="1"/>
      <scheme val="major"/>
    </font>
    <font>
      <b/>
      <u val="singleAccounting"/>
      <sz val="12"/>
      <color theme="1"/>
      <name val="Cambria"/>
      <family val="1"/>
      <scheme val="major"/>
    </font>
    <font>
      <b/>
      <sz val="1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sz val="12"/>
      <color indexed="8"/>
      <name val="Cambria"/>
      <family val="1"/>
    </font>
    <font>
      <sz val="8"/>
      <name val="Calibri"/>
      <family val="2"/>
      <scheme val="minor"/>
    </font>
    <font>
      <sz val="9"/>
      <color indexed="8"/>
      <name val="Arial"/>
      <charset val="1"/>
    </font>
    <font>
      <sz val="10"/>
      <color rgb="FF000000"/>
      <name val="Arial"/>
      <charset val="1"/>
    </font>
    <font>
      <sz val="9"/>
      <color rgb="FF000000"/>
      <name val="Arial"/>
      <charset val="1"/>
    </font>
  </fonts>
  <fills count="19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14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rgb="FF000000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3" tint="0.39997558519241921"/>
      </left>
      <right style="thin">
        <color theme="3"/>
      </right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/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465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  <xf numFmtId="43" fontId="16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7" fontId="2" fillId="0" borderId="0" applyFill="0" applyBorder="0" applyAlignment="0" applyProtection="0"/>
    <xf numFmtId="170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ill="0" applyBorder="0" applyAlignment="0" applyProtection="0"/>
    <xf numFmtId="167" fontId="2" fillId="0" borderId="0" applyFill="0" applyBorder="0" applyAlignment="0" applyProtection="0"/>
    <xf numFmtId="43" fontId="11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70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0" fontId="6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3" fillId="0" borderId="0"/>
    <xf numFmtId="0" fontId="1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7" borderId="3" applyNumberFormat="0" applyAlignment="0" applyProtection="0"/>
    <xf numFmtId="9" fontId="1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</cellStyleXfs>
  <cellXfs count="340">
    <xf numFmtId="0" fontId="0" fillId="0" borderId="0" xfId="0"/>
    <xf numFmtId="10" fontId="16" fillId="0" borderId="0" xfId="459" applyNumberFormat="1" applyFont="1"/>
    <xf numFmtId="0" fontId="17" fillId="0" borderId="0" xfId="0" applyFont="1"/>
    <xf numFmtId="43" fontId="0" fillId="0" borderId="0" xfId="0" applyNumberFormat="1"/>
    <xf numFmtId="175" fontId="20" fillId="0" borderId="25" xfId="27" applyNumberFormat="1" applyFont="1" applyBorder="1"/>
    <xf numFmtId="0" fontId="0" fillId="0" borderId="26" xfId="0" applyBorder="1"/>
    <xf numFmtId="0" fontId="19" fillId="0" borderId="0" xfId="0" applyFont="1"/>
    <xf numFmtId="43" fontId="16" fillId="0" borderId="0" xfId="27" applyFont="1"/>
    <xf numFmtId="17" fontId="21" fillId="0" borderId="0" xfId="0" applyNumberFormat="1" applyFont="1" applyAlignment="1">
      <alignment horizontal="center" vertical="center"/>
    </xf>
    <xf numFmtId="178" fontId="21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14" borderId="0" xfId="0" applyFill="1" applyProtection="1">
      <protection locked="0"/>
    </xf>
    <xf numFmtId="171" fontId="2" fillId="0" borderId="0" xfId="461" applyNumberFormat="1" applyFont="1" applyProtection="1">
      <protection locked="0"/>
    </xf>
    <xf numFmtId="171" fontId="16" fillId="0" borderId="0" xfId="461" applyNumberFormat="1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23" fillId="0" borderId="0" xfId="0" applyFont="1" applyProtection="1">
      <protection locked="0"/>
    </xf>
    <xf numFmtId="43" fontId="0" fillId="0" borderId="0" xfId="27" applyFont="1"/>
    <xf numFmtId="0" fontId="24" fillId="0" borderId="0" xfId="0" applyFont="1" applyAlignment="1" applyProtection="1">
      <alignment vertical="top" wrapText="1" readingOrder="1"/>
      <protection locked="0"/>
    </xf>
    <xf numFmtId="0" fontId="25" fillId="0" borderId="0" xfId="0" applyFont="1"/>
    <xf numFmtId="43" fontId="25" fillId="0" borderId="0" xfId="27" applyFont="1"/>
    <xf numFmtId="0" fontId="26" fillId="0" borderId="0" xfId="0" applyFont="1"/>
    <xf numFmtId="43" fontId="26" fillId="0" borderId="0" xfId="27" applyFont="1"/>
    <xf numFmtId="0" fontId="27" fillId="0" borderId="7" xfId="0" applyFont="1" applyBorder="1" applyAlignment="1" applyProtection="1">
      <alignment vertical="top" wrapText="1" readingOrder="1"/>
      <protection locked="0"/>
    </xf>
    <xf numFmtId="0" fontId="21" fillId="11" borderId="7" xfId="0" applyFont="1" applyFill="1" applyBorder="1" applyAlignment="1" applyProtection="1">
      <alignment vertical="top" wrapText="1" readingOrder="1"/>
      <protection locked="0"/>
    </xf>
    <xf numFmtId="177" fontId="21" fillId="11" borderId="7" xfId="0" applyNumberFormat="1" applyFont="1" applyFill="1" applyBorder="1" applyAlignment="1" applyProtection="1">
      <alignment vertical="top" wrapText="1" readingOrder="1"/>
      <protection locked="0"/>
    </xf>
    <xf numFmtId="17" fontId="21" fillId="11" borderId="7" xfId="0" applyNumberFormat="1" applyFont="1" applyFill="1" applyBorder="1" applyAlignment="1" applyProtection="1">
      <alignment vertical="top" wrapText="1" readingOrder="1"/>
      <protection locked="0"/>
    </xf>
    <xf numFmtId="43" fontId="21" fillId="11" borderId="7" xfId="27" applyFont="1" applyFill="1" applyBorder="1" applyAlignment="1" applyProtection="1">
      <alignment vertical="top" wrapText="1" readingOrder="1"/>
      <protection locked="0"/>
    </xf>
    <xf numFmtId="17" fontId="28" fillId="8" borderId="7" xfId="0" applyNumberFormat="1" applyFont="1" applyFill="1" applyBorder="1" applyAlignment="1" applyProtection="1">
      <alignment vertical="top" wrapText="1" readingOrder="1"/>
      <protection locked="0"/>
    </xf>
    <xf numFmtId="0" fontId="28" fillId="0" borderId="7" xfId="0" applyFont="1" applyBorder="1" applyAlignment="1" applyProtection="1">
      <alignment vertical="top" wrapText="1" readingOrder="1"/>
      <protection locked="0"/>
    </xf>
    <xf numFmtId="43" fontId="28" fillId="12" borderId="7" xfId="27" applyFont="1" applyFill="1" applyBorder="1" applyAlignment="1" applyProtection="1">
      <alignment vertical="top" wrapText="1" readingOrder="1"/>
      <protection locked="0"/>
    </xf>
    <xf numFmtId="0" fontId="29" fillId="0" borderId="7" xfId="0" applyFont="1" applyBorder="1" applyAlignment="1" applyProtection="1">
      <alignment vertical="top" wrapText="1" readingOrder="1"/>
      <protection locked="0"/>
    </xf>
    <xf numFmtId="43" fontId="29" fillId="0" borderId="7" xfId="27" applyFont="1" applyBorder="1" applyAlignment="1" applyProtection="1">
      <alignment vertical="top" wrapText="1" readingOrder="1"/>
      <protection locked="0"/>
    </xf>
    <xf numFmtId="4" fontId="30" fillId="0" borderId="0" xfId="0" applyNumberFormat="1" applyFont="1"/>
    <xf numFmtId="165" fontId="29" fillId="0" borderId="7" xfId="0" applyNumberFormat="1" applyFont="1" applyBorder="1" applyAlignment="1" applyProtection="1">
      <alignment vertical="top" wrapText="1" readingOrder="1"/>
      <protection locked="0"/>
    </xf>
    <xf numFmtId="43" fontId="26" fillId="0" borderId="18" xfId="27" applyFont="1" applyBorder="1" applyAlignment="1" applyProtection="1">
      <alignment vertical="top" wrapText="1"/>
      <protection locked="0"/>
    </xf>
    <xf numFmtId="4" fontId="26" fillId="0" borderId="0" xfId="0" applyNumberFormat="1" applyFont="1"/>
    <xf numFmtId="43" fontId="28" fillId="0" borderId="7" xfId="27" applyFont="1" applyBorder="1" applyAlignment="1" applyProtection="1">
      <alignment vertical="top" wrapText="1" readingOrder="1"/>
      <protection locked="0"/>
    </xf>
    <xf numFmtId="3" fontId="31" fillId="0" borderId="0" xfId="0" applyNumberFormat="1" applyFont="1"/>
    <xf numFmtId="165" fontId="28" fillId="0" borderId="7" xfId="0" applyNumberFormat="1" applyFont="1" applyBorder="1" applyAlignment="1" applyProtection="1">
      <alignment vertical="top" wrapText="1" readingOrder="1"/>
      <protection locked="0"/>
    </xf>
    <xf numFmtId="0" fontId="32" fillId="0" borderId="0" xfId="0" applyFont="1"/>
    <xf numFmtId="0" fontId="25" fillId="0" borderId="5" xfId="241" applyFont="1" applyBorder="1" applyAlignment="1">
      <alignment wrapText="1"/>
    </xf>
    <xf numFmtId="0" fontId="25" fillId="0" borderId="0" xfId="0" applyFont="1" applyProtection="1">
      <protection locked="0"/>
    </xf>
    <xf numFmtId="0" fontId="30" fillId="0" borderId="31" xfId="0" applyFont="1" applyBorder="1" applyAlignment="1">
      <alignment vertical="top" wrapText="1" readingOrder="1"/>
    </xf>
    <xf numFmtId="0" fontId="25" fillId="11" borderId="5" xfId="241" applyFont="1" applyFill="1" applyBorder="1" applyAlignment="1">
      <alignment wrapText="1"/>
    </xf>
    <xf numFmtId="3" fontId="30" fillId="0" borderId="0" xfId="0" applyNumberFormat="1" applyFont="1"/>
    <xf numFmtId="4" fontId="30" fillId="0" borderId="32" xfId="0" applyNumberFormat="1" applyFont="1" applyBorder="1" applyAlignment="1">
      <alignment vertical="top" wrapText="1" readingOrder="1"/>
    </xf>
    <xf numFmtId="0" fontId="30" fillId="0" borderId="6" xfId="0" applyFont="1" applyBorder="1" applyAlignment="1">
      <alignment vertical="top" wrapText="1" readingOrder="1"/>
    </xf>
    <xf numFmtId="3" fontId="30" fillId="0" borderId="6" xfId="0" applyNumberFormat="1" applyFont="1" applyBorder="1"/>
    <xf numFmtId="0" fontId="30" fillId="0" borderId="6" xfId="0" applyFont="1" applyBorder="1"/>
    <xf numFmtId="4" fontId="30" fillId="0" borderId="31" xfId="0" applyNumberFormat="1" applyFont="1" applyBorder="1" applyAlignment="1">
      <alignment vertical="top" wrapText="1" readingOrder="1"/>
    </xf>
    <xf numFmtId="43" fontId="33" fillId="0" borderId="18" xfId="27" applyFont="1" applyBorder="1" applyAlignment="1" applyProtection="1">
      <alignment vertical="top" wrapText="1"/>
      <protection locked="0"/>
    </xf>
    <xf numFmtId="43" fontId="26" fillId="0" borderId="0" xfId="0" applyNumberFormat="1" applyFont="1"/>
    <xf numFmtId="0" fontId="30" fillId="0" borderId="32" xfId="0" applyFont="1" applyBorder="1" applyAlignment="1">
      <alignment vertical="top" wrapText="1" readingOrder="1"/>
    </xf>
    <xf numFmtId="4" fontId="30" fillId="0" borderId="33" xfId="0" applyNumberFormat="1" applyFont="1" applyBorder="1" applyAlignment="1">
      <alignment vertical="top" wrapText="1" readingOrder="1"/>
    </xf>
    <xf numFmtId="166" fontId="29" fillId="0" borderId="7" xfId="0" applyNumberFormat="1" applyFont="1" applyBorder="1" applyAlignment="1" applyProtection="1">
      <alignment vertical="top" wrapText="1" readingOrder="1"/>
      <protection locked="0"/>
    </xf>
    <xf numFmtId="43" fontId="34" fillId="12" borderId="7" xfId="27" applyFont="1" applyFill="1" applyBorder="1" applyAlignment="1" applyProtection="1">
      <alignment vertical="top" wrapText="1" readingOrder="1"/>
      <protection locked="0"/>
    </xf>
    <xf numFmtId="165" fontId="26" fillId="0" borderId="0" xfId="0" applyNumberFormat="1" applyFont="1"/>
    <xf numFmtId="0" fontId="32" fillId="0" borderId="11" xfId="0" applyFont="1" applyBorder="1" applyAlignment="1">
      <alignment horizontal="center"/>
    </xf>
    <xf numFmtId="0" fontId="32" fillId="0" borderId="36" xfId="0" applyFont="1" applyBorder="1" applyAlignment="1">
      <alignment horizontal="right"/>
    </xf>
    <xf numFmtId="0" fontId="26" fillId="0" borderId="11" xfId="0" applyFont="1" applyBorder="1"/>
    <xf numFmtId="0" fontId="32" fillId="0" borderId="6" xfId="0" applyFont="1" applyBorder="1" applyAlignment="1" applyProtection="1">
      <alignment horizontal="right"/>
      <protection locked="0"/>
    </xf>
    <xf numFmtId="17" fontId="32" fillId="0" borderId="0" xfId="0" applyNumberFormat="1" applyFont="1" applyProtection="1">
      <protection locked="0"/>
    </xf>
    <xf numFmtId="17" fontId="32" fillId="0" borderId="10" xfId="0" applyNumberFormat="1" applyFont="1" applyBorder="1" applyAlignment="1" applyProtection="1">
      <alignment horizontal="right" wrapText="1"/>
      <protection locked="0"/>
    </xf>
    <xf numFmtId="0" fontId="26" fillId="0" borderId="6" xfId="0" applyFont="1" applyBorder="1" applyAlignment="1">
      <alignment horizontal="center"/>
    </xf>
    <xf numFmtId="175" fontId="26" fillId="0" borderId="6" xfId="30" applyNumberFormat="1" applyFont="1" applyBorder="1" applyAlignment="1" applyProtection="1">
      <alignment horizontal="right"/>
    </xf>
    <xf numFmtId="9" fontId="26" fillId="0" borderId="6" xfId="0" applyNumberFormat="1" applyFont="1" applyBorder="1" applyAlignment="1">
      <alignment horizontal="center"/>
    </xf>
    <xf numFmtId="171" fontId="26" fillId="0" borderId="6" xfId="459" applyNumberFormat="1" applyFont="1" applyBorder="1" applyAlignment="1" applyProtection="1">
      <alignment horizontal="right"/>
    </xf>
    <xf numFmtId="171" fontId="26" fillId="0" borderId="6" xfId="459" applyNumberFormat="1" applyFont="1" applyFill="1" applyBorder="1" applyAlignment="1" applyProtection="1">
      <alignment horizontal="right"/>
    </xf>
    <xf numFmtId="171" fontId="33" fillId="0" borderId="6" xfId="459" applyNumberFormat="1" applyFont="1" applyFill="1" applyBorder="1" applyAlignment="1" applyProtection="1">
      <alignment horizontal="right"/>
    </xf>
    <xf numFmtId="171" fontId="26" fillId="14" borderId="6" xfId="459" applyNumberFormat="1" applyFont="1" applyFill="1" applyBorder="1" applyAlignment="1" applyProtection="1">
      <alignment horizontal="right"/>
    </xf>
    <xf numFmtId="0" fontId="26" fillId="14" borderId="11" xfId="0" applyFont="1" applyFill="1" applyBorder="1"/>
    <xf numFmtId="0" fontId="26" fillId="14" borderId="6" xfId="0" applyFont="1" applyFill="1" applyBorder="1" applyAlignment="1">
      <alignment horizontal="center"/>
    </xf>
    <xf numFmtId="0" fontId="26" fillId="14" borderId="11" xfId="0" applyFont="1" applyFill="1" applyBorder="1" applyAlignment="1">
      <alignment horizontal="left"/>
    </xf>
    <xf numFmtId="9" fontId="26" fillId="14" borderId="6" xfId="0" applyNumberFormat="1" applyFont="1" applyFill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25" fillId="0" borderId="11" xfId="0" applyFont="1" applyBorder="1"/>
    <xf numFmtId="43" fontId="25" fillId="0" borderId="6" xfId="27" applyFont="1" applyBorder="1" applyAlignment="1" applyProtection="1">
      <alignment horizontal="center"/>
    </xf>
    <xf numFmtId="43" fontId="25" fillId="0" borderId="6" xfId="27" applyFont="1" applyBorder="1" applyProtection="1">
      <protection locked="0"/>
    </xf>
    <xf numFmtId="0" fontId="26" fillId="14" borderId="11" xfId="0" applyFont="1" applyFill="1" applyBorder="1" applyAlignment="1" applyProtection="1">
      <alignment horizontal="left"/>
      <protection locked="0"/>
    </xf>
    <xf numFmtId="0" fontId="26" fillId="0" borderId="6" xfId="0" applyFont="1" applyBorder="1" applyAlignment="1" applyProtection="1">
      <alignment horizontal="center"/>
      <protection locked="0"/>
    </xf>
    <xf numFmtId="0" fontId="26" fillId="0" borderId="6" xfId="0" applyFont="1" applyBorder="1" applyProtection="1">
      <protection locked="0"/>
    </xf>
    <xf numFmtId="0" fontId="26" fillId="0" borderId="36" xfId="0" applyFont="1" applyBorder="1" applyProtection="1">
      <protection locked="0"/>
    </xf>
    <xf numFmtId="0" fontId="33" fillId="0" borderId="10" xfId="0" applyFont="1" applyBorder="1" applyProtection="1">
      <protection locked="0"/>
    </xf>
    <xf numFmtId="0" fontId="32" fillId="14" borderId="11" xfId="0" applyFont="1" applyFill="1" applyBorder="1"/>
    <xf numFmtId="0" fontId="26" fillId="0" borderId="6" xfId="0" applyFont="1" applyBorder="1" applyAlignment="1" applyProtection="1">
      <alignment horizontal="left"/>
      <protection locked="0"/>
    </xf>
    <xf numFmtId="0" fontId="26" fillId="0" borderId="36" xfId="0" applyFont="1" applyBorder="1" applyAlignment="1" applyProtection="1">
      <alignment horizontal="left"/>
      <protection locked="0"/>
    </xf>
    <xf numFmtId="0" fontId="33" fillId="0" borderId="10" xfId="0" applyFont="1" applyBorder="1" applyAlignment="1" applyProtection="1">
      <alignment horizontal="left"/>
      <protection locked="0"/>
    </xf>
    <xf numFmtId="0" fontId="32" fillId="14" borderId="43" xfId="0" applyFont="1" applyFill="1" applyBorder="1"/>
    <xf numFmtId="0" fontId="26" fillId="0" borderId="15" xfId="0" applyFont="1" applyBorder="1" applyAlignment="1" applyProtection="1">
      <alignment horizontal="center"/>
      <protection locked="0"/>
    </xf>
    <xf numFmtId="0" fontId="32" fillId="14" borderId="12" xfId="0" applyFont="1" applyFill="1" applyBorder="1"/>
    <xf numFmtId="0" fontId="26" fillId="0" borderId="13" xfId="0" applyFont="1" applyBorder="1" applyAlignment="1" applyProtection="1">
      <alignment horizontal="center"/>
      <protection locked="0"/>
    </xf>
    <xf numFmtId="0" fontId="26" fillId="0" borderId="13" xfId="0" applyFont="1" applyBorder="1" applyProtection="1">
      <protection locked="0"/>
    </xf>
    <xf numFmtId="0" fontId="26" fillId="0" borderId="44" xfId="0" applyFont="1" applyBorder="1" applyProtection="1">
      <protection locked="0"/>
    </xf>
    <xf numFmtId="0" fontId="33" fillId="0" borderId="14" xfId="0" applyFont="1" applyBorder="1" applyProtection="1">
      <protection locked="0"/>
    </xf>
    <xf numFmtId="0" fontId="34" fillId="14" borderId="45" xfId="0" applyFont="1" applyFill="1" applyBorder="1"/>
    <xf numFmtId="0" fontId="26" fillId="0" borderId="0" xfId="0" applyFont="1" applyAlignment="1" applyProtection="1">
      <alignment horizontal="center"/>
      <protection locked="0"/>
    </xf>
    <xf numFmtId="0" fontId="26" fillId="0" borderId="0" xfId="0" applyFont="1" applyProtection="1">
      <protection locked="0"/>
    </xf>
    <xf numFmtId="0" fontId="33" fillId="0" borderId="0" xfId="0" applyFont="1" applyProtection="1">
      <protection locked="0"/>
    </xf>
    <xf numFmtId="0" fontId="26" fillId="14" borderId="0" xfId="0" applyFont="1" applyFill="1" applyProtection="1">
      <protection locked="0"/>
    </xf>
    <xf numFmtId="0" fontId="35" fillId="0" borderId="0" xfId="0" applyFont="1" applyAlignment="1" applyProtection="1">
      <alignment vertical="top" wrapText="1" readingOrder="1"/>
      <protection locked="0"/>
    </xf>
    <xf numFmtId="0" fontId="28" fillId="8" borderId="7" xfId="0" applyFont="1" applyFill="1" applyBorder="1" applyAlignment="1" applyProtection="1">
      <alignment vertical="top" wrapText="1" readingOrder="1"/>
      <protection locked="0"/>
    </xf>
    <xf numFmtId="177" fontId="28" fillId="8" borderId="7" xfId="0" applyNumberFormat="1" applyFont="1" applyFill="1" applyBorder="1" applyAlignment="1" applyProtection="1">
      <alignment vertical="top" wrapText="1" readingOrder="1"/>
      <protection locked="0"/>
    </xf>
    <xf numFmtId="173" fontId="29" fillId="0" borderId="6" xfId="0" applyNumberFormat="1" applyFont="1" applyBorder="1" applyAlignment="1" applyProtection="1">
      <alignment horizontal="right" vertical="center"/>
      <protection locked="0"/>
    </xf>
    <xf numFmtId="172" fontId="25" fillId="0" borderId="6" xfId="28" applyNumberFormat="1" applyFont="1" applyBorder="1" applyAlignment="1" applyProtection="1">
      <alignment horizontal="right" vertical="center"/>
      <protection locked="0"/>
    </xf>
    <xf numFmtId="165" fontId="29" fillId="0" borderId="7" xfId="281" applyNumberFormat="1" applyFont="1" applyBorder="1" applyAlignment="1" applyProtection="1">
      <alignment vertical="top" wrapText="1" readingOrder="1"/>
      <protection locked="0"/>
    </xf>
    <xf numFmtId="173" fontId="33" fillId="0" borderId="6" xfId="0" applyNumberFormat="1" applyFont="1" applyBorder="1" applyAlignment="1" applyProtection="1">
      <alignment horizontal="right" vertical="center"/>
      <protection locked="0"/>
    </xf>
    <xf numFmtId="3" fontId="31" fillId="0" borderId="6" xfId="0" applyNumberFormat="1" applyFont="1" applyBorder="1"/>
    <xf numFmtId="165" fontId="29" fillId="10" borderId="7" xfId="0" applyNumberFormat="1" applyFont="1" applyFill="1" applyBorder="1" applyAlignment="1" applyProtection="1">
      <alignment vertical="top" wrapText="1" readingOrder="1"/>
      <protection locked="0"/>
    </xf>
    <xf numFmtId="165" fontId="29" fillId="10" borderId="7" xfId="281" applyNumberFormat="1" applyFont="1" applyFill="1" applyBorder="1" applyAlignment="1" applyProtection="1">
      <alignment vertical="top" wrapText="1" readingOrder="1"/>
      <protection locked="0"/>
    </xf>
    <xf numFmtId="165" fontId="28" fillId="10" borderId="7" xfId="0" applyNumberFormat="1" applyFont="1" applyFill="1" applyBorder="1" applyAlignment="1" applyProtection="1">
      <alignment vertical="top" wrapText="1" readingOrder="1"/>
      <protection locked="0"/>
    </xf>
    <xf numFmtId="4" fontId="32" fillId="0" borderId="0" xfId="0" applyNumberFormat="1" applyFont="1"/>
    <xf numFmtId="4" fontId="30" fillId="0" borderId="6" xfId="0" applyNumberFormat="1" applyFont="1" applyBorder="1" applyAlignment="1">
      <alignment vertical="top" wrapText="1" readingOrder="1"/>
    </xf>
    <xf numFmtId="4" fontId="31" fillId="18" borderId="6" xfId="0" applyNumberFormat="1" applyFont="1" applyFill="1" applyBorder="1" applyAlignment="1">
      <alignment vertical="top" wrapText="1" readingOrder="1"/>
    </xf>
    <xf numFmtId="4" fontId="30" fillId="0" borderId="6" xfId="0" applyNumberFormat="1" applyFont="1" applyBorder="1"/>
    <xf numFmtId="172" fontId="25" fillId="0" borderId="6" xfId="28" applyNumberFormat="1" applyFont="1" applyFill="1" applyBorder="1" applyAlignment="1" applyProtection="1">
      <protection locked="0"/>
    </xf>
    <xf numFmtId="172" fontId="25" fillId="0" borderId="6" xfId="28" applyNumberFormat="1" applyFont="1" applyFill="1" applyBorder="1" applyAlignment="1" applyProtection="1"/>
    <xf numFmtId="0" fontId="31" fillId="18" borderId="6" xfId="0" applyFont="1" applyFill="1" applyBorder="1" applyAlignment="1">
      <alignment vertical="top" wrapText="1" readingOrder="1"/>
    </xf>
    <xf numFmtId="0" fontId="28" fillId="9" borderId="7" xfId="0" applyFont="1" applyFill="1" applyBorder="1" applyAlignment="1" applyProtection="1">
      <alignment vertical="top" wrapText="1" readingOrder="1"/>
      <protection locked="0"/>
    </xf>
    <xf numFmtId="43" fontId="28" fillId="13" borderId="7" xfId="27" applyFont="1" applyFill="1" applyBorder="1" applyAlignment="1" applyProtection="1">
      <alignment vertical="top" wrapText="1" readingOrder="1"/>
      <protection locked="0"/>
    </xf>
    <xf numFmtId="43" fontId="32" fillId="0" borderId="0" xfId="0" applyNumberFormat="1" applyFont="1"/>
    <xf numFmtId="17" fontId="32" fillId="0" borderId="0" xfId="0" applyNumberFormat="1" applyFont="1"/>
    <xf numFmtId="0" fontId="21" fillId="0" borderId="5" xfId="283" applyFont="1" applyBorder="1" applyAlignment="1">
      <alignment horizontal="left" vertical="top" wrapText="1"/>
    </xf>
    <xf numFmtId="43" fontId="25" fillId="0" borderId="5" xfId="93" applyFont="1" applyBorder="1" applyAlignment="1">
      <alignment horizontal="center" wrapText="1"/>
    </xf>
    <xf numFmtId="43" fontId="25" fillId="0" borderId="5" xfId="93" applyFont="1" applyBorder="1" applyAlignment="1">
      <alignment wrapText="1"/>
    </xf>
    <xf numFmtId="176" fontId="26" fillId="0" borderId="0" xfId="0" applyNumberFormat="1" applyFont="1"/>
    <xf numFmtId="9" fontId="26" fillId="0" borderId="0" xfId="459" applyFont="1"/>
    <xf numFmtId="0" fontId="21" fillId="0" borderId="5" xfId="241" applyFont="1" applyBorder="1" applyAlignment="1">
      <alignment wrapText="1"/>
    </xf>
    <xf numFmtId="179" fontId="26" fillId="0" borderId="0" xfId="0" applyNumberFormat="1" applyFont="1"/>
    <xf numFmtId="1" fontId="25" fillId="0" borderId="5" xfId="241" applyNumberFormat="1" applyFont="1" applyBorder="1" applyAlignment="1">
      <alignment wrapText="1"/>
    </xf>
    <xf numFmtId="43" fontId="25" fillId="0" borderId="5" xfId="27" applyFont="1" applyBorder="1" applyAlignment="1">
      <alignment wrapText="1"/>
    </xf>
    <xf numFmtId="0" fontId="26" fillId="0" borderId="6" xfId="0" applyFont="1" applyBorder="1" applyAlignment="1">
      <alignment horizontal="left" vertical="top" wrapText="1"/>
    </xf>
    <xf numFmtId="0" fontId="26" fillId="0" borderId="6" xfId="0" applyFont="1" applyBorder="1" applyAlignment="1">
      <alignment horizontal="center" vertical="center" wrapText="1"/>
    </xf>
    <xf numFmtId="9" fontId="26" fillId="0" borderId="6" xfId="0" applyNumberFormat="1" applyFont="1" applyBorder="1" applyAlignment="1">
      <alignment horizontal="center" vertical="center" wrapText="1"/>
    </xf>
    <xf numFmtId="9" fontId="26" fillId="0" borderId="6" xfId="459" applyFont="1" applyBorder="1" applyAlignment="1">
      <alignment horizontal="center" vertical="center" wrapText="1"/>
    </xf>
    <xf numFmtId="171" fontId="26" fillId="0" borderId="6" xfId="459" applyNumberFormat="1" applyFont="1" applyBorder="1" applyAlignment="1">
      <alignment horizontal="center" vertical="center" wrapText="1"/>
    </xf>
    <xf numFmtId="0" fontId="26" fillId="0" borderId="8" xfId="0" applyFont="1" applyBorder="1"/>
    <xf numFmtId="0" fontId="26" fillId="0" borderId="9" xfId="0" applyFont="1" applyBorder="1"/>
    <xf numFmtId="17" fontId="32" fillId="0" borderId="9" xfId="0" applyNumberFormat="1" applyFont="1" applyBorder="1"/>
    <xf numFmtId="177" fontId="32" fillId="0" borderId="9" xfId="0" applyNumberFormat="1" applyFont="1" applyBorder="1"/>
    <xf numFmtId="43" fontId="26" fillId="0" borderId="6" xfId="27" applyFont="1" applyBorder="1"/>
    <xf numFmtId="171" fontId="26" fillId="0" borderId="6" xfId="459" applyNumberFormat="1" applyFont="1" applyBorder="1"/>
    <xf numFmtId="0" fontId="26" fillId="0" borderId="6" xfId="0" applyFont="1" applyBorder="1"/>
    <xf numFmtId="9" fontId="26" fillId="0" borderId="6" xfId="459" applyFont="1" applyBorder="1"/>
    <xf numFmtId="10" fontId="26" fillId="0" borderId="10" xfId="459" applyNumberFormat="1" applyFont="1" applyBorder="1"/>
    <xf numFmtId="0" fontId="26" fillId="0" borderId="6" xfId="0" applyFont="1" applyBorder="1" applyAlignment="1">
      <alignment horizontal="center" vertical="center"/>
    </xf>
    <xf numFmtId="0" fontId="30" fillId="0" borderId="6" xfId="0" applyFont="1" applyBorder="1" applyAlignment="1">
      <alignment vertical="top" wrapText="1"/>
    </xf>
    <xf numFmtId="0" fontId="30" fillId="0" borderId="6" xfId="0" applyFont="1" applyBorder="1" applyAlignment="1">
      <alignment horizontal="center" vertical="center" wrapText="1"/>
    </xf>
    <xf numFmtId="0" fontId="30" fillId="0" borderId="6" xfId="0" applyFont="1" applyBorder="1" applyAlignment="1">
      <alignment horizontal="left" vertical="top" wrapText="1"/>
    </xf>
    <xf numFmtId="0" fontId="25" fillId="0" borderId="6" xfId="241" applyFont="1" applyBorder="1"/>
    <xf numFmtId="0" fontId="36" fillId="0" borderId="6" xfId="241" applyFont="1" applyBorder="1"/>
    <xf numFmtId="0" fontId="21" fillId="0" borderId="11" xfId="241" applyFont="1" applyBorder="1"/>
    <xf numFmtId="0" fontId="25" fillId="0" borderId="11" xfId="241" applyFont="1" applyBorder="1"/>
    <xf numFmtId="0" fontId="21" fillId="0" borderId="12" xfId="241" applyFont="1" applyBorder="1"/>
    <xf numFmtId="0" fontId="26" fillId="0" borderId="13" xfId="0" applyFont="1" applyBorder="1"/>
    <xf numFmtId="0" fontId="32" fillId="0" borderId="6" xfId="0" applyFont="1" applyBorder="1"/>
    <xf numFmtId="0" fontId="32" fillId="0" borderId="15" xfId="0" applyFont="1" applyBorder="1"/>
    <xf numFmtId="43" fontId="32" fillId="0" borderId="6" xfId="27" applyFont="1" applyBorder="1"/>
    <xf numFmtId="0" fontId="21" fillId="11" borderId="6" xfId="0" applyFont="1" applyFill="1" applyBorder="1" applyAlignment="1" applyProtection="1">
      <alignment vertical="top" readingOrder="1"/>
      <protection locked="0"/>
    </xf>
    <xf numFmtId="0" fontId="21" fillId="11" borderId="6" xfId="0" applyFont="1" applyFill="1" applyBorder="1" applyAlignment="1" applyProtection="1">
      <alignment horizontal="center" vertical="top" readingOrder="1"/>
      <protection locked="0"/>
    </xf>
    <xf numFmtId="177" fontId="21" fillId="11" borderId="6" xfId="0" applyNumberFormat="1" applyFont="1" applyFill="1" applyBorder="1" applyAlignment="1" applyProtection="1">
      <alignment horizontal="center" vertical="top" readingOrder="1"/>
      <protection locked="0"/>
    </xf>
    <xf numFmtId="17" fontId="28" fillId="8" borderId="6" xfId="0" applyNumberFormat="1" applyFont="1" applyFill="1" applyBorder="1" applyAlignment="1" applyProtection="1">
      <alignment vertical="top" wrapText="1" readingOrder="1"/>
      <protection locked="0"/>
    </xf>
    <xf numFmtId="0" fontId="25" fillId="0" borderId="6" xfId="0" applyFont="1" applyBorder="1"/>
    <xf numFmtId="175" fontId="26" fillId="0" borderId="6" xfId="27" applyNumberFormat="1" applyFont="1" applyBorder="1"/>
    <xf numFmtId="175" fontId="26" fillId="0" borderId="6" xfId="0" applyNumberFormat="1" applyFont="1" applyBorder="1"/>
    <xf numFmtId="0" fontId="36" fillId="0" borderId="6" xfId="0" applyFont="1" applyBorder="1"/>
    <xf numFmtId="174" fontId="25" fillId="0" borderId="6" xfId="0" applyNumberFormat="1" applyFont="1" applyBorder="1"/>
    <xf numFmtId="174" fontId="21" fillId="0" borderId="6" xfId="0" applyNumberFormat="1" applyFont="1" applyBorder="1"/>
    <xf numFmtId="175" fontId="32" fillId="0" borderId="6" xfId="0" applyNumberFormat="1" applyFont="1" applyBorder="1"/>
    <xf numFmtId="9" fontId="36" fillId="0" borderId="6" xfId="459" applyFont="1" applyBorder="1"/>
    <xf numFmtId="0" fontId="37" fillId="0" borderId="6" xfId="0" applyFont="1" applyBorder="1"/>
    <xf numFmtId="0" fontId="38" fillId="0" borderId="6" xfId="0" applyFont="1" applyBorder="1"/>
    <xf numFmtId="174" fontId="25" fillId="0" borderId="6" xfId="0" applyNumberFormat="1" applyFont="1" applyBorder="1" applyAlignment="1">
      <alignment horizontal="right"/>
    </xf>
    <xf numFmtId="175" fontId="36" fillId="0" borderId="6" xfId="0" applyNumberFormat="1" applyFont="1" applyBorder="1"/>
    <xf numFmtId="0" fontId="21" fillId="0" borderId="6" xfId="0" applyFont="1" applyBorder="1"/>
    <xf numFmtId="0" fontId="28" fillId="15" borderId="11" xfId="435" applyFont="1" applyFill="1" applyBorder="1" applyAlignment="1">
      <alignment horizontal="center" wrapText="1"/>
    </xf>
    <xf numFmtId="0" fontId="28" fillId="15" borderId="6" xfId="435" applyFont="1" applyFill="1" applyBorder="1" applyAlignment="1">
      <alignment horizontal="center"/>
    </xf>
    <xf numFmtId="0" fontId="28" fillId="15" borderId="9" xfId="435" applyFont="1" applyFill="1" applyBorder="1" applyAlignment="1">
      <alignment horizontal="center"/>
    </xf>
    <xf numFmtId="177" fontId="32" fillId="15" borderId="10" xfId="0" applyNumberFormat="1" applyFont="1" applyFill="1" applyBorder="1"/>
    <xf numFmtId="17" fontId="32" fillId="15" borderId="10" xfId="0" applyNumberFormat="1" applyFont="1" applyFill="1" applyBorder="1"/>
    <xf numFmtId="0" fontId="32" fillId="0" borderId="11" xfId="0" applyFont="1" applyBorder="1"/>
    <xf numFmtId="0" fontId="32" fillId="0" borderId="10" xfId="0" applyFont="1" applyBorder="1"/>
    <xf numFmtId="0" fontId="29" fillId="0" borderId="6" xfId="435" applyFont="1" applyBorder="1" applyAlignment="1">
      <alignment horizontal="center"/>
    </xf>
    <xf numFmtId="43" fontId="26" fillId="0" borderId="6" xfId="27" applyFont="1" applyFill="1" applyBorder="1" applyAlignment="1">
      <alignment horizontal="center"/>
    </xf>
    <xf numFmtId="171" fontId="26" fillId="0" borderId="6" xfId="459" applyNumberFormat="1" applyFont="1" applyFill="1" applyBorder="1" applyAlignment="1">
      <alignment horizontal="center"/>
    </xf>
    <xf numFmtId="0" fontId="26" fillId="16" borderId="6" xfId="459" applyNumberFormat="1" applyFont="1" applyFill="1" applyBorder="1" applyAlignment="1">
      <alignment horizontal="right"/>
    </xf>
    <xf numFmtId="0" fontId="26" fillId="16" borderId="6" xfId="459" applyNumberFormat="1" applyFont="1" applyFill="1" applyBorder="1" applyAlignment="1">
      <alignment horizontal="center"/>
    </xf>
    <xf numFmtId="0" fontId="32" fillId="0" borderId="6" xfId="0" applyFont="1" applyBorder="1" applyAlignment="1">
      <alignment horizontal="center"/>
    </xf>
    <xf numFmtId="171" fontId="25" fillId="0" borderId="6" xfId="461" applyNumberFormat="1" applyFont="1" applyFill="1" applyBorder="1" applyAlignment="1">
      <alignment horizontal="right"/>
    </xf>
    <xf numFmtId="171" fontId="25" fillId="0" borderId="6" xfId="461" applyNumberFormat="1" applyFont="1" applyFill="1" applyBorder="1" applyAlignment="1">
      <alignment horizontal="center"/>
    </xf>
    <xf numFmtId="2" fontId="25" fillId="16" borderId="6" xfId="461" applyNumberFormat="1" applyFont="1" applyFill="1" applyBorder="1" applyAlignment="1">
      <alignment horizontal="center"/>
    </xf>
    <xf numFmtId="9" fontId="29" fillId="0" borderId="6" xfId="435" applyNumberFormat="1" applyFont="1" applyBorder="1" applyAlignment="1">
      <alignment horizontal="center"/>
    </xf>
    <xf numFmtId="2" fontId="26" fillId="16" borderId="6" xfId="459" applyNumberFormat="1" applyFont="1" applyFill="1" applyBorder="1" applyAlignment="1">
      <alignment horizontal="center"/>
    </xf>
    <xf numFmtId="2" fontId="26" fillId="16" borderId="6" xfId="0" applyNumberFormat="1" applyFont="1" applyFill="1" applyBorder="1" applyAlignment="1">
      <alignment horizontal="center"/>
    </xf>
    <xf numFmtId="0" fontId="32" fillId="0" borderId="12" xfId="0" applyFont="1" applyBorder="1"/>
    <xf numFmtId="0" fontId="32" fillId="0" borderId="13" xfId="0" applyFont="1" applyBorder="1"/>
    <xf numFmtId="2" fontId="32" fillId="17" borderId="14" xfId="0" applyNumberFormat="1" applyFont="1" applyFill="1" applyBorder="1"/>
    <xf numFmtId="175" fontId="25" fillId="0" borderId="6" xfId="30" applyNumberFormat="1" applyFont="1" applyFill="1" applyBorder="1"/>
    <xf numFmtId="43" fontId="32" fillId="0" borderId="0" xfId="27" applyFont="1"/>
    <xf numFmtId="0" fontId="32" fillId="12" borderId="6" xfId="0" applyFont="1" applyFill="1" applyBorder="1"/>
    <xf numFmtId="0" fontId="26" fillId="12" borderId="16" xfId="0" applyFont="1" applyFill="1" applyBorder="1"/>
    <xf numFmtId="0" fontId="26" fillId="12" borderId="21" xfId="0" applyFont="1" applyFill="1" applyBorder="1"/>
    <xf numFmtId="0" fontId="26" fillId="0" borderId="22" xfId="0" applyFont="1" applyBorder="1"/>
    <xf numFmtId="175" fontId="26" fillId="0" borderId="17" xfId="27" applyNumberFormat="1" applyFont="1" applyBorder="1"/>
    <xf numFmtId="175" fontId="26" fillId="0" borderId="23" xfId="27" applyNumberFormat="1" applyFont="1" applyBorder="1"/>
    <xf numFmtId="0" fontId="26" fillId="0" borderId="24" xfId="0" applyFont="1" applyBorder="1"/>
    <xf numFmtId="175" fontId="26" fillId="14" borderId="17" xfId="27" applyNumberFormat="1" applyFont="1" applyFill="1" applyBorder="1"/>
    <xf numFmtId="175" fontId="26" fillId="0" borderId="25" xfId="27" applyNumberFormat="1" applyFont="1" applyBorder="1"/>
    <xf numFmtId="175" fontId="39" fillId="14" borderId="17" xfId="27" applyNumberFormat="1" applyFont="1" applyFill="1" applyBorder="1"/>
    <xf numFmtId="175" fontId="39" fillId="0" borderId="25" xfId="27" applyNumberFormat="1" applyFont="1" applyBorder="1"/>
    <xf numFmtId="43" fontId="26" fillId="0" borderId="0" xfId="27" applyFont="1" applyFill="1" applyBorder="1"/>
    <xf numFmtId="0" fontId="32" fillId="12" borderId="24" xfId="0" applyFont="1" applyFill="1" applyBorder="1"/>
    <xf numFmtId="175" fontId="40" fillId="12" borderId="17" xfId="27" applyNumberFormat="1" applyFont="1" applyFill="1" applyBorder="1"/>
    <xf numFmtId="175" fontId="40" fillId="12" borderId="25" xfId="27" applyNumberFormat="1" applyFont="1" applyFill="1" applyBorder="1"/>
    <xf numFmtId="43" fontId="40" fillId="12" borderId="25" xfId="27" applyFont="1" applyFill="1" applyBorder="1"/>
    <xf numFmtId="0" fontId="26" fillId="0" borderId="27" xfId="0" applyFont="1" applyBorder="1"/>
    <xf numFmtId="175" fontId="39" fillId="0" borderId="17" xfId="27" applyNumberFormat="1" applyFont="1" applyBorder="1"/>
    <xf numFmtId="0" fontId="32" fillId="12" borderId="28" xfId="0" applyFont="1" applyFill="1" applyBorder="1"/>
    <xf numFmtId="175" fontId="32" fillId="12" borderId="17" xfId="27" applyNumberFormat="1" applyFont="1" applyFill="1" applyBorder="1"/>
    <xf numFmtId="175" fontId="32" fillId="12" borderId="25" xfId="27" applyNumberFormat="1" applyFont="1" applyFill="1" applyBorder="1"/>
    <xf numFmtId="43" fontId="32" fillId="12" borderId="25" xfId="27" applyFont="1" applyFill="1" applyBorder="1"/>
    <xf numFmtId="0" fontId="26" fillId="0" borderId="29" xfId="0" applyFont="1" applyBorder="1"/>
    <xf numFmtId="0" fontId="32" fillId="12" borderId="29" xfId="0" applyFont="1" applyFill="1" applyBorder="1"/>
    <xf numFmtId="175" fontId="32" fillId="12" borderId="17" xfId="0" applyNumberFormat="1" applyFont="1" applyFill="1" applyBorder="1"/>
    <xf numFmtId="175" fontId="32" fillId="12" borderId="25" xfId="0" applyNumberFormat="1" applyFont="1" applyFill="1" applyBorder="1"/>
    <xf numFmtId="175" fontId="40" fillId="12" borderId="17" xfId="0" applyNumberFormat="1" applyFont="1" applyFill="1" applyBorder="1"/>
    <xf numFmtId="175" fontId="40" fillId="12" borderId="25" xfId="0" applyNumberFormat="1" applyFont="1" applyFill="1" applyBorder="1"/>
    <xf numFmtId="0" fontId="26" fillId="0" borderId="17" xfId="0" applyFont="1" applyBorder="1"/>
    <xf numFmtId="0" fontId="26" fillId="12" borderId="17" xfId="0" applyFont="1" applyFill="1" applyBorder="1"/>
    <xf numFmtId="0" fontId="26" fillId="12" borderId="25" xfId="0" applyFont="1" applyFill="1" applyBorder="1"/>
    <xf numFmtId="43" fontId="26" fillId="12" borderId="25" xfId="27" applyFont="1" applyFill="1" applyBorder="1"/>
    <xf numFmtId="0" fontId="26" fillId="0" borderId="25" xfId="0" applyFont="1" applyBorder="1"/>
    <xf numFmtId="175" fontId="26" fillId="12" borderId="17" xfId="0" applyNumberFormat="1" applyFont="1" applyFill="1" applyBorder="1"/>
    <xf numFmtId="175" fontId="26" fillId="12" borderId="25" xfId="0" applyNumberFormat="1" applyFont="1" applyFill="1" applyBorder="1"/>
    <xf numFmtId="175" fontId="39" fillId="0" borderId="17" xfId="0" applyNumberFormat="1" applyFont="1" applyBorder="1"/>
    <xf numFmtId="175" fontId="39" fillId="0" borderId="25" xfId="0" applyNumberFormat="1" applyFont="1" applyBorder="1"/>
    <xf numFmtId="175" fontId="40" fillId="12" borderId="30" xfId="0" applyNumberFormat="1" applyFont="1" applyFill="1" applyBorder="1"/>
    <xf numFmtId="43" fontId="40" fillId="12" borderId="30" xfId="27" applyFont="1" applyFill="1" applyBorder="1"/>
    <xf numFmtId="164" fontId="26" fillId="0" borderId="0" xfId="0" applyNumberFormat="1" applyFont="1"/>
    <xf numFmtId="164" fontId="28" fillId="8" borderId="7" xfId="0" applyNumberFormat="1" applyFont="1" applyFill="1" applyBorder="1" applyAlignment="1" applyProtection="1">
      <alignment vertical="top" wrapText="1" readingOrder="1"/>
      <protection locked="0"/>
    </xf>
    <xf numFmtId="164" fontId="28" fillId="12" borderId="7" xfId="27" applyNumberFormat="1" applyFont="1" applyFill="1" applyBorder="1" applyAlignment="1" applyProtection="1">
      <alignment vertical="top" wrapText="1" readingOrder="1"/>
      <protection locked="0"/>
    </xf>
    <xf numFmtId="164" fontId="32" fillId="0" borderId="0" xfId="0" applyNumberFormat="1" applyFont="1"/>
    <xf numFmtId="164" fontId="33" fillId="0" borderId="0" xfId="0" applyNumberFormat="1" applyFont="1"/>
    <xf numFmtId="164" fontId="34" fillId="12" borderId="7" xfId="27" applyNumberFormat="1" applyFont="1" applyFill="1" applyBorder="1" applyAlignment="1" applyProtection="1">
      <alignment vertical="top" wrapText="1" readingOrder="1"/>
      <protection locked="0"/>
    </xf>
    <xf numFmtId="164" fontId="0" fillId="0" borderId="0" xfId="0" applyNumberFormat="1"/>
    <xf numFmtId="164" fontId="28" fillId="13" borderId="7" xfId="27" applyNumberFormat="1" applyFont="1" applyFill="1" applyBorder="1" applyAlignment="1" applyProtection="1">
      <alignment vertical="top" wrapText="1" readingOrder="1"/>
      <protection locked="0"/>
    </xf>
    <xf numFmtId="0" fontId="41" fillId="0" borderId="0" xfId="0" applyFont="1" applyAlignment="1">
      <alignment horizontal="left"/>
    </xf>
    <xf numFmtId="0" fontId="41" fillId="0" borderId="0" xfId="0" applyFont="1"/>
    <xf numFmtId="0" fontId="41" fillId="0" borderId="6" xfId="0" applyFont="1" applyBorder="1"/>
    <xf numFmtId="0" fontId="41" fillId="0" borderId="36" xfId="0" applyFont="1" applyBorder="1"/>
    <xf numFmtId="0" fontId="41" fillId="0" borderId="17" xfId="0" applyFont="1" applyBorder="1" applyAlignment="1">
      <alignment wrapText="1"/>
    </xf>
    <xf numFmtId="0" fontId="22" fillId="0" borderId="0" xfId="0" applyFont="1"/>
    <xf numFmtId="0" fontId="18" fillId="0" borderId="0" xfId="0" applyFont="1"/>
    <xf numFmtId="17" fontId="22" fillId="0" borderId="0" xfId="0" applyNumberFormat="1" applyFont="1"/>
    <xf numFmtId="43" fontId="42" fillId="0" borderId="5" xfId="27" applyFont="1" applyFill="1" applyBorder="1" applyAlignment="1"/>
    <xf numFmtId="43" fontId="42" fillId="0" borderId="5" xfId="27" applyFont="1" applyBorder="1" applyAlignment="1">
      <alignment wrapText="1"/>
    </xf>
    <xf numFmtId="43" fontId="43" fillId="0" borderId="5" xfId="27" applyFont="1" applyBorder="1" applyAlignment="1"/>
    <xf numFmtId="180" fontId="44" fillId="0" borderId="7" xfId="0" applyNumberFormat="1" applyFont="1" applyBorder="1" applyAlignment="1" applyProtection="1">
      <alignment vertical="top" wrapText="1" readingOrder="1"/>
      <protection locked="0"/>
    </xf>
    <xf numFmtId="165" fontId="44" fillId="0" borderId="7" xfId="0" applyNumberFormat="1" applyFont="1" applyBorder="1" applyAlignment="1" applyProtection="1">
      <alignment vertical="top" wrapText="1" readingOrder="1"/>
      <protection locked="0"/>
    </xf>
    <xf numFmtId="43" fontId="43" fillId="0" borderId="5" xfId="27" applyFont="1" applyBorder="1" applyAlignment="1" applyProtection="1">
      <alignment horizontal="center"/>
    </xf>
    <xf numFmtId="165" fontId="44" fillId="0" borderId="7" xfId="0" applyNumberFormat="1" applyFont="1" applyBorder="1" applyAlignment="1">
      <alignment vertical="top" wrapText="1" readingOrder="1"/>
    </xf>
    <xf numFmtId="43" fontId="42" fillId="0" borderId="5" xfId="27" applyFont="1" applyBorder="1" applyAlignment="1"/>
    <xf numFmtId="180" fontId="42" fillId="0" borderId="5" xfId="27" applyNumberFormat="1" applyFont="1" applyBorder="1" applyAlignment="1" applyProtection="1"/>
    <xf numFmtId="43" fontId="42" fillId="0" borderId="5" xfId="27" applyFont="1" applyBorder="1" applyAlignment="1" applyProtection="1"/>
    <xf numFmtId="43" fontId="43" fillId="0" borderId="5" xfId="27" applyFont="1" applyBorder="1" applyAlignment="1" applyProtection="1">
      <protection locked="0"/>
    </xf>
    <xf numFmtId="43" fontId="43" fillId="0" borderId="5" xfId="27" applyFont="1" applyBorder="1" applyAlignment="1" applyProtection="1"/>
    <xf numFmtId="39" fontId="22" fillId="0" borderId="0" xfId="0" applyNumberFormat="1" applyFont="1"/>
    <xf numFmtId="9" fontId="22" fillId="0" borderId="0" xfId="459" applyFont="1"/>
    <xf numFmtId="175" fontId="42" fillId="0" borderId="5" xfId="27" applyNumberFormat="1" applyFont="1" applyBorder="1" applyAlignment="1" applyProtection="1"/>
    <xf numFmtId="43" fontId="44" fillId="0" borderId="7" xfId="27" applyFont="1" applyBorder="1" applyAlignment="1" applyProtection="1">
      <alignment vertical="top" wrapText="1" readingOrder="1"/>
      <protection locked="0"/>
    </xf>
    <xf numFmtId="164" fontId="22" fillId="0" borderId="0" xfId="0" applyNumberFormat="1" applyFont="1"/>
    <xf numFmtId="175" fontId="43" fillId="0" borderId="5" xfId="27" applyNumberFormat="1" applyFont="1" applyBorder="1" applyAlignment="1"/>
    <xf numFmtId="175" fontId="43" fillId="0" borderId="5" xfId="27" applyNumberFormat="1" applyFont="1" applyBorder="1" applyAlignment="1" applyProtection="1">
      <protection locked="0"/>
    </xf>
    <xf numFmtId="43" fontId="43" fillId="0" borderId="5" xfId="27" applyFont="1" applyFill="1" applyBorder="1" applyAlignment="1" applyProtection="1">
      <protection locked="0"/>
    </xf>
    <xf numFmtId="43" fontId="18" fillId="0" borderId="0" xfId="0" applyNumberFormat="1" applyFont="1"/>
    <xf numFmtId="9" fontId="18" fillId="0" borderId="0" xfId="459" applyFont="1"/>
    <xf numFmtId="17" fontId="32" fillId="0" borderId="38" xfId="0" applyNumberFormat="1" applyFont="1" applyBorder="1" applyAlignment="1" applyProtection="1">
      <alignment horizontal="center" wrapText="1"/>
      <protection locked="0"/>
    </xf>
    <xf numFmtId="17" fontId="32" fillId="0" borderId="40" xfId="0" applyNumberFormat="1" applyFont="1" applyBorder="1" applyAlignment="1" applyProtection="1">
      <alignment horizontal="center" wrapText="1"/>
      <protection locked="0"/>
    </xf>
    <xf numFmtId="164" fontId="25" fillId="0" borderId="0" xfId="0" applyNumberFormat="1" applyFont="1"/>
    <xf numFmtId="9" fontId="32" fillId="0" borderId="6" xfId="459" applyFont="1" applyBorder="1"/>
    <xf numFmtId="175" fontId="28" fillId="12" borderId="7" xfId="27" applyNumberFormat="1" applyFont="1" applyFill="1" applyBorder="1" applyAlignment="1" applyProtection="1">
      <alignment vertical="top" wrapText="1" readingOrder="1"/>
      <protection locked="0"/>
    </xf>
    <xf numFmtId="175" fontId="26" fillId="0" borderId="0" xfId="27" applyNumberFormat="1" applyFont="1"/>
    <xf numFmtId="175" fontId="32" fillId="0" borderId="0" xfId="27" applyNumberFormat="1" applyFont="1"/>
    <xf numFmtId="175" fontId="33" fillId="0" borderId="0" xfId="27" applyNumberFormat="1" applyFont="1"/>
    <xf numFmtId="175" fontId="34" fillId="12" borderId="7" xfId="27" applyNumberFormat="1" applyFont="1" applyFill="1" applyBorder="1" applyAlignment="1" applyProtection="1">
      <alignment vertical="top" wrapText="1" readingOrder="1"/>
      <protection locked="0"/>
    </xf>
    <xf numFmtId="175" fontId="28" fillId="13" borderId="7" xfId="27" applyNumberFormat="1" applyFont="1" applyFill="1" applyBorder="1" applyAlignment="1" applyProtection="1">
      <alignment vertical="top" wrapText="1" readingOrder="1"/>
      <protection locked="0"/>
    </xf>
    <xf numFmtId="175" fontId="0" fillId="0" borderId="0" xfId="27" applyNumberFormat="1" applyFont="1"/>
    <xf numFmtId="165" fontId="46" fillId="0" borderId="7" xfId="0" applyNumberFormat="1" applyFont="1" applyBorder="1" applyAlignment="1" applyProtection="1">
      <alignment vertical="top" wrapText="1" readingOrder="1"/>
      <protection locked="0"/>
    </xf>
    <xf numFmtId="0" fontId="47" fillId="0" borderId="46" xfId="0" applyFont="1" applyBorder="1" applyAlignment="1">
      <alignment wrapText="1" readingOrder="1"/>
    </xf>
    <xf numFmtId="4" fontId="47" fillId="0" borderId="46" xfId="0" applyNumberFormat="1" applyFont="1" applyBorder="1" applyAlignment="1">
      <alignment wrapText="1" readingOrder="1"/>
    </xf>
    <xf numFmtId="0" fontId="47" fillId="0" borderId="47" xfId="0" applyFont="1" applyBorder="1" applyAlignment="1">
      <alignment wrapText="1" readingOrder="1"/>
    </xf>
    <xf numFmtId="4" fontId="47" fillId="0" borderId="47" xfId="0" applyNumberFormat="1" applyFont="1" applyBorder="1" applyAlignment="1">
      <alignment wrapText="1" readingOrder="1"/>
    </xf>
    <xf numFmtId="0" fontId="48" fillId="0" borderId="46" xfId="0" applyFont="1" applyBorder="1" applyAlignment="1">
      <alignment wrapText="1" readingOrder="1"/>
    </xf>
    <xf numFmtId="4" fontId="48" fillId="0" borderId="46" xfId="0" applyNumberFormat="1" applyFont="1" applyBorder="1" applyAlignment="1">
      <alignment wrapText="1" readingOrder="1"/>
    </xf>
    <xf numFmtId="0" fontId="48" fillId="0" borderId="47" xfId="0" applyFont="1" applyBorder="1" applyAlignment="1">
      <alignment wrapText="1" readingOrder="1"/>
    </xf>
    <xf numFmtId="4" fontId="48" fillId="0" borderId="47" xfId="0" applyNumberFormat="1" applyFont="1" applyBorder="1" applyAlignment="1">
      <alignment wrapText="1" readingOrder="1"/>
    </xf>
    <xf numFmtId="4" fontId="48" fillId="14" borderId="47" xfId="0" applyNumberFormat="1" applyFont="1" applyFill="1" applyBorder="1" applyAlignment="1">
      <alignment wrapText="1" readingOrder="1"/>
    </xf>
    <xf numFmtId="0" fontId="35" fillId="0" borderId="0" xfId="0" applyFont="1" applyAlignment="1" applyProtection="1">
      <alignment vertical="top" wrapText="1" readingOrder="1"/>
      <protection locked="0"/>
    </xf>
    <xf numFmtId="0" fontId="21" fillId="16" borderId="41" xfId="0" applyFont="1" applyFill="1" applyBorder="1" applyAlignment="1">
      <alignment horizontal="left"/>
    </xf>
    <xf numFmtId="0" fontId="21" fillId="16" borderId="16" xfId="0" applyFont="1" applyFill="1" applyBorder="1" applyAlignment="1">
      <alignment horizontal="left"/>
    </xf>
    <xf numFmtId="0" fontId="21" fillId="16" borderId="42" xfId="0" applyFont="1" applyFill="1" applyBorder="1" applyAlignment="1">
      <alignment horizontal="left"/>
    </xf>
    <xf numFmtId="0" fontId="26" fillId="0" borderId="36" xfId="0" applyFont="1" applyBorder="1" applyAlignment="1" applyProtection="1">
      <alignment horizontal="center"/>
      <protection locked="0"/>
    </xf>
    <xf numFmtId="0" fontId="26" fillId="0" borderId="17" xfId="0" applyFont="1" applyBorder="1" applyAlignment="1" applyProtection="1">
      <alignment horizontal="center"/>
      <protection locked="0"/>
    </xf>
    <xf numFmtId="0" fontId="26" fillId="0" borderId="37" xfId="0" applyFont="1" applyBorder="1" applyAlignment="1" applyProtection="1">
      <alignment horizontal="center"/>
      <protection locked="0"/>
    </xf>
    <xf numFmtId="0" fontId="32" fillId="15" borderId="11" xfId="0" applyFont="1" applyFill="1" applyBorder="1" applyAlignment="1">
      <alignment horizontal="left"/>
    </xf>
    <xf numFmtId="0" fontId="32" fillId="15" borderId="6" xfId="0" applyFont="1" applyFill="1" applyBorder="1" applyAlignment="1">
      <alignment horizontal="left"/>
    </xf>
    <xf numFmtId="0" fontId="32" fillId="15" borderId="36" xfId="0" applyFont="1" applyFill="1" applyBorder="1" applyAlignment="1">
      <alignment horizontal="left"/>
    </xf>
    <xf numFmtId="0" fontId="32" fillId="15" borderId="10" xfId="0" applyFont="1" applyFill="1" applyBorder="1" applyAlignment="1">
      <alignment horizontal="left"/>
    </xf>
    <xf numFmtId="0" fontId="32" fillId="0" borderId="8" xfId="0" applyFont="1" applyBorder="1" applyAlignment="1" applyProtection="1">
      <alignment horizontal="center"/>
      <protection locked="0"/>
    </xf>
    <xf numFmtId="0" fontId="32" fillId="0" borderId="9" xfId="0" applyFont="1" applyBorder="1" applyAlignment="1" applyProtection="1">
      <alignment horizontal="center"/>
      <protection locked="0"/>
    </xf>
    <xf numFmtId="0" fontId="32" fillId="0" borderId="34" xfId="0" applyFont="1" applyBorder="1" applyAlignment="1" applyProtection="1">
      <alignment horizontal="center"/>
      <protection locked="0"/>
    </xf>
    <xf numFmtId="0" fontId="32" fillId="0" borderId="35" xfId="0" applyFont="1" applyBorder="1" applyAlignment="1" applyProtection="1">
      <alignment horizontal="center"/>
      <protection locked="0"/>
    </xf>
    <xf numFmtId="0" fontId="32" fillId="0" borderId="11" xfId="0" applyFont="1" applyBorder="1" applyAlignment="1" applyProtection="1">
      <alignment horizontal="center"/>
      <protection locked="0"/>
    </xf>
    <xf numFmtId="0" fontId="32" fillId="0" borderId="6" xfId="0" applyFont="1" applyBorder="1" applyAlignment="1" applyProtection="1">
      <alignment horizontal="center"/>
      <protection locked="0"/>
    </xf>
    <xf numFmtId="0" fontId="32" fillId="0" borderId="36" xfId="0" applyFont="1" applyBorder="1" applyAlignment="1" applyProtection="1">
      <alignment horizontal="center"/>
      <protection locked="0"/>
    </xf>
    <xf numFmtId="0" fontId="32" fillId="0" borderId="10" xfId="0" applyFont="1" applyBorder="1" applyAlignment="1" applyProtection="1">
      <alignment horizontal="center"/>
      <protection locked="0"/>
    </xf>
    <xf numFmtId="0" fontId="32" fillId="0" borderId="15" xfId="0" applyFont="1" applyBorder="1" applyAlignment="1">
      <alignment horizontal="center"/>
    </xf>
    <xf numFmtId="0" fontId="32" fillId="0" borderId="39" xfId="0" applyFont="1" applyBorder="1" applyAlignment="1">
      <alignment horizontal="center"/>
    </xf>
    <xf numFmtId="0" fontId="32" fillId="0" borderId="17" xfId="0" applyFont="1" applyBorder="1" applyAlignment="1" applyProtection="1">
      <alignment horizontal="center"/>
      <protection locked="0"/>
    </xf>
    <xf numFmtId="0" fontId="32" fillId="0" borderId="37" xfId="0" applyFont="1" applyBorder="1" applyAlignment="1" applyProtection="1">
      <alignment horizontal="center"/>
      <protection locked="0"/>
    </xf>
    <xf numFmtId="17" fontId="32" fillId="0" borderId="38" xfId="0" applyNumberFormat="1" applyFont="1" applyBorder="1" applyAlignment="1" applyProtection="1">
      <alignment horizontal="center" wrapText="1"/>
      <protection locked="0"/>
    </xf>
    <xf numFmtId="17" fontId="32" fillId="0" borderId="40" xfId="0" applyNumberFormat="1" applyFont="1" applyBorder="1" applyAlignment="1" applyProtection="1">
      <alignment horizontal="center" wrapText="1"/>
      <protection locked="0"/>
    </xf>
    <xf numFmtId="0" fontId="32" fillId="0" borderId="38" xfId="0" applyFont="1" applyBorder="1" applyAlignment="1">
      <alignment horizontal="center" wrapText="1"/>
    </xf>
    <xf numFmtId="0" fontId="32" fillId="0" borderId="40" xfId="0" applyFont="1" applyBorder="1" applyAlignment="1">
      <alignment horizontal="center" wrapText="1"/>
    </xf>
    <xf numFmtId="0" fontId="32" fillId="0" borderId="11" xfId="241" applyFont="1" applyBorder="1" applyAlignment="1">
      <alignment horizontal="left" vertical="top"/>
    </xf>
    <xf numFmtId="0" fontId="32" fillId="0" borderId="11" xfId="241" applyFont="1" applyBorder="1" applyAlignment="1">
      <alignment horizontal="left" vertical="top" wrapText="1"/>
    </xf>
    <xf numFmtId="0" fontId="32" fillId="0" borderId="11" xfId="0" applyFont="1" applyBorder="1" applyAlignment="1">
      <alignment horizontal="center" vertical="top" wrapText="1"/>
    </xf>
    <xf numFmtId="0" fontId="32" fillId="0" borderId="0" xfId="0" applyFont="1" applyAlignment="1">
      <alignment horizontal="center"/>
    </xf>
    <xf numFmtId="0" fontId="32" fillId="0" borderId="11" xfId="0" applyFont="1" applyBorder="1" applyAlignment="1">
      <alignment horizontal="center" vertical="top"/>
    </xf>
    <xf numFmtId="0" fontId="32" fillId="0" borderId="19" xfId="0" applyFont="1" applyBorder="1" applyAlignment="1">
      <alignment horizontal="center" wrapText="1"/>
    </xf>
    <xf numFmtId="0" fontId="32" fillId="0" borderId="0" xfId="0" applyFont="1" applyAlignment="1">
      <alignment horizontal="center" wrapText="1"/>
    </xf>
    <xf numFmtId="0" fontId="32" fillId="0" borderId="20" xfId="0" applyFont="1" applyBorder="1" applyAlignment="1">
      <alignment horizontal="center" wrapText="1"/>
    </xf>
    <xf numFmtId="0" fontId="47" fillId="0" borderId="46" xfId="0" applyFont="1" applyFill="1" applyBorder="1" applyAlignment="1">
      <alignment wrapText="1" readingOrder="1"/>
    </xf>
    <xf numFmtId="4" fontId="47" fillId="0" borderId="46" xfId="0" applyNumberFormat="1" applyFont="1" applyFill="1" applyBorder="1" applyAlignment="1">
      <alignment wrapText="1" readingOrder="1"/>
    </xf>
    <xf numFmtId="0" fontId="47" fillId="0" borderId="47" xfId="0" applyFont="1" applyFill="1" applyBorder="1" applyAlignment="1">
      <alignment wrapText="1" readingOrder="1"/>
    </xf>
    <xf numFmtId="4" fontId="47" fillId="0" borderId="47" xfId="0" applyNumberFormat="1" applyFont="1" applyFill="1" applyBorder="1" applyAlignment="1">
      <alignment wrapText="1" readingOrder="1"/>
    </xf>
    <xf numFmtId="0" fontId="48" fillId="0" borderId="46" xfId="0" applyFont="1" applyFill="1" applyBorder="1" applyAlignment="1">
      <alignment wrapText="1" readingOrder="1"/>
    </xf>
    <xf numFmtId="4" fontId="48" fillId="0" borderId="46" xfId="0" applyNumberFormat="1" applyFont="1" applyFill="1" applyBorder="1" applyAlignment="1">
      <alignment wrapText="1" readingOrder="1"/>
    </xf>
    <xf numFmtId="0" fontId="48" fillId="0" borderId="47" xfId="0" applyFont="1" applyFill="1" applyBorder="1" applyAlignment="1">
      <alignment wrapText="1" readingOrder="1"/>
    </xf>
    <xf numFmtId="4" fontId="48" fillId="0" borderId="47" xfId="0" applyNumberFormat="1" applyFont="1" applyFill="1" applyBorder="1" applyAlignment="1">
      <alignment wrapText="1" readingOrder="1"/>
    </xf>
    <xf numFmtId="0" fontId="26" fillId="0" borderId="0" xfId="0" applyFont="1" applyAlignment="1"/>
  </cellXfs>
  <cellStyles count="465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30" xr:uid="{00000000-0005-0000-0000-00001D000000}"/>
    <cellStyle name="Comma 10 11" xfId="31" xr:uid="{00000000-0005-0000-0000-00001E000000}"/>
    <cellStyle name="Comma 10 12" xfId="32" xr:uid="{00000000-0005-0000-0000-00001F000000}"/>
    <cellStyle name="Comma 10 13" xfId="33" xr:uid="{00000000-0005-0000-0000-000020000000}"/>
    <cellStyle name="Comma 10 14" xfId="34" xr:uid="{00000000-0005-0000-0000-000021000000}"/>
    <cellStyle name="Comma 10 15" xfId="35" xr:uid="{00000000-0005-0000-0000-000022000000}"/>
    <cellStyle name="Comma 10 16" xfId="36" xr:uid="{00000000-0005-0000-0000-000023000000}"/>
    <cellStyle name="Comma 10 2" xfId="37" xr:uid="{00000000-0005-0000-0000-000024000000}"/>
    <cellStyle name="Comma 10 3" xfId="38" xr:uid="{00000000-0005-0000-0000-000025000000}"/>
    <cellStyle name="Comma 10 4" xfId="39" xr:uid="{00000000-0005-0000-0000-000026000000}"/>
    <cellStyle name="Comma 10 5" xfId="40" xr:uid="{00000000-0005-0000-0000-000027000000}"/>
    <cellStyle name="Comma 10 6" xfId="41" xr:uid="{00000000-0005-0000-0000-000028000000}"/>
    <cellStyle name="Comma 10 7" xfId="42" xr:uid="{00000000-0005-0000-0000-000029000000}"/>
    <cellStyle name="Comma 10 8" xfId="43" xr:uid="{00000000-0005-0000-0000-00002A000000}"/>
    <cellStyle name="Comma 10 9" xfId="44" xr:uid="{00000000-0005-0000-0000-00002B000000}"/>
    <cellStyle name="Comma 11" xfId="45" xr:uid="{00000000-0005-0000-0000-00002C000000}"/>
    <cellStyle name="Comma 11 10" xfId="46" xr:uid="{00000000-0005-0000-0000-00002D000000}"/>
    <cellStyle name="Comma 11 11" xfId="47" xr:uid="{00000000-0005-0000-0000-00002E000000}"/>
    <cellStyle name="Comma 11 12" xfId="48" xr:uid="{00000000-0005-0000-0000-00002F000000}"/>
    <cellStyle name="Comma 11 13" xfId="49" xr:uid="{00000000-0005-0000-0000-000030000000}"/>
    <cellStyle name="Comma 11 14" xfId="50" xr:uid="{00000000-0005-0000-0000-000031000000}"/>
    <cellStyle name="Comma 11 15" xfId="51" xr:uid="{00000000-0005-0000-0000-000032000000}"/>
    <cellStyle name="Comma 11 16" xfId="52" xr:uid="{00000000-0005-0000-0000-000033000000}"/>
    <cellStyle name="Comma 11 17" xfId="53" xr:uid="{00000000-0005-0000-0000-000034000000}"/>
    <cellStyle name="Comma 11 2" xfId="54" xr:uid="{00000000-0005-0000-0000-000035000000}"/>
    <cellStyle name="Comma 11 2 2" xfId="55" xr:uid="{00000000-0005-0000-0000-000036000000}"/>
    <cellStyle name="Comma 11 3" xfId="56" xr:uid="{00000000-0005-0000-0000-000037000000}"/>
    <cellStyle name="Comma 11 4" xfId="57" xr:uid="{00000000-0005-0000-0000-000038000000}"/>
    <cellStyle name="Comma 11 5" xfId="58" xr:uid="{00000000-0005-0000-0000-000039000000}"/>
    <cellStyle name="Comma 11 6" xfId="59" xr:uid="{00000000-0005-0000-0000-00003A000000}"/>
    <cellStyle name="Comma 11 7" xfId="60" xr:uid="{00000000-0005-0000-0000-00003B000000}"/>
    <cellStyle name="Comma 11 8" xfId="61" xr:uid="{00000000-0005-0000-0000-00003C000000}"/>
    <cellStyle name="Comma 11 9" xfId="62" xr:uid="{00000000-0005-0000-0000-00003D000000}"/>
    <cellStyle name="Comma 12" xfId="63" xr:uid="{00000000-0005-0000-0000-00003E000000}"/>
    <cellStyle name="Comma 13" xfId="64" xr:uid="{00000000-0005-0000-0000-00003F000000}"/>
    <cellStyle name="Comma 14" xfId="65" xr:uid="{00000000-0005-0000-0000-000040000000}"/>
    <cellStyle name="Comma 15" xfId="66" xr:uid="{00000000-0005-0000-0000-000041000000}"/>
    <cellStyle name="Comma 16" xfId="67" xr:uid="{00000000-0005-0000-0000-000042000000}"/>
    <cellStyle name="Comma 16 10" xfId="68" xr:uid="{00000000-0005-0000-0000-000043000000}"/>
    <cellStyle name="Comma 16 11" xfId="69" xr:uid="{00000000-0005-0000-0000-000044000000}"/>
    <cellStyle name="Comma 16 12" xfId="70" xr:uid="{00000000-0005-0000-0000-000045000000}"/>
    <cellStyle name="Comma 16 13" xfId="71" xr:uid="{00000000-0005-0000-0000-000046000000}"/>
    <cellStyle name="Comma 16 14" xfId="72" xr:uid="{00000000-0005-0000-0000-000047000000}"/>
    <cellStyle name="Comma 16 15" xfId="73" xr:uid="{00000000-0005-0000-0000-000048000000}"/>
    <cellStyle name="Comma 16 16" xfId="74" xr:uid="{00000000-0005-0000-0000-000049000000}"/>
    <cellStyle name="Comma 16 2" xfId="75" xr:uid="{00000000-0005-0000-0000-00004A000000}"/>
    <cellStyle name="Comma 16 3" xfId="76" xr:uid="{00000000-0005-0000-0000-00004B000000}"/>
    <cellStyle name="Comma 16 4" xfId="77" xr:uid="{00000000-0005-0000-0000-00004C000000}"/>
    <cellStyle name="Comma 16 5" xfId="78" xr:uid="{00000000-0005-0000-0000-00004D000000}"/>
    <cellStyle name="Comma 16 6" xfId="79" xr:uid="{00000000-0005-0000-0000-00004E000000}"/>
    <cellStyle name="Comma 16 7" xfId="80" xr:uid="{00000000-0005-0000-0000-00004F000000}"/>
    <cellStyle name="Comma 16 8" xfId="81" xr:uid="{00000000-0005-0000-0000-000050000000}"/>
    <cellStyle name="Comma 16 9" xfId="82" xr:uid="{00000000-0005-0000-0000-000051000000}"/>
    <cellStyle name="Comma 17" xfId="83" xr:uid="{00000000-0005-0000-0000-000052000000}"/>
    <cellStyle name="Comma 17 10" xfId="84" xr:uid="{00000000-0005-0000-0000-000053000000}"/>
    <cellStyle name="Comma 17 2" xfId="85" xr:uid="{00000000-0005-0000-0000-000054000000}"/>
    <cellStyle name="Comma 17 3" xfId="86" xr:uid="{00000000-0005-0000-0000-000055000000}"/>
    <cellStyle name="Comma 17 4" xfId="87" xr:uid="{00000000-0005-0000-0000-000056000000}"/>
    <cellStyle name="Comma 17 5" xfId="88" xr:uid="{00000000-0005-0000-0000-000057000000}"/>
    <cellStyle name="Comma 17 6" xfId="89" xr:uid="{00000000-0005-0000-0000-000058000000}"/>
    <cellStyle name="Comma 17 7" xfId="90" xr:uid="{00000000-0005-0000-0000-000059000000}"/>
    <cellStyle name="Comma 17 8" xfId="91" xr:uid="{00000000-0005-0000-0000-00005A000000}"/>
    <cellStyle name="Comma 17 9" xfId="92" xr:uid="{00000000-0005-0000-0000-00005B000000}"/>
    <cellStyle name="Comma 18" xfId="93" xr:uid="{00000000-0005-0000-0000-00005C000000}"/>
    <cellStyle name="Comma 18 2" xfId="94" xr:uid="{00000000-0005-0000-0000-00005D000000}"/>
    <cellStyle name="Comma 18 3" xfId="95" xr:uid="{00000000-0005-0000-0000-00005E000000}"/>
    <cellStyle name="Comma 2" xfId="96" xr:uid="{00000000-0005-0000-0000-00005F000000}"/>
    <cellStyle name="Comma 2 10" xfId="97" xr:uid="{00000000-0005-0000-0000-000060000000}"/>
    <cellStyle name="Comma 2 11" xfId="98" xr:uid="{00000000-0005-0000-0000-000061000000}"/>
    <cellStyle name="Comma 2 12" xfId="99" xr:uid="{00000000-0005-0000-0000-000062000000}"/>
    <cellStyle name="Comma 2 13" xfId="100" xr:uid="{00000000-0005-0000-0000-000063000000}"/>
    <cellStyle name="Comma 2 14" xfId="101" xr:uid="{00000000-0005-0000-0000-000064000000}"/>
    <cellStyle name="Comma 2 15" xfId="102" xr:uid="{00000000-0005-0000-0000-000065000000}"/>
    <cellStyle name="Comma 2 16" xfId="103" xr:uid="{00000000-0005-0000-0000-000066000000}"/>
    <cellStyle name="Comma 2 17" xfId="104" xr:uid="{00000000-0005-0000-0000-000067000000}"/>
    <cellStyle name="Comma 2 18" xfId="105" xr:uid="{00000000-0005-0000-0000-000068000000}"/>
    <cellStyle name="Comma 2 19" xfId="106" xr:uid="{00000000-0005-0000-0000-000069000000}"/>
    <cellStyle name="Comma 2 2" xfId="107" xr:uid="{00000000-0005-0000-0000-00006A000000}"/>
    <cellStyle name="Comma 2 20" xfId="108" xr:uid="{00000000-0005-0000-0000-00006B000000}"/>
    <cellStyle name="Comma 2 21" xfId="109" xr:uid="{00000000-0005-0000-0000-00006C000000}"/>
    <cellStyle name="Comma 2 22" xfId="110" xr:uid="{00000000-0005-0000-0000-00006D000000}"/>
    <cellStyle name="Comma 2 23" xfId="111" xr:uid="{00000000-0005-0000-0000-00006E000000}"/>
    <cellStyle name="Comma 2 24" xfId="112" xr:uid="{00000000-0005-0000-0000-00006F000000}"/>
    <cellStyle name="Comma 2 25" xfId="113" xr:uid="{00000000-0005-0000-0000-000070000000}"/>
    <cellStyle name="Comma 2 26" xfId="114" xr:uid="{00000000-0005-0000-0000-000071000000}"/>
    <cellStyle name="Comma 2 3" xfId="115" xr:uid="{00000000-0005-0000-0000-000072000000}"/>
    <cellStyle name="Comma 2 4" xfId="116" xr:uid="{00000000-0005-0000-0000-000073000000}"/>
    <cellStyle name="Comma 2 5" xfId="117" xr:uid="{00000000-0005-0000-0000-000074000000}"/>
    <cellStyle name="Comma 2 6" xfId="118" xr:uid="{00000000-0005-0000-0000-000075000000}"/>
    <cellStyle name="Comma 2 7" xfId="119" xr:uid="{00000000-0005-0000-0000-000076000000}"/>
    <cellStyle name="Comma 2 8" xfId="120" xr:uid="{00000000-0005-0000-0000-000077000000}"/>
    <cellStyle name="Comma 2 9" xfId="121" xr:uid="{00000000-0005-0000-0000-000078000000}"/>
    <cellStyle name="Comma 24" xfId="122" xr:uid="{00000000-0005-0000-0000-000079000000}"/>
    <cellStyle name="Comma 3" xfId="123" xr:uid="{00000000-0005-0000-0000-00007A000000}"/>
    <cellStyle name="Comma 3 10" xfId="124" xr:uid="{00000000-0005-0000-0000-00007B000000}"/>
    <cellStyle name="Comma 3 11" xfId="125" xr:uid="{00000000-0005-0000-0000-00007C000000}"/>
    <cellStyle name="Comma 3 12" xfId="126" xr:uid="{00000000-0005-0000-0000-00007D000000}"/>
    <cellStyle name="Comma 3 13" xfId="127" xr:uid="{00000000-0005-0000-0000-00007E000000}"/>
    <cellStyle name="Comma 3 14" xfId="128" xr:uid="{00000000-0005-0000-0000-00007F000000}"/>
    <cellStyle name="Comma 3 15" xfId="129" xr:uid="{00000000-0005-0000-0000-000080000000}"/>
    <cellStyle name="Comma 3 16" xfId="130" xr:uid="{00000000-0005-0000-0000-000081000000}"/>
    <cellStyle name="Comma 3 17" xfId="131" xr:uid="{00000000-0005-0000-0000-000082000000}"/>
    <cellStyle name="Comma 3 18" xfId="132" xr:uid="{00000000-0005-0000-0000-000083000000}"/>
    <cellStyle name="Comma 3 19" xfId="133" xr:uid="{00000000-0005-0000-0000-000084000000}"/>
    <cellStyle name="Comma 3 2" xfId="134" xr:uid="{00000000-0005-0000-0000-000085000000}"/>
    <cellStyle name="Comma 3 20" xfId="135" xr:uid="{00000000-0005-0000-0000-000086000000}"/>
    <cellStyle name="Comma 3 3" xfId="136" xr:uid="{00000000-0005-0000-0000-000087000000}"/>
    <cellStyle name="Comma 3 4" xfId="137" xr:uid="{00000000-0005-0000-0000-000088000000}"/>
    <cellStyle name="Comma 3 5" xfId="138" xr:uid="{00000000-0005-0000-0000-000089000000}"/>
    <cellStyle name="Comma 3 6" xfId="139" xr:uid="{00000000-0005-0000-0000-00008A000000}"/>
    <cellStyle name="Comma 3 7" xfId="140" xr:uid="{00000000-0005-0000-0000-00008B000000}"/>
    <cellStyle name="Comma 3 8" xfId="141" xr:uid="{00000000-0005-0000-0000-00008C000000}"/>
    <cellStyle name="Comma 3 9" xfId="142" xr:uid="{00000000-0005-0000-0000-00008D000000}"/>
    <cellStyle name="Comma 4" xfId="143" xr:uid="{00000000-0005-0000-0000-00008E000000}"/>
    <cellStyle name="Comma 5" xfId="144" xr:uid="{00000000-0005-0000-0000-00008F000000}"/>
    <cellStyle name="Comma 5 10" xfId="145" xr:uid="{00000000-0005-0000-0000-000090000000}"/>
    <cellStyle name="Comma 5 11" xfId="146" xr:uid="{00000000-0005-0000-0000-000091000000}"/>
    <cellStyle name="Comma 5 12" xfId="147" xr:uid="{00000000-0005-0000-0000-000092000000}"/>
    <cellStyle name="Comma 5 13" xfId="148" xr:uid="{00000000-0005-0000-0000-000093000000}"/>
    <cellStyle name="Comma 5 14" xfId="149" xr:uid="{00000000-0005-0000-0000-000094000000}"/>
    <cellStyle name="Comma 5 15" xfId="150" xr:uid="{00000000-0005-0000-0000-000095000000}"/>
    <cellStyle name="Comma 5 16" xfId="151" xr:uid="{00000000-0005-0000-0000-000096000000}"/>
    <cellStyle name="Comma 5 17" xfId="152" xr:uid="{00000000-0005-0000-0000-000097000000}"/>
    <cellStyle name="Comma 5 18" xfId="153" xr:uid="{00000000-0005-0000-0000-000098000000}"/>
    <cellStyle name="Comma 5 19" xfId="154" xr:uid="{00000000-0005-0000-0000-000099000000}"/>
    <cellStyle name="Comma 5 2" xfId="155" xr:uid="{00000000-0005-0000-0000-00009A000000}"/>
    <cellStyle name="Comma 5 20" xfId="156" xr:uid="{00000000-0005-0000-0000-00009B000000}"/>
    <cellStyle name="Comma 5 3" xfId="157" xr:uid="{00000000-0005-0000-0000-00009C000000}"/>
    <cellStyle name="Comma 5 4" xfId="158" xr:uid="{00000000-0005-0000-0000-00009D000000}"/>
    <cellStyle name="Comma 5 5" xfId="159" xr:uid="{00000000-0005-0000-0000-00009E000000}"/>
    <cellStyle name="Comma 5 6" xfId="160" xr:uid="{00000000-0005-0000-0000-00009F000000}"/>
    <cellStyle name="Comma 5 7" xfId="161" xr:uid="{00000000-0005-0000-0000-0000A0000000}"/>
    <cellStyle name="Comma 5 8" xfId="162" xr:uid="{00000000-0005-0000-0000-0000A1000000}"/>
    <cellStyle name="Comma 5 9" xfId="163" xr:uid="{00000000-0005-0000-0000-0000A2000000}"/>
    <cellStyle name="Comma 6" xfId="164" xr:uid="{00000000-0005-0000-0000-0000A3000000}"/>
    <cellStyle name="Comma 6 10" xfId="165" xr:uid="{00000000-0005-0000-0000-0000A4000000}"/>
    <cellStyle name="Comma 6 11" xfId="166" xr:uid="{00000000-0005-0000-0000-0000A5000000}"/>
    <cellStyle name="Comma 6 12" xfId="167" xr:uid="{00000000-0005-0000-0000-0000A6000000}"/>
    <cellStyle name="Comma 6 13" xfId="168" xr:uid="{00000000-0005-0000-0000-0000A7000000}"/>
    <cellStyle name="Comma 6 14" xfId="169" xr:uid="{00000000-0005-0000-0000-0000A8000000}"/>
    <cellStyle name="Comma 6 15" xfId="170" xr:uid="{00000000-0005-0000-0000-0000A9000000}"/>
    <cellStyle name="Comma 6 16" xfId="171" xr:uid="{00000000-0005-0000-0000-0000AA000000}"/>
    <cellStyle name="Comma 6 17" xfId="172" xr:uid="{00000000-0005-0000-0000-0000AB000000}"/>
    <cellStyle name="Comma 6 18" xfId="173" xr:uid="{00000000-0005-0000-0000-0000AC000000}"/>
    <cellStyle name="Comma 6 19" xfId="174" xr:uid="{00000000-0005-0000-0000-0000AD000000}"/>
    <cellStyle name="Comma 6 2" xfId="175" xr:uid="{00000000-0005-0000-0000-0000AE000000}"/>
    <cellStyle name="Comma 6 3" xfId="176" xr:uid="{00000000-0005-0000-0000-0000AF000000}"/>
    <cellStyle name="Comma 6 4" xfId="177" xr:uid="{00000000-0005-0000-0000-0000B0000000}"/>
    <cellStyle name="Comma 6 5" xfId="178" xr:uid="{00000000-0005-0000-0000-0000B1000000}"/>
    <cellStyle name="Comma 6 6" xfId="179" xr:uid="{00000000-0005-0000-0000-0000B2000000}"/>
    <cellStyle name="Comma 6 7" xfId="180" xr:uid="{00000000-0005-0000-0000-0000B3000000}"/>
    <cellStyle name="Comma 6 8" xfId="181" xr:uid="{00000000-0005-0000-0000-0000B4000000}"/>
    <cellStyle name="Comma 6 9" xfId="182" xr:uid="{00000000-0005-0000-0000-0000B5000000}"/>
    <cellStyle name="Comma 7" xfId="183" xr:uid="{00000000-0005-0000-0000-0000B6000000}"/>
    <cellStyle name="Comma 7 10" xfId="184" xr:uid="{00000000-0005-0000-0000-0000B7000000}"/>
    <cellStyle name="Comma 7 11" xfId="185" xr:uid="{00000000-0005-0000-0000-0000B8000000}"/>
    <cellStyle name="Comma 7 12" xfId="186" xr:uid="{00000000-0005-0000-0000-0000B9000000}"/>
    <cellStyle name="Comma 7 13" xfId="187" xr:uid="{00000000-0005-0000-0000-0000BA000000}"/>
    <cellStyle name="Comma 7 14" xfId="188" xr:uid="{00000000-0005-0000-0000-0000BB000000}"/>
    <cellStyle name="Comma 7 15" xfId="189" xr:uid="{00000000-0005-0000-0000-0000BC000000}"/>
    <cellStyle name="Comma 7 16" xfId="190" xr:uid="{00000000-0005-0000-0000-0000BD000000}"/>
    <cellStyle name="Comma 7 17" xfId="191" xr:uid="{00000000-0005-0000-0000-0000BE000000}"/>
    <cellStyle name="Comma 7 18" xfId="192" xr:uid="{00000000-0005-0000-0000-0000BF000000}"/>
    <cellStyle name="Comma 7 19" xfId="193" xr:uid="{00000000-0005-0000-0000-0000C0000000}"/>
    <cellStyle name="Comma 7 2" xfId="194" xr:uid="{00000000-0005-0000-0000-0000C1000000}"/>
    <cellStyle name="Comma 7 3" xfId="195" xr:uid="{00000000-0005-0000-0000-0000C2000000}"/>
    <cellStyle name="Comma 7 4" xfId="196" xr:uid="{00000000-0005-0000-0000-0000C3000000}"/>
    <cellStyle name="Comma 7 5" xfId="197" xr:uid="{00000000-0005-0000-0000-0000C4000000}"/>
    <cellStyle name="Comma 7 6" xfId="198" xr:uid="{00000000-0005-0000-0000-0000C5000000}"/>
    <cellStyle name="Comma 7 7" xfId="199" xr:uid="{00000000-0005-0000-0000-0000C6000000}"/>
    <cellStyle name="Comma 7 8" xfId="200" xr:uid="{00000000-0005-0000-0000-0000C7000000}"/>
    <cellStyle name="Comma 7 9" xfId="201" xr:uid="{00000000-0005-0000-0000-0000C8000000}"/>
    <cellStyle name="Comma 8" xfId="202" xr:uid="{00000000-0005-0000-0000-0000C9000000}"/>
    <cellStyle name="Comma 8 10" xfId="203" xr:uid="{00000000-0005-0000-0000-0000CA000000}"/>
    <cellStyle name="Comma 8 11" xfId="204" xr:uid="{00000000-0005-0000-0000-0000CB000000}"/>
    <cellStyle name="Comma 8 12" xfId="205" xr:uid="{00000000-0005-0000-0000-0000CC000000}"/>
    <cellStyle name="Comma 8 13" xfId="206" xr:uid="{00000000-0005-0000-0000-0000CD000000}"/>
    <cellStyle name="Comma 8 14" xfId="207" xr:uid="{00000000-0005-0000-0000-0000CE000000}"/>
    <cellStyle name="Comma 8 15" xfId="208" xr:uid="{00000000-0005-0000-0000-0000CF000000}"/>
    <cellStyle name="Comma 8 16" xfId="209" xr:uid="{00000000-0005-0000-0000-0000D0000000}"/>
    <cellStyle name="Comma 8 17" xfId="210" xr:uid="{00000000-0005-0000-0000-0000D1000000}"/>
    <cellStyle name="Comma 8 18" xfId="211" xr:uid="{00000000-0005-0000-0000-0000D2000000}"/>
    <cellStyle name="Comma 8 19" xfId="212" xr:uid="{00000000-0005-0000-0000-0000D3000000}"/>
    <cellStyle name="Comma 8 2" xfId="213" xr:uid="{00000000-0005-0000-0000-0000D4000000}"/>
    <cellStyle name="Comma 8 3" xfId="214" xr:uid="{00000000-0005-0000-0000-0000D5000000}"/>
    <cellStyle name="Comma 8 4" xfId="215" xr:uid="{00000000-0005-0000-0000-0000D6000000}"/>
    <cellStyle name="Comma 8 5" xfId="216" xr:uid="{00000000-0005-0000-0000-0000D7000000}"/>
    <cellStyle name="Comma 8 6" xfId="217" xr:uid="{00000000-0005-0000-0000-0000D8000000}"/>
    <cellStyle name="Comma 8 7" xfId="218" xr:uid="{00000000-0005-0000-0000-0000D9000000}"/>
    <cellStyle name="Comma 8 8" xfId="219" xr:uid="{00000000-0005-0000-0000-0000DA000000}"/>
    <cellStyle name="Comma 8 9" xfId="220" xr:uid="{00000000-0005-0000-0000-0000DB000000}"/>
    <cellStyle name="Comma 9" xfId="221" xr:uid="{00000000-0005-0000-0000-0000DC000000}"/>
    <cellStyle name="Comma 9 10" xfId="222" xr:uid="{00000000-0005-0000-0000-0000DD000000}"/>
    <cellStyle name="Comma 9 11" xfId="223" xr:uid="{00000000-0005-0000-0000-0000DE000000}"/>
    <cellStyle name="Comma 9 12" xfId="224" xr:uid="{00000000-0005-0000-0000-0000DF000000}"/>
    <cellStyle name="Comma 9 13" xfId="225" xr:uid="{00000000-0005-0000-0000-0000E0000000}"/>
    <cellStyle name="Comma 9 14" xfId="226" xr:uid="{00000000-0005-0000-0000-0000E1000000}"/>
    <cellStyle name="Comma 9 15" xfId="227" xr:uid="{00000000-0005-0000-0000-0000E2000000}"/>
    <cellStyle name="Comma 9 16" xfId="228" xr:uid="{00000000-0005-0000-0000-0000E3000000}"/>
    <cellStyle name="Comma 9 17" xfId="229" xr:uid="{00000000-0005-0000-0000-0000E4000000}"/>
    <cellStyle name="Comma 9 18" xfId="230" xr:uid="{00000000-0005-0000-0000-0000E5000000}"/>
    <cellStyle name="Comma 9 19" xfId="231" xr:uid="{00000000-0005-0000-0000-0000E6000000}"/>
    <cellStyle name="Comma 9 2" xfId="232" xr:uid="{00000000-0005-0000-0000-0000E7000000}"/>
    <cellStyle name="Comma 9 3" xfId="233" xr:uid="{00000000-0005-0000-0000-0000E8000000}"/>
    <cellStyle name="Comma 9 4" xfId="234" xr:uid="{00000000-0005-0000-0000-0000E9000000}"/>
    <cellStyle name="Comma 9 5" xfId="235" xr:uid="{00000000-0005-0000-0000-0000EA000000}"/>
    <cellStyle name="Comma 9 6" xfId="236" xr:uid="{00000000-0005-0000-0000-0000EB000000}"/>
    <cellStyle name="Comma 9 7" xfId="237" xr:uid="{00000000-0005-0000-0000-0000EC000000}"/>
    <cellStyle name="Comma 9 8" xfId="238" xr:uid="{00000000-0005-0000-0000-0000ED000000}"/>
    <cellStyle name="Comma 9 9" xfId="239" xr:uid="{00000000-0005-0000-0000-0000EE000000}"/>
    <cellStyle name="Input 2" xfId="240" xr:uid="{00000000-0005-0000-0000-0000EF000000}"/>
    <cellStyle name="Normal" xfId="0" builtinId="0"/>
    <cellStyle name="Normal 10" xfId="241" xr:uid="{00000000-0005-0000-0000-0000F1000000}"/>
    <cellStyle name="Normal 10 2" xfId="242" xr:uid="{00000000-0005-0000-0000-0000F2000000}"/>
    <cellStyle name="Normal 10 3" xfId="243" xr:uid="{00000000-0005-0000-0000-0000F3000000}"/>
    <cellStyle name="Normal 10 4" xfId="244" xr:uid="{00000000-0005-0000-0000-0000F4000000}"/>
    <cellStyle name="Normal 10 5" xfId="245" xr:uid="{00000000-0005-0000-0000-0000F5000000}"/>
    <cellStyle name="Normal 11" xfId="246" xr:uid="{00000000-0005-0000-0000-0000F6000000}"/>
    <cellStyle name="Normal 12" xfId="247" xr:uid="{00000000-0005-0000-0000-0000F7000000}"/>
    <cellStyle name="Normal 12 2" xfId="248" xr:uid="{00000000-0005-0000-0000-0000F8000000}"/>
    <cellStyle name="Normal 12 3" xfId="249" xr:uid="{00000000-0005-0000-0000-0000F9000000}"/>
    <cellStyle name="Normal 12 4" xfId="250" xr:uid="{00000000-0005-0000-0000-0000FA000000}"/>
    <cellStyle name="Normal 12 5" xfId="251" xr:uid="{00000000-0005-0000-0000-0000FB000000}"/>
    <cellStyle name="Normal 13" xfId="252" xr:uid="{00000000-0005-0000-0000-0000FC000000}"/>
    <cellStyle name="Normal 13 2" xfId="253" xr:uid="{00000000-0005-0000-0000-0000FD000000}"/>
    <cellStyle name="Normal 13 3" xfId="254" xr:uid="{00000000-0005-0000-0000-0000FE000000}"/>
    <cellStyle name="Normal 13 4" xfId="255" xr:uid="{00000000-0005-0000-0000-0000FF000000}"/>
    <cellStyle name="Normal 13 5" xfId="256" xr:uid="{00000000-0005-0000-0000-000000010000}"/>
    <cellStyle name="Normal 14" xfId="257" xr:uid="{00000000-0005-0000-0000-000001010000}"/>
    <cellStyle name="Normal 14 10" xfId="258" xr:uid="{00000000-0005-0000-0000-000002010000}"/>
    <cellStyle name="Normal 14 11" xfId="259" xr:uid="{00000000-0005-0000-0000-000003010000}"/>
    <cellStyle name="Normal 14 12" xfId="260" xr:uid="{00000000-0005-0000-0000-000004010000}"/>
    <cellStyle name="Normal 14 2" xfId="261" xr:uid="{00000000-0005-0000-0000-000005010000}"/>
    <cellStyle name="Normal 14 3" xfId="262" xr:uid="{00000000-0005-0000-0000-000006010000}"/>
    <cellStyle name="Normal 14 4" xfId="263" xr:uid="{00000000-0005-0000-0000-000007010000}"/>
    <cellStyle name="Normal 14 5" xfId="264" xr:uid="{00000000-0005-0000-0000-000008010000}"/>
    <cellStyle name="Normal 14 6" xfId="265" xr:uid="{00000000-0005-0000-0000-000009010000}"/>
    <cellStyle name="Normal 14 7" xfId="266" xr:uid="{00000000-0005-0000-0000-00000A010000}"/>
    <cellStyle name="Normal 14 8" xfId="267" xr:uid="{00000000-0005-0000-0000-00000B010000}"/>
    <cellStyle name="Normal 14 9" xfId="268" xr:uid="{00000000-0005-0000-0000-00000C010000}"/>
    <cellStyle name="Normal 15" xfId="269" xr:uid="{00000000-0005-0000-0000-00000D010000}"/>
    <cellStyle name="Normal 16" xfId="270" xr:uid="{00000000-0005-0000-0000-00000E010000}"/>
    <cellStyle name="Normal 17" xfId="271" xr:uid="{00000000-0005-0000-0000-00000F010000}"/>
    <cellStyle name="Normal 17 2" xfId="272" xr:uid="{00000000-0005-0000-0000-000010010000}"/>
    <cellStyle name="Normal 17 2 2" xfId="273" xr:uid="{00000000-0005-0000-0000-000011010000}"/>
    <cellStyle name="Normal 17 3" xfId="274" xr:uid="{00000000-0005-0000-0000-000012010000}"/>
    <cellStyle name="Normal 17 3 2" xfId="275" xr:uid="{00000000-0005-0000-0000-000013010000}"/>
    <cellStyle name="Normal 17 4" xfId="276" xr:uid="{00000000-0005-0000-0000-000014010000}"/>
    <cellStyle name="Normal 17 4 2" xfId="277" xr:uid="{00000000-0005-0000-0000-000015010000}"/>
    <cellStyle name="Normal 17 5" xfId="278" xr:uid="{00000000-0005-0000-0000-000016010000}"/>
    <cellStyle name="Normal 17 5 2" xfId="279" xr:uid="{00000000-0005-0000-0000-000017010000}"/>
    <cellStyle name="Normal 17 6" xfId="280" xr:uid="{00000000-0005-0000-0000-000018010000}"/>
    <cellStyle name="Normal 18" xfId="281" xr:uid="{00000000-0005-0000-0000-000019010000}"/>
    <cellStyle name="Normal 19" xfId="282" xr:uid="{00000000-0005-0000-0000-00001A010000}"/>
    <cellStyle name="Normal 2" xfId="283" xr:uid="{00000000-0005-0000-0000-00001B010000}"/>
    <cellStyle name="Normal 2 10" xfId="284" xr:uid="{00000000-0005-0000-0000-00001C010000}"/>
    <cellStyle name="Normal 2 11" xfId="285" xr:uid="{00000000-0005-0000-0000-00001D010000}"/>
    <cellStyle name="Normal 2 12" xfId="286" xr:uid="{00000000-0005-0000-0000-00001E010000}"/>
    <cellStyle name="Normal 2 13" xfId="287" xr:uid="{00000000-0005-0000-0000-00001F010000}"/>
    <cellStyle name="Normal 2 14" xfId="288" xr:uid="{00000000-0005-0000-0000-000020010000}"/>
    <cellStyle name="Normal 2 15" xfId="289" xr:uid="{00000000-0005-0000-0000-000021010000}"/>
    <cellStyle name="Normal 2 16" xfId="290" xr:uid="{00000000-0005-0000-0000-000022010000}"/>
    <cellStyle name="Normal 2 17" xfId="291" xr:uid="{00000000-0005-0000-0000-000023010000}"/>
    <cellStyle name="Normal 2 18" xfId="292" xr:uid="{00000000-0005-0000-0000-000024010000}"/>
    <cellStyle name="Normal 2 19" xfId="293" xr:uid="{00000000-0005-0000-0000-000025010000}"/>
    <cellStyle name="Normal 2 2" xfId="294" xr:uid="{00000000-0005-0000-0000-000026010000}"/>
    <cellStyle name="Normal 2 20" xfId="295" xr:uid="{00000000-0005-0000-0000-000027010000}"/>
    <cellStyle name="Normal 2 3" xfId="296" xr:uid="{00000000-0005-0000-0000-000028010000}"/>
    <cellStyle name="Normal 2 4" xfId="297" xr:uid="{00000000-0005-0000-0000-000029010000}"/>
    <cellStyle name="Normal 2 5" xfId="298" xr:uid="{00000000-0005-0000-0000-00002A010000}"/>
    <cellStyle name="Normal 2 6" xfId="299" xr:uid="{00000000-0005-0000-0000-00002B010000}"/>
    <cellStyle name="Normal 2 7" xfId="300" xr:uid="{00000000-0005-0000-0000-00002C010000}"/>
    <cellStyle name="Normal 2 8" xfId="301" xr:uid="{00000000-0005-0000-0000-00002D010000}"/>
    <cellStyle name="Normal 2 9" xfId="302" xr:uid="{00000000-0005-0000-0000-00002E010000}"/>
    <cellStyle name="Normal 2_deposits mobilized" xfId="303" xr:uid="{00000000-0005-0000-0000-00002F010000}"/>
    <cellStyle name="Normal 20" xfId="304" xr:uid="{00000000-0005-0000-0000-000030010000}"/>
    <cellStyle name="Normal 21" xfId="305" xr:uid="{00000000-0005-0000-0000-000031010000}"/>
    <cellStyle name="Normal 21 10" xfId="306" xr:uid="{00000000-0005-0000-0000-000032010000}"/>
    <cellStyle name="Normal 21 10 2" xfId="307" xr:uid="{00000000-0005-0000-0000-000033010000}"/>
    <cellStyle name="Normal 21 11" xfId="308" xr:uid="{00000000-0005-0000-0000-000034010000}"/>
    <cellStyle name="Normal 21 11 2" xfId="309" xr:uid="{00000000-0005-0000-0000-000035010000}"/>
    <cellStyle name="Normal 21 12" xfId="310" xr:uid="{00000000-0005-0000-0000-000036010000}"/>
    <cellStyle name="Normal 21 12 2" xfId="311" xr:uid="{00000000-0005-0000-0000-000037010000}"/>
    <cellStyle name="Normal 21 13" xfId="312" xr:uid="{00000000-0005-0000-0000-000038010000}"/>
    <cellStyle name="Normal 21 13 2" xfId="313" xr:uid="{00000000-0005-0000-0000-000039010000}"/>
    <cellStyle name="Normal 21 14" xfId="314" xr:uid="{00000000-0005-0000-0000-00003A010000}"/>
    <cellStyle name="Normal 21 14 2" xfId="315" xr:uid="{00000000-0005-0000-0000-00003B010000}"/>
    <cellStyle name="Normal 21 15" xfId="316" xr:uid="{00000000-0005-0000-0000-00003C010000}"/>
    <cellStyle name="Normal 21 15 2" xfId="317" xr:uid="{00000000-0005-0000-0000-00003D010000}"/>
    <cellStyle name="Normal 21 16" xfId="318" xr:uid="{00000000-0005-0000-0000-00003E010000}"/>
    <cellStyle name="Normal 21 16 2" xfId="319" xr:uid="{00000000-0005-0000-0000-00003F010000}"/>
    <cellStyle name="Normal 21 17" xfId="320" xr:uid="{00000000-0005-0000-0000-000040010000}"/>
    <cellStyle name="Normal 21 2" xfId="321" xr:uid="{00000000-0005-0000-0000-000041010000}"/>
    <cellStyle name="Normal 21 2 2" xfId="322" xr:uid="{00000000-0005-0000-0000-000042010000}"/>
    <cellStyle name="Normal 21 3" xfId="323" xr:uid="{00000000-0005-0000-0000-000043010000}"/>
    <cellStyle name="Normal 21 3 2" xfId="324" xr:uid="{00000000-0005-0000-0000-000044010000}"/>
    <cellStyle name="Normal 21 4" xfId="325" xr:uid="{00000000-0005-0000-0000-000045010000}"/>
    <cellStyle name="Normal 21 4 2" xfId="326" xr:uid="{00000000-0005-0000-0000-000046010000}"/>
    <cellStyle name="Normal 21 5" xfId="327" xr:uid="{00000000-0005-0000-0000-000047010000}"/>
    <cellStyle name="Normal 21 5 2" xfId="328" xr:uid="{00000000-0005-0000-0000-000048010000}"/>
    <cellStyle name="Normal 21 6" xfId="329" xr:uid="{00000000-0005-0000-0000-000049010000}"/>
    <cellStyle name="Normal 21 6 2" xfId="330" xr:uid="{00000000-0005-0000-0000-00004A010000}"/>
    <cellStyle name="Normal 21 7" xfId="331" xr:uid="{00000000-0005-0000-0000-00004B010000}"/>
    <cellStyle name="Normal 21 7 2" xfId="332" xr:uid="{00000000-0005-0000-0000-00004C010000}"/>
    <cellStyle name="Normal 21 8" xfId="333" xr:uid="{00000000-0005-0000-0000-00004D010000}"/>
    <cellStyle name="Normal 21 8 2" xfId="334" xr:uid="{00000000-0005-0000-0000-00004E010000}"/>
    <cellStyle name="Normal 21 9" xfId="335" xr:uid="{00000000-0005-0000-0000-00004F010000}"/>
    <cellStyle name="Normal 21 9 2" xfId="336" xr:uid="{00000000-0005-0000-0000-000050010000}"/>
    <cellStyle name="Normal 22" xfId="337" xr:uid="{00000000-0005-0000-0000-000051010000}"/>
    <cellStyle name="Normal 23" xfId="338" xr:uid="{00000000-0005-0000-0000-000052010000}"/>
    <cellStyle name="Normal 24" xfId="339" xr:uid="{00000000-0005-0000-0000-000053010000}"/>
    <cellStyle name="Normal 25" xfId="340" xr:uid="{00000000-0005-0000-0000-000054010000}"/>
    <cellStyle name="Normal 26" xfId="341" xr:uid="{00000000-0005-0000-0000-000055010000}"/>
    <cellStyle name="Normal 27" xfId="342" xr:uid="{00000000-0005-0000-0000-000056010000}"/>
    <cellStyle name="Normal 28" xfId="343" xr:uid="{00000000-0005-0000-0000-000057010000}"/>
    <cellStyle name="Normal 29" xfId="344" xr:uid="{00000000-0005-0000-0000-000058010000}"/>
    <cellStyle name="Normal 3" xfId="345" xr:uid="{00000000-0005-0000-0000-000059010000}"/>
    <cellStyle name="Normal 3 10" xfId="346" xr:uid="{00000000-0005-0000-0000-00005A010000}"/>
    <cellStyle name="Normal 3 11" xfId="347" xr:uid="{00000000-0005-0000-0000-00005B010000}"/>
    <cellStyle name="Normal 3 12" xfId="348" xr:uid="{00000000-0005-0000-0000-00005C010000}"/>
    <cellStyle name="Normal 3 13" xfId="349" xr:uid="{00000000-0005-0000-0000-00005D010000}"/>
    <cellStyle name="Normal 3 14" xfId="350" xr:uid="{00000000-0005-0000-0000-00005E010000}"/>
    <cellStyle name="Normal 3 15" xfId="351" xr:uid="{00000000-0005-0000-0000-00005F010000}"/>
    <cellStyle name="Normal 3 16" xfId="352" xr:uid="{00000000-0005-0000-0000-000060010000}"/>
    <cellStyle name="Normal 3 17" xfId="353" xr:uid="{00000000-0005-0000-0000-000061010000}"/>
    <cellStyle name="Normal 3 18" xfId="354" xr:uid="{00000000-0005-0000-0000-000062010000}"/>
    <cellStyle name="Normal 3 19" xfId="355" xr:uid="{00000000-0005-0000-0000-000063010000}"/>
    <cellStyle name="Normal 3 2" xfId="356" xr:uid="{00000000-0005-0000-0000-000064010000}"/>
    <cellStyle name="Normal 3 20" xfId="357" xr:uid="{00000000-0005-0000-0000-000065010000}"/>
    <cellStyle name="Normal 3 21" xfId="358" xr:uid="{00000000-0005-0000-0000-000066010000}"/>
    <cellStyle name="Normal 3 22" xfId="359" xr:uid="{00000000-0005-0000-0000-000067010000}"/>
    <cellStyle name="Normal 3 23" xfId="360" xr:uid="{00000000-0005-0000-0000-000068010000}"/>
    <cellStyle name="Normal 3 24" xfId="361" xr:uid="{00000000-0005-0000-0000-000069010000}"/>
    <cellStyle name="Normal 3 25" xfId="362" xr:uid="{00000000-0005-0000-0000-00006A010000}"/>
    <cellStyle name="Normal 3 26" xfId="363" xr:uid="{00000000-0005-0000-0000-00006B010000}"/>
    <cellStyle name="Normal 3 27" xfId="364" xr:uid="{00000000-0005-0000-0000-00006C010000}"/>
    <cellStyle name="Normal 3 28" xfId="365" xr:uid="{00000000-0005-0000-0000-00006D010000}"/>
    <cellStyle name="Normal 3 29" xfId="366" xr:uid="{00000000-0005-0000-0000-00006E010000}"/>
    <cellStyle name="Normal 3 3" xfId="367" xr:uid="{00000000-0005-0000-0000-00006F010000}"/>
    <cellStyle name="Normal 3 30" xfId="368" xr:uid="{00000000-0005-0000-0000-000070010000}"/>
    <cellStyle name="Normal 3 4" xfId="369" xr:uid="{00000000-0005-0000-0000-000071010000}"/>
    <cellStyle name="Normal 3 5" xfId="370" xr:uid="{00000000-0005-0000-0000-000072010000}"/>
    <cellStyle name="Normal 3 6" xfId="371" xr:uid="{00000000-0005-0000-0000-000073010000}"/>
    <cellStyle name="Normal 3 7" xfId="372" xr:uid="{00000000-0005-0000-0000-000074010000}"/>
    <cellStyle name="Normal 3 8" xfId="373" xr:uid="{00000000-0005-0000-0000-000075010000}"/>
    <cellStyle name="Normal 3 9" xfId="374" xr:uid="{00000000-0005-0000-0000-000076010000}"/>
    <cellStyle name="Normal 3_deposits mobilized" xfId="375" xr:uid="{00000000-0005-0000-0000-000077010000}"/>
    <cellStyle name="Normal 30" xfId="376" xr:uid="{00000000-0005-0000-0000-000078010000}"/>
    <cellStyle name="Normal 31" xfId="377" xr:uid="{00000000-0005-0000-0000-000079010000}"/>
    <cellStyle name="Normal 32" xfId="378" xr:uid="{00000000-0005-0000-0000-00007A010000}"/>
    <cellStyle name="Normal 33" xfId="379" xr:uid="{00000000-0005-0000-0000-00007B010000}"/>
    <cellStyle name="Normal 34" xfId="380" xr:uid="{00000000-0005-0000-0000-00007C010000}"/>
    <cellStyle name="Normal 35" xfId="381" xr:uid="{00000000-0005-0000-0000-00007D010000}"/>
    <cellStyle name="Normal 36" xfId="382" xr:uid="{00000000-0005-0000-0000-00007E010000}"/>
    <cellStyle name="Normal 37" xfId="383" xr:uid="{00000000-0005-0000-0000-00007F010000}"/>
    <cellStyle name="Normal 38" xfId="384" xr:uid="{00000000-0005-0000-0000-000080010000}"/>
    <cellStyle name="Normal 4" xfId="385" xr:uid="{00000000-0005-0000-0000-000081010000}"/>
    <cellStyle name="Normal 4 10" xfId="386" xr:uid="{00000000-0005-0000-0000-000082010000}"/>
    <cellStyle name="Normal 4 11" xfId="387" xr:uid="{00000000-0005-0000-0000-000083010000}"/>
    <cellStyle name="Normal 4 12" xfId="388" xr:uid="{00000000-0005-0000-0000-000084010000}"/>
    <cellStyle name="Normal 4 13" xfId="389" xr:uid="{00000000-0005-0000-0000-000085010000}"/>
    <cellStyle name="Normal 4 14" xfId="390" xr:uid="{00000000-0005-0000-0000-000086010000}"/>
    <cellStyle name="Normal 4 15" xfId="391" xr:uid="{00000000-0005-0000-0000-000087010000}"/>
    <cellStyle name="Normal 4 16" xfId="392" xr:uid="{00000000-0005-0000-0000-000088010000}"/>
    <cellStyle name="Normal 4 17" xfId="393" xr:uid="{00000000-0005-0000-0000-000089010000}"/>
    <cellStyle name="Normal 4 18" xfId="394" xr:uid="{00000000-0005-0000-0000-00008A010000}"/>
    <cellStyle name="Normal 4 19" xfId="395" xr:uid="{00000000-0005-0000-0000-00008B010000}"/>
    <cellStyle name="Normal 4 2" xfId="396" xr:uid="{00000000-0005-0000-0000-00008C010000}"/>
    <cellStyle name="Normal 4 20" xfId="397" xr:uid="{00000000-0005-0000-0000-00008D010000}"/>
    <cellStyle name="Normal 4 21" xfId="398" xr:uid="{00000000-0005-0000-0000-00008E010000}"/>
    <cellStyle name="Normal 4 22" xfId="399" xr:uid="{00000000-0005-0000-0000-00008F010000}"/>
    <cellStyle name="Normal 4 23" xfId="400" xr:uid="{00000000-0005-0000-0000-000090010000}"/>
    <cellStyle name="Normal 4 24" xfId="401" xr:uid="{00000000-0005-0000-0000-000091010000}"/>
    <cellStyle name="Normal 4 25" xfId="402" xr:uid="{00000000-0005-0000-0000-000092010000}"/>
    <cellStyle name="Normal 4 26" xfId="403" xr:uid="{00000000-0005-0000-0000-000093010000}"/>
    <cellStyle name="Normal 4 27" xfId="404" xr:uid="{00000000-0005-0000-0000-000094010000}"/>
    <cellStyle name="Normal 4 28" xfId="405" xr:uid="{00000000-0005-0000-0000-000095010000}"/>
    <cellStyle name="Normal 4 29" xfId="406" xr:uid="{00000000-0005-0000-0000-000096010000}"/>
    <cellStyle name="Normal 4 3" xfId="407" xr:uid="{00000000-0005-0000-0000-000097010000}"/>
    <cellStyle name="Normal 4 30" xfId="408" xr:uid="{00000000-0005-0000-0000-000098010000}"/>
    <cellStyle name="Normal 4 4" xfId="409" xr:uid="{00000000-0005-0000-0000-000099010000}"/>
    <cellStyle name="Normal 4 5" xfId="410" xr:uid="{00000000-0005-0000-0000-00009A010000}"/>
    <cellStyle name="Normal 4 6" xfId="411" xr:uid="{00000000-0005-0000-0000-00009B010000}"/>
    <cellStyle name="Normal 4 7" xfId="412" xr:uid="{00000000-0005-0000-0000-00009C010000}"/>
    <cellStyle name="Normal 4 8" xfId="413" xr:uid="{00000000-0005-0000-0000-00009D010000}"/>
    <cellStyle name="Normal 4 9" xfId="414" xr:uid="{00000000-0005-0000-0000-00009E010000}"/>
    <cellStyle name="Normal 5" xfId="415" xr:uid="{00000000-0005-0000-0000-00009F010000}"/>
    <cellStyle name="Normal 5 10" xfId="416" xr:uid="{00000000-0005-0000-0000-0000A0010000}"/>
    <cellStyle name="Normal 5 11" xfId="417" xr:uid="{00000000-0005-0000-0000-0000A1010000}"/>
    <cellStyle name="Normal 5 12" xfId="418" xr:uid="{00000000-0005-0000-0000-0000A2010000}"/>
    <cellStyle name="Normal 5 13" xfId="419" xr:uid="{00000000-0005-0000-0000-0000A3010000}"/>
    <cellStyle name="Normal 5 14" xfId="420" xr:uid="{00000000-0005-0000-0000-0000A4010000}"/>
    <cellStyle name="Normal 5 15" xfId="421" xr:uid="{00000000-0005-0000-0000-0000A5010000}"/>
    <cellStyle name="Normal 5 2" xfId="422" xr:uid="{00000000-0005-0000-0000-0000A6010000}"/>
    <cellStyle name="Normal 5 3" xfId="423" xr:uid="{00000000-0005-0000-0000-0000A7010000}"/>
    <cellStyle name="Normal 5 4" xfId="424" xr:uid="{00000000-0005-0000-0000-0000A8010000}"/>
    <cellStyle name="Normal 5 5" xfId="425" xr:uid="{00000000-0005-0000-0000-0000A9010000}"/>
    <cellStyle name="Normal 5 6" xfId="426" xr:uid="{00000000-0005-0000-0000-0000AA010000}"/>
    <cellStyle name="Normal 5 7" xfId="427" xr:uid="{00000000-0005-0000-0000-0000AB010000}"/>
    <cellStyle name="Normal 5 8" xfId="428" xr:uid="{00000000-0005-0000-0000-0000AC010000}"/>
    <cellStyle name="Normal 5 9" xfId="429" xr:uid="{00000000-0005-0000-0000-0000AD010000}"/>
    <cellStyle name="Normal 6" xfId="430" xr:uid="{00000000-0005-0000-0000-0000AE010000}"/>
    <cellStyle name="Normal 6 2" xfId="431" xr:uid="{00000000-0005-0000-0000-0000AF010000}"/>
    <cellStyle name="Normal 6 3" xfId="432" xr:uid="{00000000-0005-0000-0000-0000B0010000}"/>
    <cellStyle name="Normal 6 4" xfId="433" xr:uid="{00000000-0005-0000-0000-0000B1010000}"/>
    <cellStyle name="Normal 6 5" xfId="434" xr:uid="{00000000-0005-0000-0000-0000B2010000}"/>
    <cellStyle name="Normal 7" xfId="435" xr:uid="{00000000-0005-0000-0000-0000B3010000}"/>
    <cellStyle name="Normal 7 2" xfId="436" xr:uid="{00000000-0005-0000-0000-0000B4010000}"/>
    <cellStyle name="Normal 7 3" xfId="437" xr:uid="{00000000-0005-0000-0000-0000B5010000}"/>
    <cellStyle name="Normal 7 4" xfId="438" xr:uid="{00000000-0005-0000-0000-0000B6010000}"/>
    <cellStyle name="Normal 7 5" xfId="439" xr:uid="{00000000-0005-0000-0000-0000B7010000}"/>
    <cellStyle name="Normal 8" xfId="440" xr:uid="{00000000-0005-0000-0000-0000B8010000}"/>
    <cellStyle name="Normal 9" xfId="441" xr:uid="{00000000-0005-0000-0000-0000B9010000}"/>
    <cellStyle name="Normal 9 10" xfId="442" xr:uid="{00000000-0005-0000-0000-0000BA010000}"/>
    <cellStyle name="Normal 9 11" xfId="443" xr:uid="{00000000-0005-0000-0000-0000BB010000}"/>
    <cellStyle name="Normal 9 12" xfId="444" xr:uid="{00000000-0005-0000-0000-0000BC010000}"/>
    <cellStyle name="Normal 9 13" xfId="445" xr:uid="{00000000-0005-0000-0000-0000BD010000}"/>
    <cellStyle name="Normal 9 14" xfId="446" xr:uid="{00000000-0005-0000-0000-0000BE010000}"/>
    <cellStyle name="Normal 9 2" xfId="447" xr:uid="{00000000-0005-0000-0000-0000BF010000}"/>
    <cellStyle name="Normal 9 2 2" xfId="448" xr:uid="{00000000-0005-0000-0000-0000C0010000}"/>
    <cellStyle name="Normal 9 2 3" xfId="449" xr:uid="{00000000-0005-0000-0000-0000C1010000}"/>
    <cellStyle name="Normal 9 2 4" xfId="450" xr:uid="{00000000-0005-0000-0000-0000C2010000}"/>
    <cellStyle name="Normal 9 3" xfId="451" xr:uid="{00000000-0005-0000-0000-0000C3010000}"/>
    <cellStyle name="Normal 9 4" xfId="452" xr:uid="{00000000-0005-0000-0000-0000C4010000}"/>
    <cellStyle name="Normal 9 5" xfId="453" xr:uid="{00000000-0005-0000-0000-0000C5010000}"/>
    <cellStyle name="Normal 9 6" xfId="454" xr:uid="{00000000-0005-0000-0000-0000C6010000}"/>
    <cellStyle name="Normal 9 7" xfId="455" xr:uid="{00000000-0005-0000-0000-0000C7010000}"/>
    <cellStyle name="Normal 9 8" xfId="456" xr:uid="{00000000-0005-0000-0000-0000C8010000}"/>
    <cellStyle name="Normal 9 9" xfId="457" xr:uid="{00000000-0005-0000-0000-0000C9010000}"/>
    <cellStyle name="Note 2" xfId="458" xr:uid="{00000000-0005-0000-0000-0000CA010000}"/>
    <cellStyle name="Percent" xfId="459" builtinId="5"/>
    <cellStyle name="Percent 2" xfId="460" xr:uid="{00000000-0005-0000-0000-0000CC010000}"/>
    <cellStyle name="Percent 2 2" xfId="461" xr:uid="{00000000-0005-0000-0000-0000CD010000}"/>
    <cellStyle name="Percent 3" xfId="462" xr:uid="{00000000-0005-0000-0000-0000CE010000}"/>
    <cellStyle name="Total 2" xfId="463" xr:uid="{00000000-0005-0000-0000-0000CF010000}"/>
    <cellStyle name="Total 2 2" xfId="464" xr:uid="{00000000-0005-0000-0000-0000D0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60"/>
  <sheetViews>
    <sheetView zoomScale="70" zoomScaleNormal="70" workbookViewId="0">
      <pane xSplit="1" ySplit="4" topLeftCell="AI43" activePane="bottomRight" state="frozen"/>
      <selection pane="bottomRight" activeCell="AJ40" sqref="AJ40:AJ48"/>
      <selection pane="bottomLeft" activeCell="A4" sqref="A4"/>
      <selection pane="topRight" activeCell="B1" sqref="B1"/>
    </sheetView>
  </sheetViews>
  <sheetFormatPr defaultRowHeight="14.45"/>
  <cols>
    <col min="1" max="1" width="40.85546875" customWidth="1"/>
    <col min="2" max="2" width="16.5703125" hidden="1" customWidth="1"/>
    <col min="3" max="3" width="18.5703125" bestFit="1" customWidth="1"/>
    <col min="4" max="11" width="16.5703125" hidden="1" customWidth="1"/>
    <col min="12" max="15" width="18.5703125" hidden="1" customWidth="1"/>
    <col min="16" max="16" width="18.5703125" style="16" bestFit="1" customWidth="1"/>
    <col min="17" max="18" width="18.5703125" bestFit="1" customWidth="1"/>
    <col min="19" max="19" width="17.5703125" customWidth="1"/>
    <col min="20" max="23" width="18.5703125" bestFit="1" customWidth="1"/>
    <col min="24" max="24" width="18.5703125" customWidth="1"/>
    <col min="25" max="25" width="18.42578125" customWidth="1"/>
    <col min="26" max="26" width="22.7109375" style="243" bestFit="1" customWidth="1"/>
    <col min="27" max="27" width="22.7109375" style="243" hidden="1" customWidth="1"/>
    <col min="28" max="29" width="22.7109375" style="243" bestFit="1" customWidth="1"/>
    <col min="30" max="32" width="18.42578125" bestFit="1" customWidth="1"/>
    <col min="33" max="33" width="15.140625" bestFit="1" customWidth="1"/>
    <col min="34" max="34" width="16.28515625" customWidth="1"/>
    <col min="35" max="35" width="19.28515625" customWidth="1"/>
    <col min="36" max="36" width="17.140625" customWidth="1"/>
  </cols>
  <sheetData>
    <row r="1" spans="1:41" ht="15" customHeight="1">
      <c r="A1" s="245" t="s">
        <v>0</v>
      </c>
      <c r="B1" s="17"/>
      <c r="C1" s="17"/>
      <c r="D1" s="17"/>
      <c r="E1" s="17"/>
      <c r="F1" s="17"/>
      <c r="G1" s="17"/>
      <c r="H1" s="17"/>
      <c r="I1" s="17"/>
      <c r="J1" s="18"/>
      <c r="K1" s="18"/>
      <c r="L1" s="18"/>
      <c r="M1" s="18"/>
      <c r="N1" s="18"/>
      <c r="O1" s="18"/>
      <c r="P1" s="18"/>
      <c r="Q1" s="19"/>
      <c r="R1" s="18"/>
      <c r="S1" s="18"/>
      <c r="T1" s="20"/>
      <c r="U1" s="20"/>
      <c r="V1" s="20"/>
      <c r="W1" s="20"/>
      <c r="X1" s="20"/>
      <c r="Y1" s="20"/>
      <c r="Z1" s="237"/>
      <c r="AA1" s="237"/>
      <c r="AB1" s="237"/>
      <c r="AC1" s="20"/>
      <c r="AD1" s="237"/>
      <c r="AE1" s="20"/>
      <c r="AF1" s="20"/>
      <c r="AG1" s="20"/>
    </row>
    <row r="2" spans="1:41" ht="15.6">
      <c r="A2" s="246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1"/>
      <c r="R2" s="20"/>
      <c r="S2" s="20"/>
      <c r="T2" s="20"/>
      <c r="U2" s="20"/>
      <c r="V2" s="20"/>
      <c r="W2" s="20"/>
      <c r="X2" s="20"/>
      <c r="Y2" s="20"/>
      <c r="Z2" s="237"/>
      <c r="AA2" s="237"/>
      <c r="AB2" s="237"/>
      <c r="AC2" s="20"/>
      <c r="AD2" s="237"/>
      <c r="AE2" s="20"/>
      <c r="AF2" s="20"/>
      <c r="AG2" s="20"/>
    </row>
    <row r="3" spans="1:41" ht="15.6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1"/>
      <c r="Q3" s="20"/>
      <c r="R3" s="20"/>
      <c r="S3" s="20"/>
      <c r="T3" s="20"/>
      <c r="U3" s="20"/>
      <c r="V3" s="20"/>
      <c r="W3" s="20"/>
      <c r="X3" s="20"/>
      <c r="Y3" s="20"/>
      <c r="Z3" s="237"/>
      <c r="AA3" s="237"/>
      <c r="AB3" s="237"/>
      <c r="AC3" s="237"/>
      <c r="AD3" s="20"/>
      <c r="AE3" s="20"/>
      <c r="AF3" s="20"/>
    </row>
    <row r="4" spans="1:41" ht="15">
      <c r="A4" s="22"/>
      <c r="B4" s="23" t="s">
        <v>2</v>
      </c>
      <c r="C4" s="23" t="s">
        <v>3</v>
      </c>
      <c r="D4" s="24">
        <v>44197</v>
      </c>
      <c r="E4" s="25">
        <v>44228</v>
      </c>
      <c r="F4" s="24">
        <v>44256</v>
      </c>
      <c r="G4" s="25">
        <v>44287</v>
      </c>
      <c r="H4" s="24">
        <v>44317</v>
      </c>
      <c r="I4" s="25">
        <v>44348</v>
      </c>
      <c r="J4" s="24">
        <v>44378</v>
      </c>
      <c r="K4" s="25">
        <v>44409</v>
      </c>
      <c r="L4" s="24">
        <v>44440</v>
      </c>
      <c r="M4" s="25">
        <v>44470</v>
      </c>
      <c r="N4" s="24">
        <v>44501</v>
      </c>
      <c r="O4" s="25">
        <v>44531</v>
      </c>
      <c r="P4" s="26" t="s">
        <v>4</v>
      </c>
      <c r="Q4" s="27">
        <v>44562</v>
      </c>
      <c r="R4" s="27">
        <v>44593</v>
      </c>
      <c r="S4" s="27">
        <v>44621</v>
      </c>
      <c r="T4" s="27">
        <v>44652</v>
      </c>
      <c r="U4" s="27">
        <v>44682</v>
      </c>
      <c r="V4" s="27">
        <v>44713</v>
      </c>
      <c r="W4" s="27">
        <v>44743</v>
      </c>
      <c r="X4" s="27">
        <v>44774</v>
      </c>
      <c r="Y4" s="27">
        <v>44805</v>
      </c>
      <c r="Z4" s="27">
        <v>44835</v>
      </c>
      <c r="AA4" s="27">
        <v>44866</v>
      </c>
      <c r="AB4" s="27">
        <v>44896</v>
      </c>
      <c r="AC4" s="238" t="s">
        <v>5</v>
      </c>
      <c r="AD4" s="27">
        <v>44927</v>
      </c>
      <c r="AE4" s="27">
        <v>44958</v>
      </c>
      <c r="AF4" s="27">
        <v>44986</v>
      </c>
      <c r="AG4" s="27">
        <v>45017</v>
      </c>
      <c r="AH4" s="27">
        <v>45047</v>
      </c>
      <c r="AI4" s="27">
        <v>45078</v>
      </c>
      <c r="AJ4" s="27">
        <v>45108</v>
      </c>
      <c r="AK4" s="27">
        <v>45139</v>
      </c>
      <c r="AL4" s="27">
        <v>45170</v>
      </c>
      <c r="AM4" s="27">
        <v>45200</v>
      </c>
      <c r="AN4" s="27">
        <v>45231</v>
      </c>
      <c r="AO4" s="27">
        <v>45261</v>
      </c>
    </row>
    <row r="5" spans="1:41" ht="15">
      <c r="A5" s="28" t="s">
        <v>6</v>
      </c>
      <c r="B5" s="29">
        <f t="shared" ref="B5:G5" si="0">SUM(B6:B7)</f>
        <v>19363224</v>
      </c>
      <c r="C5" s="29">
        <f t="shared" si="0"/>
        <v>41042857</v>
      </c>
      <c r="D5" s="29">
        <f t="shared" si="0"/>
        <v>37653030.239999995</v>
      </c>
      <c r="E5" s="29">
        <f t="shared" si="0"/>
        <v>40331466.939999998</v>
      </c>
      <c r="F5" s="29">
        <f t="shared" si="0"/>
        <v>42428390.680000007</v>
      </c>
      <c r="G5" s="29">
        <f t="shared" si="0"/>
        <v>36908358.189999998</v>
      </c>
      <c r="H5" s="29">
        <f t="shared" ref="H5:O5" si="1">SUM(H6:H7)</f>
        <v>37389305.780000001</v>
      </c>
      <c r="I5" s="29">
        <f t="shared" si="1"/>
        <v>43190648.32</v>
      </c>
      <c r="J5" s="29">
        <f t="shared" si="1"/>
        <v>29166864.220000003</v>
      </c>
      <c r="K5" s="29">
        <f t="shared" si="1"/>
        <v>27443362.600000001</v>
      </c>
      <c r="L5" s="29">
        <f t="shared" si="1"/>
        <v>55583556.25</v>
      </c>
      <c r="M5" s="29">
        <f t="shared" si="1"/>
        <v>54257321.120000005</v>
      </c>
      <c r="N5" s="29">
        <f t="shared" si="1"/>
        <v>50071921.5</v>
      </c>
      <c r="O5" s="29">
        <f t="shared" si="1"/>
        <v>44208442.769999996</v>
      </c>
      <c r="P5" s="29">
        <f>SUM(P6:P7)</f>
        <v>44208443</v>
      </c>
      <c r="Q5" s="29">
        <f t="shared" ref="Q5:AB5" si="2">SUM(Q6:Q7)</f>
        <v>52110940.799999997</v>
      </c>
      <c r="R5" s="29">
        <f t="shared" si="2"/>
        <v>62173169.57</v>
      </c>
      <c r="S5" s="29">
        <f t="shared" si="2"/>
        <v>52390638.640000001</v>
      </c>
      <c r="T5" s="29">
        <f t="shared" si="2"/>
        <v>28235309.84</v>
      </c>
      <c r="U5" s="29">
        <f t="shared" si="2"/>
        <v>40678726.950000003</v>
      </c>
      <c r="V5" s="29">
        <f t="shared" si="2"/>
        <v>73180999.489999995</v>
      </c>
      <c r="W5" s="29">
        <f t="shared" si="2"/>
        <v>66519807.439999998</v>
      </c>
      <c r="X5" s="29">
        <f t="shared" si="2"/>
        <v>66157442.060000002</v>
      </c>
      <c r="Y5" s="29">
        <f t="shared" si="2"/>
        <v>75047678</v>
      </c>
      <c r="Z5" s="239">
        <f t="shared" si="2"/>
        <v>62007272.390000001</v>
      </c>
      <c r="AA5" s="239">
        <f t="shared" si="2"/>
        <v>40346288.859999999</v>
      </c>
      <c r="AB5" s="239">
        <f t="shared" si="2"/>
        <v>40215638.910000004</v>
      </c>
      <c r="AC5" s="239">
        <f>SUM(AC6:AC7)</f>
        <v>40162115</v>
      </c>
      <c r="AD5" s="279">
        <f>SUM(AD6:AD7)</f>
        <v>38339695.579999998</v>
      </c>
      <c r="AE5" s="279">
        <f>SUM(AE6:AE7)</f>
        <v>44367661.100000001</v>
      </c>
      <c r="AF5" s="279">
        <f>SUM(AF6:AF7)</f>
        <v>41630171.390000001</v>
      </c>
      <c r="AG5" s="279">
        <f t="shared" ref="AG5:AO5" si="3">SUM(AG6:AG7)</f>
        <v>46170622.359999999</v>
      </c>
      <c r="AH5" s="279">
        <f t="shared" si="3"/>
        <v>24999932.620000001</v>
      </c>
      <c r="AI5" s="279">
        <f t="shared" si="3"/>
        <v>26563918.66</v>
      </c>
      <c r="AJ5" s="279">
        <f t="shared" si="3"/>
        <v>31285801.510000002</v>
      </c>
      <c r="AK5" s="279">
        <f t="shared" si="3"/>
        <v>0</v>
      </c>
      <c r="AL5" s="279">
        <f t="shared" si="3"/>
        <v>0</v>
      </c>
      <c r="AM5" s="279">
        <f t="shared" si="3"/>
        <v>0</v>
      </c>
      <c r="AN5" s="279">
        <f t="shared" si="3"/>
        <v>0</v>
      </c>
      <c r="AO5" s="279">
        <f t="shared" si="3"/>
        <v>0</v>
      </c>
    </row>
    <row r="6" spans="1:41" ht="15.75">
      <c r="A6" s="30" t="s">
        <v>7</v>
      </c>
      <c r="B6" s="31">
        <v>19363224</v>
      </c>
      <c r="C6" s="32">
        <v>4486304</v>
      </c>
      <c r="D6" s="33">
        <v>6539440.4100000001</v>
      </c>
      <c r="E6" s="33">
        <v>6831671.7300000004</v>
      </c>
      <c r="F6" s="33">
        <v>4628652.7300000004</v>
      </c>
      <c r="G6" s="33">
        <v>6736877.9299999997</v>
      </c>
      <c r="H6" s="33">
        <v>5755519.9299999997</v>
      </c>
      <c r="I6" s="33">
        <v>8084214.9299999997</v>
      </c>
      <c r="J6" s="33">
        <v>6026309.6200000001</v>
      </c>
      <c r="K6" s="33">
        <v>7506456.3300000001</v>
      </c>
      <c r="L6" s="33">
        <v>15609696.23</v>
      </c>
      <c r="M6" s="33">
        <v>14737970.23</v>
      </c>
      <c r="N6" s="33">
        <v>9516716.2300000004</v>
      </c>
      <c r="O6" s="33">
        <v>6158859.3300000001</v>
      </c>
      <c r="P6" s="34">
        <f>3166713+3645751</f>
        <v>6812464</v>
      </c>
      <c r="Q6" s="33">
        <v>9558617.3300000001</v>
      </c>
      <c r="R6" s="33">
        <v>8004432.9299999997</v>
      </c>
      <c r="S6" s="35">
        <v>11655948.98</v>
      </c>
      <c r="T6" s="35">
        <v>8057599.9800000004</v>
      </c>
      <c r="U6" s="35">
        <v>8099998.9800000004</v>
      </c>
      <c r="V6" s="35">
        <v>9211485.9800000004</v>
      </c>
      <c r="W6" s="35">
        <v>6054439.9800000004</v>
      </c>
      <c r="X6" s="35">
        <v>8421003.9800000004</v>
      </c>
      <c r="Y6" s="35">
        <v>8353752.9800000004</v>
      </c>
      <c r="Z6" s="237">
        <v>7075616.9800000004</v>
      </c>
      <c r="AA6" s="237">
        <v>6145175.9800000004</v>
      </c>
      <c r="AB6" s="237">
        <v>8114904.5599999996</v>
      </c>
      <c r="AC6" s="237">
        <f>5502578+1210609</f>
        <v>6713187</v>
      </c>
      <c r="AD6" s="280">
        <v>7142399.0300000003</v>
      </c>
      <c r="AE6" s="280">
        <v>5878269.2400000002</v>
      </c>
      <c r="AF6" s="280">
        <v>6838644.2400000002</v>
      </c>
      <c r="AG6">
        <v>8569787.2400000002</v>
      </c>
      <c r="AH6">
        <v>6132963.3200000003</v>
      </c>
      <c r="AI6" s="288">
        <v>7942223.3200000003</v>
      </c>
      <c r="AJ6" s="332">
        <v>9001345.3200000003</v>
      </c>
    </row>
    <row r="7" spans="1:41" ht="15.75">
      <c r="A7" s="30" t="s">
        <v>8</v>
      </c>
      <c r="B7" s="31"/>
      <c r="C7" s="32">
        <v>36556553</v>
      </c>
      <c r="D7" s="33">
        <v>31113589.829999998</v>
      </c>
      <c r="E7" s="33">
        <v>33499795.210000001</v>
      </c>
      <c r="F7" s="33">
        <v>37799737.950000003</v>
      </c>
      <c r="G7" s="33">
        <v>30171480.260000002</v>
      </c>
      <c r="H7" s="33">
        <v>31633785.850000001</v>
      </c>
      <c r="I7" s="33">
        <v>35106433.390000001</v>
      </c>
      <c r="J7" s="33">
        <v>23140554.600000001</v>
      </c>
      <c r="K7" s="33">
        <v>19936906.27</v>
      </c>
      <c r="L7" s="33">
        <v>39973860.020000003</v>
      </c>
      <c r="M7" s="33">
        <v>39519350.890000001</v>
      </c>
      <c r="N7" s="33">
        <v>40555205.270000003</v>
      </c>
      <c r="O7" s="33">
        <v>38049583.439999998</v>
      </c>
      <c r="P7" s="34">
        <f>44208443-P6</f>
        <v>37395979</v>
      </c>
      <c r="Q7" s="33">
        <v>42552323.469999999</v>
      </c>
      <c r="R7" s="33">
        <v>54168736.640000001</v>
      </c>
      <c r="S7" s="35">
        <v>40734689.659999996</v>
      </c>
      <c r="T7" s="35">
        <v>20177709.859999999</v>
      </c>
      <c r="U7" s="35">
        <v>32578727.969999999</v>
      </c>
      <c r="V7" s="35">
        <v>63969513.509999998</v>
      </c>
      <c r="W7" s="35">
        <v>60465367.460000001</v>
      </c>
      <c r="X7" s="35">
        <v>57736438.079999998</v>
      </c>
      <c r="Y7" s="35">
        <v>66693925.020000003</v>
      </c>
      <c r="Z7" s="237">
        <v>54931655.409999996</v>
      </c>
      <c r="AA7" s="237">
        <v>34201112.880000003</v>
      </c>
      <c r="AB7" s="237">
        <v>32100734.350000001</v>
      </c>
      <c r="AC7" s="237">
        <f>40162115-AC6</f>
        <v>33448928</v>
      </c>
      <c r="AD7" s="280">
        <v>31197296.550000001</v>
      </c>
      <c r="AE7" s="280">
        <v>38489391.859999999</v>
      </c>
      <c r="AF7" s="280">
        <v>34791527.149999999</v>
      </c>
      <c r="AG7">
        <v>37600835.119999997</v>
      </c>
      <c r="AH7">
        <v>18866969.300000001</v>
      </c>
      <c r="AI7" s="290">
        <v>18621695.34</v>
      </c>
      <c r="AJ7" s="334">
        <v>22284456.190000001</v>
      </c>
    </row>
    <row r="8" spans="1:41" s="2" customFormat="1" ht="15.75">
      <c r="A8" s="28" t="s">
        <v>9</v>
      </c>
      <c r="B8" s="36">
        <v>13400392</v>
      </c>
      <c r="C8" s="37">
        <v>7478512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0</v>
      </c>
      <c r="P8" s="34">
        <f>5148885+3084618</f>
        <v>8233503</v>
      </c>
      <c r="Q8" s="38">
        <v>0</v>
      </c>
      <c r="R8" s="38">
        <v>0</v>
      </c>
      <c r="S8" s="39">
        <v>0</v>
      </c>
      <c r="T8" s="39">
        <v>0</v>
      </c>
      <c r="U8" s="39">
        <v>0</v>
      </c>
      <c r="V8" s="39">
        <v>0</v>
      </c>
      <c r="W8" s="39">
        <v>0</v>
      </c>
      <c r="X8" s="39">
        <v>0</v>
      </c>
      <c r="Y8" s="39">
        <v>0</v>
      </c>
      <c r="Z8" s="240">
        <v>0</v>
      </c>
      <c r="AA8" s="240">
        <v>0</v>
      </c>
      <c r="AB8" s="240">
        <v>0</v>
      </c>
      <c r="AC8" s="240">
        <v>13311946</v>
      </c>
      <c r="AD8" s="281">
        <v>0</v>
      </c>
      <c r="AE8" s="281">
        <v>0</v>
      </c>
      <c r="AF8" s="281">
        <v>0</v>
      </c>
      <c r="AG8" s="2">
        <v>0</v>
      </c>
      <c r="AH8" s="2">
        <v>0</v>
      </c>
      <c r="AI8" s="289">
        <v>0</v>
      </c>
      <c r="AJ8" s="333">
        <v>0</v>
      </c>
    </row>
    <row r="9" spans="1:41" ht="15">
      <c r="A9" s="28" t="s">
        <v>10</v>
      </c>
      <c r="B9" s="29">
        <f t="shared" ref="B9:G9" si="4">SUM(B10:B14)</f>
        <v>472260</v>
      </c>
      <c r="C9" s="29">
        <f t="shared" si="4"/>
        <v>293021</v>
      </c>
      <c r="D9" s="29">
        <f t="shared" si="4"/>
        <v>293020.64</v>
      </c>
      <c r="E9" s="29">
        <f t="shared" si="4"/>
        <v>293020.64</v>
      </c>
      <c r="F9" s="29">
        <f t="shared" si="4"/>
        <v>293020.64</v>
      </c>
      <c r="G9" s="29">
        <f t="shared" si="4"/>
        <v>293020.64</v>
      </c>
      <c r="H9" s="29">
        <f t="shared" ref="H9:AB9" si="5">SUM(H10:H14)</f>
        <v>293020.64</v>
      </c>
      <c r="I9" s="29">
        <f t="shared" si="5"/>
        <v>293020.64</v>
      </c>
      <c r="J9" s="29">
        <f t="shared" si="5"/>
        <v>293020.64</v>
      </c>
      <c r="K9" s="29">
        <f t="shared" si="5"/>
        <v>293020.64</v>
      </c>
      <c r="L9" s="29">
        <f t="shared" si="5"/>
        <v>293020.64</v>
      </c>
      <c r="M9" s="29">
        <f t="shared" si="5"/>
        <v>293020.64</v>
      </c>
      <c r="N9" s="29">
        <f t="shared" si="5"/>
        <v>293020.64</v>
      </c>
      <c r="O9" s="29">
        <f t="shared" si="5"/>
        <v>293020.64</v>
      </c>
      <c r="P9" s="29">
        <f t="shared" si="5"/>
        <v>293021</v>
      </c>
      <c r="Q9" s="29">
        <f t="shared" ref="Q9:X9" si="6">SUM(Q10:Q14)</f>
        <v>293020.64</v>
      </c>
      <c r="R9" s="29">
        <f t="shared" si="6"/>
        <v>293020.64</v>
      </c>
      <c r="S9" s="29">
        <f t="shared" si="6"/>
        <v>293020.64</v>
      </c>
      <c r="T9" s="29">
        <f t="shared" si="6"/>
        <v>293020.64</v>
      </c>
      <c r="U9" s="29">
        <f t="shared" si="6"/>
        <v>293020.64</v>
      </c>
      <c r="V9" s="29">
        <f t="shared" si="6"/>
        <v>293020.64</v>
      </c>
      <c r="W9" s="29">
        <f t="shared" si="6"/>
        <v>293020.64</v>
      </c>
      <c r="X9" s="29">
        <f t="shared" si="6"/>
        <v>293020.64</v>
      </c>
      <c r="Y9" s="29">
        <f t="shared" si="5"/>
        <v>293020.64</v>
      </c>
      <c r="Z9" s="239">
        <f t="shared" si="5"/>
        <v>293020.64</v>
      </c>
      <c r="AA9" s="239">
        <f t="shared" si="5"/>
        <v>293020.64</v>
      </c>
      <c r="AB9" s="239">
        <f t="shared" si="5"/>
        <v>293020.64</v>
      </c>
      <c r="AC9" s="239">
        <f>SUM(AC10:AC14)</f>
        <v>351266</v>
      </c>
      <c r="AD9" s="279">
        <f>SUM(AD10:AD14)</f>
        <v>293020.64</v>
      </c>
      <c r="AE9" s="279">
        <f>SUM(AE10:AE14)</f>
        <v>293020.64</v>
      </c>
      <c r="AF9" s="279">
        <f>SUM(AF10:AF14)</f>
        <v>351265.82</v>
      </c>
      <c r="AG9" s="279">
        <f t="shared" ref="AG9:AO9" si="7">SUM(AG10:AG14)</f>
        <v>351265.82</v>
      </c>
      <c r="AH9" s="279">
        <f t="shared" si="7"/>
        <v>351265.82</v>
      </c>
      <c r="AI9" s="279">
        <f t="shared" si="7"/>
        <v>351265.82</v>
      </c>
      <c r="AJ9" s="279">
        <f t="shared" si="7"/>
        <v>351265.82</v>
      </c>
      <c r="AK9" s="279">
        <f t="shared" si="7"/>
        <v>0</v>
      </c>
      <c r="AL9" s="279">
        <f t="shared" si="7"/>
        <v>0</v>
      </c>
      <c r="AM9" s="279">
        <f t="shared" si="7"/>
        <v>0</v>
      </c>
      <c r="AN9" s="279">
        <f t="shared" si="7"/>
        <v>0</v>
      </c>
      <c r="AO9" s="279">
        <f t="shared" si="7"/>
        <v>0</v>
      </c>
    </row>
    <row r="10" spans="1:41" ht="31.5">
      <c r="A10" s="40" t="s">
        <v>11</v>
      </c>
      <c r="B10" s="31"/>
      <c r="C10" s="41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4"/>
      <c r="Q10" s="33">
        <v>0</v>
      </c>
      <c r="R10" s="33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37">
        <v>0</v>
      </c>
      <c r="AA10" s="237">
        <v>0</v>
      </c>
      <c r="AB10" s="237">
        <v>0</v>
      </c>
      <c r="AC10" s="237">
        <v>0</v>
      </c>
      <c r="AD10" s="280">
        <v>0</v>
      </c>
      <c r="AE10" s="280">
        <v>0</v>
      </c>
      <c r="AF10" s="280">
        <v>0</v>
      </c>
      <c r="AG10">
        <v>0</v>
      </c>
      <c r="AH10">
        <v>0</v>
      </c>
      <c r="AI10" s="287">
        <v>0</v>
      </c>
      <c r="AJ10" s="331">
        <v>0</v>
      </c>
    </row>
    <row r="11" spans="1:41" ht="31.5">
      <c r="A11" s="40" t="s">
        <v>12</v>
      </c>
      <c r="B11" s="31"/>
      <c r="C11" s="42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4"/>
      <c r="Q11" s="33">
        <v>0</v>
      </c>
      <c r="R11" s="33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37">
        <v>0</v>
      </c>
      <c r="AA11" s="237">
        <v>0</v>
      </c>
      <c r="AB11" s="237">
        <v>0</v>
      </c>
      <c r="AC11" s="237">
        <v>0</v>
      </c>
      <c r="AD11" s="280">
        <v>0</v>
      </c>
      <c r="AE11" s="280">
        <v>0</v>
      </c>
      <c r="AF11" s="280">
        <v>0</v>
      </c>
      <c r="AG11">
        <v>0</v>
      </c>
      <c r="AH11">
        <v>0</v>
      </c>
      <c r="AI11" s="289">
        <v>0</v>
      </c>
      <c r="AJ11" s="333">
        <v>0</v>
      </c>
    </row>
    <row r="12" spans="1:41" ht="46.5">
      <c r="A12" s="40" t="s">
        <v>13</v>
      </c>
      <c r="B12" s="31"/>
      <c r="C12" s="42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4"/>
      <c r="Q12" s="33">
        <v>0</v>
      </c>
      <c r="R12" s="33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37">
        <v>0</v>
      </c>
      <c r="AA12" s="237">
        <v>0</v>
      </c>
      <c r="AB12" s="237">
        <v>0</v>
      </c>
      <c r="AC12" s="237">
        <v>0</v>
      </c>
      <c r="AD12" s="280">
        <v>0</v>
      </c>
      <c r="AE12" s="280">
        <v>0</v>
      </c>
      <c r="AF12" s="280">
        <v>0</v>
      </c>
      <c r="AG12">
        <v>0</v>
      </c>
      <c r="AH12">
        <v>0</v>
      </c>
      <c r="AI12" s="289">
        <v>0</v>
      </c>
      <c r="AJ12" s="333">
        <v>0</v>
      </c>
    </row>
    <row r="13" spans="1:41" ht="46.5">
      <c r="A13" s="43" t="s">
        <v>14</v>
      </c>
      <c r="B13" s="31"/>
      <c r="C13" s="42">
        <v>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4"/>
      <c r="Q13" s="20"/>
      <c r="R13" s="20"/>
      <c r="S13" s="20"/>
      <c r="T13" s="20"/>
      <c r="U13" s="20"/>
      <c r="V13" s="20"/>
      <c r="W13" s="20"/>
      <c r="X13" s="20"/>
      <c r="Y13" s="35"/>
      <c r="Z13" s="237">
        <v>0</v>
      </c>
      <c r="AA13" s="237">
        <v>0</v>
      </c>
      <c r="AB13" s="237">
        <v>0</v>
      </c>
      <c r="AC13" s="237">
        <f>67200+48900</f>
        <v>116100</v>
      </c>
      <c r="AD13" s="280">
        <v>293020.64</v>
      </c>
      <c r="AE13" s="280">
        <v>293020.64</v>
      </c>
      <c r="AF13" s="280">
        <v>351265.82</v>
      </c>
      <c r="AG13">
        <v>351265.82</v>
      </c>
      <c r="AH13">
        <v>351265.82</v>
      </c>
      <c r="AI13" s="290">
        <v>351265.82</v>
      </c>
      <c r="AJ13" s="334">
        <v>351265.82</v>
      </c>
    </row>
    <row r="14" spans="1:41" ht="30.6">
      <c r="A14" s="40" t="s">
        <v>15</v>
      </c>
      <c r="B14" s="33">
        <v>472260</v>
      </c>
      <c r="C14" s="44">
        <v>293021</v>
      </c>
      <c r="D14" s="33">
        <v>293020.64</v>
      </c>
      <c r="E14" s="33">
        <v>293020.64</v>
      </c>
      <c r="F14" s="33">
        <v>293020.64</v>
      </c>
      <c r="G14" s="33">
        <v>293020.64</v>
      </c>
      <c r="H14" s="33">
        <v>293020.64</v>
      </c>
      <c r="I14" s="33">
        <v>293020.64</v>
      </c>
      <c r="J14" s="33">
        <v>293020.64</v>
      </c>
      <c r="K14" s="33">
        <v>293020.64</v>
      </c>
      <c r="L14" s="33">
        <v>293020.64</v>
      </c>
      <c r="M14" s="33">
        <v>293020.64</v>
      </c>
      <c r="N14" s="33">
        <v>293020.64</v>
      </c>
      <c r="O14" s="33">
        <v>293020.64</v>
      </c>
      <c r="P14" s="34">
        <v>293021</v>
      </c>
      <c r="Q14" s="33">
        <v>293020.64</v>
      </c>
      <c r="R14" s="33">
        <v>293020.64</v>
      </c>
      <c r="S14" s="35">
        <v>293020.64</v>
      </c>
      <c r="T14" s="35">
        <v>293020.64</v>
      </c>
      <c r="U14" s="35">
        <v>293020.64</v>
      </c>
      <c r="V14" s="35">
        <v>293020.64</v>
      </c>
      <c r="W14" s="35">
        <v>293020.64</v>
      </c>
      <c r="X14" s="35">
        <v>293020.64</v>
      </c>
      <c r="Y14" s="35">
        <v>293020.64</v>
      </c>
      <c r="Z14" s="237">
        <v>293020.64</v>
      </c>
      <c r="AA14" s="237">
        <v>293020.64</v>
      </c>
      <c r="AB14" s="237">
        <v>293020.64</v>
      </c>
      <c r="AC14" s="237">
        <f>222000+13166</f>
        <v>235166</v>
      </c>
      <c r="AD14" s="280"/>
      <c r="AE14" s="280"/>
      <c r="AF14" s="280"/>
    </row>
    <row r="15" spans="1:41" ht="15">
      <c r="A15" s="28" t="s">
        <v>16</v>
      </c>
      <c r="B15" s="29">
        <f t="shared" ref="B15:G15" si="8">B16-B17</f>
        <v>112905266</v>
      </c>
      <c r="C15" s="29">
        <f t="shared" si="8"/>
        <v>361847211</v>
      </c>
      <c r="D15" s="29">
        <f t="shared" si="8"/>
        <v>357805192.29999995</v>
      </c>
      <c r="E15" s="29">
        <f t="shared" si="8"/>
        <v>358453779.72000003</v>
      </c>
      <c r="F15" s="29">
        <f t="shared" si="8"/>
        <v>362913129.95999998</v>
      </c>
      <c r="G15" s="29">
        <f t="shared" si="8"/>
        <v>380989366.24000001</v>
      </c>
      <c r="H15" s="29">
        <f t="shared" ref="H15:AB15" si="9">H16-H17</f>
        <v>388252932.33999997</v>
      </c>
      <c r="I15" s="29">
        <f t="shared" si="9"/>
        <v>389924744.27000004</v>
      </c>
      <c r="J15" s="29">
        <f t="shared" si="9"/>
        <v>410138221.56</v>
      </c>
      <c r="K15" s="29">
        <f t="shared" si="9"/>
        <v>413717736.58999997</v>
      </c>
      <c r="L15" s="29">
        <f t="shared" si="9"/>
        <v>414989006.19</v>
      </c>
      <c r="M15" s="29">
        <f t="shared" si="9"/>
        <v>420941773.04999995</v>
      </c>
      <c r="N15" s="29">
        <f t="shared" si="9"/>
        <v>440002262.54000002</v>
      </c>
      <c r="O15" s="29">
        <f t="shared" si="9"/>
        <v>459951244.04000002</v>
      </c>
      <c r="P15" s="29">
        <f t="shared" si="9"/>
        <v>459812005</v>
      </c>
      <c r="Q15" s="29">
        <f t="shared" si="9"/>
        <v>455464542.23000002</v>
      </c>
      <c r="R15" s="29">
        <f t="shared" si="9"/>
        <v>462580311.88999999</v>
      </c>
      <c r="S15" s="29">
        <f t="shared" si="9"/>
        <v>469640749.61000001</v>
      </c>
      <c r="T15" s="29">
        <f t="shared" si="9"/>
        <v>486836573.73000002</v>
      </c>
      <c r="U15" s="29">
        <f t="shared" si="9"/>
        <v>507572851.88000005</v>
      </c>
      <c r="V15" s="29">
        <f t="shared" si="9"/>
        <v>512281590</v>
      </c>
      <c r="W15" s="29">
        <f t="shared" si="9"/>
        <v>514063125.45000005</v>
      </c>
      <c r="X15" s="29">
        <f t="shared" si="9"/>
        <v>514142281.67000002</v>
      </c>
      <c r="Y15" s="29">
        <f t="shared" si="9"/>
        <v>525320227.94</v>
      </c>
      <c r="Z15" s="239">
        <f t="shared" si="9"/>
        <v>536561728.89999998</v>
      </c>
      <c r="AA15" s="239">
        <f t="shared" si="9"/>
        <v>582453257.77999997</v>
      </c>
      <c r="AB15" s="239">
        <f t="shared" si="9"/>
        <v>578065236.90999997</v>
      </c>
      <c r="AC15" s="239">
        <f>AC16-AC17</f>
        <v>578065237</v>
      </c>
      <c r="AD15" s="279">
        <f>AD16-AD17</f>
        <v>572893137.93000007</v>
      </c>
      <c r="AE15" s="279">
        <f>AE16-AE17</f>
        <v>561888579.20000005</v>
      </c>
      <c r="AF15" s="279">
        <f>AF16-AF17</f>
        <v>573305252.79999995</v>
      </c>
      <c r="AG15" s="279">
        <f t="shared" ref="AG15:AO15" si="10">AG16-AG17</f>
        <v>573627987.68999994</v>
      </c>
      <c r="AH15" s="279">
        <f t="shared" si="10"/>
        <v>605217590.62</v>
      </c>
      <c r="AI15" s="279">
        <f t="shared" si="10"/>
        <v>601728442.08000004</v>
      </c>
      <c r="AJ15" s="279">
        <f t="shared" si="10"/>
        <v>603774577.51999998</v>
      </c>
      <c r="AK15" s="279">
        <f t="shared" si="10"/>
        <v>0</v>
      </c>
      <c r="AL15" s="279">
        <f t="shared" si="10"/>
        <v>0</v>
      </c>
      <c r="AM15" s="279">
        <f t="shared" si="10"/>
        <v>0</v>
      </c>
      <c r="AN15" s="279">
        <f t="shared" si="10"/>
        <v>0</v>
      </c>
      <c r="AO15" s="279">
        <f t="shared" si="10"/>
        <v>0</v>
      </c>
    </row>
    <row r="16" spans="1:41" ht="15.75">
      <c r="A16" s="30" t="s">
        <v>17</v>
      </c>
      <c r="B16" s="31">
        <v>112905266</v>
      </c>
      <c r="C16" s="44">
        <v>371165321</v>
      </c>
      <c r="D16" s="33">
        <v>368761438.58999997</v>
      </c>
      <c r="E16" s="33">
        <v>370977716.35000002</v>
      </c>
      <c r="F16" s="33">
        <v>374512415.19999999</v>
      </c>
      <c r="G16" s="33">
        <v>393659428.92000002</v>
      </c>
      <c r="H16" s="33">
        <v>403379538.51999998</v>
      </c>
      <c r="I16" s="33">
        <v>406623768.60000002</v>
      </c>
      <c r="J16" s="33">
        <v>429647037.13999999</v>
      </c>
      <c r="K16" s="33">
        <v>432565726.19</v>
      </c>
      <c r="L16" s="33">
        <v>438181307.25</v>
      </c>
      <c r="M16" s="33">
        <v>440157331.95999998</v>
      </c>
      <c r="N16" s="33">
        <v>458831367.05000001</v>
      </c>
      <c r="O16" s="33">
        <v>474650345.31</v>
      </c>
      <c r="P16" s="34">
        <v>478267747</v>
      </c>
      <c r="Q16" s="33">
        <v>475639059.44</v>
      </c>
      <c r="R16" s="33">
        <v>487279692.31999999</v>
      </c>
      <c r="S16" s="35">
        <v>491725642.11000001</v>
      </c>
      <c r="T16" s="35">
        <v>514867988.80000001</v>
      </c>
      <c r="U16" s="35">
        <v>537749202.47000003</v>
      </c>
      <c r="V16" s="35">
        <v>544830829.10000002</v>
      </c>
      <c r="W16" s="35">
        <v>545972012.34000003</v>
      </c>
      <c r="X16" s="35">
        <v>543249544.35000002</v>
      </c>
      <c r="Y16" s="35">
        <v>559194349.23000002</v>
      </c>
      <c r="Z16" s="237">
        <v>569444319.25999999</v>
      </c>
      <c r="AA16" s="237">
        <v>622917809.15999997</v>
      </c>
      <c r="AB16" s="237">
        <v>596874250.37</v>
      </c>
      <c r="AC16" s="237">
        <v>596874250</v>
      </c>
      <c r="AD16" s="280">
        <v>596803403.60000002</v>
      </c>
      <c r="AE16" s="280">
        <v>592213172.82000005</v>
      </c>
      <c r="AF16" s="280">
        <v>598431934.64999998</v>
      </c>
      <c r="AG16">
        <v>605377412.41999996</v>
      </c>
      <c r="AH16">
        <v>637789629.41999996</v>
      </c>
      <c r="AI16" s="288">
        <v>640257694.44000006</v>
      </c>
      <c r="AJ16" s="332">
        <v>645174447.28999996</v>
      </c>
    </row>
    <row r="17" spans="1:41" ht="15.75">
      <c r="A17" s="30" t="s">
        <v>18</v>
      </c>
      <c r="B17" s="31"/>
      <c r="C17" s="45">
        <v>9318110</v>
      </c>
      <c r="D17" s="33">
        <v>10956246.289999999</v>
      </c>
      <c r="E17" s="33">
        <v>12523936.630000001</v>
      </c>
      <c r="F17" s="33">
        <v>11599285.24</v>
      </c>
      <c r="G17" s="33">
        <v>12670062.68</v>
      </c>
      <c r="H17" s="33">
        <v>15126606.18</v>
      </c>
      <c r="I17" s="33">
        <v>16699024.33</v>
      </c>
      <c r="J17" s="33">
        <v>19508815.579999998</v>
      </c>
      <c r="K17" s="33">
        <v>18847989.600000001</v>
      </c>
      <c r="L17" s="33">
        <v>23192301.059999999</v>
      </c>
      <c r="M17" s="33">
        <v>19215558.91</v>
      </c>
      <c r="N17" s="33">
        <v>18829104.510000002</v>
      </c>
      <c r="O17" s="33">
        <v>14699101.27</v>
      </c>
      <c r="P17" s="34">
        <v>18455742</v>
      </c>
      <c r="Q17" s="33">
        <v>20174517.210000001</v>
      </c>
      <c r="R17" s="33">
        <v>24699380.43</v>
      </c>
      <c r="S17" s="35">
        <v>22084892.5</v>
      </c>
      <c r="T17" s="35">
        <v>28031415.07</v>
      </c>
      <c r="U17" s="35">
        <v>30176350.59</v>
      </c>
      <c r="V17" s="35">
        <v>32549239.100000001</v>
      </c>
      <c r="W17" s="35">
        <v>31908886.890000001</v>
      </c>
      <c r="X17" s="35">
        <v>29107262.68</v>
      </c>
      <c r="Y17" s="35">
        <v>33874121.289999999</v>
      </c>
      <c r="Z17" s="237">
        <v>32882590.359999999</v>
      </c>
      <c r="AA17" s="237">
        <v>40464551.380000003</v>
      </c>
      <c r="AB17" s="237">
        <v>18809013.460000001</v>
      </c>
      <c r="AC17" s="237">
        <v>18809013</v>
      </c>
      <c r="AD17" s="280">
        <v>23910265.670000002</v>
      </c>
      <c r="AE17" s="280">
        <v>30324593.620000001</v>
      </c>
      <c r="AF17" s="280">
        <v>25126681.850000001</v>
      </c>
      <c r="AG17">
        <v>31749424.73</v>
      </c>
      <c r="AH17">
        <v>32572038.800000001</v>
      </c>
      <c r="AI17" s="290">
        <v>38529252.359999999</v>
      </c>
      <c r="AJ17" s="334">
        <v>41399869.770000003</v>
      </c>
    </row>
    <row r="18" spans="1:41" ht="15">
      <c r="A18" s="28" t="s">
        <v>19</v>
      </c>
      <c r="B18" s="29">
        <f t="shared" ref="B18:G18" si="11">SUM(B19:B21)</f>
        <v>0</v>
      </c>
      <c r="C18" s="29">
        <f t="shared" si="11"/>
        <v>0</v>
      </c>
      <c r="D18" s="29">
        <f t="shared" si="11"/>
        <v>0</v>
      </c>
      <c r="E18" s="29">
        <f t="shared" si="11"/>
        <v>0</v>
      </c>
      <c r="F18" s="29">
        <f t="shared" si="11"/>
        <v>0</v>
      </c>
      <c r="G18" s="29">
        <f t="shared" si="11"/>
        <v>0</v>
      </c>
      <c r="H18" s="29">
        <f t="shared" ref="H18:AB18" si="12">SUM(H19:H21)</f>
        <v>0</v>
      </c>
      <c r="I18" s="29">
        <f t="shared" si="12"/>
        <v>0</v>
      </c>
      <c r="J18" s="29">
        <f t="shared" si="12"/>
        <v>0</v>
      </c>
      <c r="K18" s="29">
        <f t="shared" si="12"/>
        <v>0</v>
      </c>
      <c r="L18" s="29">
        <f t="shared" si="12"/>
        <v>0</v>
      </c>
      <c r="M18" s="29">
        <f t="shared" si="12"/>
        <v>0</v>
      </c>
      <c r="N18" s="29">
        <f t="shared" si="12"/>
        <v>0</v>
      </c>
      <c r="O18" s="29">
        <f t="shared" si="12"/>
        <v>0</v>
      </c>
      <c r="P18" s="29">
        <f t="shared" si="12"/>
        <v>0</v>
      </c>
      <c r="Q18" s="29">
        <f t="shared" si="12"/>
        <v>0</v>
      </c>
      <c r="R18" s="29">
        <f t="shared" si="12"/>
        <v>0</v>
      </c>
      <c r="S18" s="29">
        <f t="shared" si="12"/>
        <v>0</v>
      </c>
      <c r="T18" s="29">
        <f t="shared" si="12"/>
        <v>0</v>
      </c>
      <c r="U18" s="29">
        <f t="shared" si="12"/>
        <v>0</v>
      </c>
      <c r="V18" s="29">
        <f t="shared" si="12"/>
        <v>0</v>
      </c>
      <c r="W18" s="29">
        <f t="shared" si="12"/>
        <v>0</v>
      </c>
      <c r="X18" s="29">
        <f t="shared" si="12"/>
        <v>0</v>
      </c>
      <c r="Y18" s="29">
        <f t="shared" si="12"/>
        <v>0</v>
      </c>
      <c r="Z18" s="239">
        <f t="shared" si="12"/>
        <v>0</v>
      </c>
      <c r="AA18" s="239">
        <f t="shared" si="12"/>
        <v>0</v>
      </c>
      <c r="AB18" s="239">
        <f t="shared" si="12"/>
        <v>0</v>
      </c>
      <c r="AC18" s="239">
        <f>SUM(AC19:AC21)</f>
        <v>0</v>
      </c>
      <c r="AD18" s="279">
        <f>SUM(AD19:AD21)</f>
        <v>0</v>
      </c>
      <c r="AE18" s="279">
        <f>SUM(AE19:AE21)</f>
        <v>0</v>
      </c>
      <c r="AF18" s="279">
        <f>SUM(AF19:AF21)</f>
        <v>0</v>
      </c>
      <c r="AG18" s="279">
        <f t="shared" ref="AG18:AO18" si="13">SUM(AG19:AG21)</f>
        <v>0</v>
      </c>
      <c r="AH18" s="279">
        <f t="shared" si="13"/>
        <v>0</v>
      </c>
      <c r="AI18" s="279">
        <f t="shared" si="13"/>
        <v>0</v>
      </c>
      <c r="AJ18" s="279">
        <f t="shared" si="13"/>
        <v>0</v>
      </c>
      <c r="AK18" s="279">
        <f t="shared" si="13"/>
        <v>0</v>
      </c>
      <c r="AL18" s="279">
        <f t="shared" si="13"/>
        <v>0</v>
      </c>
      <c r="AM18" s="279">
        <f t="shared" si="13"/>
        <v>0</v>
      </c>
      <c r="AN18" s="279">
        <f t="shared" si="13"/>
        <v>0</v>
      </c>
      <c r="AO18" s="279">
        <f t="shared" si="13"/>
        <v>0</v>
      </c>
    </row>
    <row r="19" spans="1:41" ht="15.75">
      <c r="A19" s="30" t="s">
        <v>20</v>
      </c>
      <c r="B19" s="31"/>
      <c r="C19" s="42">
        <v>0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4"/>
      <c r="Q19" s="33">
        <v>0</v>
      </c>
      <c r="R19" s="33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37">
        <v>0</v>
      </c>
      <c r="AA19" s="237">
        <v>0</v>
      </c>
      <c r="AB19" s="237">
        <v>0</v>
      </c>
      <c r="AC19" s="237">
        <v>0</v>
      </c>
      <c r="AD19" s="280">
        <v>0</v>
      </c>
      <c r="AE19" s="280">
        <v>0</v>
      </c>
      <c r="AF19" s="280">
        <v>0</v>
      </c>
      <c r="AG19">
        <v>0</v>
      </c>
      <c r="AH19">
        <v>0</v>
      </c>
      <c r="AI19" s="287">
        <v>0</v>
      </c>
      <c r="AJ19" s="331">
        <v>0</v>
      </c>
    </row>
    <row r="20" spans="1:41" ht="15.75">
      <c r="A20" s="30" t="s">
        <v>21</v>
      </c>
      <c r="B20" s="31"/>
      <c r="C20" s="42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4"/>
      <c r="Q20" s="33">
        <v>0</v>
      </c>
      <c r="R20" s="33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37">
        <v>0</v>
      </c>
      <c r="AA20" s="237">
        <v>0</v>
      </c>
      <c r="AB20" s="237">
        <v>0</v>
      </c>
      <c r="AC20" s="237">
        <v>0</v>
      </c>
      <c r="AD20" s="280">
        <v>0</v>
      </c>
      <c r="AE20" s="280">
        <v>0</v>
      </c>
      <c r="AF20" s="280">
        <v>0</v>
      </c>
      <c r="AG20">
        <v>0</v>
      </c>
      <c r="AH20">
        <v>0</v>
      </c>
      <c r="AI20" s="289">
        <v>0</v>
      </c>
      <c r="AJ20" s="333">
        <v>0</v>
      </c>
    </row>
    <row r="21" spans="1:41" ht="15.75">
      <c r="A21" s="30" t="s">
        <v>22</v>
      </c>
      <c r="B21" s="31"/>
      <c r="C21" s="42">
        <v>0</v>
      </c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4"/>
      <c r="Q21" s="33">
        <v>0</v>
      </c>
      <c r="R21" s="33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37">
        <v>0</v>
      </c>
      <c r="AA21" s="237">
        <v>0</v>
      </c>
      <c r="AB21" s="237">
        <v>0</v>
      </c>
      <c r="AC21" s="237">
        <v>0</v>
      </c>
      <c r="AD21" s="280">
        <v>0</v>
      </c>
      <c r="AE21" s="280">
        <v>0</v>
      </c>
      <c r="AF21" s="280">
        <v>0</v>
      </c>
      <c r="AG21">
        <v>0</v>
      </c>
      <c r="AH21">
        <v>0</v>
      </c>
      <c r="AI21" s="289">
        <v>0</v>
      </c>
      <c r="AJ21" s="333">
        <v>0</v>
      </c>
    </row>
    <row r="22" spans="1:41" ht="15">
      <c r="A22" s="28" t="s">
        <v>23</v>
      </c>
      <c r="B22" s="29">
        <f t="shared" ref="B22:G22" si="14">SUM(B23:B27)</f>
        <v>4874587</v>
      </c>
      <c r="C22" s="29">
        <f t="shared" si="14"/>
        <v>14707861</v>
      </c>
      <c r="D22" s="29">
        <f t="shared" si="14"/>
        <v>27687116.109999999</v>
      </c>
      <c r="E22" s="29">
        <f t="shared" si="14"/>
        <v>26979014.899999999</v>
      </c>
      <c r="F22" s="29">
        <f t="shared" si="14"/>
        <v>34139566.32</v>
      </c>
      <c r="G22" s="29">
        <f t="shared" si="14"/>
        <v>33478223.390000001</v>
      </c>
      <c r="H22" s="29">
        <f t="shared" ref="H22:AB22" si="15">SUM(H23:H27)</f>
        <v>33374580.810000002</v>
      </c>
      <c r="I22" s="29">
        <f t="shared" si="15"/>
        <v>33459012.529999997</v>
      </c>
      <c r="J22" s="29">
        <f t="shared" si="15"/>
        <v>34936874.409999996</v>
      </c>
      <c r="K22" s="29">
        <f t="shared" si="15"/>
        <v>37886744.600000001</v>
      </c>
      <c r="L22" s="29">
        <f t="shared" si="15"/>
        <v>37619920.210000001</v>
      </c>
      <c r="M22" s="29">
        <f t="shared" si="15"/>
        <v>37946976.350000001</v>
      </c>
      <c r="N22" s="29">
        <f t="shared" si="15"/>
        <v>34258790.149999999</v>
      </c>
      <c r="O22" s="29">
        <f t="shared" si="15"/>
        <v>31303948.909999996</v>
      </c>
      <c r="P22" s="29">
        <f t="shared" si="15"/>
        <v>19271902</v>
      </c>
      <c r="Q22" s="29">
        <f t="shared" si="15"/>
        <v>34324139.399999999</v>
      </c>
      <c r="R22" s="29">
        <f t="shared" si="15"/>
        <v>39340367</v>
      </c>
      <c r="S22" s="29">
        <f t="shared" si="15"/>
        <v>41961368.849999994</v>
      </c>
      <c r="T22" s="29">
        <f t="shared" si="15"/>
        <v>45834040.099999994</v>
      </c>
      <c r="U22" s="29">
        <f t="shared" si="15"/>
        <v>46273584.760000005</v>
      </c>
      <c r="V22" s="29">
        <f t="shared" si="15"/>
        <v>47149285.109999999</v>
      </c>
      <c r="W22" s="29">
        <f t="shared" si="15"/>
        <v>48648947.600000001</v>
      </c>
      <c r="X22" s="29">
        <f t="shared" si="15"/>
        <v>47785486.129999995</v>
      </c>
      <c r="Y22" s="29">
        <f t="shared" si="15"/>
        <v>50289635.900000006</v>
      </c>
      <c r="Z22" s="239">
        <f t="shared" si="15"/>
        <v>55278189.829999998</v>
      </c>
      <c r="AA22" s="239">
        <f t="shared" si="15"/>
        <v>54458246.009999998</v>
      </c>
      <c r="AB22" s="239">
        <f t="shared" si="15"/>
        <v>49804280.829999998</v>
      </c>
      <c r="AC22" s="239">
        <f>SUM(AC23:AC27)</f>
        <v>34086653</v>
      </c>
      <c r="AD22" s="279">
        <f>SUM(AD23:AD27)</f>
        <v>54372788.629999995</v>
      </c>
      <c r="AE22" s="279">
        <f>SUM(AE23:AE27)</f>
        <v>53936962.879999995</v>
      </c>
      <c r="AF22" s="279">
        <f>SUM(AF23:AF27)</f>
        <v>57687805.309999995</v>
      </c>
      <c r="AG22" s="279">
        <f t="shared" ref="AG22:AO22" si="16">SUM(AG23:AG27)</f>
        <v>57138807</v>
      </c>
      <c r="AH22" s="279">
        <f t="shared" si="16"/>
        <v>55609762.179999992</v>
      </c>
      <c r="AI22" s="279">
        <f t="shared" si="16"/>
        <v>55860428.659999996</v>
      </c>
      <c r="AJ22" s="279">
        <f t="shared" si="16"/>
        <v>55663890.010000005</v>
      </c>
      <c r="AK22" s="279">
        <f t="shared" si="16"/>
        <v>0</v>
      </c>
      <c r="AL22" s="279">
        <f t="shared" si="16"/>
        <v>0</v>
      </c>
      <c r="AM22" s="279">
        <f t="shared" si="16"/>
        <v>0</v>
      </c>
      <c r="AN22" s="279">
        <f t="shared" si="16"/>
        <v>0</v>
      </c>
      <c r="AO22" s="279">
        <f t="shared" si="16"/>
        <v>0</v>
      </c>
    </row>
    <row r="23" spans="1:41" ht="15.75">
      <c r="A23" s="30" t="s">
        <v>24</v>
      </c>
      <c r="B23" s="31"/>
      <c r="C23" s="46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4"/>
      <c r="Q23" s="33">
        <v>0</v>
      </c>
      <c r="R23" s="33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37">
        <v>0</v>
      </c>
      <c r="AA23" s="237">
        <v>0</v>
      </c>
      <c r="AB23" s="237">
        <v>0</v>
      </c>
      <c r="AC23" s="237">
        <v>0</v>
      </c>
      <c r="AD23" s="280">
        <v>0</v>
      </c>
      <c r="AE23" s="280">
        <v>0</v>
      </c>
      <c r="AF23" s="280">
        <v>0</v>
      </c>
      <c r="AG23">
        <v>0</v>
      </c>
      <c r="AH23">
        <v>0</v>
      </c>
      <c r="AI23" s="287">
        <v>0</v>
      </c>
      <c r="AJ23" s="331">
        <v>0</v>
      </c>
    </row>
    <row r="24" spans="1:41" ht="15.75">
      <c r="A24" s="30" t="s">
        <v>25</v>
      </c>
      <c r="B24" s="31">
        <v>4123114</v>
      </c>
      <c r="C24" s="47">
        <v>12039974</v>
      </c>
      <c r="D24" s="33">
        <v>12071336.449999999</v>
      </c>
      <c r="E24" s="33">
        <v>12791786.51</v>
      </c>
      <c r="F24" s="33">
        <v>12932890.720000001</v>
      </c>
      <c r="G24" s="33">
        <v>13132378.119999999</v>
      </c>
      <c r="H24" s="33">
        <v>13567984.83</v>
      </c>
      <c r="I24" s="33">
        <v>13797096.529999999</v>
      </c>
      <c r="J24" s="33">
        <v>13827901.529999999</v>
      </c>
      <c r="K24" s="33">
        <v>13800084.99</v>
      </c>
      <c r="L24" s="33">
        <v>14956939.76</v>
      </c>
      <c r="M24" s="33">
        <v>15307598.35</v>
      </c>
      <c r="N24" s="33">
        <v>15184616.130000001</v>
      </c>
      <c r="O24" s="33">
        <v>15298013.77</v>
      </c>
      <c r="P24" s="34">
        <v>15124222</v>
      </c>
      <c r="Q24" s="33">
        <v>15119684.359999999</v>
      </c>
      <c r="R24" s="33">
        <v>14921011.34</v>
      </c>
      <c r="S24" s="35">
        <v>14538513.210000001</v>
      </c>
      <c r="T24" s="35">
        <v>14402758.25</v>
      </c>
      <c r="U24" s="35">
        <v>15343975.310000001</v>
      </c>
      <c r="V24" s="35">
        <v>16026984.119999999</v>
      </c>
      <c r="W24" s="35">
        <v>15996644.109999999</v>
      </c>
      <c r="X24" s="35">
        <v>20323471.969999999</v>
      </c>
      <c r="Y24" s="35">
        <v>20103414.359999999</v>
      </c>
      <c r="Z24" s="237">
        <v>22423919.059999999</v>
      </c>
      <c r="AA24" s="237">
        <v>27638539.829999998</v>
      </c>
      <c r="AB24" s="237">
        <v>27897991.879999999</v>
      </c>
      <c r="AC24" s="237">
        <v>27896112</v>
      </c>
      <c r="AD24" s="280">
        <v>30247412.579999998</v>
      </c>
      <c r="AE24" s="280">
        <v>30616312.579999998</v>
      </c>
      <c r="AF24" s="280">
        <v>30662912.579999998</v>
      </c>
      <c r="AG24">
        <v>30385045.59</v>
      </c>
      <c r="AH24">
        <v>30230790.27</v>
      </c>
      <c r="AI24" s="290">
        <v>30119034.949999999</v>
      </c>
      <c r="AJ24" s="334">
        <v>30119468.07</v>
      </c>
    </row>
    <row r="25" spans="1:41" ht="15.75">
      <c r="A25" s="30" t="s">
        <v>26</v>
      </c>
      <c r="B25" s="31">
        <v>0</v>
      </c>
      <c r="C25" s="46">
        <v>0</v>
      </c>
      <c r="D25" s="33">
        <v>605603.34</v>
      </c>
      <c r="E25" s="33">
        <v>495603.34</v>
      </c>
      <c r="F25" s="33">
        <v>770603.34</v>
      </c>
      <c r="G25" s="33">
        <v>660603.34</v>
      </c>
      <c r="H25" s="33">
        <v>605603.34</v>
      </c>
      <c r="I25" s="33">
        <v>550603.34</v>
      </c>
      <c r="J25" s="33">
        <v>495603.34</v>
      </c>
      <c r="K25" s="33">
        <v>440603.34</v>
      </c>
      <c r="L25" s="33">
        <v>732103.34</v>
      </c>
      <c r="M25" s="33">
        <v>677103.34</v>
      </c>
      <c r="N25" s="33">
        <v>622103.34</v>
      </c>
      <c r="O25" s="33">
        <v>567103.34</v>
      </c>
      <c r="P25" s="34"/>
      <c r="Q25" s="33">
        <v>567103.34</v>
      </c>
      <c r="R25" s="33">
        <v>457103.34</v>
      </c>
      <c r="S25" s="35">
        <v>745853.34</v>
      </c>
      <c r="T25" s="35">
        <v>700703.34</v>
      </c>
      <c r="U25" s="35">
        <v>642953.34</v>
      </c>
      <c r="V25" s="35">
        <v>585203.34</v>
      </c>
      <c r="W25" s="35">
        <v>527453.34</v>
      </c>
      <c r="X25" s="35">
        <v>469703.34</v>
      </c>
      <c r="Y25" s="35">
        <v>772890.84</v>
      </c>
      <c r="Z25" s="237">
        <v>712253.34</v>
      </c>
      <c r="AA25" s="237">
        <v>651615.84</v>
      </c>
      <c r="AB25" s="237">
        <v>578378.34</v>
      </c>
      <c r="AC25" s="237">
        <v>0</v>
      </c>
      <c r="AD25" s="280">
        <v>517740.84</v>
      </c>
      <c r="AE25" s="280">
        <v>457103.34</v>
      </c>
      <c r="AF25" s="280">
        <v>457103.34</v>
      </c>
      <c r="AG25">
        <v>354103.34</v>
      </c>
      <c r="AH25">
        <v>457103.34</v>
      </c>
      <c r="AI25" s="290">
        <v>578378.34</v>
      </c>
      <c r="AJ25" s="334">
        <v>578378.34</v>
      </c>
    </row>
    <row r="26" spans="1:41" ht="15.75">
      <c r="A26" s="30" t="s">
        <v>27</v>
      </c>
      <c r="B26" s="31">
        <v>751473</v>
      </c>
      <c r="C26" s="47">
        <v>2667887</v>
      </c>
      <c r="D26" s="33">
        <v>2593619.8199999998</v>
      </c>
      <c r="E26" s="33">
        <v>2521415.38</v>
      </c>
      <c r="F26" s="33">
        <v>2449210.94</v>
      </c>
      <c r="G26" s="33">
        <v>2380961.75</v>
      </c>
      <c r="H26" s="33">
        <v>2312768.27</v>
      </c>
      <c r="I26" s="33">
        <v>2396414.71</v>
      </c>
      <c r="J26" s="33">
        <v>2658026.9300000002</v>
      </c>
      <c r="K26" s="33">
        <v>2751689.92</v>
      </c>
      <c r="L26" s="33">
        <v>2673101.42</v>
      </c>
      <c r="M26" s="33">
        <v>4246695.72</v>
      </c>
      <c r="N26" s="33">
        <v>4221023.4400000004</v>
      </c>
      <c r="O26" s="33">
        <v>4155230.76</v>
      </c>
      <c r="P26" s="34">
        <v>4147680</v>
      </c>
      <c r="Q26" s="33">
        <v>4150028.95</v>
      </c>
      <c r="R26" s="33">
        <v>4038026.87</v>
      </c>
      <c r="S26" s="35">
        <v>3929135.65</v>
      </c>
      <c r="T26" s="35">
        <v>4393342.2</v>
      </c>
      <c r="U26" s="35">
        <v>4244655.41</v>
      </c>
      <c r="V26" s="35">
        <v>4083433.4</v>
      </c>
      <c r="W26" s="35">
        <v>3910024.33</v>
      </c>
      <c r="X26" s="35">
        <v>3753280.26</v>
      </c>
      <c r="Y26" s="35">
        <v>3596536.19</v>
      </c>
      <c r="Z26" s="237">
        <v>3379540.87</v>
      </c>
      <c r="AA26" s="237">
        <v>3231383.01</v>
      </c>
      <c r="AB26" s="237">
        <v>3522959.01</v>
      </c>
      <c r="AC26" s="237">
        <v>3515409</v>
      </c>
      <c r="AD26" s="280">
        <v>3425108.82</v>
      </c>
      <c r="AE26" s="280">
        <v>3491108.82</v>
      </c>
      <c r="AF26" s="280">
        <v>3535108.82</v>
      </c>
      <c r="AG26">
        <v>3535108.82</v>
      </c>
      <c r="AH26">
        <v>4337206.58</v>
      </c>
      <c r="AI26" s="290">
        <v>4239516.0999999996</v>
      </c>
      <c r="AJ26" s="334">
        <v>4141875.62</v>
      </c>
    </row>
    <row r="27" spans="1:41" ht="15.75">
      <c r="A27" s="30" t="s">
        <v>28</v>
      </c>
      <c r="B27" s="31"/>
      <c r="C27" s="48"/>
      <c r="D27" s="33">
        <v>12416556.5</v>
      </c>
      <c r="E27" s="33">
        <v>11170209.67</v>
      </c>
      <c r="F27" s="33">
        <v>17986861.32</v>
      </c>
      <c r="G27" s="33">
        <v>17304280.18</v>
      </c>
      <c r="H27" s="33">
        <v>16888224.370000001</v>
      </c>
      <c r="I27" s="33">
        <v>16714897.949999999</v>
      </c>
      <c r="J27" s="33">
        <v>17955342.609999999</v>
      </c>
      <c r="K27" s="33">
        <v>20894366.350000001</v>
      </c>
      <c r="L27" s="33">
        <v>19257775.690000001</v>
      </c>
      <c r="M27" s="33">
        <v>17715578.940000001</v>
      </c>
      <c r="N27" s="33">
        <v>14231047.24</v>
      </c>
      <c r="O27" s="33">
        <v>11283601.039999999</v>
      </c>
      <c r="P27" s="34"/>
      <c r="Q27" s="33">
        <v>14487322.75</v>
      </c>
      <c r="R27" s="33">
        <v>19924225.449999999</v>
      </c>
      <c r="S27" s="35">
        <v>22747866.649999999</v>
      </c>
      <c r="T27" s="35">
        <v>26337236.309999999</v>
      </c>
      <c r="U27" s="35">
        <v>26042000.699999999</v>
      </c>
      <c r="V27" s="35">
        <v>26453664.25</v>
      </c>
      <c r="W27" s="35">
        <v>28214825.82</v>
      </c>
      <c r="X27" s="35">
        <v>23239030.559999999</v>
      </c>
      <c r="Y27" s="35">
        <v>25816794.510000002</v>
      </c>
      <c r="Z27" s="237">
        <v>28762476.559999999</v>
      </c>
      <c r="AA27" s="237">
        <v>22936707.329999998</v>
      </c>
      <c r="AB27" s="237">
        <v>17804951.600000001</v>
      </c>
      <c r="AC27" s="237">
        <v>2675132</v>
      </c>
      <c r="AD27" s="280">
        <v>20182526.390000001</v>
      </c>
      <c r="AE27" s="280">
        <v>19372438.140000001</v>
      </c>
      <c r="AF27" s="280">
        <v>23032680.57</v>
      </c>
      <c r="AG27">
        <v>22864549.25</v>
      </c>
      <c r="AH27">
        <v>20584661.989999998</v>
      </c>
      <c r="AI27" s="290">
        <v>20923499.27</v>
      </c>
      <c r="AJ27" s="334">
        <v>20824167.98</v>
      </c>
    </row>
    <row r="28" spans="1:41" ht="15">
      <c r="A28" s="28" t="s">
        <v>29</v>
      </c>
      <c r="B28" s="29">
        <f t="shared" ref="B28:AB28" si="17">B22+B18+B15+B9+B8+B5</f>
        <v>151015729</v>
      </c>
      <c r="C28" s="29">
        <f t="shared" si="17"/>
        <v>425369462</v>
      </c>
      <c r="D28" s="29">
        <f t="shared" si="17"/>
        <v>423438359.28999996</v>
      </c>
      <c r="E28" s="29">
        <f t="shared" si="17"/>
        <v>426057282.19999999</v>
      </c>
      <c r="F28" s="29">
        <f t="shared" si="17"/>
        <v>439774107.59999996</v>
      </c>
      <c r="G28" s="29">
        <f t="shared" si="17"/>
        <v>451668968.45999998</v>
      </c>
      <c r="H28" s="29">
        <f t="shared" si="17"/>
        <v>459309839.56999993</v>
      </c>
      <c r="I28" s="29">
        <f t="shared" si="17"/>
        <v>466867425.75999999</v>
      </c>
      <c r="J28" s="29">
        <f t="shared" si="17"/>
        <v>474534980.83000004</v>
      </c>
      <c r="K28" s="29">
        <f t="shared" si="17"/>
        <v>479340864.43000001</v>
      </c>
      <c r="L28" s="29">
        <f t="shared" si="17"/>
        <v>508485503.28999996</v>
      </c>
      <c r="M28" s="29">
        <f t="shared" si="17"/>
        <v>513439091.15999997</v>
      </c>
      <c r="N28" s="29">
        <f t="shared" si="17"/>
        <v>524625994.82999998</v>
      </c>
      <c r="O28" s="29">
        <f t="shared" si="17"/>
        <v>535756656.36000001</v>
      </c>
      <c r="P28" s="29">
        <f t="shared" si="17"/>
        <v>531818874</v>
      </c>
      <c r="Q28" s="29">
        <f t="shared" si="17"/>
        <v>542192643.06999993</v>
      </c>
      <c r="R28" s="29">
        <f t="shared" si="17"/>
        <v>564386869.10000002</v>
      </c>
      <c r="S28" s="29">
        <f t="shared" si="17"/>
        <v>564285777.74000001</v>
      </c>
      <c r="T28" s="29">
        <f t="shared" si="17"/>
        <v>561198944.31000006</v>
      </c>
      <c r="U28" s="29">
        <f t="shared" si="17"/>
        <v>594818184.23000014</v>
      </c>
      <c r="V28" s="29">
        <f t="shared" si="17"/>
        <v>632904895.24000001</v>
      </c>
      <c r="W28" s="29">
        <f t="shared" si="17"/>
        <v>629524901.13000011</v>
      </c>
      <c r="X28" s="29">
        <f t="shared" si="17"/>
        <v>628378230.5</v>
      </c>
      <c r="Y28" s="29">
        <f t="shared" si="17"/>
        <v>650950562.48000002</v>
      </c>
      <c r="Z28" s="239">
        <f t="shared" si="17"/>
        <v>654140211.75999999</v>
      </c>
      <c r="AA28" s="239">
        <f t="shared" si="17"/>
        <v>677550813.28999996</v>
      </c>
      <c r="AB28" s="239">
        <f t="shared" si="17"/>
        <v>668378177.28999996</v>
      </c>
      <c r="AC28" s="239">
        <f>AC22+AC18+AC15+AC9+AC8+AC5</f>
        <v>665977217</v>
      </c>
      <c r="AD28" s="279">
        <f>AD22+AD18+AD15+AD9+AD8+AD5</f>
        <v>665898642.78000009</v>
      </c>
      <c r="AE28" s="279">
        <f>AE22+AE18+AE15+AE9+AE8+AE5</f>
        <v>660486223.82000005</v>
      </c>
      <c r="AF28" s="279">
        <f>AF22+AF18+AF15+AF9+AF8+AF5</f>
        <v>672974495.31999993</v>
      </c>
      <c r="AG28" s="279">
        <f t="shared" ref="AG28:AO28" si="18">AG22+AG18+AG15+AG9+AG8+AG5</f>
        <v>677288682.87</v>
      </c>
      <c r="AH28" s="279">
        <f t="shared" si="18"/>
        <v>686178551.24000001</v>
      </c>
      <c r="AI28" s="279">
        <f t="shared" si="18"/>
        <v>684504055.22000003</v>
      </c>
      <c r="AJ28" s="279">
        <f t="shared" si="18"/>
        <v>691075534.86000001</v>
      </c>
      <c r="AK28" s="279">
        <f t="shared" si="18"/>
        <v>0</v>
      </c>
      <c r="AL28" s="279">
        <f t="shared" si="18"/>
        <v>0</v>
      </c>
      <c r="AM28" s="279">
        <f t="shared" si="18"/>
        <v>0</v>
      </c>
      <c r="AN28" s="279">
        <f t="shared" si="18"/>
        <v>0</v>
      </c>
      <c r="AO28" s="279">
        <f t="shared" si="18"/>
        <v>0</v>
      </c>
    </row>
    <row r="29" spans="1:41" ht="15.75">
      <c r="A29" s="30" t="s">
        <v>30</v>
      </c>
      <c r="B29" s="31">
        <v>8112861</v>
      </c>
      <c r="C29" s="47">
        <v>69055366</v>
      </c>
      <c r="D29" s="33">
        <v>59103040.380000003</v>
      </c>
      <c r="E29" s="33">
        <v>58527832.189999998</v>
      </c>
      <c r="F29" s="33">
        <v>67730983.700000003</v>
      </c>
      <c r="G29" s="33">
        <v>73705286.439999998</v>
      </c>
      <c r="H29" s="33">
        <v>73751703.180000007</v>
      </c>
      <c r="I29" s="33">
        <v>75432870.280000001</v>
      </c>
      <c r="J29" s="33">
        <v>78081900.379999995</v>
      </c>
      <c r="K29" s="33">
        <v>74909436.980000004</v>
      </c>
      <c r="L29" s="33">
        <v>74105005.430000007</v>
      </c>
      <c r="M29" s="33">
        <v>69962704.319999993</v>
      </c>
      <c r="N29" s="33">
        <v>73079831.939999998</v>
      </c>
      <c r="O29" s="33">
        <v>80230784.209999993</v>
      </c>
      <c r="P29" s="34">
        <v>80230784</v>
      </c>
      <c r="Q29" s="33">
        <v>68440298.260000005</v>
      </c>
      <c r="R29" s="33">
        <v>88433353.379999995</v>
      </c>
      <c r="S29" s="35">
        <v>90023862.920000002</v>
      </c>
      <c r="T29" s="35">
        <v>89199124.239999995</v>
      </c>
      <c r="U29" s="35">
        <v>112069686.88</v>
      </c>
      <c r="V29" s="35">
        <v>111852440.06999999</v>
      </c>
      <c r="W29" s="35">
        <v>102684199.39</v>
      </c>
      <c r="X29" s="35">
        <v>99579654.189999998</v>
      </c>
      <c r="Y29" s="35">
        <v>118697136.88</v>
      </c>
      <c r="Z29" s="237">
        <v>111541864.3</v>
      </c>
      <c r="AA29" s="237">
        <v>134458029.59</v>
      </c>
      <c r="AB29" s="237">
        <v>118148397.94</v>
      </c>
      <c r="AC29" s="237">
        <v>118148398</v>
      </c>
      <c r="AD29" s="280">
        <v>110216075.81</v>
      </c>
      <c r="AE29" s="280">
        <v>102381969.47</v>
      </c>
      <c r="AF29" s="280">
        <v>108154811.56</v>
      </c>
      <c r="AG29">
        <v>104963683.97</v>
      </c>
      <c r="AH29">
        <v>106159304.54000001</v>
      </c>
      <c r="AI29" s="288">
        <v>96970320.480000004</v>
      </c>
      <c r="AJ29" s="332">
        <v>101238248.54000001</v>
      </c>
    </row>
    <row r="30" spans="1:41" ht="15.75">
      <c r="A30" s="30" t="s">
        <v>31</v>
      </c>
      <c r="B30" s="31">
        <v>8350444</v>
      </c>
      <c r="C30" s="47">
        <v>1144590</v>
      </c>
      <c r="D30" s="33">
        <v>1147590</v>
      </c>
      <c r="E30" s="33">
        <v>1280990</v>
      </c>
      <c r="F30" s="33">
        <v>4623790</v>
      </c>
      <c r="G30" s="33">
        <v>4617840</v>
      </c>
      <c r="H30" s="33">
        <v>4634840</v>
      </c>
      <c r="I30" s="33">
        <v>4196000</v>
      </c>
      <c r="J30" s="33">
        <v>4736000</v>
      </c>
      <c r="K30" s="33">
        <v>4289000</v>
      </c>
      <c r="L30" s="33">
        <v>14689500</v>
      </c>
      <c r="M30" s="33">
        <v>14739500</v>
      </c>
      <c r="N30" s="33">
        <v>14739500</v>
      </c>
      <c r="O30" s="33">
        <v>14439500</v>
      </c>
      <c r="P30" s="34">
        <v>14439500</v>
      </c>
      <c r="Q30" s="33">
        <v>15309500</v>
      </c>
      <c r="R30" s="33">
        <v>15770000</v>
      </c>
      <c r="S30" s="35">
        <v>17719500</v>
      </c>
      <c r="T30" s="35">
        <v>15419500</v>
      </c>
      <c r="U30" s="35">
        <v>15469500</v>
      </c>
      <c r="V30" s="35">
        <v>15770000</v>
      </c>
      <c r="W30" s="35">
        <v>15770000</v>
      </c>
      <c r="X30" s="35">
        <v>15770000</v>
      </c>
      <c r="Y30" s="35">
        <v>15571900</v>
      </c>
      <c r="Z30" s="237">
        <v>16781900</v>
      </c>
      <c r="AA30" s="237">
        <v>17435474</v>
      </c>
      <c r="AB30" s="237">
        <v>7134574</v>
      </c>
      <c r="AC30" s="237">
        <v>7134574</v>
      </c>
      <c r="AD30" s="280">
        <v>7578764</v>
      </c>
      <c r="AE30" s="280">
        <v>6914974</v>
      </c>
      <c r="AF30" s="280">
        <v>7472184</v>
      </c>
      <c r="AG30">
        <v>8737939</v>
      </c>
      <c r="AH30">
        <v>8685939</v>
      </c>
      <c r="AI30" s="290">
        <v>9670139</v>
      </c>
      <c r="AJ30" s="334">
        <v>10424699</v>
      </c>
    </row>
    <row r="31" spans="1:41" ht="15.75">
      <c r="A31" s="30" t="s">
        <v>32</v>
      </c>
      <c r="B31" s="31">
        <v>112140909</v>
      </c>
      <c r="C31" s="47">
        <v>228582666</v>
      </c>
      <c r="D31" s="33">
        <v>235271833.81</v>
      </c>
      <c r="E31" s="33">
        <v>238959639.37</v>
      </c>
      <c r="F31" s="33">
        <v>246605960.97999999</v>
      </c>
      <c r="G31" s="33">
        <v>250820181.31</v>
      </c>
      <c r="H31" s="33">
        <v>256679673.69</v>
      </c>
      <c r="I31" s="33">
        <v>262355919.41</v>
      </c>
      <c r="J31" s="33">
        <v>265214380.27000001</v>
      </c>
      <c r="K31" s="33">
        <v>269762625.74000001</v>
      </c>
      <c r="L31" s="33">
        <v>275532298.56</v>
      </c>
      <c r="M31" s="33">
        <v>281517892.81999999</v>
      </c>
      <c r="N31" s="33">
        <v>287535685.31</v>
      </c>
      <c r="O31" s="33">
        <v>286758860.24000001</v>
      </c>
      <c r="P31" s="34">
        <v>286758860</v>
      </c>
      <c r="Q31" s="33">
        <v>292094574.13999999</v>
      </c>
      <c r="R31" s="33">
        <v>298609184.63</v>
      </c>
      <c r="S31" s="35">
        <v>301891032.47000003</v>
      </c>
      <c r="T31" s="35">
        <v>307649441.39999998</v>
      </c>
      <c r="U31" s="35">
        <v>316558634.36000001</v>
      </c>
      <c r="V31" s="35">
        <v>319752608.24000001</v>
      </c>
      <c r="W31" s="35">
        <v>323353750.81999999</v>
      </c>
      <c r="X31" s="35">
        <v>318848351.07999998</v>
      </c>
      <c r="Y31" s="35">
        <v>322445013.63999999</v>
      </c>
      <c r="Z31" s="237">
        <v>322645426.56</v>
      </c>
      <c r="AA31" s="237">
        <v>328310489.06999999</v>
      </c>
      <c r="AB31" s="237">
        <v>321248899.97000003</v>
      </c>
      <c r="AC31" s="237">
        <v>321248900</v>
      </c>
      <c r="AD31" s="280">
        <v>325143367.06999999</v>
      </c>
      <c r="AE31" s="280">
        <v>331529283.01999998</v>
      </c>
      <c r="AF31" s="280">
        <v>337732171.99000001</v>
      </c>
      <c r="AG31">
        <v>349560854.37</v>
      </c>
      <c r="AH31">
        <v>358136034.38999999</v>
      </c>
      <c r="AI31" s="290">
        <v>366725897.75</v>
      </c>
      <c r="AJ31" s="334">
        <v>369339978.33999997</v>
      </c>
    </row>
    <row r="32" spans="1:41" ht="15">
      <c r="A32" s="28" t="s">
        <v>33</v>
      </c>
      <c r="B32" s="29">
        <f t="shared" ref="B32:G32" si="19">SUM(B29:B31)</f>
        <v>128604214</v>
      </c>
      <c r="C32" s="29">
        <f t="shared" si="19"/>
        <v>298782622</v>
      </c>
      <c r="D32" s="29">
        <f t="shared" si="19"/>
        <v>295522464.19</v>
      </c>
      <c r="E32" s="29">
        <f t="shared" si="19"/>
        <v>298768461.56</v>
      </c>
      <c r="F32" s="29">
        <f t="shared" si="19"/>
        <v>318960734.68000001</v>
      </c>
      <c r="G32" s="29">
        <f t="shared" si="19"/>
        <v>329143307.75</v>
      </c>
      <c r="H32" s="29">
        <f t="shared" ref="H32:AB32" si="20">SUM(H29:H31)</f>
        <v>335066216.87</v>
      </c>
      <c r="I32" s="29">
        <f t="shared" si="20"/>
        <v>341984789.69</v>
      </c>
      <c r="J32" s="29">
        <f t="shared" si="20"/>
        <v>348032280.64999998</v>
      </c>
      <c r="K32" s="29">
        <f t="shared" si="20"/>
        <v>348961062.72000003</v>
      </c>
      <c r="L32" s="29">
        <f t="shared" si="20"/>
        <v>364326803.99000001</v>
      </c>
      <c r="M32" s="29">
        <f t="shared" si="20"/>
        <v>366220097.13999999</v>
      </c>
      <c r="N32" s="29">
        <f t="shared" si="20"/>
        <v>375355017.25</v>
      </c>
      <c r="O32" s="29">
        <f t="shared" si="20"/>
        <v>381429144.44999999</v>
      </c>
      <c r="P32" s="29">
        <f t="shared" si="20"/>
        <v>381429144</v>
      </c>
      <c r="Q32" s="29">
        <f t="shared" si="20"/>
        <v>375844372.39999998</v>
      </c>
      <c r="R32" s="29">
        <f t="shared" si="20"/>
        <v>402812538.00999999</v>
      </c>
      <c r="S32" s="29">
        <f t="shared" si="20"/>
        <v>409634395.39000005</v>
      </c>
      <c r="T32" s="29">
        <f t="shared" si="20"/>
        <v>412268065.63999999</v>
      </c>
      <c r="U32" s="29">
        <f t="shared" si="20"/>
        <v>444097821.24000001</v>
      </c>
      <c r="V32" s="29">
        <f t="shared" si="20"/>
        <v>447375048.31</v>
      </c>
      <c r="W32" s="29">
        <f t="shared" si="20"/>
        <v>441807950.20999998</v>
      </c>
      <c r="X32" s="29">
        <f t="shared" si="20"/>
        <v>434198005.26999998</v>
      </c>
      <c r="Y32" s="29">
        <f t="shared" si="20"/>
        <v>456714050.51999998</v>
      </c>
      <c r="Z32" s="239">
        <f t="shared" si="20"/>
        <v>450969190.86000001</v>
      </c>
      <c r="AA32" s="239">
        <f t="shared" si="20"/>
        <v>480203992.65999997</v>
      </c>
      <c r="AB32" s="239">
        <f t="shared" si="20"/>
        <v>446531871.91000003</v>
      </c>
      <c r="AC32" s="239">
        <f>SUM(AC29:AC31)</f>
        <v>446531872</v>
      </c>
      <c r="AD32" s="279">
        <f>SUM(AD29:AD31)</f>
        <v>442938206.88</v>
      </c>
      <c r="AE32" s="279">
        <f>SUM(AE29:AE31)</f>
        <v>440826226.49000001</v>
      </c>
      <c r="AF32" s="279">
        <f>SUM(AF29:AF31)</f>
        <v>453359167.55000001</v>
      </c>
      <c r="AG32" s="279">
        <f t="shared" ref="AG32:AO32" si="21">SUM(AG29:AG31)</f>
        <v>463262477.34000003</v>
      </c>
      <c r="AH32" s="279">
        <f t="shared" si="21"/>
        <v>472981277.93000001</v>
      </c>
      <c r="AI32" s="279">
        <f t="shared" si="21"/>
        <v>473366357.23000002</v>
      </c>
      <c r="AJ32" s="279">
        <f t="shared" si="21"/>
        <v>481002925.88</v>
      </c>
      <c r="AK32" s="279">
        <f t="shared" si="21"/>
        <v>0</v>
      </c>
      <c r="AL32" s="279">
        <f t="shared" si="21"/>
        <v>0</v>
      </c>
      <c r="AM32" s="279">
        <f t="shared" si="21"/>
        <v>0</v>
      </c>
      <c r="AN32" s="279">
        <f t="shared" si="21"/>
        <v>0</v>
      </c>
      <c r="AO32" s="279">
        <f t="shared" si="21"/>
        <v>0</v>
      </c>
    </row>
    <row r="33" spans="1:41" ht="15.75">
      <c r="A33" s="30" t="s">
        <v>34</v>
      </c>
      <c r="B33" s="31">
        <v>27231</v>
      </c>
      <c r="C33" s="49">
        <v>72990</v>
      </c>
      <c r="D33" s="33">
        <v>0</v>
      </c>
      <c r="E33" s="33">
        <v>239364.49</v>
      </c>
      <c r="F33" s="33">
        <v>745907.18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50">
        <v>349240</v>
      </c>
      <c r="Q33" s="33">
        <v>0</v>
      </c>
      <c r="R33" s="33">
        <v>0</v>
      </c>
      <c r="S33" s="35">
        <v>684137.02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37">
        <v>0</v>
      </c>
      <c r="AA33" s="237">
        <v>0</v>
      </c>
      <c r="AB33" s="237">
        <v>0</v>
      </c>
      <c r="AC33" s="237">
        <v>26501</v>
      </c>
      <c r="AD33" s="280">
        <v>0</v>
      </c>
      <c r="AE33" s="280">
        <v>52058.52</v>
      </c>
      <c r="AF33" s="280">
        <v>0</v>
      </c>
      <c r="AG33">
        <v>0</v>
      </c>
      <c r="AH33">
        <v>0</v>
      </c>
      <c r="AI33" s="287">
        <v>0</v>
      </c>
      <c r="AJ33" s="331">
        <v>0</v>
      </c>
    </row>
    <row r="34" spans="1:41" ht="15.75">
      <c r="A34" s="30" t="s">
        <v>35</v>
      </c>
      <c r="B34" s="31">
        <v>3618123</v>
      </c>
      <c r="C34" s="49">
        <v>11693602</v>
      </c>
      <c r="D34" s="33">
        <v>0</v>
      </c>
      <c r="E34" s="33">
        <v>5979035</v>
      </c>
      <c r="F34" s="33">
        <v>0</v>
      </c>
      <c r="G34" s="33">
        <v>0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0</v>
      </c>
      <c r="P34" s="50">
        <v>6948872</v>
      </c>
      <c r="Q34" s="33">
        <v>0</v>
      </c>
      <c r="R34" s="33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37">
        <v>0</v>
      </c>
      <c r="AA34" s="237">
        <v>0</v>
      </c>
      <c r="AB34" s="237">
        <v>0</v>
      </c>
      <c r="AC34" s="277">
        <f>9796905+6424978+150000+300000</f>
        <v>16671883</v>
      </c>
      <c r="AD34" s="280">
        <v>0</v>
      </c>
      <c r="AE34" s="280">
        <v>16671883</v>
      </c>
      <c r="AF34" s="280">
        <v>0</v>
      </c>
      <c r="AG34">
        <v>0</v>
      </c>
      <c r="AH34">
        <v>0</v>
      </c>
      <c r="AI34" s="289">
        <v>0</v>
      </c>
      <c r="AJ34" s="333">
        <v>0</v>
      </c>
    </row>
    <row r="35" spans="1:41" ht="15.75">
      <c r="A35" s="30" t="s">
        <v>36</v>
      </c>
      <c r="B35" s="31"/>
      <c r="C35" s="42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4"/>
      <c r="Q35" s="33">
        <v>0</v>
      </c>
      <c r="R35" s="33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37">
        <v>0</v>
      </c>
      <c r="AA35" s="237">
        <v>0</v>
      </c>
      <c r="AB35" s="237">
        <v>0</v>
      </c>
      <c r="AC35" s="237">
        <v>0</v>
      </c>
      <c r="AD35" s="280">
        <v>0</v>
      </c>
      <c r="AE35" s="280">
        <v>0</v>
      </c>
      <c r="AF35" s="280">
        <v>0</v>
      </c>
      <c r="AG35">
        <v>0</v>
      </c>
      <c r="AH35">
        <v>0</v>
      </c>
      <c r="AI35" s="289">
        <v>0</v>
      </c>
      <c r="AJ35" s="333">
        <v>0</v>
      </c>
    </row>
    <row r="36" spans="1:41" ht="15.75">
      <c r="A36" s="30" t="s">
        <v>37</v>
      </c>
      <c r="B36" s="31"/>
      <c r="C36" s="42">
        <v>0</v>
      </c>
      <c r="D36" s="33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4"/>
      <c r="Q36" s="33">
        <v>0</v>
      </c>
      <c r="R36" s="33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37">
        <v>0</v>
      </c>
      <c r="AA36" s="237">
        <v>0</v>
      </c>
      <c r="AB36" s="237">
        <v>0</v>
      </c>
      <c r="AC36" s="237">
        <v>0</v>
      </c>
      <c r="AD36" s="280">
        <v>0</v>
      </c>
      <c r="AE36" s="280">
        <v>0</v>
      </c>
      <c r="AF36" s="280">
        <v>0</v>
      </c>
      <c r="AG36">
        <v>0</v>
      </c>
      <c r="AH36">
        <v>0</v>
      </c>
      <c r="AI36" s="289">
        <v>0</v>
      </c>
      <c r="AJ36" s="333">
        <v>0</v>
      </c>
    </row>
    <row r="37" spans="1:41" ht="15.75">
      <c r="A37" s="30" t="s">
        <v>38</v>
      </c>
      <c r="B37" s="31">
        <v>1214920</v>
      </c>
      <c r="C37" s="44">
        <v>2671734</v>
      </c>
      <c r="D37" s="33">
        <v>1910516.27</v>
      </c>
      <c r="E37" s="33">
        <v>5386420.3700000001</v>
      </c>
      <c r="F37" s="33">
        <v>1121640.3700000001</v>
      </c>
      <c r="G37" s="33">
        <v>2465966.46</v>
      </c>
      <c r="H37" s="33">
        <v>2799191.86</v>
      </c>
      <c r="I37" s="33">
        <v>2630116.12</v>
      </c>
      <c r="J37" s="33">
        <v>2671333.64</v>
      </c>
      <c r="K37" s="33">
        <v>2342959.59</v>
      </c>
      <c r="L37" s="33">
        <v>2080306.35</v>
      </c>
      <c r="M37" s="33">
        <v>3354723.11</v>
      </c>
      <c r="N37" s="33">
        <v>2872430.36</v>
      </c>
      <c r="O37" s="33">
        <v>2565483.67</v>
      </c>
      <c r="P37" s="34">
        <f>15868792-P34</f>
        <v>8919920</v>
      </c>
      <c r="Q37" s="33">
        <v>2757005.91</v>
      </c>
      <c r="R37" s="33">
        <v>15828129.6</v>
      </c>
      <c r="S37" s="35">
        <v>3159439.37</v>
      </c>
      <c r="T37" s="35">
        <v>2808070.61</v>
      </c>
      <c r="U37" s="35">
        <v>2581088.73</v>
      </c>
      <c r="V37" s="35">
        <v>2212016.0499999998</v>
      </c>
      <c r="W37" s="35">
        <v>2244297.8199999998</v>
      </c>
      <c r="X37" s="35">
        <v>2227011.63</v>
      </c>
      <c r="Y37" s="35">
        <v>2130719.1</v>
      </c>
      <c r="Z37" s="237">
        <v>5443522.5099999998</v>
      </c>
      <c r="AA37" s="237">
        <v>1047344.21</v>
      </c>
      <c r="AB37" s="237">
        <v>19796065.620000001</v>
      </c>
      <c r="AC37" s="237">
        <v>2828941</v>
      </c>
      <c r="AD37" s="280">
        <v>1924437.48</v>
      </c>
      <c r="AE37" s="280">
        <v>4398731.45</v>
      </c>
      <c r="AF37" s="280">
        <v>7928723.8899999997</v>
      </c>
      <c r="AG37">
        <v>7299706.0199999996</v>
      </c>
      <c r="AH37">
        <v>6361637.8700000001</v>
      </c>
      <c r="AI37" s="290">
        <v>7744072.7599999998</v>
      </c>
      <c r="AJ37" s="334">
        <v>8381856.9000000004</v>
      </c>
    </row>
    <row r="38" spans="1:41" ht="15.75">
      <c r="A38" s="30" t="s">
        <v>39</v>
      </c>
      <c r="B38" s="31">
        <v>2291669</v>
      </c>
      <c r="C38" s="44">
        <v>20000000</v>
      </c>
      <c r="D38" s="33">
        <v>20000000</v>
      </c>
      <c r="E38" s="33">
        <v>18888888.890000001</v>
      </c>
      <c r="F38" s="33">
        <v>17777777.780000001</v>
      </c>
      <c r="G38" s="33">
        <v>16666666.66</v>
      </c>
      <c r="H38" s="33">
        <v>15555555.539999999</v>
      </c>
      <c r="I38" s="33">
        <v>14444444.539999999</v>
      </c>
      <c r="J38" s="33">
        <v>13333333.42</v>
      </c>
      <c r="K38" s="33">
        <v>12222222.310000001</v>
      </c>
      <c r="L38" s="33">
        <v>26111111.199999999</v>
      </c>
      <c r="M38" s="33">
        <v>25485060.960000001</v>
      </c>
      <c r="N38" s="33">
        <v>23055555.640000001</v>
      </c>
      <c r="O38" s="33">
        <v>21527777.859999999</v>
      </c>
      <c r="P38" s="34">
        <v>21527778</v>
      </c>
      <c r="Q38" s="33">
        <v>35000000</v>
      </c>
      <c r="R38" s="33">
        <v>33055555.629999999</v>
      </c>
      <c r="S38" s="51">
        <v>31527777.859999999</v>
      </c>
      <c r="T38" s="35">
        <v>29155684.960000001</v>
      </c>
      <c r="U38" s="35">
        <v>27211240.48</v>
      </c>
      <c r="V38" s="35">
        <v>60000000</v>
      </c>
      <c r="W38" s="35">
        <v>58333333.329999998</v>
      </c>
      <c r="X38" s="35">
        <v>56666666.630000003</v>
      </c>
      <c r="Y38" s="35">
        <v>54999999.969999999</v>
      </c>
      <c r="Z38" s="237">
        <v>53333333.299999997</v>
      </c>
      <c r="AA38" s="237">
        <v>51666666.630000003</v>
      </c>
      <c r="AB38" s="237">
        <v>54999999.969999999</v>
      </c>
      <c r="AC38" s="277">
        <v>55000000</v>
      </c>
      <c r="AD38" s="280">
        <v>52608553.990000002</v>
      </c>
      <c r="AE38" s="280">
        <v>50941887.329999998</v>
      </c>
      <c r="AF38" s="280">
        <v>49583333.299999997</v>
      </c>
      <c r="AG38">
        <v>47777777.75</v>
      </c>
      <c r="AH38">
        <v>45972222.189999998</v>
      </c>
      <c r="AI38" s="290">
        <v>44695036.859999999</v>
      </c>
      <c r="AJ38" s="334">
        <v>42889481.299999997</v>
      </c>
    </row>
    <row r="39" spans="1:41" ht="15">
      <c r="A39" s="28" t="s">
        <v>40</v>
      </c>
      <c r="B39" s="29">
        <f t="shared" ref="B39:G39" si="22">SUM(B32:B38)</f>
        <v>135756157</v>
      </c>
      <c r="C39" s="29">
        <f t="shared" si="22"/>
        <v>333220948</v>
      </c>
      <c r="D39" s="29">
        <f t="shared" si="22"/>
        <v>317432980.45999998</v>
      </c>
      <c r="E39" s="29">
        <f t="shared" si="22"/>
        <v>329262170.31</v>
      </c>
      <c r="F39" s="29">
        <f t="shared" si="22"/>
        <v>338606060.00999999</v>
      </c>
      <c r="G39" s="29">
        <f t="shared" si="22"/>
        <v>348275940.87</v>
      </c>
      <c r="H39" s="29">
        <f t="shared" ref="H39:AC39" si="23">SUM(H32:H38)</f>
        <v>353420964.27000004</v>
      </c>
      <c r="I39" s="29">
        <f t="shared" si="23"/>
        <v>359059350.35000002</v>
      </c>
      <c r="J39" s="29">
        <f t="shared" si="23"/>
        <v>364036947.70999998</v>
      </c>
      <c r="K39" s="29">
        <f t="shared" si="23"/>
        <v>363526244.62</v>
      </c>
      <c r="L39" s="29">
        <f t="shared" si="23"/>
        <v>392518221.54000002</v>
      </c>
      <c r="M39" s="29">
        <f t="shared" si="23"/>
        <v>395059881.20999998</v>
      </c>
      <c r="N39" s="29">
        <f t="shared" si="23"/>
        <v>401283003.25</v>
      </c>
      <c r="O39" s="29">
        <f t="shared" si="23"/>
        <v>405522405.98000002</v>
      </c>
      <c r="P39" s="29">
        <f t="shared" si="23"/>
        <v>419174954</v>
      </c>
      <c r="Q39" s="29">
        <f t="shared" si="23"/>
        <v>413601378.31</v>
      </c>
      <c r="R39" s="29">
        <f t="shared" si="23"/>
        <v>451696223.24000001</v>
      </c>
      <c r="S39" s="29">
        <f t="shared" si="23"/>
        <v>445005749.64000005</v>
      </c>
      <c r="T39" s="29">
        <f t="shared" si="23"/>
        <v>444231821.20999998</v>
      </c>
      <c r="U39" s="29">
        <f t="shared" si="23"/>
        <v>473890150.45000005</v>
      </c>
      <c r="V39" s="29">
        <f t="shared" si="23"/>
        <v>509587064.36000001</v>
      </c>
      <c r="W39" s="29">
        <f t="shared" si="23"/>
        <v>502385581.35999995</v>
      </c>
      <c r="X39" s="29">
        <f t="shared" si="23"/>
        <v>493091683.52999997</v>
      </c>
      <c r="Y39" s="29">
        <f t="shared" si="23"/>
        <v>513844769.59000003</v>
      </c>
      <c r="Z39" s="239">
        <f t="shared" si="23"/>
        <v>509746046.67000002</v>
      </c>
      <c r="AA39" s="239">
        <f t="shared" si="23"/>
        <v>532918003.49999994</v>
      </c>
      <c r="AB39" s="239">
        <f t="shared" si="23"/>
        <v>521327937.5</v>
      </c>
      <c r="AC39" s="239">
        <f t="shared" si="23"/>
        <v>521059197</v>
      </c>
      <c r="AD39" s="279">
        <f>SUM(AD32:AD38)</f>
        <v>497471198.35000002</v>
      </c>
      <c r="AE39" s="279">
        <f>SUM(AE32:AE38)</f>
        <v>512890786.78999996</v>
      </c>
      <c r="AF39" s="279">
        <f>SUM(AF32:AF38)</f>
        <v>510871224.74000001</v>
      </c>
      <c r="AG39" s="279">
        <f t="shared" ref="AG39:AO39" si="24">SUM(AG32:AG38)</f>
        <v>518339961.11000001</v>
      </c>
      <c r="AH39" s="279">
        <f t="shared" si="24"/>
        <v>525315137.99000001</v>
      </c>
      <c r="AI39" s="279">
        <f t="shared" si="24"/>
        <v>525805466.85000002</v>
      </c>
      <c r="AJ39" s="279">
        <f t="shared" si="24"/>
        <v>532274264.07999998</v>
      </c>
      <c r="AK39" s="279">
        <f t="shared" si="24"/>
        <v>0</v>
      </c>
      <c r="AL39" s="279">
        <f t="shared" si="24"/>
        <v>0</v>
      </c>
      <c r="AM39" s="279">
        <f t="shared" si="24"/>
        <v>0</v>
      </c>
      <c r="AN39" s="279">
        <f t="shared" si="24"/>
        <v>0</v>
      </c>
      <c r="AO39" s="279">
        <f t="shared" si="24"/>
        <v>0</v>
      </c>
    </row>
    <row r="40" spans="1:41" ht="15.75">
      <c r="A40" s="30" t="s">
        <v>41</v>
      </c>
      <c r="B40" s="31">
        <v>10494697</v>
      </c>
      <c r="C40" s="45">
        <v>59790352</v>
      </c>
      <c r="D40" s="33">
        <v>60736992.649999999</v>
      </c>
      <c r="E40" s="33">
        <v>61600927.649999999</v>
      </c>
      <c r="F40" s="33">
        <v>62567054.649999999</v>
      </c>
      <c r="G40" s="33">
        <v>63496076.649999999</v>
      </c>
      <c r="H40" s="33">
        <v>64270078.969999999</v>
      </c>
      <c r="I40" s="33">
        <v>65053547.969999999</v>
      </c>
      <c r="J40" s="33">
        <v>65842782.979999997</v>
      </c>
      <c r="K40" s="33">
        <v>66573785.57</v>
      </c>
      <c r="L40" s="33">
        <v>67367372.609999999</v>
      </c>
      <c r="M40" s="33">
        <v>68090920.760000005</v>
      </c>
      <c r="N40" s="33">
        <v>68765442.040000007</v>
      </c>
      <c r="O40" s="33">
        <v>69488716.040000007</v>
      </c>
      <c r="P40" s="34">
        <v>69488716</v>
      </c>
      <c r="Q40" s="33">
        <v>70390869.120000005</v>
      </c>
      <c r="R40" s="33">
        <v>71331021.120000005</v>
      </c>
      <c r="S40" s="35">
        <v>72167810.159999996</v>
      </c>
      <c r="T40" s="35">
        <v>72992741.459999993</v>
      </c>
      <c r="U40" s="35">
        <v>73864351.340000004</v>
      </c>
      <c r="V40" s="35">
        <v>75380676.340000004</v>
      </c>
      <c r="W40" s="35">
        <v>77387881.340000004</v>
      </c>
      <c r="X40" s="35">
        <v>79198842.329999998</v>
      </c>
      <c r="Y40" s="35">
        <v>81250714.950000003</v>
      </c>
      <c r="Z40" s="237">
        <v>82383952.950000003</v>
      </c>
      <c r="AA40" s="237">
        <v>84713127.950000003</v>
      </c>
      <c r="AB40" s="237">
        <v>91472479.349999994</v>
      </c>
      <c r="AC40" s="237">
        <v>91472479</v>
      </c>
      <c r="AD40" s="280">
        <v>96380288.849999994</v>
      </c>
      <c r="AE40" s="280">
        <v>97466683.25</v>
      </c>
      <c r="AF40" s="280">
        <v>104923341.23999999</v>
      </c>
      <c r="AG40">
        <v>106503106.81999999</v>
      </c>
      <c r="AH40">
        <v>107437605.51000001</v>
      </c>
      <c r="AI40" s="288">
        <v>108345240.93000001</v>
      </c>
      <c r="AJ40" s="332">
        <v>109644727.54000001</v>
      </c>
    </row>
    <row r="41" spans="1:41" ht="15.75">
      <c r="A41" s="30" t="s">
        <v>42</v>
      </c>
      <c r="B41" s="31">
        <v>340425</v>
      </c>
      <c r="C41" s="52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4"/>
      <c r="Q41" s="33">
        <v>0</v>
      </c>
      <c r="R41" s="33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37">
        <v>0</v>
      </c>
      <c r="AA41" s="237">
        <v>0</v>
      </c>
      <c r="AB41" s="237">
        <v>0</v>
      </c>
      <c r="AC41" s="237">
        <v>0</v>
      </c>
      <c r="AD41" s="280">
        <v>0</v>
      </c>
      <c r="AE41" s="280">
        <v>0</v>
      </c>
      <c r="AF41" s="280">
        <v>0</v>
      </c>
      <c r="AG41">
        <v>0</v>
      </c>
      <c r="AH41">
        <v>0</v>
      </c>
      <c r="AI41" s="289">
        <v>0</v>
      </c>
      <c r="AJ41" s="333">
        <v>0</v>
      </c>
    </row>
    <row r="42" spans="1:41" ht="15.75">
      <c r="A42" s="30" t="s">
        <v>43</v>
      </c>
      <c r="B42" s="31">
        <v>351220</v>
      </c>
      <c r="C42" s="45">
        <v>19788651</v>
      </c>
      <c r="D42" s="33">
        <v>19788651</v>
      </c>
      <c r="E42" s="33">
        <v>26472293</v>
      </c>
      <c r="F42" s="33">
        <v>26472293</v>
      </c>
      <c r="G42" s="33">
        <v>26472293</v>
      </c>
      <c r="H42" s="33">
        <v>26472293</v>
      </c>
      <c r="I42" s="33">
        <v>26472293</v>
      </c>
      <c r="J42" s="33">
        <v>26472293</v>
      </c>
      <c r="K42" s="33">
        <v>26472293</v>
      </c>
      <c r="L42" s="33">
        <v>26480293</v>
      </c>
      <c r="M42" s="33">
        <v>25095199</v>
      </c>
      <c r="N42" s="33">
        <v>25095199</v>
      </c>
      <c r="O42" s="33">
        <v>25095199</v>
      </c>
      <c r="P42" s="50">
        <f>26480293-1428495</f>
        <v>25051798</v>
      </c>
      <c r="Q42" s="33">
        <v>25095199</v>
      </c>
      <c r="R42" s="33">
        <v>31840058</v>
      </c>
      <c r="S42" s="35">
        <v>31840058</v>
      </c>
      <c r="T42" s="35">
        <v>31840058</v>
      </c>
      <c r="U42" s="35">
        <v>31840058</v>
      </c>
      <c r="V42" s="35">
        <v>31840058</v>
      </c>
      <c r="W42" s="35">
        <v>31840058</v>
      </c>
      <c r="X42" s="35">
        <v>31840058</v>
      </c>
      <c r="Y42" s="35">
        <v>31840058</v>
      </c>
      <c r="Z42" s="237">
        <v>31840058</v>
      </c>
      <c r="AA42" s="237">
        <v>31840058</v>
      </c>
      <c r="AB42" s="237">
        <v>31840058</v>
      </c>
      <c r="AC42" s="237">
        <v>31796657</v>
      </c>
      <c r="AD42" s="280">
        <v>31840058</v>
      </c>
      <c r="AE42" s="280">
        <v>37991663</v>
      </c>
      <c r="AF42" s="280">
        <v>37987367</v>
      </c>
      <c r="AG42">
        <v>37987367</v>
      </c>
      <c r="AH42">
        <v>37987367</v>
      </c>
      <c r="AI42" s="290">
        <v>37987367</v>
      </c>
      <c r="AJ42" s="334">
        <v>37859435</v>
      </c>
    </row>
    <row r="43" spans="1:41" ht="15.75">
      <c r="A43" s="30" t="s">
        <v>44</v>
      </c>
      <c r="B43" s="31">
        <v>3541956</v>
      </c>
      <c r="C43" s="32">
        <v>5045847</v>
      </c>
      <c r="D43" s="33">
        <v>-7815834.2999999998</v>
      </c>
      <c r="E43" s="33">
        <v>786778.6</v>
      </c>
      <c r="F43" s="33">
        <v>4193587.3</v>
      </c>
      <c r="G43" s="33">
        <v>5489545.2999999998</v>
      </c>
      <c r="H43" s="33">
        <v>7211390.6900000004</v>
      </c>
      <c r="I43" s="33">
        <v>8347121.7999999998</v>
      </c>
      <c r="J43" s="33">
        <v>10247844.5</v>
      </c>
      <c r="K43" s="33">
        <v>14833428.6</v>
      </c>
      <c r="L43" s="33">
        <v>14184503.5</v>
      </c>
      <c r="M43" s="33">
        <v>17257977.550000001</v>
      </c>
      <c r="N43" s="33">
        <v>21547237.899999999</v>
      </c>
      <c r="O43" s="33">
        <v>27715222.699999999</v>
      </c>
      <c r="P43" s="34">
        <f>17117164-3423433-6948872</f>
        <v>6744859</v>
      </c>
      <c r="Q43" s="33">
        <v>-13523773.699999999</v>
      </c>
      <c r="R43" s="33">
        <v>-2189012.6</v>
      </c>
      <c r="S43" s="35">
        <v>3913614.3</v>
      </c>
      <c r="T43" s="35">
        <v>775778</v>
      </c>
      <c r="U43" s="35">
        <v>3865078.8</v>
      </c>
      <c r="V43" s="35">
        <v>4738550.9000000004</v>
      </c>
      <c r="W43" s="35">
        <v>6552834.79</v>
      </c>
      <c r="X43" s="35">
        <v>12889101</v>
      </c>
      <c r="Y43" s="35">
        <v>12656474.300000001</v>
      </c>
      <c r="Z43" s="237">
        <v>18811608.5</v>
      </c>
      <c r="AA43" s="237">
        <v>16721078.199999999</v>
      </c>
      <c r="AB43" s="237">
        <v>30199156.800000001</v>
      </c>
      <c r="AC43" s="277">
        <f>37987367-AC42</f>
        <v>6190710</v>
      </c>
      <c r="AD43" s="282">
        <v>-11255950.300000001</v>
      </c>
      <c r="AE43" s="280">
        <v>-5814255.0999999996</v>
      </c>
      <c r="AF43" s="280">
        <v>3734389.7</v>
      </c>
      <c r="AG43">
        <v>-999924.7</v>
      </c>
      <c r="AH43">
        <v>-19731.900000000001</v>
      </c>
      <c r="AI43" s="290">
        <v>-3092192.2</v>
      </c>
      <c r="AJ43" s="334">
        <v>-4161064.4</v>
      </c>
    </row>
    <row r="44" spans="1:41" ht="15.75">
      <c r="A44" s="30" t="s">
        <v>45</v>
      </c>
      <c r="B44" s="31">
        <v>531274</v>
      </c>
      <c r="C44" s="45">
        <v>7521643</v>
      </c>
      <c r="D44" s="33">
        <v>4765423</v>
      </c>
      <c r="E44" s="33">
        <v>7933092</v>
      </c>
      <c r="F44" s="33">
        <v>7933092</v>
      </c>
      <c r="G44" s="33">
        <v>7933092</v>
      </c>
      <c r="H44" s="33">
        <v>7933092</v>
      </c>
      <c r="I44" s="33">
        <v>7933092</v>
      </c>
      <c r="J44" s="33">
        <v>7933092</v>
      </c>
      <c r="K44" s="33">
        <v>7933092</v>
      </c>
      <c r="L44" s="33">
        <v>7933092</v>
      </c>
      <c r="M44" s="33">
        <v>7933092</v>
      </c>
      <c r="N44" s="33">
        <v>7933092</v>
      </c>
      <c r="O44" s="33">
        <v>7933092</v>
      </c>
      <c r="P44" s="34">
        <v>11356525</v>
      </c>
      <c r="Q44" s="33">
        <v>7933092</v>
      </c>
      <c r="R44" s="33">
        <v>11356525</v>
      </c>
      <c r="S44" s="35">
        <v>11356525</v>
      </c>
      <c r="T44" s="35">
        <v>11356525</v>
      </c>
      <c r="U44" s="35">
        <v>11356525</v>
      </c>
      <c r="V44" s="35">
        <v>11356525</v>
      </c>
      <c r="W44" s="35">
        <v>11356525</v>
      </c>
      <c r="X44" s="35">
        <v>11356525</v>
      </c>
      <c r="Y44" s="35">
        <v>11356525</v>
      </c>
      <c r="Z44" s="237">
        <v>11356525</v>
      </c>
      <c r="AA44" s="237">
        <v>11356525</v>
      </c>
      <c r="AB44" s="237">
        <v>11356525</v>
      </c>
      <c r="AC44" s="237">
        <v>15456152</v>
      </c>
      <c r="AD44" s="280">
        <v>11356525</v>
      </c>
      <c r="AE44" s="280">
        <v>15456153</v>
      </c>
      <c r="AF44" s="280">
        <v>15456152</v>
      </c>
      <c r="AG44">
        <v>15456152</v>
      </c>
      <c r="AH44">
        <v>15456152</v>
      </c>
      <c r="AI44" s="290">
        <v>15456152</v>
      </c>
      <c r="AJ44" s="334">
        <v>15456152</v>
      </c>
    </row>
    <row r="45" spans="1:41" ht="15.75">
      <c r="A45" s="30" t="s">
        <v>46</v>
      </c>
      <c r="B45" s="31"/>
      <c r="C45" s="42">
        <v>0</v>
      </c>
      <c r="D45" s="33">
        <v>28528125.84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4"/>
      <c r="Q45" s="33">
        <v>38693857.700000003</v>
      </c>
      <c r="R45" s="33">
        <v>350033.7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37">
        <v>0</v>
      </c>
      <c r="AA45" s="237">
        <v>0</v>
      </c>
      <c r="AB45" s="237">
        <v>0</v>
      </c>
      <c r="AC45" s="237">
        <v>0</v>
      </c>
      <c r="AD45" s="280">
        <v>40104502.240000002</v>
      </c>
      <c r="AE45" s="280">
        <v>2493172.2400000002</v>
      </c>
      <c r="AF45" s="280">
        <v>0</v>
      </c>
      <c r="AG45">
        <v>0</v>
      </c>
      <c r="AH45">
        <v>0</v>
      </c>
      <c r="AI45" s="289">
        <v>0</v>
      </c>
      <c r="AJ45" s="333">
        <v>0</v>
      </c>
    </row>
    <row r="46" spans="1:41" ht="15.75">
      <c r="A46" s="30" t="s">
        <v>47</v>
      </c>
      <c r="B46" s="31"/>
      <c r="C46" s="53">
        <v>2021</v>
      </c>
      <c r="D46" s="33">
        <v>2020.64</v>
      </c>
      <c r="E46" s="33">
        <v>2020.64</v>
      </c>
      <c r="F46" s="33">
        <v>2020.64</v>
      </c>
      <c r="G46" s="33">
        <v>2020.64</v>
      </c>
      <c r="H46" s="33">
        <v>2020.64</v>
      </c>
      <c r="I46" s="33">
        <v>2020.64</v>
      </c>
      <c r="J46" s="33">
        <v>2020.64</v>
      </c>
      <c r="K46" s="33">
        <v>2020.64</v>
      </c>
      <c r="L46" s="33">
        <v>2020.64</v>
      </c>
      <c r="M46" s="33">
        <v>2020.64</v>
      </c>
      <c r="N46" s="33">
        <v>2020.64</v>
      </c>
      <c r="O46" s="33">
        <v>2020.64</v>
      </c>
      <c r="P46" s="34">
        <v>2021</v>
      </c>
      <c r="Q46" s="33">
        <v>2020.64</v>
      </c>
      <c r="R46" s="33">
        <v>2020.64</v>
      </c>
      <c r="S46" s="51">
        <v>2020.64</v>
      </c>
      <c r="T46" s="35">
        <v>2020.64</v>
      </c>
      <c r="U46" s="35">
        <v>2020.64</v>
      </c>
      <c r="V46" s="35">
        <v>2020.64</v>
      </c>
      <c r="W46" s="35">
        <v>2020.64</v>
      </c>
      <c r="X46" s="35">
        <v>2020.64</v>
      </c>
      <c r="Y46" s="35">
        <v>2020.64</v>
      </c>
      <c r="Z46" s="237">
        <v>2020.64</v>
      </c>
      <c r="AA46" s="237">
        <v>2020.64</v>
      </c>
      <c r="AB46" s="237">
        <v>2020.64</v>
      </c>
      <c r="AC46" s="237">
        <v>2021</v>
      </c>
      <c r="AD46" s="280">
        <v>2020.64</v>
      </c>
      <c r="AE46" s="280">
        <v>2020.64</v>
      </c>
      <c r="AF46" s="280">
        <v>2020.64</v>
      </c>
      <c r="AG46">
        <v>2020.64</v>
      </c>
      <c r="AH46">
        <v>2020.64</v>
      </c>
      <c r="AI46" s="290">
        <v>2020.64</v>
      </c>
      <c r="AJ46" s="334">
        <v>2020.64</v>
      </c>
    </row>
    <row r="47" spans="1:41" ht="15.75">
      <c r="A47" s="30" t="s">
        <v>48</v>
      </c>
      <c r="B47" s="31"/>
      <c r="C47" s="42">
        <v>0</v>
      </c>
      <c r="D47" s="54">
        <v>0</v>
      </c>
      <c r="E47" s="54">
        <v>0</v>
      </c>
      <c r="F47" s="54">
        <v>0</v>
      </c>
      <c r="G47" s="54">
        <v>0</v>
      </c>
      <c r="H47" s="54">
        <v>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4">
        <v>0</v>
      </c>
      <c r="O47" s="54">
        <v>0</v>
      </c>
      <c r="P47" s="34"/>
      <c r="Q47" s="54">
        <v>0</v>
      </c>
      <c r="R47" s="31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37">
        <v>0</v>
      </c>
      <c r="AA47" s="237">
        <v>0</v>
      </c>
      <c r="AB47" s="237">
        <v>0</v>
      </c>
      <c r="AC47" s="237">
        <v>0</v>
      </c>
      <c r="AD47" s="280">
        <v>0</v>
      </c>
      <c r="AE47" s="280">
        <v>0</v>
      </c>
      <c r="AF47" s="280">
        <v>0</v>
      </c>
      <c r="AG47">
        <v>0</v>
      </c>
      <c r="AH47">
        <v>0</v>
      </c>
      <c r="AI47" s="289">
        <v>0</v>
      </c>
      <c r="AJ47" s="333">
        <v>0</v>
      </c>
    </row>
    <row r="48" spans="1:41" ht="15.75">
      <c r="A48" s="30" t="s">
        <v>49</v>
      </c>
      <c r="B48" s="31"/>
      <c r="C48" s="42">
        <v>0</v>
      </c>
      <c r="D48" s="54">
        <v>0</v>
      </c>
      <c r="E48" s="54">
        <v>0</v>
      </c>
      <c r="F48" s="54">
        <v>0</v>
      </c>
      <c r="G48" s="54">
        <v>0</v>
      </c>
      <c r="H48" s="54">
        <v>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>
        <v>0</v>
      </c>
      <c r="O48" s="54">
        <v>0</v>
      </c>
      <c r="P48" s="34"/>
      <c r="Q48" s="54">
        <v>0</v>
      </c>
      <c r="R48" s="54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37">
        <v>0</v>
      </c>
      <c r="AA48" s="237">
        <v>0</v>
      </c>
      <c r="AB48" s="237">
        <v>0</v>
      </c>
      <c r="AC48" s="237">
        <v>0</v>
      </c>
      <c r="AD48" s="280">
        <v>0</v>
      </c>
      <c r="AE48" s="280">
        <v>0</v>
      </c>
      <c r="AF48" s="280">
        <v>0</v>
      </c>
      <c r="AG48">
        <v>0</v>
      </c>
      <c r="AH48">
        <v>0</v>
      </c>
      <c r="AI48" s="289">
        <v>0</v>
      </c>
      <c r="AJ48" s="333">
        <v>0</v>
      </c>
    </row>
    <row r="49" spans="1:41" ht="15">
      <c r="A49" s="28" t="s">
        <v>50</v>
      </c>
      <c r="B49" s="29">
        <f t="shared" ref="B49:G49" si="25">SUM(B40:B48)</f>
        <v>15259572</v>
      </c>
      <c r="C49" s="29">
        <f t="shared" si="25"/>
        <v>92148514</v>
      </c>
      <c r="D49" s="29">
        <f t="shared" si="25"/>
        <v>106005378.83000001</v>
      </c>
      <c r="E49" s="29">
        <f t="shared" si="25"/>
        <v>96795111.890000001</v>
      </c>
      <c r="F49" s="29">
        <f t="shared" si="25"/>
        <v>101168047.59</v>
      </c>
      <c r="G49" s="29">
        <f t="shared" si="25"/>
        <v>103393027.59</v>
      </c>
      <c r="H49" s="29">
        <f t="shared" ref="H49:AB49" si="26">SUM(H40:H48)</f>
        <v>105888875.3</v>
      </c>
      <c r="I49" s="29">
        <f>SUM(I40:I48)</f>
        <v>107808075.41</v>
      </c>
      <c r="J49" s="29">
        <f>SUM(J40:J48)</f>
        <v>110498033.11999999</v>
      </c>
      <c r="K49" s="29">
        <f t="shared" si="26"/>
        <v>115814619.80999999</v>
      </c>
      <c r="L49" s="29">
        <f t="shared" si="26"/>
        <v>115967281.75</v>
      </c>
      <c r="M49" s="29">
        <f t="shared" si="26"/>
        <v>118379209.95</v>
      </c>
      <c r="N49" s="29">
        <f t="shared" si="26"/>
        <v>123342991.58</v>
      </c>
      <c r="O49" s="29">
        <f t="shared" si="26"/>
        <v>130234250.38000001</v>
      </c>
      <c r="P49" s="29">
        <f t="shared" si="26"/>
        <v>112643919</v>
      </c>
      <c r="Q49" s="29">
        <f t="shared" si="26"/>
        <v>128591264.76000001</v>
      </c>
      <c r="R49" s="29">
        <f t="shared" si="26"/>
        <v>112690645.86000001</v>
      </c>
      <c r="S49" s="29">
        <f t="shared" si="26"/>
        <v>119280028.09999999</v>
      </c>
      <c r="T49" s="29">
        <f t="shared" si="26"/>
        <v>116967123.09999999</v>
      </c>
      <c r="U49" s="29">
        <f t="shared" si="26"/>
        <v>120928033.78</v>
      </c>
      <c r="V49" s="29">
        <f t="shared" si="26"/>
        <v>123317830.88000001</v>
      </c>
      <c r="W49" s="29">
        <f t="shared" si="26"/>
        <v>127139319.77000001</v>
      </c>
      <c r="X49" s="29">
        <f t="shared" si="26"/>
        <v>135286546.96999997</v>
      </c>
      <c r="Y49" s="29">
        <f t="shared" si="26"/>
        <v>137105792.88999999</v>
      </c>
      <c r="Z49" s="239">
        <f t="shared" si="26"/>
        <v>144394165.08999997</v>
      </c>
      <c r="AA49" s="239">
        <f t="shared" si="26"/>
        <v>144632809.78999999</v>
      </c>
      <c r="AB49" s="239">
        <f t="shared" si="26"/>
        <v>164870239.78999999</v>
      </c>
      <c r="AC49" s="239">
        <f>SUM(AC40:AC48)</f>
        <v>144918019</v>
      </c>
      <c r="AD49" s="279">
        <f>SUM(AD40:AD48)</f>
        <v>168427444.42999998</v>
      </c>
      <c r="AE49" s="279">
        <f>SUM(AE40:AE48)</f>
        <v>147595437.03</v>
      </c>
      <c r="AF49" s="279">
        <f>SUM(AF40:AF48)</f>
        <v>162103270.57999998</v>
      </c>
      <c r="AG49" s="279">
        <f t="shared" ref="AG49:AO49" si="27">SUM(AG40:AG48)</f>
        <v>158948721.75999999</v>
      </c>
      <c r="AH49" s="279">
        <f t="shared" si="27"/>
        <v>160863413.24999997</v>
      </c>
      <c r="AI49" s="279">
        <f t="shared" si="27"/>
        <v>158698588.37</v>
      </c>
      <c r="AJ49" s="279">
        <f t="shared" si="27"/>
        <v>158801270.78</v>
      </c>
      <c r="AK49" s="279">
        <f t="shared" si="27"/>
        <v>0</v>
      </c>
      <c r="AL49" s="279">
        <f t="shared" si="27"/>
        <v>0</v>
      </c>
      <c r="AM49" s="279">
        <f t="shared" si="27"/>
        <v>0</v>
      </c>
      <c r="AN49" s="279">
        <f t="shared" si="27"/>
        <v>0</v>
      </c>
      <c r="AO49" s="279">
        <f t="shared" si="27"/>
        <v>0</v>
      </c>
    </row>
    <row r="50" spans="1:41" ht="15">
      <c r="A50" s="28" t="s">
        <v>51</v>
      </c>
      <c r="B50" s="29">
        <f>B49+B39</f>
        <v>151015729</v>
      </c>
      <c r="C50" s="29">
        <f t="shared" ref="C50:AB50" si="28">C49+C39</f>
        <v>425369462</v>
      </c>
      <c r="D50" s="29">
        <f t="shared" si="28"/>
        <v>423438359.28999996</v>
      </c>
      <c r="E50" s="29">
        <f t="shared" si="28"/>
        <v>426057282.19999999</v>
      </c>
      <c r="F50" s="29">
        <f t="shared" si="28"/>
        <v>439774107.60000002</v>
      </c>
      <c r="G50" s="29">
        <f t="shared" si="28"/>
        <v>451668968.46000004</v>
      </c>
      <c r="H50" s="29">
        <f t="shared" si="28"/>
        <v>459309839.57000005</v>
      </c>
      <c r="I50" s="29">
        <f t="shared" si="28"/>
        <v>466867425.75999999</v>
      </c>
      <c r="J50" s="29">
        <f t="shared" si="28"/>
        <v>474534980.82999998</v>
      </c>
      <c r="K50" s="29">
        <f t="shared" si="28"/>
        <v>479340864.43000001</v>
      </c>
      <c r="L50" s="29">
        <f t="shared" si="28"/>
        <v>508485503.29000002</v>
      </c>
      <c r="M50" s="29">
        <f t="shared" si="28"/>
        <v>513439091.15999997</v>
      </c>
      <c r="N50" s="29">
        <f t="shared" si="28"/>
        <v>524625994.82999998</v>
      </c>
      <c r="O50" s="29">
        <f t="shared" si="28"/>
        <v>535756656.36000001</v>
      </c>
      <c r="P50" s="55">
        <f t="shared" si="28"/>
        <v>531818873</v>
      </c>
      <c r="Q50" s="55">
        <f t="shared" si="28"/>
        <v>542192643.07000005</v>
      </c>
      <c r="R50" s="55">
        <f t="shared" si="28"/>
        <v>564386869.10000002</v>
      </c>
      <c r="S50" s="55">
        <f t="shared" si="28"/>
        <v>564285777.74000001</v>
      </c>
      <c r="T50" s="55">
        <f t="shared" si="28"/>
        <v>561198944.30999994</v>
      </c>
      <c r="U50" s="55">
        <f t="shared" si="28"/>
        <v>594818184.23000002</v>
      </c>
      <c r="V50" s="55">
        <f t="shared" si="28"/>
        <v>632904895.24000001</v>
      </c>
      <c r="W50" s="55">
        <f t="shared" si="28"/>
        <v>629524901.13</v>
      </c>
      <c r="X50" s="55">
        <f t="shared" si="28"/>
        <v>628378230.5</v>
      </c>
      <c r="Y50" s="55">
        <f t="shared" si="28"/>
        <v>650950562.48000002</v>
      </c>
      <c r="Z50" s="242">
        <f t="shared" si="28"/>
        <v>654140211.75999999</v>
      </c>
      <c r="AA50" s="242">
        <f t="shared" si="28"/>
        <v>677550813.28999996</v>
      </c>
      <c r="AB50" s="242">
        <f t="shared" si="28"/>
        <v>686198177.28999996</v>
      </c>
      <c r="AC50" s="242">
        <f>AC49+AC39</f>
        <v>665977216</v>
      </c>
      <c r="AD50" s="283">
        <f>AD49+AD39</f>
        <v>665898642.77999997</v>
      </c>
      <c r="AE50" s="283">
        <f>AE49+AE39</f>
        <v>660486223.81999993</v>
      </c>
      <c r="AF50" s="283">
        <f>AF49+AF39</f>
        <v>672974495.31999993</v>
      </c>
      <c r="AG50" s="283">
        <f t="shared" ref="AG50:AO50" si="29">AG49+AG39</f>
        <v>677288682.87</v>
      </c>
      <c r="AH50" s="283">
        <f t="shared" si="29"/>
        <v>686178551.24000001</v>
      </c>
      <c r="AI50" s="283">
        <f t="shared" si="29"/>
        <v>684504055.22000003</v>
      </c>
      <c r="AJ50" s="283">
        <f t="shared" si="29"/>
        <v>691075534.86000001</v>
      </c>
      <c r="AK50" s="283">
        <f t="shared" si="29"/>
        <v>0</v>
      </c>
      <c r="AL50" s="283">
        <f t="shared" si="29"/>
        <v>0</v>
      </c>
      <c r="AM50" s="283">
        <f t="shared" si="29"/>
        <v>0</v>
      </c>
      <c r="AN50" s="283">
        <f t="shared" si="29"/>
        <v>0</v>
      </c>
      <c r="AO50" s="283">
        <f t="shared" si="29"/>
        <v>0</v>
      </c>
    </row>
    <row r="51" spans="1:41" ht="15.6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1"/>
      <c r="Q51" s="20"/>
      <c r="R51" s="20"/>
      <c r="S51" s="20"/>
      <c r="T51" s="20"/>
      <c r="U51" s="20"/>
      <c r="V51" s="20"/>
      <c r="W51" s="20"/>
      <c r="X51" s="20"/>
      <c r="Y51" s="20"/>
      <c r="Z51" s="237"/>
      <c r="AA51" s="237"/>
      <c r="AB51" s="237"/>
      <c r="AC51" s="237"/>
      <c r="AD51" s="20"/>
      <c r="AE51" s="20"/>
      <c r="AF51" s="20"/>
    </row>
    <row r="52" spans="1:41" ht="15.6">
      <c r="A52" s="20"/>
      <c r="B52" s="56">
        <f t="shared" ref="B52:I52" si="30">B50-B28</f>
        <v>0</v>
      </c>
      <c r="C52" s="56">
        <f t="shared" si="30"/>
        <v>0</v>
      </c>
      <c r="D52" s="56">
        <f t="shared" si="30"/>
        <v>0</v>
      </c>
      <c r="E52" s="56">
        <f t="shared" si="30"/>
        <v>0</v>
      </c>
      <c r="F52" s="56">
        <f t="shared" si="30"/>
        <v>0</v>
      </c>
      <c r="G52" s="56">
        <f t="shared" si="30"/>
        <v>0</v>
      </c>
      <c r="H52" s="56">
        <f t="shared" si="30"/>
        <v>0</v>
      </c>
      <c r="I52" s="56">
        <f t="shared" si="30"/>
        <v>0</v>
      </c>
      <c r="J52" s="56">
        <f t="shared" ref="J52:R52" si="31">J50-J28</f>
        <v>0</v>
      </c>
      <c r="K52" s="56">
        <f t="shared" si="31"/>
        <v>0</v>
      </c>
      <c r="L52" s="56">
        <f t="shared" si="31"/>
        <v>0</v>
      </c>
      <c r="M52" s="56">
        <f t="shared" si="31"/>
        <v>0</v>
      </c>
      <c r="N52" s="56">
        <f t="shared" si="31"/>
        <v>0</v>
      </c>
      <c r="O52" s="56">
        <f t="shared" si="31"/>
        <v>0</v>
      </c>
      <c r="P52" s="21">
        <f t="shared" si="31"/>
        <v>-1</v>
      </c>
      <c r="Q52" s="56">
        <f t="shared" si="31"/>
        <v>0</v>
      </c>
      <c r="R52" s="56">
        <f t="shared" si="31"/>
        <v>0</v>
      </c>
      <c r="S52" s="20"/>
      <c r="T52" s="20"/>
      <c r="U52" s="20"/>
      <c r="V52" s="20"/>
      <c r="W52" s="20"/>
      <c r="X52" s="20"/>
      <c r="Y52" s="20"/>
      <c r="Z52" s="237"/>
      <c r="AA52" s="237"/>
      <c r="AB52" s="237"/>
      <c r="AC52" s="237"/>
      <c r="AD52" s="237"/>
      <c r="AE52" s="20"/>
      <c r="AF52" s="20"/>
    </row>
    <row r="53" spans="1:41">
      <c r="AE53" s="243"/>
    </row>
    <row r="54" spans="1:41">
      <c r="AC54" s="243">
        <f>AC28-AC50</f>
        <v>1</v>
      </c>
    </row>
    <row r="60" spans="1:41">
      <c r="J60" s="1"/>
    </row>
  </sheetData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44"/>
  <sheetViews>
    <sheetView tabSelected="1" zoomScale="80" zoomScaleNormal="80" workbookViewId="0">
      <pane xSplit="1" ySplit="3" topLeftCell="AG27" activePane="bottomRight" state="frozen"/>
      <selection pane="bottomRight" activeCell="AJ41" sqref="AJ41"/>
      <selection pane="bottomLeft" activeCell="A3" sqref="A3"/>
      <selection pane="topRight" activeCell="B1" sqref="B1"/>
    </sheetView>
  </sheetViews>
  <sheetFormatPr defaultRowHeight="14.45"/>
  <cols>
    <col min="1" max="1" width="41" customWidth="1"/>
    <col min="2" max="2" width="15.28515625" hidden="1" customWidth="1"/>
    <col min="3" max="3" width="38.42578125" bestFit="1" customWidth="1"/>
    <col min="4" max="8" width="15.28515625" hidden="1" customWidth="1"/>
    <col min="9" max="11" width="14.28515625" hidden="1" customWidth="1"/>
    <col min="12" max="13" width="15.28515625" hidden="1" customWidth="1"/>
    <col min="14" max="16" width="18.140625" bestFit="1" customWidth="1"/>
    <col min="17" max="17" width="18.7109375" bestFit="1" customWidth="1"/>
    <col min="18" max="20" width="18.140625" bestFit="1" customWidth="1"/>
    <col min="21" max="23" width="17.140625" bestFit="1" customWidth="1"/>
    <col min="24" max="24" width="18.140625" bestFit="1" customWidth="1"/>
    <col min="25" max="25" width="18.42578125" customWidth="1"/>
    <col min="26" max="26" width="17.140625" bestFit="1" customWidth="1"/>
    <col min="27" max="28" width="18.5703125" bestFit="1" customWidth="1"/>
    <col min="29" max="29" width="18.5703125" style="243" bestFit="1" customWidth="1"/>
    <col min="30" max="30" width="18.42578125" bestFit="1" customWidth="1"/>
    <col min="31" max="34" width="18" bestFit="1" customWidth="1"/>
    <col min="35" max="35" width="17.7109375" customWidth="1"/>
    <col min="36" max="36" width="16" customWidth="1"/>
  </cols>
  <sheetData>
    <row r="1" spans="1:50" ht="15" customHeight="1">
      <c r="A1" s="247" t="s">
        <v>0</v>
      </c>
      <c r="B1" s="247"/>
      <c r="C1" s="247"/>
      <c r="D1" s="247"/>
      <c r="E1" s="247" t="s">
        <v>52</v>
      </c>
      <c r="F1" s="247"/>
      <c r="G1" s="247" t="s">
        <v>52</v>
      </c>
      <c r="H1" s="247"/>
      <c r="I1" s="247" t="s">
        <v>52</v>
      </c>
      <c r="J1" s="247"/>
      <c r="K1" s="247" t="s">
        <v>52</v>
      </c>
      <c r="L1" s="247"/>
      <c r="M1" s="247" t="s">
        <v>52</v>
      </c>
      <c r="N1" s="247"/>
      <c r="O1" s="247"/>
      <c r="P1" s="247"/>
      <c r="Q1" s="247"/>
      <c r="R1" s="247"/>
      <c r="S1" s="247"/>
      <c r="T1" s="247"/>
      <c r="U1" s="296"/>
      <c r="V1" s="296"/>
      <c r="W1" s="296"/>
      <c r="X1" s="296"/>
      <c r="Y1" s="296"/>
      <c r="Z1" s="296"/>
      <c r="AA1" s="296"/>
      <c r="AB1" s="296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20"/>
      <c r="AP1" s="20"/>
      <c r="AQ1" s="20"/>
      <c r="AR1" s="20"/>
      <c r="AS1" s="20"/>
      <c r="AT1" s="20"/>
      <c r="AU1" s="20"/>
      <c r="AV1" s="20"/>
      <c r="AW1" s="237"/>
      <c r="AX1" s="20"/>
    </row>
    <row r="2" spans="1:50" ht="15" customHeight="1">
      <c r="A2" s="248" t="s">
        <v>53</v>
      </c>
      <c r="B2" s="249"/>
      <c r="C2" s="248" t="s">
        <v>53</v>
      </c>
      <c r="D2" s="249"/>
      <c r="E2" s="248" t="s">
        <v>53</v>
      </c>
      <c r="F2" s="249"/>
      <c r="G2" s="248" t="s">
        <v>53</v>
      </c>
      <c r="H2" s="249"/>
      <c r="I2" s="248" t="s">
        <v>53</v>
      </c>
      <c r="J2" s="249"/>
      <c r="K2" s="248" t="s">
        <v>53</v>
      </c>
      <c r="L2" s="249"/>
      <c r="M2" s="248" t="s">
        <v>53</v>
      </c>
      <c r="N2" s="249"/>
      <c r="O2" s="248"/>
      <c r="P2" s="249"/>
      <c r="Q2" s="248"/>
      <c r="R2" s="249"/>
      <c r="S2" s="248"/>
      <c r="T2" s="249"/>
      <c r="U2" s="99"/>
      <c r="V2" s="99"/>
      <c r="W2" s="99"/>
      <c r="X2" s="99"/>
      <c r="Y2" s="99"/>
      <c r="Z2" s="99"/>
      <c r="AA2" s="99"/>
      <c r="AB2" s="99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37"/>
      <c r="AX2" s="20"/>
    </row>
    <row r="3" spans="1:50" ht="15">
      <c r="A3" s="22"/>
      <c r="B3" s="100" t="s">
        <v>2</v>
      </c>
      <c r="C3" s="100" t="s">
        <v>3</v>
      </c>
      <c r="D3" s="101">
        <v>44197</v>
      </c>
      <c r="E3" s="101">
        <v>44229</v>
      </c>
      <c r="F3" s="101">
        <v>44258</v>
      </c>
      <c r="G3" s="101">
        <v>44290</v>
      </c>
      <c r="H3" s="101">
        <v>44321</v>
      </c>
      <c r="I3" s="101">
        <v>44353</v>
      </c>
      <c r="J3" s="101">
        <v>44384</v>
      </c>
      <c r="K3" s="101">
        <v>44416</v>
      </c>
      <c r="L3" s="101">
        <v>44448</v>
      </c>
      <c r="M3" s="101">
        <v>44479</v>
      </c>
      <c r="N3" s="101">
        <v>44511</v>
      </c>
      <c r="O3" s="101">
        <v>44542</v>
      </c>
      <c r="P3" s="27" t="s">
        <v>4</v>
      </c>
      <c r="Q3" s="27">
        <v>44562</v>
      </c>
      <c r="R3" s="27">
        <v>44593</v>
      </c>
      <c r="S3" s="27">
        <v>44621</v>
      </c>
      <c r="T3" s="27">
        <v>44652</v>
      </c>
      <c r="U3" s="27">
        <v>44682</v>
      </c>
      <c r="V3" s="27">
        <v>44713</v>
      </c>
      <c r="W3" s="27">
        <v>44743</v>
      </c>
      <c r="X3" s="27">
        <v>44774</v>
      </c>
      <c r="Y3" s="27">
        <v>44805</v>
      </c>
      <c r="Z3" s="27">
        <v>44835</v>
      </c>
      <c r="AA3" s="27">
        <v>44866</v>
      </c>
      <c r="AB3" s="27">
        <v>44896</v>
      </c>
      <c r="AC3" s="238" t="s">
        <v>5</v>
      </c>
      <c r="AD3" s="27">
        <v>44927</v>
      </c>
      <c r="AE3" s="27">
        <v>44958</v>
      </c>
      <c r="AF3" s="27">
        <v>44986</v>
      </c>
      <c r="AG3" s="27">
        <v>45017</v>
      </c>
      <c r="AH3" s="27">
        <v>45047</v>
      </c>
      <c r="AI3" s="27">
        <v>45078</v>
      </c>
      <c r="AJ3" s="27">
        <v>45108</v>
      </c>
      <c r="AK3" s="27">
        <v>45139</v>
      </c>
      <c r="AL3" s="27">
        <v>45170</v>
      </c>
      <c r="AM3" s="27">
        <v>45200</v>
      </c>
    </row>
    <row r="4" spans="1:50" ht="15">
      <c r="A4" s="28" t="s">
        <v>54</v>
      </c>
      <c r="B4" s="29">
        <f t="shared" ref="B4:G4" si="0">B5+B8</f>
        <v>14599.247546899</v>
      </c>
      <c r="C4" s="29">
        <f t="shared" si="0"/>
        <v>63720140</v>
      </c>
      <c r="D4" s="29">
        <f t="shared" si="0"/>
        <v>5713089.21</v>
      </c>
      <c r="E4" s="29">
        <f t="shared" si="0"/>
        <v>11297673.98</v>
      </c>
      <c r="F4" s="29">
        <f t="shared" si="0"/>
        <v>17949435.640000001</v>
      </c>
      <c r="G4" s="29">
        <f t="shared" si="0"/>
        <v>24917687.969999999</v>
      </c>
      <c r="H4" s="29">
        <f t="shared" ref="H4:AB4" si="1">H5+H8</f>
        <v>32298738.77</v>
      </c>
      <c r="I4" s="29">
        <f t="shared" si="1"/>
        <v>39038420.969999999</v>
      </c>
      <c r="J4" s="29">
        <f t="shared" si="1"/>
        <v>47447781.620000005</v>
      </c>
      <c r="K4" s="29">
        <f t="shared" si="1"/>
        <v>54357934.230000004</v>
      </c>
      <c r="L4" s="29">
        <f t="shared" si="1"/>
        <v>61905647.910000004</v>
      </c>
      <c r="M4" s="29">
        <f t="shared" si="1"/>
        <v>69391475.349999994</v>
      </c>
      <c r="N4" s="29">
        <f t="shared" si="1"/>
        <v>78234754.390000001</v>
      </c>
      <c r="O4" s="29">
        <f t="shared" si="1"/>
        <v>86983744.469999999</v>
      </c>
      <c r="P4" s="29">
        <f t="shared" si="1"/>
        <v>86983744</v>
      </c>
      <c r="Q4" s="29">
        <f t="shared" si="1"/>
        <v>8105441.9799999995</v>
      </c>
      <c r="R4" s="29">
        <f t="shared" si="1"/>
        <v>16279842.02</v>
      </c>
      <c r="S4" s="29">
        <f t="shared" si="1"/>
        <v>25870257.859999999</v>
      </c>
      <c r="T4" s="29">
        <f t="shared" si="1"/>
        <v>34748320.82</v>
      </c>
      <c r="U4" s="29">
        <f t="shared" si="1"/>
        <v>44891369.780000001</v>
      </c>
      <c r="V4" s="29">
        <f t="shared" si="1"/>
        <v>54354974.049999997</v>
      </c>
      <c r="W4" s="29">
        <f t="shared" si="1"/>
        <v>62968490.950000003</v>
      </c>
      <c r="X4" s="29">
        <f t="shared" si="1"/>
        <v>71931004.689999998</v>
      </c>
      <c r="Y4" s="29">
        <f t="shared" si="1"/>
        <v>81689001.379999995</v>
      </c>
      <c r="Z4" s="29">
        <f t="shared" si="1"/>
        <v>92496305.560000002</v>
      </c>
      <c r="AA4" s="29">
        <f t="shared" si="1"/>
        <v>104658805.7</v>
      </c>
      <c r="AB4" s="29">
        <f t="shared" si="1"/>
        <v>114701075.35000001</v>
      </c>
      <c r="AC4" s="239">
        <f>AC5+AC8</f>
        <v>112209351</v>
      </c>
      <c r="AD4" s="279">
        <f>AD5+AD8</f>
        <v>9804391.2599999998</v>
      </c>
      <c r="AE4" s="279">
        <f t="shared" ref="AE4:AM4" si="2">AE5+AE8</f>
        <v>17864377.509999998</v>
      </c>
      <c r="AF4" s="279">
        <f t="shared" si="2"/>
        <v>28345543.960000001</v>
      </c>
      <c r="AG4" s="29">
        <f t="shared" si="2"/>
        <v>76494150.329999998</v>
      </c>
      <c r="AH4" s="29">
        <f t="shared" si="2"/>
        <v>95908525.920000002</v>
      </c>
      <c r="AI4" s="29">
        <f t="shared" si="2"/>
        <v>58100787.019999996</v>
      </c>
      <c r="AJ4" s="29">
        <f t="shared" si="2"/>
        <v>68527470.870000005</v>
      </c>
      <c r="AK4" s="29">
        <f t="shared" si="2"/>
        <v>0</v>
      </c>
      <c r="AL4" s="29">
        <f t="shared" si="2"/>
        <v>0</v>
      </c>
      <c r="AM4" s="29">
        <f t="shared" si="2"/>
        <v>0</v>
      </c>
    </row>
    <row r="5" spans="1:50" ht="15">
      <c r="A5" s="28" t="s">
        <v>55</v>
      </c>
      <c r="B5" s="29">
        <f t="shared" ref="B5:G5" si="3">SUM(B6:B7)</f>
        <v>12855.805909999999</v>
      </c>
      <c r="C5" s="29">
        <f t="shared" si="3"/>
        <v>48012555</v>
      </c>
      <c r="D5" s="29">
        <f t="shared" si="3"/>
        <v>5376032.6699999999</v>
      </c>
      <c r="E5" s="29">
        <f t="shared" si="3"/>
        <v>10488007.939999999</v>
      </c>
      <c r="F5" s="29">
        <f t="shared" si="3"/>
        <v>16410048.380000001</v>
      </c>
      <c r="G5" s="29">
        <f t="shared" si="3"/>
        <v>22960661.629999999</v>
      </c>
      <c r="H5" s="29">
        <f t="shared" ref="H5:AB5" si="4">SUM(H6:H7)</f>
        <v>29910159.68</v>
      </c>
      <c r="I5" s="29">
        <f t="shared" si="4"/>
        <v>36036409.030000001</v>
      </c>
      <c r="J5" s="29">
        <f t="shared" si="4"/>
        <v>43860582.080000006</v>
      </c>
      <c r="K5" s="29">
        <f t="shared" si="4"/>
        <v>50193275.140000001</v>
      </c>
      <c r="L5" s="29">
        <f t="shared" si="4"/>
        <v>57424797.530000001</v>
      </c>
      <c r="M5" s="29">
        <f t="shared" si="4"/>
        <v>64478980.920000002</v>
      </c>
      <c r="N5" s="29">
        <f t="shared" si="4"/>
        <v>72353558.359999999</v>
      </c>
      <c r="O5" s="29">
        <f t="shared" si="4"/>
        <v>81335666.519999996</v>
      </c>
      <c r="P5" s="29">
        <f t="shared" si="4"/>
        <v>74695913</v>
      </c>
      <c r="Q5" s="29">
        <f t="shared" si="4"/>
        <v>7726140.6399999997</v>
      </c>
      <c r="R5" s="29">
        <f t="shared" si="4"/>
        <v>15368378.48</v>
      </c>
      <c r="S5" s="29">
        <f t="shared" si="4"/>
        <v>24242025.620000001</v>
      </c>
      <c r="T5" s="29">
        <f t="shared" si="4"/>
        <v>32593528.920000002</v>
      </c>
      <c r="U5" s="29">
        <f t="shared" si="4"/>
        <v>41754495.440000005</v>
      </c>
      <c r="V5" s="29">
        <f t="shared" si="4"/>
        <v>50702992.549999997</v>
      </c>
      <c r="W5" s="29">
        <f t="shared" si="4"/>
        <v>57636266.07</v>
      </c>
      <c r="X5" s="29">
        <f t="shared" si="4"/>
        <v>67228696.399999991</v>
      </c>
      <c r="Y5" s="29">
        <f t="shared" si="4"/>
        <v>76206285.700000003</v>
      </c>
      <c r="Z5" s="29">
        <f t="shared" si="4"/>
        <v>86277546.280000001</v>
      </c>
      <c r="AA5" s="29">
        <f t="shared" si="4"/>
        <v>97677910.829999998</v>
      </c>
      <c r="AB5" s="29">
        <f t="shared" si="4"/>
        <v>107217345.85000001</v>
      </c>
      <c r="AC5" s="239">
        <f>SUM(AC6:AC7)</f>
        <v>98457908</v>
      </c>
      <c r="AD5" s="279">
        <f>SUM(AD6:AD7)</f>
        <v>9140747.8599999994</v>
      </c>
      <c r="AE5" s="279">
        <f t="shared" ref="AE5:AM5" si="5">SUM(AE6:AE7)</f>
        <v>16597534.979999999</v>
      </c>
      <c r="AF5" s="279">
        <f t="shared" si="5"/>
        <v>25993653.25</v>
      </c>
      <c r="AG5" s="29">
        <f t="shared" si="5"/>
        <v>76494150.329999998</v>
      </c>
      <c r="AH5" s="29">
        <f t="shared" si="5"/>
        <v>95908525.920000002</v>
      </c>
      <c r="AI5" s="29">
        <f t="shared" si="5"/>
        <v>53299600.269999996</v>
      </c>
      <c r="AJ5" s="29">
        <f t="shared" si="5"/>
        <v>62849806.640000001</v>
      </c>
      <c r="AK5" s="29">
        <f t="shared" si="5"/>
        <v>0</v>
      </c>
      <c r="AL5" s="29">
        <f t="shared" si="5"/>
        <v>0</v>
      </c>
      <c r="AM5" s="29">
        <f t="shared" si="5"/>
        <v>0</v>
      </c>
    </row>
    <row r="6" spans="1:50" ht="15.75">
      <c r="A6" s="30" t="s">
        <v>56</v>
      </c>
      <c r="B6" s="31">
        <v>11945.43491</v>
      </c>
      <c r="C6" s="47">
        <v>48012555</v>
      </c>
      <c r="D6" s="33">
        <v>4725458.2699999996</v>
      </c>
      <c r="E6" s="33">
        <v>9735649.0399999991</v>
      </c>
      <c r="F6" s="33">
        <v>14569970.58</v>
      </c>
      <c r="G6" s="33">
        <v>19912040.73</v>
      </c>
      <c r="H6" s="33">
        <v>24447913.280000001</v>
      </c>
      <c r="I6" s="33">
        <v>29715252.030000001</v>
      </c>
      <c r="J6" s="33">
        <v>36572234.880000003</v>
      </c>
      <c r="K6" s="33">
        <v>46196163.039999999</v>
      </c>
      <c r="L6" s="33">
        <v>52031590.630000003</v>
      </c>
      <c r="M6" s="33">
        <v>58995130.219999999</v>
      </c>
      <c r="N6" s="33">
        <v>65345449.159999996</v>
      </c>
      <c r="O6" s="33">
        <v>72838979.519999996</v>
      </c>
      <c r="P6" s="102">
        <v>74695913</v>
      </c>
      <c r="Q6" s="33">
        <v>6753021.6399999997</v>
      </c>
      <c r="R6" s="33">
        <v>13938187.880000001</v>
      </c>
      <c r="S6" s="33">
        <v>21197140.120000001</v>
      </c>
      <c r="T6" s="33">
        <v>28757621.120000001</v>
      </c>
      <c r="U6" s="35">
        <v>37147371.340000004</v>
      </c>
      <c r="V6" s="35">
        <v>40650735.549999997</v>
      </c>
      <c r="W6" s="35">
        <v>51708003.869999997</v>
      </c>
      <c r="X6" s="35">
        <v>59293383.799999997</v>
      </c>
      <c r="Y6" s="35">
        <v>67016784.200000003</v>
      </c>
      <c r="Z6" s="20">
        <v>75720994.879999995</v>
      </c>
      <c r="AA6" s="20">
        <v>84174371.129999995</v>
      </c>
      <c r="AB6" s="20">
        <v>92866685.650000006</v>
      </c>
      <c r="AC6" s="237">
        <v>96450196</v>
      </c>
      <c r="AD6" s="280">
        <v>8072358.6600000001</v>
      </c>
      <c r="AE6" s="280">
        <v>15846573.279999999</v>
      </c>
      <c r="AF6" s="280">
        <v>23806367.550000001</v>
      </c>
      <c r="AG6" s="20">
        <v>76494150.329999998</v>
      </c>
      <c r="AH6" s="20">
        <v>95908525.920000002</v>
      </c>
      <c r="AI6" s="292">
        <v>48352305.469999999</v>
      </c>
      <c r="AJ6" s="336">
        <v>56793891.539999999</v>
      </c>
      <c r="AK6" s="20"/>
      <c r="AL6" s="20"/>
      <c r="AM6" s="20"/>
    </row>
    <row r="7" spans="1:50" ht="15.75">
      <c r="A7" s="30" t="s">
        <v>57</v>
      </c>
      <c r="B7" s="31">
        <v>910.37099999999998</v>
      </c>
      <c r="C7" s="46">
        <v>0</v>
      </c>
      <c r="D7" s="33">
        <v>650574.4</v>
      </c>
      <c r="E7" s="33">
        <v>752358.9</v>
      </c>
      <c r="F7" s="33">
        <v>1840077.8</v>
      </c>
      <c r="G7" s="33">
        <v>3048620.9</v>
      </c>
      <c r="H7" s="33">
        <v>5462246.4000000004</v>
      </c>
      <c r="I7" s="33">
        <v>6321157</v>
      </c>
      <c r="J7" s="33">
        <v>7288347.2000000002</v>
      </c>
      <c r="K7" s="33">
        <v>3997112.1</v>
      </c>
      <c r="L7" s="33">
        <v>5393206.9000000004</v>
      </c>
      <c r="M7" s="33">
        <v>5483850.7000000002</v>
      </c>
      <c r="N7" s="33">
        <v>7008109.2000000002</v>
      </c>
      <c r="O7" s="33">
        <v>8496687</v>
      </c>
      <c r="P7" s="103"/>
      <c r="Q7" s="33">
        <v>973119</v>
      </c>
      <c r="R7" s="33">
        <v>1430190.6</v>
      </c>
      <c r="S7" s="33">
        <v>3044885.5</v>
      </c>
      <c r="T7" s="33">
        <v>3835907.8</v>
      </c>
      <c r="U7" s="35">
        <v>4607124.0999999996</v>
      </c>
      <c r="V7" s="35">
        <v>10052257</v>
      </c>
      <c r="W7" s="35">
        <v>5928262.2000000002</v>
      </c>
      <c r="X7" s="35">
        <v>7935312.5999999996</v>
      </c>
      <c r="Y7" s="35">
        <v>9189501.5</v>
      </c>
      <c r="Z7" s="20">
        <v>10556551.4</v>
      </c>
      <c r="AA7" s="20">
        <v>13503539.699999999</v>
      </c>
      <c r="AB7" s="20">
        <v>14350660.199999999</v>
      </c>
      <c r="AC7" s="241">
        <f>194783+1812929</f>
        <v>2007712</v>
      </c>
      <c r="AD7" s="280">
        <v>1068389.2</v>
      </c>
      <c r="AE7" s="280">
        <v>750961.7</v>
      </c>
      <c r="AF7" s="280">
        <v>2187285.7000000002</v>
      </c>
      <c r="AG7" s="20">
        <v>0</v>
      </c>
      <c r="AH7" s="20">
        <v>0</v>
      </c>
      <c r="AI7" s="294">
        <v>4947294.8</v>
      </c>
      <c r="AJ7" s="338">
        <v>6055915.0999999996</v>
      </c>
      <c r="AK7" s="20"/>
      <c r="AL7" s="20"/>
      <c r="AM7" s="20"/>
    </row>
    <row r="8" spans="1:50" ht="15">
      <c r="A8" s="28" t="s">
        <v>58</v>
      </c>
      <c r="B8" s="29">
        <f t="shared" ref="B8:G8" si="6">SUM(B9:B12)</f>
        <v>1743.4416368990005</v>
      </c>
      <c r="C8" s="29">
        <f t="shared" si="6"/>
        <v>15707585</v>
      </c>
      <c r="D8" s="29">
        <f t="shared" si="6"/>
        <v>337056.54</v>
      </c>
      <c r="E8" s="29">
        <f t="shared" si="6"/>
        <v>809666.04</v>
      </c>
      <c r="F8" s="29">
        <f t="shared" si="6"/>
        <v>1539387.26</v>
      </c>
      <c r="G8" s="29">
        <f t="shared" si="6"/>
        <v>1957026.34</v>
      </c>
      <c r="H8" s="29">
        <f t="shared" ref="H8:AB8" si="7">SUM(H9:H12)</f>
        <v>2388579.09</v>
      </c>
      <c r="I8" s="29">
        <f t="shared" si="7"/>
        <v>3002011.94</v>
      </c>
      <c r="J8" s="29">
        <f t="shared" si="7"/>
        <v>3587199.54</v>
      </c>
      <c r="K8" s="29">
        <f t="shared" si="7"/>
        <v>4164659.09</v>
      </c>
      <c r="L8" s="29">
        <f t="shared" si="7"/>
        <v>4480850.38</v>
      </c>
      <c r="M8" s="29">
        <f t="shared" si="7"/>
        <v>4912494.43</v>
      </c>
      <c r="N8" s="29">
        <f t="shared" si="7"/>
        <v>5881196.0300000003</v>
      </c>
      <c r="O8" s="29">
        <f t="shared" si="7"/>
        <v>5648077.9500000002</v>
      </c>
      <c r="P8" s="29">
        <f t="shared" si="7"/>
        <v>12287831</v>
      </c>
      <c r="Q8" s="29">
        <f t="shared" si="7"/>
        <v>379301.34</v>
      </c>
      <c r="R8" s="29">
        <f t="shared" si="7"/>
        <v>911463.54</v>
      </c>
      <c r="S8" s="29">
        <f t="shared" si="7"/>
        <v>1628232.24</v>
      </c>
      <c r="T8" s="29">
        <f t="shared" si="7"/>
        <v>2154791.9</v>
      </c>
      <c r="U8" s="29">
        <f t="shared" si="7"/>
        <v>3136874.34</v>
      </c>
      <c r="V8" s="29">
        <f t="shared" si="7"/>
        <v>3651981.5</v>
      </c>
      <c r="W8" s="29">
        <f t="shared" si="7"/>
        <v>5332224.88</v>
      </c>
      <c r="X8" s="29">
        <f t="shared" si="7"/>
        <v>4702308.29</v>
      </c>
      <c r="Y8" s="29">
        <f t="shared" si="7"/>
        <v>5482715.6799999997</v>
      </c>
      <c r="Z8" s="29">
        <f t="shared" si="7"/>
        <v>6218759.2800000003</v>
      </c>
      <c r="AA8" s="29">
        <f t="shared" si="7"/>
        <v>6980894.8700000001</v>
      </c>
      <c r="AB8" s="29">
        <f t="shared" si="7"/>
        <v>7483729.5</v>
      </c>
      <c r="AC8" s="239">
        <f>SUM(AC9:AC12)</f>
        <v>13751443</v>
      </c>
      <c r="AD8" s="279">
        <f>SUM(AD9:AD12)</f>
        <v>663643.4</v>
      </c>
      <c r="AE8" s="279">
        <f t="shared" ref="AE8:AM8" si="8">SUM(AE9:AE12)</f>
        <v>1266842.53</v>
      </c>
      <c r="AF8" s="279">
        <f t="shared" si="8"/>
        <v>2351890.71</v>
      </c>
      <c r="AG8" s="29">
        <f t="shared" si="8"/>
        <v>0</v>
      </c>
      <c r="AH8" s="29">
        <f t="shared" si="8"/>
        <v>0</v>
      </c>
      <c r="AI8" s="29">
        <f t="shared" si="8"/>
        <v>4801186.75</v>
      </c>
      <c r="AJ8" s="29">
        <f t="shared" si="8"/>
        <v>5677664.2300000004</v>
      </c>
      <c r="AK8" s="29">
        <f t="shared" si="8"/>
        <v>0</v>
      </c>
      <c r="AL8" s="29">
        <f t="shared" si="8"/>
        <v>0</v>
      </c>
      <c r="AM8" s="29">
        <f t="shared" si="8"/>
        <v>0</v>
      </c>
    </row>
    <row r="9" spans="1:50" ht="15.75">
      <c r="A9" s="30" t="s">
        <v>59</v>
      </c>
      <c r="B9" s="31"/>
      <c r="C9" s="46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104"/>
      <c r="Q9" s="33">
        <v>0</v>
      </c>
      <c r="R9" s="33">
        <v>0</v>
      </c>
      <c r="S9" s="33">
        <v>0</v>
      </c>
      <c r="T9" s="33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/>
      <c r="AA9" s="20"/>
      <c r="AB9" s="20"/>
      <c r="AC9" s="237"/>
      <c r="AD9" s="280">
        <v>0</v>
      </c>
      <c r="AE9" s="280">
        <v>0</v>
      </c>
      <c r="AF9" s="280">
        <v>0</v>
      </c>
      <c r="AG9" s="20">
        <v>0</v>
      </c>
      <c r="AH9" s="20">
        <v>0</v>
      </c>
      <c r="AI9" s="291">
        <v>0</v>
      </c>
      <c r="AJ9" s="335">
        <v>0</v>
      </c>
      <c r="AK9" s="20"/>
      <c r="AL9" s="20"/>
      <c r="AM9" s="20"/>
    </row>
    <row r="10" spans="1:50" ht="31.5">
      <c r="A10" s="30" t="s">
        <v>60</v>
      </c>
      <c r="B10" s="31"/>
      <c r="C10" s="46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102"/>
      <c r="Q10" s="33">
        <v>0</v>
      </c>
      <c r="R10" s="33">
        <v>0</v>
      </c>
      <c r="S10" s="33">
        <v>0</v>
      </c>
      <c r="T10" s="33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/>
      <c r="AA10" s="20"/>
      <c r="AB10" s="20"/>
      <c r="AC10" s="237"/>
      <c r="AD10" s="280">
        <v>0</v>
      </c>
      <c r="AE10" s="280">
        <v>0</v>
      </c>
      <c r="AF10" s="280">
        <v>0</v>
      </c>
      <c r="AG10" s="20">
        <v>0</v>
      </c>
      <c r="AH10" s="20">
        <v>0</v>
      </c>
      <c r="AI10" s="293">
        <v>0</v>
      </c>
      <c r="AJ10" s="337">
        <v>0</v>
      </c>
      <c r="AK10" s="20"/>
      <c r="AL10" s="20"/>
      <c r="AM10" s="20"/>
    </row>
    <row r="11" spans="1:50" ht="15.75">
      <c r="A11" s="30" t="s">
        <v>61</v>
      </c>
      <c r="B11" s="31"/>
      <c r="C11" s="46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105">
        <v>37150</v>
      </c>
      <c r="Q11" s="33">
        <v>0</v>
      </c>
      <c r="R11" s="33">
        <v>0</v>
      </c>
      <c r="S11" s="33">
        <v>0</v>
      </c>
      <c r="T11" s="33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/>
      <c r="AA11" s="20"/>
      <c r="AB11" s="20"/>
      <c r="AC11" s="237">
        <v>79335</v>
      </c>
      <c r="AD11" s="280">
        <v>0</v>
      </c>
      <c r="AE11" s="280">
        <v>0</v>
      </c>
      <c r="AF11" s="280">
        <v>0</v>
      </c>
      <c r="AG11" s="20">
        <v>0</v>
      </c>
      <c r="AH11" s="20">
        <v>0</v>
      </c>
      <c r="AI11" s="293">
        <v>0</v>
      </c>
      <c r="AJ11" s="337">
        <v>0</v>
      </c>
      <c r="AK11" s="20"/>
      <c r="AL11" s="20"/>
      <c r="AM11" s="20"/>
    </row>
    <row r="12" spans="1:50" s="2" customFormat="1" ht="15.75">
      <c r="A12" s="28" t="s">
        <v>62</v>
      </c>
      <c r="B12" s="36">
        <v>1743.4416368990005</v>
      </c>
      <c r="C12" s="106">
        <v>15707585</v>
      </c>
      <c r="D12" s="107">
        <v>337056.54</v>
      </c>
      <c r="E12" s="107">
        <v>809666.04</v>
      </c>
      <c r="F12" s="107">
        <v>1539387.26</v>
      </c>
      <c r="G12" s="107">
        <v>1957026.34</v>
      </c>
      <c r="H12" s="107">
        <v>2388579.09</v>
      </c>
      <c r="I12" s="107">
        <v>3002011.94</v>
      </c>
      <c r="J12" s="107">
        <v>3587199.54</v>
      </c>
      <c r="K12" s="107">
        <v>4164659.09</v>
      </c>
      <c r="L12" s="107">
        <v>4480850.38</v>
      </c>
      <c r="M12" s="107">
        <v>4912494.43</v>
      </c>
      <c r="N12" s="107">
        <v>5881196.0300000003</v>
      </c>
      <c r="O12" s="107">
        <v>5648077.9500000002</v>
      </c>
      <c r="P12" s="108">
        <v>12250681</v>
      </c>
      <c r="Q12" s="109">
        <v>379301.34</v>
      </c>
      <c r="R12" s="109">
        <v>911463.54</v>
      </c>
      <c r="S12" s="109">
        <v>1628232.24</v>
      </c>
      <c r="T12" s="109">
        <v>2154791.9</v>
      </c>
      <c r="U12" s="110">
        <v>3136874.34</v>
      </c>
      <c r="V12" s="110">
        <v>3651981.5</v>
      </c>
      <c r="W12" s="110">
        <v>5332224.88</v>
      </c>
      <c r="X12" s="110">
        <v>4702308.29</v>
      </c>
      <c r="Y12" s="110">
        <v>5482715.6799999997</v>
      </c>
      <c r="Z12" s="39">
        <v>6218759.2800000003</v>
      </c>
      <c r="AA12" s="39">
        <v>6980894.8700000001</v>
      </c>
      <c r="AB12" s="39">
        <v>7483729.5</v>
      </c>
      <c r="AC12" s="240">
        <f>15679820-AC7</f>
        <v>13672108</v>
      </c>
      <c r="AD12" s="281">
        <v>663643.4</v>
      </c>
      <c r="AE12" s="281">
        <v>1266842.53</v>
      </c>
      <c r="AF12" s="281">
        <v>2351890.71</v>
      </c>
      <c r="AG12" s="20">
        <v>0</v>
      </c>
      <c r="AH12" s="20">
        <v>0</v>
      </c>
      <c r="AI12" s="295">
        <v>4801186.75</v>
      </c>
      <c r="AJ12" s="295">
        <v>5677664.2300000004</v>
      </c>
      <c r="AK12" s="39"/>
      <c r="AL12" s="39"/>
      <c r="AM12" s="39"/>
    </row>
    <row r="13" spans="1:50" ht="15">
      <c r="A13" s="28" t="s">
        <v>63</v>
      </c>
      <c r="B13" s="29">
        <f>SUM(B14:B19)</f>
        <v>549.0847</v>
      </c>
      <c r="C13" s="29">
        <f>SUM(C14:C19)</f>
        <v>13181407</v>
      </c>
      <c r="D13" s="29">
        <f t="shared" ref="D13:AB13" si="9">SUM(D14:D19)</f>
        <v>137390.39999999999</v>
      </c>
      <c r="E13" s="29">
        <f t="shared" si="9"/>
        <v>854259.22</v>
      </c>
      <c r="F13" s="29">
        <f t="shared" si="9"/>
        <v>1154061.3199999998</v>
      </c>
      <c r="G13" s="29">
        <f t="shared" si="9"/>
        <v>1425488.23</v>
      </c>
      <c r="H13" s="29">
        <f t="shared" si="9"/>
        <v>1739119.35</v>
      </c>
      <c r="I13" s="29">
        <f t="shared" si="9"/>
        <v>1948867.5099999998</v>
      </c>
      <c r="J13" s="29">
        <f t="shared" si="9"/>
        <v>2250378</v>
      </c>
      <c r="K13" s="29">
        <f t="shared" si="9"/>
        <v>2471578.9299999997</v>
      </c>
      <c r="L13" s="29">
        <f t="shared" si="9"/>
        <v>2737760.55</v>
      </c>
      <c r="M13" s="29">
        <f t="shared" si="9"/>
        <v>3398946.15</v>
      </c>
      <c r="N13" s="29">
        <f t="shared" si="9"/>
        <v>4098298.34</v>
      </c>
      <c r="O13" s="29">
        <f t="shared" si="9"/>
        <v>4956305.1099999994</v>
      </c>
      <c r="P13" s="29">
        <f t="shared" si="9"/>
        <v>9732526</v>
      </c>
      <c r="Q13" s="29">
        <f t="shared" si="9"/>
        <v>1340828.6599999999</v>
      </c>
      <c r="R13" s="29">
        <f t="shared" si="9"/>
        <v>2494892.63</v>
      </c>
      <c r="S13" s="29">
        <f t="shared" si="9"/>
        <v>2732492.58</v>
      </c>
      <c r="T13" s="29">
        <f t="shared" si="9"/>
        <v>4001985.8</v>
      </c>
      <c r="U13" s="29">
        <f t="shared" si="9"/>
        <v>4631228.6100000003</v>
      </c>
      <c r="V13" s="29">
        <f t="shared" si="9"/>
        <v>6388265.5100000007</v>
      </c>
      <c r="W13" s="29">
        <f t="shared" si="9"/>
        <v>7944039.7199999997</v>
      </c>
      <c r="X13" s="29">
        <f t="shared" si="9"/>
        <v>9268733.2200000007</v>
      </c>
      <c r="Y13" s="29">
        <f t="shared" si="9"/>
        <v>10746616.640000001</v>
      </c>
      <c r="Z13" s="29">
        <f t="shared" si="9"/>
        <v>12027131.450000001</v>
      </c>
      <c r="AA13" s="29">
        <f t="shared" si="9"/>
        <v>13161025.82</v>
      </c>
      <c r="AB13" s="29">
        <f t="shared" si="9"/>
        <v>15579052.76</v>
      </c>
      <c r="AC13" s="239">
        <f>SUM(AC14:AC19)</f>
        <v>20411307</v>
      </c>
      <c r="AD13" s="279">
        <f>SUM(AD14:AD19)</f>
        <v>1098887.82</v>
      </c>
      <c r="AE13" s="279">
        <f t="shared" ref="AE13:AM13" si="10">SUM(AE14:AE19)</f>
        <v>2381342.94</v>
      </c>
      <c r="AF13" s="279">
        <f t="shared" si="10"/>
        <v>3897679.55</v>
      </c>
      <c r="AG13" s="29">
        <f t="shared" si="10"/>
        <v>12684148.040000001</v>
      </c>
      <c r="AH13" s="29">
        <f t="shared" si="10"/>
        <v>16726159.079999998</v>
      </c>
      <c r="AI13" s="29">
        <f t="shared" si="10"/>
        <v>8103183.4900000002</v>
      </c>
      <c r="AJ13" s="29">
        <f t="shared" si="10"/>
        <v>9462255.7699999996</v>
      </c>
      <c r="AK13" s="29">
        <f t="shared" si="10"/>
        <v>0</v>
      </c>
      <c r="AL13" s="29">
        <f t="shared" si="10"/>
        <v>0</v>
      </c>
      <c r="AM13" s="29">
        <f t="shared" si="10"/>
        <v>0</v>
      </c>
    </row>
    <row r="14" spans="1:50" ht="15.75">
      <c r="A14" s="30" t="s">
        <v>64</v>
      </c>
      <c r="B14" s="31">
        <v>185.36</v>
      </c>
      <c r="C14" s="111">
        <v>5714567</v>
      </c>
      <c r="D14" s="33">
        <v>0</v>
      </c>
      <c r="E14" s="33">
        <v>35887.33</v>
      </c>
      <c r="F14" s="33">
        <v>36374.67</v>
      </c>
      <c r="G14" s="33">
        <v>36374.67</v>
      </c>
      <c r="H14" s="33">
        <v>138934</v>
      </c>
      <c r="I14" s="33">
        <v>146882.20000000001</v>
      </c>
      <c r="J14" s="33">
        <v>186882.2</v>
      </c>
      <c r="K14" s="33">
        <v>187782.2</v>
      </c>
      <c r="L14" s="33">
        <v>212782.2</v>
      </c>
      <c r="M14" s="33">
        <v>212782.2</v>
      </c>
      <c r="N14" s="33">
        <v>212782.2</v>
      </c>
      <c r="O14" s="33">
        <v>500607.82</v>
      </c>
      <c r="P14" s="105">
        <v>6235785</v>
      </c>
      <c r="Q14" s="33">
        <v>35825</v>
      </c>
      <c r="R14" s="33">
        <v>199025</v>
      </c>
      <c r="S14" s="33">
        <v>468288</v>
      </c>
      <c r="T14" s="33">
        <v>574307.1</v>
      </c>
      <c r="U14" s="35">
        <v>574307.1</v>
      </c>
      <c r="V14" s="35">
        <v>849993.4</v>
      </c>
      <c r="W14" s="35">
        <v>875883.81</v>
      </c>
      <c r="X14" s="35">
        <v>875883.81</v>
      </c>
      <c r="Y14" s="35">
        <v>1243439.55</v>
      </c>
      <c r="Z14" s="20">
        <v>1309895.95</v>
      </c>
      <c r="AA14" s="20">
        <v>1322602.8</v>
      </c>
      <c r="AB14" s="20">
        <v>1613584.92</v>
      </c>
      <c r="AC14" s="237">
        <v>8038563</v>
      </c>
      <c r="AD14" s="280">
        <v>76168.78</v>
      </c>
      <c r="AE14" s="280">
        <v>124234.33</v>
      </c>
      <c r="AF14" s="280">
        <v>127307.07</v>
      </c>
      <c r="AG14" s="20">
        <v>551114.05000000005</v>
      </c>
      <c r="AH14" s="20">
        <v>726913.35</v>
      </c>
      <c r="AI14" s="292">
        <v>415025.64</v>
      </c>
      <c r="AJ14" s="336">
        <v>540242.5</v>
      </c>
      <c r="AK14" s="20"/>
      <c r="AL14" s="20"/>
      <c r="AM14" s="20"/>
    </row>
    <row r="15" spans="1:50" ht="15.75">
      <c r="A15" s="30" t="s">
        <v>65</v>
      </c>
      <c r="B15" s="31">
        <v>363.72469999999998</v>
      </c>
      <c r="C15" s="111">
        <v>610000</v>
      </c>
      <c r="D15" s="33">
        <v>0</v>
      </c>
      <c r="E15" s="33">
        <v>277808.21999999997</v>
      </c>
      <c r="F15" s="33">
        <v>466179.61</v>
      </c>
      <c r="G15" s="33">
        <v>662465.75</v>
      </c>
      <c r="H15" s="33">
        <v>840547.94</v>
      </c>
      <c r="I15" s="33">
        <v>1012298.44</v>
      </c>
      <c r="J15" s="33">
        <v>1166636.33</v>
      </c>
      <c r="K15" s="33">
        <v>1313850.95</v>
      </c>
      <c r="L15" s="33">
        <v>1448797.68</v>
      </c>
      <c r="M15" s="33">
        <v>1988797.68</v>
      </c>
      <c r="N15" s="33">
        <v>2049220.07</v>
      </c>
      <c r="O15" s="33">
        <v>2845567.11</v>
      </c>
      <c r="P15" s="104">
        <v>2845567</v>
      </c>
      <c r="Q15" s="33">
        <v>871171.46</v>
      </c>
      <c r="R15" s="33">
        <v>1268294.75</v>
      </c>
      <c r="S15" s="33">
        <v>1452510.9</v>
      </c>
      <c r="T15" s="33">
        <v>1930463.68</v>
      </c>
      <c r="U15" s="35">
        <v>2242107.4900000002</v>
      </c>
      <c r="V15" s="35">
        <v>3642855.49</v>
      </c>
      <c r="W15" s="35">
        <v>4454910.29</v>
      </c>
      <c r="X15" s="35">
        <v>5098974.1900000004</v>
      </c>
      <c r="Y15" s="35">
        <v>5619887.8700000001</v>
      </c>
      <c r="Z15" s="20">
        <v>6207633.7300000004</v>
      </c>
      <c r="AA15" s="20">
        <v>6515574.25</v>
      </c>
      <c r="AB15" s="20">
        <v>7248222.6699999999</v>
      </c>
      <c r="AC15" s="237">
        <v>7248223</v>
      </c>
      <c r="AD15" s="280">
        <v>368438.4</v>
      </c>
      <c r="AE15" s="280">
        <v>902091.38</v>
      </c>
      <c r="AF15" s="280">
        <v>2079477.25</v>
      </c>
      <c r="AG15" s="20">
        <v>11918988.23</v>
      </c>
      <c r="AH15" s="20">
        <v>15655736.699999999</v>
      </c>
      <c r="AI15" s="294">
        <v>3831018.39</v>
      </c>
      <c r="AJ15" s="338">
        <v>4375973.22</v>
      </c>
      <c r="AK15" s="20"/>
      <c r="AL15" s="20"/>
      <c r="AM15" s="20"/>
    </row>
    <row r="16" spans="1:50" ht="15.75">
      <c r="A16" s="30" t="s">
        <v>66</v>
      </c>
      <c r="B16" s="31"/>
      <c r="C16" s="46">
        <v>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104"/>
      <c r="Q16" s="33">
        <v>0</v>
      </c>
      <c r="R16" s="33">
        <v>0</v>
      </c>
      <c r="S16" s="33">
        <v>0</v>
      </c>
      <c r="T16" s="33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/>
      <c r="AC16" s="237"/>
      <c r="AD16" s="280">
        <v>0</v>
      </c>
      <c r="AE16" s="280">
        <v>0</v>
      </c>
      <c r="AF16" s="280">
        <v>0</v>
      </c>
      <c r="AG16" s="20">
        <v>0</v>
      </c>
      <c r="AH16" s="20">
        <v>0</v>
      </c>
      <c r="AI16" s="293">
        <v>0</v>
      </c>
      <c r="AJ16" s="337">
        <v>0</v>
      </c>
      <c r="AK16" s="20"/>
      <c r="AL16" s="20"/>
      <c r="AM16" s="20"/>
    </row>
    <row r="17" spans="1:39" ht="15.75">
      <c r="A17" s="30" t="s">
        <v>67</v>
      </c>
      <c r="B17" s="31"/>
      <c r="C17" s="111">
        <v>5727793</v>
      </c>
      <c r="D17" s="33">
        <v>53290.400000000001</v>
      </c>
      <c r="E17" s="33">
        <v>406463.67</v>
      </c>
      <c r="F17" s="33">
        <v>466407.04</v>
      </c>
      <c r="G17" s="33">
        <v>500587.81</v>
      </c>
      <c r="H17" s="33">
        <v>533577.41</v>
      </c>
      <c r="I17" s="33">
        <v>563626.87</v>
      </c>
      <c r="J17" s="33">
        <v>670799.47</v>
      </c>
      <c r="K17" s="33">
        <v>708885.78</v>
      </c>
      <c r="L17" s="33">
        <v>815120.67</v>
      </c>
      <c r="M17" s="33">
        <v>917306.27</v>
      </c>
      <c r="N17" s="33">
        <v>1518236.07</v>
      </c>
      <c r="O17" s="33">
        <v>1278030.18</v>
      </c>
      <c r="P17" s="102">
        <f>3496741-P15</f>
        <v>651174</v>
      </c>
      <c r="Q17" s="33">
        <v>103832.2</v>
      </c>
      <c r="R17" s="33">
        <v>709472.88</v>
      </c>
      <c r="S17" s="33">
        <v>391688.68</v>
      </c>
      <c r="T17" s="33">
        <v>554340.02</v>
      </c>
      <c r="U17" s="35">
        <v>801939.02</v>
      </c>
      <c r="V17" s="35">
        <v>882541.62</v>
      </c>
      <c r="W17" s="35">
        <v>1563370.62</v>
      </c>
      <c r="X17" s="35">
        <v>2241000.2200000002</v>
      </c>
      <c r="Y17" s="35">
        <v>2770414.22</v>
      </c>
      <c r="Z17" s="20">
        <v>3396726.77</v>
      </c>
      <c r="AA17" s="20">
        <v>4201973.7699999996</v>
      </c>
      <c r="AB17" s="20">
        <v>5277075.17</v>
      </c>
      <c r="AC17" s="237">
        <f>12372744-AC15-AC18</f>
        <v>5120521</v>
      </c>
      <c r="AD17" s="280">
        <v>364280.64</v>
      </c>
      <c r="AE17" s="280">
        <v>678017.23</v>
      </c>
      <c r="AF17" s="280">
        <v>963895.23</v>
      </c>
      <c r="AG17" s="20">
        <v>214045.76</v>
      </c>
      <c r="AH17" s="20">
        <v>343509.03</v>
      </c>
      <c r="AI17" s="294">
        <v>2127638.46</v>
      </c>
      <c r="AJ17" s="338">
        <v>2461434.0499999998</v>
      </c>
      <c r="AK17" s="20"/>
      <c r="AL17" s="20"/>
      <c r="AM17" s="20"/>
    </row>
    <row r="18" spans="1:39" ht="15.75">
      <c r="A18" s="30" t="s">
        <v>68</v>
      </c>
      <c r="B18" s="31"/>
      <c r="C18" s="46">
        <v>0</v>
      </c>
      <c r="D18" s="33">
        <v>84100</v>
      </c>
      <c r="E18" s="33">
        <v>134100</v>
      </c>
      <c r="F18" s="33">
        <v>185100</v>
      </c>
      <c r="G18" s="33">
        <v>226060</v>
      </c>
      <c r="H18" s="33">
        <v>226060</v>
      </c>
      <c r="I18" s="33">
        <v>226060</v>
      </c>
      <c r="J18" s="33">
        <v>226060</v>
      </c>
      <c r="K18" s="33">
        <v>261060</v>
      </c>
      <c r="L18" s="33">
        <v>261060</v>
      </c>
      <c r="M18" s="33">
        <v>280060</v>
      </c>
      <c r="N18" s="33">
        <v>318060</v>
      </c>
      <c r="O18" s="33">
        <v>332100</v>
      </c>
      <c r="P18" s="104"/>
      <c r="Q18" s="33">
        <v>330000</v>
      </c>
      <c r="R18" s="33">
        <v>318100</v>
      </c>
      <c r="S18" s="33">
        <v>420005</v>
      </c>
      <c r="T18" s="33">
        <v>942875</v>
      </c>
      <c r="U18" s="35">
        <v>1012875</v>
      </c>
      <c r="V18" s="35">
        <v>1012875</v>
      </c>
      <c r="W18" s="35">
        <v>1049875</v>
      </c>
      <c r="X18" s="35">
        <v>1052875</v>
      </c>
      <c r="Y18" s="35">
        <v>1112875</v>
      </c>
      <c r="Z18" s="20">
        <v>1112875</v>
      </c>
      <c r="AA18" s="20">
        <v>1120875</v>
      </c>
      <c r="AB18" s="20">
        <v>1440170</v>
      </c>
      <c r="AC18" s="237">
        <v>4000</v>
      </c>
      <c r="AD18" s="280">
        <v>290000</v>
      </c>
      <c r="AE18" s="280">
        <v>677000</v>
      </c>
      <c r="AF18" s="280">
        <v>727000</v>
      </c>
      <c r="AG18" s="20">
        <v>0</v>
      </c>
      <c r="AH18" s="20">
        <v>0</v>
      </c>
      <c r="AI18" s="294">
        <v>1729501</v>
      </c>
      <c r="AJ18" s="338">
        <v>2084606</v>
      </c>
      <c r="AK18" s="20"/>
      <c r="AL18" s="20"/>
      <c r="AM18" s="20"/>
    </row>
    <row r="19" spans="1:39" ht="15.75">
      <c r="A19" s="30" t="s">
        <v>69</v>
      </c>
      <c r="B19" s="31"/>
      <c r="C19" s="111">
        <v>1129047</v>
      </c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104"/>
      <c r="Q19" s="33">
        <v>0</v>
      </c>
      <c r="R19" s="33">
        <v>0</v>
      </c>
      <c r="S19" s="33">
        <v>0</v>
      </c>
      <c r="T19" s="33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/>
      <c r="AA19" s="20"/>
      <c r="AB19" s="20"/>
      <c r="AC19" s="237"/>
      <c r="AD19" s="280">
        <v>0</v>
      </c>
      <c r="AE19" s="280">
        <v>0</v>
      </c>
      <c r="AF19" s="280">
        <v>0</v>
      </c>
      <c r="AG19" s="20">
        <v>0</v>
      </c>
      <c r="AH19" s="20">
        <v>0</v>
      </c>
      <c r="AI19" s="293">
        <v>0</v>
      </c>
      <c r="AJ19" s="337">
        <v>0</v>
      </c>
      <c r="AK19" s="20"/>
      <c r="AL19" s="20"/>
      <c r="AM19" s="20"/>
    </row>
    <row r="20" spans="1:39" ht="15">
      <c r="A20" s="28" t="s">
        <v>70</v>
      </c>
      <c r="B20" s="29">
        <f t="shared" ref="B20:J20" si="11">B4-B13</f>
        <v>14050.162846899</v>
      </c>
      <c r="C20" s="29">
        <f t="shared" si="11"/>
        <v>50538733</v>
      </c>
      <c r="D20" s="29">
        <f t="shared" si="11"/>
        <v>5575698.8099999996</v>
      </c>
      <c r="E20" s="29">
        <f t="shared" si="11"/>
        <v>10443414.76</v>
      </c>
      <c r="F20" s="29">
        <f t="shared" si="11"/>
        <v>16795374.32</v>
      </c>
      <c r="G20" s="29">
        <f t="shared" si="11"/>
        <v>23492199.739999998</v>
      </c>
      <c r="H20" s="29">
        <f t="shared" si="11"/>
        <v>30559619.419999998</v>
      </c>
      <c r="I20" s="29">
        <f t="shared" si="11"/>
        <v>37089553.460000001</v>
      </c>
      <c r="J20" s="29">
        <f t="shared" si="11"/>
        <v>45197403.620000005</v>
      </c>
      <c r="K20" s="29">
        <f t="shared" ref="K20:AB20" si="12">K4-K13</f>
        <v>51886355.300000004</v>
      </c>
      <c r="L20" s="29">
        <f t="shared" si="12"/>
        <v>59167887.360000007</v>
      </c>
      <c r="M20" s="29">
        <f t="shared" si="12"/>
        <v>65992529.199999996</v>
      </c>
      <c r="N20" s="29">
        <f t="shared" si="12"/>
        <v>74136456.049999997</v>
      </c>
      <c r="O20" s="29">
        <f t="shared" si="12"/>
        <v>82027439.359999999</v>
      </c>
      <c r="P20" s="29">
        <f t="shared" si="12"/>
        <v>77251218</v>
      </c>
      <c r="Q20" s="29">
        <f t="shared" si="12"/>
        <v>6764613.3199999994</v>
      </c>
      <c r="R20" s="29">
        <f t="shared" si="12"/>
        <v>13784949.390000001</v>
      </c>
      <c r="S20" s="29">
        <f t="shared" si="12"/>
        <v>23137765.280000001</v>
      </c>
      <c r="T20" s="29">
        <f t="shared" si="12"/>
        <v>30746335.02</v>
      </c>
      <c r="U20" s="29">
        <f t="shared" si="12"/>
        <v>40260141.170000002</v>
      </c>
      <c r="V20" s="29">
        <f t="shared" si="12"/>
        <v>47966708.539999999</v>
      </c>
      <c r="W20" s="29">
        <f t="shared" si="12"/>
        <v>55024451.230000004</v>
      </c>
      <c r="X20" s="29">
        <f t="shared" si="12"/>
        <v>62662271.469999999</v>
      </c>
      <c r="Y20" s="29">
        <f t="shared" si="12"/>
        <v>70942384.739999995</v>
      </c>
      <c r="Z20" s="29">
        <f t="shared" si="12"/>
        <v>80469174.109999999</v>
      </c>
      <c r="AA20" s="29">
        <f t="shared" si="12"/>
        <v>91497779.879999995</v>
      </c>
      <c r="AB20" s="29">
        <f t="shared" si="12"/>
        <v>99122022.590000004</v>
      </c>
      <c r="AC20" s="239">
        <f>AC4-AC13</f>
        <v>91798044</v>
      </c>
      <c r="AD20" s="279">
        <f>AD4-AD13</f>
        <v>8705503.4399999995</v>
      </c>
      <c r="AE20" s="279">
        <f t="shared" ref="AE20:AM20" si="13">AE4-AE13</f>
        <v>15483034.569999998</v>
      </c>
      <c r="AF20" s="279">
        <f t="shared" si="13"/>
        <v>24447864.41</v>
      </c>
      <c r="AG20" s="29">
        <f t="shared" si="13"/>
        <v>63810002.289999999</v>
      </c>
      <c r="AH20" s="29">
        <f t="shared" si="13"/>
        <v>79182366.840000004</v>
      </c>
      <c r="AI20" s="29">
        <f t="shared" si="13"/>
        <v>49997603.529999994</v>
      </c>
      <c r="AJ20" s="29">
        <f t="shared" si="13"/>
        <v>59065215.100000009</v>
      </c>
      <c r="AK20" s="29">
        <f t="shared" si="13"/>
        <v>0</v>
      </c>
      <c r="AL20" s="29">
        <f t="shared" si="13"/>
        <v>0</v>
      </c>
      <c r="AM20" s="29">
        <f t="shared" si="13"/>
        <v>0</v>
      </c>
    </row>
    <row r="21" spans="1:39" ht="15">
      <c r="A21" s="28" t="s">
        <v>71</v>
      </c>
      <c r="B21" s="29">
        <f t="shared" ref="B21:J21" si="14">B22-B23</f>
        <v>0</v>
      </c>
      <c r="C21" s="112">
        <v>9350985</v>
      </c>
      <c r="D21" s="29">
        <f t="shared" si="14"/>
        <v>10948246.300000001</v>
      </c>
      <c r="E21" s="29">
        <f t="shared" si="14"/>
        <v>3187876.6</v>
      </c>
      <c r="F21" s="29">
        <f t="shared" si="14"/>
        <v>2217279.7999999998</v>
      </c>
      <c r="G21" s="29">
        <f t="shared" si="14"/>
        <v>3881831.5</v>
      </c>
      <c r="H21" s="29">
        <f t="shared" si="14"/>
        <v>6307639</v>
      </c>
      <c r="I21" s="29">
        <f t="shared" si="14"/>
        <v>8280057.0999999996</v>
      </c>
      <c r="J21" s="29">
        <f t="shared" si="14"/>
        <v>11089848.4</v>
      </c>
      <c r="K21" s="29">
        <f t="shared" ref="K21:AB21" si="15">K22-K23</f>
        <v>10170035.4</v>
      </c>
      <c r="L21" s="29">
        <f t="shared" si="15"/>
        <v>14514346.9</v>
      </c>
      <c r="M21" s="29">
        <f t="shared" si="15"/>
        <v>14578127.6</v>
      </c>
      <c r="N21" s="29">
        <f t="shared" si="15"/>
        <v>14191673.199999999</v>
      </c>
      <c r="O21" s="29">
        <f t="shared" si="15"/>
        <v>10978635</v>
      </c>
      <c r="P21" s="29">
        <f t="shared" si="15"/>
        <v>14735275</v>
      </c>
      <c r="Q21" s="29">
        <f t="shared" si="15"/>
        <v>16454050.9</v>
      </c>
      <c r="R21" s="29">
        <f t="shared" si="15"/>
        <v>6217539.2000000002</v>
      </c>
      <c r="S21" s="29">
        <f t="shared" si="15"/>
        <v>3405286.4</v>
      </c>
      <c r="T21" s="29">
        <f t="shared" si="15"/>
        <v>9956127.3000000007</v>
      </c>
      <c r="U21" s="29">
        <f t="shared" si="15"/>
        <v>12051062.800000001</v>
      </c>
      <c r="V21" s="29">
        <f t="shared" si="15"/>
        <v>14340326.5</v>
      </c>
      <c r="W21" s="29">
        <f t="shared" si="15"/>
        <v>13698125.300000001</v>
      </c>
      <c r="X21" s="29">
        <f t="shared" si="15"/>
        <v>10851035.9</v>
      </c>
      <c r="Y21" s="29">
        <f t="shared" si="15"/>
        <v>14483881.300000001</v>
      </c>
      <c r="Z21" s="29">
        <f t="shared" si="15"/>
        <v>13492350.300000001</v>
      </c>
      <c r="AA21" s="29">
        <f t="shared" si="15"/>
        <v>21025723.300000001</v>
      </c>
      <c r="AB21" s="29">
        <f t="shared" si="15"/>
        <v>9905345.4000000004</v>
      </c>
      <c r="AC21" s="239">
        <f>AC22-AC23</f>
        <v>9905345</v>
      </c>
      <c r="AD21" s="279">
        <f>AD22-AD23</f>
        <v>14986597.699999999</v>
      </c>
      <c r="AE21" s="279">
        <f t="shared" ref="AE21:AM21" si="16">AE22-AE23</f>
        <v>10447236.300000001</v>
      </c>
      <c r="AF21" s="279">
        <f t="shared" si="16"/>
        <v>2751947.8</v>
      </c>
      <c r="AG21" s="29">
        <f t="shared" si="16"/>
        <v>3186924.2</v>
      </c>
      <c r="AH21" s="29">
        <f t="shared" si="16"/>
        <v>3660730.5</v>
      </c>
      <c r="AI21" s="29">
        <f t="shared" si="16"/>
        <v>19219607.300000001</v>
      </c>
      <c r="AJ21" s="29">
        <f t="shared" si="16"/>
        <v>24635232.300000001</v>
      </c>
      <c r="AK21" s="29">
        <f t="shared" si="16"/>
        <v>0</v>
      </c>
      <c r="AL21" s="29">
        <f t="shared" si="16"/>
        <v>0</v>
      </c>
      <c r="AM21" s="29">
        <f t="shared" si="16"/>
        <v>0</v>
      </c>
    </row>
    <row r="22" spans="1:39" ht="15.75">
      <c r="A22" s="30" t="s">
        <v>72</v>
      </c>
      <c r="B22" s="31"/>
      <c r="C22" s="113">
        <v>9350985</v>
      </c>
      <c r="D22" s="33">
        <v>10948246.300000001</v>
      </c>
      <c r="E22" s="33">
        <v>3187876.6</v>
      </c>
      <c r="F22" s="33">
        <v>2217279.7999999998</v>
      </c>
      <c r="G22" s="33">
        <v>3881831.5</v>
      </c>
      <c r="H22" s="33">
        <v>6307639</v>
      </c>
      <c r="I22" s="33">
        <v>8280057.0999999996</v>
      </c>
      <c r="J22" s="33">
        <v>11089848.4</v>
      </c>
      <c r="K22" s="33">
        <v>10170035.4</v>
      </c>
      <c r="L22" s="33">
        <v>14514346.9</v>
      </c>
      <c r="M22" s="33">
        <v>14578127.6</v>
      </c>
      <c r="N22" s="33">
        <v>14191673.199999999</v>
      </c>
      <c r="O22" s="33">
        <v>10978635</v>
      </c>
      <c r="P22" s="114">
        <v>14735275</v>
      </c>
      <c r="Q22" s="33">
        <v>16454050.9</v>
      </c>
      <c r="R22" s="33">
        <v>6217539.2000000002</v>
      </c>
      <c r="S22" s="33">
        <v>3405286.4</v>
      </c>
      <c r="T22" s="33">
        <v>9956127.3000000007</v>
      </c>
      <c r="U22" s="35">
        <v>12051062.800000001</v>
      </c>
      <c r="V22" s="35">
        <v>14340326.5</v>
      </c>
      <c r="W22" s="35">
        <v>13698125.300000001</v>
      </c>
      <c r="X22" s="35">
        <v>10851035.9</v>
      </c>
      <c r="Y22" s="35">
        <v>14483881.300000001</v>
      </c>
      <c r="Z22" s="20">
        <v>13492350.300000001</v>
      </c>
      <c r="AA22" s="20">
        <v>21025723.300000001</v>
      </c>
      <c r="AB22" s="20">
        <v>9905345.4000000004</v>
      </c>
      <c r="AC22" s="237">
        <v>9905345</v>
      </c>
      <c r="AD22" s="280">
        <v>14986597.699999999</v>
      </c>
      <c r="AE22" s="280">
        <v>10447236.300000001</v>
      </c>
      <c r="AF22" s="280">
        <v>2751947.8</v>
      </c>
      <c r="AG22" s="20">
        <v>3186924.2</v>
      </c>
      <c r="AH22" s="20">
        <v>3660730.5</v>
      </c>
      <c r="AI22" s="292">
        <v>19219607.300000001</v>
      </c>
      <c r="AJ22" s="336">
        <v>24635232.300000001</v>
      </c>
      <c r="AK22" s="20"/>
      <c r="AL22" s="20"/>
      <c r="AM22" s="20"/>
    </row>
    <row r="23" spans="1:39" ht="15.75">
      <c r="A23" s="30" t="s">
        <v>73</v>
      </c>
      <c r="B23" s="31"/>
      <c r="C23" s="46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104"/>
      <c r="Q23" s="33">
        <v>0</v>
      </c>
      <c r="R23" s="33">
        <v>0</v>
      </c>
      <c r="S23" s="33">
        <v>0</v>
      </c>
      <c r="T23" s="33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/>
      <c r="AA23" s="20"/>
      <c r="AB23" s="20"/>
      <c r="AC23" s="237"/>
      <c r="AD23" s="280">
        <v>0</v>
      </c>
      <c r="AE23" s="280">
        <v>0</v>
      </c>
      <c r="AF23" s="280">
        <v>0</v>
      </c>
      <c r="AG23" s="20">
        <v>0</v>
      </c>
      <c r="AH23" s="20">
        <v>0</v>
      </c>
      <c r="AI23" s="293">
        <v>0</v>
      </c>
      <c r="AJ23" s="337">
        <v>0</v>
      </c>
      <c r="AK23" s="20"/>
      <c r="AL23" s="20"/>
      <c r="AM23" s="20"/>
    </row>
    <row r="24" spans="1:39" ht="15">
      <c r="A24" s="28" t="s">
        <v>74</v>
      </c>
      <c r="B24" s="29">
        <f t="shared" ref="B24:AB24" si="17">SUM(B25:B29)</f>
        <v>11019.3799</v>
      </c>
      <c r="C24" s="29">
        <f t="shared" si="17"/>
        <v>27366529</v>
      </c>
      <c r="D24" s="29">
        <f t="shared" si="17"/>
        <v>2443286.7199999997</v>
      </c>
      <c r="E24" s="29">
        <f t="shared" si="17"/>
        <v>6468759.5399999991</v>
      </c>
      <c r="F24" s="29">
        <f t="shared" si="17"/>
        <v>10384507.15</v>
      </c>
      <c r="G24" s="29">
        <f t="shared" si="17"/>
        <v>14120822.939999999</v>
      </c>
      <c r="H24" s="29">
        <f t="shared" si="17"/>
        <v>17040589.710000001</v>
      </c>
      <c r="I24" s="29">
        <f t="shared" si="17"/>
        <v>20462374.57</v>
      </c>
      <c r="J24" s="29">
        <f t="shared" si="17"/>
        <v>23859710.719999999</v>
      </c>
      <c r="K24" s="29">
        <f t="shared" si="17"/>
        <v>26882891.269999996</v>
      </c>
      <c r="L24" s="29">
        <f t="shared" si="17"/>
        <v>30469037</v>
      </c>
      <c r="M24" s="29">
        <f t="shared" si="17"/>
        <v>34156424.109999999</v>
      </c>
      <c r="N24" s="29">
        <f t="shared" si="17"/>
        <v>38397544.910000004</v>
      </c>
      <c r="O24" s="29">
        <f t="shared" si="17"/>
        <v>43333581.609999999</v>
      </c>
      <c r="P24" s="29">
        <f t="shared" si="17"/>
        <v>44642772</v>
      </c>
      <c r="Q24" s="29">
        <f t="shared" si="17"/>
        <v>3834336.0199999996</v>
      </c>
      <c r="R24" s="29">
        <f t="shared" si="17"/>
        <v>9756422.8200000003</v>
      </c>
      <c r="S24" s="29">
        <f t="shared" si="17"/>
        <v>15818864.640000001</v>
      </c>
      <c r="T24" s="29">
        <f t="shared" si="17"/>
        <v>20014429.719999999</v>
      </c>
      <c r="U24" s="29">
        <f t="shared" si="17"/>
        <v>24343999.509999998</v>
      </c>
      <c r="V24" s="29">
        <f t="shared" si="17"/>
        <v>28887831.130000003</v>
      </c>
      <c r="W24" s="29">
        <f t="shared" si="17"/>
        <v>34773491.18</v>
      </c>
      <c r="X24" s="29">
        <f t="shared" si="17"/>
        <v>38922134.530000001</v>
      </c>
      <c r="Y24" s="29">
        <f t="shared" si="17"/>
        <v>43802029.210000001</v>
      </c>
      <c r="Z24" s="29">
        <f t="shared" si="17"/>
        <v>48165215.230000004</v>
      </c>
      <c r="AA24" s="29">
        <f t="shared" si="17"/>
        <v>53750978.420000002</v>
      </c>
      <c r="AB24" s="29">
        <f t="shared" si="17"/>
        <v>59017520.350000001</v>
      </c>
      <c r="AC24" s="239">
        <f>SUM(AC25:AC29)</f>
        <v>60610544</v>
      </c>
      <c r="AD24" s="279">
        <f>SUM(AD25:AD29)</f>
        <v>4974856.1000000006</v>
      </c>
      <c r="AE24" s="279">
        <f t="shared" ref="AE24:AM24" si="18">SUM(AE25:AE29)</f>
        <v>10850053.470000001</v>
      </c>
      <c r="AF24" s="279">
        <f t="shared" si="18"/>
        <v>17961527</v>
      </c>
      <c r="AG24" s="29">
        <f t="shared" si="18"/>
        <v>55230906.460000001</v>
      </c>
      <c r="AH24" s="29">
        <f t="shared" si="18"/>
        <v>68733763.939999998</v>
      </c>
      <c r="AI24" s="29">
        <f t="shared" si="18"/>
        <v>33870188.5</v>
      </c>
      <c r="AJ24" s="29">
        <f t="shared" si="18"/>
        <v>38591047.219999999</v>
      </c>
      <c r="AK24" s="29">
        <f t="shared" si="18"/>
        <v>0</v>
      </c>
      <c r="AL24" s="29">
        <f t="shared" si="18"/>
        <v>0</v>
      </c>
      <c r="AM24" s="29">
        <f t="shared" si="18"/>
        <v>0</v>
      </c>
    </row>
    <row r="25" spans="1:39" ht="15.75">
      <c r="A25" s="30" t="s">
        <v>75</v>
      </c>
      <c r="B25" s="31">
        <v>3512.444</v>
      </c>
      <c r="C25" s="113">
        <v>13868938</v>
      </c>
      <c r="D25" s="33">
        <v>1128257</v>
      </c>
      <c r="E25" s="33">
        <v>2823502</v>
      </c>
      <c r="F25" s="33">
        <v>4075096</v>
      </c>
      <c r="G25" s="33">
        <v>5793896</v>
      </c>
      <c r="H25" s="33">
        <v>7147788</v>
      </c>
      <c r="I25" s="33">
        <v>8667439</v>
      </c>
      <c r="J25" s="33">
        <v>10146889</v>
      </c>
      <c r="K25" s="33">
        <v>11428379</v>
      </c>
      <c r="L25" s="33">
        <v>12812925</v>
      </c>
      <c r="M25" s="33">
        <v>14196676</v>
      </c>
      <c r="N25" s="33">
        <v>15733117</v>
      </c>
      <c r="O25" s="33">
        <v>17615738.199999999</v>
      </c>
      <c r="P25" s="114">
        <v>18282763</v>
      </c>
      <c r="Q25" s="33">
        <v>1839430.8</v>
      </c>
      <c r="R25" s="33">
        <v>3954644.9</v>
      </c>
      <c r="S25" s="33">
        <v>5364365.5999999996</v>
      </c>
      <c r="T25" s="33">
        <v>7745960.5999999996</v>
      </c>
      <c r="U25" s="35">
        <v>9562930.8000000007</v>
      </c>
      <c r="V25" s="35">
        <v>11309562.300000001</v>
      </c>
      <c r="W25" s="35">
        <v>13115146.6</v>
      </c>
      <c r="X25" s="35">
        <v>14775826</v>
      </c>
      <c r="Y25" s="35">
        <v>16436322.300000001</v>
      </c>
      <c r="Z25" s="20">
        <v>18070280</v>
      </c>
      <c r="AA25" s="20">
        <v>19651862</v>
      </c>
      <c r="AB25" s="20">
        <v>21676875.199999999</v>
      </c>
      <c r="AC25" s="237">
        <v>23734705</v>
      </c>
      <c r="AD25" s="280">
        <v>1732054.5</v>
      </c>
      <c r="AE25" s="280">
        <v>5121632.0999999996</v>
      </c>
      <c r="AF25" s="280">
        <v>6939508.4000000004</v>
      </c>
      <c r="AG25" s="237">
        <v>16100374.300000001</v>
      </c>
      <c r="AH25" s="237">
        <v>20929264.199999999</v>
      </c>
      <c r="AI25" s="292">
        <v>12729470.800000001</v>
      </c>
      <c r="AJ25" s="336">
        <v>14721199.800000001</v>
      </c>
      <c r="AK25" s="237"/>
      <c r="AL25" s="237"/>
      <c r="AM25" s="237"/>
    </row>
    <row r="26" spans="1:39" ht="15.75">
      <c r="A26" s="30" t="s">
        <v>76</v>
      </c>
      <c r="B26" s="31">
        <v>401.87299999999999</v>
      </c>
      <c r="C26" s="113">
        <v>2306230</v>
      </c>
      <c r="D26" s="33">
        <v>233128</v>
      </c>
      <c r="E26" s="33">
        <v>405139</v>
      </c>
      <c r="F26" s="33">
        <v>1134137</v>
      </c>
      <c r="G26" s="33">
        <v>1249854</v>
      </c>
      <c r="H26" s="33">
        <v>1538354</v>
      </c>
      <c r="I26" s="33">
        <v>1775007</v>
      </c>
      <c r="J26" s="33">
        <v>1924045</v>
      </c>
      <c r="K26" s="33">
        <v>1982457</v>
      </c>
      <c r="L26" s="33">
        <v>2368957</v>
      </c>
      <c r="M26" s="33">
        <v>2540983</v>
      </c>
      <c r="N26" s="33">
        <v>3281856</v>
      </c>
      <c r="O26" s="33">
        <v>3689226</v>
      </c>
      <c r="P26" s="102">
        <v>3689226</v>
      </c>
      <c r="Q26" s="33">
        <v>89194</v>
      </c>
      <c r="R26" s="33">
        <v>1136297.6000000001</v>
      </c>
      <c r="S26" s="33">
        <v>2389485.4</v>
      </c>
      <c r="T26" s="33">
        <v>2717615.42</v>
      </c>
      <c r="U26" s="35">
        <v>3066099.28</v>
      </c>
      <c r="V26" s="35">
        <v>3395616.82</v>
      </c>
      <c r="W26" s="35">
        <v>4083583.02</v>
      </c>
      <c r="X26" s="35">
        <v>4481083.22</v>
      </c>
      <c r="Y26" s="35">
        <v>4747564.42</v>
      </c>
      <c r="Z26" s="20">
        <v>5204880.62</v>
      </c>
      <c r="AA26" s="20">
        <v>5833981.8200000003</v>
      </c>
      <c r="AB26" s="20">
        <v>6232563.0199999996</v>
      </c>
      <c r="AC26" s="237">
        <v>7261203</v>
      </c>
      <c r="AD26" s="280">
        <v>544089.78</v>
      </c>
      <c r="AE26" s="280">
        <v>751428.56</v>
      </c>
      <c r="AF26" s="280">
        <v>1862376.34</v>
      </c>
      <c r="AG26" s="20">
        <v>6773065.0099999998</v>
      </c>
      <c r="AH26" s="20">
        <v>7449404.5099999998</v>
      </c>
      <c r="AI26" s="294">
        <v>3108886.34</v>
      </c>
      <c r="AJ26" s="338">
        <v>3442156.34</v>
      </c>
      <c r="AK26" s="20"/>
      <c r="AL26" s="20"/>
      <c r="AM26" s="20"/>
    </row>
    <row r="27" spans="1:39" ht="15.75">
      <c r="A27" s="30" t="s">
        <v>77</v>
      </c>
      <c r="B27" s="31">
        <v>919.3528</v>
      </c>
      <c r="C27" s="113">
        <v>2978074</v>
      </c>
      <c r="D27" s="33">
        <v>164380</v>
      </c>
      <c r="E27" s="33">
        <v>797118</v>
      </c>
      <c r="F27" s="33">
        <v>1146721</v>
      </c>
      <c r="G27" s="33">
        <v>1376971</v>
      </c>
      <c r="H27" s="33">
        <v>1579241</v>
      </c>
      <c r="I27" s="33">
        <v>1903041</v>
      </c>
      <c r="J27" s="33">
        <v>2399816</v>
      </c>
      <c r="K27" s="33">
        <v>2651856</v>
      </c>
      <c r="L27" s="33">
        <v>3012443</v>
      </c>
      <c r="M27" s="33">
        <v>3429579</v>
      </c>
      <c r="N27" s="33">
        <v>3798659</v>
      </c>
      <c r="O27" s="33">
        <v>4859953</v>
      </c>
      <c r="P27" s="102">
        <v>4859953</v>
      </c>
      <c r="Q27" s="33">
        <v>261870</v>
      </c>
      <c r="R27" s="33">
        <v>1180120</v>
      </c>
      <c r="S27" s="33">
        <v>1747330</v>
      </c>
      <c r="T27" s="33">
        <v>2089856</v>
      </c>
      <c r="U27" s="35">
        <v>2695666</v>
      </c>
      <c r="V27" s="35">
        <v>3322706</v>
      </c>
      <c r="W27" s="35">
        <v>4261439</v>
      </c>
      <c r="X27" s="35">
        <v>4505189</v>
      </c>
      <c r="Y27" s="35">
        <v>5294844</v>
      </c>
      <c r="Z27" s="20">
        <v>5732435</v>
      </c>
      <c r="AA27" s="20">
        <v>6695064</v>
      </c>
      <c r="AB27" s="20">
        <v>7698722</v>
      </c>
      <c r="AC27" s="237">
        <v>6670082</v>
      </c>
      <c r="AD27" s="280">
        <v>369800</v>
      </c>
      <c r="AE27" s="280">
        <v>803760</v>
      </c>
      <c r="AF27" s="280">
        <v>1670130</v>
      </c>
      <c r="AG27" s="20">
        <v>6597123.5099999998</v>
      </c>
      <c r="AH27" s="20">
        <v>7876325.9699999997</v>
      </c>
      <c r="AI27" s="294">
        <v>4474485</v>
      </c>
      <c r="AJ27" s="338">
        <v>4799530</v>
      </c>
      <c r="AK27" s="20"/>
      <c r="AL27" s="20"/>
      <c r="AM27" s="20"/>
    </row>
    <row r="28" spans="1:39" ht="15.75">
      <c r="A28" s="30" t="s">
        <v>78</v>
      </c>
      <c r="B28" s="31">
        <v>1276.981</v>
      </c>
      <c r="C28" s="113">
        <v>2525875</v>
      </c>
      <c r="D28" s="33">
        <v>198753.72</v>
      </c>
      <c r="E28" s="33">
        <v>412331.1</v>
      </c>
      <c r="F28" s="33">
        <v>607431.32999999996</v>
      </c>
      <c r="G28" s="33">
        <v>512767.84</v>
      </c>
      <c r="H28" s="33">
        <v>996879.89</v>
      </c>
      <c r="I28" s="33">
        <v>1198921.75</v>
      </c>
      <c r="J28" s="33">
        <v>1407854.53</v>
      </c>
      <c r="K28" s="33">
        <v>1617758.08</v>
      </c>
      <c r="L28" s="33">
        <v>1843391.81</v>
      </c>
      <c r="M28" s="33">
        <v>2065815.92</v>
      </c>
      <c r="N28" s="33">
        <v>2296720.42</v>
      </c>
      <c r="O28" s="33">
        <v>2514865.46</v>
      </c>
      <c r="P28" s="102">
        <f>17432483-P22</f>
        <v>2697208</v>
      </c>
      <c r="Q28" s="33">
        <v>331531.21999999997</v>
      </c>
      <c r="R28" s="33">
        <v>656306.31999999995</v>
      </c>
      <c r="S28" s="33">
        <v>962483.8</v>
      </c>
      <c r="T28" s="33">
        <v>1250532.21</v>
      </c>
      <c r="U28" s="35">
        <v>1591001.94</v>
      </c>
      <c r="V28" s="35">
        <v>1952615.14</v>
      </c>
      <c r="W28" s="35">
        <v>2352364.2200000002</v>
      </c>
      <c r="X28" s="35">
        <v>2732280.43</v>
      </c>
      <c r="Y28" s="35">
        <v>3109082.11</v>
      </c>
      <c r="Z28" s="20">
        <v>3543072.73</v>
      </c>
      <c r="AA28" s="20">
        <v>3905214.82</v>
      </c>
      <c r="AB28" s="20">
        <v>3714836.77</v>
      </c>
      <c r="AC28" s="237">
        <f>2332715+1382422</f>
        <v>3715137</v>
      </c>
      <c r="AD28" s="280">
        <v>285929.49</v>
      </c>
      <c r="AE28" s="280">
        <v>285929.49</v>
      </c>
      <c r="AF28" s="280">
        <v>285929.49</v>
      </c>
      <c r="AG28" s="20">
        <v>1763209.59</v>
      </c>
      <c r="AH28" s="20">
        <v>2204011.7400000002</v>
      </c>
      <c r="AI28" s="294">
        <v>1714174.83</v>
      </c>
      <c r="AJ28" s="338">
        <v>1999522.19</v>
      </c>
      <c r="AK28" s="20"/>
      <c r="AL28" s="20"/>
      <c r="AM28" s="20"/>
    </row>
    <row r="29" spans="1:39" ht="15.75">
      <c r="A29" s="30" t="s">
        <v>79</v>
      </c>
      <c r="B29" s="31">
        <v>4908.7290999999996</v>
      </c>
      <c r="C29" s="113">
        <v>5687412</v>
      </c>
      <c r="D29" s="33">
        <v>718768</v>
      </c>
      <c r="E29" s="33">
        <v>2030669.44</v>
      </c>
      <c r="F29" s="33">
        <v>3421121.82</v>
      </c>
      <c r="G29" s="33">
        <v>5187334.0999999996</v>
      </c>
      <c r="H29" s="33">
        <v>5778326.8200000003</v>
      </c>
      <c r="I29" s="33">
        <v>6917965.8200000003</v>
      </c>
      <c r="J29" s="33">
        <v>7981106.1900000004</v>
      </c>
      <c r="K29" s="33">
        <v>9202441.1899999995</v>
      </c>
      <c r="L29" s="33">
        <v>10431320.189999999</v>
      </c>
      <c r="M29" s="33">
        <v>11923370.189999999</v>
      </c>
      <c r="N29" s="33">
        <v>13287192.49</v>
      </c>
      <c r="O29" s="33">
        <v>14653798.949999999</v>
      </c>
      <c r="P29" s="115">
        <v>15113622</v>
      </c>
      <c r="Q29" s="33">
        <v>1312310</v>
      </c>
      <c r="R29" s="33">
        <v>2829054</v>
      </c>
      <c r="S29" s="33">
        <v>5355199.84</v>
      </c>
      <c r="T29" s="33">
        <v>6210465.4900000002</v>
      </c>
      <c r="U29" s="35">
        <v>7428301.4900000002</v>
      </c>
      <c r="V29" s="35">
        <v>8907330.8699999992</v>
      </c>
      <c r="W29" s="35">
        <v>10960958.34</v>
      </c>
      <c r="X29" s="35">
        <v>12427755.880000001</v>
      </c>
      <c r="Y29" s="35">
        <v>14214216.380000001</v>
      </c>
      <c r="Z29" s="20">
        <v>15614546.880000001</v>
      </c>
      <c r="AA29" s="20">
        <v>17664855.780000001</v>
      </c>
      <c r="AB29" s="20">
        <v>19694523.359999999</v>
      </c>
      <c r="AC29" s="237">
        <v>19229417</v>
      </c>
      <c r="AD29" s="280">
        <v>2042982.33</v>
      </c>
      <c r="AE29" s="280">
        <v>3887303.32</v>
      </c>
      <c r="AF29" s="280">
        <v>7203582.7699999996</v>
      </c>
      <c r="AG29" s="20">
        <v>23997134.050000001</v>
      </c>
      <c r="AH29" s="20">
        <v>30274757.52</v>
      </c>
      <c r="AI29" s="294">
        <v>11843171.529999999</v>
      </c>
      <c r="AJ29" s="338">
        <v>13628638.890000001</v>
      </c>
      <c r="AK29" s="20"/>
      <c r="AL29" s="20"/>
      <c r="AM29" s="20"/>
    </row>
    <row r="30" spans="1:39" ht="15">
      <c r="A30" s="28" t="s">
        <v>80</v>
      </c>
      <c r="B30" s="29">
        <f t="shared" ref="B30:J30" si="19">B20-B21-B24</f>
        <v>3030.7829468990003</v>
      </c>
      <c r="C30" s="29">
        <f t="shared" si="19"/>
        <v>13821219</v>
      </c>
      <c r="D30" s="29">
        <f t="shared" si="19"/>
        <v>-7815834.2100000009</v>
      </c>
      <c r="E30" s="29">
        <f t="shared" si="19"/>
        <v>786778.62000000104</v>
      </c>
      <c r="F30" s="29">
        <f t="shared" si="19"/>
        <v>4193587.3699999992</v>
      </c>
      <c r="G30" s="29">
        <f t="shared" si="19"/>
        <v>5489545.2999999989</v>
      </c>
      <c r="H30" s="29">
        <f t="shared" si="19"/>
        <v>7211390.7099999972</v>
      </c>
      <c r="I30" s="29">
        <f t="shared" si="19"/>
        <v>8347121.7899999991</v>
      </c>
      <c r="J30" s="29">
        <f t="shared" si="19"/>
        <v>10247844.500000007</v>
      </c>
      <c r="K30" s="29">
        <f t="shared" ref="K30:AB30" si="20">K20-K21-K24</f>
        <v>14833428.63000001</v>
      </c>
      <c r="L30" s="29">
        <f t="shared" si="20"/>
        <v>14184503.460000008</v>
      </c>
      <c r="M30" s="29">
        <f t="shared" si="20"/>
        <v>17257977.489999995</v>
      </c>
      <c r="N30" s="29">
        <f t="shared" si="20"/>
        <v>21547237.93999999</v>
      </c>
      <c r="O30" s="29">
        <f t="shared" si="20"/>
        <v>27715222.75</v>
      </c>
      <c r="P30" s="29">
        <f t="shared" si="20"/>
        <v>17873171</v>
      </c>
      <c r="Q30" s="29">
        <f t="shared" si="20"/>
        <v>-13523773.600000001</v>
      </c>
      <c r="R30" s="29">
        <f t="shared" si="20"/>
        <v>-2189012.63</v>
      </c>
      <c r="S30" s="29">
        <f t="shared" si="20"/>
        <v>3913614.2400000021</v>
      </c>
      <c r="T30" s="29">
        <f t="shared" si="20"/>
        <v>775778</v>
      </c>
      <c r="U30" s="29">
        <f t="shared" si="20"/>
        <v>3865078.8600000031</v>
      </c>
      <c r="V30" s="29">
        <f t="shared" si="20"/>
        <v>4738550.9099999964</v>
      </c>
      <c r="W30" s="29">
        <f t="shared" si="20"/>
        <v>6552834.7500000075</v>
      </c>
      <c r="X30" s="29">
        <f t="shared" si="20"/>
        <v>12889101.039999999</v>
      </c>
      <c r="Y30" s="29">
        <f t="shared" si="20"/>
        <v>12656474.229999997</v>
      </c>
      <c r="Z30" s="29">
        <f t="shared" si="20"/>
        <v>18811608.579999998</v>
      </c>
      <c r="AA30" s="29">
        <f t="shared" si="20"/>
        <v>16721078.159999996</v>
      </c>
      <c r="AB30" s="29">
        <f t="shared" si="20"/>
        <v>30199156.839999996</v>
      </c>
      <c r="AC30" s="239">
        <f>AC20-AC21-AC24</f>
        <v>21282155</v>
      </c>
      <c r="AD30" s="279">
        <f>AD20-AD21-AD24</f>
        <v>-11255950.359999999</v>
      </c>
      <c r="AE30" s="279">
        <f t="shared" ref="AE30:AM30" si="21">AE20-AE21-AE24</f>
        <v>-5814255.200000003</v>
      </c>
      <c r="AF30" s="279">
        <f t="shared" si="21"/>
        <v>3734389.6099999994</v>
      </c>
      <c r="AG30" s="29">
        <f t="shared" si="21"/>
        <v>5392171.6299999952</v>
      </c>
      <c r="AH30" s="29">
        <f t="shared" si="21"/>
        <v>6787872.400000006</v>
      </c>
      <c r="AI30" s="29">
        <f t="shared" si="21"/>
        <v>-3092192.270000007</v>
      </c>
      <c r="AJ30" s="29">
        <f t="shared" si="21"/>
        <v>-4161064.4199999869</v>
      </c>
      <c r="AK30" s="29">
        <f t="shared" si="21"/>
        <v>0</v>
      </c>
      <c r="AL30" s="29">
        <f t="shared" si="21"/>
        <v>0</v>
      </c>
      <c r="AM30" s="29">
        <f t="shared" si="21"/>
        <v>0</v>
      </c>
    </row>
    <row r="31" spans="1:39" ht="15">
      <c r="A31" s="28" t="s">
        <v>81</v>
      </c>
      <c r="B31" s="29">
        <f t="shared" ref="B31:AB31" si="22">B32-B33</f>
        <v>0</v>
      </c>
      <c r="C31" s="116">
        <v>0</v>
      </c>
      <c r="D31" s="29">
        <f t="shared" si="22"/>
        <v>0</v>
      </c>
      <c r="E31" s="29">
        <f t="shared" si="22"/>
        <v>0</v>
      </c>
      <c r="F31" s="29">
        <f t="shared" si="22"/>
        <v>0</v>
      </c>
      <c r="G31" s="29">
        <f t="shared" si="22"/>
        <v>0</v>
      </c>
      <c r="H31" s="29">
        <f t="shared" si="22"/>
        <v>0</v>
      </c>
      <c r="I31" s="29">
        <f t="shared" si="22"/>
        <v>0</v>
      </c>
      <c r="J31" s="29">
        <f t="shared" si="22"/>
        <v>0</v>
      </c>
      <c r="K31" s="29">
        <f>K32-K33</f>
        <v>0</v>
      </c>
      <c r="L31" s="29">
        <f>L32-L33</f>
        <v>0</v>
      </c>
      <c r="M31" s="29">
        <f>M32-M33</f>
        <v>0</v>
      </c>
      <c r="N31" s="29">
        <f>N32-N33</f>
        <v>0</v>
      </c>
      <c r="O31" s="29">
        <f>O32-O33</f>
        <v>0</v>
      </c>
      <c r="P31" s="29">
        <f t="shared" si="22"/>
        <v>0</v>
      </c>
      <c r="Q31" s="29">
        <f t="shared" si="22"/>
        <v>0</v>
      </c>
      <c r="R31" s="29">
        <f t="shared" si="22"/>
        <v>0</v>
      </c>
      <c r="S31" s="29">
        <f t="shared" si="22"/>
        <v>0</v>
      </c>
      <c r="T31" s="29">
        <f t="shared" si="22"/>
        <v>0</v>
      </c>
      <c r="U31" s="29">
        <f t="shared" si="22"/>
        <v>0</v>
      </c>
      <c r="V31" s="29">
        <f t="shared" si="22"/>
        <v>0</v>
      </c>
      <c r="W31" s="29">
        <f t="shared" si="22"/>
        <v>0</v>
      </c>
      <c r="X31" s="29">
        <f t="shared" si="22"/>
        <v>0</v>
      </c>
      <c r="Y31" s="29">
        <f t="shared" si="22"/>
        <v>0</v>
      </c>
      <c r="Z31" s="29">
        <f t="shared" si="22"/>
        <v>0</v>
      </c>
      <c r="AA31" s="29">
        <f t="shared" si="22"/>
        <v>0</v>
      </c>
      <c r="AB31" s="29">
        <f t="shared" si="22"/>
        <v>0</v>
      </c>
      <c r="AC31" s="239">
        <f>AC32-AC33</f>
        <v>0</v>
      </c>
      <c r="AD31" s="279">
        <f>AD32-AD33</f>
        <v>0</v>
      </c>
      <c r="AE31" s="279">
        <f t="shared" ref="AE31:AM31" si="23">AE32-AE33</f>
        <v>0</v>
      </c>
      <c r="AF31" s="279">
        <f t="shared" si="23"/>
        <v>0</v>
      </c>
      <c r="AG31" s="29">
        <f t="shared" si="23"/>
        <v>0</v>
      </c>
      <c r="AH31" s="29">
        <f t="shared" si="23"/>
        <v>0</v>
      </c>
      <c r="AI31" s="29">
        <f t="shared" si="23"/>
        <v>0</v>
      </c>
      <c r="AJ31" s="29">
        <f t="shared" si="23"/>
        <v>0</v>
      </c>
      <c r="AK31" s="29">
        <f t="shared" si="23"/>
        <v>0</v>
      </c>
      <c r="AL31" s="29">
        <f t="shared" si="23"/>
        <v>0</v>
      </c>
      <c r="AM31" s="29">
        <f t="shared" si="23"/>
        <v>0</v>
      </c>
    </row>
    <row r="32" spans="1:39" ht="15.75">
      <c r="A32" s="30" t="s">
        <v>82</v>
      </c>
      <c r="B32" s="31"/>
      <c r="C32" s="46">
        <v>0</v>
      </c>
      <c r="D32" s="33">
        <v>0</v>
      </c>
      <c r="E32" s="33">
        <v>0</v>
      </c>
      <c r="F32" s="33">
        <v>0</v>
      </c>
      <c r="G32" s="33">
        <v>0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0</v>
      </c>
      <c r="P32" s="104"/>
      <c r="Q32" s="33">
        <v>0</v>
      </c>
      <c r="R32" s="33">
        <v>0</v>
      </c>
      <c r="S32" s="33">
        <v>0</v>
      </c>
      <c r="T32" s="33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/>
      <c r="AA32" s="20"/>
      <c r="AB32" s="20"/>
      <c r="AC32" s="237"/>
      <c r="AD32" s="280">
        <v>0</v>
      </c>
      <c r="AE32" s="280">
        <v>0</v>
      </c>
      <c r="AF32" s="280">
        <v>0</v>
      </c>
      <c r="AG32" s="20">
        <v>0</v>
      </c>
      <c r="AH32" s="20">
        <v>0</v>
      </c>
      <c r="AI32" s="291">
        <v>0</v>
      </c>
      <c r="AJ32" s="335">
        <v>0</v>
      </c>
      <c r="AK32" s="20"/>
      <c r="AL32" s="20"/>
      <c r="AM32" s="20"/>
    </row>
    <row r="33" spans="1:39" ht="15.75">
      <c r="A33" s="30" t="s">
        <v>83</v>
      </c>
      <c r="B33" s="31"/>
      <c r="C33" s="46">
        <v>0</v>
      </c>
      <c r="D33" s="33">
        <v>0</v>
      </c>
      <c r="E33" s="33">
        <v>0</v>
      </c>
      <c r="F33" s="33">
        <v>0</v>
      </c>
      <c r="G33" s="33">
        <v>0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104"/>
      <c r="Q33" s="33">
        <v>0</v>
      </c>
      <c r="R33" s="33">
        <v>0</v>
      </c>
      <c r="S33" s="33">
        <v>0</v>
      </c>
      <c r="T33" s="33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/>
      <c r="AA33" s="20"/>
      <c r="AB33" s="20"/>
      <c r="AC33" s="237"/>
      <c r="AD33" s="280">
        <v>0</v>
      </c>
      <c r="AE33" s="280">
        <v>0</v>
      </c>
      <c r="AF33" s="280">
        <v>0</v>
      </c>
      <c r="AG33" s="20">
        <v>0</v>
      </c>
      <c r="AH33" s="20">
        <v>0</v>
      </c>
      <c r="AI33" s="293">
        <v>0</v>
      </c>
      <c r="AJ33" s="337">
        <v>0</v>
      </c>
      <c r="AK33" s="20"/>
      <c r="AL33" s="20"/>
      <c r="AM33" s="20"/>
    </row>
    <row r="34" spans="1:39" ht="15">
      <c r="A34" s="117" t="s">
        <v>84</v>
      </c>
      <c r="B34" s="118">
        <f t="shared" ref="B34:AB34" si="24">B30+B31</f>
        <v>3030.7829468990003</v>
      </c>
      <c r="C34" s="118">
        <f t="shared" si="24"/>
        <v>13821219</v>
      </c>
      <c r="D34" s="118">
        <f t="shared" si="24"/>
        <v>-7815834.2100000009</v>
      </c>
      <c r="E34" s="118">
        <f t="shared" si="24"/>
        <v>786778.62000000104</v>
      </c>
      <c r="F34" s="118">
        <f t="shared" si="24"/>
        <v>4193587.3699999992</v>
      </c>
      <c r="G34" s="118">
        <f t="shared" si="24"/>
        <v>5489545.2999999989</v>
      </c>
      <c r="H34" s="118">
        <f t="shared" si="24"/>
        <v>7211390.7099999972</v>
      </c>
      <c r="I34" s="118">
        <f t="shared" si="24"/>
        <v>8347121.7899999991</v>
      </c>
      <c r="J34" s="118">
        <f t="shared" si="24"/>
        <v>10247844.500000007</v>
      </c>
      <c r="K34" s="118">
        <f t="shared" si="24"/>
        <v>14833428.63000001</v>
      </c>
      <c r="L34" s="118">
        <f t="shared" si="24"/>
        <v>14184503.460000008</v>
      </c>
      <c r="M34" s="118">
        <f t="shared" si="24"/>
        <v>17257977.489999995</v>
      </c>
      <c r="N34" s="118">
        <f t="shared" si="24"/>
        <v>21547237.93999999</v>
      </c>
      <c r="O34" s="118">
        <f t="shared" si="24"/>
        <v>27715222.75</v>
      </c>
      <c r="P34" s="118">
        <f t="shared" si="24"/>
        <v>17873171</v>
      </c>
      <c r="Q34" s="118">
        <f t="shared" si="24"/>
        <v>-13523773.600000001</v>
      </c>
      <c r="R34" s="118">
        <f t="shared" si="24"/>
        <v>-2189012.63</v>
      </c>
      <c r="S34" s="118">
        <f t="shared" si="24"/>
        <v>3913614.2400000021</v>
      </c>
      <c r="T34" s="118">
        <f t="shared" si="24"/>
        <v>775778</v>
      </c>
      <c r="U34" s="118">
        <f t="shared" si="24"/>
        <v>3865078.8600000031</v>
      </c>
      <c r="V34" s="118">
        <f t="shared" si="24"/>
        <v>4738550.9099999964</v>
      </c>
      <c r="W34" s="118">
        <f t="shared" si="24"/>
        <v>6552834.7500000075</v>
      </c>
      <c r="X34" s="118">
        <f t="shared" si="24"/>
        <v>12889101.039999999</v>
      </c>
      <c r="Y34" s="118">
        <f t="shared" si="24"/>
        <v>12656474.229999997</v>
      </c>
      <c r="Z34" s="118">
        <f t="shared" si="24"/>
        <v>18811608.579999998</v>
      </c>
      <c r="AA34" s="118">
        <f t="shared" si="24"/>
        <v>16721078.159999996</v>
      </c>
      <c r="AB34" s="118">
        <f t="shared" si="24"/>
        <v>30199156.839999996</v>
      </c>
      <c r="AC34" s="244">
        <f>AC30+AC31</f>
        <v>21282155</v>
      </c>
      <c r="AD34" s="284">
        <f>AD30+AD31</f>
        <v>-11255950.359999999</v>
      </c>
      <c r="AE34" s="284">
        <f t="shared" ref="AE34:AM34" si="25">AE30+AE31</f>
        <v>-5814255.200000003</v>
      </c>
      <c r="AF34" s="284">
        <f t="shared" si="25"/>
        <v>3734389.6099999994</v>
      </c>
      <c r="AG34" s="118">
        <f t="shared" si="25"/>
        <v>5392171.6299999952</v>
      </c>
      <c r="AH34" s="118">
        <f t="shared" si="25"/>
        <v>6787872.400000006</v>
      </c>
      <c r="AI34" s="118">
        <f t="shared" si="25"/>
        <v>-3092192.270000007</v>
      </c>
      <c r="AJ34" s="118">
        <f t="shared" si="25"/>
        <v>-4161064.4199999869</v>
      </c>
      <c r="AK34" s="118">
        <f t="shared" si="25"/>
        <v>0</v>
      </c>
      <c r="AL34" s="118">
        <f t="shared" si="25"/>
        <v>0</v>
      </c>
      <c r="AM34" s="118">
        <f t="shared" si="25"/>
        <v>0</v>
      </c>
    </row>
    <row r="35" spans="1:39" ht="15.75">
      <c r="A35" s="30" t="s">
        <v>85</v>
      </c>
      <c r="B35" s="31">
        <v>20</v>
      </c>
      <c r="C35" s="111">
        <v>72990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114">
        <v>756008</v>
      </c>
      <c r="Q35" s="33">
        <v>0</v>
      </c>
      <c r="R35" s="33">
        <v>0</v>
      </c>
      <c r="S35" s="33">
        <v>0</v>
      </c>
      <c r="T35" s="33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/>
      <c r="AA35" s="20"/>
      <c r="AB35" s="20"/>
      <c r="AC35" s="237">
        <v>784018</v>
      </c>
      <c r="AD35" s="280">
        <v>0</v>
      </c>
      <c r="AE35" s="280">
        <v>0</v>
      </c>
      <c r="AF35" s="280">
        <v>0</v>
      </c>
      <c r="AG35" s="20">
        <v>364891.8</v>
      </c>
      <c r="AH35" s="20">
        <v>490895.7</v>
      </c>
      <c r="AI35" s="291">
        <v>0</v>
      </c>
      <c r="AJ35" s="20">
        <v>0</v>
      </c>
      <c r="AK35" s="20"/>
      <c r="AL35" s="20"/>
      <c r="AM35" s="20"/>
    </row>
    <row r="36" spans="1:39" ht="30">
      <c r="A36" s="28" t="s">
        <v>86</v>
      </c>
      <c r="B36" s="29">
        <f t="shared" ref="B36:AB36" si="26">B34-B35</f>
        <v>3010.7829468990003</v>
      </c>
      <c r="C36" s="29">
        <f t="shared" si="26"/>
        <v>13748229</v>
      </c>
      <c r="D36" s="29">
        <f t="shared" si="26"/>
        <v>-7815834.2100000009</v>
      </c>
      <c r="E36" s="29">
        <f t="shared" si="26"/>
        <v>786778.62000000104</v>
      </c>
      <c r="F36" s="29">
        <f t="shared" si="26"/>
        <v>4193587.3699999992</v>
      </c>
      <c r="G36" s="29">
        <f t="shared" si="26"/>
        <v>5489545.2999999989</v>
      </c>
      <c r="H36" s="29">
        <f t="shared" si="26"/>
        <v>7211390.7099999972</v>
      </c>
      <c r="I36" s="29">
        <f t="shared" si="26"/>
        <v>8347121.7899999991</v>
      </c>
      <c r="J36" s="29">
        <f t="shared" si="26"/>
        <v>10247844.500000007</v>
      </c>
      <c r="K36" s="29">
        <f t="shared" si="26"/>
        <v>14833428.63000001</v>
      </c>
      <c r="L36" s="29">
        <f t="shared" si="26"/>
        <v>14184503.460000008</v>
      </c>
      <c r="M36" s="29">
        <f t="shared" si="26"/>
        <v>17257977.489999995</v>
      </c>
      <c r="N36" s="29">
        <f t="shared" si="26"/>
        <v>21547237.93999999</v>
      </c>
      <c r="O36" s="29">
        <f t="shared" si="26"/>
        <v>27715222.75</v>
      </c>
      <c r="P36" s="29">
        <f t="shared" si="26"/>
        <v>17117163</v>
      </c>
      <c r="Q36" s="29">
        <f t="shared" si="26"/>
        <v>-13523773.600000001</v>
      </c>
      <c r="R36" s="29">
        <f t="shared" si="26"/>
        <v>-2189012.63</v>
      </c>
      <c r="S36" s="29">
        <f t="shared" si="26"/>
        <v>3913614.2400000021</v>
      </c>
      <c r="T36" s="29">
        <f t="shared" si="26"/>
        <v>775778</v>
      </c>
      <c r="U36" s="29">
        <f t="shared" si="26"/>
        <v>3865078.8600000031</v>
      </c>
      <c r="V36" s="29">
        <f t="shared" si="26"/>
        <v>4738550.9099999964</v>
      </c>
      <c r="W36" s="29">
        <f t="shared" si="26"/>
        <v>6552834.7500000075</v>
      </c>
      <c r="X36" s="29">
        <f t="shared" si="26"/>
        <v>12889101.039999999</v>
      </c>
      <c r="Y36" s="29">
        <f t="shared" si="26"/>
        <v>12656474.229999997</v>
      </c>
      <c r="Z36" s="29">
        <f t="shared" si="26"/>
        <v>18811608.579999998</v>
      </c>
      <c r="AA36" s="29">
        <f t="shared" si="26"/>
        <v>16721078.159999996</v>
      </c>
      <c r="AB36" s="29">
        <f t="shared" si="26"/>
        <v>30199156.839999996</v>
      </c>
      <c r="AC36" s="239">
        <f>AC34-AC35</f>
        <v>20498137</v>
      </c>
      <c r="AD36" s="279">
        <f>AD34-AD35</f>
        <v>-11255950.359999999</v>
      </c>
      <c r="AE36" s="279">
        <f t="shared" ref="AE36:AM36" si="27">AE34-AE35</f>
        <v>-5814255.200000003</v>
      </c>
      <c r="AF36" s="279">
        <f t="shared" si="27"/>
        <v>3734389.6099999994</v>
      </c>
      <c r="AG36" s="29">
        <f t="shared" si="27"/>
        <v>5027279.8299999954</v>
      </c>
      <c r="AH36" s="29">
        <f t="shared" si="27"/>
        <v>6296976.7000000058</v>
      </c>
      <c r="AI36" s="29">
        <f t="shared" si="27"/>
        <v>-3092192.270000007</v>
      </c>
      <c r="AJ36" s="29">
        <f t="shared" si="27"/>
        <v>-4161064.4199999869</v>
      </c>
      <c r="AK36" s="29">
        <f t="shared" si="27"/>
        <v>0</v>
      </c>
      <c r="AL36" s="29">
        <f t="shared" si="27"/>
        <v>0</v>
      </c>
      <c r="AM36" s="29">
        <f t="shared" si="27"/>
        <v>0</v>
      </c>
    </row>
    <row r="37" spans="1:39" ht="15.75">
      <c r="A37" s="30" t="s">
        <v>87</v>
      </c>
      <c r="B37" s="31"/>
      <c r="C37" s="31"/>
      <c r="D37" s="33">
        <v>0</v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104"/>
      <c r="Q37" s="33">
        <v>0</v>
      </c>
      <c r="R37" s="33">
        <v>0</v>
      </c>
      <c r="S37" s="33">
        <v>0</v>
      </c>
      <c r="T37" s="33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/>
      <c r="AA37" s="20"/>
      <c r="AB37" s="20"/>
      <c r="AC37" s="237"/>
      <c r="AD37" s="280">
        <v>0</v>
      </c>
      <c r="AE37" s="280">
        <v>0</v>
      </c>
      <c r="AF37" s="280">
        <v>0</v>
      </c>
      <c r="AG37" s="286">
        <v>0</v>
      </c>
      <c r="AH37" s="286">
        <v>0</v>
      </c>
      <c r="AI37" s="291">
        <v>0</v>
      </c>
      <c r="AJ37" s="20">
        <v>0</v>
      </c>
      <c r="AK37" s="20"/>
      <c r="AL37" s="20"/>
      <c r="AM37" s="20"/>
    </row>
    <row r="38" spans="1:39" ht="15">
      <c r="A38" s="28" t="s">
        <v>88</v>
      </c>
      <c r="B38" s="29">
        <f t="shared" ref="B38:AB38" si="28">B36-B37</f>
        <v>3010.7829468990003</v>
      </c>
      <c r="C38" s="29">
        <f t="shared" si="28"/>
        <v>13748229</v>
      </c>
      <c r="D38" s="29">
        <f t="shared" si="28"/>
        <v>-7815834.2100000009</v>
      </c>
      <c r="E38" s="29">
        <f t="shared" si="28"/>
        <v>786778.62000000104</v>
      </c>
      <c r="F38" s="29">
        <f t="shared" si="28"/>
        <v>4193587.3699999992</v>
      </c>
      <c r="G38" s="29">
        <f t="shared" si="28"/>
        <v>5489545.2999999989</v>
      </c>
      <c r="H38" s="29">
        <f t="shared" si="28"/>
        <v>7211390.7099999972</v>
      </c>
      <c r="I38" s="29">
        <f t="shared" si="28"/>
        <v>8347121.7899999991</v>
      </c>
      <c r="J38" s="29">
        <f t="shared" si="28"/>
        <v>10247844.500000007</v>
      </c>
      <c r="K38" s="29">
        <f t="shared" si="28"/>
        <v>14833428.63000001</v>
      </c>
      <c r="L38" s="29">
        <f t="shared" si="28"/>
        <v>14184503.460000008</v>
      </c>
      <c r="M38" s="29">
        <f t="shared" si="28"/>
        <v>17257977.489999995</v>
      </c>
      <c r="N38" s="29">
        <f t="shared" si="28"/>
        <v>21547237.93999999</v>
      </c>
      <c r="O38" s="29">
        <f t="shared" si="28"/>
        <v>27715222.75</v>
      </c>
      <c r="P38" s="29">
        <f t="shared" si="28"/>
        <v>17117163</v>
      </c>
      <c r="Q38" s="29">
        <f t="shared" si="28"/>
        <v>-13523773.600000001</v>
      </c>
      <c r="R38" s="29">
        <f t="shared" si="28"/>
        <v>-2189012.63</v>
      </c>
      <c r="S38" s="29">
        <f t="shared" si="28"/>
        <v>3913614.2400000021</v>
      </c>
      <c r="T38" s="29">
        <f t="shared" si="28"/>
        <v>775778</v>
      </c>
      <c r="U38" s="29">
        <f t="shared" si="28"/>
        <v>3865078.8600000031</v>
      </c>
      <c r="V38" s="29">
        <f t="shared" si="28"/>
        <v>4738550.9099999964</v>
      </c>
      <c r="W38" s="29">
        <f t="shared" si="28"/>
        <v>6552834.7500000075</v>
      </c>
      <c r="X38" s="29">
        <f t="shared" si="28"/>
        <v>12889101.039999999</v>
      </c>
      <c r="Y38" s="29">
        <f t="shared" si="28"/>
        <v>12656474.229999997</v>
      </c>
      <c r="Z38" s="29">
        <f t="shared" si="28"/>
        <v>18811608.579999998</v>
      </c>
      <c r="AA38" s="29">
        <f t="shared" si="28"/>
        <v>16721078.159999996</v>
      </c>
      <c r="AB38" s="29">
        <f t="shared" si="28"/>
        <v>30199156.839999996</v>
      </c>
      <c r="AC38" s="239">
        <f>AC36-AC37</f>
        <v>20498137</v>
      </c>
      <c r="AD38" s="279">
        <f>AD36-AD37</f>
        <v>-11255950.359999999</v>
      </c>
      <c r="AE38" s="279">
        <f t="shared" ref="AE38:AM38" si="29">AE36-AE37</f>
        <v>-5814255.200000003</v>
      </c>
      <c r="AF38" s="279">
        <f t="shared" si="29"/>
        <v>3734389.6099999994</v>
      </c>
      <c r="AG38" s="29">
        <f t="shared" si="29"/>
        <v>5027279.8299999954</v>
      </c>
      <c r="AH38" s="29">
        <f t="shared" si="29"/>
        <v>6296976.7000000058</v>
      </c>
      <c r="AI38" s="29">
        <f t="shared" si="29"/>
        <v>-3092192.270000007</v>
      </c>
      <c r="AJ38" s="29">
        <f t="shared" si="29"/>
        <v>-4161064.4199999869</v>
      </c>
      <c r="AK38" s="29">
        <f t="shared" si="29"/>
        <v>0</v>
      </c>
      <c r="AL38" s="29">
        <f t="shared" si="29"/>
        <v>0</v>
      </c>
      <c r="AM38" s="29">
        <f t="shared" si="29"/>
        <v>0</v>
      </c>
    </row>
    <row r="39" spans="1:39" ht="15.6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51"/>
      <c r="R39" s="51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37"/>
      <c r="AD39" s="280"/>
      <c r="AE39" s="280"/>
      <c r="AF39" s="280"/>
      <c r="AG39" s="20"/>
      <c r="AH39" s="20"/>
      <c r="AI39" s="20"/>
      <c r="AJ39" s="20"/>
      <c r="AK39" s="20"/>
      <c r="AL39" s="20"/>
      <c r="AM39" s="20"/>
    </row>
    <row r="40" spans="1:39" s="2" customFormat="1" ht="15.6">
      <c r="A40" s="39" t="s">
        <v>89</v>
      </c>
      <c r="B40" s="119">
        <f>B13+B24</f>
        <v>11568.464599999999</v>
      </c>
      <c r="C40" s="119">
        <f>C13+C24</f>
        <v>40547936</v>
      </c>
      <c r="D40" s="119">
        <f>D13+D24</f>
        <v>2580677.1199999996</v>
      </c>
      <c r="E40" s="119">
        <f>E13+E24</f>
        <v>7323018.7599999988</v>
      </c>
      <c r="F40" s="119">
        <f>F13+F24</f>
        <v>11538568.470000001</v>
      </c>
      <c r="G40" s="119">
        <f t="shared" ref="G40:N40" si="30">G13+G24</f>
        <v>15546311.17</v>
      </c>
      <c r="H40" s="119">
        <f t="shared" si="30"/>
        <v>18779709.060000002</v>
      </c>
      <c r="I40" s="119">
        <f t="shared" si="30"/>
        <v>22411242.079999998</v>
      </c>
      <c r="J40" s="119">
        <f t="shared" si="30"/>
        <v>26110088.719999999</v>
      </c>
      <c r="K40" s="119">
        <f t="shared" si="30"/>
        <v>29354470.199999996</v>
      </c>
      <c r="L40" s="119">
        <f t="shared" si="30"/>
        <v>33206797.550000001</v>
      </c>
      <c r="M40" s="119">
        <f t="shared" si="30"/>
        <v>37555370.259999998</v>
      </c>
      <c r="N40" s="119">
        <f t="shared" si="30"/>
        <v>42495843.25</v>
      </c>
      <c r="O40" s="119">
        <f t="shared" ref="O40:T40" si="31">O13+O24</f>
        <v>48289886.719999999</v>
      </c>
      <c r="P40" s="119">
        <f>P13+P24+P35+P22</f>
        <v>69866581</v>
      </c>
      <c r="Q40" s="119">
        <f t="shared" si="31"/>
        <v>5175164.68</v>
      </c>
      <c r="R40" s="119">
        <f t="shared" si="31"/>
        <v>12251315.449999999</v>
      </c>
      <c r="S40" s="119">
        <f t="shared" si="31"/>
        <v>18551357.219999999</v>
      </c>
      <c r="T40" s="119">
        <f t="shared" si="31"/>
        <v>24016415.52</v>
      </c>
      <c r="U40" s="119">
        <f t="shared" ref="U40:AD40" si="32">U13+U24</f>
        <v>28975228.119999997</v>
      </c>
      <c r="V40" s="119">
        <f t="shared" si="32"/>
        <v>35276096.640000001</v>
      </c>
      <c r="W40" s="119">
        <f t="shared" si="32"/>
        <v>42717530.899999999</v>
      </c>
      <c r="X40" s="119">
        <f t="shared" si="32"/>
        <v>48190867.75</v>
      </c>
      <c r="Y40" s="119">
        <f t="shared" si="32"/>
        <v>54548645.850000001</v>
      </c>
      <c r="Z40" s="119">
        <f t="shared" si="32"/>
        <v>60192346.680000007</v>
      </c>
      <c r="AA40" s="119">
        <f t="shared" si="32"/>
        <v>66912004.240000002</v>
      </c>
      <c r="AB40" s="119">
        <f t="shared" si="32"/>
        <v>74596573.109999999</v>
      </c>
      <c r="AC40" s="119">
        <f t="shared" si="32"/>
        <v>81021851</v>
      </c>
      <c r="AD40" s="281">
        <f t="shared" si="32"/>
        <v>6073743.9200000009</v>
      </c>
      <c r="AE40" s="281">
        <f t="shared" ref="AE40:AM40" si="33">AE13+AE24</f>
        <v>13231396.41</v>
      </c>
      <c r="AF40" s="281">
        <f t="shared" si="33"/>
        <v>21859206.550000001</v>
      </c>
      <c r="AG40" s="119">
        <f t="shared" si="33"/>
        <v>67915054.5</v>
      </c>
      <c r="AH40" s="119">
        <f t="shared" si="33"/>
        <v>85459923.019999996</v>
      </c>
      <c r="AI40" s="119">
        <f t="shared" si="33"/>
        <v>41973371.990000002</v>
      </c>
      <c r="AJ40" s="119">
        <f t="shared" si="33"/>
        <v>48053302.989999995</v>
      </c>
      <c r="AK40" s="119">
        <f t="shared" si="33"/>
        <v>0</v>
      </c>
      <c r="AL40" s="119">
        <f t="shared" si="33"/>
        <v>0</v>
      </c>
      <c r="AM40" s="119">
        <f t="shared" si="33"/>
        <v>0</v>
      </c>
    </row>
    <row r="41" spans="1:39" ht="15.6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80"/>
      <c r="AE41" s="285"/>
      <c r="AF41" s="285"/>
    </row>
    <row r="42" spans="1:39" ht="15.6">
      <c r="A42" s="20"/>
      <c r="B42" s="20"/>
      <c r="C42" s="20"/>
      <c r="D42" s="20"/>
      <c r="E42" s="20"/>
      <c r="F42" s="51"/>
      <c r="G42" s="51"/>
      <c r="H42" s="51"/>
      <c r="I42" s="51"/>
      <c r="J42" s="51">
        <f t="shared" ref="J42:R42" si="34">J40-I40</f>
        <v>3698846.6400000006</v>
      </c>
      <c r="K42" s="51">
        <f t="shared" si="34"/>
        <v>3244381.4799999967</v>
      </c>
      <c r="L42" s="51">
        <f t="shared" si="34"/>
        <v>3852327.3500000052</v>
      </c>
      <c r="M42" s="51">
        <f t="shared" si="34"/>
        <v>4348572.7099999972</v>
      </c>
      <c r="N42" s="51">
        <f t="shared" si="34"/>
        <v>4940472.9900000021</v>
      </c>
      <c r="O42" s="51">
        <f t="shared" si="34"/>
        <v>5794043.4699999988</v>
      </c>
      <c r="P42" s="51">
        <f t="shared" si="34"/>
        <v>21576694.280000001</v>
      </c>
      <c r="Q42" s="51">
        <f t="shared" si="34"/>
        <v>-64691416.32</v>
      </c>
      <c r="R42" s="51">
        <f t="shared" si="34"/>
        <v>7076150.7699999996</v>
      </c>
      <c r="S42" s="51">
        <f>S40-R40</f>
        <v>6300041.7699999996</v>
      </c>
      <c r="T42" s="51">
        <f>T40-S40</f>
        <v>5465058.3000000007</v>
      </c>
      <c r="U42" s="51">
        <f t="shared" ref="U42:AD42" si="35">U40-T40</f>
        <v>4958812.5999999978</v>
      </c>
      <c r="V42" s="51">
        <f t="shared" si="35"/>
        <v>6300868.5200000033</v>
      </c>
      <c r="W42" s="51">
        <f t="shared" si="35"/>
        <v>7441434.2599999979</v>
      </c>
      <c r="X42" s="51">
        <f t="shared" si="35"/>
        <v>5473336.8500000015</v>
      </c>
      <c r="Y42" s="51">
        <f t="shared" si="35"/>
        <v>6357778.1000000015</v>
      </c>
      <c r="Z42" s="51">
        <f t="shared" si="35"/>
        <v>5643700.8300000057</v>
      </c>
      <c r="AA42" s="51">
        <f t="shared" si="35"/>
        <v>6719657.5599999949</v>
      </c>
      <c r="AB42" s="51">
        <f t="shared" si="35"/>
        <v>7684568.8699999973</v>
      </c>
      <c r="AC42" s="51">
        <f t="shared" si="35"/>
        <v>6425277.8900000006</v>
      </c>
      <c r="AD42" s="280">
        <f t="shared" si="35"/>
        <v>-74948107.079999998</v>
      </c>
      <c r="AE42" s="285"/>
      <c r="AF42" s="285"/>
    </row>
    <row r="43" spans="1:39" ht="15.6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51"/>
      <c r="L43" s="51"/>
      <c r="M43" s="51"/>
      <c r="N43" s="51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37"/>
      <c r="AD43" s="20"/>
    </row>
    <row r="44" spans="1:39" ht="15.6">
      <c r="A44" s="20"/>
      <c r="B44" s="20"/>
      <c r="C44" s="20"/>
      <c r="D44" s="20"/>
      <c r="E44" s="20"/>
      <c r="F44" s="20"/>
      <c r="G44" s="20"/>
      <c r="H44" s="20"/>
      <c r="I44" s="20"/>
      <c r="J44" s="35"/>
      <c r="K44" s="35"/>
      <c r="L44" s="35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37"/>
      <c r="AD44" s="20"/>
    </row>
  </sheetData>
  <mergeCells count="1">
    <mergeCell ref="U1:A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Q50"/>
  <sheetViews>
    <sheetView topLeftCell="A37" workbookViewId="0">
      <pane xSplit="1" topLeftCell="AG1" activePane="topRight" state="frozen"/>
      <selection pane="topRight" activeCell="AL16" sqref="AL16"/>
    </sheetView>
  </sheetViews>
  <sheetFormatPr defaultRowHeight="14.45"/>
  <cols>
    <col min="1" max="1" width="9.42578125" bestFit="1" customWidth="1"/>
    <col min="2" max="2" width="35.5703125" bestFit="1" customWidth="1"/>
    <col min="3" max="4" width="15.5703125" bestFit="1" customWidth="1"/>
    <col min="5" max="5" width="16.140625" hidden="1" customWidth="1"/>
    <col min="6" max="6" width="15.5703125" hidden="1" customWidth="1"/>
    <col min="7" max="16" width="16.140625" hidden="1" customWidth="1"/>
    <col min="17" max="18" width="16.140625" bestFit="1" customWidth="1"/>
    <col min="19" max="32" width="16.140625" customWidth="1"/>
    <col min="33" max="35" width="16" bestFit="1" customWidth="1"/>
  </cols>
  <sheetData>
    <row r="1" spans="1:43" ht="15.6">
      <c r="A1" s="154"/>
      <c r="B1" s="155" t="s">
        <v>90</v>
      </c>
      <c r="C1" s="39"/>
      <c r="D1" s="39"/>
      <c r="E1" s="3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</row>
    <row r="2" spans="1:43" ht="15.6">
      <c r="A2" s="154"/>
      <c r="B2" s="156" t="s">
        <v>91</v>
      </c>
      <c r="C2" s="157" t="s">
        <v>2</v>
      </c>
      <c r="D2" s="158" t="s">
        <v>3</v>
      </c>
      <c r="E2" s="159">
        <v>44197</v>
      </c>
      <c r="F2" s="159">
        <v>44229</v>
      </c>
      <c r="G2" s="159">
        <v>44258</v>
      </c>
      <c r="H2" s="159">
        <v>44290</v>
      </c>
      <c r="I2" s="159">
        <v>44321</v>
      </c>
      <c r="J2" s="159">
        <v>44353</v>
      </c>
      <c r="K2" s="159">
        <v>44384</v>
      </c>
      <c r="L2" s="159">
        <v>44416</v>
      </c>
      <c r="M2" s="159">
        <v>44448</v>
      </c>
      <c r="N2" s="159">
        <v>44479</v>
      </c>
      <c r="O2" s="159">
        <v>44511</v>
      </c>
      <c r="P2" s="159">
        <v>44542</v>
      </c>
      <c r="Q2" s="159" t="s">
        <v>4</v>
      </c>
      <c r="R2" s="159">
        <v>44562</v>
      </c>
      <c r="S2" s="160">
        <v>44593</v>
      </c>
      <c r="T2" s="160">
        <v>44621</v>
      </c>
      <c r="U2" s="160">
        <v>44652</v>
      </c>
      <c r="V2" s="160">
        <v>44682</v>
      </c>
      <c r="W2" s="160">
        <v>44713</v>
      </c>
      <c r="X2" s="160">
        <v>44743</v>
      </c>
      <c r="Y2" s="160">
        <v>44774</v>
      </c>
      <c r="Z2" s="160">
        <v>44805</v>
      </c>
      <c r="AA2" s="160">
        <v>44835</v>
      </c>
      <c r="AB2" s="160">
        <v>44866</v>
      </c>
      <c r="AC2" s="160">
        <v>44896</v>
      </c>
      <c r="AD2" s="160" t="s">
        <v>92</v>
      </c>
      <c r="AE2" s="160">
        <v>44927</v>
      </c>
      <c r="AF2" s="160">
        <v>44958</v>
      </c>
      <c r="AG2" s="160">
        <v>44986</v>
      </c>
      <c r="AH2" s="160">
        <v>45017</v>
      </c>
      <c r="AI2" s="160">
        <v>45047</v>
      </c>
      <c r="AJ2" s="160">
        <v>45078</v>
      </c>
      <c r="AK2" s="160">
        <v>45108</v>
      </c>
      <c r="AL2" s="160">
        <v>45139</v>
      </c>
      <c r="AM2" s="160">
        <v>45170</v>
      </c>
      <c r="AN2" s="160">
        <v>45200</v>
      </c>
      <c r="AO2" s="160">
        <v>45231</v>
      </c>
      <c r="AP2" s="160">
        <v>45261</v>
      </c>
    </row>
    <row r="3" spans="1:43" ht="15.6">
      <c r="A3" s="161">
        <v>1</v>
      </c>
      <c r="B3" s="161" t="s">
        <v>93</v>
      </c>
      <c r="C3" s="161"/>
      <c r="D3" s="161"/>
      <c r="E3" s="161"/>
      <c r="F3" s="162"/>
      <c r="G3" s="162"/>
      <c r="H3" s="162"/>
      <c r="I3" s="162"/>
      <c r="J3" s="162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</row>
    <row r="4" spans="1:43" ht="15.6">
      <c r="A4" s="161">
        <v>2</v>
      </c>
      <c r="B4" s="161" t="s">
        <v>29</v>
      </c>
      <c r="C4" s="163">
        <f>'Evolutive SFP'!B28</f>
        <v>151015729</v>
      </c>
      <c r="D4" s="163">
        <f>'Evolutive SFP'!C28</f>
        <v>425369462</v>
      </c>
      <c r="E4" s="163">
        <f>'Evolutive SFP'!D28</f>
        <v>423438359.28999996</v>
      </c>
      <c r="F4" s="163">
        <f>'Evolutive SFP'!E28</f>
        <v>426057282.19999999</v>
      </c>
      <c r="G4" s="163">
        <f>'Evolutive SFP'!F28</f>
        <v>439774107.59999996</v>
      </c>
      <c r="H4" s="163">
        <f>'Evolutive SFP'!G28</f>
        <v>451668968.45999998</v>
      </c>
      <c r="I4" s="163">
        <f>'Evolutive SFP'!H28</f>
        <v>459309839.56999993</v>
      </c>
      <c r="J4" s="163">
        <f>'Evolutive SFP'!I28</f>
        <v>466867425.75999999</v>
      </c>
      <c r="K4" s="163">
        <f>'Evolutive SFP'!J28</f>
        <v>474534980.83000004</v>
      </c>
      <c r="L4" s="163">
        <f>'Evolutive SFP'!K28</f>
        <v>479340864.43000001</v>
      </c>
      <c r="M4" s="163">
        <f>'Evolutive SFP'!L28</f>
        <v>508485503.28999996</v>
      </c>
      <c r="N4" s="163">
        <f>'Evolutive SFP'!M28</f>
        <v>513439091.15999997</v>
      </c>
      <c r="O4" s="163">
        <f>'Evolutive SFP'!N28</f>
        <v>524625994.82999998</v>
      </c>
      <c r="P4" s="163">
        <f>'Evolutive SFP'!O28</f>
        <v>535756656.36000001</v>
      </c>
      <c r="Q4" s="163">
        <f>'Evolutive SFP'!P28</f>
        <v>531818874</v>
      </c>
      <c r="R4" s="163">
        <f>'Evolutive SFP'!Q28</f>
        <v>542192643.06999993</v>
      </c>
      <c r="S4" s="163">
        <f>'Evolutive SFP'!R28</f>
        <v>564386869.10000002</v>
      </c>
      <c r="T4" s="163">
        <f>'Evolutive SFP'!S28</f>
        <v>564285777.74000001</v>
      </c>
      <c r="U4" s="163">
        <f>'Evolutive SFP'!T28</f>
        <v>561198944.31000006</v>
      </c>
      <c r="V4" s="163">
        <f>'Evolutive SFP'!U28</f>
        <v>594818184.23000014</v>
      </c>
      <c r="W4" s="163">
        <f>'Evolutive SFP'!V28</f>
        <v>632904895.24000001</v>
      </c>
      <c r="X4" s="163">
        <f>'Evolutive SFP'!W28</f>
        <v>629524901.13000011</v>
      </c>
      <c r="Y4" s="163">
        <f>'Evolutive SFP'!X28</f>
        <v>628378230.5</v>
      </c>
      <c r="Z4" s="163">
        <f>'Evolutive SFP'!Y28</f>
        <v>650950562.48000002</v>
      </c>
      <c r="AA4" s="163">
        <f>'Evolutive SFP'!Z28</f>
        <v>654140211.75999999</v>
      </c>
      <c r="AB4" s="163">
        <f>'Evolutive SFP'!AA28</f>
        <v>677550813.28999996</v>
      </c>
      <c r="AC4" s="163">
        <f>'Evolutive SFP'!AB28</f>
        <v>668378177.28999996</v>
      </c>
      <c r="AD4" s="163">
        <f>'Evolutive SFP'!AC28</f>
        <v>665977217</v>
      </c>
      <c r="AE4" s="163">
        <f>'Evolutive SFP'!AD28</f>
        <v>665898642.78000009</v>
      </c>
      <c r="AF4" s="163">
        <f>'Evolutive SFP'!AE28</f>
        <v>660486223.82000005</v>
      </c>
      <c r="AG4" s="163">
        <f>'Evolutive SFP'!AF28</f>
        <v>672974495.31999993</v>
      </c>
      <c r="AH4" s="163">
        <f>'Evolutive SFP'!AG28</f>
        <v>677288682.87</v>
      </c>
      <c r="AI4" s="163">
        <f>'Evolutive SFP'!AH28</f>
        <v>686178551.24000001</v>
      </c>
      <c r="AJ4" s="163">
        <f>'Evolutive SFP'!AI28</f>
        <v>684504055.22000003</v>
      </c>
      <c r="AK4" s="163">
        <f>'Evolutive SFP'!AJ28</f>
        <v>691075534.86000001</v>
      </c>
      <c r="AL4" s="163">
        <f>'Evolutive SFP'!AK28</f>
        <v>0</v>
      </c>
      <c r="AM4" s="163">
        <f>'Evolutive SFP'!AL28</f>
        <v>0</v>
      </c>
      <c r="AN4" s="163">
        <f>'Evolutive SFP'!AM28</f>
        <v>0</v>
      </c>
      <c r="AO4" s="163">
        <f>'Evolutive SFP'!AN28</f>
        <v>0</v>
      </c>
      <c r="AP4" s="163">
        <f>'Evolutive SFP'!AO28</f>
        <v>0</v>
      </c>
      <c r="AQ4" s="163">
        <f>'Evolutive SFP'!AP28</f>
        <v>0</v>
      </c>
    </row>
    <row r="5" spans="1:43" ht="15.6">
      <c r="A5" s="161">
        <v>3</v>
      </c>
      <c r="B5" s="161" t="s">
        <v>94</v>
      </c>
      <c r="C5" s="163">
        <f>'Evolutive SFP'!B32</f>
        <v>128604214</v>
      </c>
      <c r="D5" s="163">
        <f>'Evolutive SFP'!C32</f>
        <v>298782622</v>
      </c>
      <c r="E5" s="163">
        <f>'Evolutive SFP'!D32</f>
        <v>295522464.19</v>
      </c>
      <c r="F5" s="163">
        <f>'Evolutive SFP'!E32</f>
        <v>298768461.56</v>
      </c>
      <c r="G5" s="163">
        <f>'Evolutive SFP'!F32</f>
        <v>318960734.68000001</v>
      </c>
      <c r="H5" s="163">
        <f>'Evolutive SFP'!G32</f>
        <v>329143307.75</v>
      </c>
      <c r="I5" s="163">
        <f>'Evolutive SFP'!H32</f>
        <v>335066216.87</v>
      </c>
      <c r="J5" s="163">
        <f>'Evolutive SFP'!I32</f>
        <v>341984789.69</v>
      </c>
      <c r="K5" s="163">
        <f>'Evolutive SFP'!J32</f>
        <v>348032280.64999998</v>
      </c>
      <c r="L5" s="163">
        <f>'Evolutive SFP'!K32</f>
        <v>348961062.72000003</v>
      </c>
      <c r="M5" s="163">
        <f>'Evolutive SFP'!L32</f>
        <v>364326803.99000001</v>
      </c>
      <c r="N5" s="163">
        <f>'Evolutive SFP'!M32</f>
        <v>366220097.13999999</v>
      </c>
      <c r="O5" s="163">
        <f>'Evolutive SFP'!N32</f>
        <v>375355017.25</v>
      </c>
      <c r="P5" s="163">
        <f>'Evolutive SFP'!O32</f>
        <v>381429144.44999999</v>
      </c>
      <c r="Q5" s="163">
        <f>'Evolutive SFP'!P32</f>
        <v>381429144</v>
      </c>
      <c r="R5" s="163">
        <f>'Evolutive SFP'!Q32</f>
        <v>375844372.39999998</v>
      </c>
      <c r="S5" s="163">
        <f>'Evolutive SFP'!R32</f>
        <v>402812538.00999999</v>
      </c>
      <c r="T5" s="163">
        <f>'Evolutive SFP'!S32</f>
        <v>409634395.39000005</v>
      </c>
      <c r="U5" s="163">
        <f>'Evolutive SFP'!T32</f>
        <v>412268065.63999999</v>
      </c>
      <c r="V5" s="163">
        <f>'Evolutive SFP'!U32</f>
        <v>444097821.24000001</v>
      </c>
      <c r="W5" s="163">
        <f>'Evolutive SFP'!V32</f>
        <v>447375048.31</v>
      </c>
      <c r="X5" s="163">
        <f>'Evolutive SFP'!W32</f>
        <v>441807950.20999998</v>
      </c>
      <c r="Y5" s="163">
        <f>'Evolutive SFP'!X32</f>
        <v>434198005.26999998</v>
      </c>
      <c r="Z5" s="163">
        <f>'Evolutive SFP'!Y32</f>
        <v>456714050.51999998</v>
      </c>
      <c r="AA5" s="163">
        <f>'Evolutive SFP'!Z32</f>
        <v>450969190.86000001</v>
      </c>
      <c r="AB5" s="163">
        <f>'Evolutive SFP'!AA32</f>
        <v>480203992.65999997</v>
      </c>
      <c r="AC5" s="163">
        <f>'Evolutive SFP'!AB32</f>
        <v>446531871.91000003</v>
      </c>
      <c r="AD5" s="163">
        <f>'Evolutive SFP'!AC32</f>
        <v>446531872</v>
      </c>
      <c r="AE5" s="163">
        <f>'Evolutive SFP'!AD32</f>
        <v>442938206.88</v>
      </c>
      <c r="AF5" s="163">
        <f>'Evolutive SFP'!AE32</f>
        <v>440826226.49000001</v>
      </c>
      <c r="AG5" s="163">
        <f>'Evolutive SFP'!AF32</f>
        <v>453359167.55000001</v>
      </c>
      <c r="AH5" s="163">
        <f>'Evolutive SFP'!AG32</f>
        <v>463262477.34000003</v>
      </c>
      <c r="AI5" s="163">
        <f>'Evolutive SFP'!AH32</f>
        <v>472981277.93000001</v>
      </c>
      <c r="AJ5" s="163">
        <f>'Evolutive SFP'!AI32</f>
        <v>473366357.23000002</v>
      </c>
      <c r="AK5" s="163">
        <f>'Evolutive SFP'!AJ32</f>
        <v>481002925.88</v>
      </c>
      <c r="AL5" s="163">
        <f>'Evolutive SFP'!AK32</f>
        <v>0</v>
      </c>
      <c r="AM5" s="163">
        <f>'Evolutive SFP'!AL32</f>
        <v>0</v>
      </c>
      <c r="AN5" s="163">
        <f>'Evolutive SFP'!AM32</f>
        <v>0</v>
      </c>
      <c r="AO5" s="163">
        <f>'Evolutive SFP'!AN32</f>
        <v>0</v>
      </c>
      <c r="AP5" s="163">
        <f>'Evolutive SFP'!AO32</f>
        <v>0</v>
      </c>
      <c r="AQ5" s="163">
        <f>'Evolutive SFP'!AP32</f>
        <v>0</v>
      </c>
    </row>
    <row r="6" spans="1:43" ht="15.6">
      <c r="A6" s="161">
        <v>3.1</v>
      </c>
      <c r="B6" s="164" t="s">
        <v>95</v>
      </c>
      <c r="C6" s="163">
        <f>'Evolutive SFP'!B31</f>
        <v>112140909</v>
      </c>
      <c r="D6" s="163">
        <f>'Evolutive SFP'!C31</f>
        <v>228582666</v>
      </c>
      <c r="E6" s="163">
        <f>'Evolutive SFP'!D31</f>
        <v>235271833.81</v>
      </c>
      <c r="F6" s="163">
        <f>'Evolutive SFP'!E31</f>
        <v>238959639.37</v>
      </c>
      <c r="G6" s="163">
        <f>'Evolutive SFP'!F31</f>
        <v>246605960.97999999</v>
      </c>
      <c r="H6" s="163">
        <f>'Evolutive SFP'!G31</f>
        <v>250820181.31</v>
      </c>
      <c r="I6" s="163">
        <f>'Evolutive SFP'!H31</f>
        <v>256679673.69</v>
      </c>
      <c r="J6" s="163">
        <f>'Evolutive SFP'!I31</f>
        <v>262355919.41</v>
      </c>
      <c r="K6" s="163">
        <f>'Evolutive SFP'!J31</f>
        <v>265214380.27000001</v>
      </c>
      <c r="L6" s="163">
        <f>'Evolutive SFP'!K31</f>
        <v>269762625.74000001</v>
      </c>
      <c r="M6" s="163">
        <f>'Evolutive SFP'!L31</f>
        <v>275532298.56</v>
      </c>
      <c r="N6" s="163">
        <f>'Evolutive SFP'!M31</f>
        <v>281517892.81999999</v>
      </c>
      <c r="O6" s="163">
        <f>'Evolutive SFP'!N31</f>
        <v>287535685.31</v>
      </c>
      <c r="P6" s="163">
        <f>'Evolutive SFP'!O31</f>
        <v>286758860.24000001</v>
      </c>
      <c r="Q6" s="163">
        <f>'Evolutive SFP'!P31</f>
        <v>286758860</v>
      </c>
      <c r="R6" s="163">
        <f>'Evolutive SFP'!Q31</f>
        <v>292094574.13999999</v>
      </c>
      <c r="S6" s="163">
        <f>'Evolutive SFP'!R31</f>
        <v>298609184.63</v>
      </c>
      <c r="T6" s="163">
        <f>'Evolutive SFP'!S31</f>
        <v>301891032.47000003</v>
      </c>
      <c r="U6" s="163">
        <f>'Evolutive SFP'!T31</f>
        <v>307649441.39999998</v>
      </c>
      <c r="V6" s="163">
        <f>'Evolutive SFP'!U31</f>
        <v>316558634.36000001</v>
      </c>
      <c r="W6" s="163">
        <f>'Evolutive SFP'!V31</f>
        <v>319752608.24000001</v>
      </c>
      <c r="X6" s="163">
        <f>'Evolutive SFP'!W31</f>
        <v>323353750.81999999</v>
      </c>
      <c r="Y6" s="163">
        <f>'Evolutive SFP'!X31</f>
        <v>318848351.07999998</v>
      </c>
      <c r="Z6" s="163">
        <f>'Evolutive SFP'!Y31</f>
        <v>322445013.63999999</v>
      </c>
      <c r="AA6" s="163">
        <f>'Evolutive SFP'!Z31</f>
        <v>322645426.56</v>
      </c>
      <c r="AB6" s="163">
        <f>'Evolutive SFP'!AA31</f>
        <v>328310489.06999999</v>
      </c>
      <c r="AC6" s="163">
        <f>'Evolutive SFP'!AB31</f>
        <v>321248899.97000003</v>
      </c>
      <c r="AD6" s="163">
        <f>'Evolutive SFP'!AC31</f>
        <v>321248900</v>
      </c>
      <c r="AE6" s="163">
        <f>'Evolutive SFP'!AD31</f>
        <v>325143367.06999999</v>
      </c>
      <c r="AF6" s="163">
        <f>'Evolutive SFP'!AE31</f>
        <v>331529283.01999998</v>
      </c>
      <c r="AG6" s="163">
        <f>'Evolutive SFP'!AF31</f>
        <v>337732171.99000001</v>
      </c>
      <c r="AH6" s="163">
        <f>'Evolutive SFP'!AG31</f>
        <v>349560854.37</v>
      </c>
      <c r="AI6" s="163">
        <f>'Evolutive SFP'!AH31</f>
        <v>358136034.38999999</v>
      </c>
      <c r="AJ6" s="163">
        <f>'Evolutive SFP'!AI31</f>
        <v>366725897.75</v>
      </c>
      <c r="AK6" s="163">
        <f>'Evolutive SFP'!AJ31</f>
        <v>369339978.33999997</v>
      </c>
      <c r="AL6" s="163">
        <f>'Evolutive SFP'!AK31</f>
        <v>0</v>
      </c>
      <c r="AM6" s="163">
        <f>'Evolutive SFP'!AL31</f>
        <v>0</v>
      </c>
      <c r="AN6" s="163">
        <f>'Evolutive SFP'!AM31</f>
        <v>0</v>
      </c>
      <c r="AO6" s="163">
        <f>'Evolutive SFP'!AN31</f>
        <v>0</v>
      </c>
      <c r="AP6" s="163">
        <f>'Evolutive SFP'!AO31</f>
        <v>0</v>
      </c>
      <c r="AQ6" s="163">
        <f>'Evolutive SFP'!AP31</f>
        <v>0</v>
      </c>
    </row>
    <row r="7" spans="1:43" ht="15.6">
      <c r="A7" s="161">
        <v>3.2</v>
      </c>
      <c r="B7" s="164" t="s">
        <v>96</v>
      </c>
      <c r="C7" s="163">
        <f>('Evolutive SFP'!B29+'Evolutive SFP'!B30)</f>
        <v>16463305</v>
      </c>
      <c r="D7" s="163">
        <f>('Evolutive SFP'!C29+'Evolutive SFP'!C30)</f>
        <v>70199956</v>
      </c>
      <c r="E7" s="163">
        <f>('Evolutive SFP'!D29+'Evolutive SFP'!D30)</f>
        <v>60250630.380000003</v>
      </c>
      <c r="F7" s="163">
        <f>('Evolutive SFP'!E29+'Evolutive SFP'!E30)</f>
        <v>59808822.189999998</v>
      </c>
      <c r="G7" s="163">
        <f>('Evolutive SFP'!F29+'Evolutive SFP'!F30)</f>
        <v>72354773.700000003</v>
      </c>
      <c r="H7" s="163">
        <f>('Evolutive SFP'!G29+'Evolutive SFP'!G30)</f>
        <v>78323126.439999998</v>
      </c>
      <c r="I7" s="163">
        <f>('Evolutive SFP'!H29+'Evolutive SFP'!H30)</f>
        <v>78386543.180000007</v>
      </c>
      <c r="J7" s="163">
        <f>('Evolutive SFP'!I29+'Evolutive SFP'!I30)</f>
        <v>79628870.280000001</v>
      </c>
      <c r="K7" s="163">
        <f>('Evolutive SFP'!J29+'Evolutive SFP'!J30)</f>
        <v>82817900.379999995</v>
      </c>
      <c r="L7" s="163">
        <f>('Evolutive SFP'!K29+'Evolutive SFP'!K30)</f>
        <v>79198436.980000004</v>
      </c>
      <c r="M7" s="163">
        <f>('Evolutive SFP'!L29+'Evolutive SFP'!L30)</f>
        <v>88794505.430000007</v>
      </c>
      <c r="N7" s="163">
        <f>('Evolutive SFP'!M29+'Evolutive SFP'!M30)</f>
        <v>84702204.319999993</v>
      </c>
      <c r="O7" s="163">
        <f>('Evolutive SFP'!N29+'Evolutive SFP'!N30)</f>
        <v>87819331.939999998</v>
      </c>
      <c r="P7" s="163">
        <f>('Evolutive SFP'!O29+'Evolutive SFP'!O30)</f>
        <v>94670284.209999993</v>
      </c>
      <c r="Q7" s="163">
        <f>('Evolutive SFP'!P29+'Evolutive SFP'!P30)</f>
        <v>94670284</v>
      </c>
      <c r="R7" s="163">
        <f>('Evolutive SFP'!Q29+'Evolutive SFP'!Q30)</f>
        <v>83749798.260000005</v>
      </c>
      <c r="S7" s="163">
        <f>('Evolutive SFP'!R29+'Evolutive SFP'!R30)</f>
        <v>104203353.38</v>
      </c>
      <c r="T7" s="163">
        <f>('Evolutive SFP'!S29+'Evolutive SFP'!S30)</f>
        <v>107743362.92</v>
      </c>
      <c r="U7" s="163">
        <f>('Evolutive SFP'!T29+'Evolutive SFP'!T30)</f>
        <v>104618624.23999999</v>
      </c>
      <c r="V7" s="163">
        <f>('Evolutive SFP'!U29+'Evolutive SFP'!U30)</f>
        <v>127539186.88</v>
      </c>
      <c r="W7" s="163">
        <f>('Evolutive SFP'!V29+'Evolutive SFP'!V30)</f>
        <v>127622440.06999999</v>
      </c>
      <c r="X7" s="163">
        <f>('Evolutive SFP'!W29+'Evolutive SFP'!W30)</f>
        <v>118454199.39</v>
      </c>
      <c r="Y7" s="163">
        <f>('Evolutive SFP'!X29+'Evolutive SFP'!X30)</f>
        <v>115349654.19</v>
      </c>
      <c r="Z7" s="163">
        <f>('Evolutive SFP'!Y29+'Evolutive SFP'!Y30)</f>
        <v>134269036.88</v>
      </c>
      <c r="AA7" s="163">
        <f>('Evolutive SFP'!Z29+'Evolutive SFP'!Z30)</f>
        <v>128323764.3</v>
      </c>
      <c r="AB7" s="163">
        <f>('Evolutive SFP'!AA29+'Evolutive SFP'!AA30)</f>
        <v>151893503.59</v>
      </c>
      <c r="AC7" s="163">
        <f>('Evolutive SFP'!AB29+'Evolutive SFP'!AB30)</f>
        <v>125282971.94</v>
      </c>
      <c r="AD7" s="163">
        <f>('Evolutive SFP'!AC29+'Evolutive SFP'!AC30)</f>
        <v>125282972</v>
      </c>
      <c r="AE7" s="163">
        <f>('Evolutive SFP'!AD29+'Evolutive SFP'!AD30)</f>
        <v>117794839.81</v>
      </c>
      <c r="AF7" s="163">
        <f>('Evolutive SFP'!AE29+'Evolutive SFP'!AE30)</f>
        <v>109296943.47</v>
      </c>
      <c r="AG7" s="163">
        <f>('Evolutive SFP'!AF29+'Evolutive SFP'!AF30)</f>
        <v>115626995.56</v>
      </c>
      <c r="AH7" s="163">
        <f>('Evolutive SFP'!AG29+'Evolutive SFP'!AG30)</f>
        <v>113701622.97</v>
      </c>
      <c r="AI7" s="163">
        <f>('Evolutive SFP'!AH29+'Evolutive SFP'!AH30)</f>
        <v>114845243.54000001</v>
      </c>
      <c r="AJ7" s="163">
        <f>('Evolutive SFP'!AI29+'Evolutive SFP'!AI30)</f>
        <v>106640459.48</v>
      </c>
      <c r="AK7" s="163">
        <f>('Evolutive SFP'!AJ29+'Evolutive SFP'!AJ30)</f>
        <v>111662947.54000001</v>
      </c>
      <c r="AL7" s="163">
        <f>('Evolutive SFP'!AK29+'Evolutive SFP'!AK30)</f>
        <v>0</v>
      </c>
      <c r="AM7" s="163">
        <f>('Evolutive SFP'!AL29+'Evolutive SFP'!AL30)</f>
        <v>0</v>
      </c>
      <c r="AN7" s="163">
        <f>('Evolutive SFP'!AM29+'Evolutive SFP'!AM30)</f>
        <v>0</v>
      </c>
      <c r="AO7" s="163">
        <f>('Evolutive SFP'!AN29+'Evolutive SFP'!AN30)</f>
        <v>0</v>
      </c>
      <c r="AP7" s="163">
        <f>('Evolutive SFP'!AO29+'Evolutive SFP'!AO30)</f>
        <v>0</v>
      </c>
      <c r="AQ7" s="163">
        <f>('Evolutive SFP'!AP29+'Evolutive SFP'!AP30)</f>
        <v>0</v>
      </c>
    </row>
    <row r="8" spans="1:43" ht="15.6">
      <c r="A8" s="161">
        <v>4</v>
      </c>
      <c r="B8" s="161" t="s">
        <v>97</v>
      </c>
      <c r="C8" s="163">
        <f>'Evolutive SFP'!B38</f>
        <v>2291669</v>
      </c>
      <c r="D8" s="163">
        <f>'Evolutive SFP'!C38</f>
        <v>20000000</v>
      </c>
      <c r="E8" s="163">
        <f>'Evolutive SFP'!D38</f>
        <v>20000000</v>
      </c>
      <c r="F8" s="163">
        <f>'Evolutive SFP'!E38</f>
        <v>18888888.890000001</v>
      </c>
      <c r="G8" s="163">
        <f>'Evolutive SFP'!F38</f>
        <v>17777777.780000001</v>
      </c>
      <c r="H8" s="163">
        <f>'Evolutive SFP'!G38</f>
        <v>16666666.66</v>
      </c>
      <c r="I8" s="163">
        <f>'Evolutive SFP'!H38</f>
        <v>15555555.539999999</v>
      </c>
      <c r="J8" s="163">
        <f>'Evolutive SFP'!I38</f>
        <v>14444444.539999999</v>
      </c>
      <c r="K8" s="163">
        <f>'Evolutive SFP'!J38</f>
        <v>13333333.42</v>
      </c>
      <c r="L8" s="163">
        <f>'Evolutive SFP'!K38</f>
        <v>12222222.310000001</v>
      </c>
      <c r="M8" s="163">
        <f>'Evolutive SFP'!L38</f>
        <v>26111111.199999999</v>
      </c>
      <c r="N8" s="163">
        <f>'Evolutive SFP'!M38</f>
        <v>25485060.960000001</v>
      </c>
      <c r="O8" s="163">
        <f>'Evolutive SFP'!N38</f>
        <v>23055555.640000001</v>
      </c>
      <c r="P8" s="163">
        <f>'Evolutive SFP'!O38</f>
        <v>21527777.859999999</v>
      </c>
      <c r="Q8" s="163">
        <f>'Evolutive SFP'!P38</f>
        <v>21527778</v>
      </c>
      <c r="R8" s="163">
        <f>'Evolutive SFP'!Q38</f>
        <v>35000000</v>
      </c>
      <c r="S8" s="163">
        <f>'Evolutive SFP'!R38</f>
        <v>33055555.629999999</v>
      </c>
      <c r="T8" s="163">
        <f>'Evolutive SFP'!S38</f>
        <v>31527777.859999999</v>
      </c>
      <c r="U8" s="163">
        <f>'Evolutive SFP'!T38</f>
        <v>29155684.960000001</v>
      </c>
      <c r="V8" s="163">
        <f>'Evolutive SFP'!U38</f>
        <v>27211240.48</v>
      </c>
      <c r="W8" s="163">
        <f>'Evolutive SFP'!V38</f>
        <v>60000000</v>
      </c>
      <c r="X8" s="163">
        <f>'Evolutive SFP'!W38</f>
        <v>58333333.329999998</v>
      </c>
      <c r="Y8" s="163">
        <f>'Evolutive SFP'!X38</f>
        <v>56666666.630000003</v>
      </c>
      <c r="Z8" s="163">
        <f>'Evolutive SFP'!Y38</f>
        <v>54999999.969999999</v>
      </c>
      <c r="AA8" s="163">
        <f>'Evolutive SFP'!Z38</f>
        <v>53333333.299999997</v>
      </c>
      <c r="AB8" s="163">
        <f>'Evolutive SFP'!AA38</f>
        <v>51666666.630000003</v>
      </c>
      <c r="AC8" s="163">
        <f>'Evolutive SFP'!AB38</f>
        <v>54999999.969999999</v>
      </c>
      <c r="AD8" s="163">
        <f>'Evolutive SFP'!AC38</f>
        <v>55000000</v>
      </c>
      <c r="AE8" s="163">
        <f>'Evolutive SFP'!AD38</f>
        <v>52608553.990000002</v>
      </c>
      <c r="AF8" s="163">
        <f>'Evolutive SFP'!AE38</f>
        <v>50941887.329999998</v>
      </c>
      <c r="AG8" s="163">
        <f>'Evolutive SFP'!AF38</f>
        <v>49583333.299999997</v>
      </c>
      <c r="AH8" s="163">
        <f>'Evolutive SFP'!AG38</f>
        <v>47777777.75</v>
      </c>
      <c r="AI8" s="163">
        <f>'Evolutive SFP'!AH38</f>
        <v>45972222.189999998</v>
      </c>
      <c r="AJ8" s="163">
        <f>'Evolutive SFP'!AI38</f>
        <v>44695036.859999999</v>
      </c>
      <c r="AK8" s="163">
        <f>'Evolutive SFP'!AJ38</f>
        <v>42889481.299999997</v>
      </c>
      <c r="AL8" s="163">
        <f>'Evolutive SFP'!AK38</f>
        <v>0</v>
      </c>
      <c r="AM8" s="163">
        <f>'Evolutive SFP'!AL38</f>
        <v>0</v>
      </c>
      <c r="AN8" s="163">
        <f>'Evolutive SFP'!AM38</f>
        <v>0</v>
      </c>
      <c r="AO8" s="163">
        <f>'Evolutive SFP'!AN38</f>
        <v>0</v>
      </c>
      <c r="AP8" s="163">
        <f>'Evolutive SFP'!AO38</f>
        <v>0</v>
      </c>
      <c r="AQ8" s="163">
        <f>'Evolutive SFP'!AP38</f>
        <v>0</v>
      </c>
    </row>
    <row r="9" spans="1:43" ht="15.6">
      <c r="A9" s="161"/>
      <c r="B9" s="161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  <c r="AM9" s="163"/>
      <c r="AN9" s="163"/>
      <c r="AO9" s="163"/>
      <c r="AP9" s="163"/>
      <c r="AQ9" s="163"/>
    </row>
    <row r="10" spans="1:43" ht="15.6">
      <c r="A10" s="165">
        <v>5</v>
      </c>
      <c r="B10" s="154" t="s">
        <v>98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3"/>
      <c r="AN10" s="163"/>
      <c r="AO10" s="163"/>
      <c r="AP10" s="163"/>
      <c r="AQ10" s="163"/>
    </row>
    <row r="11" spans="1:43" s="2" customFormat="1" ht="15.6">
      <c r="A11" s="166">
        <v>5.0999999999999996</v>
      </c>
      <c r="B11" s="154" t="s">
        <v>99</v>
      </c>
      <c r="C11" s="167">
        <f t="shared" ref="C11:I11" si="0">C14-C22-C25</f>
        <v>14446887</v>
      </c>
      <c r="D11" s="167">
        <f t="shared" si="0"/>
        <v>91853472</v>
      </c>
      <c r="E11" s="167">
        <f t="shared" si="0"/>
        <v>105710337.55000001</v>
      </c>
      <c r="F11" s="167">
        <f t="shared" si="0"/>
        <v>96500070.609999999</v>
      </c>
      <c r="G11" s="167">
        <f t="shared" si="0"/>
        <v>100873006.31</v>
      </c>
      <c r="H11" s="167">
        <f t="shared" si="0"/>
        <v>103097986.31</v>
      </c>
      <c r="I11" s="167">
        <f t="shared" si="0"/>
        <v>105593834.02</v>
      </c>
      <c r="J11" s="167">
        <f t="shared" ref="J11:O11" si="1">J14-J22</f>
        <v>107806054.77</v>
      </c>
      <c r="K11" s="167">
        <f t="shared" si="1"/>
        <v>110496012.47999999</v>
      </c>
      <c r="L11" s="167">
        <f t="shared" si="1"/>
        <v>115812599.16999999</v>
      </c>
      <c r="M11" s="167">
        <f t="shared" si="1"/>
        <v>115965261.11</v>
      </c>
      <c r="N11" s="167">
        <f t="shared" si="1"/>
        <v>118377189.31</v>
      </c>
      <c r="O11" s="167">
        <f t="shared" si="1"/>
        <v>123340970.94</v>
      </c>
      <c r="P11" s="167">
        <f t="shared" ref="P11:AF11" si="2">P14-P22</f>
        <v>130232229.74000001</v>
      </c>
      <c r="Q11" s="167">
        <f t="shared" si="2"/>
        <v>112641898</v>
      </c>
      <c r="R11" s="167">
        <f t="shared" si="2"/>
        <v>128589244.12</v>
      </c>
      <c r="S11" s="167">
        <f t="shared" si="2"/>
        <v>112688625.22000001</v>
      </c>
      <c r="T11" s="167">
        <f t="shared" si="2"/>
        <v>119278007.45999999</v>
      </c>
      <c r="U11" s="167">
        <f t="shared" si="2"/>
        <v>116965102.45999999</v>
      </c>
      <c r="V11" s="167">
        <f t="shared" si="2"/>
        <v>120926013.14</v>
      </c>
      <c r="W11" s="167">
        <f t="shared" si="2"/>
        <v>123315810.24000001</v>
      </c>
      <c r="X11" s="167">
        <f t="shared" si="2"/>
        <v>127137299.13000001</v>
      </c>
      <c r="Y11" s="167">
        <f t="shared" si="2"/>
        <v>135284526.32999998</v>
      </c>
      <c r="Z11" s="167">
        <f t="shared" si="2"/>
        <v>137103772.25</v>
      </c>
      <c r="AA11" s="167">
        <f t="shared" si="2"/>
        <v>144392144.44999999</v>
      </c>
      <c r="AB11" s="167">
        <f t="shared" si="2"/>
        <v>144630789.15000001</v>
      </c>
      <c r="AC11" s="167">
        <f t="shared" si="2"/>
        <v>164868219.15000001</v>
      </c>
      <c r="AD11" s="167">
        <f t="shared" si="2"/>
        <v>144915998</v>
      </c>
      <c r="AE11" s="167">
        <f t="shared" si="2"/>
        <v>168425423.78999999</v>
      </c>
      <c r="AF11" s="167">
        <f t="shared" si="2"/>
        <v>147593416.39000002</v>
      </c>
      <c r="AG11" s="167">
        <f t="shared" ref="AG11:AI11" si="3">AG14-AG22</f>
        <v>162101249.94</v>
      </c>
      <c r="AH11" s="167">
        <f t="shared" si="3"/>
        <v>158946701.12</v>
      </c>
      <c r="AI11" s="167">
        <f t="shared" si="3"/>
        <v>160861392.60999998</v>
      </c>
      <c r="AJ11" s="167">
        <f t="shared" ref="AJ11:AQ11" si="4">AJ14-AJ22</f>
        <v>158696567.73000002</v>
      </c>
      <c r="AK11" s="167">
        <f t="shared" si="4"/>
        <v>158799250.14000002</v>
      </c>
      <c r="AL11" s="167">
        <f t="shared" si="4"/>
        <v>0</v>
      </c>
      <c r="AM11" s="167">
        <f t="shared" si="4"/>
        <v>0</v>
      </c>
      <c r="AN11" s="167">
        <f t="shared" si="4"/>
        <v>0</v>
      </c>
      <c r="AO11" s="167">
        <f t="shared" si="4"/>
        <v>0</v>
      </c>
      <c r="AP11" s="167">
        <f t="shared" si="4"/>
        <v>0</v>
      </c>
      <c r="AQ11" s="167">
        <f t="shared" si="4"/>
        <v>0</v>
      </c>
    </row>
    <row r="12" spans="1:43" s="2" customFormat="1" ht="15.6">
      <c r="A12" s="166">
        <v>5.2</v>
      </c>
      <c r="B12" s="154" t="s">
        <v>100</v>
      </c>
      <c r="C12" s="167">
        <f>C11-C15</f>
        <v>3952190</v>
      </c>
      <c r="D12" s="167">
        <f>D11-D15</f>
        <v>32063120</v>
      </c>
      <c r="E12" s="167">
        <f>E11-E15</f>
        <v>44973344.900000013</v>
      </c>
      <c r="F12" s="167">
        <f>F11-F15</f>
        <v>34899142.960000001</v>
      </c>
      <c r="G12" s="167">
        <f t="shared" ref="G12:N12" si="5">G11-G15</f>
        <v>38305951.660000004</v>
      </c>
      <c r="H12" s="167">
        <f>H11-H15</f>
        <v>39601909.660000004</v>
      </c>
      <c r="I12" s="167">
        <f>I11-I15</f>
        <v>41323755.049999997</v>
      </c>
      <c r="J12" s="167">
        <f t="shared" si="5"/>
        <v>42752506.799999997</v>
      </c>
      <c r="K12" s="167">
        <f t="shared" si="5"/>
        <v>44653229.499999993</v>
      </c>
      <c r="L12" s="167">
        <f t="shared" si="5"/>
        <v>49238813.599999987</v>
      </c>
      <c r="M12" s="167">
        <f t="shared" si="5"/>
        <v>48597888.5</v>
      </c>
      <c r="N12" s="167">
        <f t="shared" si="5"/>
        <v>50286268.549999997</v>
      </c>
      <c r="O12" s="167">
        <f t="shared" ref="O12:AF12" si="6">O11-O15</f>
        <v>54575528.899999991</v>
      </c>
      <c r="P12" s="167">
        <f t="shared" si="6"/>
        <v>60743513.700000003</v>
      </c>
      <c r="Q12" s="167">
        <f t="shared" si="6"/>
        <v>43153182</v>
      </c>
      <c r="R12" s="167">
        <f t="shared" si="6"/>
        <v>58198375</v>
      </c>
      <c r="S12" s="167">
        <f t="shared" si="6"/>
        <v>41357604.100000009</v>
      </c>
      <c r="T12" s="167">
        <f t="shared" si="6"/>
        <v>47110197.299999997</v>
      </c>
      <c r="U12" s="167">
        <f t="shared" si="6"/>
        <v>43972361</v>
      </c>
      <c r="V12" s="167">
        <f t="shared" si="6"/>
        <v>47061661.799999997</v>
      </c>
      <c r="W12" s="167">
        <f t="shared" si="6"/>
        <v>47935133.900000006</v>
      </c>
      <c r="X12" s="167">
        <f t="shared" si="6"/>
        <v>49749417.790000007</v>
      </c>
      <c r="Y12" s="167">
        <f t="shared" si="6"/>
        <v>56085683.999999985</v>
      </c>
      <c r="Z12" s="167">
        <f t="shared" si="6"/>
        <v>55853057.299999997</v>
      </c>
      <c r="AA12" s="167">
        <f t="shared" si="6"/>
        <v>62008191.499999985</v>
      </c>
      <c r="AB12" s="167">
        <f t="shared" si="6"/>
        <v>59917661.200000003</v>
      </c>
      <c r="AC12" s="167">
        <f t="shared" si="6"/>
        <v>73395739.800000012</v>
      </c>
      <c r="AD12" s="167">
        <f t="shared" si="6"/>
        <v>53443519</v>
      </c>
      <c r="AE12" s="167">
        <f t="shared" si="6"/>
        <v>72045134.939999998</v>
      </c>
      <c r="AF12" s="167">
        <f t="shared" si="6"/>
        <v>50126733.140000015</v>
      </c>
      <c r="AG12" s="167">
        <f t="shared" ref="AG12:AI12" si="7">AG11-AG15</f>
        <v>57177908.700000003</v>
      </c>
      <c r="AH12" s="167">
        <f t="shared" si="7"/>
        <v>52443594.300000012</v>
      </c>
      <c r="AI12" s="167">
        <f t="shared" si="7"/>
        <v>53423787.099999979</v>
      </c>
      <c r="AJ12" s="167">
        <f t="shared" ref="AJ12:AQ12" si="8">AJ11-AJ15</f>
        <v>50351326.800000012</v>
      </c>
      <c r="AK12" s="167">
        <f t="shared" si="8"/>
        <v>49154522.600000009</v>
      </c>
      <c r="AL12" s="167">
        <f t="shared" si="8"/>
        <v>0</v>
      </c>
      <c r="AM12" s="167">
        <f t="shared" si="8"/>
        <v>0</v>
      </c>
      <c r="AN12" s="167">
        <f t="shared" si="8"/>
        <v>0</v>
      </c>
      <c r="AO12" s="167">
        <f t="shared" si="8"/>
        <v>0</v>
      </c>
      <c r="AP12" s="167">
        <f t="shared" si="8"/>
        <v>0</v>
      </c>
      <c r="AQ12" s="167">
        <f t="shared" si="8"/>
        <v>0</v>
      </c>
    </row>
    <row r="13" spans="1:43" ht="15.6">
      <c r="A13" s="165"/>
      <c r="B13" s="154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U13" s="163"/>
      <c r="V13" s="163"/>
      <c r="W13" s="163"/>
      <c r="X13" s="163"/>
      <c r="Y13" s="163"/>
      <c r="Z13" s="163"/>
      <c r="AA13" s="163"/>
      <c r="AB13" s="163"/>
      <c r="AC13" s="163"/>
      <c r="AD13" s="163"/>
      <c r="AE13" s="163"/>
      <c r="AF13" s="163"/>
      <c r="AG13" s="163"/>
      <c r="AH13" s="163"/>
      <c r="AI13" s="163"/>
      <c r="AJ13" s="163"/>
      <c r="AK13" s="163"/>
      <c r="AL13" s="163"/>
      <c r="AM13" s="163"/>
      <c r="AN13" s="163"/>
      <c r="AO13" s="163"/>
      <c r="AP13" s="163"/>
      <c r="AQ13" s="163"/>
    </row>
    <row r="14" spans="1:43" s="2" customFormat="1" ht="15.6">
      <c r="A14" s="166">
        <v>5.3</v>
      </c>
      <c r="B14" s="154" t="s">
        <v>101</v>
      </c>
      <c r="C14" s="167">
        <f>C15+C16+C17+C18+C19+C20+C21</f>
        <v>14919147</v>
      </c>
      <c r="D14" s="167">
        <f>D15+D16+D17+D18+D19+D20+D21</f>
        <v>92146493</v>
      </c>
      <c r="E14" s="167">
        <f>E15+E16+E17+E18+E19+E20+E21</f>
        <v>106003358.19000001</v>
      </c>
      <c r="F14" s="167">
        <f>F15+F16+F17+F18+F19+F20+F21</f>
        <v>96793091.25</v>
      </c>
      <c r="G14" s="167">
        <f t="shared" ref="G14:N14" si="9">G15+G16+G17+G18+G19+G20+G21</f>
        <v>101166026.95</v>
      </c>
      <c r="H14" s="167">
        <f>H15+H16+H17+H18+H19+H20+H21</f>
        <v>103391006.95</v>
      </c>
      <c r="I14" s="167">
        <f>I15+I16+I17+I18+I19+I20+I21</f>
        <v>105886854.66</v>
      </c>
      <c r="J14" s="167">
        <f t="shared" si="9"/>
        <v>107806054.77</v>
      </c>
      <c r="K14" s="167">
        <f t="shared" si="9"/>
        <v>110496012.47999999</v>
      </c>
      <c r="L14" s="167">
        <f t="shared" si="9"/>
        <v>115812599.16999999</v>
      </c>
      <c r="M14" s="167">
        <f t="shared" si="9"/>
        <v>115965261.11</v>
      </c>
      <c r="N14" s="167">
        <f t="shared" si="9"/>
        <v>118377189.31</v>
      </c>
      <c r="O14" s="167">
        <f t="shared" ref="O14:AF14" si="10">O15+O16+O17+O18+O19+O20+O21</f>
        <v>123340970.94</v>
      </c>
      <c r="P14" s="167">
        <f t="shared" si="10"/>
        <v>130232229.74000001</v>
      </c>
      <c r="Q14" s="167">
        <f t="shared" si="10"/>
        <v>112641898</v>
      </c>
      <c r="R14" s="167">
        <f t="shared" si="10"/>
        <v>128589244.12</v>
      </c>
      <c r="S14" s="167">
        <f t="shared" si="10"/>
        <v>112688625.22000001</v>
      </c>
      <c r="T14" s="167">
        <f t="shared" si="10"/>
        <v>119278007.45999999</v>
      </c>
      <c r="U14" s="167">
        <f t="shared" si="10"/>
        <v>116965102.45999999</v>
      </c>
      <c r="V14" s="167">
        <f t="shared" si="10"/>
        <v>120926013.14</v>
      </c>
      <c r="W14" s="167">
        <f t="shared" si="10"/>
        <v>123315810.24000001</v>
      </c>
      <c r="X14" s="167">
        <f t="shared" si="10"/>
        <v>127137299.13000001</v>
      </c>
      <c r="Y14" s="167">
        <f t="shared" si="10"/>
        <v>135284526.32999998</v>
      </c>
      <c r="Z14" s="167">
        <f t="shared" si="10"/>
        <v>137103772.25</v>
      </c>
      <c r="AA14" s="167">
        <f t="shared" si="10"/>
        <v>144392144.44999999</v>
      </c>
      <c r="AB14" s="167">
        <f t="shared" si="10"/>
        <v>144630789.15000001</v>
      </c>
      <c r="AC14" s="167">
        <f t="shared" si="10"/>
        <v>164868219.15000001</v>
      </c>
      <c r="AD14" s="167">
        <f t="shared" si="10"/>
        <v>144915998</v>
      </c>
      <c r="AE14" s="167">
        <f t="shared" si="10"/>
        <v>168425423.78999999</v>
      </c>
      <c r="AF14" s="167">
        <f t="shared" si="10"/>
        <v>147593416.39000002</v>
      </c>
      <c r="AG14" s="167">
        <f t="shared" ref="AG14:AI14" si="11">AG15+AG16+AG17+AG18+AG19+AG20+AG21</f>
        <v>162101249.94</v>
      </c>
      <c r="AH14" s="167">
        <f t="shared" si="11"/>
        <v>158946701.12</v>
      </c>
      <c r="AI14" s="167">
        <f t="shared" si="11"/>
        <v>160861392.60999998</v>
      </c>
      <c r="AJ14" s="167">
        <f t="shared" ref="AJ14:AQ14" si="12">AJ15+AJ16+AJ17+AJ18+AJ19+AJ20+AJ21</f>
        <v>158696567.73000002</v>
      </c>
      <c r="AK14" s="167">
        <f t="shared" si="12"/>
        <v>158799250.14000002</v>
      </c>
      <c r="AL14" s="167">
        <f t="shared" si="12"/>
        <v>0</v>
      </c>
      <c r="AM14" s="167">
        <f t="shared" si="12"/>
        <v>0</v>
      </c>
      <c r="AN14" s="167">
        <f t="shared" si="12"/>
        <v>0</v>
      </c>
      <c r="AO14" s="167">
        <f t="shared" si="12"/>
        <v>0</v>
      </c>
      <c r="AP14" s="167">
        <f t="shared" si="12"/>
        <v>0</v>
      </c>
      <c r="AQ14" s="167">
        <f t="shared" si="12"/>
        <v>0</v>
      </c>
    </row>
    <row r="15" spans="1:43" ht="15.6">
      <c r="A15" s="165" t="s">
        <v>102</v>
      </c>
      <c r="B15" s="168" t="s">
        <v>103</v>
      </c>
      <c r="C15" s="163">
        <f>'Evolutive SFP'!B40</f>
        <v>10494697</v>
      </c>
      <c r="D15" s="163">
        <f>'Evolutive SFP'!C40</f>
        <v>59790352</v>
      </c>
      <c r="E15" s="163">
        <f>'Evolutive SFP'!D40</f>
        <v>60736992.649999999</v>
      </c>
      <c r="F15" s="163">
        <f>'Evolutive SFP'!E40</f>
        <v>61600927.649999999</v>
      </c>
      <c r="G15" s="163">
        <f>'Evolutive SFP'!F40</f>
        <v>62567054.649999999</v>
      </c>
      <c r="H15" s="163">
        <f>'Evolutive SFP'!G40</f>
        <v>63496076.649999999</v>
      </c>
      <c r="I15" s="163">
        <f>'Evolutive SFP'!H40</f>
        <v>64270078.969999999</v>
      </c>
      <c r="J15" s="163">
        <f>'Evolutive SFP'!I40</f>
        <v>65053547.969999999</v>
      </c>
      <c r="K15" s="163">
        <f>'Evolutive SFP'!J40</f>
        <v>65842782.979999997</v>
      </c>
      <c r="L15" s="163">
        <f>'Evolutive SFP'!K40</f>
        <v>66573785.57</v>
      </c>
      <c r="M15" s="163">
        <f>'Evolutive SFP'!L40</f>
        <v>67367372.609999999</v>
      </c>
      <c r="N15" s="163">
        <f>'Evolutive SFP'!M40</f>
        <v>68090920.760000005</v>
      </c>
      <c r="O15" s="163">
        <f>'Evolutive SFP'!N40</f>
        <v>68765442.040000007</v>
      </c>
      <c r="P15" s="163">
        <f>'Evolutive SFP'!O40</f>
        <v>69488716.040000007</v>
      </c>
      <c r="Q15" s="163">
        <f>'Evolutive SFP'!P40</f>
        <v>69488716</v>
      </c>
      <c r="R15" s="163">
        <f>'Evolutive SFP'!Q40</f>
        <v>70390869.120000005</v>
      </c>
      <c r="S15" s="163">
        <f>'Evolutive SFP'!R40</f>
        <v>71331021.120000005</v>
      </c>
      <c r="T15" s="163">
        <f>'Evolutive SFP'!S40</f>
        <v>72167810.159999996</v>
      </c>
      <c r="U15" s="163">
        <f>'Evolutive SFP'!T40</f>
        <v>72992741.459999993</v>
      </c>
      <c r="V15" s="163">
        <f>'Evolutive SFP'!U40</f>
        <v>73864351.340000004</v>
      </c>
      <c r="W15" s="163">
        <f>'Evolutive SFP'!V40</f>
        <v>75380676.340000004</v>
      </c>
      <c r="X15" s="163">
        <f>'Evolutive SFP'!W40</f>
        <v>77387881.340000004</v>
      </c>
      <c r="Y15" s="163">
        <f>'Evolutive SFP'!X40</f>
        <v>79198842.329999998</v>
      </c>
      <c r="Z15" s="163">
        <f>'Evolutive SFP'!Y40</f>
        <v>81250714.950000003</v>
      </c>
      <c r="AA15" s="163">
        <f>'Evolutive SFP'!Z40</f>
        <v>82383952.950000003</v>
      </c>
      <c r="AB15" s="163">
        <f>'Evolutive SFP'!AA40</f>
        <v>84713127.950000003</v>
      </c>
      <c r="AC15" s="163">
        <f>'Evolutive SFP'!AB40</f>
        <v>91472479.349999994</v>
      </c>
      <c r="AD15" s="163">
        <f>'Evolutive SFP'!AC40</f>
        <v>91472479</v>
      </c>
      <c r="AE15" s="163">
        <f>'Evolutive SFP'!AD40</f>
        <v>96380288.849999994</v>
      </c>
      <c r="AF15" s="163">
        <f>'Evolutive SFP'!AE40</f>
        <v>97466683.25</v>
      </c>
      <c r="AG15" s="163">
        <f>'Evolutive SFP'!AF40</f>
        <v>104923341.23999999</v>
      </c>
      <c r="AH15" s="163">
        <f>'Evolutive SFP'!AG40</f>
        <v>106503106.81999999</v>
      </c>
      <c r="AI15" s="163">
        <f>'Evolutive SFP'!AH40</f>
        <v>107437605.51000001</v>
      </c>
      <c r="AJ15" s="163">
        <f>'Evolutive SFP'!AI40</f>
        <v>108345240.93000001</v>
      </c>
      <c r="AK15" s="163">
        <f>'Evolutive SFP'!AJ40</f>
        <v>109644727.54000001</v>
      </c>
      <c r="AL15" s="163">
        <f>'Evolutive SFP'!AK40</f>
        <v>0</v>
      </c>
      <c r="AM15" s="163">
        <f>'Evolutive SFP'!AL40</f>
        <v>0</v>
      </c>
      <c r="AN15" s="163">
        <f>'Evolutive SFP'!AM40</f>
        <v>0</v>
      </c>
      <c r="AO15" s="163">
        <f>'Evolutive SFP'!AN40</f>
        <v>0</v>
      </c>
      <c r="AP15" s="163">
        <f>'Evolutive SFP'!AO40</f>
        <v>0</v>
      </c>
      <c r="AQ15" s="163">
        <f>'Evolutive SFP'!AP40</f>
        <v>0</v>
      </c>
    </row>
    <row r="16" spans="1:43" ht="15.6">
      <c r="A16" s="165" t="s">
        <v>104</v>
      </c>
      <c r="B16" s="169" t="s">
        <v>105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U16" s="163"/>
      <c r="V16" s="163"/>
      <c r="W16" s="163"/>
      <c r="X16" s="163"/>
      <c r="Y16" s="163"/>
      <c r="Z16" s="163"/>
      <c r="AA16" s="163"/>
      <c r="AB16" s="163"/>
      <c r="AC16" s="163"/>
      <c r="AD16" s="163"/>
      <c r="AE16" s="163"/>
      <c r="AF16" s="163"/>
      <c r="AG16" s="163"/>
      <c r="AH16" s="163"/>
      <c r="AI16" s="163"/>
      <c r="AJ16" s="163"/>
      <c r="AK16" s="163"/>
      <c r="AL16" s="163"/>
      <c r="AM16" s="163"/>
      <c r="AN16" s="163"/>
      <c r="AO16" s="163"/>
      <c r="AP16" s="163"/>
      <c r="AQ16" s="163"/>
    </row>
    <row r="17" spans="1:43" ht="15.6">
      <c r="A17" s="165" t="s">
        <v>106</v>
      </c>
      <c r="B17" s="164" t="s">
        <v>107</v>
      </c>
      <c r="C17" s="163">
        <f>'Evolutive SFP'!B42</f>
        <v>351220</v>
      </c>
      <c r="D17" s="163">
        <f>'Evolutive SFP'!C42</f>
        <v>19788651</v>
      </c>
      <c r="E17" s="163">
        <f>'Evolutive SFP'!D42</f>
        <v>19788651</v>
      </c>
      <c r="F17" s="163">
        <f>'Evolutive SFP'!E42</f>
        <v>26472293</v>
      </c>
      <c r="G17" s="163">
        <f>'Evolutive SFP'!F42</f>
        <v>26472293</v>
      </c>
      <c r="H17" s="163">
        <f>'Evolutive SFP'!G42</f>
        <v>26472293</v>
      </c>
      <c r="I17" s="163">
        <f>'Evolutive SFP'!H42</f>
        <v>26472293</v>
      </c>
      <c r="J17" s="163">
        <f>'Evolutive SFP'!I42</f>
        <v>26472293</v>
      </c>
      <c r="K17" s="163">
        <f>'Evolutive SFP'!J42</f>
        <v>26472293</v>
      </c>
      <c r="L17" s="163">
        <f>'Evolutive SFP'!K42</f>
        <v>26472293</v>
      </c>
      <c r="M17" s="163">
        <f>'Evolutive SFP'!L42</f>
        <v>26480293</v>
      </c>
      <c r="N17" s="163">
        <f>'Evolutive SFP'!M42</f>
        <v>25095199</v>
      </c>
      <c r="O17" s="163">
        <f>'Evolutive SFP'!N42</f>
        <v>25095199</v>
      </c>
      <c r="P17" s="163">
        <f>'Evolutive SFP'!O42</f>
        <v>25095199</v>
      </c>
      <c r="Q17" s="163">
        <f>'Evolutive SFP'!P42</f>
        <v>25051798</v>
      </c>
      <c r="R17" s="163">
        <f>'Evolutive SFP'!Q42</f>
        <v>25095199</v>
      </c>
      <c r="S17" s="163">
        <f>'Evolutive SFP'!R42</f>
        <v>31840058</v>
      </c>
      <c r="T17" s="163">
        <f>'Evolutive SFP'!S42</f>
        <v>31840058</v>
      </c>
      <c r="U17" s="163">
        <f>'Evolutive SFP'!T42</f>
        <v>31840058</v>
      </c>
      <c r="V17" s="163">
        <f>'Evolutive SFP'!U42</f>
        <v>31840058</v>
      </c>
      <c r="W17" s="163">
        <f>'Evolutive SFP'!V42</f>
        <v>31840058</v>
      </c>
      <c r="X17" s="163">
        <f>'Evolutive SFP'!W42</f>
        <v>31840058</v>
      </c>
      <c r="Y17" s="163">
        <f>'Evolutive SFP'!X42</f>
        <v>31840058</v>
      </c>
      <c r="Z17" s="163">
        <f>'Evolutive SFP'!Y42</f>
        <v>31840058</v>
      </c>
      <c r="AA17" s="163">
        <f>'Evolutive SFP'!Z42</f>
        <v>31840058</v>
      </c>
      <c r="AB17" s="163">
        <f>'Evolutive SFP'!AA42</f>
        <v>31840058</v>
      </c>
      <c r="AC17" s="163">
        <f>'Evolutive SFP'!AB42</f>
        <v>31840058</v>
      </c>
      <c r="AD17" s="163">
        <f>'Evolutive SFP'!AC42</f>
        <v>31796657</v>
      </c>
      <c r="AE17" s="163">
        <f>'Evolutive SFP'!AD42</f>
        <v>31840058</v>
      </c>
      <c r="AF17" s="163">
        <f>'Evolutive SFP'!AE42</f>
        <v>37991663</v>
      </c>
      <c r="AG17" s="163">
        <f>'Evolutive SFP'!AF42</f>
        <v>37987367</v>
      </c>
      <c r="AH17" s="163">
        <f>'Evolutive SFP'!AG42</f>
        <v>37987367</v>
      </c>
      <c r="AI17" s="163">
        <f>'Evolutive SFP'!AH42</f>
        <v>37987367</v>
      </c>
      <c r="AJ17" s="163">
        <f>'Evolutive SFP'!AI42</f>
        <v>37987367</v>
      </c>
      <c r="AK17" s="163">
        <f>'Evolutive SFP'!AJ42</f>
        <v>37859435</v>
      </c>
      <c r="AL17" s="163">
        <f>'Evolutive SFP'!AK42</f>
        <v>0</v>
      </c>
      <c r="AM17" s="163">
        <f>'Evolutive SFP'!AL42</f>
        <v>0</v>
      </c>
      <c r="AN17" s="163">
        <f>'Evolutive SFP'!AM42</f>
        <v>0</v>
      </c>
      <c r="AO17" s="163">
        <f>'Evolutive SFP'!AN42</f>
        <v>0</v>
      </c>
      <c r="AP17" s="163">
        <f>'Evolutive SFP'!AO42</f>
        <v>0</v>
      </c>
      <c r="AQ17" s="163">
        <f>'Evolutive SFP'!AP42</f>
        <v>0</v>
      </c>
    </row>
    <row r="18" spans="1:43" ht="15.6">
      <c r="A18" s="165" t="s">
        <v>108</v>
      </c>
      <c r="B18" s="164" t="s">
        <v>109</v>
      </c>
      <c r="C18" s="163">
        <f>'Evolutive SFP'!B43</f>
        <v>3541956</v>
      </c>
      <c r="D18" s="163">
        <f>'Evolutive SFP'!C43</f>
        <v>5045847</v>
      </c>
      <c r="E18" s="163">
        <f>'Evolutive SFP'!D43</f>
        <v>-7815834.2999999998</v>
      </c>
      <c r="F18" s="163">
        <f>'Evolutive SFP'!E43</f>
        <v>786778.6</v>
      </c>
      <c r="G18" s="163">
        <f>'Evolutive SFP'!F43</f>
        <v>4193587.3</v>
      </c>
      <c r="H18" s="163">
        <f>'Evolutive SFP'!G43</f>
        <v>5489545.2999999998</v>
      </c>
      <c r="I18" s="163">
        <f>'Evolutive SFP'!H43</f>
        <v>7211390.6900000004</v>
      </c>
      <c r="J18" s="163">
        <f>'Evolutive SFP'!I43</f>
        <v>8347121.7999999998</v>
      </c>
      <c r="K18" s="163">
        <f>'Evolutive SFP'!J43</f>
        <v>10247844.5</v>
      </c>
      <c r="L18" s="163">
        <f>'Evolutive SFP'!K43</f>
        <v>14833428.6</v>
      </c>
      <c r="M18" s="163">
        <f>'Evolutive SFP'!L43</f>
        <v>14184503.5</v>
      </c>
      <c r="N18" s="163">
        <f>'Evolutive SFP'!M43</f>
        <v>17257977.550000001</v>
      </c>
      <c r="O18" s="163">
        <f>'Evolutive SFP'!N43</f>
        <v>21547237.899999999</v>
      </c>
      <c r="P18" s="163">
        <f>'Evolutive SFP'!O43</f>
        <v>27715222.699999999</v>
      </c>
      <c r="Q18" s="163">
        <f>'Evolutive SFP'!P43</f>
        <v>6744859</v>
      </c>
      <c r="R18" s="163">
        <f>'Evolutive SFP'!Q43</f>
        <v>-13523773.699999999</v>
      </c>
      <c r="S18" s="163">
        <f>'Evolutive SFP'!R43</f>
        <v>-2189012.6</v>
      </c>
      <c r="T18" s="163">
        <f>'Evolutive SFP'!S43</f>
        <v>3913614.3</v>
      </c>
      <c r="U18" s="163">
        <f>'Evolutive SFP'!T43</f>
        <v>775778</v>
      </c>
      <c r="V18" s="163">
        <f>'Evolutive SFP'!U43</f>
        <v>3865078.8</v>
      </c>
      <c r="W18" s="163">
        <f>'Evolutive SFP'!V43</f>
        <v>4738550.9000000004</v>
      </c>
      <c r="X18" s="163">
        <f>'Evolutive SFP'!W43</f>
        <v>6552834.79</v>
      </c>
      <c r="Y18" s="163">
        <f>'Evolutive SFP'!X43</f>
        <v>12889101</v>
      </c>
      <c r="Z18" s="163">
        <f>'Evolutive SFP'!Y43</f>
        <v>12656474.300000001</v>
      </c>
      <c r="AA18" s="163">
        <f>'Evolutive SFP'!Z43</f>
        <v>18811608.5</v>
      </c>
      <c r="AB18" s="163">
        <f>'Evolutive SFP'!AA43</f>
        <v>16721078.199999999</v>
      </c>
      <c r="AC18" s="163">
        <f>'Evolutive SFP'!AB43</f>
        <v>30199156.800000001</v>
      </c>
      <c r="AD18" s="163">
        <f>'Evolutive SFP'!AC43</f>
        <v>6190710</v>
      </c>
      <c r="AE18" s="163">
        <f>'Evolutive SFP'!AD43</f>
        <v>-11255950.300000001</v>
      </c>
      <c r="AF18" s="163">
        <f>'Evolutive SFP'!AE43</f>
        <v>-5814255.0999999996</v>
      </c>
      <c r="AG18" s="163">
        <f>'Evolutive SFP'!AF43</f>
        <v>3734389.7</v>
      </c>
      <c r="AH18" s="163">
        <f>'Evolutive SFP'!AG43</f>
        <v>-999924.7</v>
      </c>
      <c r="AI18" s="163">
        <f>'Evolutive SFP'!AH43</f>
        <v>-19731.900000000001</v>
      </c>
      <c r="AJ18" s="163">
        <f>'Evolutive SFP'!AI43</f>
        <v>-3092192.2</v>
      </c>
      <c r="AK18" s="163">
        <f>'Evolutive SFP'!AJ43</f>
        <v>-4161064.4</v>
      </c>
      <c r="AL18" s="163">
        <f>'Evolutive SFP'!AK43</f>
        <v>0</v>
      </c>
      <c r="AM18" s="163">
        <f>'Evolutive SFP'!AL43</f>
        <v>0</v>
      </c>
      <c r="AN18" s="163">
        <f>'Evolutive SFP'!AM43</f>
        <v>0</v>
      </c>
      <c r="AO18" s="163">
        <f>'Evolutive SFP'!AN43</f>
        <v>0</v>
      </c>
      <c r="AP18" s="163">
        <f>'Evolutive SFP'!AO43</f>
        <v>0</v>
      </c>
      <c r="AQ18" s="163">
        <f>'Evolutive SFP'!AP43</f>
        <v>0</v>
      </c>
    </row>
    <row r="19" spans="1:43" ht="15.6">
      <c r="A19" s="165" t="s">
        <v>110</v>
      </c>
      <c r="B19" s="164" t="s">
        <v>45</v>
      </c>
      <c r="C19" s="163">
        <f>'Evolutive SFP'!B44</f>
        <v>531274</v>
      </c>
      <c r="D19" s="163">
        <f>'Evolutive SFP'!C44</f>
        <v>7521643</v>
      </c>
      <c r="E19" s="163">
        <f>'Evolutive SFP'!D44</f>
        <v>4765423</v>
      </c>
      <c r="F19" s="163">
        <f>'Evolutive SFP'!E44</f>
        <v>7933092</v>
      </c>
      <c r="G19" s="163">
        <f>'Evolutive SFP'!F44</f>
        <v>7933092</v>
      </c>
      <c r="H19" s="163">
        <f>'Evolutive SFP'!G44</f>
        <v>7933092</v>
      </c>
      <c r="I19" s="163">
        <f>'Evolutive SFP'!H44</f>
        <v>7933092</v>
      </c>
      <c r="J19" s="163">
        <f>'Evolutive SFP'!I44</f>
        <v>7933092</v>
      </c>
      <c r="K19" s="163">
        <f>'Evolutive SFP'!J44</f>
        <v>7933092</v>
      </c>
      <c r="L19" s="163">
        <f>'Evolutive SFP'!K44</f>
        <v>7933092</v>
      </c>
      <c r="M19" s="163">
        <f>'Evolutive SFP'!L44</f>
        <v>7933092</v>
      </c>
      <c r="N19" s="163">
        <f>'Evolutive SFP'!M44</f>
        <v>7933092</v>
      </c>
      <c r="O19" s="163">
        <f>'Evolutive SFP'!N44</f>
        <v>7933092</v>
      </c>
      <c r="P19" s="163">
        <f>'Evolutive SFP'!O44</f>
        <v>7933092</v>
      </c>
      <c r="Q19" s="163">
        <f>'Evolutive SFP'!P44</f>
        <v>11356525</v>
      </c>
      <c r="R19" s="163">
        <f>'Evolutive SFP'!Q44</f>
        <v>7933092</v>
      </c>
      <c r="S19" s="163">
        <f>'Evolutive SFP'!R44</f>
        <v>11356525</v>
      </c>
      <c r="T19" s="163">
        <f>'Evolutive SFP'!S44</f>
        <v>11356525</v>
      </c>
      <c r="U19" s="163">
        <f>'Evolutive SFP'!T44</f>
        <v>11356525</v>
      </c>
      <c r="V19" s="163">
        <f>'Evolutive SFP'!U44</f>
        <v>11356525</v>
      </c>
      <c r="W19" s="163">
        <f>'Evolutive SFP'!V44</f>
        <v>11356525</v>
      </c>
      <c r="X19" s="163">
        <f>'Evolutive SFP'!W44</f>
        <v>11356525</v>
      </c>
      <c r="Y19" s="163">
        <f>'Evolutive SFP'!X44</f>
        <v>11356525</v>
      </c>
      <c r="Z19" s="163">
        <f>'Evolutive SFP'!Y44</f>
        <v>11356525</v>
      </c>
      <c r="AA19" s="163">
        <f>'Evolutive SFP'!Z44</f>
        <v>11356525</v>
      </c>
      <c r="AB19" s="163">
        <f>'Evolutive SFP'!AA44</f>
        <v>11356525</v>
      </c>
      <c r="AC19" s="163">
        <f>'Evolutive SFP'!AB44</f>
        <v>11356525</v>
      </c>
      <c r="AD19" s="163">
        <f>'Evolutive SFP'!AC44</f>
        <v>15456152</v>
      </c>
      <c r="AE19" s="163">
        <f>'Evolutive SFP'!AD44</f>
        <v>11356525</v>
      </c>
      <c r="AF19" s="163">
        <f>'Evolutive SFP'!AE44</f>
        <v>15456153</v>
      </c>
      <c r="AG19" s="163">
        <f>'Evolutive SFP'!AF44</f>
        <v>15456152</v>
      </c>
      <c r="AH19" s="163">
        <f>'Evolutive SFP'!AG44</f>
        <v>15456152</v>
      </c>
      <c r="AI19" s="163">
        <f>'Evolutive SFP'!AH44</f>
        <v>15456152</v>
      </c>
      <c r="AJ19" s="163">
        <f>'Evolutive SFP'!AI44</f>
        <v>15456152</v>
      </c>
      <c r="AK19" s="163">
        <f>'Evolutive SFP'!AJ44</f>
        <v>15456152</v>
      </c>
      <c r="AL19" s="163">
        <f>'Evolutive SFP'!AK44</f>
        <v>0</v>
      </c>
      <c r="AM19" s="163">
        <f>'Evolutive SFP'!AL44</f>
        <v>0</v>
      </c>
      <c r="AN19" s="163">
        <f>'Evolutive SFP'!AM44</f>
        <v>0</v>
      </c>
      <c r="AO19" s="163">
        <f>'Evolutive SFP'!AN44</f>
        <v>0</v>
      </c>
      <c r="AP19" s="163">
        <f>'Evolutive SFP'!AO44</f>
        <v>0</v>
      </c>
      <c r="AQ19" s="163">
        <f>'Evolutive SFP'!AP44</f>
        <v>0</v>
      </c>
    </row>
    <row r="20" spans="1:43" ht="15.6">
      <c r="A20" s="165" t="s">
        <v>111</v>
      </c>
      <c r="B20" s="164" t="s">
        <v>112</v>
      </c>
      <c r="C20" s="163">
        <f>('Evolutive SFP'!B45)</f>
        <v>0</v>
      </c>
      <c r="D20" s="163">
        <f>('Evolutive SFP'!C45)</f>
        <v>0</v>
      </c>
      <c r="E20" s="163">
        <f>('Evolutive SFP'!D45)</f>
        <v>28528125.84</v>
      </c>
      <c r="F20" s="163">
        <f>('Evolutive SFP'!E45)</f>
        <v>0</v>
      </c>
      <c r="G20" s="163">
        <f>('Evolutive SFP'!F45)</f>
        <v>0</v>
      </c>
      <c r="H20" s="163">
        <f>('Evolutive SFP'!G45)</f>
        <v>0</v>
      </c>
      <c r="I20" s="163">
        <f>('Evolutive SFP'!H45)</f>
        <v>0</v>
      </c>
      <c r="J20" s="163">
        <f>('Evolutive SFP'!I45)</f>
        <v>0</v>
      </c>
      <c r="K20" s="163">
        <f>('Evolutive SFP'!J45)</f>
        <v>0</v>
      </c>
      <c r="L20" s="163">
        <f>('Evolutive SFP'!K45)</f>
        <v>0</v>
      </c>
      <c r="M20" s="163">
        <f>('Evolutive SFP'!L45)</f>
        <v>0</v>
      </c>
      <c r="N20" s="163">
        <f>('Evolutive SFP'!M45)</f>
        <v>0</v>
      </c>
      <c r="O20" s="163">
        <f>('Evolutive SFP'!N45)</f>
        <v>0</v>
      </c>
      <c r="P20" s="163">
        <f>('Evolutive SFP'!O45)</f>
        <v>0</v>
      </c>
      <c r="Q20" s="163">
        <f>('Evolutive SFP'!P45)</f>
        <v>0</v>
      </c>
      <c r="R20" s="163">
        <f>('Evolutive SFP'!Q45)</f>
        <v>38693857.700000003</v>
      </c>
      <c r="S20" s="163">
        <f>('Evolutive SFP'!R45)</f>
        <v>350033.7</v>
      </c>
      <c r="T20" s="163">
        <f>('Evolutive SFP'!S45)</f>
        <v>0</v>
      </c>
      <c r="U20" s="163">
        <f>('Evolutive SFP'!T45)</f>
        <v>0</v>
      </c>
      <c r="V20" s="163">
        <f>('Evolutive SFP'!U45)</f>
        <v>0</v>
      </c>
      <c r="W20" s="163">
        <f>('Evolutive SFP'!V45)</f>
        <v>0</v>
      </c>
      <c r="X20" s="163">
        <f>('Evolutive SFP'!W45)</f>
        <v>0</v>
      </c>
      <c r="Y20" s="163">
        <f>('Evolutive SFP'!X45)</f>
        <v>0</v>
      </c>
      <c r="Z20" s="163">
        <f>('Evolutive SFP'!Y45)</f>
        <v>0</v>
      </c>
      <c r="AA20" s="163">
        <f>('Evolutive SFP'!Z45)</f>
        <v>0</v>
      </c>
      <c r="AB20" s="163">
        <f>('Evolutive SFP'!AA45)</f>
        <v>0</v>
      </c>
      <c r="AC20" s="163">
        <f>('Evolutive SFP'!AB45)</f>
        <v>0</v>
      </c>
      <c r="AD20" s="163">
        <f>('Evolutive SFP'!AC45)</f>
        <v>0</v>
      </c>
      <c r="AE20" s="163">
        <f>('Evolutive SFP'!AD45)</f>
        <v>40104502.240000002</v>
      </c>
      <c r="AF20" s="163">
        <f>('Evolutive SFP'!AE45)</f>
        <v>2493172.2400000002</v>
      </c>
      <c r="AG20" s="163">
        <f>('Evolutive SFP'!AF45)</f>
        <v>0</v>
      </c>
      <c r="AH20" s="163">
        <f>('Evolutive SFP'!AG45)</f>
        <v>0</v>
      </c>
      <c r="AI20" s="163">
        <f>('Evolutive SFP'!AH45)</f>
        <v>0</v>
      </c>
      <c r="AJ20" s="163">
        <f>('Evolutive SFP'!AI45)</f>
        <v>0</v>
      </c>
      <c r="AK20" s="163">
        <f>('Evolutive SFP'!AJ45)</f>
        <v>0</v>
      </c>
      <c r="AL20" s="163">
        <f>('Evolutive SFP'!AK45)</f>
        <v>0</v>
      </c>
      <c r="AM20" s="163">
        <f>('Evolutive SFP'!AL45)</f>
        <v>0</v>
      </c>
      <c r="AN20" s="163">
        <f>('Evolutive SFP'!AM45)</f>
        <v>0</v>
      </c>
      <c r="AO20" s="163">
        <f>('Evolutive SFP'!AN45)</f>
        <v>0</v>
      </c>
      <c r="AP20" s="163">
        <f>('Evolutive SFP'!AO45)</f>
        <v>0</v>
      </c>
      <c r="AQ20" s="163">
        <f>('Evolutive SFP'!AP45)</f>
        <v>0</v>
      </c>
    </row>
    <row r="21" spans="1:43" ht="15.6">
      <c r="A21" s="165" t="s">
        <v>113</v>
      </c>
      <c r="B21" s="170" t="s">
        <v>114</v>
      </c>
      <c r="C21" s="163">
        <f>C22+C23</f>
        <v>0</v>
      </c>
      <c r="D21" s="163">
        <f>D22+D23</f>
        <v>0</v>
      </c>
      <c r="E21" s="163">
        <f>E22+E23</f>
        <v>0</v>
      </c>
      <c r="F21" s="163">
        <f>F22+F23</f>
        <v>0</v>
      </c>
      <c r="G21" s="163">
        <f t="shared" ref="G21:N21" si="13">G22+G23</f>
        <v>0</v>
      </c>
      <c r="H21" s="163">
        <f>H22+H23</f>
        <v>0</v>
      </c>
      <c r="I21" s="163">
        <f>I22+I23</f>
        <v>0</v>
      </c>
      <c r="J21" s="163">
        <f t="shared" si="13"/>
        <v>0</v>
      </c>
      <c r="K21" s="163">
        <f t="shared" si="13"/>
        <v>0</v>
      </c>
      <c r="L21" s="163">
        <f t="shared" si="13"/>
        <v>0</v>
      </c>
      <c r="M21" s="163">
        <f t="shared" si="13"/>
        <v>0</v>
      </c>
      <c r="N21" s="163">
        <f t="shared" si="13"/>
        <v>0</v>
      </c>
      <c r="O21" s="163">
        <f t="shared" ref="O21:AF21" si="14">O22+O23</f>
        <v>0</v>
      </c>
      <c r="P21" s="163">
        <f t="shared" si="14"/>
        <v>0</v>
      </c>
      <c r="Q21" s="163">
        <f t="shared" si="14"/>
        <v>0</v>
      </c>
      <c r="R21" s="163">
        <f t="shared" si="14"/>
        <v>0</v>
      </c>
      <c r="S21" s="163">
        <f t="shared" si="14"/>
        <v>0</v>
      </c>
      <c r="T21" s="163">
        <f t="shared" si="14"/>
        <v>0</v>
      </c>
      <c r="U21" s="163">
        <f t="shared" si="14"/>
        <v>0</v>
      </c>
      <c r="V21" s="163">
        <f t="shared" si="14"/>
        <v>0</v>
      </c>
      <c r="W21" s="163">
        <f t="shared" si="14"/>
        <v>0</v>
      </c>
      <c r="X21" s="163">
        <f t="shared" si="14"/>
        <v>0</v>
      </c>
      <c r="Y21" s="163">
        <f t="shared" si="14"/>
        <v>0</v>
      </c>
      <c r="Z21" s="163">
        <f t="shared" si="14"/>
        <v>0</v>
      </c>
      <c r="AA21" s="163">
        <f t="shared" si="14"/>
        <v>0</v>
      </c>
      <c r="AB21" s="163">
        <f t="shared" si="14"/>
        <v>0</v>
      </c>
      <c r="AC21" s="163">
        <f t="shared" si="14"/>
        <v>0</v>
      </c>
      <c r="AD21" s="163">
        <f t="shared" si="14"/>
        <v>0</v>
      </c>
      <c r="AE21" s="163">
        <f t="shared" si="14"/>
        <v>0</v>
      </c>
      <c r="AF21" s="163">
        <f t="shared" si="14"/>
        <v>0</v>
      </c>
      <c r="AG21" s="163">
        <f t="shared" ref="AG21:AI21" si="15">AG22+AG23</f>
        <v>0</v>
      </c>
      <c r="AH21" s="163">
        <f t="shared" si="15"/>
        <v>0</v>
      </c>
      <c r="AI21" s="163">
        <f t="shared" si="15"/>
        <v>0</v>
      </c>
      <c r="AJ21" s="163">
        <f t="shared" ref="AJ21:AQ21" si="16">AJ22+AJ23</f>
        <v>0</v>
      </c>
      <c r="AK21" s="163">
        <f t="shared" si="16"/>
        <v>0</v>
      </c>
      <c r="AL21" s="163">
        <f t="shared" si="16"/>
        <v>0</v>
      </c>
      <c r="AM21" s="163">
        <f t="shared" si="16"/>
        <v>0</v>
      </c>
      <c r="AN21" s="163">
        <f t="shared" si="16"/>
        <v>0</v>
      </c>
      <c r="AO21" s="163">
        <f t="shared" si="16"/>
        <v>0</v>
      </c>
      <c r="AP21" s="163">
        <f t="shared" si="16"/>
        <v>0</v>
      </c>
      <c r="AQ21" s="163">
        <f t="shared" si="16"/>
        <v>0</v>
      </c>
    </row>
    <row r="22" spans="1:43" ht="15.6">
      <c r="A22" s="171" t="s">
        <v>115</v>
      </c>
      <c r="B22" s="164" t="s">
        <v>48</v>
      </c>
      <c r="C22" s="163">
        <f>'Evolutive SFP'!B47</f>
        <v>0</v>
      </c>
      <c r="D22" s="163">
        <f>'Evolutive SFP'!C47</f>
        <v>0</v>
      </c>
      <c r="E22" s="163">
        <f>'Evolutive SFP'!D47</f>
        <v>0</v>
      </c>
      <c r="F22" s="163">
        <f>'Evolutive SFP'!E47</f>
        <v>0</v>
      </c>
      <c r="G22" s="163">
        <f>'Evolutive SFP'!F47</f>
        <v>0</v>
      </c>
      <c r="H22" s="163">
        <f>'Evolutive SFP'!G47</f>
        <v>0</v>
      </c>
      <c r="I22" s="163">
        <f>'Evolutive SFP'!H47</f>
        <v>0</v>
      </c>
      <c r="J22" s="163">
        <f>'Evolutive SFP'!I47</f>
        <v>0</v>
      </c>
      <c r="K22" s="163">
        <f>'Evolutive SFP'!J47</f>
        <v>0</v>
      </c>
      <c r="L22" s="163">
        <f>'Evolutive SFP'!K47</f>
        <v>0</v>
      </c>
      <c r="M22" s="163">
        <f>'Evolutive SFP'!L47</f>
        <v>0</v>
      </c>
      <c r="N22" s="163">
        <f>'Evolutive SFP'!M47</f>
        <v>0</v>
      </c>
      <c r="O22" s="163">
        <f>'Evolutive SFP'!N47</f>
        <v>0</v>
      </c>
      <c r="P22" s="163">
        <f>'Evolutive SFP'!O47</f>
        <v>0</v>
      </c>
      <c r="Q22" s="163">
        <f>'Evolutive SFP'!P47</f>
        <v>0</v>
      </c>
      <c r="R22" s="163">
        <f>'Evolutive SFP'!Q47</f>
        <v>0</v>
      </c>
      <c r="S22" s="163">
        <f>'Evolutive SFP'!R47</f>
        <v>0</v>
      </c>
      <c r="T22" s="163">
        <f>'Evolutive SFP'!S47</f>
        <v>0</v>
      </c>
      <c r="U22" s="163">
        <f>'Evolutive SFP'!T47</f>
        <v>0</v>
      </c>
      <c r="V22" s="163">
        <f>'Evolutive SFP'!U47</f>
        <v>0</v>
      </c>
      <c r="W22" s="163">
        <f>'Evolutive SFP'!V47</f>
        <v>0</v>
      </c>
      <c r="X22" s="163">
        <f>'Evolutive SFP'!W47</f>
        <v>0</v>
      </c>
      <c r="Y22" s="163">
        <f>'Evolutive SFP'!X47</f>
        <v>0</v>
      </c>
      <c r="Z22" s="163">
        <f>'Evolutive SFP'!Y47</f>
        <v>0</v>
      </c>
      <c r="AA22" s="163">
        <f>'Evolutive SFP'!Z47</f>
        <v>0</v>
      </c>
      <c r="AB22" s="163">
        <f>'Evolutive SFP'!AA47</f>
        <v>0</v>
      </c>
      <c r="AC22" s="163">
        <f>'Evolutive SFP'!AB47</f>
        <v>0</v>
      </c>
      <c r="AD22" s="163">
        <f>'Evolutive SFP'!AC47</f>
        <v>0</v>
      </c>
      <c r="AE22" s="163">
        <f>'Evolutive SFP'!AD47</f>
        <v>0</v>
      </c>
      <c r="AF22" s="163">
        <f>'Evolutive SFP'!AE47</f>
        <v>0</v>
      </c>
      <c r="AG22" s="163">
        <f>'Evolutive SFP'!AF47</f>
        <v>0</v>
      </c>
      <c r="AH22" s="163">
        <f>'Evolutive SFP'!AG47</f>
        <v>0</v>
      </c>
      <c r="AI22" s="163">
        <f>'Evolutive SFP'!AH47</f>
        <v>0</v>
      </c>
      <c r="AJ22" s="163">
        <f>'Evolutive SFP'!AI47</f>
        <v>0</v>
      </c>
      <c r="AK22" s="163">
        <f>'Evolutive SFP'!AJ47</f>
        <v>0</v>
      </c>
      <c r="AL22" s="163">
        <f>'Evolutive SFP'!AK47</f>
        <v>0</v>
      </c>
      <c r="AM22" s="163">
        <f>'Evolutive SFP'!AL47</f>
        <v>0</v>
      </c>
      <c r="AN22" s="163">
        <f>'Evolutive SFP'!AM47</f>
        <v>0</v>
      </c>
      <c r="AO22" s="163">
        <f>'Evolutive SFP'!AN47</f>
        <v>0</v>
      </c>
      <c r="AP22" s="163">
        <f>'Evolutive SFP'!AO47</f>
        <v>0</v>
      </c>
      <c r="AQ22" s="163">
        <f>'Evolutive SFP'!AP47</f>
        <v>0</v>
      </c>
    </row>
    <row r="23" spans="1:43" ht="15.6">
      <c r="A23" s="171" t="s">
        <v>116</v>
      </c>
      <c r="B23" s="164" t="s">
        <v>117</v>
      </c>
      <c r="C23" s="163"/>
      <c r="D23" s="163"/>
      <c r="E23" s="163"/>
      <c r="F23" s="163"/>
      <c r="G23" s="163"/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U23" s="163"/>
      <c r="V23" s="163"/>
      <c r="W23" s="163"/>
      <c r="X23" s="163"/>
      <c r="Y23" s="163"/>
      <c r="Z23" s="163"/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3"/>
      <c r="AQ23" s="163"/>
    </row>
    <row r="24" spans="1:43" ht="15.6">
      <c r="A24" s="161"/>
      <c r="B24" s="172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M24" s="163"/>
      <c r="AN24" s="163"/>
      <c r="AO24" s="163"/>
      <c r="AP24" s="163"/>
      <c r="AQ24" s="163"/>
    </row>
    <row r="25" spans="1:43" s="2" customFormat="1" ht="15.6">
      <c r="A25" s="166">
        <v>6</v>
      </c>
      <c r="B25" s="170" t="s">
        <v>118</v>
      </c>
      <c r="C25" s="167">
        <f>C26+C27+C28</f>
        <v>472260</v>
      </c>
      <c r="D25" s="167">
        <f>D26+D27+D28</f>
        <v>293021</v>
      </c>
      <c r="E25" s="167">
        <f>E26+E27+E28</f>
        <v>293020.64</v>
      </c>
      <c r="F25" s="167">
        <f>F26+F27+F28</f>
        <v>293020.64</v>
      </c>
      <c r="G25" s="167">
        <f t="shared" ref="G25:N25" si="17">G26+G27+G28</f>
        <v>293020.64</v>
      </c>
      <c r="H25" s="167">
        <f>H26+H27+H28</f>
        <v>293020.64</v>
      </c>
      <c r="I25" s="167">
        <f>I26+I27+I28</f>
        <v>293020.64</v>
      </c>
      <c r="J25" s="167">
        <f t="shared" si="17"/>
        <v>293020.64</v>
      </c>
      <c r="K25" s="167">
        <f t="shared" si="17"/>
        <v>293020.64</v>
      </c>
      <c r="L25" s="167">
        <f t="shared" si="17"/>
        <v>293020.64</v>
      </c>
      <c r="M25" s="167">
        <f t="shared" si="17"/>
        <v>293020.64</v>
      </c>
      <c r="N25" s="167">
        <f t="shared" si="17"/>
        <v>293020.64</v>
      </c>
      <c r="O25" s="167">
        <f>O26+O27+O28</f>
        <v>293020.64</v>
      </c>
      <c r="P25" s="167">
        <f>P26+P27+P28</f>
        <v>293020.64</v>
      </c>
      <c r="Q25" s="167">
        <f>Q26+Q27+Q28</f>
        <v>293021</v>
      </c>
      <c r="R25" s="167">
        <f t="shared" ref="R25:AF25" si="18">R26+R27+R28</f>
        <v>293020.64</v>
      </c>
      <c r="S25" s="167">
        <f t="shared" si="18"/>
        <v>293020.64</v>
      </c>
      <c r="T25" s="167">
        <f t="shared" si="18"/>
        <v>293020.64</v>
      </c>
      <c r="U25" s="167">
        <f t="shared" si="18"/>
        <v>293020.64</v>
      </c>
      <c r="V25" s="167">
        <f t="shared" si="18"/>
        <v>293020.64</v>
      </c>
      <c r="W25" s="167">
        <f t="shared" si="18"/>
        <v>293020.64</v>
      </c>
      <c r="X25" s="167">
        <f t="shared" si="18"/>
        <v>293020.64</v>
      </c>
      <c r="Y25" s="167">
        <f t="shared" si="18"/>
        <v>293020.64</v>
      </c>
      <c r="Z25" s="167">
        <f t="shared" si="18"/>
        <v>293020.64</v>
      </c>
      <c r="AA25" s="167">
        <f t="shared" si="18"/>
        <v>293020.64</v>
      </c>
      <c r="AB25" s="167">
        <f t="shared" si="18"/>
        <v>293020.64</v>
      </c>
      <c r="AC25" s="167">
        <f t="shared" si="18"/>
        <v>293020.64</v>
      </c>
      <c r="AD25" s="167">
        <f t="shared" si="18"/>
        <v>235166</v>
      </c>
      <c r="AE25" s="167">
        <f t="shared" si="18"/>
        <v>0</v>
      </c>
      <c r="AF25" s="167">
        <f t="shared" si="18"/>
        <v>0</v>
      </c>
      <c r="AG25" s="167">
        <f t="shared" ref="AG25:AI25" si="19">AG26+AG27+AG28</f>
        <v>0</v>
      </c>
      <c r="AH25" s="167">
        <f t="shared" si="19"/>
        <v>0</v>
      </c>
      <c r="AI25" s="167">
        <f t="shared" si="19"/>
        <v>0</v>
      </c>
      <c r="AJ25" s="167">
        <f t="shared" ref="AJ25:AQ25" si="20">AJ26+AJ27+AJ28</f>
        <v>0</v>
      </c>
      <c r="AK25" s="167">
        <f t="shared" si="20"/>
        <v>0</v>
      </c>
      <c r="AL25" s="167">
        <f t="shared" si="20"/>
        <v>0</v>
      </c>
      <c r="AM25" s="167">
        <f t="shared" si="20"/>
        <v>0</v>
      </c>
      <c r="AN25" s="167">
        <f t="shared" si="20"/>
        <v>0</v>
      </c>
      <c r="AO25" s="167">
        <f t="shared" si="20"/>
        <v>0</v>
      </c>
      <c r="AP25" s="167">
        <f t="shared" si="20"/>
        <v>0</v>
      </c>
      <c r="AQ25" s="167">
        <f t="shared" si="20"/>
        <v>0</v>
      </c>
    </row>
    <row r="26" spans="1:43" ht="15.6">
      <c r="A26" s="165">
        <v>6.1</v>
      </c>
      <c r="B26" s="164" t="s">
        <v>119</v>
      </c>
      <c r="C26" s="163">
        <f>'Evolutive SFP'!B14</f>
        <v>472260</v>
      </c>
      <c r="D26" s="163">
        <f>'Evolutive SFP'!C14</f>
        <v>293021</v>
      </c>
      <c r="E26" s="163">
        <f>'Evolutive SFP'!D14</f>
        <v>293020.64</v>
      </c>
      <c r="F26" s="163">
        <f>'Evolutive SFP'!E14</f>
        <v>293020.64</v>
      </c>
      <c r="G26" s="163">
        <f>'Evolutive SFP'!F14</f>
        <v>293020.64</v>
      </c>
      <c r="H26" s="163">
        <f>'Evolutive SFP'!G14</f>
        <v>293020.64</v>
      </c>
      <c r="I26" s="163">
        <f>'Evolutive SFP'!H14</f>
        <v>293020.64</v>
      </c>
      <c r="J26" s="163">
        <f>'Evolutive SFP'!I14</f>
        <v>293020.64</v>
      </c>
      <c r="K26" s="163">
        <f>'Evolutive SFP'!J14</f>
        <v>293020.64</v>
      </c>
      <c r="L26" s="163">
        <f>'Evolutive SFP'!K14</f>
        <v>293020.64</v>
      </c>
      <c r="M26" s="163">
        <f>'Evolutive SFP'!L14</f>
        <v>293020.64</v>
      </c>
      <c r="N26" s="163">
        <f>'Evolutive SFP'!M14</f>
        <v>293020.64</v>
      </c>
      <c r="O26" s="163">
        <f>'Evolutive SFP'!N14</f>
        <v>293020.64</v>
      </c>
      <c r="P26" s="163">
        <f>'Evolutive SFP'!O14</f>
        <v>293020.64</v>
      </c>
      <c r="Q26" s="163">
        <f>'Evolutive SFP'!P14</f>
        <v>293021</v>
      </c>
      <c r="R26" s="163">
        <f>'Evolutive SFP'!Q14</f>
        <v>293020.64</v>
      </c>
      <c r="S26" s="163">
        <f>'Evolutive SFP'!R14</f>
        <v>293020.64</v>
      </c>
      <c r="T26" s="163">
        <f>'Evolutive SFP'!S14</f>
        <v>293020.64</v>
      </c>
      <c r="U26" s="163">
        <f>'Evolutive SFP'!T14</f>
        <v>293020.64</v>
      </c>
      <c r="V26" s="163">
        <f>'Evolutive SFP'!U14</f>
        <v>293020.64</v>
      </c>
      <c r="W26" s="163">
        <f>'Evolutive SFP'!V14</f>
        <v>293020.64</v>
      </c>
      <c r="X26" s="163">
        <f>'Evolutive SFP'!W14</f>
        <v>293020.64</v>
      </c>
      <c r="Y26" s="163">
        <f>'Evolutive SFP'!X14</f>
        <v>293020.64</v>
      </c>
      <c r="Z26" s="163">
        <f>'Evolutive SFP'!Y14</f>
        <v>293020.64</v>
      </c>
      <c r="AA26" s="163">
        <f>'Evolutive SFP'!Z14</f>
        <v>293020.64</v>
      </c>
      <c r="AB26" s="163">
        <f>'Evolutive SFP'!AA14</f>
        <v>293020.64</v>
      </c>
      <c r="AC26" s="163">
        <f>'Evolutive SFP'!AB14</f>
        <v>293020.64</v>
      </c>
      <c r="AD26" s="163">
        <f>'Evolutive SFP'!AC14</f>
        <v>235166</v>
      </c>
      <c r="AE26" s="163">
        <f>'Evolutive SFP'!AD14</f>
        <v>0</v>
      </c>
      <c r="AF26" s="163">
        <f>'Evolutive SFP'!AE14</f>
        <v>0</v>
      </c>
      <c r="AG26" s="163">
        <f>'Evolutive SFP'!AF14</f>
        <v>0</v>
      </c>
      <c r="AH26" s="163">
        <f>'Evolutive SFP'!AG14</f>
        <v>0</v>
      </c>
      <c r="AI26" s="163">
        <f>'Evolutive SFP'!AH14</f>
        <v>0</v>
      </c>
      <c r="AJ26" s="163">
        <f>'Evolutive SFP'!AI14</f>
        <v>0</v>
      </c>
      <c r="AK26" s="163">
        <f>'Evolutive SFP'!AJ14</f>
        <v>0</v>
      </c>
      <c r="AL26" s="163">
        <f>'Evolutive SFP'!AK14</f>
        <v>0</v>
      </c>
      <c r="AM26" s="163">
        <f>'Evolutive SFP'!AL14</f>
        <v>0</v>
      </c>
      <c r="AN26" s="163">
        <f>'Evolutive SFP'!AM14</f>
        <v>0</v>
      </c>
      <c r="AO26" s="163">
        <f>'Evolutive SFP'!AN14</f>
        <v>0</v>
      </c>
      <c r="AP26" s="163">
        <f>'Evolutive SFP'!AO14</f>
        <v>0</v>
      </c>
      <c r="AQ26" s="163">
        <f>'Evolutive SFP'!AP14</f>
        <v>0</v>
      </c>
    </row>
    <row r="27" spans="1:43" ht="15.6">
      <c r="A27" s="165">
        <v>6.2</v>
      </c>
      <c r="B27" s="164" t="s">
        <v>120</v>
      </c>
      <c r="C27" s="163">
        <f>'Evolutive SFP'!B11</f>
        <v>0</v>
      </c>
      <c r="D27" s="163">
        <f>'Evolutive SFP'!C11</f>
        <v>0</v>
      </c>
      <c r="E27" s="163">
        <f>'Evolutive SFP'!D11</f>
        <v>0</v>
      </c>
      <c r="F27" s="163">
        <f>'Evolutive SFP'!E11</f>
        <v>0</v>
      </c>
      <c r="G27" s="163">
        <f>'Evolutive SFP'!F11</f>
        <v>0</v>
      </c>
      <c r="H27" s="163">
        <f>'Evolutive SFP'!G11</f>
        <v>0</v>
      </c>
      <c r="I27" s="163">
        <f>'Evolutive SFP'!H11</f>
        <v>0</v>
      </c>
      <c r="J27" s="163">
        <f>'Evolutive SFP'!I11</f>
        <v>0</v>
      </c>
      <c r="K27" s="163">
        <f>'Evolutive SFP'!J11</f>
        <v>0</v>
      </c>
      <c r="L27" s="163">
        <f>'Evolutive SFP'!K11</f>
        <v>0</v>
      </c>
      <c r="M27" s="163">
        <f>'Evolutive SFP'!L11</f>
        <v>0</v>
      </c>
      <c r="N27" s="163">
        <f>'Evolutive SFP'!M11</f>
        <v>0</v>
      </c>
      <c r="O27" s="163">
        <f>'Evolutive SFP'!N11</f>
        <v>0</v>
      </c>
      <c r="P27" s="163">
        <f>'Evolutive SFP'!O11</f>
        <v>0</v>
      </c>
      <c r="Q27" s="163">
        <f>'Evolutive SFP'!P11</f>
        <v>0</v>
      </c>
      <c r="R27" s="163">
        <f>'Evolutive SFP'!Q11</f>
        <v>0</v>
      </c>
      <c r="S27" s="163">
        <f>'Evolutive SFP'!R11</f>
        <v>0</v>
      </c>
      <c r="T27" s="163">
        <f>'Evolutive SFP'!S11</f>
        <v>0</v>
      </c>
      <c r="U27" s="163">
        <f>'Evolutive SFP'!T11</f>
        <v>0</v>
      </c>
      <c r="V27" s="163">
        <f>'Evolutive SFP'!U11</f>
        <v>0</v>
      </c>
      <c r="W27" s="163">
        <f>'Evolutive SFP'!V11</f>
        <v>0</v>
      </c>
      <c r="X27" s="163">
        <f>'Evolutive SFP'!W11</f>
        <v>0</v>
      </c>
      <c r="Y27" s="163">
        <f>'Evolutive SFP'!X11</f>
        <v>0</v>
      </c>
      <c r="Z27" s="163">
        <f>'Evolutive SFP'!Y11</f>
        <v>0</v>
      </c>
      <c r="AA27" s="163">
        <f>'Evolutive SFP'!Z11</f>
        <v>0</v>
      </c>
      <c r="AB27" s="163">
        <f>'Evolutive SFP'!AA11</f>
        <v>0</v>
      </c>
      <c r="AC27" s="163">
        <f>'Evolutive SFP'!AB11</f>
        <v>0</v>
      </c>
      <c r="AD27" s="163">
        <f>'Evolutive SFP'!AC11</f>
        <v>0</v>
      </c>
      <c r="AE27" s="163">
        <f>'Evolutive SFP'!AD11</f>
        <v>0</v>
      </c>
      <c r="AF27" s="163">
        <f>'Evolutive SFP'!AE11</f>
        <v>0</v>
      </c>
      <c r="AG27" s="163">
        <f>'Evolutive SFP'!AF11</f>
        <v>0</v>
      </c>
      <c r="AH27" s="163">
        <f>'Evolutive SFP'!AG11</f>
        <v>0</v>
      </c>
      <c r="AI27" s="163">
        <f>'Evolutive SFP'!AH11</f>
        <v>0</v>
      </c>
      <c r="AJ27" s="163">
        <f>'Evolutive SFP'!AI11</f>
        <v>0</v>
      </c>
      <c r="AK27" s="163">
        <f>'Evolutive SFP'!AJ11</f>
        <v>0</v>
      </c>
      <c r="AL27" s="163">
        <f>'Evolutive SFP'!AK11</f>
        <v>0</v>
      </c>
      <c r="AM27" s="163">
        <f>'Evolutive SFP'!AL11</f>
        <v>0</v>
      </c>
      <c r="AN27" s="163">
        <f>'Evolutive SFP'!AM11</f>
        <v>0</v>
      </c>
      <c r="AO27" s="163">
        <f>'Evolutive SFP'!AN11</f>
        <v>0</v>
      </c>
      <c r="AP27" s="163">
        <f>'Evolutive SFP'!AO11</f>
        <v>0</v>
      </c>
      <c r="AQ27" s="163">
        <f>'Evolutive SFP'!AP11</f>
        <v>0</v>
      </c>
    </row>
    <row r="28" spans="1:43" ht="15.6">
      <c r="A28" s="165">
        <v>6.3</v>
      </c>
      <c r="B28" s="164" t="s">
        <v>121</v>
      </c>
      <c r="C28" s="163">
        <f>'Evolutive SFP'!B12</f>
        <v>0</v>
      </c>
      <c r="D28" s="163">
        <f>'Evolutive SFP'!C12</f>
        <v>0</v>
      </c>
      <c r="E28" s="163">
        <f>'Evolutive SFP'!D12</f>
        <v>0</v>
      </c>
      <c r="F28" s="163">
        <f>'Evolutive SFP'!E12</f>
        <v>0</v>
      </c>
      <c r="G28" s="163">
        <f>'Evolutive SFP'!F12</f>
        <v>0</v>
      </c>
      <c r="H28" s="163">
        <f>'Evolutive SFP'!G12</f>
        <v>0</v>
      </c>
      <c r="I28" s="163">
        <f>'Evolutive SFP'!H12</f>
        <v>0</v>
      </c>
      <c r="J28" s="163">
        <f>'Evolutive SFP'!I12</f>
        <v>0</v>
      </c>
      <c r="K28" s="163">
        <f>'Evolutive SFP'!J12</f>
        <v>0</v>
      </c>
      <c r="L28" s="163">
        <f>'Evolutive SFP'!K12</f>
        <v>0</v>
      </c>
      <c r="M28" s="163">
        <f>'Evolutive SFP'!L12</f>
        <v>0</v>
      </c>
      <c r="N28" s="163">
        <f>'Evolutive SFP'!M12</f>
        <v>0</v>
      </c>
      <c r="O28" s="163">
        <f>'Evolutive SFP'!N12</f>
        <v>0</v>
      </c>
      <c r="P28" s="163">
        <f>'Evolutive SFP'!O12</f>
        <v>0</v>
      </c>
      <c r="Q28" s="163">
        <f>'Evolutive SFP'!P12</f>
        <v>0</v>
      </c>
      <c r="R28" s="163">
        <f>'Evolutive SFP'!Q12</f>
        <v>0</v>
      </c>
      <c r="S28" s="163">
        <f>'Evolutive SFP'!R12</f>
        <v>0</v>
      </c>
      <c r="T28" s="163">
        <f>'Evolutive SFP'!S12</f>
        <v>0</v>
      </c>
      <c r="U28" s="163">
        <f>'Evolutive SFP'!T12</f>
        <v>0</v>
      </c>
      <c r="V28" s="163">
        <f>'Evolutive SFP'!U12</f>
        <v>0</v>
      </c>
      <c r="W28" s="163">
        <f>'Evolutive SFP'!V12</f>
        <v>0</v>
      </c>
      <c r="X28" s="163">
        <f>'Evolutive SFP'!W12</f>
        <v>0</v>
      </c>
      <c r="Y28" s="163">
        <f>'Evolutive SFP'!X12</f>
        <v>0</v>
      </c>
      <c r="Z28" s="163">
        <f>'Evolutive SFP'!Y12</f>
        <v>0</v>
      </c>
      <c r="AA28" s="163">
        <f>'Evolutive SFP'!Z12</f>
        <v>0</v>
      </c>
      <c r="AB28" s="163">
        <f>'Evolutive SFP'!AA12</f>
        <v>0</v>
      </c>
      <c r="AC28" s="163">
        <f>'Evolutive SFP'!AB12</f>
        <v>0</v>
      </c>
      <c r="AD28" s="163">
        <f>'Evolutive SFP'!AC12</f>
        <v>0</v>
      </c>
      <c r="AE28" s="163">
        <f>'Evolutive SFP'!AD12</f>
        <v>0</v>
      </c>
      <c r="AF28" s="163">
        <f>'Evolutive SFP'!AE12</f>
        <v>0</v>
      </c>
      <c r="AG28" s="163">
        <f>'Evolutive SFP'!AF12</f>
        <v>0</v>
      </c>
      <c r="AH28" s="163">
        <f>'Evolutive SFP'!AG12</f>
        <v>0</v>
      </c>
      <c r="AI28" s="163">
        <f>'Evolutive SFP'!AH12</f>
        <v>0</v>
      </c>
      <c r="AJ28" s="163">
        <f>'Evolutive SFP'!AI12</f>
        <v>0</v>
      </c>
      <c r="AK28" s="163">
        <f>'Evolutive SFP'!AJ12</f>
        <v>0</v>
      </c>
      <c r="AL28" s="163">
        <f>'Evolutive SFP'!AK12</f>
        <v>0</v>
      </c>
      <c r="AM28" s="163">
        <f>'Evolutive SFP'!AL12</f>
        <v>0</v>
      </c>
      <c r="AN28" s="163">
        <f>'Evolutive SFP'!AM12</f>
        <v>0</v>
      </c>
      <c r="AO28" s="163">
        <f>'Evolutive SFP'!AN12</f>
        <v>0</v>
      </c>
      <c r="AP28" s="163">
        <f>'Evolutive SFP'!AO12</f>
        <v>0</v>
      </c>
      <c r="AQ28" s="163">
        <f>'Evolutive SFP'!AP12</f>
        <v>0</v>
      </c>
    </row>
    <row r="29" spans="1:43" ht="15.6">
      <c r="A29" s="161"/>
      <c r="B29" s="164"/>
      <c r="C29" s="163"/>
      <c r="D29" s="163"/>
      <c r="E29" s="163"/>
      <c r="F29" s="163"/>
      <c r="G29" s="163"/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  <c r="AH29" s="163"/>
      <c r="AI29" s="163"/>
      <c r="AJ29" s="163"/>
      <c r="AK29" s="163"/>
      <c r="AL29" s="163"/>
      <c r="AM29" s="163"/>
      <c r="AN29" s="163"/>
      <c r="AO29" s="163"/>
      <c r="AP29" s="163"/>
      <c r="AQ29" s="163"/>
    </row>
    <row r="30" spans="1:43" ht="15.6">
      <c r="A30" s="165">
        <v>7</v>
      </c>
      <c r="B30" s="161" t="s">
        <v>122</v>
      </c>
      <c r="C30" s="163">
        <f>'Evolutive SFP'!B15</f>
        <v>112905266</v>
      </c>
      <c r="D30" s="163">
        <f>'Evolutive SFP'!C15</f>
        <v>361847211</v>
      </c>
      <c r="E30" s="163">
        <f>'Evolutive SFP'!D15</f>
        <v>357805192.29999995</v>
      </c>
      <c r="F30" s="163">
        <f>'Evolutive SFP'!E15</f>
        <v>358453779.72000003</v>
      </c>
      <c r="G30" s="163">
        <f>'Evolutive SFP'!F15</f>
        <v>362913129.95999998</v>
      </c>
      <c r="H30" s="163">
        <f>'Evolutive SFP'!G15</f>
        <v>380989366.24000001</v>
      </c>
      <c r="I30" s="163">
        <f>'Evolutive SFP'!H15</f>
        <v>388252932.33999997</v>
      </c>
      <c r="J30" s="163">
        <f>'Evolutive SFP'!I15</f>
        <v>389924744.27000004</v>
      </c>
      <c r="K30" s="163">
        <f>'Evolutive SFP'!J15</f>
        <v>410138221.56</v>
      </c>
      <c r="L30" s="163">
        <f>'Evolutive SFP'!K15</f>
        <v>413717736.58999997</v>
      </c>
      <c r="M30" s="163">
        <f>'Evolutive SFP'!L15</f>
        <v>414989006.19</v>
      </c>
      <c r="N30" s="163">
        <f>'Evolutive SFP'!M15</f>
        <v>420941773.04999995</v>
      </c>
      <c r="O30" s="163">
        <f>'Evolutive SFP'!N15</f>
        <v>440002262.54000002</v>
      </c>
      <c r="P30" s="163">
        <f>'Evolutive SFP'!O15</f>
        <v>459951244.04000002</v>
      </c>
      <c r="Q30" s="163">
        <f>'Evolutive SFP'!P15</f>
        <v>459812005</v>
      </c>
      <c r="R30" s="163">
        <f>'Evolutive SFP'!Q15</f>
        <v>455464542.23000002</v>
      </c>
      <c r="S30" s="163">
        <f>'Evolutive SFP'!R15</f>
        <v>462580311.88999999</v>
      </c>
      <c r="T30" s="163">
        <f>'Evolutive SFP'!S15</f>
        <v>469640749.61000001</v>
      </c>
      <c r="U30" s="163">
        <f>'Evolutive SFP'!T15</f>
        <v>486836573.73000002</v>
      </c>
      <c r="V30" s="163">
        <f>'Evolutive SFP'!U15</f>
        <v>507572851.88000005</v>
      </c>
      <c r="W30" s="163">
        <f>'Evolutive SFP'!V15</f>
        <v>512281590</v>
      </c>
      <c r="X30" s="163">
        <f>'Evolutive SFP'!W15</f>
        <v>514063125.45000005</v>
      </c>
      <c r="Y30" s="163">
        <f>'Evolutive SFP'!X15</f>
        <v>514142281.67000002</v>
      </c>
      <c r="Z30" s="163">
        <f>'Evolutive SFP'!Y15</f>
        <v>525320227.94</v>
      </c>
      <c r="AA30" s="163">
        <f>'Evolutive SFP'!Z15</f>
        <v>536561728.89999998</v>
      </c>
      <c r="AB30" s="163">
        <f>'Evolutive SFP'!AA15</f>
        <v>582453257.77999997</v>
      </c>
      <c r="AC30" s="163">
        <f>'Evolutive SFP'!AB15</f>
        <v>578065236.90999997</v>
      </c>
      <c r="AD30" s="163">
        <f>'Evolutive SFP'!AC15</f>
        <v>578065237</v>
      </c>
      <c r="AE30" s="163">
        <f>'Evolutive SFP'!AD15</f>
        <v>572893137.93000007</v>
      </c>
      <c r="AF30" s="163">
        <f>'Evolutive SFP'!AE15</f>
        <v>561888579.20000005</v>
      </c>
      <c r="AG30" s="163">
        <f>'Evolutive SFP'!AF15</f>
        <v>573305252.79999995</v>
      </c>
      <c r="AH30" s="163">
        <f>'Evolutive SFP'!AG15</f>
        <v>573627987.68999994</v>
      </c>
      <c r="AI30" s="163">
        <f>'Evolutive SFP'!AH15</f>
        <v>605217590.62</v>
      </c>
      <c r="AJ30" s="163">
        <f>'Evolutive SFP'!AI15</f>
        <v>601728442.08000004</v>
      </c>
      <c r="AK30" s="163">
        <f>'Evolutive SFP'!AJ15</f>
        <v>603774577.51999998</v>
      </c>
      <c r="AL30" s="163">
        <f>'Evolutive SFP'!AK15</f>
        <v>0</v>
      </c>
      <c r="AM30" s="163">
        <f>'Evolutive SFP'!AL15</f>
        <v>0</v>
      </c>
      <c r="AN30" s="163">
        <f>'Evolutive SFP'!AM15</f>
        <v>0</v>
      </c>
      <c r="AO30" s="163">
        <f>'Evolutive SFP'!AN15</f>
        <v>0</v>
      </c>
      <c r="AP30" s="163">
        <f>'Evolutive SFP'!AO15</f>
        <v>0</v>
      </c>
      <c r="AQ30" s="163">
        <f>'Evolutive SFP'!AP15</f>
        <v>0</v>
      </c>
    </row>
    <row r="31" spans="1:43" ht="15.6">
      <c r="A31" s="165">
        <v>7.1</v>
      </c>
      <c r="B31" s="161" t="s">
        <v>123</v>
      </c>
      <c r="C31" s="163">
        <f>'Evolutive SFP'!B16</f>
        <v>112905266</v>
      </c>
      <c r="D31" s="163">
        <f>'Evolutive SFP'!C16</f>
        <v>371165321</v>
      </c>
      <c r="E31" s="163">
        <f>'Evolutive SFP'!D16</f>
        <v>368761438.58999997</v>
      </c>
      <c r="F31" s="163">
        <f>'Evolutive SFP'!E16</f>
        <v>370977716.35000002</v>
      </c>
      <c r="G31" s="163">
        <f>'Evolutive SFP'!F16</f>
        <v>374512415.19999999</v>
      </c>
      <c r="H31" s="163">
        <f>'Evolutive SFP'!G16</f>
        <v>393659428.92000002</v>
      </c>
      <c r="I31" s="163">
        <f>'Evolutive SFP'!H16</f>
        <v>403379538.51999998</v>
      </c>
      <c r="J31" s="163">
        <f>'Evolutive SFP'!I16</f>
        <v>406623768.60000002</v>
      </c>
      <c r="K31" s="163">
        <f>'Evolutive SFP'!J16</f>
        <v>429647037.13999999</v>
      </c>
      <c r="L31" s="163">
        <f>'Evolutive SFP'!K16</f>
        <v>432565726.19</v>
      </c>
      <c r="M31" s="163">
        <f>'Evolutive SFP'!L16</f>
        <v>438181307.25</v>
      </c>
      <c r="N31" s="163">
        <f>'Evolutive SFP'!M16</f>
        <v>440157331.95999998</v>
      </c>
      <c r="O31" s="163">
        <f>'Evolutive SFP'!N16</f>
        <v>458831367.05000001</v>
      </c>
      <c r="P31" s="163">
        <f>'Evolutive SFP'!O16</f>
        <v>474650345.31</v>
      </c>
      <c r="Q31" s="163">
        <f>'Evolutive SFP'!P16</f>
        <v>478267747</v>
      </c>
      <c r="R31" s="163">
        <f>'Evolutive SFP'!Q16</f>
        <v>475639059.44</v>
      </c>
      <c r="S31" s="163">
        <f>'Evolutive SFP'!R16</f>
        <v>487279692.31999999</v>
      </c>
      <c r="T31" s="163">
        <f>'Evolutive SFP'!S16</f>
        <v>491725642.11000001</v>
      </c>
      <c r="U31" s="163">
        <f>'Evolutive SFP'!T16</f>
        <v>514867988.80000001</v>
      </c>
      <c r="V31" s="163">
        <f>'Evolutive SFP'!U16</f>
        <v>537749202.47000003</v>
      </c>
      <c r="W31" s="163">
        <f>'Evolutive SFP'!V16</f>
        <v>544830829.10000002</v>
      </c>
      <c r="X31" s="163">
        <f>'Evolutive SFP'!W16</f>
        <v>545972012.34000003</v>
      </c>
      <c r="Y31" s="163">
        <f>'Evolutive SFP'!X16</f>
        <v>543249544.35000002</v>
      </c>
      <c r="Z31" s="163">
        <f>'Evolutive SFP'!Y16</f>
        <v>559194349.23000002</v>
      </c>
      <c r="AA31" s="163">
        <f>'Evolutive SFP'!Z16</f>
        <v>569444319.25999999</v>
      </c>
      <c r="AB31" s="163">
        <f>'Evolutive SFP'!AA16</f>
        <v>622917809.15999997</v>
      </c>
      <c r="AC31" s="163">
        <f>'Evolutive SFP'!AB16</f>
        <v>596874250.37</v>
      </c>
      <c r="AD31" s="163">
        <f>'Evolutive SFP'!AC16</f>
        <v>596874250</v>
      </c>
      <c r="AE31" s="163">
        <f>'Evolutive SFP'!AD16</f>
        <v>596803403.60000002</v>
      </c>
      <c r="AF31" s="163">
        <f>'Evolutive SFP'!AE16</f>
        <v>592213172.82000005</v>
      </c>
      <c r="AG31" s="163">
        <f>'Evolutive SFP'!AF16</f>
        <v>598431934.64999998</v>
      </c>
      <c r="AH31" s="163">
        <f>'Evolutive SFP'!AG16</f>
        <v>605377412.41999996</v>
      </c>
      <c r="AI31" s="163">
        <f>'Evolutive SFP'!AH16</f>
        <v>637789629.41999996</v>
      </c>
      <c r="AJ31" s="163">
        <f>'Evolutive SFP'!AI16</f>
        <v>640257694.44000006</v>
      </c>
      <c r="AK31" s="163">
        <f>'Evolutive SFP'!AJ16</f>
        <v>645174447.28999996</v>
      </c>
      <c r="AL31" s="163">
        <f>'Evolutive SFP'!AK16</f>
        <v>0</v>
      </c>
      <c r="AM31" s="163">
        <f>'Evolutive SFP'!AL16</f>
        <v>0</v>
      </c>
      <c r="AN31" s="163">
        <f>'Evolutive SFP'!AM16</f>
        <v>0</v>
      </c>
      <c r="AO31" s="163">
        <f>'Evolutive SFP'!AN16</f>
        <v>0</v>
      </c>
      <c r="AP31" s="163">
        <f>'Evolutive SFP'!AO16</f>
        <v>0</v>
      </c>
      <c r="AQ31" s="163">
        <f>'Evolutive SFP'!AP16</f>
        <v>0</v>
      </c>
    </row>
    <row r="32" spans="1:43" ht="15.6">
      <c r="A32" s="165">
        <v>7.2</v>
      </c>
      <c r="B32" s="161" t="s">
        <v>124</v>
      </c>
      <c r="C32" s="163">
        <f>'Evolutive SFP'!B17</f>
        <v>0</v>
      </c>
      <c r="D32" s="163">
        <f>'Evolutive SFP'!C17</f>
        <v>9318110</v>
      </c>
      <c r="E32" s="163">
        <f>'Evolutive SFP'!D17</f>
        <v>10956246.289999999</v>
      </c>
      <c r="F32" s="163">
        <f>'Evolutive SFP'!E17</f>
        <v>12523936.630000001</v>
      </c>
      <c r="G32" s="163">
        <f>'Evolutive SFP'!F17</f>
        <v>11599285.24</v>
      </c>
      <c r="H32" s="163">
        <f>'Evolutive SFP'!G17</f>
        <v>12670062.68</v>
      </c>
      <c r="I32" s="163">
        <f>'Evolutive SFP'!H17</f>
        <v>15126606.18</v>
      </c>
      <c r="J32" s="163">
        <f>'Evolutive SFP'!I17</f>
        <v>16699024.33</v>
      </c>
      <c r="K32" s="163">
        <f>'Evolutive SFP'!J17</f>
        <v>19508815.579999998</v>
      </c>
      <c r="L32" s="163">
        <f>'Evolutive SFP'!K17</f>
        <v>18847989.600000001</v>
      </c>
      <c r="M32" s="163">
        <f>'Evolutive SFP'!L17</f>
        <v>23192301.059999999</v>
      </c>
      <c r="N32" s="163">
        <f>'Evolutive SFP'!M17</f>
        <v>19215558.91</v>
      </c>
      <c r="O32" s="163">
        <f>'Evolutive SFP'!N17</f>
        <v>18829104.510000002</v>
      </c>
      <c r="P32" s="163">
        <f>'Evolutive SFP'!O17</f>
        <v>14699101.27</v>
      </c>
      <c r="Q32" s="163">
        <f>'Evolutive SFP'!P17</f>
        <v>18455742</v>
      </c>
      <c r="R32" s="163">
        <f>'Evolutive SFP'!Q17</f>
        <v>20174517.210000001</v>
      </c>
      <c r="S32" s="163">
        <f>'Evolutive SFP'!R17</f>
        <v>24699380.43</v>
      </c>
      <c r="T32" s="163">
        <f>'Evolutive SFP'!S17</f>
        <v>22084892.5</v>
      </c>
      <c r="U32" s="163">
        <f>'Evolutive SFP'!T17</f>
        <v>28031415.07</v>
      </c>
      <c r="V32" s="163">
        <f>'Evolutive SFP'!U17</f>
        <v>30176350.59</v>
      </c>
      <c r="W32" s="163">
        <f>'Evolutive SFP'!V17</f>
        <v>32549239.100000001</v>
      </c>
      <c r="X32" s="163">
        <f>'Evolutive SFP'!W17</f>
        <v>31908886.890000001</v>
      </c>
      <c r="Y32" s="163">
        <f>'Evolutive SFP'!X17</f>
        <v>29107262.68</v>
      </c>
      <c r="Z32" s="163">
        <f>'Evolutive SFP'!Y17</f>
        <v>33874121.289999999</v>
      </c>
      <c r="AA32" s="163">
        <f>'Evolutive SFP'!Z17</f>
        <v>32882590.359999999</v>
      </c>
      <c r="AB32" s="163">
        <f>'Evolutive SFP'!AA17</f>
        <v>40464551.380000003</v>
      </c>
      <c r="AC32" s="163">
        <f>'Evolutive SFP'!AB17</f>
        <v>18809013.460000001</v>
      </c>
      <c r="AD32" s="163">
        <f>'Evolutive SFP'!AC17</f>
        <v>18809013</v>
      </c>
      <c r="AE32" s="163">
        <f>'Evolutive SFP'!AD17</f>
        <v>23910265.670000002</v>
      </c>
      <c r="AF32" s="163">
        <f>'Evolutive SFP'!AE17</f>
        <v>30324593.620000001</v>
      </c>
      <c r="AG32" s="163">
        <f>'Evolutive SFP'!AF17</f>
        <v>25126681.850000001</v>
      </c>
      <c r="AH32" s="163">
        <f>'Evolutive SFP'!AG17</f>
        <v>31749424.73</v>
      </c>
      <c r="AI32" s="163">
        <f>'Evolutive SFP'!AH17</f>
        <v>32572038.800000001</v>
      </c>
      <c r="AJ32" s="163">
        <f>'Evolutive SFP'!AI17</f>
        <v>38529252.359999999</v>
      </c>
      <c r="AK32" s="163">
        <f>'Evolutive SFP'!AJ17</f>
        <v>41399869.770000003</v>
      </c>
      <c r="AL32" s="163">
        <f>'Evolutive SFP'!AK17</f>
        <v>0</v>
      </c>
      <c r="AM32" s="163">
        <f>'Evolutive SFP'!AL17</f>
        <v>0</v>
      </c>
      <c r="AN32" s="163">
        <f>'Evolutive SFP'!AM17</f>
        <v>0</v>
      </c>
      <c r="AO32" s="163">
        <f>'Evolutive SFP'!AN17</f>
        <v>0</v>
      </c>
      <c r="AP32" s="163">
        <f>'Evolutive SFP'!AO17</f>
        <v>0</v>
      </c>
      <c r="AQ32" s="163">
        <f>'Evolutive SFP'!AP17</f>
        <v>0</v>
      </c>
    </row>
    <row r="33" spans="1:43" ht="15.6">
      <c r="A33" s="161"/>
      <c r="B33" s="161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M33" s="163"/>
      <c r="AN33" s="163"/>
      <c r="AO33" s="163"/>
      <c r="AP33" s="163"/>
      <c r="AQ33" s="163"/>
    </row>
    <row r="34" spans="1:43" ht="15.6">
      <c r="A34" s="165">
        <v>8</v>
      </c>
      <c r="B34" s="161" t="s">
        <v>125</v>
      </c>
      <c r="C34" s="163">
        <f>'Evolutive SFP'!B22+'Evolutive SFP'!B8</f>
        <v>18274979</v>
      </c>
      <c r="D34" s="163">
        <f>'Evolutive SFP'!C22+'Evolutive SFP'!C8</f>
        <v>22186373</v>
      </c>
      <c r="E34" s="163">
        <f>'Evolutive SFP'!D22+'Evolutive SFP'!D8</f>
        <v>27687116.109999999</v>
      </c>
      <c r="F34" s="163">
        <f>'Evolutive SFP'!E22+'Evolutive SFP'!E8</f>
        <v>26979014.899999999</v>
      </c>
      <c r="G34" s="163">
        <f>'Evolutive SFP'!F22+'Evolutive SFP'!F8</f>
        <v>34139566.32</v>
      </c>
      <c r="H34" s="163">
        <f>'Evolutive SFP'!G22+'Evolutive SFP'!G8</f>
        <v>33478223.390000001</v>
      </c>
      <c r="I34" s="163">
        <f>'Evolutive SFP'!H22+'Evolutive SFP'!H8</f>
        <v>33374580.810000002</v>
      </c>
      <c r="J34" s="163">
        <f>'Evolutive SFP'!I22+'Evolutive SFP'!I8</f>
        <v>33459012.529999997</v>
      </c>
      <c r="K34" s="163">
        <f>'Evolutive SFP'!J22+'Evolutive SFP'!J8</f>
        <v>34936874.409999996</v>
      </c>
      <c r="L34" s="163">
        <f>'Evolutive SFP'!K22+'Evolutive SFP'!K8</f>
        <v>37886744.600000001</v>
      </c>
      <c r="M34" s="163">
        <f>'Evolutive SFP'!L22+'Evolutive SFP'!L8</f>
        <v>37619920.210000001</v>
      </c>
      <c r="N34" s="163">
        <f>'Evolutive SFP'!M22+'Evolutive SFP'!M8</f>
        <v>37946976.350000001</v>
      </c>
      <c r="O34" s="163">
        <f>'Evolutive SFP'!N22+'Evolutive SFP'!N8</f>
        <v>34258790.149999999</v>
      </c>
      <c r="P34" s="163">
        <f>'Evolutive SFP'!O22+'Evolutive SFP'!O8</f>
        <v>31303948.909999996</v>
      </c>
      <c r="Q34" s="163">
        <f>'Evolutive SFP'!P22+'Evolutive SFP'!P8</f>
        <v>27505405</v>
      </c>
      <c r="R34" s="163">
        <f>'Evolutive SFP'!Q22+'Evolutive SFP'!Q8</f>
        <v>34324139.399999999</v>
      </c>
      <c r="S34" s="163">
        <f>'Evolutive SFP'!R22+'Evolutive SFP'!R8</f>
        <v>39340367</v>
      </c>
      <c r="T34" s="163">
        <f>'Evolutive SFP'!S22+'Evolutive SFP'!S8</f>
        <v>41961368.849999994</v>
      </c>
      <c r="U34" s="163">
        <f>'Evolutive SFP'!T22+'Evolutive SFP'!T8</f>
        <v>45834040.099999994</v>
      </c>
      <c r="V34" s="163">
        <f>'Evolutive SFP'!U22+'Evolutive SFP'!U8</f>
        <v>46273584.760000005</v>
      </c>
      <c r="W34" s="163">
        <f>'Evolutive SFP'!V22+'Evolutive SFP'!V8</f>
        <v>47149285.109999999</v>
      </c>
      <c r="X34" s="163">
        <f>'Evolutive SFP'!W22+'Evolutive SFP'!W8</f>
        <v>48648947.600000001</v>
      </c>
      <c r="Y34" s="163">
        <f>'Evolutive SFP'!X22+'Evolutive SFP'!X8</f>
        <v>47785486.129999995</v>
      </c>
      <c r="Z34" s="163">
        <f>'Evolutive SFP'!Y22+'Evolutive SFP'!Y8</f>
        <v>50289635.900000006</v>
      </c>
      <c r="AA34" s="163">
        <f>'Evolutive SFP'!Z22+'Evolutive SFP'!Z8</f>
        <v>55278189.829999998</v>
      </c>
      <c r="AB34" s="163">
        <f>'Evolutive SFP'!AA22+'Evolutive SFP'!AA8</f>
        <v>54458246.009999998</v>
      </c>
      <c r="AC34" s="163">
        <f>'Evolutive SFP'!AB22+'Evolutive SFP'!AB8</f>
        <v>49804280.829999998</v>
      </c>
      <c r="AD34" s="163">
        <f>'Evolutive SFP'!AC22+'Evolutive SFP'!AC8</f>
        <v>47398599</v>
      </c>
      <c r="AE34" s="163">
        <f>'Evolutive SFP'!AD22+'Evolutive SFP'!AD8</f>
        <v>54372788.629999995</v>
      </c>
      <c r="AF34" s="163">
        <f>'Evolutive SFP'!AE22+'Evolutive SFP'!AE8</f>
        <v>53936962.879999995</v>
      </c>
      <c r="AG34" s="163">
        <f>'Evolutive SFP'!AF22+'Evolutive SFP'!AF8</f>
        <v>57687805.309999995</v>
      </c>
      <c r="AH34" s="163">
        <f>'Evolutive SFP'!AG22+'Evolutive SFP'!AG8</f>
        <v>57138807</v>
      </c>
      <c r="AI34" s="163">
        <f>'Evolutive SFP'!AH22+'Evolutive SFP'!AH8</f>
        <v>55609762.179999992</v>
      </c>
      <c r="AJ34" s="163">
        <f>'Evolutive SFP'!AI22+'Evolutive SFP'!AI8</f>
        <v>55860428.659999996</v>
      </c>
      <c r="AK34" s="163">
        <f>'Evolutive SFP'!AJ22+'Evolutive SFP'!AJ8</f>
        <v>55663890.010000005</v>
      </c>
      <c r="AL34" s="163">
        <f>'Evolutive SFP'!AK22+'Evolutive SFP'!AK8</f>
        <v>0</v>
      </c>
      <c r="AM34" s="163">
        <f>'Evolutive SFP'!AL22+'Evolutive SFP'!AL8</f>
        <v>0</v>
      </c>
      <c r="AN34" s="163">
        <f>'Evolutive SFP'!AM22+'Evolutive SFP'!AM8</f>
        <v>0</v>
      </c>
      <c r="AO34" s="163">
        <f>'Evolutive SFP'!AN22+'Evolutive SFP'!AN8</f>
        <v>0</v>
      </c>
      <c r="AP34" s="163">
        <f>'Evolutive SFP'!AO22+'Evolutive SFP'!AO8</f>
        <v>0</v>
      </c>
      <c r="AQ34" s="163">
        <f>'Evolutive SFP'!AP22+'Evolutive SFP'!AP8</f>
        <v>0</v>
      </c>
    </row>
    <row r="35" spans="1:43" ht="15.6">
      <c r="A35" s="165">
        <v>8.1</v>
      </c>
      <c r="B35" s="161" t="s">
        <v>25</v>
      </c>
      <c r="C35" s="163">
        <f>'Evolutive SFP'!B24</f>
        <v>4123114</v>
      </c>
      <c r="D35" s="163">
        <f>'Evolutive SFP'!C24</f>
        <v>12039974</v>
      </c>
      <c r="E35" s="163">
        <f>'Evolutive SFP'!D24</f>
        <v>12071336.449999999</v>
      </c>
      <c r="F35" s="163">
        <f>'Evolutive SFP'!E24</f>
        <v>12791786.51</v>
      </c>
      <c r="G35" s="163">
        <f>'Evolutive SFP'!F24</f>
        <v>12932890.720000001</v>
      </c>
      <c r="H35" s="163">
        <f>'Evolutive SFP'!G24</f>
        <v>13132378.119999999</v>
      </c>
      <c r="I35" s="163">
        <f>'Evolutive SFP'!H24</f>
        <v>13567984.83</v>
      </c>
      <c r="J35" s="163">
        <f>'Evolutive SFP'!I24</f>
        <v>13797096.529999999</v>
      </c>
      <c r="K35" s="163">
        <f>'Evolutive SFP'!J24</f>
        <v>13827901.529999999</v>
      </c>
      <c r="L35" s="163">
        <f>'Evolutive SFP'!K24</f>
        <v>13800084.99</v>
      </c>
      <c r="M35" s="163">
        <f>'Evolutive SFP'!L24</f>
        <v>14956939.76</v>
      </c>
      <c r="N35" s="163">
        <f>'Evolutive SFP'!M24</f>
        <v>15307598.35</v>
      </c>
      <c r="O35" s="163">
        <f>'Evolutive SFP'!N24</f>
        <v>15184616.130000001</v>
      </c>
      <c r="P35" s="163">
        <f>'Evolutive SFP'!O24</f>
        <v>15298013.77</v>
      </c>
      <c r="Q35" s="163">
        <f>'Evolutive SFP'!P24</f>
        <v>15124222</v>
      </c>
      <c r="R35" s="163">
        <f>'Evolutive SFP'!Q24</f>
        <v>15119684.359999999</v>
      </c>
      <c r="S35" s="163">
        <f>'Evolutive SFP'!R24</f>
        <v>14921011.34</v>
      </c>
      <c r="T35" s="163">
        <f>'Evolutive SFP'!S24</f>
        <v>14538513.210000001</v>
      </c>
      <c r="U35" s="163">
        <f>'Evolutive SFP'!T24</f>
        <v>14402758.25</v>
      </c>
      <c r="V35" s="163">
        <f>'Evolutive SFP'!U24</f>
        <v>15343975.310000001</v>
      </c>
      <c r="W35" s="163">
        <f>'Evolutive SFP'!V24</f>
        <v>16026984.119999999</v>
      </c>
      <c r="X35" s="163">
        <f>'Evolutive SFP'!W24</f>
        <v>15996644.109999999</v>
      </c>
      <c r="Y35" s="163">
        <f>'Evolutive SFP'!X24</f>
        <v>20323471.969999999</v>
      </c>
      <c r="Z35" s="163">
        <f>'Evolutive SFP'!Y24</f>
        <v>20103414.359999999</v>
      </c>
      <c r="AA35" s="163">
        <f>'Evolutive SFP'!Z24</f>
        <v>22423919.059999999</v>
      </c>
      <c r="AB35" s="163">
        <f>'Evolutive SFP'!AA24</f>
        <v>27638539.829999998</v>
      </c>
      <c r="AC35" s="163">
        <f>'Evolutive SFP'!AB24</f>
        <v>27897991.879999999</v>
      </c>
      <c r="AD35" s="163">
        <f>'Evolutive SFP'!AC24</f>
        <v>27896112</v>
      </c>
      <c r="AE35" s="163">
        <f>'Evolutive SFP'!AD24</f>
        <v>30247412.579999998</v>
      </c>
      <c r="AF35" s="163">
        <f>'Evolutive SFP'!AE24</f>
        <v>30616312.579999998</v>
      </c>
      <c r="AG35" s="163">
        <f>'Evolutive SFP'!AF24</f>
        <v>30662912.579999998</v>
      </c>
      <c r="AH35" s="163">
        <f>'Evolutive SFP'!AG24</f>
        <v>30385045.59</v>
      </c>
      <c r="AI35" s="163">
        <f>'Evolutive SFP'!AH24</f>
        <v>30230790.27</v>
      </c>
      <c r="AJ35" s="163">
        <f>'Evolutive SFP'!AI24</f>
        <v>30119034.949999999</v>
      </c>
      <c r="AK35" s="163">
        <f>'Evolutive SFP'!AJ24</f>
        <v>30119468.07</v>
      </c>
      <c r="AL35" s="163">
        <f>'Evolutive SFP'!AK24</f>
        <v>0</v>
      </c>
      <c r="AM35" s="163">
        <f>'Evolutive SFP'!AL24</f>
        <v>0</v>
      </c>
      <c r="AN35" s="163">
        <f>'Evolutive SFP'!AM24</f>
        <v>0</v>
      </c>
      <c r="AO35" s="163">
        <f>'Evolutive SFP'!AN24</f>
        <v>0</v>
      </c>
      <c r="AP35" s="163">
        <f>'Evolutive SFP'!AO24</f>
        <v>0</v>
      </c>
      <c r="AQ35" s="163">
        <f>'Evolutive SFP'!AP24</f>
        <v>0</v>
      </c>
    </row>
    <row r="36" spans="1:43" ht="15.6">
      <c r="A36" s="154"/>
      <c r="B36" s="161"/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  <c r="AF36" s="163"/>
      <c r="AG36" s="163"/>
      <c r="AH36" s="163"/>
      <c r="AI36" s="163"/>
      <c r="AJ36" s="163"/>
      <c r="AK36" s="163"/>
      <c r="AL36" s="163"/>
      <c r="AM36" s="163"/>
      <c r="AN36" s="163"/>
      <c r="AO36" s="163"/>
      <c r="AP36" s="163"/>
      <c r="AQ36" s="163"/>
    </row>
    <row r="37" spans="1:43" ht="15.6">
      <c r="A37" s="165">
        <v>9</v>
      </c>
      <c r="B37" s="161" t="s">
        <v>126</v>
      </c>
      <c r="C37" s="163">
        <f>C38+C39+C40+C41</f>
        <v>14599.247546899</v>
      </c>
      <c r="D37" s="163">
        <f>D38+D39+D40+D41</f>
        <v>63720140</v>
      </c>
      <c r="E37" s="163">
        <f>E38+E39+E40+E41</f>
        <v>5713089.21</v>
      </c>
      <c r="F37" s="163">
        <f>F38+F39+F40+F41</f>
        <v>11297673.979999999</v>
      </c>
      <c r="G37" s="163">
        <f t="shared" ref="G37:O37" si="21">G38+G39+G40+G41</f>
        <v>17949435.640000001</v>
      </c>
      <c r="H37" s="163">
        <f>H38+H39+H40+H41</f>
        <v>24917687.969999999</v>
      </c>
      <c r="I37" s="163">
        <f>I38+I39+I40+I41</f>
        <v>32298738.770000003</v>
      </c>
      <c r="J37" s="163">
        <f t="shared" si="21"/>
        <v>39038420.969999999</v>
      </c>
      <c r="K37" s="163">
        <f t="shared" si="21"/>
        <v>47447781.620000005</v>
      </c>
      <c r="L37" s="163">
        <f t="shared" si="21"/>
        <v>54357934.229999997</v>
      </c>
      <c r="M37" s="163">
        <f t="shared" si="21"/>
        <v>61905647.910000004</v>
      </c>
      <c r="N37" s="163">
        <f t="shared" si="21"/>
        <v>69391475.349999994</v>
      </c>
      <c r="O37" s="163">
        <f t="shared" si="21"/>
        <v>78234754.390000001</v>
      </c>
      <c r="P37" s="163">
        <f>P38+P39+P40+P41</f>
        <v>86983744.469999999</v>
      </c>
      <c r="Q37" s="163">
        <f>Q38+Q39+Q40+Q41</f>
        <v>86983744</v>
      </c>
      <c r="R37" s="163">
        <f t="shared" ref="R37:AD37" si="22">R38+R39+R40+R41</f>
        <v>8105441.9799999995</v>
      </c>
      <c r="S37" s="163">
        <f t="shared" si="22"/>
        <v>16279842.020000001</v>
      </c>
      <c r="T37" s="163">
        <f t="shared" si="22"/>
        <v>25870257.859999999</v>
      </c>
      <c r="U37" s="163">
        <f t="shared" si="22"/>
        <v>34748320.82</v>
      </c>
      <c r="V37" s="163">
        <f t="shared" si="22"/>
        <v>44891369.780000009</v>
      </c>
      <c r="W37" s="163">
        <f t="shared" si="22"/>
        <v>54354974.049999997</v>
      </c>
      <c r="X37" s="163">
        <f t="shared" si="22"/>
        <v>62968490.950000003</v>
      </c>
      <c r="Y37" s="163">
        <f t="shared" si="22"/>
        <v>71931004.689999998</v>
      </c>
      <c r="Z37" s="163">
        <f t="shared" si="22"/>
        <v>81689001.379999995</v>
      </c>
      <c r="AA37" s="163">
        <f t="shared" si="22"/>
        <v>92496305.560000002</v>
      </c>
      <c r="AB37" s="163">
        <f t="shared" si="22"/>
        <v>104658805.7</v>
      </c>
      <c r="AC37" s="163">
        <f t="shared" si="22"/>
        <v>114701075.35000001</v>
      </c>
      <c r="AD37" s="163">
        <f t="shared" si="22"/>
        <v>112209351</v>
      </c>
      <c r="AE37" s="163">
        <f>AE38+AE39+AE40+AE41</f>
        <v>28345543.960000001</v>
      </c>
      <c r="AF37" s="163">
        <f>AF38+AF39+AF40+AF41</f>
        <v>76494150.329999998</v>
      </c>
      <c r="AG37" s="163">
        <f t="shared" ref="AG37:AI37" si="23">AG38+AG39+AG40+AG41</f>
        <v>95908525.920000002</v>
      </c>
      <c r="AH37" s="163">
        <f t="shared" si="23"/>
        <v>58100787.019999996</v>
      </c>
      <c r="AI37" s="163">
        <f t="shared" si="23"/>
        <v>68527470.86999999</v>
      </c>
      <c r="AJ37" s="163">
        <f t="shared" ref="AJ37:AQ37" si="24">AJ38+AJ39+AJ40+AJ41</f>
        <v>0</v>
      </c>
      <c r="AK37" s="163">
        <f t="shared" si="24"/>
        <v>0</v>
      </c>
      <c r="AL37" s="163">
        <f t="shared" si="24"/>
        <v>0</v>
      </c>
      <c r="AM37" s="163">
        <f t="shared" si="24"/>
        <v>0</v>
      </c>
      <c r="AN37" s="163">
        <f t="shared" si="24"/>
        <v>0</v>
      </c>
      <c r="AO37" s="163">
        <f t="shared" si="24"/>
        <v>0</v>
      </c>
      <c r="AP37" s="163">
        <f t="shared" si="24"/>
        <v>0</v>
      </c>
      <c r="AQ37" s="163">
        <f t="shared" si="24"/>
        <v>0</v>
      </c>
    </row>
    <row r="38" spans="1:43" ht="15.6">
      <c r="A38" s="161">
        <v>9.1</v>
      </c>
      <c r="B38" s="161" t="s">
        <v>127</v>
      </c>
      <c r="C38" s="163">
        <f>'Evolutitve SCI'!B6</f>
        <v>11945.43491</v>
      </c>
      <c r="D38" s="163">
        <f>'Evolutitve SCI'!C6</f>
        <v>48012555</v>
      </c>
      <c r="E38" s="163">
        <f>'Evolutitve SCI'!D6</f>
        <v>4725458.2699999996</v>
      </c>
      <c r="F38" s="163">
        <f>'Evolutitve SCI'!E6</f>
        <v>9735649.0399999991</v>
      </c>
      <c r="G38" s="163">
        <f>'Evolutitve SCI'!F6</f>
        <v>14569970.58</v>
      </c>
      <c r="H38" s="163">
        <f>'Evolutitve SCI'!G6</f>
        <v>19912040.73</v>
      </c>
      <c r="I38" s="163">
        <f>'Evolutitve SCI'!H6</f>
        <v>24447913.280000001</v>
      </c>
      <c r="J38" s="163">
        <f>'Evolutitve SCI'!I6</f>
        <v>29715252.030000001</v>
      </c>
      <c r="K38" s="163">
        <f>'Evolutitve SCI'!J6</f>
        <v>36572234.880000003</v>
      </c>
      <c r="L38" s="163">
        <f>'Evolutitve SCI'!K6</f>
        <v>46196163.039999999</v>
      </c>
      <c r="M38" s="163">
        <f>'Evolutitve SCI'!L6</f>
        <v>52031590.630000003</v>
      </c>
      <c r="N38" s="163">
        <f>'Evolutitve SCI'!M6</f>
        <v>58995130.219999999</v>
      </c>
      <c r="O38" s="163">
        <f>'Evolutitve SCI'!N6</f>
        <v>65345449.159999996</v>
      </c>
      <c r="P38" s="163">
        <f>'Evolutitve SCI'!O6</f>
        <v>72838979.519999996</v>
      </c>
      <c r="Q38" s="163">
        <f>'Evolutitve SCI'!P6</f>
        <v>74695913</v>
      </c>
      <c r="R38" s="163">
        <f>'Evolutitve SCI'!Q6</f>
        <v>6753021.6399999997</v>
      </c>
      <c r="S38" s="163">
        <f>'Evolutitve SCI'!R6</f>
        <v>13938187.880000001</v>
      </c>
      <c r="T38" s="163">
        <f>'Evolutitve SCI'!S6</f>
        <v>21197140.120000001</v>
      </c>
      <c r="U38" s="163">
        <f>'Evolutitve SCI'!T6</f>
        <v>28757621.120000001</v>
      </c>
      <c r="V38" s="163">
        <f>'Evolutitve SCI'!U6</f>
        <v>37147371.340000004</v>
      </c>
      <c r="W38" s="163">
        <f>'Evolutitve SCI'!V6</f>
        <v>40650735.549999997</v>
      </c>
      <c r="X38" s="163">
        <f>'Evolutitve SCI'!W6</f>
        <v>51708003.869999997</v>
      </c>
      <c r="Y38" s="163">
        <f>'Evolutitve SCI'!X6</f>
        <v>59293383.799999997</v>
      </c>
      <c r="Z38" s="163">
        <f>'Evolutitve SCI'!Y6</f>
        <v>67016784.200000003</v>
      </c>
      <c r="AA38" s="163">
        <f>'Evolutitve SCI'!Z6</f>
        <v>75720994.879999995</v>
      </c>
      <c r="AB38" s="163">
        <f>'Evolutitve SCI'!AA6</f>
        <v>84174371.129999995</v>
      </c>
      <c r="AC38" s="163">
        <f>'Evolutitve SCI'!AB6</f>
        <v>92866685.650000006</v>
      </c>
      <c r="AD38" s="163">
        <f>'Evolutitve SCI'!AC6</f>
        <v>96450196</v>
      </c>
      <c r="AE38" s="163">
        <f>'Evolutitve SCI'!AF6</f>
        <v>23806367.550000001</v>
      </c>
      <c r="AF38" s="163">
        <f>'Evolutitve SCI'!AG6</f>
        <v>76494150.329999998</v>
      </c>
      <c r="AG38" s="163">
        <f>'Evolutitve SCI'!AH6</f>
        <v>95908525.920000002</v>
      </c>
      <c r="AH38" s="163">
        <f>'Evolutitve SCI'!AI6</f>
        <v>48352305.469999999</v>
      </c>
      <c r="AI38" s="163">
        <f>'Evolutitve SCI'!AJ6</f>
        <v>56793891.539999999</v>
      </c>
      <c r="AJ38" s="163">
        <f>'Evolutitve SCI'!AK6</f>
        <v>0</v>
      </c>
      <c r="AK38" s="163">
        <f>'Evolutitve SCI'!AL6</f>
        <v>0</v>
      </c>
      <c r="AL38" s="163">
        <f>'Evolutitve SCI'!AM6</f>
        <v>0</v>
      </c>
      <c r="AM38" s="163">
        <f>'Evolutitve SCI'!AN6</f>
        <v>0</v>
      </c>
      <c r="AN38" s="163">
        <f>'Evolutitve SCI'!AO6</f>
        <v>0</v>
      </c>
      <c r="AO38" s="163">
        <f>'Evolutitve SCI'!AP6</f>
        <v>0</v>
      </c>
      <c r="AP38" s="163">
        <f>'Evolutitve SCI'!AQ6</f>
        <v>0</v>
      </c>
      <c r="AQ38" s="163">
        <f>'Evolutitve SCI'!AR6</f>
        <v>0</v>
      </c>
    </row>
    <row r="39" spans="1:43" ht="15.6">
      <c r="A39" s="161">
        <v>9.1999999999999993</v>
      </c>
      <c r="B39" s="161" t="s">
        <v>128</v>
      </c>
      <c r="C39" s="163">
        <f>'Evolutitve SCI'!B8</f>
        <v>1743.4416368990005</v>
      </c>
      <c r="D39" s="163">
        <f>'Evolutitve SCI'!C8</f>
        <v>15707585</v>
      </c>
      <c r="E39" s="163">
        <f>'Evolutitve SCI'!D8</f>
        <v>337056.54</v>
      </c>
      <c r="F39" s="163">
        <f>'Evolutitve SCI'!E8</f>
        <v>809666.04</v>
      </c>
      <c r="G39" s="163">
        <f>'Evolutitve SCI'!F8</f>
        <v>1539387.26</v>
      </c>
      <c r="H39" s="163">
        <f>'Evolutitve SCI'!G8</f>
        <v>1957026.34</v>
      </c>
      <c r="I39" s="163">
        <f>'Evolutitve SCI'!H8</f>
        <v>2388579.09</v>
      </c>
      <c r="J39" s="163">
        <f>'Evolutitve SCI'!I8</f>
        <v>3002011.94</v>
      </c>
      <c r="K39" s="163">
        <f>'Evolutitve SCI'!J8</f>
        <v>3587199.54</v>
      </c>
      <c r="L39" s="163">
        <f>'Evolutitve SCI'!K8</f>
        <v>4164659.09</v>
      </c>
      <c r="M39" s="163">
        <f>'Evolutitve SCI'!L8</f>
        <v>4480850.38</v>
      </c>
      <c r="N39" s="163">
        <f>'Evolutitve SCI'!M8</f>
        <v>4912494.43</v>
      </c>
      <c r="O39" s="163">
        <f>'Evolutitve SCI'!N8</f>
        <v>5881196.0300000003</v>
      </c>
      <c r="P39" s="163">
        <f>'Evolutitve SCI'!O8</f>
        <v>5648077.9500000002</v>
      </c>
      <c r="Q39" s="163">
        <f>'Evolutitve SCI'!P8</f>
        <v>12287831</v>
      </c>
      <c r="R39" s="163">
        <f>'Evolutitve SCI'!Q8</f>
        <v>379301.34</v>
      </c>
      <c r="S39" s="163">
        <f>'Evolutitve SCI'!R8</f>
        <v>911463.54</v>
      </c>
      <c r="T39" s="163">
        <f>'Evolutitve SCI'!S8</f>
        <v>1628232.24</v>
      </c>
      <c r="U39" s="163">
        <f>'Evolutitve SCI'!T8</f>
        <v>2154791.9</v>
      </c>
      <c r="V39" s="163">
        <f>'Evolutitve SCI'!U8</f>
        <v>3136874.34</v>
      </c>
      <c r="W39" s="163">
        <f>'Evolutitve SCI'!V8</f>
        <v>3651981.5</v>
      </c>
      <c r="X39" s="163">
        <f>'Evolutitve SCI'!W8</f>
        <v>5332224.88</v>
      </c>
      <c r="Y39" s="163">
        <f>'Evolutitve SCI'!X8</f>
        <v>4702308.29</v>
      </c>
      <c r="Z39" s="163">
        <f>'Evolutitve SCI'!Y8</f>
        <v>5482715.6799999997</v>
      </c>
      <c r="AA39" s="163">
        <f>'Evolutitve SCI'!Z8</f>
        <v>6218759.2800000003</v>
      </c>
      <c r="AB39" s="163">
        <f>'Evolutitve SCI'!AA8</f>
        <v>6980894.8700000001</v>
      </c>
      <c r="AC39" s="163">
        <f>'Evolutitve SCI'!AB8</f>
        <v>7483729.5</v>
      </c>
      <c r="AD39" s="163">
        <f>'Evolutitve SCI'!AC8</f>
        <v>13751443</v>
      </c>
      <c r="AE39" s="163">
        <f>'Evolutitve SCI'!AF8</f>
        <v>2351890.71</v>
      </c>
      <c r="AF39" s="163">
        <f>'Evolutitve SCI'!AG8</f>
        <v>0</v>
      </c>
      <c r="AG39" s="163">
        <f>'Evolutitve SCI'!AH8</f>
        <v>0</v>
      </c>
      <c r="AH39" s="163">
        <f>'Evolutitve SCI'!AI8</f>
        <v>4801186.75</v>
      </c>
      <c r="AI39" s="163">
        <f>'Evolutitve SCI'!AJ8</f>
        <v>5677664.2300000004</v>
      </c>
      <c r="AJ39" s="163">
        <f>'Evolutitve SCI'!AK8</f>
        <v>0</v>
      </c>
      <c r="AK39" s="163">
        <f>'Evolutitve SCI'!AL8</f>
        <v>0</v>
      </c>
      <c r="AL39" s="163">
        <f>'Evolutitve SCI'!AM8</f>
        <v>0</v>
      </c>
      <c r="AM39" s="163">
        <f>'Evolutitve SCI'!AN8</f>
        <v>0</v>
      </c>
      <c r="AN39" s="163">
        <f>'Evolutitve SCI'!AO8</f>
        <v>0</v>
      </c>
      <c r="AO39" s="163">
        <f>'Evolutitve SCI'!AP8</f>
        <v>0</v>
      </c>
      <c r="AP39" s="163">
        <f>'Evolutitve SCI'!AQ8</f>
        <v>0</v>
      </c>
      <c r="AQ39" s="163">
        <f>'Evolutitve SCI'!AR8</f>
        <v>0</v>
      </c>
    </row>
    <row r="40" spans="1:43" ht="15.6">
      <c r="A40" s="161">
        <v>9.3000000000000007</v>
      </c>
      <c r="B40" s="161" t="s">
        <v>129</v>
      </c>
      <c r="C40" s="163">
        <f>'Evolutitve SCI'!B7</f>
        <v>910.37099999999998</v>
      </c>
      <c r="D40" s="163">
        <f>'Evolutitve SCI'!C7</f>
        <v>0</v>
      </c>
      <c r="E40" s="163">
        <f>'Evolutitve SCI'!D7</f>
        <v>650574.4</v>
      </c>
      <c r="F40" s="163">
        <f>'Evolutitve SCI'!E7</f>
        <v>752358.9</v>
      </c>
      <c r="G40" s="163">
        <f>'Evolutitve SCI'!F7</f>
        <v>1840077.8</v>
      </c>
      <c r="H40" s="163">
        <f>'Evolutitve SCI'!G7</f>
        <v>3048620.9</v>
      </c>
      <c r="I40" s="163">
        <f>'Evolutitve SCI'!H7</f>
        <v>5462246.4000000004</v>
      </c>
      <c r="J40" s="163">
        <f>'Evolutitve SCI'!I7</f>
        <v>6321157</v>
      </c>
      <c r="K40" s="163">
        <f>'Evolutitve SCI'!J7</f>
        <v>7288347.2000000002</v>
      </c>
      <c r="L40" s="163">
        <f>'Evolutitve SCI'!K7</f>
        <v>3997112.1</v>
      </c>
      <c r="M40" s="163">
        <f>'Evolutitve SCI'!L7</f>
        <v>5393206.9000000004</v>
      </c>
      <c r="N40" s="163">
        <f>'Evolutitve SCI'!M7</f>
        <v>5483850.7000000002</v>
      </c>
      <c r="O40" s="163">
        <f>'Evolutitve SCI'!N7</f>
        <v>7008109.2000000002</v>
      </c>
      <c r="P40" s="163">
        <f>'Evolutitve SCI'!O7</f>
        <v>8496687</v>
      </c>
      <c r="Q40" s="163">
        <f>'Evolutitve SCI'!P7</f>
        <v>0</v>
      </c>
      <c r="R40" s="163">
        <f>'Evolutitve SCI'!Q7</f>
        <v>973119</v>
      </c>
      <c r="S40" s="163">
        <f>'Evolutitve SCI'!R7</f>
        <v>1430190.6</v>
      </c>
      <c r="T40" s="163">
        <f>'Evolutitve SCI'!S7</f>
        <v>3044885.5</v>
      </c>
      <c r="U40" s="163">
        <f>'Evolutitve SCI'!T7</f>
        <v>3835907.8</v>
      </c>
      <c r="V40" s="163">
        <f>'Evolutitve SCI'!U7</f>
        <v>4607124.0999999996</v>
      </c>
      <c r="W40" s="163">
        <f>'Evolutitve SCI'!V7</f>
        <v>10052257</v>
      </c>
      <c r="X40" s="163">
        <f>'Evolutitve SCI'!W7</f>
        <v>5928262.2000000002</v>
      </c>
      <c r="Y40" s="163">
        <f>'Evolutitve SCI'!X7</f>
        <v>7935312.5999999996</v>
      </c>
      <c r="Z40" s="163">
        <f>'Evolutitve SCI'!Y7</f>
        <v>9189501.5</v>
      </c>
      <c r="AA40" s="163">
        <f>'Evolutitve SCI'!Z7</f>
        <v>10556551.4</v>
      </c>
      <c r="AB40" s="163">
        <f>'Evolutitve SCI'!AA7</f>
        <v>13503539.699999999</v>
      </c>
      <c r="AC40" s="163">
        <f>'Evolutitve SCI'!AB7</f>
        <v>14350660.199999999</v>
      </c>
      <c r="AD40" s="163">
        <f>'Evolutitve SCI'!AC7</f>
        <v>2007712</v>
      </c>
      <c r="AE40" s="163">
        <f>'Evolutitve SCI'!AF7</f>
        <v>2187285.7000000002</v>
      </c>
      <c r="AF40" s="163">
        <f>'Evolutitve SCI'!AG7</f>
        <v>0</v>
      </c>
      <c r="AG40" s="163">
        <f>'Evolutitve SCI'!AH7</f>
        <v>0</v>
      </c>
      <c r="AH40" s="163">
        <f>'Evolutitve SCI'!AI7</f>
        <v>4947294.8</v>
      </c>
      <c r="AI40" s="163">
        <f>'Evolutitve SCI'!AJ7</f>
        <v>6055915.0999999996</v>
      </c>
      <c r="AJ40" s="163">
        <f>'Evolutitve SCI'!AK7</f>
        <v>0</v>
      </c>
      <c r="AK40" s="163">
        <f>'Evolutitve SCI'!AL7</f>
        <v>0</v>
      </c>
      <c r="AL40" s="163">
        <f>'Evolutitve SCI'!AM7</f>
        <v>0</v>
      </c>
      <c r="AM40" s="163">
        <f>'Evolutitve SCI'!AN7</f>
        <v>0</v>
      </c>
      <c r="AN40" s="163">
        <f>'Evolutitve SCI'!AO7</f>
        <v>0</v>
      </c>
      <c r="AO40" s="163">
        <f>'Evolutitve SCI'!AP7</f>
        <v>0</v>
      </c>
      <c r="AP40" s="163">
        <f>'Evolutitve SCI'!AQ7</f>
        <v>0</v>
      </c>
      <c r="AQ40" s="163">
        <f>'Evolutitve SCI'!AR7</f>
        <v>0</v>
      </c>
    </row>
    <row r="41" spans="1:43" ht="15.6">
      <c r="A41" s="161">
        <v>9.4</v>
      </c>
      <c r="B41" s="161" t="s">
        <v>130</v>
      </c>
      <c r="C41" s="163"/>
      <c r="D41" s="163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  <c r="U41" s="163"/>
      <c r="V41" s="163"/>
      <c r="W41" s="163"/>
      <c r="X41" s="163"/>
      <c r="Y41" s="163"/>
      <c r="Z41" s="163"/>
      <c r="AA41" s="163"/>
      <c r="AB41" s="163"/>
      <c r="AC41" s="163"/>
      <c r="AD41" s="163"/>
      <c r="AE41" s="163"/>
      <c r="AF41" s="163"/>
      <c r="AG41" s="163"/>
      <c r="AH41" s="163"/>
      <c r="AI41" s="163"/>
      <c r="AJ41" s="163"/>
      <c r="AK41" s="163"/>
      <c r="AL41" s="163"/>
      <c r="AM41" s="163"/>
      <c r="AN41" s="163"/>
      <c r="AO41" s="163"/>
      <c r="AP41" s="163"/>
      <c r="AQ41" s="163"/>
    </row>
    <row r="42" spans="1:43" ht="15.6">
      <c r="A42" s="161"/>
      <c r="B42" s="161"/>
      <c r="C42" s="163"/>
      <c r="D42" s="163"/>
      <c r="E42" s="163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  <c r="U42" s="163"/>
      <c r="V42" s="163"/>
      <c r="W42" s="163"/>
      <c r="X42" s="163"/>
      <c r="Y42" s="163"/>
      <c r="Z42" s="163"/>
      <c r="AA42" s="163"/>
      <c r="AB42" s="163"/>
      <c r="AC42" s="163"/>
      <c r="AD42" s="163"/>
      <c r="AE42" s="163"/>
      <c r="AF42" s="163"/>
      <c r="AG42" s="163"/>
      <c r="AH42" s="163"/>
      <c r="AI42" s="163"/>
      <c r="AJ42" s="163"/>
      <c r="AK42" s="163"/>
      <c r="AL42" s="163"/>
      <c r="AM42" s="163"/>
      <c r="AN42" s="163"/>
      <c r="AO42" s="163"/>
      <c r="AP42" s="163"/>
      <c r="AQ42" s="163"/>
    </row>
    <row r="43" spans="1:43" ht="15.6">
      <c r="A43" s="165">
        <v>10</v>
      </c>
      <c r="B43" s="173" t="s">
        <v>131</v>
      </c>
      <c r="C43" s="167">
        <f>SUM(C44:C47)</f>
        <v>11568.464599999999</v>
      </c>
      <c r="D43" s="167">
        <f>SUM(D44:D47)</f>
        <v>39418889</v>
      </c>
      <c r="E43" s="167">
        <f>SUM(E44:E47)</f>
        <v>2496577.1199999996</v>
      </c>
      <c r="F43" s="167">
        <f>SUM(F44:F47)</f>
        <v>7188918.7599999988</v>
      </c>
      <c r="G43" s="167">
        <f t="shared" ref="G43:N43" si="25">SUM(G44:G47)</f>
        <v>11353468.470000001</v>
      </c>
      <c r="H43" s="167">
        <f>SUM(H44:H47)</f>
        <v>15320251.17</v>
      </c>
      <c r="I43" s="167">
        <f>SUM(I44:I47)</f>
        <v>18553649.060000002</v>
      </c>
      <c r="J43" s="167">
        <f t="shared" si="25"/>
        <v>22185182.080000002</v>
      </c>
      <c r="K43" s="167">
        <f t="shared" si="25"/>
        <v>25884028.719999999</v>
      </c>
      <c r="L43" s="167">
        <f t="shared" si="25"/>
        <v>29093410.199999996</v>
      </c>
      <c r="M43" s="167">
        <f t="shared" si="25"/>
        <v>32945737.550000001</v>
      </c>
      <c r="N43" s="167">
        <f t="shared" si="25"/>
        <v>37275310.259999998</v>
      </c>
      <c r="O43" s="167">
        <f>SUM(O44:O47)</f>
        <v>42177783.25</v>
      </c>
      <c r="P43" s="167">
        <f>SUM(P44:P47)</f>
        <v>47957786.719999999</v>
      </c>
      <c r="Q43" s="167">
        <f>SUM(Q44:Q47)</f>
        <v>54375298</v>
      </c>
      <c r="R43" s="167">
        <f t="shared" ref="R43:AD43" si="26">SUM(R44:R47)</f>
        <v>4845164.68</v>
      </c>
      <c r="S43" s="167">
        <f t="shared" si="26"/>
        <v>11933215.449999999</v>
      </c>
      <c r="T43" s="167">
        <f t="shared" si="26"/>
        <v>18131352.219999999</v>
      </c>
      <c r="U43" s="167">
        <f t="shared" si="26"/>
        <v>23073540.52</v>
      </c>
      <c r="V43" s="167">
        <f t="shared" si="26"/>
        <v>27962353.119999997</v>
      </c>
      <c r="W43" s="167">
        <f t="shared" si="26"/>
        <v>34263221.640000001</v>
      </c>
      <c r="X43" s="167">
        <f t="shared" si="26"/>
        <v>41667655.899999999</v>
      </c>
      <c r="Y43" s="167">
        <f t="shared" si="26"/>
        <v>47137992.75</v>
      </c>
      <c r="Z43" s="167">
        <f t="shared" si="26"/>
        <v>53435770.850000001</v>
      </c>
      <c r="AA43" s="167">
        <f t="shared" si="26"/>
        <v>59079471.680000007</v>
      </c>
      <c r="AB43" s="167">
        <f t="shared" si="26"/>
        <v>65791129.240000002</v>
      </c>
      <c r="AC43" s="167">
        <f t="shared" si="26"/>
        <v>73156403.109999999</v>
      </c>
      <c r="AD43" s="167">
        <f t="shared" si="26"/>
        <v>81017851</v>
      </c>
      <c r="AE43" s="167">
        <f>SUM(AE44:AE47)</f>
        <v>21132206.550000001</v>
      </c>
      <c r="AF43" s="167">
        <f>SUM(AF44:AF47)</f>
        <v>67915054.5</v>
      </c>
      <c r="AG43" s="167">
        <f t="shared" ref="AG43:AI43" si="27">SUM(AG44:AG47)</f>
        <v>85459923.019999996</v>
      </c>
      <c r="AH43" s="167">
        <f t="shared" si="27"/>
        <v>40243870.990000002</v>
      </c>
      <c r="AI43" s="167">
        <f t="shared" si="27"/>
        <v>45968696.989999995</v>
      </c>
      <c r="AJ43" s="167">
        <f t="shared" ref="AJ43:AQ43" si="28">SUM(AJ44:AJ47)</f>
        <v>0</v>
      </c>
      <c r="AK43" s="167">
        <f t="shared" si="28"/>
        <v>0</v>
      </c>
      <c r="AL43" s="167">
        <f t="shared" si="28"/>
        <v>0</v>
      </c>
      <c r="AM43" s="167">
        <f t="shared" si="28"/>
        <v>0</v>
      </c>
      <c r="AN43" s="167">
        <f t="shared" si="28"/>
        <v>0</v>
      </c>
      <c r="AO43" s="167">
        <f t="shared" si="28"/>
        <v>0</v>
      </c>
      <c r="AP43" s="167">
        <f t="shared" si="28"/>
        <v>0</v>
      </c>
      <c r="AQ43" s="167">
        <f t="shared" si="28"/>
        <v>0</v>
      </c>
    </row>
    <row r="44" spans="1:43" ht="15.6">
      <c r="A44" s="161">
        <v>10.1</v>
      </c>
      <c r="B44" s="161" t="s">
        <v>132</v>
      </c>
      <c r="C44" s="163">
        <f>'Evolutitve SCI'!B14+'Evolutitve SCI'!B17</f>
        <v>185.36</v>
      </c>
      <c r="D44" s="163">
        <f>'Evolutitve SCI'!C14+'Evolutitve SCI'!C17</f>
        <v>11442360</v>
      </c>
      <c r="E44" s="163">
        <f>'Evolutitve SCI'!D14+'Evolutitve SCI'!D17</f>
        <v>53290.400000000001</v>
      </c>
      <c r="F44" s="163">
        <f>'Evolutitve SCI'!E14+'Evolutitve SCI'!E17</f>
        <v>442351</v>
      </c>
      <c r="G44" s="163">
        <f>'Evolutitve SCI'!F14+'Evolutitve SCI'!F17</f>
        <v>502781.70999999996</v>
      </c>
      <c r="H44" s="163">
        <f>'Evolutitve SCI'!G14+'Evolutitve SCI'!G17</f>
        <v>536962.48</v>
      </c>
      <c r="I44" s="163">
        <f>'Evolutitve SCI'!H14+'Evolutitve SCI'!H17</f>
        <v>672511.41</v>
      </c>
      <c r="J44" s="163">
        <f>'Evolutitve SCI'!I14+'Evolutitve SCI'!I17</f>
        <v>710509.07000000007</v>
      </c>
      <c r="K44" s="163">
        <f>'Evolutitve SCI'!J14+'Evolutitve SCI'!J17</f>
        <v>857681.66999999993</v>
      </c>
      <c r="L44" s="163">
        <f>'Evolutitve SCI'!K14+'Evolutitve SCI'!K17</f>
        <v>896667.98</v>
      </c>
      <c r="M44" s="163">
        <f>'Evolutitve SCI'!L14+'Evolutitve SCI'!L17</f>
        <v>1027902.8700000001</v>
      </c>
      <c r="N44" s="163">
        <f>'Evolutitve SCI'!M14+'Evolutitve SCI'!M17</f>
        <v>1130088.47</v>
      </c>
      <c r="O44" s="163">
        <f>'Evolutitve SCI'!N14+'Evolutitve SCI'!N17</f>
        <v>1731018.27</v>
      </c>
      <c r="P44" s="163">
        <f>'Evolutitve SCI'!O14+'Evolutitve SCI'!O17</f>
        <v>1778638</v>
      </c>
      <c r="Q44" s="163">
        <f>'Evolutitve SCI'!P14+'Evolutitve SCI'!P17</f>
        <v>6886959</v>
      </c>
      <c r="R44" s="163">
        <f>'Evolutitve SCI'!Q14+'Evolutitve SCI'!Q17</f>
        <v>139657.20000000001</v>
      </c>
      <c r="S44" s="163">
        <f>'Evolutitve SCI'!R14+'Evolutitve SCI'!R17</f>
        <v>908497.88</v>
      </c>
      <c r="T44" s="163">
        <f>'Evolutitve SCI'!S14+'Evolutitve SCI'!S17</f>
        <v>859976.67999999993</v>
      </c>
      <c r="U44" s="163">
        <f>'Evolutitve SCI'!T14+'Evolutitve SCI'!T17</f>
        <v>1128647.1200000001</v>
      </c>
      <c r="V44" s="163">
        <f>'Evolutitve SCI'!U14+'Evolutitve SCI'!U17</f>
        <v>1376246.12</v>
      </c>
      <c r="W44" s="163">
        <f>'Evolutitve SCI'!V14+'Evolutitve SCI'!V17</f>
        <v>1732535.02</v>
      </c>
      <c r="X44" s="163">
        <f>'Evolutitve SCI'!W14+'Evolutitve SCI'!W17</f>
        <v>2439254.4300000002</v>
      </c>
      <c r="Y44" s="163">
        <f>'Evolutitve SCI'!X14+'Evolutitve SCI'!X17</f>
        <v>3116884.0300000003</v>
      </c>
      <c r="Z44" s="163">
        <f>'Evolutitve SCI'!Y14+'Evolutitve SCI'!Y17</f>
        <v>4013853.7700000005</v>
      </c>
      <c r="AA44" s="163">
        <f>'Evolutitve SCI'!Z14+'Evolutitve SCI'!Z17</f>
        <v>4706622.72</v>
      </c>
      <c r="AB44" s="163">
        <f>'Evolutitve SCI'!AA14+'Evolutitve SCI'!AA17</f>
        <v>5524576.5699999994</v>
      </c>
      <c r="AC44" s="163">
        <f>'Evolutitve SCI'!AB14+'Evolutitve SCI'!AB17</f>
        <v>6890660.0899999999</v>
      </c>
      <c r="AD44" s="163">
        <f>'Evolutitve SCI'!AC14+'Evolutitve SCI'!AC17</f>
        <v>13159084</v>
      </c>
      <c r="AE44" s="163">
        <f>'Evolutitve SCI'!AF14+'Evolutitve SCI'!AF17</f>
        <v>1091202.3</v>
      </c>
      <c r="AF44" s="163">
        <f>'Evolutitve SCI'!AG14+'Evolutitve SCI'!AG17</f>
        <v>765159.81</v>
      </c>
      <c r="AG44" s="163">
        <f>'Evolutitve SCI'!AH14+'Evolutitve SCI'!AH17</f>
        <v>1070422.3799999999</v>
      </c>
      <c r="AH44" s="163">
        <f>'Evolutitve SCI'!AI14+'Evolutitve SCI'!AI17</f>
        <v>2542664.1</v>
      </c>
      <c r="AI44" s="163">
        <f>'Evolutitve SCI'!AJ14+'Evolutitve SCI'!AJ17</f>
        <v>3001676.55</v>
      </c>
      <c r="AJ44" s="163">
        <f>'Evolutitve SCI'!AK14+'Evolutitve SCI'!AK17</f>
        <v>0</v>
      </c>
      <c r="AK44" s="163">
        <f>'Evolutitve SCI'!AL14+'Evolutitve SCI'!AL17</f>
        <v>0</v>
      </c>
      <c r="AL44" s="163">
        <f>'Evolutitve SCI'!AM14+'Evolutitve SCI'!AM17</f>
        <v>0</v>
      </c>
      <c r="AM44" s="163">
        <f>'Evolutitve SCI'!AN14+'Evolutitve SCI'!AN17</f>
        <v>0</v>
      </c>
      <c r="AN44" s="163">
        <f>'Evolutitve SCI'!AO14+'Evolutitve SCI'!AO17</f>
        <v>0</v>
      </c>
      <c r="AO44" s="163">
        <f>'Evolutitve SCI'!AP14+'Evolutitve SCI'!AP17</f>
        <v>0</v>
      </c>
      <c r="AP44" s="163">
        <f>'Evolutitve SCI'!AQ14+'Evolutitve SCI'!AQ17</f>
        <v>0</v>
      </c>
      <c r="AQ44" s="163">
        <f>'Evolutitve SCI'!AR14+'Evolutitve SCI'!AR17</f>
        <v>0</v>
      </c>
    </row>
    <row r="45" spans="1:43" ht="15.6">
      <c r="A45" s="161">
        <v>10.199999999999999</v>
      </c>
      <c r="B45" s="161" t="s">
        <v>133</v>
      </c>
      <c r="C45" s="163">
        <f>'Evolutitve SCI'!B16</f>
        <v>0</v>
      </c>
      <c r="D45" s="163">
        <f>'Evolutitve SCI'!C16</f>
        <v>0</v>
      </c>
      <c r="E45" s="163">
        <f>'Evolutitve SCI'!D16</f>
        <v>0</v>
      </c>
      <c r="F45" s="163">
        <f>'Evolutitve SCI'!E16</f>
        <v>0</v>
      </c>
      <c r="G45" s="163">
        <f>'Evolutitve SCI'!F16</f>
        <v>0</v>
      </c>
      <c r="H45" s="163">
        <f>'Evolutitve SCI'!G16</f>
        <v>0</v>
      </c>
      <c r="I45" s="163">
        <f>'Evolutitve SCI'!H16</f>
        <v>0</v>
      </c>
      <c r="J45" s="163">
        <f>'Evolutitve SCI'!I16</f>
        <v>0</v>
      </c>
      <c r="K45" s="163">
        <f>'Evolutitve SCI'!J16</f>
        <v>0</v>
      </c>
      <c r="L45" s="163">
        <f>'Evolutitve SCI'!K16</f>
        <v>0</v>
      </c>
      <c r="M45" s="163">
        <f>'Evolutitve SCI'!L16</f>
        <v>0</v>
      </c>
      <c r="N45" s="163">
        <f>'Evolutitve SCI'!M16</f>
        <v>0</v>
      </c>
      <c r="O45" s="163">
        <f>'Evolutitve SCI'!N16</f>
        <v>0</v>
      </c>
      <c r="P45" s="163">
        <f>'Evolutitve SCI'!O16</f>
        <v>0</v>
      </c>
      <c r="Q45" s="163">
        <f>'Evolutitve SCI'!P16</f>
        <v>0</v>
      </c>
      <c r="R45" s="163">
        <f>'Evolutitve SCI'!Q16</f>
        <v>0</v>
      </c>
      <c r="S45" s="163">
        <f>'Evolutitve SCI'!R16</f>
        <v>0</v>
      </c>
      <c r="T45" s="163">
        <f>'Evolutitve SCI'!S16</f>
        <v>0</v>
      </c>
      <c r="U45" s="163">
        <f>'Evolutitve SCI'!T16</f>
        <v>0</v>
      </c>
      <c r="V45" s="163">
        <f>'Evolutitve SCI'!U16</f>
        <v>0</v>
      </c>
      <c r="W45" s="163">
        <f>'Evolutitve SCI'!V16</f>
        <v>0</v>
      </c>
      <c r="X45" s="163">
        <f>'Evolutitve SCI'!W16</f>
        <v>0</v>
      </c>
      <c r="Y45" s="163">
        <f>'Evolutitve SCI'!X16</f>
        <v>0</v>
      </c>
      <c r="Z45" s="163">
        <f>'Evolutitve SCI'!Y16</f>
        <v>0</v>
      </c>
      <c r="AA45" s="163">
        <f>'Evolutitve SCI'!Z16</f>
        <v>0</v>
      </c>
      <c r="AB45" s="163">
        <f>'Evolutitve SCI'!AA16</f>
        <v>0</v>
      </c>
      <c r="AC45" s="163">
        <f>'Evolutitve SCI'!AB16</f>
        <v>0</v>
      </c>
      <c r="AD45" s="163">
        <f>'Evolutitve SCI'!AC16</f>
        <v>0</v>
      </c>
      <c r="AE45" s="163">
        <f>'Evolutitve SCI'!AF16</f>
        <v>0</v>
      </c>
      <c r="AF45" s="163">
        <f>'Evolutitve SCI'!AG16</f>
        <v>0</v>
      </c>
      <c r="AG45" s="163">
        <f>'Evolutitve SCI'!AH16</f>
        <v>0</v>
      </c>
      <c r="AH45" s="163">
        <f>'Evolutitve SCI'!AI16</f>
        <v>0</v>
      </c>
      <c r="AI45" s="163">
        <f>'Evolutitve SCI'!AJ16</f>
        <v>0</v>
      </c>
      <c r="AJ45" s="163">
        <f>'Evolutitve SCI'!AK16</f>
        <v>0</v>
      </c>
      <c r="AK45" s="163">
        <f>'Evolutitve SCI'!AL16</f>
        <v>0</v>
      </c>
      <c r="AL45" s="163">
        <f>'Evolutitve SCI'!AM16</f>
        <v>0</v>
      </c>
      <c r="AM45" s="163">
        <f>'Evolutitve SCI'!AN16</f>
        <v>0</v>
      </c>
      <c r="AN45" s="163">
        <f>'Evolutitve SCI'!AO16</f>
        <v>0</v>
      </c>
      <c r="AO45" s="163">
        <f>'Evolutitve SCI'!AP16</f>
        <v>0</v>
      </c>
      <c r="AP45" s="163">
        <f>'Evolutitve SCI'!AQ16</f>
        <v>0</v>
      </c>
      <c r="AQ45" s="163">
        <f>'Evolutitve SCI'!AR16</f>
        <v>0</v>
      </c>
    </row>
    <row r="46" spans="1:43" ht="15.6">
      <c r="A46" s="161">
        <v>10.3</v>
      </c>
      <c r="B46" s="161" t="s">
        <v>134</v>
      </c>
      <c r="C46" s="163">
        <f>'Evolutitve SCI'!B15</f>
        <v>363.72469999999998</v>
      </c>
      <c r="D46" s="163">
        <f>'Evolutitve SCI'!C15</f>
        <v>610000</v>
      </c>
      <c r="E46" s="163">
        <f>'Evolutitve SCI'!D15</f>
        <v>0</v>
      </c>
      <c r="F46" s="163">
        <f>'Evolutitve SCI'!E15</f>
        <v>277808.21999999997</v>
      </c>
      <c r="G46" s="163">
        <f>'Evolutitve SCI'!F15</f>
        <v>466179.61</v>
      </c>
      <c r="H46" s="163">
        <f>'Evolutitve SCI'!G15</f>
        <v>662465.75</v>
      </c>
      <c r="I46" s="163">
        <f>'Evolutitve SCI'!H15</f>
        <v>840547.94</v>
      </c>
      <c r="J46" s="163">
        <f>'Evolutitve SCI'!I15</f>
        <v>1012298.44</v>
      </c>
      <c r="K46" s="163">
        <f>'Evolutitve SCI'!J15</f>
        <v>1166636.33</v>
      </c>
      <c r="L46" s="163">
        <f>'Evolutitve SCI'!K15</f>
        <v>1313850.95</v>
      </c>
      <c r="M46" s="163">
        <f>'Evolutitve SCI'!L15</f>
        <v>1448797.68</v>
      </c>
      <c r="N46" s="163">
        <f>'Evolutitve SCI'!M15</f>
        <v>1988797.68</v>
      </c>
      <c r="O46" s="163">
        <f>'Evolutitve SCI'!N15</f>
        <v>2049220.07</v>
      </c>
      <c r="P46" s="163">
        <f>'Evolutitve SCI'!O15</f>
        <v>2845567.11</v>
      </c>
      <c r="Q46" s="163">
        <f>'Evolutitve SCI'!P15</f>
        <v>2845567</v>
      </c>
      <c r="R46" s="163">
        <f>'Evolutitve SCI'!Q15</f>
        <v>871171.46</v>
      </c>
      <c r="S46" s="163">
        <f>'Evolutitve SCI'!R15</f>
        <v>1268294.75</v>
      </c>
      <c r="T46" s="163">
        <f>'Evolutitve SCI'!S15</f>
        <v>1452510.9</v>
      </c>
      <c r="U46" s="163">
        <f>'Evolutitve SCI'!T15</f>
        <v>1930463.68</v>
      </c>
      <c r="V46" s="163">
        <f>'Evolutitve SCI'!U15</f>
        <v>2242107.4900000002</v>
      </c>
      <c r="W46" s="163">
        <f>'Evolutitve SCI'!V15</f>
        <v>3642855.49</v>
      </c>
      <c r="X46" s="163">
        <f>'Evolutitve SCI'!W15</f>
        <v>4454910.29</v>
      </c>
      <c r="Y46" s="163">
        <f>'Evolutitve SCI'!X15</f>
        <v>5098974.1900000004</v>
      </c>
      <c r="Z46" s="163">
        <f>'Evolutitve SCI'!Y15</f>
        <v>5619887.8700000001</v>
      </c>
      <c r="AA46" s="163">
        <f>'Evolutitve SCI'!Z15</f>
        <v>6207633.7300000004</v>
      </c>
      <c r="AB46" s="163">
        <f>'Evolutitve SCI'!AA15</f>
        <v>6515574.25</v>
      </c>
      <c r="AC46" s="163">
        <f>'Evolutitve SCI'!AB15</f>
        <v>7248222.6699999999</v>
      </c>
      <c r="AD46" s="163">
        <f>'Evolutitve SCI'!AC15</f>
        <v>7248223</v>
      </c>
      <c r="AE46" s="163">
        <f>'Evolutitve SCI'!AF15</f>
        <v>2079477.25</v>
      </c>
      <c r="AF46" s="163">
        <f>'Evolutitve SCI'!AG15</f>
        <v>11918988.23</v>
      </c>
      <c r="AG46" s="163">
        <f>'Evolutitve SCI'!AH15</f>
        <v>15655736.699999999</v>
      </c>
      <c r="AH46" s="163">
        <f>'Evolutitve SCI'!AI15</f>
        <v>3831018.39</v>
      </c>
      <c r="AI46" s="163">
        <f>'Evolutitve SCI'!AJ15</f>
        <v>4375973.22</v>
      </c>
      <c r="AJ46" s="163">
        <f>'Evolutitve SCI'!AK15</f>
        <v>0</v>
      </c>
      <c r="AK46" s="163">
        <f>'Evolutitve SCI'!AL15</f>
        <v>0</v>
      </c>
      <c r="AL46" s="163">
        <f>'Evolutitve SCI'!AM15</f>
        <v>0</v>
      </c>
      <c r="AM46" s="163">
        <f>'Evolutitve SCI'!AN15</f>
        <v>0</v>
      </c>
      <c r="AN46" s="163">
        <f>'Evolutitve SCI'!AO15</f>
        <v>0</v>
      </c>
      <c r="AO46" s="163">
        <f>'Evolutitve SCI'!AP15</f>
        <v>0</v>
      </c>
      <c r="AP46" s="163">
        <f>'Evolutitve SCI'!AQ15</f>
        <v>0</v>
      </c>
      <c r="AQ46" s="163">
        <f>'Evolutitve SCI'!AR15</f>
        <v>0</v>
      </c>
    </row>
    <row r="47" spans="1:43" ht="15.6">
      <c r="A47" s="161">
        <v>10.4</v>
      </c>
      <c r="B47" s="161" t="s">
        <v>135</v>
      </c>
      <c r="C47" s="163">
        <f>'Evolutitve SCI'!B24</f>
        <v>11019.3799</v>
      </c>
      <c r="D47" s="163">
        <f>'Evolutitve SCI'!C24</f>
        <v>27366529</v>
      </c>
      <c r="E47" s="163">
        <f>'Evolutitve SCI'!D24</f>
        <v>2443286.7199999997</v>
      </c>
      <c r="F47" s="163">
        <f>'Evolutitve SCI'!E24</f>
        <v>6468759.5399999991</v>
      </c>
      <c r="G47" s="163">
        <f>'Evolutitve SCI'!F24</f>
        <v>10384507.15</v>
      </c>
      <c r="H47" s="163">
        <f>'Evolutitve SCI'!G24</f>
        <v>14120822.939999999</v>
      </c>
      <c r="I47" s="163">
        <f>'Evolutitve SCI'!H24</f>
        <v>17040589.710000001</v>
      </c>
      <c r="J47" s="163">
        <f>'Evolutitve SCI'!I24</f>
        <v>20462374.57</v>
      </c>
      <c r="K47" s="163">
        <f>'Evolutitve SCI'!J24</f>
        <v>23859710.719999999</v>
      </c>
      <c r="L47" s="163">
        <f>'Evolutitve SCI'!K24</f>
        <v>26882891.269999996</v>
      </c>
      <c r="M47" s="163">
        <f>'Evolutitve SCI'!L24</f>
        <v>30469037</v>
      </c>
      <c r="N47" s="163">
        <f>'Evolutitve SCI'!M24</f>
        <v>34156424.109999999</v>
      </c>
      <c r="O47" s="163">
        <f>'Evolutitve SCI'!N24</f>
        <v>38397544.910000004</v>
      </c>
      <c r="P47" s="163">
        <f>'Evolutitve SCI'!O24</f>
        <v>43333581.609999999</v>
      </c>
      <c r="Q47" s="163">
        <f>'Evolutitve SCI'!P24</f>
        <v>44642772</v>
      </c>
      <c r="R47" s="163">
        <f>'Evolutitve SCI'!Q24</f>
        <v>3834336.0199999996</v>
      </c>
      <c r="S47" s="163">
        <f>'Evolutitve SCI'!R24</f>
        <v>9756422.8200000003</v>
      </c>
      <c r="T47" s="163">
        <f>'Evolutitve SCI'!S24</f>
        <v>15818864.640000001</v>
      </c>
      <c r="U47" s="163">
        <f>'Evolutitve SCI'!T24</f>
        <v>20014429.719999999</v>
      </c>
      <c r="V47" s="163">
        <f>'Evolutitve SCI'!U24</f>
        <v>24343999.509999998</v>
      </c>
      <c r="W47" s="163">
        <f>'Evolutitve SCI'!V24</f>
        <v>28887831.130000003</v>
      </c>
      <c r="X47" s="163">
        <f>'Evolutitve SCI'!W24</f>
        <v>34773491.18</v>
      </c>
      <c r="Y47" s="163">
        <f>'Evolutitve SCI'!X24</f>
        <v>38922134.530000001</v>
      </c>
      <c r="Z47" s="163">
        <f>'Evolutitve SCI'!Y24</f>
        <v>43802029.210000001</v>
      </c>
      <c r="AA47" s="163">
        <f>'Evolutitve SCI'!Z24</f>
        <v>48165215.230000004</v>
      </c>
      <c r="AB47" s="163">
        <f>'Evolutitve SCI'!AA24</f>
        <v>53750978.420000002</v>
      </c>
      <c r="AC47" s="163">
        <f>'Evolutitve SCI'!AB24</f>
        <v>59017520.350000001</v>
      </c>
      <c r="AD47" s="163">
        <f>'Evolutitve SCI'!AC24</f>
        <v>60610544</v>
      </c>
      <c r="AE47" s="163">
        <f>'Evolutitve SCI'!AF24</f>
        <v>17961527</v>
      </c>
      <c r="AF47" s="163">
        <f>'Evolutitve SCI'!AG24</f>
        <v>55230906.460000001</v>
      </c>
      <c r="AG47" s="163">
        <f>'Evolutitve SCI'!AH24</f>
        <v>68733763.939999998</v>
      </c>
      <c r="AH47" s="163">
        <f>'Evolutitve SCI'!AI24</f>
        <v>33870188.5</v>
      </c>
      <c r="AI47" s="163">
        <f>'Evolutitve SCI'!AJ24</f>
        <v>38591047.219999999</v>
      </c>
      <c r="AJ47" s="163">
        <f>'Evolutitve SCI'!AK24</f>
        <v>0</v>
      </c>
      <c r="AK47" s="163">
        <f>'Evolutitve SCI'!AL24</f>
        <v>0</v>
      </c>
      <c r="AL47" s="163">
        <f>'Evolutitve SCI'!AM24</f>
        <v>0</v>
      </c>
      <c r="AM47" s="163">
        <f>'Evolutitve SCI'!AN24</f>
        <v>0</v>
      </c>
      <c r="AN47" s="163">
        <f>'Evolutitve SCI'!AO24</f>
        <v>0</v>
      </c>
      <c r="AO47" s="163">
        <f>'Evolutitve SCI'!AP24</f>
        <v>0</v>
      </c>
      <c r="AP47" s="163">
        <f>'Evolutitve SCI'!AQ24</f>
        <v>0</v>
      </c>
      <c r="AQ47" s="163">
        <f>'Evolutitve SCI'!AR24</f>
        <v>0</v>
      </c>
    </row>
    <row r="48" spans="1:43" ht="15.6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</row>
    <row r="49" spans="1:32" ht="15.6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</row>
    <row r="50" spans="1:32" ht="15.6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</row>
  </sheetData>
  <pageMargins left="0.7" right="0.7" top="0.75" bottom="0.75" header="0.3" footer="0.3"/>
  <pageSetup scale="3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8"/>
  <sheetViews>
    <sheetView topLeftCell="A33" workbookViewId="0">
      <selection activeCell="J45" sqref="J45"/>
    </sheetView>
  </sheetViews>
  <sheetFormatPr defaultRowHeight="14.45"/>
  <cols>
    <col min="2" max="2" width="19.42578125" customWidth="1"/>
    <col min="3" max="3" width="11" bestFit="1" customWidth="1"/>
    <col min="4" max="4" width="19.5703125" customWidth="1"/>
    <col min="5" max="5" width="12" customWidth="1"/>
    <col min="6" max="6" width="16.7109375" customWidth="1"/>
    <col min="8" max="8" width="14.28515625" bestFit="1" customWidth="1"/>
    <col min="9" max="9" width="16.140625" bestFit="1" customWidth="1"/>
  </cols>
  <sheetData>
    <row r="1" spans="1:9" ht="15.6">
      <c r="A1" s="20"/>
      <c r="B1" s="20"/>
      <c r="C1" s="20"/>
      <c r="D1" s="120">
        <v>44256</v>
      </c>
      <c r="E1" s="20"/>
      <c r="F1" s="20"/>
      <c r="G1" s="20"/>
      <c r="H1" s="20"/>
      <c r="I1" s="20"/>
    </row>
    <row r="2" spans="1:9" ht="60">
      <c r="A2" s="20"/>
      <c r="B2" s="121" t="s">
        <v>136</v>
      </c>
      <c r="C2" s="121" t="s">
        <v>137</v>
      </c>
      <c r="D2" s="121" t="s">
        <v>138</v>
      </c>
      <c r="E2" s="121" t="s">
        <v>139</v>
      </c>
      <c r="F2" s="121" t="s">
        <v>140</v>
      </c>
      <c r="G2" s="20"/>
      <c r="H2" s="20"/>
      <c r="I2" s="20"/>
    </row>
    <row r="3" spans="1:9" ht="15.6">
      <c r="A3" s="20"/>
      <c r="B3" s="40" t="s">
        <v>141</v>
      </c>
      <c r="C3" s="33">
        <v>1133</v>
      </c>
      <c r="D3" s="33">
        <v>251072451.25</v>
      </c>
      <c r="E3" s="122">
        <v>0.01</v>
      </c>
      <c r="F3" s="123">
        <f>D3*E3</f>
        <v>2510724.5125000002</v>
      </c>
      <c r="G3" s="20"/>
      <c r="H3" s="20"/>
      <c r="I3" s="20"/>
    </row>
    <row r="4" spans="1:9" ht="15.6">
      <c r="A4" s="20"/>
      <c r="B4" s="40" t="s">
        <v>142</v>
      </c>
      <c r="C4" s="33">
        <v>56</v>
      </c>
      <c r="D4" s="33">
        <v>11599861.619999999</v>
      </c>
      <c r="E4" s="122">
        <v>0.05</v>
      </c>
      <c r="F4" s="123">
        <f>D4*E4</f>
        <v>579993.08100000001</v>
      </c>
      <c r="G4" s="20"/>
      <c r="H4" s="20" t="s">
        <v>143</v>
      </c>
      <c r="I4" s="124">
        <f>D5+D6+D7</f>
        <v>4859452.5</v>
      </c>
    </row>
    <row r="5" spans="1:9" ht="15.6">
      <c r="A5" s="20"/>
      <c r="B5" s="40" t="s">
        <v>144</v>
      </c>
      <c r="C5" s="33">
        <v>10</v>
      </c>
      <c r="D5" s="33">
        <v>2211243.96</v>
      </c>
      <c r="E5" s="122">
        <v>0.25</v>
      </c>
      <c r="F5" s="123">
        <f>D5*E5</f>
        <v>552810.99</v>
      </c>
      <c r="G5" s="20"/>
      <c r="H5" s="20" t="s">
        <v>145</v>
      </c>
      <c r="I5" s="125">
        <f>I4/D8</f>
        <v>1.8164020609961258E-2</v>
      </c>
    </row>
    <row r="6" spans="1:9" ht="15.6">
      <c r="A6" s="20"/>
      <c r="B6" s="40" t="s">
        <v>146</v>
      </c>
      <c r="C6" s="33">
        <v>9</v>
      </c>
      <c r="D6" s="33">
        <v>2539012.2400000002</v>
      </c>
      <c r="E6" s="122">
        <v>0.5</v>
      </c>
      <c r="F6" s="123">
        <f>D6*E6</f>
        <v>1269506.1200000001</v>
      </c>
      <c r="G6" s="20"/>
      <c r="H6" s="20"/>
      <c r="I6" s="20"/>
    </row>
    <row r="7" spans="1:9" ht="15.6">
      <c r="A7" s="20"/>
      <c r="B7" s="40" t="s">
        <v>147</v>
      </c>
      <c r="C7" s="33">
        <v>1</v>
      </c>
      <c r="D7" s="33">
        <v>109196.3</v>
      </c>
      <c r="E7" s="122">
        <v>1</v>
      </c>
      <c r="F7" s="123">
        <f>D7*E7</f>
        <v>109196.3</v>
      </c>
      <c r="G7" s="20"/>
      <c r="H7" s="20"/>
      <c r="I7" s="20"/>
    </row>
    <row r="8" spans="1:9" ht="15.6">
      <c r="A8" s="20"/>
      <c r="B8" s="126" t="s">
        <v>148</v>
      </c>
      <c r="C8" s="123">
        <f>SUM(C3:C7)</f>
        <v>1209</v>
      </c>
      <c r="D8" s="123">
        <f>SUM(D3:D7)</f>
        <v>267531765.37000003</v>
      </c>
      <c r="E8" s="123">
        <f>SUM(E3:E7)</f>
        <v>1.81</v>
      </c>
      <c r="F8" s="123">
        <f>SUM(F3:F7)</f>
        <v>5022231.0035000006</v>
      </c>
      <c r="G8" s="20"/>
      <c r="H8" s="20"/>
      <c r="I8" s="20"/>
    </row>
    <row r="9" spans="1:9" ht="15.6">
      <c r="A9" s="20"/>
      <c r="B9" s="20"/>
      <c r="C9" s="20"/>
      <c r="D9" s="20"/>
      <c r="E9" s="20"/>
      <c r="F9" s="20"/>
      <c r="G9" s="20"/>
      <c r="H9" s="20"/>
      <c r="I9" s="20"/>
    </row>
    <row r="10" spans="1:9" ht="15.6">
      <c r="A10" s="20"/>
      <c r="B10" s="20"/>
      <c r="C10" s="20"/>
      <c r="D10" s="120">
        <v>44348</v>
      </c>
      <c r="E10" s="20"/>
      <c r="F10" s="20"/>
      <c r="G10" s="20"/>
      <c r="H10" s="20"/>
      <c r="I10" s="20"/>
    </row>
    <row r="11" spans="1:9" ht="60">
      <c r="A11" s="20"/>
      <c r="B11" s="121" t="s">
        <v>136</v>
      </c>
      <c r="C11" s="121" t="s">
        <v>137</v>
      </c>
      <c r="D11" s="121" t="s">
        <v>138</v>
      </c>
      <c r="E11" s="121" t="s">
        <v>139</v>
      </c>
      <c r="F11" s="121" t="s">
        <v>140</v>
      </c>
      <c r="G11" s="20"/>
      <c r="H11" s="20"/>
      <c r="I11" s="20"/>
    </row>
    <row r="12" spans="1:9" ht="15.6">
      <c r="A12" s="20"/>
      <c r="B12" s="40" t="s">
        <v>141</v>
      </c>
      <c r="C12" s="33">
        <v>1033</v>
      </c>
      <c r="D12" s="33">
        <v>295190948.77999997</v>
      </c>
      <c r="E12" s="122">
        <v>0.01</v>
      </c>
      <c r="F12" s="123">
        <f>D12*E12</f>
        <v>2951909.4877999998</v>
      </c>
      <c r="G12" s="20"/>
      <c r="H12" s="20"/>
      <c r="I12" s="20"/>
    </row>
    <row r="13" spans="1:9" ht="15.6">
      <c r="A13" s="20"/>
      <c r="B13" s="40" t="s">
        <v>142</v>
      </c>
      <c r="C13" s="33">
        <v>208</v>
      </c>
      <c r="D13" s="33">
        <v>49118366.25</v>
      </c>
      <c r="E13" s="122">
        <v>0.05</v>
      </c>
      <c r="F13" s="123">
        <f>D13*E13</f>
        <v>2455918.3125</v>
      </c>
      <c r="G13" s="20"/>
      <c r="H13" s="20"/>
      <c r="I13" s="20"/>
    </row>
    <row r="14" spans="1:9" ht="15.6">
      <c r="A14" s="20"/>
      <c r="B14" s="40" t="s">
        <v>144</v>
      </c>
      <c r="C14" s="33">
        <v>89</v>
      </c>
      <c r="D14" s="33">
        <v>22213074.129999999</v>
      </c>
      <c r="E14" s="122">
        <v>0.25</v>
      </c>
      <c r="F14" s="123">
        <f>D14*E14</f>
        <v>5553268.5324999997</v>
      </c>
      <c r="G14" s="20"/>
      <c r="H14" s="20" t="s">
        <v>143</v>
      </c>
      <c r="I14" s="127">
        <f>D14+D15+D16</f>
        <v>26147975.159999996</v>
      </c>
    </row>
    <row r="15" spans="1:9" ht="15.6">
      <c r="A15" s="20"/>
      <c r="B15" s="40" t="s">
        <v>146</v>
      </c>
      <c r="C15" s="33">
        <v>5</v>
      </c>
      <c r="D15" s="33">
        <v>1266122.1499999999</v>
      </c>
      <c r="E15" s="122">
        <v>0.5</v>
      </c>
      <c r="F15" s="123">
        <f>D15*E15</f>
        <v>633061.07499999995</v>
      </c>
      <c r="G15" s="20"/>
      <c r="H15" s="20" t="s">
        <v>145</v>
      </c>
      <c r="I15" s="125">
        <f>I14/D17</f>
        <v>7.0582968273047719E-2</v>
      </c>
    </row>
    <row r="16" spans="1:9" ht="15.6">
      <c r="A16" s="20"/>
      <c r="B16" s="40" t="s">
        <v>147</v>
      </c>
      <c r="C16" s="33">
        <v>38</v>
      </c>
      <c r="D16" s="33">
        <v>2668778.88</v>
      </c>
      <c r="E16" s="122">
        <v>1</v>
      </c>
      <c r="F16" s="123">
        <f>D16*E16</f>
        <v>2668778.88</v>
      </c>
      <c r="G16" s="20"/>
      <c r="H16" s="20"/>
      <c r="I16" s="20"/>
    </row>
    <row r="17" spans="1:9" ht="15.6">
      <c r="A17" s="20"/>
      <c r="B17" s="126" t="s">
        <v>148</v>
      </c>
      <c r="C17" s="123">
        <f>SUM(C12:C16)</f>
        <v>1373</v>
      </c>
      <c r="D17" s="123">
        <f>SUM(D12:D16)</f>
        <v>370457290.18999994</v>
      </c>
      <c r="E17" s="123">
        <v>1.81</v>
      </c>
      <c r="F17" s="123">
        <f>SUM(F12:F16)</f>
        <v>14262936.287799999</v>
      </c>
      <c r="G17" s="20"/>
      <c r="H17" s="20"/>
      <c r="I17" s="20"/>
    </row>
    <row r="18" spans="1:9" ht="15.6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5.6">
      <c r="A19" s="20"/>
      <c r="B19" s="20"/>
      <c r="C19" s="20"/>
      <c r="D19" s="120">
        <v>44440</v>
      </c>
      <c r="E19" s="20"/>
      <c r="F19" s="20"/>
      <c r="G19" s="20"/>
      <c r="H19" s="20"/>
      <c r="I19" s="20"/>
    </row>
    <row r="20" spans="1:9" ht="60">
      <c r="A20" s="20"/>
      <c r="B20" s="121" t="s">
        <v>136</v>
      </c>
      <c r="C20" s="121" t="s">
        <v>137</v>
      </c>
      <c r="D20" s="121" t="s">
        <v>138</v>
      </c>
      <c r="E20" s="121" t="s">
        <v>139</v>
      </c>
      <c r="F20" s="121" t="s">
        <v>140</v>
      </c>
      <c r="G20" s="20"/>
      <c r="H20" s="20"/>
      <c r="I20" s="20"/>
    </row>
    <row r="21" spans="1:9" ht="15.6">
      <c r="A21" s="20"/>
      <c r="B21" s="40" t="s">
        <v>141</v>
      </c>
      <c r="C21" s="33">
        <v>1037</v>
      </c>
      <c r="D21" s="33">
        <v>305219945.06</v>
      </c>
      <c r="E21" s="122">
        <v>0.01</v>
      </c>
      <c r="F21" s="123">
        <f>D21*E21</f>
        <v>3052199.4506000001</v>
      </c>
      <c r="G21" s="20"/>
      <c r="H21" s="20"/>
      <c r="I21" s="20"/>
    </row>
    <row r="22" spans="1:9" ht="15.6">
      <c r="A22" s="20"/>
      <c r="B22" s="40" t="s">
        <v>142</v>
      </c>
      <c r="C22" s="33">
        <v>277</v>
      </c>
      <c r="D22" s="33">
        <v>54456279.439999998</v>
      </c>
      <c r="E22" s="122">
        <v>0.05</v>
      </c>
      <c r="F22" s="123">
        <f>D22*E22</f>
        <v>2722813.9720000001</v>
      </c>
      <c r="G22" s="20"/>
      <c r="H22" s="20" t="s">
        <v>143</v>
      </c>
      <c r="I22" s="127">
        <f>D23+D24+D25</f>
        <v>44340158.079999998</v>
      </c>
    </row>
    <row r="23" spans="1:9" ht="15.6">
      <c r="A23" s="20"/>
      <c r="B23" s="40" t="s">
        <v>144</v>
      </c>
      <c r="C23" s="33">
        <v>123</v>
      </c>
      <c r="D23" s="33">
        <v>38064282.469999999</v>
      </c>
      <c r="E23" s="122">
        <v>0.25</v>
      </c>
      <c r="F23" s="123">
        <f>D23*E23</f>
        <v>9516070.6174999997</v>
      </c>
      <c r="G23" s="20"/>
      <c r="H23" s="20" t="s">
        <v>145</v>
      </c>
      <c r="I23" s="125">
        <f>I22/D26</f>
        <v>0.10974841613315055</v>
      </c>
    </row>
    <row r="24" spans="1:9" ht="15.6">
      <c r="A24" s="20"/>
      <c r="B24" s="40" t="s">
        <v>146</v>
      </c>
      <c r="C24" s="33">
        <v>9</v>
      </c>
      <c r="D24" s="33">
        <v>2617613.66</v>
      </c>
      <c r="E24" s="122">
        <v>0.5</v>
      </c>
      <c r="F24" s="123">
        <f>D24*E24</f>
        <v>1308806.83</v>
      </c>
      <c r="G24" s="20"/>
      <c r="H24" s="20"/>
      <c r="I24" s="20"/>
    </row>
    <row r="25" spans="1:9" ht="15.6">
      <c r="A25" s="20"/>
      <c r="B25" s="40" t="s">
        <v>147</v>
      </c>
      <c r="C25" s="33">
        <v>66</v>
      </c>
      <c r="D25" s="33">
        <v>3658261.95</v>
      </c>
      <c r="E25" s="122">
        <v>1</v>
      </c>
      <c r="F25" s="123">
        <f>D25*E25</f>
        <v>3658261.95</v>
      </c>
      <c r="G25" s="20"/>
      <c r="H25" s="20"/>
      <c r="I25" s="20"/>
    </row>
    <row r="26" spans="1:9" ht="15.6">
      <c r="A26" s="20"/>
      <c r="B26" s="126" t="s">
        <v>148</v>
      </c>
      <c r="C26" s="123">
        <f>SUM(C21:C25)</f>
        <v>1512</v>
      </c>
      <c r="D26" s="123">
        <f>SUM(D21:D25)</f>
        <v>404016382.58000004</v>
      </c>
      <c r="E26" s="123">
        <v>1.81</v>
      </c>
      <c r="F26" s="123">
        <f>SUM(F21:F25)</f>
        <v>20258152.820100002</v>
      </c>
      <c r="G26" s="20"/>
      <c r="H26" s="20"/>
      <c r="I26" s="20"/>
    </row>
    <row r="27" spans="1:9" ht="15.6">
      <c r="A27" s="20"/>
      <c r="B27" s="20"/>
      <c r="C27" s="20"/>
      <c r="D27" s="20"/>
      <c r="E27" s="20"/>
      <c r="F27" s="20"/>
      <c r="G27" s="20"/>
      <c r="H27" s="20"/>
      <c r="I27" s="20"/>
    </row>
    <row r="28" spans="1:9" ht="15.6">
      <c r="A28" s="20"/>
      <c r="B28" s="20"/>
      <c r="C28" s="20"/>
      <c r="D28" s="120">
        <v>44531</v>
      </c>
      <c r="E28" s="20"/>
      <c r="F28" s="20"/>
      <c r="G28" s="20"/>
      <c r="H28" s="20"/>
      <c r="I28" s="20"/>
    </row>
    <row r="29" spans="1:9" ht="60">
      <c r="A29" s="20"/>
      <c r="B29" s="121" t="s">
        <v>136</v>
      </c>
      <c r="C29" s="121" t="s">
        <v>137</v>
      </c>
      <c r="D29" s="121" t="s">
        <v>138</v>
      </c>
      <c r="E29" s="121" t="s">
        <v>139</v>
      </c>
      <c r="F29" s="121" t="s">
        <v>140</v>
      </c>
      <c r="G29" s="20"/>
      <c r="H29" s="20"/>
      <c r="I29" s="20"/>
    </row>
    <row r="30" spans="1:9" ht="15.6">
      <c r="A30" s="20"/>
      <c r="B30" s="40" t="s">
        <v>141</v>
      </c>
      <c r="C30" s="33">
        <v>1133</v>
      </c>
      <c r="D30" s="33">
        <v>356468317.86000001</v>
      </c>
      <c r="E30" s="122">
        <v>0.01</v>
      </c>
      <c r="F30" s="123">
        <f>D30*E30</f>
        <v>3564683.1786000002</v>
      </c>
      <c r="G30" s="20"/>
      <c r="H30" s="20"/>
      <c r="I30" s="20"/>
    </row>
    <row r="31" spans="1:9" ht="15.6">
      <c r="A31" s="20"/>
      <c r="B31" s="40" t="s">
        <v>142</v>
      </c>
      <c r="C31" s="33">
        <v>268</v>
      </c>
      <c r="D31" s="33">
        <v>71989999.370000005</v>
      </c>
      <c r="E31" s="122">
        <v>0.05</v>
      </c>
      <c r="F31" s="123">
        <f>D31*E31</f>
        <v>3599499.9685000004</v>
      </c>
      <c r="G31" s="20"/>
      <c r="H31" s="20" t="s">
        <v>143</v>
      </c>
      <c r="I31" s="127">
        <f>D32+D33+D34</f>
        <v>16958386.16</v>
      </c>
    </row>
    <row r="32" spans="1:9" ht="15.6">
      <c r="A32" s="20"/>
      <c r="B32" s="40" t="s">
        <v>144</v>
      </c>
      <c r="C32" s="33">
        <v>44</v>
      </c>
      <c r="D32" s="33">
        <v>11907384.789999999</v>
      </c>
      <c r="E32" s="122">
        <v>0.25</v>
      </c>
      <c r="F32" s="123">
        <f>D32*E32</f>
        <v>2976846.1974999998</v>
      </c>
      <c r="G32" s="20"/>
      <c r="H32" s="20" t="s">
        <v>145</v>
      </c>
      <c r="I32" s="125">
        <f>I31/D35</f>
        <v>3.8073080849757662E-2</v>
      </c>
    </row>
    <row r="33" spans="1:9" ht="15.6">
      <c r="A33" s="20"/>
      <c r="B33" s="40" t="s">
        <v>146</v>
      </c>
      <c r="C33" s="33">
        <v>8</v>
      </c>
      <c r="D33" s="33">
        <v>3874479.99</v>
      </c>
      <c r="E33" s="122">
        <v>0.5</v>
      </c>
      <c r="F33" s="123">
        <f>D33*E33</f>
        <v>1937239.9950000001</v>
      </c>
      <c r="G33" s="20"/>
      <c r="H33" s="20"/>
      <c r="I33" s="20"/>
    </row>
    <row r="34" spans="1:9" ht="15.6">
      <c r="A34" s="20"/>
      <c r="B34" s="40" t="s">
        <v>147</v>
      </c>
      <c r="C34" s="33">
        <v>31</v>
      </c>
      <c r="D34" s="33">
        <v>1176521.3799999999</v>
      </c>
      <c r="E34" s="122">
        <v>1</v>
      </c>
      <c r="F34" s="123">
        <f>D34*E34</f>
        <v>1176521.3799999999</v>
      </c>
      <c r="G34" s="20"/>
      <c r="H34" s="20"/>
      <c r="I34" s="20"/>
    </row>
    <row r="35" spans="1:9" ht="15.6">
      <c r="A35" s="20"/>
      <c r="B35" s="126" t="s">
        <v>148</v>
      </c>
      <c r="C35" s="123">
        <f>SUM(C30:C34)</f>
        <v>1484</v>
      </c>
      <c r="D35" s="123">
        <f>SUM(D30:D34)</f>
        <v>445416703.39000005</v>
      </c>
      <c r="E35" s="123">
        <v>1.81</v>
      </c>
      <c r="F35" s="123">
        <f>SUM(F30:F34)</f>
        <v>13254790.719599999</v>
      </c>
      <c r="G35" s="20"/>
      <c r="H35" s="20"/>
      <c r="I35" s="20"/>
    </row>
    <row r="36" spans="1:9" ht="15.6">
      <c r="A36" s="20"/>
      <c r="B36" s="20"/>
      <c r="C36" s="20"/>
      <c r="D36" s="20"/>
      <c r="E36" s="20"/>
      <c r="F36" s="20"/>
      <c r="G36" s="20"/>
      <c r="H36" s="20"/>
      <c r="I36" s="20"/>
    </row>
    <row r="37" spans="1:9" ht="15.6">
      <c r="A37" s="20"/>
      <c r="B37" s="20"/>
      <c r="C37" s="20"/>
      <c r="D37" s="20"/>
      <c r="E37" s="20"/>
      <c r="F37" s="20"/>
      <c r="G37" s="20"/>
      <c r="H37" s="20"/>
      <c r="I37" s="20"/>
    </row>
    <row r="38" spans="1:9" ht="15.6">
      <c r="A38" s="20"/>
      <c r="B38" s="20"/>
      <c r="C38" s="20"/>
      <c r="D38" s="120" t="s">
        <v>4</v>
      </c>
      <c r="E38" s="20"/>
      <c r="F38" s="20"/>
      <c r="G38" s="20"/>
      <c r="H38" s="20"/>
      <c r="I38" s="20"/>
    </row>
    <row r="39" spans="1:9" ht="49.5" customHeight="1">
      <c r="A39" s="20"/>
      <c r="B39" s="121" t="s">
        <v>136</v>
      </c>
      <c r="C39" s="121" t="s">
        <v>137</v>
      </c>
      <c r="D39" s="121" t="s">
        <v>138</v>
      </c>
      <c r="E39" s="121" t="s">
        <v>139</v>
      </c>
      <c r="F39" s="121" t="s">
        <v>140</v>
      </c>
      <c r="G39" s="20"/>
      <c r="H39" s="20"/>
      <c r="I39" s="20"/>
    </row>
    <row r="40" spans="1:9" ht="15.6">
      <c r="A40" s="20"/>
      <c r="B40" s="40" t="s">
        <v>141</v>
      </c>
      <c r="C40" s="128"/>
      <c r="D40" s="129">
        <v>382329955</v>
      </c>
      <c r="E40" s="122">
        <v>0.01</v>
      </c>
      <c r="F40" s="123">
        <f>D40*E40</f>
        <v>3823299.5500000003</v>
      </c>
      <c r="G40" s="20"/>
      <c r="H40" s="20"/>
      <c r="I40" s="20"/>
    </row>
    <row r="41" spans="1:9" ht="15.6">
      <c r="A41" s="20"/>
      <c r="B41" s="40" t="s">
        <v>142</v>
      </c>
      <c r="C41" s="128"/>
      <c r="D41" s="129">
        <v>75239582</v>
      </c>
      <c r="E41" s="122">
        <v>0.05</v>
      </c>
      <c r="F41" s="123">
        <f>D41*E41</f>
        <v>3761979.1</v>
      </c>
      <c r="G41" s="20"/>
      <c r="H41" s="125"/>
      <c r="I41" s="20"/>
    </row>
    <row r="42" spans="1:9" ht="15.6">
      <c r="A42" s="20"/>
      <c r="B42" s="40" t="s">
        <v>144</v>
      </c>
      <c r="C42" s="128"/>
      <c r="D42" s="129">
        <v>15253902</v>
      </c>
      <c r="E42" s="122">
        <v>0.25</v>
      </c>
      <c r="F42" s="123">
        <f>D42*E42</f>
        <v>3813475.5</v>
      </c>
      <c r="G42" s="20"/>
      <c r="H42" s="20"/>
      <c r="I42" s="20"/>
    </row>
    <row r="43" spans="1:9" ht="15.6">
      <c r="A43" s="20"/>
      <c r="B43" s="40" t="s">
        <v>146</v>
      </c>
      <c r="C43" s="128"/>
      <c r="D43" s="129">
        <v>4215574</v>
      </c>
      <c r="E43" s="122">
        <v>0.5</v>
      </c>
      <c r="F43" s="123">
        <f>D43*E43</f>
        <v>2107787</v>
      </c>
      <c r="G43" s="20"/>
      <c r="H43" s="125"/>
      <c r="I43" s="20"/>
    </row>
    <row r="44" spans="1:9" ht="15.6">
      <c r="A44" s="20"/>
      <c r="B44" s="40" t="s">
        <v>147</v>
      </c>
      <c r="C44" s="128"/>
      <c r="D44" s="129">
        <v>1228734</v>
      </c>
      <c r="E44" s="122">
        <v>1</v>
      </c>
      <c r="F44" s="123">
        <f>D44*E44</f>
        <v>1228734</v>
      </c>
      <c r="G44" s="20"/>
      <c r="H44" s="20"/>
      <c r="I44" s="20"/>
    </row>
    <row r="45" spans="1:9" ht="15.6">
      <c r="A45" s="20"/>
      <c r="B45" s="126" t="s">
        <v>148</v>
      </c>
      <c r="C45" s="123">
        <f>SUM(C40:C44)</f>
        <v>0</v>
      </c>
      <c r="D45" s="123">
        <f>D40+D41+D42+D43+D44</f>
        <v>478267747</v>
      </c>
      <c r="E45" s="123">
        <v>1.81</v>
      </c>
      <c r="F45" s="123">
        <f>SUM(F40:F44)</f>
        <v>14735275.15</v>
      </c>
      <c r="G45" s="20"/>
      <c r="H45" s="20"/>
      <c r="I45" s="20"/>
    </row>
    <row r="46" spans="1:9" ht="15.6">
      <c r="A46" s="20"/>
      <c r="B46" s="20"/>
      <c r="C46" s="20"/>
      <c r="D46" s="20"/>
      <c r="E46" s="20"/>
      <c r="F46" s="20"/>
      <c r="G46" s="20"/>
      <c r="H46" s="20"/>
      <c r="I46" s="20"/>
    </row>
    <row r="47" spans="1:9" ht="15.6">
      <c r="A47" s="20"/>
      <c r="B47" s="20"/>
      <c r="C47" s="20"/>
      <c r="D47" s="51"/>
      <c r="E47" s="20"/>
      <c r="F47" s="20"/>
      <c r="G47" s="20"/>
      <c r="H47" s="20"/>
      <c r="I47" s="20"/>
    </row>
    <row r="48" spans="1:9" ht="15.6">
      <c r="A48" s="20"/>
      <c r="B48" s="20"/>
      <c r="C48" s="20"/>
      <c r="D48" s="20"/>
      <c r="E48" s="20"/>
      <c r="F48" s="20"/>
      <c r="G48" s="20"/>
      <c r="H48" s="20"/>
      <c r="I48" s="20"/>
    </row>
  </sheetData>
  <dataValidations count="2">
    <dataValidation type="decimal" showErrorMessage="1" errorTitle="Error Msg" error="Enter a NO" sqref="C3:C7" xr:uid="{00000000-0002-0000-0300-000000000000}">
      <formula1>0</formula1>
      <formula2>999999999999</formula2>
    </dataValidation>
    <dataValidation type="decimal" showErrorMessage="1" errorTitle="Error Msg" error="Enter a number" sqref="D3:D7" xr:uid="{00000000-0002-0000-0300-000001000000}">
      <formula1>0</formula1>
      <formula2>999999999999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8241-5726-40C4-BFE1-FC0816277867}">
  <dimension ref="A2:F99"/>
  <sheetViews>
    <sheetView topLeftCell="A74" workbookViewId="0">
      <selection activeCell="F67" sqref="F67"/>
    </sheetView>
  </sheetViews>
  <sheetFormatPr defaultRowHeight="14.45"/>
  <cols>
    <col min="1" max="1" width="38" bestFit="1" customWidth="1"/>
    <col min="2" max="2" width="10.28515625" bestFit="1" customWidth="1"/>
    <col min="3" max="3" width="21.28515625" bestFit="1" customWidth="1"/>
    <col min="4" max="4" width="18.140625" bestFit="1" customWidth="1"/>
    <col min="5" max="5" width="19.42578125" bestFit="1" customWidth="1"/>
    <col min="6" max="6" width="18.85546875" bestFit="1" customWidth="1"/>
    <col min="9" max="9" width="16.140625" bestFit="1" customWidth="1"/>
  </cols>
  <sheetData>
    <row r="2" spans="1:6" ht="15.6">
      <c r="A2" s="250" t="s">
        <v>149</v>
      </c>
      <c r="B2" s="251"/>
      <c r="C2" s="251"/>
      <c r="D2" s="251"/>
      <c r="E2" s="251"/>
    </row>
    <row r="3" spans="1:6" ht="15.6">
      <c r="A3" s="250" t="s">
        <v>150</v>
      </c>
      <c r="B3" s="251"/>
      <c r="C3" s="251"/>
      <c r="D3" s="251"/>
      <c r="E3" s="251"/>
    </row>
    <row r="4" spans="1:6" ht="15.6">
      <c r="A4" s="250" t="s">
        <v>151</v>
      </c>
      <c r="B4" s="251"/>
      <c r="C4" s="251"/>
      <c r="D4" s="251"/>
      <c r="E4" s="251"/>
    </row>
    <row r="5" spans="1:6" ht="15.6">
      <c r="A5" s="251"/>
      <c r="B5" s="251"/>
      <c r="C5" s="251"/>
      <c r="D5" s="251"/>
      <c r="E5" s="251"/>
    </row>
    <row r="6" spans="1:6" ht="15.6">
      <c r="A6" s="252">
        <v>44621</v>
      </c>
      <c r="B6" s="251"/>
      <c r="C6" s="251"/>
      <c r="D6" s="251"/>
      <c r="E6" s="251"/>
      <c r="F6" s="250"/>
    </row>
    <row r="7" spans="1:6" ht="45.6">
      <c r="A7" s="253" t="s">
        <v>136</v>
      </c>
      <c r="B7" s="254" t="s">
        <v>137</v>
      </c>
      <c r="C7" s="254" t="s">
        <v>138</v>
      </c>
      <c r="D7" s="254" t="s">
        <v>139</v>
      </c>
      <c r="E7" s="254" t="s">
        <v>140</v>
      </c>
      <c r="F7" s="250"/>
    </row>
    <row r="8" spans="1:6" ht="15.6">
      <c r="A8" s="255" t="s">
        <v>141</v>
      </c>
      <c r="B8" s="256">
        <v>1025</v>
      </c>
      <c r="C8" s="257">
        <v>362634380.39999998</v>
      </c>
      <c r="D8" s="258">
        <v>0.01</v>
      </c>
      <c r="E8" s="259">
        <f>C8*D8</f>
        <v>3626343.804</v>
      </c>
      <c r="F8" s="250"/>
    </row>
    <row r="9" spans="1:6" ht="15.6">
      <c r="A9" s="255" t="s">
        <v>142</v>
      </c>
      <c r="B9" s="256">
        <v>245</v>
      </c>
      <c r="C9" s="257">
        <v>72059288.170000002</v>
      </c>
      <c r="D9" s="258">
        <v>0.05</v>
      </c>
      <c r="E9" s="259">
        <f>C9*D9</f>
        <v>3602964.4085000004</v>
      </c>
      <c r="F9" s="250"/>
    </row>
    <row r="10" spans="1:6" ht="15.6">
      <c r="A10" s="255" t="s">
        <v>144</v>
      </c>
      <c r="B10" s="256">
        <v>137</v>
      </c>
      <c r="C10" s="257">
        <v>17728962.609999999</v>
      </c>
      <c r="D10" s="258">
        <v>0.25</v>
      </c>
      <c r="E10" s="259">
        <f>C10*D10</f>
        <v>4432240.6524999999</v>
      </c>
      <c r="F10" s="250"/>
    </row>
    <row r="11" spans="1:6" ht="15.6">
      <c r="A11" s="255" t="s">
        <v>146</v>
      </c>
      <c r="B11" s="256">
        <v>16</v>
      </c>
      <c r="C11" s="257">
        <v>9528105.8399999999</v>
      </c>
      <c r="D11" s="258">
        <v>0.5</v>
      </c>
      <c r="E11" s="259">
        <f>C11*D11</f>
        <v>4764052.92</v>
      </c>
      <c r="F11" s="250"/>
    </row>
    <row r="12" spans="1:6" ht="15.6">
      <c r="A12" s="255" t="s">
        <v>147</v>
      </c>
      <c r="B12" s="256">
        <v>61</v>
      </c>
      <c r="C12" s="257">
        <v>3633253.07</v>
      </c>
      <c r="D12" s="258">
        <v>1</v>
      </c>
      <c r="E12" s="259">
        <f>C12*D12</f>
        <v>3633253.07</v>
      </c>
      <c r="F12" s="250"/>
    </row>
    <row r="13" spans="1:6" ht="15.6">
      <c r="A13" s="260" t="s">
        <v>148</v>
      </c>
      <c r="B13" s="261">
        <f>SUM(B8:B12)</f>
        <v>1484</v>
      </c>
      <c r="C13" s="262">
        <f>SUM(C8:C12)</f>
        <v>465583990.08999997</v>
      </c>
      <c r="D13" s="262"/>
      <c r="E13" s="262">
        <f>SUM(E8:E12)</f>
        <v>20058854.855</v>
      </c>
      <c r="F13" s="250"/>
    </row>
    <row r="14" spans="1:6" ht="15.6">
      <c r="A14" s="255" t="s">
        <v>152</v>
      </c>
      <c r="B14" s="263"/>
      <c r="C14" s="263"/>
      <c r="D14" s="263"/>
      <c r="E14" s="263"/>
      <c r="F14" s="250"/>
    </row>
    <row r="15" spans="1:6" ht="15.6">
      <c r="A15" s="255" t="s">
        <v>141</v>
      </c>
      <c r="B15" s="256">
        <v>35</v>
      </c>
      <c r="C15" s="257">
        <v>17710295.390000001</v>
      </c>
      <c r="D15" s="258">
        <v>0.01</v>
      </c>
      <c r="E15" s="264">
        <f>C15*D15</f>
        <v>177102.95390000002</v>
      </c>
      <c r="F15" s="250"/>
    </row>
    <row r="16" spans="1:6" ht="15.6">
      <c r="A16" s="255" t="s">
        <v>142</v>
      </c>
      <c r="B16" s="256">
        <v>15</v>
      </c>
      <c r="C16" s="257">
        <v>5225787.67</v>
      </c>
      <c r="D16" s="258">
        <v>0.05</v>
      </c>
      <c r="E16" s="264">
        <f>C16*D16</f>
        <v>261289.3835</v>
      </c>
      <c r="F16" s="265">
        <f>C10+C11+C12+C20</f>
        <v>57031973.540000007</v>
      </c>
    </row>
    <row r="17" spans="1:6" ht="15.6">
      <c r="A17" s="255" t="s">
        <v>144</v>
      </c>
      <c r="B17" s="256">
        <v>6</v>
      </c>
      <c r="C17" s="257">
        <v>1930753.75</v>
      </c>
      <c r="D17" s="258">
        <v>0.25</v>
      </c>
      <c r="E17" s="264">
        <f>C17*D17</f>
        <v>482688.4375</v>
      </c>
      <c r="F17" s="266">
        <f>(C10+C11+C12+C20)/C21</f>
        <v>0.11598332211286604</v>
      </c>
    </row>
    <row r="18" spans="1:6" ht="15.6">
      <c r="A18" s="255" t="s">
        <v>146</v>
      </c>
      <c r="B18" s="256">
        <v>1</v>
      </c>
      <c r="C18" s="257">
        <v>339716.67</v>
      </c>
      <c r="D18" s="258">
        <v>0.5</v>
      </c>
      <c r="E18" s="264">
        <f>C18*D18</f>
        <v>169858.33499999999</v>
      </c>
      <c r="F18" s="250"/>
    </row>
    <row r="19" spans="1:6" ht="15.6">
      <c r="A19" s="255" t="s">
        <v>147</v>
      </c>
      <c r="B19" s="256">
        <v>2</v>
      </c>
      <c r="C19" s="257">
        <v>935098.54</v>
      </c>
      <c r="D19" s="258">
        <v>1</v>
      </c>
      <c r="E19" s="264">
        <f>C19*D19</f>
        <v>935098.54</v>
      </c>
      <c r="F19" s="250"/>
    </row>
    <row r="20" spans="1:6" ht="15.6">
      <c r="A20" s="260" t="s">
        <v>148</v>
      </c>
      <c r="B20" s="267">
        <f>SUM(B14:B19)</f>
        <v>59</v>
      </c>
      <c r="C20" s="262">
        <f>SUM(C14:C19)</f>
        <v>26141652.020000003</v>
      </c>
      <c r="D20" s="262"/>
      <c r="E20" s="262">
        <f>SUM(E14:E19)</f>
        <v>2026037.6499000001</v>
      </c>
      <c r="F20" s="250"/>
    </row>
    <row r="21" spans="1:6" ht="15.6">
      <c r="A21" s="260" t="s">
        <v>153</v>
      </c>
      <c r="B21" s="267">
        <f>B13+B20</f>
        <v>1543</v>
      </c>
      <c r="C21" s="262">
        <f>C13+C20</f>
        <v>491725642.10999995</v>
      </c>
      <c r="D21" s="262"/>
      <c r="E21" s="262">
        <f>E13+E20</f>
        <v>22084892.504900001</v>
      </c>
      <c r="F21" s="250"/>
    </row>
    <row r="22" spans="1:6" ht="15.6">
      <c r="A22" s="251"/>
      <c r="B22" s="251"/>
      <c r="C22" s="251"/>
      <c r="D22" s="251"/>
      <c r="E22" s="251"/>
      <c r="F22" s="250"/>
    </row>
    <row r="23" spans="1:6" ht="15.6">
      <c r="A23" s="251"/>
      <c r="B23" s="251"/>
      <c r="C23" s="251"/>
      <c r="D23" s="251"/>
      <c r="E23" s="251"/>
      <c r="F23" s="250"/>
    </row>
    <row r="24" spans="1:6" ht="15.6">
      <c r="A24" s="252">
        <v>44713</v>
      </c>
      <c r="B24" s="251"/>
      <c r="C24" s="251"/>
      <c r="D24" s="251"/>
      <c r="E24" s="251"/>
      <c r="F24" s="250"/>
    </row>
    <row r="25" spans="1:6" ht="45.6">
      <c r="A25" s="253" t="s">
        <v>136</v>
      </c>
      <c r="B25" s="254" t="s">
        <v>137</v>
      </c>
      <c r="C25" s="254" t="s">
        <v>138</v>
      </c>
      <c r="D25" s="254" t="s">
        <v>139</v>
      </c>
      <c r="E25" s="254" t="s">
        <v>140</v>
      </c>
      <c r="F25" s="250"/>
    </row>
    <row r="26" spans="1:6" ht="15.6">
      <c r="A26" s="255" t="s">
        <v>141</v>
      </c>
      <c r="B26" s="256">
        <v>1058</v>
      </c>
      <c r="C26" s="268">
        <v>361826840.27999997</v>
      </c>
      <c r="D26" s="258">
        <v>0.01</v>
      </c>
      <c r="E26" s="259">
        <f>C26*D26</f>
        <v>3618268.4027999998</v>
      </c>
      <c r="F26" s="250"/>
    </row>
    <row r="27" spans="1:6" ht="15.6">
      <c r="A27" s="255" t="s">
        <v>142</v>
      </c>
      <c r="B27" s="256">
        <v>323</v>
      </c>
      <c r="C27" s="268">
        <v>101185156.63</v>
      </c>
      <c r="D27" s="258">
        <v>0.05</v>
      </c>
      <c r="E27" s="259">
        <f>C27*D27</f>
        <v>5059257.8315000003</v>
      </c>
      <c r="F27" s="250"/>
    </row>
    <row r="28" spans="1:6" ht="15.6">
      <c r="A28" s="255" t="s">
        <v>144</v>
      </c>
      <c r="B28" s="256">
        <v>215</v>
      </c>
      <c r="C28" s="268">
        <v>46834890.280000001</v>
      </c>
      <c r="D28" s="258">
        <v>0.25</v>
      </c>
      <c r="E28" s="259">
        <f>C28*D28</f>
        <v>11708722.57</v>
      </c>
      <c r="F28" s="250"/>
    </row>
    <row r="29" spans="1:6" ht="15.6">
      <c r="A29" s="255" t="s">
        <v>146</v>
      </c>
      <c r="B29" s="256">
        <v>18</v>
      </c>
      <c r="C29" s="268">
        <v>5327601.79</v>
      </c>
      <c r="D29" s="258">
        <v>0.5</v>
      </c>
      <c r="E29" s="259">
        <f>C29*D29</f>
        <v>2663800.895</v>
      </c>
      <c r="F29" s="250"/>
    </row>
    <row r="30" spans="1:6" ht="15.6">
      <c r="A30" s="255" t="s">
        <v>147</v>
      </c>
      <c r="B30" s="256">
        <v>104</v>
      </c>
      <c r="C30" s="268">
        <v>6408700.1699999999</v>
      </c>
      <c r="D30" s="258">
        <v>1</v>
      </c>
      <c r="E30" s="259">
        <f>C30*D30</f>
        <v>6408700.1699999999</v>
      </c>
      <c r="F30" s="250"/>
    </row>
    <row r="31" spans="1:6" ht="15.6">
      <c r="A31" s="260" t="s">
        <v>148</v>
      </c>
      <c r="B31" s="261">
        <f>SUM(B26:B30)</f>
        <v>1718</v>
      </c>
      <c r="C31" s="262">
        <f>SUM(C26:C30)</f>
        <v>521583189.14999998</v>
      </c>
      <c r="D31" s="262"/>
      <c r="E31" s="262">
        <f>SUM(E26:E30)</f>
        <v>29458749.8693</v>
      </c>
      <c r="F31" s="250"/>
    </row>
    <row r="32" spans="1:6" ht="15.6">
      <c r="A32" s="255" t="s">
        <v>152</v>
      </c>
      <c r="B32" s="263"/>
      <c r="C32" s="263"/>
      <c r="D32" s="263"/>
      <c r="E32" s="263"/>
      <c r="F32" s="269">
        <f>C28+C29+C30+C38</f>
        <v>81818832.189999998</v>
      </c>
    </row>
    <row r="33" spans="1:6" ht="15.6">
      <c r="A33" s="255" t="s">
        <v>141</v>
      </c>
      <c r="B33" s="256">
        <v>27</v>
      </c>
      <c r="C33" s="268">
        <v>12060426.109999999</v>
      </c>
      <c r="D33" s="258">
        <v>0.01</v>
      </c>
      <c r="E33" s="264">
        <f>C33*D33</f>
        <v>120604.2611</v>
      </c>
      <c r="F33" s="266">
        <f>(C28+C29+C30+C38)/C39</f>
        <v>0.15017291206732117</v>
      </c>
    </row>
    <row r="34" spans="1:6" ht="15.6">
      <c r="A34" s="255" t="s">
        <v>142</v>
      </c>
      <c r="B34" s="256">
        <v>9</v>
      </c>
      <c r="C34" s="268">
        <v>4818311.29</v>
      </c>
      <c r="D34" s="258">
        <v>0.05</v>
      </c>
      <c r="E34" s="264">
        <f>C34*D34</f>
        <v>240915.56450000001</v>
      </c>
      <c r="F34" s="250"/>
    </row>
    <row r="35" spans="1:6" ht="15.6">
      <c r="A35" s="255" t="s">
        <v>144</v>
      </c>
      <c r="B35" s="256">
        <v>15</v>
      </c>
      <c r="C35" s="268">
        <v>4335597.9000000004</v>
      </c>
      <c r="D35" s="258">
        <v>0.25</v>
      </c>
      <c r="E35" s="264">
        <f>C35*D35</f>
        <v>1083899.4750000001</v>
      </c>
      <c r="F35" s="250"/>
    </row>
    <row r="36" spans="1:6" ht="15.6">
      <c r="A36" s="255" t="s">
        <v>146</v>
      </c>
      <c r="B36" s="256">
        <v>2</v>
      </c>
      <c r="C36" s="268">
        <v>776469.44</v>
      </c>
      <c r="D36" s="258">
        <v>0.5</v>
      </c>
      <c r="E36" s="264">
        <f>C36*D36</f>
        <v>388234.72</v>
      </c>
      <c r="F36" s="250"/>
    </row>
    <row r="37" spans="1:6" ht="15.6">
      <c r="A37" s="255" t="s">
        <v>147</v>
      </c>
      <c r="B37" s="256">
        <v>3</v>
      </c>
      <c r="C37" s="268">
        <v>1256835.21</v>
      </c>
      <c r="D37" s="258">
        <v>1</v>
      </c>
      <c r="E37" s="264">
        <f>C37*D37</f>
        <v>1256835.21</v>
      </c>
      <c r="F37" s="250"/>
    </row>
    <row r="38" spans="1:6" ht="15.6">
      <c r="A38" s="260" t="s">
        <v>148</v>
      </c>
      <c r="B38" s="267">
        <f>SUM(B32:B37)</f>
        <v>56</v>
      </c>
      <c r="C38" s="262">
        <f>SUM(C32:C37)</f>
        <v>23247639.949999999</v>
      </c>
      <c r="D38" s="262"/>
      <c r="E38" s="262">
        <f>SUM(E32:E37)</f>
        <v>3090489.2306000004</v>
      </c>
      <c r="F38" s="250"/>
    </row>
    <row r="39" spans="1:6" ht="15.6">
      <c r="A39" s="260" t="s">
        <v>153</v>
      </c>
      <c r="B39" s="267">
        <f>B31+B38</f>
        <v>1774</v>
      </c>
      <c r="C39" s="262">
        <f>C31+C38</f>
        <v>544830829.10000002</v>
      </c>
      <c r="D39" s="262"/>
      <c r="E39" s="262">
        <f>E31+E38</f>
        <v>32549239.0999</v>
      </c>
      <c r="F39" s="250"/>
    </row>
    <row r="40" spans="1:6" ht="15.6">
      <c r="A40" s="251"/>
      <c r="B40" s="251"/>
      <c r="C40" s="251"/>
      <c r="D40" s="251"/>
      <c r="E40" s="251"/>
      <c r="F40" s="250"/>
    </row>
    <row r="41" spans="1:6" ht="15.6">
      <c r="A41" s="251"/>
      <c r="B41" s="251"/>
      <c r="C41" s="251"/>
      <c r="D41" s="251"/>
      <c r="E41" s="251"/>
      <c r="F41" s="250"/>
    </row>
    <row r="42" spans="1:6" ht="15.6">
      <c r="A42" s="251"/>
      <c r="B42" s="251"/>
      <c r="C42" s="251"/>
      <c r="D42" s="251"/>
      <c r="E42" s="251"/>
      <c r="F42" s="250"/>
    </row>
    <row r="43" spans="1:6" ht="15.6">
      <c r="A43" s="252">
        <v>44805</v>
      </c>
      <c r="B43" s="251"/>
      <c r="C43" s="251"/>
      <c r="D43" s="251"/>
      <c r="E43" s="251"/>
      <c r="F43" s="250"/>
    </row>
    <row r="44" spans="1:6" ht="45.6">
      <c r="A44" s="253" t="s">
        <v>136</v>
      </c>
      <c r="B44" s="254" t="s">
        <v>137</v>
      </c>
      <c r="C44" s="254" t="s">
        <v>138</v>
      </c>
      <c r="D44" s="254" t="s">
        <v>139</v>
      </c>
      <c r="E44" s="254" t="s">
        <v>140</v>
      </c>
      <c r="F44" s="250"/>
    </row>
    <row r="45" spans="1:6" ht="15.6">
      <c r="A45" s="255" t="s">
        <v>141</v>
      </c>
      <c r="B45" s="270">
        <v>1264</v>
      </c>
      <c r="C45" s="255">
        <v>379993164.92000002</v>
      </c>
      <c r="D45" s="258">
        <v>0.01</v>
      </c>
      <c r="E45" s="259">
        <f>C45*D45</f>
        <v>3799931.6492000003</v>
      </c>
      <c r="F45" s="250"/>
    </row>
    <row r="46" spans="1:6" ht="15.6">
      <c r="A46" s="255" t="s">
        <v>142</v>
      </c>
      <c r="B46" s="270">
        <v>325</v>
      </c>
      <c r="C46" s="255">
        <v>97671692.409999996</v>
      </c>
      <c r="D46" s="258">
        <v>0.05</v>
      </c>
      <c r="E46" s="259">
        <f>C46*D46</f>
        <v>4883584.6205000002</v>
      </c>
      <c r="F46" s="250"/>
    </row>
    <row r="47" spans="1:6" ht="15.6">
      <c r="A47" s="255" t="s">
        <v>144</v>
      </c>
      <c r="B47" s="270">
        <v>225</v>
      </c>
      <c r="C47" s="255">
        <v>46643592.409999996</v>
      </c>
      <c r="D47" s="258">
        <v>0.25</v>
      </c>
      <c r="E47" s="259">
        <f>C47*D47</f>
        <v>11660898.102499999</v>
      </c>
      <c r="F47" s="250"/>
    </row>
    <row r="48" spans="1:6" ht="15.6">
      <c r="A48" s="255" t="s">
        <v>146</v>
      </c>
      <c r="B48" s="270">
        <v>26</v>
      </c>
      <c r="C48" s="255">
        <v>2594401.16</v>
      </c>
      <c r="D48" s="258">
        <v>0.5</v>
      </c>
      <c r="E48" s="259">
        <f>C48*D48</f>
        <v>1297200.58</v>
      </c>
      <c r="F48" s="250"/>
    </row>
    <row r="49" spans="1:6" ht="15.6">
      <c r="A49" s="255" t="s">
        <v>147</v>
      </c>
      <c r="B49" s="270">
        <v>193</v>
      </c>
      <c r="C49" s="255">
        <v>9891535.8900000006</v>
      </c>
      <c r="D49" s="258">
        <v>1</v>
      </c>
      <c r="E49" s="259">
        <f>C49*D49</f>
        <v>9891535.8900000006</v>
      </c>
      <c r="F49" s="250"/>
    </row>
    <row r="50" spans="1:6" ht="15.6">
      <c r="A50" s="260" t="s">
        <v>148</v>
      </c>
      <c r="B50" s="261">
        <f>SUM(B45:B49)</f>
        <v>2033</v>
      </c>
      <c r="C50" s="262">
        <f>SUM(C45:C49)</f>
        <v>536794386.79000002</v>
      </c>
      <c r="D50" s="262"/>
      <c r="E50" s="262">
        <f>SUM(E45:E49)</f>
        <v>31533150.842199996</v>
      </c>
      <c r="F50" s="250"/>
    </row>
    <row r="51" spans="1:6" ht="15.6">
      <c r="A51" s="255" t="s">
        <v>152</v>
      </c>
      <c r="B51" s="263"/>
      <c r="C51" s="263"/>
      <c r="D51" s="263"/>
      <c r="E51" s="263"/>
      <c r="F51" s="250"/>
    </row>
    <row r="52" spans="1:6" ht="15.6">
      <c r="A52" s="255" t="s">
        <v>141</v>
      </c>
      <c r="B52" s="270">
        <v>25</v>
      </c>
      <c r="C52" s="255">
        <v>11194127.560000001</v>
      </c>
      <c r="D52" s="258">
        <v>0.01</v>
      </c>
      <c r="E52" s="264">
        <f>C52*D52</f>
        <v>111941.27560000001</v>
      </c>
      <c r="F52" s="250"/>
    </row>
    <row r="53" spans="1:6" ht="15.6">
      <c r="A53" s="255" t="s">
        <v>142</v>
      </c>
      <c r="B53" s="270">
        <v>14</v>
      </c>
      <c r="C53" s="255">
        <v>5298507.8</v>
      </c>
      <c r="D53" s="258">
        <v>0.05</v>
      </c>
      <c r="E53" s="264">
        <f>C53*D53</f>
        <v>264925.39</v>
      </c>
      <c r="F53" s="269">
        <f>C47+C48+C49+C57</f>
        <v>81529491.899999991</v>
      </c>
    </row>
    <row r="54" spans="1:6" ht="15.6">
      <c r="A54" s="255" t="s">
        <v>144</v>
      </c>
      <c r="B54" s="270">
        <v>13</v>
      </c>
      <c r="C54" s="255">
        <v>4644691.42</v>
      </c>
      <c r="D54" s="258">
        <v>0.25</v>
      </c>
      <c r="E54" s="264">
        <f>C54*D54</f>
        <v>1161172.855</v>
      </c>
      <c r="F54" s="266">
        <f>(C47+C48+C49+C57)/C58</f>
        <v>0.14579813263897345</v>
      </c>
    </row>
    <row r="55" spans="1:6" ht="15.6">
      <c r="A55" s="255" t="s">
        <v>146</v>
      </c>
      <c r="B55" s="270">
        <v>3</v>
      </c>
      <c r="C55" s="255">
        <v>919409.47</v>
      </c>
      <c r="D55" s="258">
        <v>0.5</v>
      </c>
      <c r="E55" s="264">
        <f>C55*D55</f>
        <v>459704.73499999999</v>
      </c>
      <c r="F55" s="250"/>
    </row>
    <row r="56" spans="1:6" ht="15.6">
      <c r="A56" s="255" t="s">
        <v>147</v>
      </c>
      <c r="B56" s="270">
        <v>3</v>
      </c>
      <c r="C56" s="255">
        <v>343226.19</v>
      </c>
      <c r="D56" s="258">
        <v>1</v>
      </c>
      <c r="E56" s="264">
        <f>C56*D56</f>
        <v>343226.19</v>
      </c>
      <c r="F56" s="250"/>
    </row>
    <row r="57" spans="1:6" ht="15.6">
      <c r="A57" s="260" t="s">
        <v>148</v>
      </c>
      <c r="B57" s="267">
        <f>SUM(B51:B56)</f>
        <v>58</v>
      </c>
      <c r="C57" s="262">
        <f>SUM(C51:C56)</f>
        <v>22399962.440000001</v>
      </c>
      <c r="D57" s="262"/>
      <c r="E57" s="262">
        <f>SUM(E51:E56)</f>
        <v>2340970.4455999997</v>
      </c>
      <c r="F57" s="250"/>
    </row>
    <row r="58" spans="1:6" ht="15.6">
      <c r="A58" s="260" t="s">
        <v>153</v>
      </c>
      <c r="B58" s="267">
        <f>B50+B57</f>
        <v>2091</v>
      </c>
      <c r="C58" s="262">
        <f>C50+C57</f>
        <v>559194349.23000002</v>
      </c>
      <c r="D58" s="262"/>
      <c r="E58" s="262">
        <f>E50+E57</f>
        <v>33874121.287799999</v>
      </c>
      <c r="F58" s="250"/>
    </row>
    <row r="59" spans="1:6" ht="15.6">
      <c r="A59" s="251"/>
      <c r="B59" s="251"/>
      <c r="C59" s="251"/>
      <c r="D59" s="251"/>
      <c r="E59" s="251"/>
      <c r="F59" s="250"/>
    </row>
    <row r="60" spans="1:6" ht="15.6">
      <c r="A60" s="251"/>
      <c r="B60" s="251"/>
      <c r="C60" s="251"/>
      <c r="D60" s="251"/>
      <c r="E60" s="251"/>
      <c r="F60" s="250"/>
    </row>
    <row r="61" spans="1:6" ht="15.6">
      <c r="A61" s="251"/>
      <c r="B61" s="251"/>
      <c r="C61" s="251"/>
      <c r="D61" s="251"/>
      <c r="E61" s="251"/>
      <c r="F61" s="250"/>
    </row>
    <row r="62" spans="1:6" ht="15.6">
      <c r="A62" s="252">
        <v>44896</v>
      </c>
      <c r="B62" s="251"/>
      <c r="C62" s="251"/>
      <c r="D62" s="251"/>
      <c r="E62" s="251"/>
      <c r="F62" s="250"/>
    </row>
    <row r="63" spans="1:6" ht="45.6">
      <c r="A63" s="253" t="s">
        <v>136</v>
      </c>
      <c r="B63" s="254" t="s">
        <v>137</v>
      </c>
      <c r="C63" s="254" t="s">
        <v>138</v>
      </c>
      <c r="D63" s="254" t="s">
        <v>139</v>
      </c>
      <c r="E63" s="254" t="s">
        <v>140</v>
      </c>
      <c r="F63" s="250"/>
    </row>
    <row r="64" spans="1:6" ht="15.6">
      <c r="A64" s="255" t="s">
        <v>141</v>
      </c>
      <c r="B64" s="270">
        <v>1273</v>
      </c>
      <c r="C64" s="255">
        <v>486825752.49000001</v>
      </c>
      <c r="D64" s="258">
        <v>0.01</v>
      </c>
      <c r="E64" s="259">
        <f>C64*D64</f>
        <v>4868257.5249000005</v>
      </c>
      <c r="F64" s="250"/>
    </row>
    <row r="65" spans="1:6" ht="15.6">
      <c r="A65" s="255" t="s">
        <v>142</v>
      </c>
      <c r="B65" s="270">
        <v>267</v>
      </c>
      <c r="C65" s="255">
        <v>67950633</v>
      </c>
      <c r="D65" s="258">
        <v>0.05</v>
      </c>
      <c r="E65" s="259">
        <f>C65*D65</f>
        <v>3397531.6500000004</v>
      </c>
      <c r="F65" s="250"/>
    </row>
    <row r="66" spans="1:6" ht="15.6">
      <c r="A66" s="255" t="s">
        <v>144</v>
      </c>
      <c r="B66" s="270">
        <v>118</v>
      </c>
      <c r="C66" s="255">
        <v>17801300.460000001</v>
      </c>
      <c r="D66" s="258">
        <v>0.25</v>
      </c>
      <c r="E66" s="259">
        <f>C66*D66</f>
        <v>4450325.1150000002</v>
      </c>
      <c r="F66" s="250"/>
    </row>
    <row r="67" spans="1:6" ht="15.6">
      <c r="A67" s="255" t="s">
        <v>146</v>
      </c>
      <c r="B67" s="270">
        <v>9</v>
      </c>
      <c r="C67" s="255">
        <v>1442617.23</v>
      </c>
      <c r="D67" s="258">
        <v>0.5</v>
      </c>
      <c r="E67" s="259">
        <f>C67*D67</f>
        <v>721308.61499999999</v>
      </c>
      <c r="F67" s="269">
        <f>C66+C67+C68+C76</f>
        <v>24094149.400000002</v>
      </c>
    </row>
    <row r="68" spans="1:6" ht="15.6">
      <c r="A68" s="255" t="s">
        <v>147</v>
      </c>
      <c r="B68" s="270">
        <v>200</v>
      </c>
      <c r="C68" s="255">
        <v>4850231.71</v>
      </c>
      <c r="D68" s="258">
        <v>1</v>
      </c>
      <c r="E68" s="259">
        <f>C68*D68</f>
        <v>4850231.71</v>
      </c>
      <c r="F68" s="266">
        <f>(C66+C67+C68+C76)/C77</f>
        <v>4.1622690995281861E-2</v>
      </c>
    </row>
    <row r="69" spans="1:6" ht="15.6">
      <c r="A69" s="260" t="s">
        <v>148</v>
      </c>
      <c r="B69" s="261">
        <f>SUM(B64:B68)</f>
        <v>1867</v>
      </c>
      <c r="C69" s="262">
        <f>SUM(C64:C68)</f>
        <v>578870534.8900001</v>
      </c>
      <c r="D69" s="262"/>
      <c r="E69" s="262">
        <f>SUM(E64:E68)</f>
        <v>18287654.6149</v>
      </c>
      <c r="F69" s="250"/>
    </row>
    <row r="70" spans="1:6" ht="15.6">
      <c r="A70" s="255" t="s">
        <v>152</v>
      </c>
      <c r="B70" s="263"/>
      <c r="C70" s="263"/>
      <c r="D70" s="263"/>
      <c r="E70" s="263"/>
      <c r="F70" s="250"/>
    </row>
    <row r="71" spans="1:6" ht="15.6">
      <c r="A71" s="255" t="s">
        <v>141</v>
      </c>
      <c r="B71" s="270">
        <v>0</v>
      </c>
      <c r="C71" s="255">
        <v>0</v>
      </c>
      <c r="D71" s="258">
        <v>0.01</v>
      </c>
      <c r="E71" s="264">
        <f>C71*D71</f>
        <v>0</v>
      </c>
      <c r="F71" s="250"/>
    </row>
    <row r="72" spans="1:6" ht="15.6">
      <c r="A72" s="255" t="s">
        <v>142</v>
      </c>
      <c r="B72" s="270">
        <v>0</v>
      </c>
      <c r="C72" s="255">
        <v>0</v>
      </c>
      <c r="D72" s="258">
        <v>0.05</v>
      </c>
      <c r="E72" s="264">
        <f>C72*D72</f>
        <v>0</v>
      </c>
      <c r="F72" s="250"/>
    </row>
    <row r="73" spans="1:6" ht="15.6">
      <c r="A73" s="255" t="s">
        <v>144</v>
      </c>
      <c r="B73" s="270">
        <v>0</v>
      </c>
      <c r="C73" s="255">
        <v>0</v>
      </c>
      <c r="D73" s="258">
        <v>0.25</v>
      </c>
      <c r="E73" s="264">
        <f>C73*D73</f>
        <v>0</v>
      </c>
      <c r="F73" s="250"/>
    </row>
    <row r="74" spans="1:6" ht="15.6">
      <c r="A74" s="255" t="s">
        <v>146</v>
      </c>
      <c r="B74" s="270">
        <v>0</v>
      </c>
      <c r="C74" s="255">
        <v>0</v>
      </c>
      <c r="D74" s="258">
        <v>0.5</v>
      </c>
      <c r="E74" s="264">
        <f>C74*D74</f>
        <v>0</v>
      </c>
      <c r="F74" s="250"/>
    </row>
    <row r="75" spans="1:6" ht="15.6">
      <c r="A75" s="255" t="s">
        <v>147</v>
      </c>
      <c r="B75" s="270">
        <v>0</v>
      </c>
      <c r="C75" s="255">
        <v>0</v>
      </c>
      <c r="D75" s="258">
        <v>1</v>
      </c>
      <c r="E75" s="264">
        <f>C75*D75</f>
        <v>0</v>
      </c>
      <c r="F75" s="250"/>
    </row>
    <row r="76" spans="1:6" ht="15.6">
      <c r="A76" s="260" t="s">
        <v>148</v>
      </c>
      <c r="B76" s="267">
        <f>SUM(B70:B75)</f>
        <v>0</v>
      </c>
      <c r="C76" s="262">
        <f>SUM(C70:C75)</f>
        <v>0</v>
      </c>
      <c r="D76" s="262"/>
      <c r="E76" s="262">
        <f>SUM(E70:E75)</f>
        <v>0</v>
      </c>
      <c r="F76" s="250"/>
    </row>
    <row r="77" spans="1:6" ht="15.6">
      <c r="A77" s="260" t="s">
        <v>153</v>
      </c>
      <c r="B77" s="267">
        <f>B69+B76</f>
        <v>1867</v>
      </c>
      <c r="C77" s="262">
        <f>C69+C76</f>
        <v>578870534.8900001</v>
      </c>
      <c r="D77" s="262"/>
      <c r="E77" s="262">
        <f>E69+E76</f>
        <v>18287654.6149</v>
      </c>
      <c r="F77" s="250"/>
    </row>
    <row r="78" spans="1:6" ht="15.6">
      <c r="A78" s="251"/>
      <c r="B78" s="251"/>
      <c r="C78" s="251"/>
      <c r="D78" s="251"/>
      <c r="E78" s="251"/>
      <c r="F78" s="250"/>
    </row>
    <row r="79" spans="1:6" ht="15.6">
      <c r="A79" s="251"/>
      <c r="B79" s="251"/>
      <c r="C79" s="251"/>
      <c r="D79" s="251"/>
      <c r="E79" s="251"/>
      <c r="F79" s="250"/>
    </row>
    <row r="80" spans="1:6" ht="15.6">
      <c r="A80" s="251"/>
      <c r="B80" s="251"/>
      <c r="C80" s="251"/>
      <c r="D80" s="251"/>
      <c r="E80" s="251"/>
      <c r="F80" s="250"/>
    </row>
    <row r="81" spans="1:6" ht="15.6">
      <c r="A81" s="252" t="s">
        <v>5</v>
      </c>
      <c r="B81" s="251"/>
      <c r="C81" s="251"/>
      <c r="D81" s="251"/>
      <c r="E81" s="251"/>
      <c r="F81" s="250"/>
    </row>
    <row r="82" spans="1:6" ht="45.6">
      <c r="A82" s="253" t="s">
        <v>136</v>
      </c>
      <c r="B82" s="254" t="s">
        <v>137</v>
      </c>
      <c r="C82" s="254" t="s">
        <v>138</v>
      </c>
      <c r="D82" s="254" t="s">
        <v>139</v>
      </c>
      <c r="E82" s="254" t="s">
        <v>140</v>
      </c>
      <c r="F82" s="250"/>
    </row>
    <row r="83" spans="1:6" ht="15.6">
      <c r="A83" s="255" t="s">
        <v>141</v>
      </c>
      <c r="B83" s="256">
        <v>1305</v>
      </c>
      <c r="C83" s="268">
        <v>499460883</v>
      </c>
      <c r="D83" s="258">
        <v>0.01</v>
      </c>
      <c r="E83" s="257">
        <f>C83*D83</f>
        <v>4994608.83</v>
      </c>
      <c r="F83" s="250"/>
    </row>
    <row r="84" spans="1:6" ht="15.6">
      <c r="A84" s="255" t="s">
        <v>142</v>
      </c>
      <c r="B84" s="256">
        <v>280</v>
      </c>
      <c r="C84" s="268">
        <v>72712315</v>
      </c>
      <c r="D84" s="258">
        <v>0.05</v>
      </c>
      <c r="E84" s="257">
        <f>C84*D84</f>
        <v>3635615.75</v>
      </c>
      <c r="F84" s="250"/>
    </row>
    <row r="85" spans="1:6" ht="15.6">
      <c r="A85" s="255" t="s">
        <v>144</v>
      </c>
      <c r="B85" s="256">
        <v>121</v>
      </c>
      <c r="C85" s="268">
        <v>18401274</v>
      </c>
      <c r="D85" s="258">
        <v>0.25</v>
      </c>
      <c r="E85" s="257">
        <f>C85*D85</f>
        <v>4600318.5</v>
      </c>
      <c r="F85" s="250"/>
    </row>
    <row r="86" spans="1:6" ht="15.6">
      <c r="A86" s="255" t="s">
        <v>146</v>
      </c>
      <c r="B86" s="256">
        <v>9</v>
      </c>
      <c r="C86" s="268">
        <v>1442617</v>
      </c>
      <c r="D86" s="258">
        <v>0.5</v>
      </c>
      <c r="E86" s="257">
        <f>C86*D86</f>
        <v>721308.5</v>
      </c>
      <c r="F86" s="250"/>
    </row>
    <row r="87" spans="1:6" ht="15.6">
      <c r="A87" s="255" t="s">
        <v>147</v>
      </c>
      <c r="B87" s="256">
        <v>201</v>
      </c>
      <c r="C87" s="268">
        <v>4857162</v>
      </c>
      <c r="D87" s="258">
        <v>1</v>
      </c>
      <c r="E87" s="257">
        <f>C87*D87</f>
        <v>4857162</v>
      </c>
      <c r="F87" s="250"/>
    </row>
    <row r="88" spans="1:6" ht="15.6">
      <c r="A88" s="260" t="s">
        <v>148</v>
      </c>
      <c r="B88" s="261">
        <f>SUM(B83:B87)</f>
        <v>1916</v>
      </c>
      <c r="C88" s="262">
        <f>SUM(C83:C87)</f>
        <v>596874251</v>
      </c>
      <c r="D88" s="262"/>
      <c r="E88" s="262">
        <f>SUM(E83:E87)</f>
        <v>18809013.579999998</v>
      </c>
      <c r="F88" s="269">
        <f>C85+C86+C87+C95</f>
        <v>24701053</v>
      </c>
    </row>
    <row r="89" spans="1:6" ht="15.6">
      <c r="A89" s="255" t="s">
        <v>152</v>
      </c>
      <c r="B89" s="263"/>
      <c r="C89" s="263"/>
      <c r="D89" s="263"/>
      <c r="E89" s="263"/>
      <c r="F89" s="266">
        <f>(C85+C86+C87+C95)/C96</f>
        <v>4.1384015072883418E-2</v>
      </c>
    </row>
    <row r="90" spans="1:6" ht="15.6">
      <c r="A90" s="255" t="s">
        <v>141</v>
      </c>
      <c r="B90" s="271">
        <v>0</v>
      </c>
      <c r="C90" s="263"/>
      <c r="D90" s="258">
        <v>0.01</v>
      </c>
      <c r="E90" s="264">
        <f>C90*D90</f>
        <v>0</v>
      </c>
      <c r="F90" s="250"/>
    </row>
    <row r="91" spans="1:6" ht="15.6">
      <c r="A91" s="255" t="s">
        <v>142</v>
      </c>
      <c r="B91" s="271">
        <v>0</v>
      </c>
      <c r="C91" s="272"/>
      <c r="D91" s="258">
        <v>0.05</v>
      </c>
      <c r="E91" s="264">
        <f>C91*D91</f>
        <v>0</v>
      </c>
      <c r="F91" s="250"/>
    </row>
    <row r="92" spans="1:6" ht="15.6">
      <c r="A92" s="255" t="s">
        <v>144</v>
      </c>
      <c r="B92" s="271">
        <v>0</v>
      </c>
      <c r="C92" s="263"/>
      <c r="D92" s="258">
        <v>0.25</v>
      </c>
      <c r="E92" s="264">
        <f>C92*D92</f>
        <v>0</v>
      </c>
      <c r="F92" s="250"/>
    </row>
    <row r="93" spans="1:6" ht="15.6">
      <c r="A93" s="255" t="s">
        <v>146</v>
      </c>
      <c r="B93" s="271">
        <v>0</v>
      </c>
      <c r="C93" s="263"/>
      <c r="D93" s="258">
        <v>0.5</v>
      </c>
      <c r="E93" s="264">
        <f>C93*D93</f>
        <v>0</v>
      </c>
      <c r="F93" s="250"/>
    </row>
    <row r="94" spans="1:6" ht="15.6">
      <c r="A94" s="255" t="s">
        <v>147</v>
      </c>
      <c r="B94" s="271">
        <v>0</v>
      </c>
      <c r="C94" s="263"/>
      <c r="D94" s="258">
        <v>1</v>
      </c>
      <c r="E94" s="264">
        <f>C94*D94</f>
        <v>0</v>
      </c>
      <c r="F94" s="250"/>
    </row>
    <row r="95" spans="1:6" ht="15.6">
      <c r="A95" s="260" t="s">
        <v>148</v>
      </c>
      <c r="B95" s="267">
        <f>SUM(B89:B94)</f>
        <v>0</v>
      </c>
      <c r="C95" s="262">
        <f>SUM(C89:C94)</f>
        <v>0</v>
      </c>
      <c r="D95" s="262"/>
      <c r="E95" s="262">
        <f>SUM(E89:E94)</f>
        <v>0</v>
      </c>
      <c r="F95" s="250"/>
    </row>
    <row r="96" spans="1:6" ht="15.6">
      <c r="A96" s="260" t="s">
        <v>153</v>
      </c>
      <c r="B96" s="267">
        <f>B88+B95</f>
        <v>1916</v>
      </c>
      <c r="C96" s="262">
        <f>C88+C95</f>
        <v>596874251</v>
      </c>
      <c r="D96" s="262"/>
      <c r="E96" s="262">
        <f>E88+E95</f>
        <v>18809013.579999998</v>
      </c>
      <c r="F96" s="250"/>
    </row>
    <row r="97" spans="1:6" ht="15.6">
      <c r="A97" s="251"/>
      <c r="B97" s="251"/>
      <c r="C97" s="251"/>
      <c r="D97" s="251"/>
      <c r="E97" s="251"/>
      <c r="F97" s="250"/>
    </row>
    <row r="98" spans="1:6" ht="15.6">
      <c r="A98" s="251"/>
      <c r="B98" s="251"/>
      <c r="C98" s="273"/>
      <c r="D98" s="251"/>
      <c r="E98" s="251"/>
      <c r="F98" s="250"/>
    </row>
    <row r="99" spans="1:6" ht="15.6">
      <c r="A99" s="251"/>
      <c r="B99" s="251"/>
      <c r="C99" s="274"/>
      <c r="D99" s="251"/>
      <c r="E99" s="251"/>
      <c r="F99" s="25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topLeftCell="B1" workbookViewId="0">
      <selection activeCell="D29" sqref="D29"/>
    </sheetView>
  </sheetViews>
  <sheetFormatPr defaultRowHeight="14.45"/>
  <cols>
    <col min="1" max="1" width="48" style="10" customWidth="1"/>
    <col min="2" max="2" width="20.7109375" style="14" customWidth="1"/>
    <col min="3" max="3" width="26.140625" style="10" customWidth="1"/>
    <col min="4" max="4" width="22.140625" style="10" customWidth="1"/>
    <col min="5" max="5" width="24.42578125" style="10" customWidth="1"/>
    <col min="6" max="7" width="21.42578125" style="10" customWidth="1"/>
    <col min="8" max="8" width="23.140625" style="15" customWidth="1"/>
    <col min="9" max="9" width="13.7109375" style="10" bestFit="1" customWidth="1"/>
    <col min="10" max="258" width="8.85546875" style="10"/>
    <col min="259" max="259" width="39.28515625" style="10" bestFit="1" customWidth="1"/>
    <col min="260" max="260" width="15.140625" style="10" customWidth="1"/>
    <col min="261" max="261" width="12.7109375" style="10" bestFit="1" customWidth="1"/>
    <col min="262" max="262" width="27.28515625" style="10" bestFit="1" customWidth="1"/>
    <col min="263" max="263" width="14.28515625" style="10" bestFit="1" customWidth="1"/>
    <col min="264" max="264" width="8.85546875" style="10"/>
    <col min="265" max="265" width="13.7109375" style="10" bestFit="1" customWidth="1"/>
    <col min="266" max="514" width="8.85546875" style="10"/>
    <col min="515" max="515" width="39.28515625" style="10" bestFit="1" customWidth="1"/>
    <col min="516" max="516" width="15.140625" style="10" customWidth="1"/>
    <col min="517" max="517" width="12.7109375" style="10" bestFit="1" customWidth="1"/>
    <col min="518" max="518" width="27.28515625" style="10" bestFit="1" customWidth="1"/>
    <col min="519" max="519" width="14.28515625" style="10" bestFit="1" customWidth="1"/>
    <col min="520" max="520" width="8.85546875" style="10"/>
    <col min="521" max="521" width="13.7109375" style="10" bestFit="1" customWidth="1"/>
    <col min="522" max="770" width="8.85546875" style="10"/>
    <col min="771" max="771" width="39.28515625" style="10" bestFit="1" customWidth="1"/>
    <col min="772" max="772" width="15.140625" style="10" customWidth="1"/>
    <col min="773" max="773" width="12.7109375" style="10" bestFit="1" customWidth="1"/>
    <col min="774" max="774" width="27.28515625" style="10" bestFit="1" customWidth="1"/>
    <col min="775" max="775" width="14.28515625" style="10" bestFit="1" customWidth="1"/>
    <col min="776" max="776" width="8.85546875" style="10"/>
    <col min="777" max="777" width="13.7109375" style="10" bestFit="1" customWidth="1"/>
    <col min="778" max="1026" width="8.85546875" style="10"/>
    <col min="1027" max="1027" width="39.28515625" style="10" bestFit="1" customWidth="1"/>
    <col min="1028" max="1028" width="15.140625" style="10" customWidth="1"/>
    <col min="1029" max="1029" width="12.7109375" style="10" bestFit="1" customWidth="1"/>
    <col min="1030" max="1030" width="27.28515625" style="10" bestFit="1" customWidth="1"/>
    <col min="1031" max="1031" width="14.28515625" style="10" bestFit="1" customWidth="1"/>
    <col min="1032" max="1032" width="8.85546875" style="10"/>
    <col min="1033" max="1033" width="13.7109375" style="10" bestFit="1" customWidth="1"/>
    <col min="1034" max="1282" width="8.85546875" style="10"/>
    <col min="1283" max="1283" width="39.28515625" style="10" bestFit="1" customWidth="1"/>
    <col min="1284" max="1284" width="15.140625" style="10" customWidth="1"/>
    <col min="1285" max="1285" width="12.7109375" style="10" bestFit="1" customWidth="1"/>
    <col min="1286" max="1286" width="27.28515625" style="10" bestFit="1" customWidth="1"/>
    <col min="1287" max="1287" width="14.28515625" style="10" bestFit="1" customWidth="1"/>
    <col min="1288" max="1288" width="8.85546875" style="10"/>
    <col min="1289" max="1289" width="13.7109375" style="10" bestFit="1" customWidth="1"/>
    <col min="1290" max="1538" width="8.85546875" style="10"/>
    <col min="1539" max="1539" width="39.28515625" style="10" bestFit="1" customWidth="1"/>
    <col min="1540" max="1540" width="15.140625" style="10" customWidth="1"/>
    <col min="1541" max="1541" width="12.7109375" style="10" bestFit="1" customWidth="1"/>
    <col min="1542" max="1542" width="27.28515625" style="10" bestFit="1" customWidth="1"/>
    <col min="1543" max="1543" width="14.28515625" style="10" bestFit="1" customWidth="1"/>
    <col min="1544" max="1544" width="8.85546875" style="10"/>
    <col min="1545" max="1545" width="13.7109375" style="10" bestFit="1" customWidth="1"/>
    <col min="1546" max="1794" width="8.85546875" style="10"/>
    <col min="1795" max="1795" width="39.28515625" style="10" bestFit="1" customWidth="1"/>
    <col min="1796" max="1796" width="15.140625" style="10" customWidth="1"/>
    <col min="1797" max="1797" width="12.7109375" style="10" bestFit="1" customWidth="1"/>
    <col min="1798" max="1798" width="27.28515625" style="10" bestFit="1" customWidth="1"/>
    <col min="1799" max="1799" width="14.28515625" style="10" bestFit="1" customWidth="1"/>
    <col min="1800" max="1800" width="8.85546875" style="10"/>
    <col min="1801" max="1801" width="13.7109375" style="10" bestFit="1" customWidth="1"/>
    <col min="1802" max="2050" width="8.85546875" style="10"/>
    <col min="2051" max="2051" width="39.28515625" style="10" bestFit="1" customWidth="1"/>
    <col min="2052" max="2052" width="15.140625" style="10" customWidth="1"/>
    <col min="2053" max="2053" width="12.7109375" style="10" bestFit="1" customWidth="1"/>
    <col min="2054" max="2054" width="27.28515625" style="10" bestFit="1" customWidth="1"/>
    <col min="2055" max="2055" width="14.28515625" style="10" bestFit="1" customWidth="1"/>
    <col min="2056" max="2056" width="8.85546875" style="10"/>
    <col min="2057" max="2057" width="13.7109375" style="10" bestFit="1" customWidth="1"/>
    <col min="2058" max="2306" width="8.85546875" style="10"/>
    <col min="2307" max="2307" width="39.28515625" style="10" bestFit="1" customWidth="1"/>
    <col min="2308" max="2308" width="15.140625" style="10" customWidth="1"/>
    <col min="2309" max="2309" width="12.7109375" style="10" bestFit="1" customWidth="1"/>
    <col min="2310" max="2310" width="27.28515625" style="10" bestFit="1" customWidth="1"/>
    <col min="2311" max="2311" width="14.28515625" style="10" bestFit="1" customWidth="1"/>
    <col min="2312" max="2312" width="8.85546875" style="10"/>
    <col min="2313" max="2313" width="13.7109375" style="10" bestFit="1" customWidth="1"/>
    <col min="2314" max="2562" width="8.85546875" style="10"/>
    <col min="2563" max="2563" width="39.28515625" style="10" bestFit="1" customWidth="1"/>
    <col min="2564" max="2564" width="15.140625" style="10" customWidth="1"/>
    <col min="2565" max="2565" width="12.7109375" style="10" bestFit="1" customWidth="1"/>
    <col min="2566" max="2566" width="27.28515625" style="10" bestFit="1" customWidth="1"/>
    <col min="2567" max="2567" width="14.28515625" style="10" bestFit="1" customWidth="1"/>
    <col min="2568" max="2568" width="8.85546875" style="10"/>
    <col min="2569" max="2569" width="13.7109375" style="10" bestFit="1" customWidth="1"/>
    <col min="2570" max="2818" width="8.85546875" style="10"/>
    <col min="2819" max="2819" width="39.28515625" style="10" bestFit="1" customWidth="1"/>
    <col min="2820" max="2820" width="15.140625" style="10" customWidth="1"/>
    <col min="2821" max="2821" width="12.7109375" style="10" bestFit="1" customWidth="1"/>
    <col min="2822" max="2822" width="27.28515625" style="10" bestFit="1" customWidth="1"/>
    <col min="2823" max="2823" width="14.28515625" style="10" bestFit="1" customWidth="1"/>
    <col min="2824" max="2824" width="8.85546875" style="10"/>
    <col min="2825" max="2825" width="13.7109375" style="10" bestFit="1" customWidth="1"/>
    <col min="2826" max="3074" width="8.85546875" style="10"/>
    <col min="3075" max="3075" width="39.28515625" style="10" bestFit="1" customWidth="1"/>
    <col min="3076" max="3076" width="15.140625" style="10" customWidth="1"/>
    <col min="3077" max="3077" width="12.7109375" style="10" bestFit="1" customWidth="1"/>
    <col min="3078" max="3078" width="27.28515625" style="10" bestFit="1" customWidth="1"/>
    <col min="3079" max="3079" width="14.28515625" style="10" bestFit="1" customWidth="1"/>
    <col min="3080" max="3080" width="8.85546875" style="10"/>
    <col min="3081" max="3081" width="13.7109375" style="10" bestFit="1" customWidth="1"/>
    <col min="3082" max="3330" width="8.85546875" style="10"/>
    <col min="3331" max="3331" width="39.28515625" style="10" bestFit="1" customWidth="1"/>
    <col min="3332" max="3332" width="15.140625" style="10" customWidth="1"/>
    <col min="3333" max="3333" width="12.7109375" style="10" bestFit="1" customWidth="1"/>
    <col min="3334" max="3334" width="27.28515625" style="10" bestFit="1" customWidth="1"/>
    <col min="3335" max="3335" width="14.28515625" style="10" bestFit="1" customWidth="1"/>
    <col min="3336" max="3336" width="8.85546875" style="10"/>
    <col min="3337" max="3337" width="13.7109375" style="10" bestFit="1" customWidth="1"/>
    <col min="3338" max="3586" width="8.85546875" style="10"/>
    <col min="3587" max="3587" width="39.28515625" style="10" bestFit="1" customWidth="1"/>
    <col min="3588" max="3588" width="15.140625" style="10" customWidth="1"/>
    <col min="3589" max="3589" width="12.7109375" style="10" bestFit="1" customWidth="1"/>
    <col min="3590" max="3590" width="27.28515625" style="10" bestFit="1" customWidth="1"/>
    <col min="3591" max="3591" width="14.28515625" style="10" bestFit="1" customWidth="1"/>
    <col min="3592" max="3592" width="8.85546875" style="10"/>
    <col min="3593" max="3593" width="13.7109375" style="10" bestFit="1" customWidth="1"/>
    <col min="3594" max="3842" width="8.85546875" style="10"/>
    <col min="3843" max="3843" width="39.28515625" style="10" bestFit="1" customWidth="1"/>
    <col min="3844" max="3844" width="15.140625" style="10" customWidth="1"/>
    <col min="3845" max="3845" width="12.7109375" style="10" bestFit="1" customWidth="1"/>
    <col min="3846" max="3846" width="27.28515625" style="10" bestFit="1" customWidth="1"/>
    <col min="3847" max="3847" width="14.28515625" style="10" bestFit="1" customWidth="1"/>
    <col min="3848" max="3848" width="8.85546875" style="10"/>
    <col min="3849" max="3849" width="13.7109375" style="10" bestFit="1" customWidth="1"/>
    <col min="3850" max="4098" width="8.85546875" style="10"/>
    <col min="4099" max="4099" width="39.28515625" style="10" bestFit="1" customWidth="1"/>
    <col min="4100" max="4100" width="15.140625" style="10" customWidth="1"/>
    <col min="4101" max="4101" width="12.7109375" style="10" bestFit="1" customWidth="1"/>
    <col min="4102" max="4102" width="27.28515625" style="10" bestFit="1" customWidth="1"/>
    <col min="4103" max="4103" width="14.28515625" style="10" bestFit="1" customWidth="1"/>
    <col min="4104" max="4104" width="8.85546875" style="10"/>
    <col min="4105" max="4105" width="13.7109375" style="10" bestFit="1" customWidth="1"/>
    <col min="4106" max="4354" width="8.85546875" style="10"/>
    <col min="4355" max="4355" width="39.28515625" style="10" bestFit="1" customWidth="1"/>
    <col min="4356" max="4356" width="15.140625" style="10" customWidth="1"/>
    <col min="4357" max="4357" width="12.7109375" style="10" bestFit="1" customWidth="1"/>
    <col min="4358" max="4358" width="27.28515625" style="10" bestFit="1" customWidth="1"/>
    <col min="4359" max="4359" width="14.28515625" style="10" bestFit="1" customWidth="1"/>
    <col min="4360" max="4360" width="8.85546875" style="10"/>
    <col min="4361" max="4361" width="13.7109375" style="10" bestFit="1" customWidth="1"/>
    <col min="4362" max="4610" width="8.85546875" style="10"/>
    <col min="4611" max="4611" width="39.28515625" style="10" bestFit="1" customWidth="1"/>
    <col min="4612" max="4612" width="15.140625" style="10" customWidth="1"/>
    <col min="4613" max="4613" width="12.7109375" style="10" bestFit="1" customWidth="1"/>
    <col min="4614" max="4614" width="27.28515625" style="10" bestFit="1" customWidth="1"/>
    <col min="4615" max="4615" width="14.28515625" style="10" bestFit="1" customWidth="1"/>
    <col min="4616" max="4616" width="8.85546875" style="10"/>
    <col min="4617" max="4617" width="13.7109375" style="10" bestFit="1" customWidth="1"/>
    <col min="4618" max="4866" width="8.85546875" style="10"/>
    <col min="4867" max="4867" width="39.28515625" style="10" bestFit="1" customWidth="1"/>
    <col min="4868" max="4868" width="15.140625" style="10" customWidth="1"/>
    <col min="4869" max="4869" width="12.7109375" style="10" bestFit="1" customWidth="1"/>
    <col min="4870" max="4870" width="27.28515625" style="10" bestFit="1" customWidth="1"/>
    <col min="4871" max="4871" width="14.28515625" style="10" bestFit="1" customWidth="1"/>
    <col min="4872" max="4872" width="8.85546875" style="10"/>
    <col min="4873" max="4873" width="13.7109375" style="10" bestFit="1" customWidth="1"/>
    <col min="4874" max="5122" width="8.85546875" style="10"/>
    <col min="5123" max="5123" width="39.28515625" style="10" bestFit="1" customWidth="1"/>
    <col min="5124" max="5124" width="15.140625" style="10" customWidth="1"/>
    <col min="5125" max="5125" width="12.7109375" style="10" bestFit="1" customWidth="1"/>
    <col min="5126" max="5126" width="27.28515625" style="10" bestFit="1" customWidth="1"/>
    <col min="5127" max="5127" width="14.28515625" style="10" bestFit="1" customWidth="1"/>
    <col min="5128" max="5128" width="8.85546875" style="10"/>
    <col min="5129" max="5129" width="13.7109375" style="10" bestFit="1" customWidth="1"/>
    <col min="5130" max="5378" width="8.85546875" style="10"/>
    <col min="5379" max="5379" width="39.28515625" style="10" bestFit="1" customWidth="1"/>
    <col min="5380" max="5380" width="15.140625" style="10" customWidth="1"/>
    <col min="5381" max="5381" width="12.7109375" style="10" bestFit="1" customWidth="1"/>
    <col min="5382" max="5382" width="27.28515625" style="10" bestFit="1" customWidth="1"/>
    <col min="5383" max="5383" width="14.28515625" style="10" bestFit="1" customWidth="1"/>
    <col min="5384" max="5384" width="8.85546875" style="10"/>
    <col min="5385" max="5385" width="13.7109375" style="10" bestFit="1" customWidth="1"/>
    <col min="5386" max="5634" width="8.85546875" style="10"/>
    <col min="5635" max="5635" width="39.28515625" style="10" bestFit="1" customWidth="1"/>
    <col min="5636" max="5636" width="15.140625" style="10" customWidth="1"/>
    <col min="5637" max="5637" width="12.7109375" style="10" bestFit="1" customWidth="1"/>
    <col min="5638" max="5638" width="27.28515625" style="10" bestFit="1" customWidth="1"/>
    <col min="5639" max="5639" width="14.28515625" style="10" bestFit="1" customWidth="1"/>
    <col min="5640" max="5640" width="8.85546875" style="10"/>
    <col min="5641" max="5641" width="13.7109375" style="10" bestFit="1" customWidth="1"/>
    <col min="5642" max="5890" width="8.85546875" style="10"/>
    <col min="5891" max="5891" width="39.28515625" style="10" bestFit="1" customWidth="1"/>
    <col min="5892" max="5892" width="15.140625" style="10" customWidth="1"/>
    <col min="5893" max="5893" width="12.7109375" style="10" bestFit="1" customWidth="1"/>
    <col min="5894" max="5894" width="27.28515625" style="10" bestFit="1" customWidth="1"/>
    <col min="5895" max="5895" width="14.28515625" style="10" bestFit="1" customWidth="1"/>
    <col min="5896" max="5896" width="8.85546875" style="10"/>
    <col min="5897" max="5897" width="13.7109375" style="10" bestFit="1" customWidth="1"/>
    <col min="5898" max="6146" width="8.85546875" style="10"/>
    <col min="6147" max="6147" width="39.28515625" style="10" bestFit="1" customWidth="1"/>
    <col min="6148" max="6148" width="15.140625" style="10" customWidth="1"/>
    <col min="6149" max="6149" width="12.7109375" style="10" bestFit="1" customWidth="1"/>
    <col min="6150" max="6150" width="27.28515625" style="10" bestFit="1" customWidth="1"/>
    <col min="6151" max="6151" width="14.28515625" style="10" bestFit="1" customWidth="1"/>
    <col min="6152" max="6152" width="8.85546875" style="10"/>
    <col min="6153" max="6153" width="13.7109375" style="10" bestFit="1" customWidth="1"/>
    <col min="6154" max="6402" width="8.85546875" style="10"/>
    <col min="6403" max="6403" width="39.28515625" style="10" bestFit="1" customWidth="1"/>
    <col min="6404" max="6404" width="15.140625" style="10" customWidth="1"/>
    <col min="6405" max="6405" width="12.7109375" style="10" bestFit="1" customWidth="1"/>
    <col min="6406" max="6406" width="27.28515625" style="10" bestFit="1" customWidth="1"/>
    <col min="6407" max="6407" width="14.28515625" style="10" bestFit="1" customWidth="1"/>
    <col min="6408" max="6408" width="8.85546875" style="10"/>
    <col min="6409" max="6409" width="13.7109375" style="10" bestFit="1" customWidth="1"/>
    <col min="6410" max="6658" width="8.85546875" style="10"/>
    <col min="6659" max="6659" width="39.28515625" style="10" bestFit="1" customWidth="1"/>
    <col min="6660" max="6660" width="15.140625" style="10" customWidth="1"/>
    <col min="6661" max="6661" width="12.7109375" style="10" bestFit="1" customWidth="1"/>
    <col min="6662" max="6662" width="27.28515625" style="10" bestFit="1" customWidth="1"/>
    <col min="6663" max="6663" width="14.28515625" style="10" bestFit="1" customWidth="1"/>
    <col min="6664" max="6664" width="8.85546875" style="10"/>
    <col min="6665" max="6665" width="13.7109375" style="10" bestFit="1" customWidth="1"/>
    <col min="6666" max="6914" width="8.85546875" style="10"/>
    <col min="6915" max="6915" width="39.28515625" style="10" bestFit="1" customWidth="1"/>
    <col min="6916" max="6916" width="15.140625" style="10" customWidth="1"/>
    <col min="6917" max="6917" width="12.7109375" style="10" bestFit="1" customWidth="1"/>
    <col min="6918" max="6918" width="27.28515625" style="10" bestFit="1" customWidth="1"/>
    <col min="6919" max="6919" width="14.28515625" style="10" bestFit="1" customWidth="1"/>
    <col min="6920" max="6920" width="8.85546875" style="10"/>
    <col min="6921" max="6921" width="13.7109375" style="10" bestFit="1" customWidth="1"/>
    <col min="6922" max="7170" width="8.85546875" style="10"/>
    <col min="7171" max="7171" width="39.28515625" style="10" bestFit="1" customWidth="1"/>
    <col min="7172" max="7172" width="15.140625" style="10" customWidth="1"/>
    <col min="7173" max="7173" width="12.7109375" style="10" bestFit="1" customWidth="1"/>
    <col min="7174" max="7174" width="27.28515625" style="10" bestFit="1" customWidth="1"/>
    <col min="7175" max="7175" width="14.28515625" style="10" bestFit="1" customWidth="1"/>
    <col min="7176" max="7176" width="8.85546875" style="10"/>
    <col min="7177" max="7177" width="13.7109375" style="10" bestFit="1" customWidth="1"/>
    <col min="7178" max="7426" width="8.85546875" style="10"/>
    <col min="7427" max="7427" width="39.28515625" style="10" bestFit="1" customWidth="1"/>
    <col min="7428" max="7428" width="15.140625" style="10" customWidth="1"/>
    <col min="7429" max="7429" width="12.7109375" style="10" bestFit="1" customWidth="1"/>
    <col min="7430" max="7430" width="27.28515625" style="10" bestFit="1" customWidth="1"/>
    <col min="7431" max="7431" width="14.28515625" style="10" bestFit="1" customWidth="1"/>
    <col min="7432" max="7432" width="8.85546875" style="10"/>
    <col min="7433" max="7433" width="13.7109375" style="10" bestFit="1" customWidth="1"/>
    <col min="7434" max="7682" width="8.85546875" style="10"/>
    <col min="7683" max="7683" width="39.28515625" style="10" bestFit="1" customWidth="1"/>
    <col min="7684" max="7684" width="15.140625" style="10" customWidth="1"/>
    <col min="7685" max="7685" width="12.7109375" style="10" bestFit="1" customWidth="1"/>
    <col min="7686" max="7686" width="27.28515625" style="10" bestFit="1" customWidth="1"/>
    <col min="7687" max="7687" width="14.28515625" style="10" bestFit="1" customWidth="1"/>
    <col min="7688" max="7688" width="8.85546875" style="10"/>
    <col min="7689" max="7689" width="13.7109375" style="10" bestFit="1" customWidth="1"/>
    <col min="7690" max="7938" width="8.85546875" style="10"/>
    <col min="7939" max="7939" width="39.28515625" style="10" bestFit="1" customWidth="1"/>
    <col min="7940" max="7940" width="15.140625" style="10" customWidth="1"/>
    <col min="7941" max="7941" width="12.7109375" style="10" bestFit="1" customWidth="1"/>
    <col min="7942" max="7942" width="27.28515625" style="10" bestFit="1" customWidth="1"/>
    <col min="7943" max="7943" width="14.28515625" style="10" bestFit="1" customWidth="1"/>
    <col min="7944" max="7944" width="8.85546875" style="10"/>
    <col min="7945" max="7945" width="13.7109375" style="10" bestFit="1" customWidth="1"/>
    <col min="7946" max="8194" width="8.85546875" style="10"/>
    <col min="8195" max="8195" width="39.28515625" style="10" bestFit="1" customWidth="1"/>
    <col min="8196" max="8196" width="15.140625" style="10" customWidth="1"/>
    <col min="8197" max="8197" width="12.7109375" style="10" bestFit="1" customWidth="1"/>
    <col min="8198" max="8198" width="27.28515625" style="10" bestFit="1" customWidth="1"/>
    <col min="8199" max="8199" width="14.28515625" style="10" bestFit="1" customWidth="1"/>
    <col min="8200" max="8200" width="8.85546875" style="10"/>
    <col min="8201" max="8201" width="13.7109375" style="10" bestFit="1" customWidth="1"/>
    <col min="8202" max="8450" width="8.85546875" style="10"/>
    <col min="8451" max="8451" width="39.28515625" style="10" bestFit="1" customWidth="1"/>
    <col min="8452" max="8452" width="15.140625" style="10" customWidth="1"/>
    <col min="8453" max="8453" width="12.7109375" style="10" bestFit="1" customWidth="1"/>
    <col min="8454" max="8454" width="27.28515625" style="10" bestFit="1" customWidth="1"/>
    <col min="8455" max="8455" width="14.28515625" style="10" bestFit="1" customWidth="1"/>
    <col min="8456" max="8456" width="8.85546875" style="10"/>
    <col min="8457" max="8457" width="13.7109375" style="10" bestFit="1" customWidth="1"/>
    <col min="8458" max="8706" width="8.85546875" style="10"/>
    <col min="8707" max="8707" width="39.28515625" style="10" bestFit="1" customWidth="1"/>
    <col min="8708" max="8708" width="15.140625" style="10" customWidth="1"/>
    <col min="8709" max="8709" width="12.7109375" style="10" bestFit="1" customWidth="1"/>
    <col min="8710" max="8710" width="27.28515625" style="10" bestFit="1" customWidth="1"/>
    <col min="8711" max="8711" width="14.28515625" style="10" bestFit="1" customWidth="1"/>
    <col min="8712" max="8712" width="8.85546875" style="10"/>
    <col min="8713" max="8713" width="13.7109375" style="10" bestFit="1" customWidth="1"/>
    <col min="8714" max="8962" width="8.85546875" style="10"/>
    <col min="8963" max="8963" width="39.28515625" style="10" bestFit="1" customWidth="1"/>
    <col min="8964" max="8964" width="15.140625" style="10" customWidth="1"/>
    <col min="8965" max="8965" width="12.7109375" style="10" bestFit="1" customWidth="1"/>
    <col min="8966" max="8966" width="27.28515625" style="10" bestFit="1" customWidth="1"/>
    <col min="8967" max="8967" width="14.28515625" style="10" bestFit="1" customWidth="1"/>
    <col min="8968" max="8968" width="8.85546875" style="10"/>
    <col min="8969" max="8969" width="13.7109375" style="10" bestFit="1" customWidth="1"/>
    <col min="8970" max="9218" width="8.85546875" style="10"/>
    <col min="9219" max="9219" width="39.28515625" style="10" bestFit="1" customWidth="1"/>
    <col min="9220" max="9220" width="15.140625" style="10" customWidth="1"/>
    <col min="9221" max="9221" width="12.7109375" style="10" bestFit="1" customWidth="1"/>
    <col min="9222" max="9222" width="27.28515625" style="10" bestFit="1" customWidth="1"/>
    <col min="9223" max="9223" width="14.28515625" style="10" bestFit="1" customWidth="1"/>
    <col min="9224" max="9224" width="8.85546875" style="10"/>
    <col min="9225" max="9225" width="13.7109375" style="10" bestFit="1" customWidth="1"/>
    <col min="9226" max="9474" width="8.85546875" style="10"/>
    <col min="9475" max="9475" width="39.28515625" style="10" bestFit="1" customWidth="1"/>
    <col min="9476" max="9476" width="15.140625" style="10" customWidth="1"/>
    <col min="9477" max="9477" width="12.7109375" style="10" bestFit="1" customWidth="1"/>
    <col min="9478" max="9478" width="27.28515625" style="10" bestFit="1" customWidth="1"/>
    <col min="9479" max="9479" width="14.28515625" style="10" bestFit="1" customWidth="1"/>
    <col min="9480" max="9480" width="8.85546875" style="10"/>
    <col min="9481" max="9481" width="13.7109375" style="10" bestFit="1" customWidth="1"/>
    <col min="9482" max="9730" width="8.85546875" style="10"/>
    <col min="9731" max="9731" width="39.28515625" style="10" bestFit="1" customWidth="1"/>
    <col min="9732" max="9732" width="15.140625" style="10" customWidth="1"/>
    <col min="9733" max="9733" width="12.7109375" style="10" bestFit="1" customWidth="1"/>
    <col min="9734" max="9734" width="27.28515625" style="10" bestFit="1" customWidth="1"/>
    <col min="9735" max="9735" width="14.28515625" style="10" bestFit="1" customWidth="1"/>
    <col min="9736" max="9736" width="8.85546875" style="10"/>
    <col min="9737" max="9737" width="13.7109375" style="10" bestFit="1" customWidth="1"/>
    <col min="9738" max="9986" width="8.85546875" style="10"/>
    <col min="9987" max="9987" width="39.28515625" style="10" bestFit="1" customWidth="1"/>
    <col min="9988" max="9988" width="15.140625" style="10" customWidth="1"/>
    <col min="9989" max="9989" width="12.7109375" style="10" bestFit="1" customWidth="1"/>
    <col min="9990" max="9990" width="27.28515625" style="10" bestFit="1" customWidth="1"/>
    <col min="9991" max="9991" width="14.28515625" style="10" bestFit="1" customWidth="1"/>
    <col min="9992" max="9992" width="8.85546875" style="10"/>
    <col min="9993" max="9993" width="13.7109375" style="10" bestFit="1" customWidth="1"/>
    <col min="9994" max="10242" width="8.85546875" style="10"/>
    <col min="10243" max="10243" width="39.28515625" style="10" bestFit="1" customWidth="1"/>
    <col min="10244" max="10244" width="15.140625" style="10" customWidth="1"/>
    <col min="10245" max="10245" width="12.7109375" style="10" bestFit="1" customWidth="1"/>
    <col min="10246" max="10246" width="27.28515625" style="10" bestFit="1" customWidth="1"/>
    <col min="10247" max="10247" width="14.28515625" style="10" bestFit="1" customWidth="1"/>
    <col min="10248" max="10248" width="8.85546875" style="10"/>
    <col min="10249" max="10249" width="13.7109375" style="10" bestFit="1" customWidth="1"/>
    <col min="10250" max="10498" width="8.85546875" style="10"/>
    <col min="10499" max="10499" width="39.28515625" style="10" bestFit="1" customWidth="1"/>
    <col min="10500" max="10500" width="15.140625" style="10" customWidth="1"/>
    <col min="10501" max="10501" width="12.7109375" style="10" bestFit="1" customWidth="1"/>
    <col min="10502" max="10502" width="27.28515625" style="10" bestFit="1" customWidth="1"/>
    <col min="10503" max="10503" width="14.28515625" style="10" bestFit="1" customWidth="1"/>
    <col min="10504" max="10504" width="8.85546875" style="10"/>
    <col min="10505" max="10505" width="13.7109375" style="10" bestFit="1" customWidth="1"/>
    <col min="10506" max="10754" width="8.85546875" style="10"/>
    <col min="10755" max="10755" width="39.28515625" style="10" bestFit="1" customWidth="1"/>
    <col min="10756" max="10756" width="15.140625" style="10" customWidth="1"/>
    <col min="10757" max="10757" width="12.7109375" style="10" bestFit="1" customWidth="1"/>
    <col min="10758" max="10758" width="27.28515625" style="10" bestFit="1" customWidth="1"/>
    <col min="10759" max="10759" width="14.28515625" style="10" bestFit="1" customWidth="1"/>
    <col min="10760" max="10760" width="8.85546875" style="10"/>
    <col min="10761" max="10761" width="13.7109375" style="10" bestFit="1" customWidth="1"/>
    <col min="10762" max="11010" width="8.85546875" style="10"/>
    <col min="11011" max="11011" width="39.28515625" style="10" bestFit="1" customWidth="1"/>
    <col min="11012" max="11012" width="15.140625" style="10" customWidth="1"/>
    <col min="11013" max="11013" width="12.7109375" style="10" bestFit="1" customWidth="1"/>
    <col min="11014" max="11014" width="27.28515625" style="10" bestFit="1" customWidth="1"/>
    <col min="11015" max="11015" width="14.28515625" style="10" bestFit="1" customWidth="1"/>
    <col min="11016" max="11016" width="8.85546875" style="10"/>
    <col min="11017" max="11017" width="13.7109375" style="10" bestFit="1" customWidth="1"/>
    <col min="11018" max="11266" width="8.85546875" style="10"/>
    <col min="11267" max="11267" width="39.28515625" style="10" bestFit="1" customWidth="1"/>
    <col min="11268" max="11268" width="15.140625" style="10" customWidth="1"/>
    <col min="11269" max="11269" width="12.7109375" style="10" bestFit="1" customWidth="1"/>
    <col min="11270" max="11270" width="27.28515625" style="10" bestFit="1" customWidth="1"/>
    <col min="11271" max="11271" width="14.28515625" style="10" bestFit="1" customWidth="1"/>
    <col min="11272" max="11272" width="8.85546875" style="10"/>
    <col min="11273" max="11273" width="13.7109375" style="10" bestFit="1" customWidth="1"/>
    <col min="11274" max="11522" width="8.85546875" style="10"/>
    <col min="11523" max="11523" width="39.28515625" style="10" bestFit="1" customWidth="1"/>
    <col min="11524" max="11524" width="15.140625" style="10" customWidth="1"/>
    <col min="11525" max="11525" width="12.7109375" style="10" bestFit="1" customWidth="1"/>
    <col min="11526" max="11526" width="27.28515625" style="10" bestFit="1" customWidth="1"/>
    <col min="11527" max="11527" width="14.28515625" style="10" bestFit="1" customWidth="1"/>
    <col min="11528" max="11528" width="8.85546875" style="10"/>
    <col min="11529" max="11529" width="13.7109375" style="10" bestFit="1" customWidth="1"/>
    <col min="11530" max="11778" width="8.85546875" style="10"/>
    <col min="11779" max="11779" width="39.28515625" style="10" bestFit="1" customWidth="1"/>
    <col min="11780" max="11780" width="15.140625" style="10" customWidth="1"/>
    <col min="11781" max="11781" width="12.7109375" style="10" bestFit="1" customWidth="1"/>
    <col min="11782" max="11782" width="27.28515625" style="10" bestFit="1" customWidth="1"/>
    <col min="11783" max="11783" width="14.28515625" style="10" bestFit="1" customWidth="1"/>
    <col min="11784" max="11784" width="8.85546875" style="10"/>
    <col min="11785" max="11785" width="13.7109375" style="10" bestFit="1" customWidth="1"/>
    <col min="11786" max="12034" width="8.85546875" style="10"/>
    <col min="12035" max="12035" width="39.28515625" style="10" bestFit="1" customWidth="1"/>
    <col min="12036" max="12036" width="15.140625" style="10" customWidth="1"/>
    <col min="12037" max="12037" width="12.7109375" style="10" bestFit="1" customWidth="1"/>
    <col min="12038" max="12038" width="27.28515625" style="10" bestFit="1" customWidth="1"/>
    <col min="12039" max="12039" width="14.28515625" style="10" bestFit="1" customWidth="1"/>
    <col min="12040" max="12040" width="8.85546875" style="10"/>
    <col min="12041" max="12041" width="13.7109375" style="10" bestFit="1" customWidth="1"/>
    <col min="12042" max="12290" width="8.85546875" style="10"/>
    <col min="12291" max="12291" width="39.28515625" style="10" bestFit="1" customWidth="1"/>
    <col min="12292" max="12292" width="15.140625" style="10" customWidth="1"/>
    <col min="12293" max="12293" width="12.7109375" style="10" bestFit="1" customWidth="1"/>
    <col min="12294" max="12294" width="27.28515625" style="10" bestFit="1" customWidth="1"/>
    <col min="12295" max="12295" width="14.28515625" style="10" bestFit="1" customWidth="1"/>
    <col min="12296" max="12296" width="8.85546875" style="10"/>
    <col min="12297" max="12297" width="13.7109375" style="10" bestFit="1" customWidth="1"/>
    <col min="12298" max="12546" width="8.85546875" style="10"/>
    <col min="12547" max="12547" width="39.28515625" style="10" bestFit="1" customWidth="1"/>
    <col min="12548" max="12548" width="15.140625" style="10" customWidth="1"/>
    <col min="12549" max="12549" width="12.7109375" style="10" bestFit="1" customWidth="1"/>
    <col min="12550" max="12550" width="27.28515625" style="10" bestFit="1" customWidth="1"/>
    <col min="12551" max="12551" width="14.28515625" style="10" bestFit="1" customWidth="1"/>
    <col min="12552" max="12552" width="8.85546875" style="10"/>
    <col min="12553" max="12553" width="13.7109375" style="10" bestFit="1" customWidth="1"/>
    <col min="12554" max="12802" width="8.85546875" style="10"/>
    <col min="12803" max="12803" width="39.28515625" style="10" bestFit="1" customWidth="1"/>
    <col min="12804" max="12804" width="15.140625" style="10" customWidth="1"/>
    <col min="12805" max="12805" width="12.7109375" style="10" bestFit="1" customWidth="1"/>
    <col min="12806" max="12806" width="27.28515625" style="10" bestFit="1" customWidth="1"/>
    <col min="12807" max="12807" width="14.28515625" style="10" bestFit="1" customWidth="1"/>
    <col min="12808" max="12808" width="8.85546875" style="10"/>
    <col min="12809" max="12809" width="13.7109375" style="10" bestFit="1" customWidth="1"/>
    <col min="12810" max="13058" width="8.85546875" style="10"/>
    <col min="13059" max="13059" width="39.28515625" style="10" bestFit="1" customWidth="1"/>
    <col min="13060" max="13060" width="15.140625" style="10" customWidth="1"/>
    <col min="13061" max="13061" width="12.7109375" style="10" bestFit="1" customWidth="1"/>
    <col min="13062" max="13062" width="27.28515625" style="10" bestFit="1" customWidth="1"/>
    <col min="13063" max="13063" width="14.28515625" style="10" bestFit="1" customWidth="1"/>
    <col min="13064" max="13064" width="8.85546875" style="10"/>
    <col min="13065" max="13065" width="13.7109375" style="10" bestFit="1" customWidth="1"/>
    <col min="13066" max="13314" width="8.85546875" style="10"/>
    <col min="13315" max="13315" width="39.28515625" style="10" bestFit="1" customWidth="1"/>
    <col min="13316" max="13316" width="15.140625" style="10" customWidth="1"/>
    <col min="13317" max="13317" width="12.7109375" style="10" bestFit="1" customWidth="1"/>
    <col min="13318" max="13318" width="27.28515625" style="10" bestFit="1" customWidth="1"/>
    <col min="13319" max="13319" width="14.28515625" style="10" bestFit="1" customWidth="1"/>
    <col min="13320" max="13320" width="8.85546875" style="10"/>
    <col min="13321" max="13321" width="13.7109375" style="10" bestFit="1" customWidth="1"/>
    <col min="13322" max="13570" width="8.85546875" style="10"/>
    <col min="13571" max="13571" width="39.28515625" style="10" bestFit="1" customWidth="1"/>
    <col min="13572" max="13572" width="15.140625" style="10" customWidth="1"/>
    <col min="13573" max="13573" width="12.7109375" style="10" bestFit="1" customWidth="1"/>
    <col min="13574" max="13574" width="27.28515625" style="10" bestFit="1" customWidth="1"/>
    <col min="13575" max="13575" width="14.28515625" style="10" bestFit="1" customWidth="1"/>
    <col min="13576" max="13576" width="8.85546875" style="10"/>
    <col min="13577" max="13577" width="13.7109375" style="10" bestFit="1" customWidth="1"/>
    <col min="13578" max="13826" width="8.85546875" style="10"/>
    <col min="13827" max="13827" width="39.28515625" style="10" bestFit="1" customWidth="1"/>
    <col min="13828" max="13828" width="15.140625" style="10" customWidth="1"/>
    <col min="13829" max="13829" width="12.7109375" style="10" bestFit="1" customWidth="1"/>
    <col min="13830" max="13830" width="27.28515625" style="10" bestFit="1" customWidth="1"/>
    <col min="13831" max="13831" width="14.28515625" style="10" bestFit="1" customWidth="1"/>
    <col min="13832" max="13832" width="8.85546875" style="10"/>
    <col min="13833" max="13833" width="13.7109375" style="10" bestFit="1" customWidth="1"/>
    <col min="13834" max="14082" width="8.85546875" style="10"/>
    <col min="14083" max="14083" width="39.28515625" style="10" bestFit="1" customWidth="1"/>
    <col min="14084" max="14084" width="15.140625" style="10" customWidth="1"/>
    <col min="14085" max="14085" width="12.7109375" style="10" bestFit="1" customWidth="1"/>
    <col min="14086" max="14086" width="27.28515625" style="10" bestFit="1" customWidth="1"/>
    <col min="14087" max="14087" width="14.28515625" style="10" bestFit="1" customWidth="1"/>
    <col min="14088" max="14088" width="8.85546875" style="10"/>
    <col min="14089" max="14089" width="13.7109375" style="10" bestFit="1" customWidth="1"/>
    <col min="14090" max="14338" width="8.85546875" style="10"/>
    <col min="14339" max="14339" width="39.28515625" style="10" bestFit="1" customWidth="1"/>
    <col min="14340" max="14340" width="15.140625" style="10" customWidth="1"/>
    <col min="14341" max="14341" width="12.7109375" style="10" bestFit="1" customWidth="1"/>
    <col min="14342" max="14342" width="27.28515625" style="10" bestFit="1" customWidth="1"/>
    <col min="14343" max="14343" width="14.28515625" style="10" bestFit="1" customWidth="1"/>
    <col min="14344" max="14344" width="8.85546875" style="10"/>
    <col min="14345" max="14345" width="13.7109375" style="10" bestFit="1" customWidth="1"/>
    <col min="14346" max="14594" width="8.85546875" style="10"/>
    <col min="14595" max="14595" width="39.28515625" style="10" bestFit="1" customWidth="1"/>
    <col min="14596" max="14596" width="15.140625" style="10" customWidth="1"/>
    <col min="14597" max="14597" width="12.7109375" style="10" bestFit="1" customWidth="1"/>
    <col min="14598" max="14598" width="27.28515625" style="10" bestFit="1" customWidth="1"/>
    <col min="14599" max="14599" width="14.28515625" style="10" bestFit="1" customWidth="1"/>
    <col min="14600" max="14600" width="8.85546875" style="10"/>
    <col min="14601" max="14601" width="13.7109375" style="10" bestFit="1" customWidth="1"/>
    <col min="14602" max="14850" width="8.85546875" style="10"/>
    <col min="14851" max="14851" width="39.28515625" style="10" bestFit="1" customWidth="1"/>
    <col min="14852" max="14852" width="15.140625" style="10" customWidth="1"/>
    <col min="14853" max="14853" width="12.7109375" style="10" bestFit="1" customWidth="1"/>
    <col min="14854" max="14854" width="27.28515625" style="10" bestFit="1" customWidth="1"/>
    <col min="14855" max="14855" width="14.28515625" style="10" bestFit="1" customWidth="1"/>
    <col min="14856" max="14856" width="8.85546875" style="10"/>
    <col min="14857" max="14857" width="13.7109375" style="10" bestFit="1" customWidth="1"/>
    <col min="14858" max="15106" width="8.85546875" style="10"/>
    <col min="15107" max="15107" width="39.28515625" style="10" bestFit="1" customWidth="1"/>
    <col min="15108" max="15108" width="15.140625" style="10" customWidth="1"/>
    <col min="15109" max="15109" width="12.7109375" style="10" bestFit="1" customWidth="1"/>
    <col min="15110" max="15110" width="27.28515625" style="10" bestFit="1" customWidth="1"/>
    <col min="15111" max="15111" width="14.28515625" style="10" bestFit="1" customWidth="1"/>
    <col min="15112" max="15112" width="8.85546875" style="10"/>
    <col min="15113" max="15113" width="13.7109375" style="10" bestFit="1" customWidth="1"/>
    <col min="15114" max="15362" width="8.85546875" style="10"/>
    <col min="15363" max="15363" width="39.28515625" style="10" bestFit="1" customWidth="1"/>
    <col min="15364" max="15364" width="15.140625" style="10" customWidth="1"/>
    <col min="15365" max="15365" width="12.7109375" style="10" bestFit="1" customWidth="1"/>
    <col min="15366" max="15366" width="27.28515625" style="10" bestFit="1" customWidth="1"/>
    <col min="15367" max="15367" width="14.28515625" style="10" bestFit="1" customWidth="1"/>
    <col min="15368" max="15368" width="8.85546875" style="10"/>
    <col min="15369" max="15369" width="13.7109375" style="10" bestFit="1" customWidth="1"/>
    <col min="15370" max="15618" width="8.85546875" style="10"/>
    <col min="15619" max="15619" width="39.28515625" style="10" bestFit="1" customWidth="1"/>
    <col min="15620" max="15620" width="15.140625" style="10" customWidth="1"/>
    <col min="15621" max="15621" width="12.7109375" style="10" bestFit="1" customWidth="1"/>
    <col min="15622" max="15622" width="27.28515625" style="10" bestFit="1" customWidth="1"/>
    <col min="15623" max="15623" width="14.28515625" style="10" bestFit="1" customWidth="1"/>
    <col min="15624" max="15624" width="8.85546875" style="10"/>
    <col min="15625" max="15625" width="13.7109375" style="10" bestFit="1" customWidth="1"/>
    <col min="15626" max="15874" width="8.85546875" style="10"/>
    <col min="15875" max="15875" width="39.28515625" style="10" bestFit="1" customWidth="1"/>
    <col min="15876" max="15876" width="15.140625" style="10" customWidth="1"/>
    <col min="15877" max="15877" width="12.7109375" style="10" bestFit="1" customWidth="1"/>
    <col min="15878" max="15878" width="27.28515625" style="10" bestFit="1" customWidth="1"/>
    <col min="15879" max="15879" width="14.28515625" style="10" bestFit="1" customWidth="1"/>
    <col min="15880" max="15880" width="8.85546875" style="10"/>
    <col min="15881" max="15881" width="13.7109375" style="10" bestFit="1" customWidth="1"/>
    <col min="15882" max="16130" width="8.85546875" style="10"/>
    <col min="16131" max="16131" width="39.28515625" style="10" bestFit="1" customWidth="1"/>
    <col min="16132" max="16132" width="15.140625" style="10" customWidth="1"/>
    <col min="16133" max="16133" width="12.7109375" style="10" bestFit="1" customWidth="1"/>
    <col min="16134" max="16134" width="27.28515625" style="10" bestFit="1" customWidth="1"/>
    <col min="16135" max="16135" width="14.28515625" style="10" bestFit="1" customWidth="1"/>
    <col min="16136" max="16136" width="8.85546875" style="10"/>
    <col min="16137" max="16137" width="13.7109375" style="10" bestFit="1" customWidth="1"/>
    <col min="16138" max="16384" width="8.85546875" style="10"/>
  </cols>
  <sheetData>
    <row r="1" spans="1:8" ht="15.6">
      <c r="A1" s="307" t="s">
        <v>154</v>
      </c>
      <c r="B1" s="308"/>
      <c r="C1" s="308"/>
      <c r="D1" s="308"/>
      <c r="E1" s="308"/>
      <c r="F1" s="309"/>
      <c r="G1" s="309"/>
      <c r="H1" s="310"/>
    </row>
    <row r="2" spans="1:8" ht="15.6">
      <c r="A2" s="311" t="s">
        <v>155</v>
      </c>
      <c r="B2" s="312"/>
      <c r="C2" s="312"/>
      <c r="D2" s="312"/>
      <c r="E2" s="312"/>
      <c r="F2" s="313"/>
      <c r="G2" s="313"/>
      <c r="H2" s="314"/>
    </row>
    <row r="3" spans="1:8" ht="15.6">
      <c r="A3" s="57"/>
      <c r="B3" s="315" t="s">
        <v>156</v>
      </c>
      <c r="C3" s="58" t="s">
        <v>157</v>
      </c>
      <c r="D3" s="317" t="s">
        <v>158</v>
      </c>
      <c r="E3" s="318"/>
      <c r="F3" s="319" t="s">
        <v>4</v>
      </c>
      <c r="G3" s="275"/>
      <c r="H3" s="321" t="s">
        <v>159</v>
      </c>
    </row>
    <row r="4" spans="1:8" ht="21.75" customHeight="1">
      <c r="A4" s="59"/>
      <c r="B4" s="316"/>
      <c r="C4" s="60">
        <v>2020</v>
      </c>
      <c r="D4" s="61" t="s">
        <v>160</v>
      </c>
      <c r="E4" s="62" t="s">
        <v>161</v>
      </c>
      <c r="F4" s="320"/>
      <c r="G4" s="276" t="s">
        <v>5</v>
      </c>
      <c r="H4" s="322"/>
    </row>
    <row r="5" spans="1:8" ht="15.6">
      <c r="A5" s="303" t="s">
        <v>162</v>
      </c>
      <c r="B5" s="304"/>
      <c r="C5" s="304"/>
      <c r="D5" s="304"/>
      <c r="E5" s="304"/>
      <c r="F5" s="305"/>
      <c r="G5" s="305"/>
      <c r="H5" s="306"/>
    </row>
    <row r="6" spans="1:8" ht="15.6">
      <c r="A6" s="59" t="s">
        <v>163</v>
      </c>
      <c r="B6" s="63" t="s">
        <v>164</v>
      </c>
      <c r="C6" s="64">
        <f t="shared" ref="C6:H6" si="0">C33</f>
        <v>91924493</v>
      </c>
      <c r="D6" s="64">
        <f t="shared" si="0"/>
        <v>108579988.72</v>
      </c>
      <c r="E6" s="64">
        <f t="shared" si="0"/>
        <v>116081597.75</v>
      </c>
      <c r="F6" s="64">
        <f t="shared" si="0"/>
        <v>112348877</v>
      </c>
      <c r="G6" s="64">
        <f t="shared" si="0"/>
        <v>144680832</v>
      </c>
      <c r="H6" s="64">
        <f t="shared" si="0"/>
        <v>118637256575.37</v>
      </c>
    </row>
    <row r="7" spans="1:8" ht="15.6">
      <c r="A7" s="59" t="s">
        <v>165</v>
      </c>
      <c r="B7" s="65" t="s">
        <v>166</v>
      </c>
      <c r="C7" s="66">
        <f t="shared" ref="C7:H7" si="1">C33/C29</f>
        <v>0.21610505974686073</v>
      </c>
      <c r="D7" s="66">
        <f t="shared" si="1"/>
        <v>0.21353605563475531</v>
      </c>
      <c r="E7" s="66">
        <f t="shared" si="1"/>
        <v>0.21666851241508298</v>
      </c>
      <c r="F7" s="66">
        <f t="shared" si="1"/>
        <v>0.21125402367724166</v>
      </c>
      <c r="G7" s="66">
        <f t="shared" si="1"/>
        <v>0.21724591818881997</v>
      </c>
      <c r="H7" s="66">
        <f t="shared" si="1"/>
        <v>0.17098641478643289</v>
      </c>
    </row>
    <row r="8" spans="1:8" ht="15.6">
      <c r="A8" s="59" t="s">
        <v>167</v>
      </c>
      <c r="B8" s="65" t="s">
        <v>168</v>
      </c>
      <c r="C8" s="67">
        <f t="shared" ref="C8:H8" si="2">C34/C29</f>
        <v>7.5544071379529357E-2</v>
      </c>
      <c r="D8" s="67">
        <f t="shared" si="2"/>
        <v>8.1049736606739753E-2</v>
      </c>
      <c r="E8" s="67">
        <f t="shared" si="2"/>
        <v>8.6966500848646586E-2</v>
      </c>
      <c r="F8" s="66">
        <f t="shared" si="2"/>
        <v>8.0591650833362491E-2</v>
      </c>
      <c r="G8" s="66">
        <f t="shared" si="2"/>
        <v>7.9895155032007656E-2</v>
      </c>
      <c r="H8" s="66">
        <f t="shared" si="2"/>
        <v>0.10520614025781293</v>
      </c>
    </row>
    <row r="9" spans="1:8" ht="15.6">
      <c r="A9" s="303" t="s">
        <v>169</v>
      </c>
      <c r="B9" s="304"/>
      <c r="C9" s="304"/>
      <c r="D9" s="304"/>
      <c r="E9" s="304"/>
      <c r="F9" s="305"/>
      <c r="G9" s="305"/>
      <c r="H9" s="306"/>
    </row>
    <row r="10" spans="1:8" ht="15.6">
      <c r="A10" s="59" t="s">
        <v>170</v>
      </c>
      <c r="B10" s="63" t="s">
        <v>171</v>
      </c>
      <c r="C10" s="67">
        <f t="shared" ref="C10:H10" si="3">C35/C32</f>
        <v>0</v>
      </c>
      <c r="D10" s="67">
        <f t="shared" si="3"/>
        <v>0.17916118613706564</v>
      </c>
      <c r="E10" s="68">
        <f t="shared" si="3"/>
        <v>9.7318012167106741E-2</v>
      </c>
      <c r="F10" s="67">
        <f t="shared" si="3"/>
        <v>4.3277453120835266E-2</v>
      </c>
      <c r="G10" s="67">
        <f t="shared" si="3"/>
        <v>4.1384015142217977E-2</v>
      </c>
      <c r="H10" s="67">
        <f t="shared" si="3"/>
        <v>8.1282559165795881E-2</v>
      </c>
    </row>
    <row r="11" spans="1:8" ht="15.6">
      <c r="A11" s="59" t="s">
        <v>125</v>
      </c>
      <c r="B11" s="63" t="s">
        <v>172</v>
      </c>
      <c r="C11" s="66">
        <f t="shared" ref="C11:H11" si="4">C36/C29</f>
        <v>5.2157888569819337E-2</v>
      </c>
      <c r="D11" s="66">
        <f t="shared" si="4"/>
        <v>7.3984253172591566E-2</v>
      </c>
      <c r="E11" s="66">
        <f t="shared" si="4"/>
        <v>5.8429416673388766E-2</v>
      </c>
      <c r="F11" s="66">
        <f t="shared" si="4"/>
        <v>5.1719497642349566E-2</v>
      </c>
      <c r="G11" s="66">
        <f t="shared" si="4"/>
        <v>7.1171502252756494E-2</v>
      </c>
      <c r="H11" s="66">
        <f t="shared" si="4"/>
        <v>9.8107351761507727E-2</v>
      </c>
    </row>
    <row r="12" spans="1:8" ht="15.6">
      <c r="A12" s="59" t="s">
        <v>173</v>
      </c>
      <c r="B12" s="63" t="s">
        <v>171</v>
      </c>
      <c r="C12" s="69">
        <f t="shared" ref="C12:H12" si="5">C38/C31</f>
        <v>7.4301510079123677E-4</v>
      </c>
      <c r="D12" s="69">
        <f t="shared" si="5"/>
        <v>8.0427966537439499E-4</v>
      </c>
      <c r="E12" s="69">
        <f t="shared" si="5"/>
        <v>7.682177522709225E-4</v>
      </c>
      <c r="F12" s="69">
        <f t="shared" si="5"/>
        <v>7.682186969960533E-4</v>
      </c>
      <c r="G12" s="69">
        <f t="shared" si="5"/>
        <v>5.2664997673447153E-4</v>
      </c>
      <c r="H12" s="69">
        <f t="shared" si="5"/>
        <v>2.8360462855930444E-2</v>
      </c>
    </row>
    <row r="13" spans="1:8" s="11" customFormat="1" ht="15.6">
      <c r="A13" s="70" t="s">
        <v>174</v>
      </c>
      <c r="B13" s="63" t="s">
        <v>175</v>
      </c>
      <c r="C13" s="69">
        <f t="shared" ref="C13:H13" si="6">C38/C33</f>
        <v>2.4150255579870319E-3</v>
      </c>
      <c r="D13" s="69">
        <f t="shared" si="6"/>
        <v>2.6986615439390516E-3</v>
      </c>
      <c r="E13" s="69">
        <f t="shared" si="6"/>
        <v>2.5242643595504784E-3</v>
      </c>
      <c r="F13" s="69">
        <f t="shared" si="6"/>
        <v>2.6081346589694886E-3</v>
      </c>
      <c r="G13" s="69">
        <f t="shared" si="6"/>
        <v>1.6254122729954996E-3</v>
      </c>
      <c r="H13" s="69">
        <f t="shared" si="6"/>
        <v>0.1122674420501152</v>
      </c>
    </row>
    <row r="14" spans="1:8" ht="15.6">
      <c r="A14" s="303" t="s">
        <v>176</v>
      </c>
      <c r="B14" s="304"/>
      <c r="C14" s="304"/>
      <c r="D14" s="304"/>
      <c r="E14" s="304"/>
      <c r="F14" s="305"/>
      <c r="G14" s="305"/>
      <c r="H14" s="306"/>
    </row>
    <row r="15" spans="1:8" ht="15.6">
      <c r="A15" s="59" t="s">
        <v>177</v>
      </c>
      <c r="B15" s="63"/>
      <c r="C15" s="67">
        <f t="shared" ref="C15:H15" si="7">C48/C32</f>
        <v>0.12935625254709612</v>
      </c>
      <c r="D15" s="67">
        <f t="shared" si="7"/>
        <v>0.13105259530671137</v>
      </c>
      <c r="E15" s="67">
        <f t="shared" si="7"/>
        <v>0.17135912219104921</v>
      </c>
      <c r="F15" s="67">
        <f t="shared" si="7"/>
        <v>0.15618011766116438</v>
      </c>
      <c r="G15" s="67">
        <f t="shared" si="7"/>
        <v>0.16495586465658385</v>
      </c>
      <c r="H15" s="67">
        <f t="shared" si="7"/>
        <v>0.15911072681788674</v>
      </c>
    </row>
    <row r="16" spans="1:8" ht="15.6">
      <c r="A16" s="59" t="s">
        <v>178</v>
      </c>
      <c r="B16" s="63"/>
      <c r="C16" s="67">
        <f t="shared" ref="C16:H16" si="8">C49/C44</f>
        <v>0.65406295403619641</v>
      </c>
      <c r="D16" s="67">
        <f t="shared" si="8"/>
        <v>0.53640982157681127</v>
      </c>
      <c r="E16" s="67">
        <f t="shared" si="8"/>
        <v>0.55515989814228794</v>
      </c>
      <c r="F16" s="67">
        <f t="shared" si="8"/>
        <v>0.80321423046586726</v>
      </c>
      <c r="G16" s="67">
        <f t="shared" si="8"/>
        <v>0.7220597060578311</v>
      </c>
      <c r="H16" s="67">
        <f t="shared" si="8"/>
        <v>0.71152696163420326</v>
      </c>
    </row>
    <row r="17" spans="1:10" ht="15.6">
      <c r="A17" s="59" t="s">
        <v>179</v>
      </c>
      <c r="B17" s="63"/>
      <c r="C17" s="69">
        <f t="shared" ref="C17:H17" si="9">C50/C30</f>
        <v>3.7059570511127245E-2</v>
      </c>
      <c r="D17" s="69">
        <f t="shared" si="9"/>
        <v>3.2207449955360741E-2</v>
      </c>
      <c r="E17" s="69">
        <f t="shared" si="9"/>
        <v>5.7723813796226452E-2</v>
      </c>
      <c r="F17" s="69">
        <f t="shared" si="9"/>
        <v>3.5765506862590939E-2</v>
      </c>
      <c r="G17" s="69">
        <f t="shared" si="9"/>
        <v>3.4226421598832886E-2</v>
      </c>
      <c r="H17" s="69">
        <f t="shared" si="9"/>
        <v>3.7337841084701312E-2</v>
      </c>
    </row>
    <row r="18" spans="1:10" ht="15.6">
      <c r="A18" s="70" t="s">
        <v>180</v>
      </c>
      <c r="B18" s="71"/>
      <c r="C18" s="69">
        <f t="shared" ref="C18:H18" si="10">C47/C44</f>
        <v>0.42948005136209683</v>
      </c>
      <c r="D18" s="69">
        <f t="shared" si="10"/>
        <v>0.49218509180772424</v>
      </c>
      <c r="E18" s="69">
        <f t="shared" si="10"/>
        <v>0.49818022751303154</v>
      </c>
      <c r="F18" s="69">
        <f t="shared" si="10"/>
        <v>0.51323120789098253</v>
      </c>
      <c r="G18" s="69">
        <f t="shared" si="10"/>
        <v>0.54015590910957145</v>
      </c>
      <c r="H18" s="69">
        <f t="shared" si="10"/>
        <v>0.32598797824484188</v>
      </c>
    </row>
    <row r="19" spans="1:10" ht="15.6">
      <c r="A19" s="303" t="s">
        <v>181</v>
      </c>
      <c r="B19" s="304"/>
      <c r="C19" s="304"/>
      <c r="D19" s="304"/>
      <c r="E19" s="304"/>
      <c r="F19" s="305"/>
      <c r="G19" s="305"/>
      <c r="H19" s="306"/>
    </row>
    <row r="20" spans="1:10" ht="15.6">
      <c r="A20" s="59" t="s">
        <v>182</v>
      </c>
      <c r="B20" s="63" t="s">
        <v>183</v>
      </c>
      <c r="C20" s="66">
        <f t="shared" ref="C20:H20" si="11">C40/C41</f>
        <v>0.5626573041378754</v>
      </c>
      <c r="D20" s="66">
        <f t="shared" si="11"/>
        <v>0.61164975377955055</v>
      </c>
      <c r="E20" s="66">
        <f t="shared" si="11"/>
        <v>0.45465206614666998</v>
      </c>
      <c r="F20" s="66">
        <f t="shared" si="11"/>
        <v>0.39867539335704222</v>
      </c>
      <c r="G20" s="66">
        <f t="shared" si="11"/>
        <v>0.27734295027376404</v>
      </c>
      <c r="H20" s="66">
        <f t="shared" si="11"/>
        <v>0.70153748206915711</v>
      </c>
      <c r="J20" s="12"/>
    </row>
    <row r="21" spans="1:10" ht="15.6">
      <c r="A21" s="59" t="s">
        <v>184</v>
      </c>
      <c r="B21" s="63" t="s">
        <v>185</v>
      </c>
      <c r="C21" s="66">
        <f t="shared" ref="C21:H21" si="12">C42/C29</f>
        <v>4.7017949774683168E-2</v>
      </c>
      <c r="D21" s="66">
        <f t="shared" si="12"/>
        <v>5.1350748509163067E-2</v>
      </c>
      <c r="E21" s="66">
        <f t="shared" si="12"/>
        <v>4.0182007268491082E-2</v>
      </c>
      <c r="F21" s="66">
        <f t="shared" si="12"/>
        <v>4.0479529878437524E-2</v>
      </c>
      <c r="G21" s="66">
        <f t="shared" si="12"/>
        <v>8.2585407722738965E-2</v>
      </c>
      <c r="H21" s="66">
        <f t="shared" si="12"/>
        <v>3.5549100410986897E-2</v>
      </c>
      <c r="J21" s="13"/>
    </row>
    <row r="22" spans="1:10" ht="15.6">
      <c r="A22" s="59" t="s">
        <v>186</v>
      </c>
      <c r="B22" s="63"/>
      <c r="C22" s="66">
        <f t="shared" ref="C22:H22" si="13">C40/C29</f>
        <v>9.6487549451775179E-2</v>
      </c>
      <c r="D22" s="66">
        <f t="shared" si="13"/>
        <v>0.10931197819871676</v>
      </c>
      <c r="E22" s="66">
        <f t="shared" si="13"/>
        <v>8.2515900166986025E-2</v>
      </c>
      <c r="F22" s="66">
        <f t="shared" si="13"/>
        <v>8.3126878644777094E-2</v>
      </c>
      <c r="G22" s="66">
        <f t="shared" si="13"/>
        <v>6.0305538950591459E-2</v>
      </c>
      <c r="H22" s="66">
        <f t="shared" si="13"/>
        <v>0.13749250676052857</v>
      </c>
    </row>
    <row r="23" spans="1:10" ht="15.6">
      <c r="A23" s="303" t="s">
        <v>187</v>
      </c>
      <c r="B23" s="304"/>
      <c r="C23" s="304"/>
      <c r="D23" s="304"/>
      <c r="E23" s="304"/>
      <c r="F23" s="305"/>
      <c r="G23" s="305"/>
      <c r="H23" s="306"/>
    </row>
    <row r="24" spans="1:10" ht="15.6">
      <c r="A24" s="72" t="s">
        <v>188</v>
      </c>
      <c r="B24" s="71" t="s">
        <v>189</v>
      </c>
      <c r="C24" s="69">
        <f t="shared" ref="C24:H24" si="14">C32/C29</f>
        <v>0.87257162104410779</v>
      </c>
      <c r="D24" s="69">
        <f t="shared" si="14"/>
        <v>0.86173805234344303</v>
      </c>
      <c r="E24" s="69">
        <f t="shared" si="14"/>
        <v>0.88594390694991232</v>
      </c>
      <c r="F24" s="69">
        <f t="shared" si="14"/>
        <v>0.89930570421989198</v>
      </c>
      <c r="G24" s="69">
        <f t="shared" si="14"/>
        <v>0.89623824173552769</v>
      </c>
      <c r="H24" s="69">
        <f t="shared" si="14"/>
        <v>0.74848521055524098</v>
      </c>
    </row>
    <row r="25" spans="1:10" ht="15.6">
      <c r="A25" s="72" t="s">
        <v>190</v>
      </c>
      <c r="B25" s="73" t="s">
        <v>191</v>
      </c>
      <c r="C25" s="69">
        <f t="shared" ref="C25:H25" si="15">C32/C31</f>
        <v>1.2422587315001206</v>
      </c>
      <c r="D25" s="69">
        <f t="shared" si="15"/>
        <v>1.2027149867952815</v>
      </c>
      <c r="E25" s="69">
        <f t="shared" si="15"/>
        <v>1.2443997849047952</v>
      </c>
      <c r="F25" s="69">
        <f t="shared" si="15"/>
        <v>1.2538835967919642</v>
      </c>
      <c r="G25" s="69">
        <f t="shared" si="15"/>
        <v>1.3366890191435203</v>
      </c>
      <c r="H25" s="69">
        <f t="shared" si="15"/>
        <v>1.1058115051077879</v>
      </c>
    </row>
    <row r="26" spans="1:10" ht="15.6">
      <c r="A26" s="72" t="s">
        <v>192</v>
      </c>
      <c r="B26" s="73"/>
      <c r="C26" s="69">
        <f t="shared" ref="C26:H26" si="16">C39/C31</f>
        <v>9.8071634166193244E-4</v>
      </c>
      <c r="D26" s="69">
        <f t="shared" si="16"/>
        <v>8.0427966537439499E-4</v>
      </c>
      <c r="E26" s="69">
        <f t="shared" si="16"/>
        <v>7.682177522709225E-4</v>
      </c>
      <c r="F26" s="69">
        <f t="shared" si="16"/>
        <v>7.682186969960533E-4</v>
      </c>
      <c r="G26" s="69">
        <f t="shared" si="16"/>
        <v>7.86653813593848E-4</v>
      </c>
      <c r="H26" s="69">
        <f t="shared" si="16"/>
        <v>6.35235464968706E-2</v>
      </c>
    </row>
    <row r="27" spans="1:10" ht="15.6">
      <c r="A27" s="72" t="s">
        <v>193</v>
      </c>
      <c r="B27" s="74"/>
      <c r="C27" s="69">
        <f t="shared" ref="C27:H27" si="17">C46/C44</f>
        <v>8.9682273140015076E-2</v>
      </c>
      <c r="D27" s="69">
        <f t="shared" si="17"/>
        <v>3.4372017284973445E-3</v>
      </c>
      <c r="E27" s="69">
        <f t="shared" si="17"/>
        <v>5.7551882026952248E-3</v>
      </c>
      <c r="F27" s="69">
        <f t="shared" si="17"/>
        <v>7.1689084801868266E-2</v>
      </c>
      <c r="G27" s="69">
        <f t="shared" si="17"/>
        <v>7.1638975970906377E-2</v>
      </c>
      <c r="H27" s="69">
        <f t="shared" si="17"/>
        <v>0.32213106981929307</v>
      </c>
    </row>
    <row r="28" spans="1:10" ht="15.6">
      <c r="A28" s="303" t="s">
        <v>194</v>
      </c>
      <c r="B28" s="304"/>
      <c r="C28" s="304">
        <v>2015</v>
      </c>
      <c r="D28" s="304">
        <v>2016</v>
      </c>
      <c r="E28" s="304">
        <v>2017</v>
      </c>
      <c r="F28" s="305"/>
      <c r="G28" s="305"/>
      <c r="H28" s="306" t="s">
        <v>195</v>
      </c>
    </row>
    <row r="29" spans="1:10" ht="15.6">
      <c r="A29" s="75" t="s">
        <v>29</v>
      </c>
      <c r="B29" s="76"/>
      <c r="C29" s="77">
        <v>425369462</v>
      </c>
      <c r="D29" s="77">
        <v>508485503.29000002</v>
      </c>
      <c r="E29" s="77">
        <v>535756656.36000001</v>
      </c>
      <c r="F29" s="77">
        <f>'Evolutive SFP'!P28</f>
        <v>531818874</v>
      </c>
      <c r="G29" s="77">
        <f>'Evolutive SFP'!AC28</f>
        <v>665977217</v>
      </c>
      <c r="H29" s="77">
        <v>693840248791.41101</v>
      </c>
    </row>
    <row r="30" spans="1:10" ht="15.6">
      <c r="A30" s="75" t="s">
        <v>196</v>
      </c>
      <c r="B30" s="76"/>
      <c r="C30" s="77">
        <v>370976479.5</v>
      </c>
      <c r="D30" s="77">
        <v>440410634.17500001</v>
      </c>
      <c r="E30" s="77">
        <v>480134989.82999998</v>
      </c>
      <c r="F30" s="77">
        <f>('Evolutive SFP'!P28+'Evolutive SFP'!C28)/2</f>
        <v>478594168</v>
      </c>
      <c r="G30" s="77">
        <f>('Evolutive SFP'!AC28+'Evolutive SFP'!P28)/2</f>
        <v>598898045.5</v>
      </c>
      <c r="H30" s="77">
        <v>655544657954.5</v>
      </c>
    </row>
    <row r="31" spans="1:10" ht="15.6">
      <c r="A31" s="75" t="s">
        <v>94</v>
      </c>
      <c r="B31" s="76"/>
      <c r="C31" s="77">
        <v>298782622</v>
      </c>
      <c r="D31" s="77">
        <v>364326803.99000001</v>
      </c>
      <c r="E31" s="77">
        <v>381429144.44999999</v>
      </c>
      <c r="F31" s="77">
        <f>'Evolutive SFP'!P32</f>
        <v>381429144</v>
      </c>
      <c r="G31" s="77">
        <f>'Evolutive SFP'!AC32</f>
        <v>446531872</v>
      </c>
      <c r="H31" s="77">
        <v>469636246602.19</v>
      </c>
    </row>
    <row r="32" spans="1:10" ht="15.6">
      <c r="A32" s="75" t="s">
        <v>197</v>
      </c>
      <c r="B32" s="76"/>
      <c r="C32" s="77">
        <v>371165321</v>
      </c>
      <c r="D32" s="77">
        <v>438181307.25</v>
      </c>
      <c r="E32" s="77">
        <v>474650345.31</v>
      </c>
      <c r="F32" s="77">
        <f>'Evolutive SFP'!P16</f>
        <v>478267747</v>
      </c>
      <c r="G32" s="77">
        <f>'Evolutive SFP'!AC16</f>
        <v>596874250</v>
      </c>
      <c r="H32" s="77">
        <v>519329164708.34003</v>
      </c>
    </row>
    <row r="33" spans="1:8" ht="15.6">
      <c r="A33" s="75" t="s">
        <v>99</v>
      </c>
      <c r="B33" s="76"/>
      <c r="C33" s="77">
        <v>91924493</v>
      </c>
      <c r="D33" s="77">
        <v>108579988.72</v>
      </c>
      <c r="E33" s="77">
        <v>116081597.75</v>
      </c>
      <c r="F33" s="77">
        <f>'Evolutive SFP'!P40+'Evolutive SFP'!P41+'Evolutive SFP'!P42+'Evolutive SFP'!P43+'Evolutive SFP'!P44-'Evolutive SFP'!P14</f>
        <v>112348877</v>
      </c>
      <c r="G33" s="77">
        <f>'Evolutive SFP'!AC40+'Evolutive SFP'!AC41+'Evolutive SFP'!AC42+'Evolutive SFP'!AC43+'Evolutive SFP'!AC44-'Evolutive SFP'!AC14</f>
        <v>144680832</v>
      </c>
      <c r="H33" s="77">
        <v>118637256575.37</v>
      </c>
    </row>
    <row r="34" spans="1:8" ht="15.6">
      <c r="A34" s="75" t="s">
        <v>198</v>
      </c>
      <c r="B34" s="76"/>
      <c r="C34" s="77">
        <v>32134141</v>
      </c>
      <c r="D34" s="77">
        <v>41212616.109999999</v>
      </c>
      <c r="E34" s="77">
        <v>46592881.710000001</v>
      </c>
      <c r="F34" s="77">
        <f>'Evolutive SFP'!P42+'Evolutive SFP'!P43+'Evolutive SFP'!P44-'Evolutive SFP'!P14</f>
        <v>42860161</v>
      </c>
      <c r="G34" s="77">
        <f>'Evolutive SFP'!AC42+'Evolutive SFP'!AC43+'Evolutive SFP'!AC44-'Evolutive SFP'!AC14</f>
        <v>53208353</v>
      </c>
      <c r="H34" s="77">
        <v>72996254530.865005</v>
      </c>
    </row>
    <row r="35" spans="1:8" ht="15.6">
      <c r="A35" s="75" t="s">
        <v>199</v>
      </c>
      <c r="B35" s="76"/>
      <c r="C35" s="77">
        <v>0</v>
      </c>
      <c r="D35" s="77">
        <v>78505082.75</v>
      </c>
      <c r="E35" s="77">
        <v>46192028.079999998</v>
      </c>
      <c r="F35" s="77">
        <f>' FORM 4-2021'!D42+' FORM 4-2021'!D43+' FORM 4-2021'!D44</f>
        <v>20698210</v>
      </c>
      <c r="G35" s="77">
        <f>'FORM 4-2022'!F88</f>
        <v>24701053</v>
      </c>
      <c r="H35" s="77">
        <v>42212403556.929001</v>
      </c>
    </row>
    <row r="36" spans="1:8" ht="15.6">
      <c r="A36" s="75" t="s">
        <v>125</v>
      </c>
      <c r="B36" s="76"/>
      <c r="C36" s="77">
        <v>22186373</v>
      </c>
      <c r="D36" s="77">
        <v>37619920.210000001</v>
      </c>
      <c r="E36" s="77">
        <v>31303948.91</v>
      </c>
      <c r="F36" s="77">
        <f>'Evolutive SFP'!P8+'Evolutive SFP'!P18+'Evolutive SFP'!P24+'Evolutive SFP'!P25+'Evolutive SFP'!P26+'Evolutive SFP'!P27</f>
        <v>27505405</v>
      </c>
      <c r="G36" s="77">
        <f>'Evolutive SFP'!AC8+'Evolutive SFP'!AC18+'Evolutive SFP'!AC24+'Evolutive SFP'!AC25+'Evolutive SFP'!AC26+'Evolutive SFP'!AC27</f>
        <v>47398599</v>
      </c>
      <c r="H36" s="77">
        <v>68070829354.471001</v>
      </c>
    </row>
    <row r="37" spans="1:8" ht="15.6">
      <c r="A37" s="75" t="s">
        <v>25</v>
      </c>
      <c r="B37" s="76"/>
      <c r="C37" s="77">
        <v>14707861</v>
      </c>
      <c r="D37" s="77">
        <v>17630041.18</v>
      </c>
      <c r="E37" s="77">
        <v>19453244.530000001</v>
      </c>
      <c r="F37" s="77">
        <f>'Evolutive SFP'!P24</f>
        <v>15124222</v>
      </c>
      <c r="G37" s="77">
        <f>'Evolutive SFP'!AC24</f>
        <v>27896112</v>
      </c>
      <c r="H37" s="77">
        <v>19634988553.241001</v>
      </c>
    </row>
    <row r="38" spans="1:8" ht="15.6">
      <c r="A38" s="75" t="s">
        <v>200</v>
      </c>
      <c r="B38" s="76"/>
      <c r="C38" s="77">
        <v>222000</v>
      </c>
      <c r="D38" s="77">
        <v>293020.64</v>
      </c>
      <c r="E38" s="77">
        <v>293020.64</v>
      </c>
      <c r="F38" s="77">
        <f>'Evolutive SFP'!P14</f>
        <v>293021</v>
      </c>
      <c r="G38" s="77">
        <f>'Evolutive SFP'!AC14</f>
        <v>235166</v>
      </c>
      <c r="H38" s="77">
        <v>13319101327.559999</v>
      </c>
    </row>
    <row r="39" spans="1:8" ht="15.6">
      <c r="A39" s="75" t="s">
        <v>201</v>
      </c>
      <c r="B39" s="76"/>
      <c r="C39" s="77">
        <v>293021</v>
      </c>
      <c r="D39" s="77">
        <v>293020.64</v>
      </c>
      <c r="E39" s="77">
        <v>293020.64</v>
      </c>
      <c r="F39" s="77">
        <f>'Evolutive SFP'!P9</f>
        <v>293021</v>
      </c>
      <c r="G39" s="77">
        <f>'Evolutive SFP'!AC9</f>
        <v>351266</v>
      </c>
      <c r="H39" s="77">
        <v>29832959947.650002</v>
      </c>
    </row>
    <row r="40" spans="1:8" ht="15.6">
      <c r="A40" s="75" t="s">
        <v>202</v>
      </c>
      <c r="B40" s="76"/>
      <c r="C40" s="77">
        <v>41042857</v>
      </c>
      <c r="D40" s="77">
        <v>55583556.25</v>
      </c>
      <c r="E40" s="77">
        <v>44208442.770000003</v>
      </c>
      <c r="F40" s="77">
        <f>'Evolutive SFP'!P5+'Evolutive SFP'!P10+'Evolutive SFP'!P11</f>
        <v>44208443</v>
      </c>
      <c r="G40" s="77">
        <f>'Evolutive SFP'!AC5+'Evolutive SFP'!AC10+'Evolutive SFP'!AC11</f>
        <v>40162115</v>
      </c>
      <c r="H40" s="77">
        <v>95397835097.679901</v>
      </c>
    </row>
    <row r="41" spans="1:8" ht="15.6">
      <c r="A41" s="75" t="s">
        <v>203</v>
      </c>
      <c r="B41" s="76"/>
      <c r="C41" s="77">
        <v>72944680</v>
      </c>
      <c r="D41" s="77">
        <v>90874811.780000001</v>
      </c>
      <c r="E41" s="77">
        <v>97235767.879999995</v>
      </c>
      <c r="F41" s="77">
        <f>'Evolutive SFP'!P29+'Evolutive SFP'!P30+'Evolutive SFP'!P33+'Evolutive SFP'!P34+'Evolutive SFP'!P37</f>
        <v>110888316</v>
      </c>
      <c r="G41" s="77">
        <f>'Evolutive SFP'!AC29+'Evolutive SFP'!AC30+'Evolutive SFP'!AC33+'Evolutive SFP'!AC34+'Evolutive SFP'!AC37</f>
        <v>144810297</v>
      </c>
      <c r="H41" s="77">
        <v>135983946027.10001</v>
      </c>
    </row>
    <row r="42" spans="1:8" ht="15.6">
      <c r="A42" s="75" t="s">
        <v>97</v>
      </c>
      <c r="B42" s="76"/>
      <c r="C42" s="77">
        <v>20000000</v>
      </c>
      <c r="D42" s="77">
        <v>26111111.199999999</v>
      </c>
      <c r="E42" s="77">
        <v>21527777.859999999</v>
      </c>
      <c r="F42" s="77">
        <f>'Evolutive SFP'!P38</f>
        <v>21527778</v>
      </c>
      <c r="G42" s="77">
        <f>'Evolutive SFP'!AC38</f>
        <v>55000000</v>
      </c>
      <c r="H42" s="77">
        <v>24665396673.470001</v>
      </c>
    </row>
    <row r="43" spans="1:8" ht="15.6">
      <c r="A43" s="75" t="s">
        <v>204</v>
      </c>
      <c r="B43" s="76"/>
      <c r="C43" s="77">
        <v>317558320.5</v>
      </c>
      <c r="D43" s="77">
        <v>375505126.62</v>
      </c>
      <c r="E43" s="77">
        <v>421148097.14499998</v>
      </c>
      <c r="F43" s="77">
        <f>('Evolutive SFP'!P16+'Evolutive SFP'!C16)/2</f>
        <v>424716534</v>
      </c>
      <c r="G43" s="77">
        <f>('Evolutive SFP'!AC16+'Evolutive SFP'!P16)/2</f>
        <v>537570998.5</v>
      </c>
      <c r="H43" s="77">
        <v>492326061304.25</v>
      </c>
    </row>
    <row r="44" spans="1:8" ht="15.6">
      <c r="A44" s="75" t="s">
        <v>205</v>
      </c>
      <c r="B44" s="76"/>
      <c r="C44" s="77">
        <v>63720140</v>
      </c>
      <c r="D44" s="77">
        <v>61905647.909999996</v>
      </c>
      <c r="E44" s="77">
        <v>86983744.469999999</v>
      </c>
      <c r="F44" s="77">
        <f>'Evolutitve SCI'!P4+'Evolutitve SCI'!P32</f>
        <v>86983744</v>
      </c>
      <c r="G44" s="77">
        <f>'Evolutitve SCI'!AC4+'Evolutitve SCI'!AC32</f>
        <v>112209351</v>
      </c>
      <c r="H44" s="77">
        <v>96251717769.830002</v>
      </c>
    </row>
    <row r="45" spans="1:8" ht="15.6">
      <c r="A45" s="75" t="s">
        <v>206</v>
      </c>
      <c r="B45" s="76"/>
      <c r="C45" s="77">
        <v>50538733</v>
      </c>
      <c r="D45" s="77">
        <v>59167887.359999999</v>
      </c>
      <c r="E45" s="77">
        <v>82027439.359999999</v>
      </c>
      <c r="F45" s="77">
        <f>'Evolutitve SCI'!P20</f>
        <v>77251218</v>
      </c>
      <c r="G45" s="77">
        <f>'Evolutitve SCI'!AC20</f>
        <v>91798044</v>
      </c>
      <c r="H45" s="77">
        <v>59024775620.75</v>
      </c>
    </row>
    <row r="46" spans="1:8" ht="15.6">
      <c r="A46" s="75" t="s">
        <v>207</v>
      </c>
      <c r="B46" s="76"/>
      <c r="C46" s="77">
        <v>5714567</v>
      </c>
      <c r="D46" s="77">
        <v>212782.2</v>
      </c>
      <c r="E46" s="77">
        <v>500607.82</v>
      </c>
      <c r="F46" s="77">
        <f>'Evolutitve SCI'!P16+'Evolutitve SCI'!P14</f>
        <v>6235785</v>
      </c>
      <c r="G46" s="77">
        <f>'Evolutitve SCI'!AC16+'Evolutitve SCI'!AC14</f>
        <v>8038563</v>
      </c>
      <c r="H46" s="77">
        <v>31005668817.139999</v>
      </c>
    </row>
    <row r="47" spans="1:8" ht="15.6">
      <c r="A47" s="75" t="s">
        <v>208</v>
      </c>
      <c r="B47" s="76"/>
      <c r="C47" s="77">
        <v>27366529</v>
      </c>
      <c r="D47" s="77">
        <v>30469037</v>
      </c>
      <c r="E47" s="77">
        <v>43333581.609999999</v>
      </c>
      <c r="F47" s="77">
        <f>'Evolutitve SCI'!P24</f>
        <v>44642772</v>
      </c>
      <c r="G47" s="77">
        <f>'Evolutitve SCI'!AC24</f>
        <v>60610544</v>
      </c>
      <c r="H47" s="77">
        <v>31376902878.380001</v>
      </c>
    </row>
    <row r="48" spans="1:8" ht="15.6">
      <c r="A48" s="75" t="s">
        <v>209</v>
      </c>
      <c r="B48" s="76"/>
      <c r="C48" s="77">
        <v>48012555</v>
      </c>
      <c r="D48" s="77">
        <v>57424797.530000001</v>
      </c>
      <c r="E48" s="77">
        <v>81335666.519999996</v>
      </c>
      <c r="F48" s="77">
        <f>'Evolutitve SCI'!P5</f>
        <v>74695913</v>
      </c>
      <c r="G48" s="77">
        <f>'Evolutitve SCI'!AC5</f>
        <v>98457908</v>
      </c>
      <c r="H48" s="77">
        <v>82630840854.470001</v>
      </c>
    </row>
    <row r="49" spans="1:8" ht="15.6">
      <c r="A49" s="75" t="s">
        <v>89</v>
      </c>
      <c r="B49" s="76"/>
      <c r="C49" s="77">
        <v>41676983</v>
      </c>
      <c r="D49" s="77">
        <v>33206797.550000001</v>
      </c>
      <c r="E49" s="77">
        <v>48289886.719999999</v>
      </c>
      <c r="F49" s="77">
        <f>'Evolutitve SCI'!P40</f>
        <v>69866581</v>
      </c>
      <c r="G49" s="77">
        <f>'Evolutitve SCI'!AC40</f>
        <v>81021851</v>
      </c>
      <c r="H49" s="77">
        <v>68485692296.839996</v>
      </c>
    </row>
    <row r="50" spans="1:8" ht="15.6">
      <c r="A50" s="75" t="s">
        <v>210</v>
      </c>
      <c r="B50" s="76"/>
      <c r="C50" s="77">
        <v>13748229</v>
      </c>
      <c r="D50" s="77">
        <v>14184503.460000001</v>
      </c>
      <c r="E50" s="77">
        <v>27715222.75</v>
      </c>
      <c r="F50" s="77">
        <f>'Evolutitve SCI'!P38</f>
        <v>17117163</v>
      </c>
      <c r="G50" s="77">
        <f>'Evolutitve SCI'!AC38</f>
        <v>20498137</v>
      </c>
      <c r="H50" s="77">
        <v>24476622262.630001</v>
      </c>
    </row>
    <row r="51" spans="1:8" ht="15.6">
      <c r="A51" s="297" t="s">
        <v>211</v>
      </c>
      <c r="B51" s="298"/>
      <c r="C51" s="298"/>
      <c r="D51" s="298"/>
      <c r="E51" s="298"/>
      <c r="F51" s="298"/>
      <c r="G51" s="298"/>
      <c r="H51" s="299"/>
    </row>
    <row r="52" spans="1:8" ht="15.6">
      <c r="A52" s="78"/>
      <c r="B52" s="79"/>
      <c r="C52" s="80"/>
      <c r="D52" s="80"/>
      <c r="E52" s="80"/>
      <c r="F52" s="81"/>
      <c r="G52" s="81"/>
      <c r="H52" s="82"/>
    </row>
    <row r="53" spans="1:8" ht="15.6">
      <c r="A53" s="83"/>
      <c r="B53" s="79"/>
      <c r="C53" s="84"/>
      <c r="D53" s="84"/>
      <c r="E53" s="85"/>
      <c r="F53" s="85"/>
      <c r="G53" s="85"/>
      <c r="H53" s="86"/>
    </row>
    <row r="54" spans="1:8" ht="15.6">
      <c r="A54" s="87" t="s">
        <v>212</v>
      </c>
      <c r="B54" s="88"/>
      <c r="C54" s="300"/>
      <c r="D54" s="301"/>
      <c r="E54" s="301"/>
      <c r="F54" s="301"/>
      <c r="G54" s="301"/>
      <c r="H54" s="302"/>
    </row>
    <row r="55" spans="1:8" ht="15.6">
      <c r="A55" s="59"/>
      <c r="B55" s="79"/>
      <c r="C55" s="80"/>
      <c r="D55" s="80"/>
      <c r="E55" s="80"/>
      <c r="F55" s="81"/>
      <c r="G55" s="81"/>
      <c r="H55" s="82"/>
    </row>
    <row r="56" spans="1:8" ht="15.6">
      <c r="A56" s="83" t="s">
        <v>213</v>
      </c>
      <c r="B56" s="79"/>
      <c r="C56" s="300"/>
      <c r="D56" s="301"/>
      <c r="E56" s="301"/>
      <c r="F56" s="301"/>
      <c r="G56" s="301"/>
      <c r="H56" s="302"/>
    </row>
    <row r="57" spans="1:8" ht="16.149999999999999" thickBot="1">
      <c r="A57" s="89"/>
      <c r="B57" s="90"/>
      <c r="C57" s="91"/>
      <c r="D57" s="91"/>
      <c r="E57" s="91"/>
      <c r="F57" s="92"/>
      <c r="G57" s="92"/>
      <c r="H57" s="93"/>
    </row>
    <row r="58" spans="1:8" ht="15.6">
      <c r="A58" s="94" t="s">
        <v>214</v>
      </c>
      <c r="B58" s="95"/>
      <c r="C58" s="96"/>
      <c r="D58" s="96"/>
      <c r="E58" s="96"/>
      <c r="F58" s="96"/>
      <c r="G58" s="96"/>
      <c r="H58" s="97"/>
    </row>
    <row r="59" spans="1:8" ht="15.6">
      <c r="A59" s="98"/>
      <c r="B59" s="95"/>
      <c r="C59" s="96"/>
      <c r="D59" s="96"/>
      <c r="E59" s="96"/>
      <c r="F59" s="96"/>
      <c r="G59" s="96"/>
      <c r="H59" s="97"/>
    </row>
    <row r="60" spans="1:8" ht="15.6">
      <c r="A60" s="98"/>
      <c r="B60" s="95"/>
      <c r="C60" s="96"/>
      <c r="D60" s="96"/>
      <c r="E60" s="96"/>
      <c r="F60" s="96"/>
      <c r="G60" s="96"/>
      <c r="H60" s="97"/>
    </row>
    <row r="61" spans="1:8" ht="15.6">
      <c r="A61" s="96"/>
      <c r="B61" s="95"/>
      <c r="C61" s="96"/>
      <c r="D61" s="96"/>
      <c r="E61" s="96"/>
      <c r="F61" s="96"/>
      <c r="G61" s="96"/>
      <c r="H61" s="97"/>
    </row>
  </sheetData>
  <mergeCells count="15">
    <mergeCell ref="A1:H1"/>
    <mergeCell ref="A2:H2"/>
    <mergeCell ref="B3:B4"/>
    <mergeCell ref="D3:E3"/>
    <mergeCell ref="F3:F4"/>
    <mergeCell ref="H3:H4"/>
    <mergeCell ref="A51:H51"/>
    <mergeCell ref="C54:H54"/>
    <mergeCell ref="C56:H56"/>
    <mergeCell ref="A5:H5"/>
    <mergeCell ref="A9:H9"/>
    <mergeCell ref="A14:H14"/>
    <mergeCell ref="A19:H19"/>
    <mergeCell ref="A23:H23"/>
    <mergeCell ref="A28:H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R42"/>
  <sheetViews>
    <sheetView workbookViewId="0">
      <pane xSplit="3" topLeftCell="AE1" activePane="topRight" state="frozen"/>
      <selection pane="topRight" activeCell="AL8" sqref="AL8"/>
    </sheetView>
  </sheetViews>
  <sheetFormatPr defaultRowHeight="14.45"/>
  <cols>
    <col min="1" max="1" width="20.42578125" customWidth="1"/>
    <col min="2" max="2" width="25.28515625" customWidth="1"/>
    <col min="3" max="3" width="10.7109375" bestFit="1" customWidth="1"/>
    <col min="4" max="10" width="12.5703125" hidden="1" customWidth="1"/>
    <col min="11" max="12" width="8" hidden="1" customWidth="1"/>
    <col min="13" max="13" width="11.7109375" hidden="1" customWidth="1"/>
    <col min="14" max="14" width="15" hidden="1" customWidth="1"/>
    <col min="15" max="15" width="8" hidden="1" customWidth="1"/>
    <col min="16" max="16" width="10.85546875" hidden="1" customWidth="1"/>
    <col min="17" max="17" width="9.7109375" hidden="1" customWidth="1"/>
    <col min="18" max="27" width="15.5703125" bestFit="1" customWidth="1"/>
    <col min="28" max="31" width="15.5703125" customWidth="1"/>
    <col min="32" max="36" width="9.28515625" bestFit="1" customWidth="1"/>
  </cols>
  <sheetData>
    <row r="1" spans="1:44" ht="16.149999999999999" thickBot="1">
      <c r="A1" s="326" t="s">
        <v>215</v>
      </c>
      <c r="B1" s="326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</row>
    <row r="2" spans="1:44" ht="15.6">
      <c r="A2" s="135"/>
      <c r="B2" s="136"/>
      <c r="C2" s="136"/>
      <c r="D2" s="137" t="s">
        <v>2</v>
      </c>
      <c r="E2" s="137" t="s">
        <v>216</v>
      </c>
      <c r="F2" s="138">
        <v>44198</v>
      </c>
      <c r="G2" s="138">
        <v>44230</v>
      </c>
      <c r="H2" s="138">
        <v>44259</v>
      </c>
      <c r="I2" s="138">
        <v>44291</v>
      </c>
      <c r="J2" s="138">
        <v>44322</v>
      </c>
      <c r="K2" s="138">
        <v>44354</v>
      </c>
      <c r="L2" s="138">
        <v>44385</v>
      </c>
      <c r="M2" s="138">
        <v>44417</v>
      </c>
      <c r="N2" s="138">
        <v>44449</v>
      </c>
      <c r="O2" s="138">
        <v>44480</v>
      </c>
      <c r="P2" s="138">
        <v>44512</v>
      </c>
      <c r="Q2" s="138">
        <v>44543</v>
      </c>
      <c r="R2" s="138" t="s">
        <v>4</v>
      </c>
      <c r="S2" s="138">
        <v>44562</v>
      </c>
      <c r="T2" s="138">
        <v>44593</v>
      </c>
      <c r="U2" s="138">
        <v>44621</v>
      </c>
      <c r="V2" s="138">
        <v>44652</v>
      </c>
      <c r="W2" s="138">
        <v>44682</v>
      </c>
      <c r="X2" s="138">
        <v>44713</v>
      </c>
      <c r="Y2" s="138">
        <v>44743</v>
      </c>
      <c r="Z2" s="138">
        <v>44774</v>
      </c>
      <c r="AA2" s="138">
        <v>44805</v>
      </c>
      <c r="AB2" s="138">
        <v>44835</v>
      </c>
      <c r="AC2" s="138">
        <v>44866</v>
      </c>
      <c r="AD2" s="138">
        <v>44896</v>
      </c>
      <c r="AE2" s="138" t="s">
        <v>5</v>
      </c>
      <c r="AF2" s="138">
        <v>44927</v>
      </c>
      <c r="AG2" s="138">
        <v>44958</v>
      </c>
      <c r="AH2" s="138">
        <v>44986</v>
      </c>
      <c r="AI2" s="138">
        <v>45017</v>
      </c>
      <c r="AJ2" s="138">
        <v>45047</v>
      </c>
      <c r="AK2" s="138">
        <v>45078</v>
      </c>
      <c r="AL2" s="138">
        <v>45108</v>
      </c>
      <c r="AM2" s="138">
        <v>45139</v>
      </c>
      <c r="AN2" s="138">
        <v>45170</v>
      </c>
      <c r="AO2" s="138">
        <v>45200</v>
      </c>
      <c r="AP2" s="138">
        <v>45231</v>
      </c>
      <c r="AQ2" s="138">
        <v>45261</v>
      </c>
      <c r="AR2" s="138">
        <v>45292</v>
      </c>
    </row>
    <row r="3" spans="1:44" ht="15.6">
      <c r="A3" s="327" t="s">
        <v>217</v>
      </c>
      <c r="B3" s="130" t="s">
        <v>99</v>
      </c>
      <c r="C3" s="131" t="s">
        <v>218</v>
      </c>
      <c r="D3" s="139">
        <f>(('Evolutive SFP'!B40+'Evolutive SFP'!B41+'Evolutive SFP'!B42+'Evolutive SFP'!B43+'Evolutive SFP'!B44+'Evolutive SFP'!B45)-'Evolutive SFP'!B11)/1000000</f>
        <v>15.259572</v>
      </c>
      <c r="E3" s="139">
        <f>(('Evolutive SFP'!C40+'Evolutive SFP'!C41+'Evolutive SFP'!C42+'Evolutive SFP'!C43+'Evolutive SFP'!C44+'Evolutive SFP'!C45)-'Evolutive SFP'!C11)/1000000</f>
        <v>92.146493000000007</v>
      </c>
      <c r="F3" s="139">
        <f>(('Evolutive SFP'!D40+'Evolutive SFP'!D41+'Evolutive SFP'!D42+'Evolutive SFP'!D43+'Evolutive SFP'!D44+'Evolutive SFP'!D45)-'Evolutive SFP'!D11)/1000000</f>
        <v>106.00335819000001</v>
      </c>
      <c r="G3" s="139">
        <f>(('Evolutive SFP'!E40+'Evolutive SFP'!E41+'Evolutive SFP'!E42+'Evolutive SFP'!E43+'Evolutive SFP'!E44+'Evolutive SFP'!E45)-'Evolutive SFP'!E11)/1000000</f>
        <v>96.793091250000003</v>
      </c>
      <c r="H3" s="139">
        <f>(('Evolutive SFP'!F40+'Evolutive SFP'!F41+'Evolutive SFP'!F42+'Evolutive SFP'!F43+'Evolutive SFP'!F44+'Evolutive SFP'!F45)-'Evolutive SFP'!F11)/1000000</f>
        <v>101.16602695</v>
      </c>
      <c r="I3" s="139">
        <f>(('Evolutive SFP'!G40+'Evolutive SFP'!G41+'Evolutive SFP'!G42+'Evolutive SFP'!G43+'Evolutive SFP'!G44+'Evolutive SFP'!G45)-'Evolutive SFP'!G11)/1000000</f>
        <v>103.39100695</v>
      </c>
      <c r="J3" s="139">
        <f>(('Evolutive SFP'!H40+'Evolutive SFP'!H41+'Evolutive SFP'!H42+'Evolutive SFP'!H43+'Evolutive SFP'!H44+'Evolutive SFP'!H45)-'Evolutive SFP'!H11)/1000000</f>
        <v>105.88685466</v>
      </c>
      <c r="K3" s="139">
        <f>(('Evolutive SFP'!I40+'Evolutive SFP'!I41+'Evolutive SFP'!I42+'Evolutive SFP'!I43+'Evolutive SFP'!I44+'Evolutive SFP'!I45)-'Evolutive SFP'!I11)/1000000</f>
        <v>107.80605477</v>
      </c>
      <c r="L3" s="139">
        <f>(('Evolutive SFP'!J40+'Evolutive SFP'!J41+'Evolutive SFP'!J42+'Evolutive SFP'!J43+'Evolutive SFP'!J44+'Evolutive SFP'!J45)-'Evolutive SFP'!J11)/1000000</f>
        <v>110.49601247999999</v>
      </c>
      <c r="M3" s="139">
        <f>(('Evolutive SFP'!K40+'Evolutive SFP'!K41+'Evolutive SFP'!K42+'Evolutive SFP'!K43+'Evolutive SFP'!K44+'Evolutive SFP'!K45)-'Evolutive SFP'!K11)/1000000</f>
        <v>115.81259916999998</v>
      </c>
      <c r="N3" s="139">
        <f>(('Evolutive SFP'!L40+'Evolutive SFP'!L41+'Evolutive SFP'!L42+'Evolutive SFP'!L43+'Evolutive SFP'!L44+'Evolutive SFP'!L45)-'Evolutive SFP'!L11)/1000000</f>
        <v>115.96526111</v>
      </c>
      <c r="O3" s="139">
        <f>(('Evolutive SFP'!M40+'Evolutive SFP'!M41+'Evolutive SFP'!M42+'Evolutive SFP'!M43+'Evolutive SFP'!M44+'Evolutive SFP'!M45)-'Evolutive SFP'!M11)/1000000</f>
        <v>118.37718931000001</v>
      </c>
      <c r="P3" s="139">
        <f>(('Evolutive SFP'!N40+'Evolutive SFP'!N41+'Evolutive SFP'!N42+'Evolutive SFP'!N43+'Evolutive SFP'!N44+'Evolutive SFP'!N45)-'Evolutive SFP'!N11)/1000000</f>
        <v>123.34097093999999</v>
      </c>
      <c r="Q3" s="139">
        <f>(('Evolutive SFP'!O40+'Evolutive SFP'!O41+'Evolutive SFP'!O42+'Evolutive SFP'!O43+'Evolutive SFP'!O44+'Evolutive SFP'!O45)-'Evolutive SFP'!O11)/1000000</f>
        <v>130.23222974000001</v>
      </c>
      <c r="R3" s="139">
        <f>(('Evolutive SFP'!P40+'Evolutive SFP'!P41+'Evolutive SFP'!P42+'Evolutive SFP'!P43+'Evolutive SFP'!P44+'Evolutive SFP'!P45)-'Evolutive SFP'!P11)/1000000</f>
        <v>112.641898</v>
      </c>
      <c r="S3" s="139">
        <f>(('Evolutive SFP'!Q40+'Evolutive SFP'!Q41+'Evolutive SFP'!Q42+'Evolutive SFP'!Q43+'Evolutive SFP'!Q44+'Evolutive SFP'!Q45)-'Evolutive SFP'!Q11)/1000000</f>
        <v>128.58924412000002</v>
      </c>
      <c r="T3" s="139">
        <f>(('Evolutive SFP'!R40+'Evolutive SFP'!R41+'Evolutive SFP'!R42+'Evolutive SFP'!R43+'Evolutive SFP'!R44+'Evolutive SFP'!R45)-'Evolutive SFP'!R11)/1000000</f>
        <v>112.68862522000002</v>
      </c>
      <c r="U3" s="139">
        <f>(('Evolutive SFP'!S40+'Evolutive SFP'!S41+'Evolutive SFP'!S42+'Evolutive SFP'!S43+'Evolutive SFP'!S44+'Evolutive SFP'!S45)-'Evolutive SFP'!S11)/1000000</f>
        <v>119.27800746</v>
      </c>
      <c r="V3" s="139">
        <f>(('Evolutive SFP'!T40+'Evolutive SFP'!T41+'Evolutive SFP'!T42+'Evolutive SFP'!T43+'Evolutive SFP'!T44+'Evolutive SFP'!T45)-'Evolutive SFP'!T11)/1000000</f>
        <v>116.96510246</v>
      </c>
      <c r="W3" s="139">
        <f>(('Evolutive SFP'!U40+'Evolutive SFP'!U41+'Evolutive SFP'!U42+'Evolutive SFP'!U43+'Evolutive SFP'!U44+'Evolutive SFP'!U45)-'Evolutive SFP'!U11)/1000000</f>
        <v>120.92601313999999</v>
      </c>
      <c r="X3" s="139">
        <f>(('Evolutive SFP'!V40+'Evolutive SFP'!V41+'Evolutive SFP'!V42+'Evolutive SFP'!V43+'Evolutive SFP'!V44+'Evolutive SFP'!V45)-'Evolutive SFP'!V11)/1000000</f>
        <v>123.31581024</v>
      </c>
      <c r="Y3" s="139">
        <f>(('Evolutive SFP'!W40+'Evolutive SFP'!W41+'Evolutive SFP'!W42+'Evolutive SFP'!W43+'Evolutive SFP'!W44+'Evolutive SFP'!W45)-'Evolutive SFP'!W11)/1000000</f>
        <v>127.13729913000002</v>
      </c>
      <c r="Z3" s="139">
        <f>(('Evolutive SFP'!X40+'Evolutive SFP'!X41+'Evolutive SFP'!X42+'Evolutive SFP'!X43+'Evolutive SFP'!X44+'Evolutive SFP'!X45)-'Evolutive SFP'!X11)/1000000</f>
        <v>135.28452632999998</v>
      </c>
      <c r="AA3" s="139">
        <f>(('Evolutive SFP'!Y40+'Evolutive SFP'!Y41+'Evolutive SFP'!Y42+'Evolutive SFP'!Y43+'Evolutive SFP'!Y44+'Evolutive SFP'!Y45)-'Evolutive SFP'!Y11)/1000000</f>
        <v>137.10377224999999</v>
      </c>
      <c r="AB3" s="139">
        <f>(('Evolutive SFP'!Z40+'Evolutive SFP'!Z41+'Evolutive SFP'!Z42+'Evolutive SFP'!Z43+'Evolutive SFP'!Z44+'Evolutive SFP'!Z45)-'Evolutive SFP'!Z11)/1000000</f>
        <v>144.39214444999999</v>
      </c>
      <c r="AC3" s="139">
        <f>(('Evolutive SFP'!AA40+'Evolutive SFP'!AA41+'Evolutive SFP'!AA42+'Evolutive SFP'!AA43+'Evolutive SFP'!AA44+'Evolutive SFP'!AA45)-'Evolutive SFP'!AA11)/1000000</f>
        <v>144.63078915</v>
      </c>
      <c r="AD3" s="139">
        <f>(('Evolutive SFP'!AB40+'Evolutive SFP'!AB41+'Evolutive SFP'!AB42+'Evolutive SFP'!AB43+'Evolutive SFP'!AB44+'Evolutive SFP'!AB45)-'Evolutive SFP'!AB11)/1000000</f>
        <v>164.86821915000002</v>
      </c>
      <c r="AE3" s="139">
        <f>(('Evolutive SFP'!AC40+'Evolutive SFP'!AC41+'Evolutive SFP'!AC42+'Evolutive SFP'!AC43+'Evolutive SFP'!AC44+'Evolutive SFP'!AC45)-'Evolutive SFP'!AC11)/1000000</f>
        <v>144.915998</v>
      </c>
      <c r="AF3" s="139">
        <f>(('Evolutive SFP'!AD40+'Evolutive SFP'!AD41+'Evolutive SFP'!AD42+'Evolutive SFP'!AD43+'Evolutive SFP'!AD44+'Evolutive SFP'!AD45)-'Evolutive SFP'!AD11)/1000000</f>
        <v>168.42542379</v>
      </c>
      <c r="AG3" s="139">
        <f>(('Evolutive SFP'!AE40+'Evolutive SFP'!AE41+'Evolutive SFP'!AE42+'Evolutive SFP'!AE43+'Evolutive SFP'!AE44+'Evolutive SFP'!AE45)-'Evolutive SFP'!AE11)/1000000</f>
        <v>147.59341639000002</v>
      </c>
      <c r="AH3" s="139">
        <f>(('Evolutive SFP'!AF40+'Evolutive SFP'!AF41+'Evolutive SFP'!AF42+'Evolutive SFP'!AF43+'Evolutive SFP'!AF44+'Evolutive SFP'!AF45)-'Evolutive SFP'!AF11)/1000000</f>
        <v>162.10124994</v>
      </c>
      <c r="AI3" s="139">
        <f>(('Evolutive SFP'!AG40+'Evolutive SFP'!AG41+'Evolutive SFP'!AG42+'Evolutive SFP'!AG43+'Evolutive SFP'!AG44+'Evolutive SFP'!AG45)-'Evolutive SFP'!AG11)/1000000</f>
        <v>158.94670112</v>
      </c>
      <c r="AJ3" s="139">
        <f>(('Evolutive SFP'!AH40+'Evolutive SFP'!AH41+'Evolutive SFP'!AH42+'Evolutive SFP'!AH43+'Evolutive SFP'!AH44+'Evolutive SFP'!AH45)-'Evolutive SFP'!AH11)/1000000</f>
        <v>160.86139261</v>
      </c>
    </row>
    <row r="4" spans="1:44" ht="15.6">
      <c r="A4" s="327"/>
      <c r="B4" s="130" t="s">
        <v>219</v>
      </c>
      <c r="C4" s="131" t="s">
        <v>220</v>
      </c>
      <c r="D4" s="140">
        <f>D3/(('Evolutive SFP'!B28)/1000000)</f>
        <v>0.10104624267317215</v>
      </c>
      <c r="E4" s="140">
        <f>E3/(('Evolutive SFP'!C28)/1000000)</f>
        <v>0.21662695898935971</v>
      </c>
      <c r="F4" s="140">
        <f>F3/(('Evolutive SFP'!D28)/1000000)</f>
        <v>0.25033952608294885</v>
      </c>
      <c r="G4" s="140">
        <f>G3/(('Evolutive SFP'!E28)/1000000)</f>
        <v>0.22718328096681459</v>
      </c>
      <c r="H4" s="140">
        <f>H3/(('Evolutive SFP'!F28)/1000000)</f>
        <v>0.23004088963331229</v>
      </c>
      <c r="I4" s="140">
        <f>I3/(('Evolutive SFP'!G28)/1000000)</f>
        <v>0.22890881191709844</v>
      </c>
      <c r="J4" s="140">
        <f>J3/(('Evolutive SFP'!H28)/1000000)</f>
        <v>0.23053469692512996</v>
      </c>
      <c r="K4" s="140">
        <f>K3/(('Evolutive SFP'!I28)/1000000)</f>
        <v>0.23091363590960676</v>
      </c>
      <c r="L4" s="140">
        <f>L3/(('Evolutive SFP'!J28)/1000000)</f>
        <v>0.23285114257906453</v>
      </c>
      <c r="M4" s="140">
        <f>M3/(('Evolutive SFP'!K28)/1000000)</f>
        <v>0.24160802419321489</v>
      </c>
      <c r="N4" s="140">
        <f>N3/(('Evolutive SFP'!L28)/1000000)</f>
        <v>0.22806011254929048</v>
      </c>
      <c r="O4" s="140">
        <f>O3/(('Evolutive SFP'!M28)/1000000)</f>
        <v>0.23055741440051519</v>
      </c>
      <c r="P4" s="140">
        <f>P3/(('Evolutive SFP'!N28)/1000000)</f>
        <v>0.23510266772039662</v>
      </c>
      <c r="Q4" s="140">
        <f>Q3/(('Evolutive SFP'!O28)/1000000)</f>
        <v>0.24308093645502163</v>
      </c>
      <c r="R4" s="140">
        <f>R3/(('Evolutive SFP'!P28)/1000000)</f>
        <v>0.21180500261824101</v>
      </c>
      <c r="S4" s="140">
        <f>S3/(('Evolutive SFP'!Q28)/1000000)</f>
        <v>0.23716523225380332</v>
      </c>
      <c r="T4" s="140">
        <f>T3/(('Evolutive SFP'!R28)/1000000)</f>
        <v>0.1996655687608378</v>
      </c>
      <c r="U4" s="140">
        <f>U3/(('Evolutive SFP'!S28)/1000000)</f>
        <v>0.21137872362779711</v>
      </c>
      <c r="V4" s="140">
        <f>V3/(('Evolutive SFP'!T28)/1000000)</f>
        <v>0.20842003294181138</v>
      </c>
      <c r="W4" s="140">
        <f>W3/(('Evolutive SFP'!U28)/1000000)</f>
        <v>0.20329911953942748</v>
      </c>
      <c r="X4" s="140">
        <f>X3/(('Evolutive SFP'!V28)/1000000)</f>
        <v>0.19484098032333622</v>
      </c>
      <c r="Y4" s="140">
        <f>Y3/(('Evolutive SFP'!W28)/1000000)</f>
        <v>0.20195753798108379</v>
      </c>
      <c r="Z4" s="140">
        <f>Z3/(('Evolutive SFP'!X28)/1000000)</f>
        <v>0.21529155493237601</v>
      </c>
      <c r="AA4" s="140">
        <f>AA3/(('Evolutive SFP'!Y28)/1000000)</f>
        <v>0.21062086762420212</v>
      </c>
      <c r="AB4" s="140">
        <f>AB3/(('Evolutive SFP'!Z28)/1000000)</f>
        <v>0.220735771710938</v>
      </c>
      <c r="AC4" s="140">
        <f>AC3/(('Evolutive SFP'!AA28)/1000000)</f>
        <v>0.21346116972055978</v>
      </c>
      <c r="AD4" s="140">
        <f>AD3/(('Evolutive SFP'!AB28)/1000000)</f>
        <v>0.24666906364069693</v>
      </c>
      <c r="AE4" s="140">
        <f>AE3/(('Evolutive SFP'!AC28)/1000000)</f>
        <v>0.21759903237050227</v>
      </c>
      <c r="AF4" s="140">
        <f>AF3/(('Evolutive SFP'!AD28)/1000000)</f>
        <v>0.25292951955399084</v>
      </c>
      <c r="AG4" s="140">
        <f>AG3/(('Evolutive SFP'!AE28)/1000000)</f>
        <v>0.22346176357226055</v>
      </c>
      <c r="AH4" s="140">
        <f>AH3/(('Evolutive SFP'!AF28)/1000000)</f>
        <v>0.24087279840065962</v>
      </c>
      <c r="AI4" s="140">
        <f>AI3/(('Evolutive SFP'!AG28)/1000000)</f>
        <v>0.23468087558537948</v>
      </c>
      <c r="AJ4" s="140">
        <f>AJ3/(('Evolutive SFP'!AH28)/1000000)</f>
        <v>0.23443080859829526</v>
      </c>
    </row>
    <row r="5" spans="1:44" ht="15.6">
      <c r="A5" s="327"/>
      <c r="B5" s="130" t="s">
        <v>221</v>
      </c>
      <c r="C5" s="131" t="s">
        <v>222</v>
      </c>
      <c r="D5" s="140">
        <f>D3/('Evolutive SFP'!B32/1000000)</f>
        <v>0.11865530316137229</v>
      </c>
      <c r="E5" s="140">
        <f>E3/('Evolutive SFP'!C32/1000000)</f>
        <v>0.30840646749528827</v>
      </c>
      <c r="F5" s="140">
        <f>F3/('Evolutive SFP'!D32/1000000)</f>
        <v>0.35869813985392113</v>
      </c>
      <c r="G5" s="140">
        <f>G3/('Evolutive SFP'!E32/1000000)</f>
        <v>0.32397359060123415</v>
      </c>
      <c r="H5" s="140">
        <f>H3/('Evolutive SFP'!F32/1000000)</f>
        <v>0.31717392127120492</v>
      </c>
      <c r="I5" s="140">
        <f>I3/('Evolutive SFP'!G32/1000000)</f>
        <v>0.31412155287851207</v>
      </c>
      <c r="J5" s="140">
        <f>J3/('Evolutive SFP'!H32/1000000)</f>
        <v>0.31601769837954835</v>
      </c>
      <c r="K5" s="140">
        <f>K3/('Evolutive SFP'!I32/1000000)</f>
        <v>0.31523640237837269</v>
      </c>
      <c r="L5" s="140">
        <f>L3/('Evolutive SFP'!J32/1000000)</f>
        <v>0.31748782691546001</v>
      </c>
      <c r="M5" s="140">
        <f>M3/('Evolutive SFP'!K32/1000000)</f>
        <v>0.33187828540895375</v>
      </c>
      <c r="N5" s="140">
        <f>N3/('Evolutive SFP'!L32/1000000)</f>
        <v>0.31830010814461784</v>
      </c>
      <c r="O5" s="140">
        <f>O3/('Evolutive SFP'!M32/1000000)</f>
        <v>0.32324056007430507</v>
      </c>
      <c r="P5" s="140">
        <f>P3/('Evolutive SFP'!N32/1000000)</f>
        <v>0.32859816779230755</v>
      </c>
      <c r="Q5" s="140">
        <f>Q3/('Evolutive SFP'!O32/1000000)</f>
        <v>0.34143229911754064</v>
      </c>
      <c r="R5" s="140">
        <f>R3/('Evolutive SFP'!P32/1000000)</f>
        <v>0.29531539414827723</v>
      </c>
      <c r="S5" s="140">
        <f>S3/('Evolutive SFP'!Q32/1000000)</f>
        <v>0.3421342810027399</v>
      </c>
      <c r="T5" s="140">
        <f>T3/('Evolutive SFP'!R32/1000000)</f>
        <v>0.27975451254996059</v>
      </c>
      <c r="U5" s="140">
        <f>U3/('Evolutive SFP'!S32/1000000)</f>
        <v>0.29118162147111487</v>
      </c>
      <c r="V5" s="140">
        <f>V3/('Evolutive SFP'!T32/1000000)</f>
        <v>0.28371128449744171</v>
      </c>
      <c r="W5" s="140">
        <f>W3/('Evolutive SFP'!U32/1000000)</f>
        <v>0.2722958937342973</v>
      </c>
      <c r="X5" s="140">
        <f>X3/('Evolutive SFP'!V32/1000000)</f>
        <v>0.27564302190262224</v>
      </c>
      <c r="Y5" s="140">
        <f>Y3/('Evolutive SFP'!W32/1000000)</f>
        <v>0.28776598309190488</v>
      </c>
      <c r="Z5" s="140">
        <f>Z3/('Evolutive SFP'!X32/1000000)</f>
        <v>0.31157334830655242</v>
      </c>
      <c r="AA5" s="140">
        <f>AA3/('Evolutive SFP'!Y32/1000000)</f>
        <v>0.30019609007845943</v>
      </c>
      <c r="AB5" s="140">
        <f>AB3/('Evolutive SFP'!Z32/1000000)</f>
        <v>0.32018183808664091</v>
      </c>
      <c r="AC5" s="140">
        <f>AC3/('Evolutive SFP'!AA32/1000000)</f>
        <v>0.30118614455670156</v>
      </c>
      <c r="AD5" s="140">
        <f>AD3/('Evolutive SFP'!AB32/1000000)</f>
        <v>0.36921937608796213</v>
      </c>
      <c r="AE5" s="140">
        <f>AE3/('Evolutive SFP'!AC32/1000000)</f>
        <v>0.32453673989927417</v>
      </c>
      <c r="AF5" s="140">
        <f>AF3/('Evolutive SFP'!AD32/1000000)</f>
        <v>0.38024586990670123</v>
      </c>
      <c r="AG5" s="140">
        <f>AG3/('Evolutive SFP'!AE32/1000000)</f>
        <v>0.33481087902865081</v>
      </c>
      <c r="AH5" s="140">
        <f>AH3/('Evolutive SFP'!AF32/1000000)</f>
        <v>0.35755591050692098</v>
      </c>
      <c r="AI5" s="140">
        <f>AI3/('Evolutive SFP'!AG32/1000000)</f>
        <v>0.34310290363392631</v>
      </c>
      <c r="AJ5" s="140">
        <f>AJ3/('Evolutive SFP'!AH32/1000000)</f>
        <v>0.34010097252476673</v>
      </c>
    </row>
    <row r="6" spans="1:44" ht="15.6">
      <c r="A6" s="327"/>
      <c r="B6" s="130" t="s">
        <v>223</v>
      </c>
      <c r="C6" s="131" t="s">
        <v>222</v>
      </c>
      <c r="D6" s="140">
        <f>((D3*1000000)-'Evolutive SFP'!B40)/'Evolutive SFP'!B28</f>
        <v>3.1552176925888298E-2</v>
      </c>
      <c r="E6" s="140">
        <f>((E3*1000000)-'Evolutive SFP'!C40)/'Evolutive SFP'!C28</f>
        <v>7.6065970622028342E-2</v>
      </c>
      <c r="F6" s="140">
        <f>((F3*1000000)-'Evolutive SFP'!D40)/'Evolutive SFP'!D28</f>
        <v>0.10690190094232456</v>
      </c>
      <c r="G6" s="140">
        <f>((G3*1000000)-'Evolutive SFP'!E40)/'Evolutive SFP'!E28</f>
        <v>8.2599605898720632E-2</v>
      </c>
      <c r="H6" s="140">
        <f>((H3*1000000)-'Evolutive SFP'!F40)/'Evolutive SFP'!F28</f>
        <v>8.7769997444024167E-2</v>
      </c>
      <c r="I6" s="140">
        <f>((I3*1000000)-'Evolutive SFP'!G40)/'Evolutive SFP'!G28</f>
        <v>8.832780882871992E-2</v>
      </c>
      <c r="J6" s="140">
        <f>((J3*1000000)-'Evolutive SFP'!H40)/'Evolutive SFP'!H28</f>
        <v>9.0607193891080365E-2</v>
      </c>
      <c r="K6" s="140">
        <f>((K3*1000000)-'Evolutive SFP'!I40)/'Evolutive SFP'!I28</f>
        <v>9.157311999312101E-2</v>
      </c>
      <c r="L6" s="140">
        <f>((L3*1000000)-'Evolutive SFP'!J40)/'Evolutive SFP'!J28</f>
        <v>9.4098920635730346E-2</v>
      </c>
      <c r="M6" s="140">
        <f>((M3*1000000)-'Evolutive SFP'!K40)/'Evolutive SFP'!K28</f>
        <v>0.10272191931424725</v>
      </c>
      <c r="N6" s="140">
        <f>((N3*1000000)-'Evolutive SFP'!L40)/'Evolutive SFP'!L28</f>
        <v>9.5573793521274888E-2</v>
      </c>
      <c r="O6" s="140">
        <f>((O3*1000000)-'Evolutive SFP'!M40)/'Evolutive SFP'!M28</f>
        <v>9.7940085622209835E-2</v>
      </c>
      <c r="P6" s="140">
        <f>((P3*1000000)-'Evolutive SFP'!N40)/'Evolutive SFP'!N28</f>
        <v>0.10402749661248613</v>
      </c>
      <c r="Q6" s="140">
        <f>((Q3*1000000)-'Evolutive SFP'!O40)/'Evolutive SFP'!O28</f>
        <v>0.11337892488858521</v>
      </c>
      <c r="R6" s="140">
        <f>((R3*1000000)-'Evolutive SFP'!P40)/'Evolutive SFP'!P28</f>
        <v>8.114262977436186E-2</v>
      </c>
      <c r="S6" s="140">
        <f>((S3*1000000)-'Evolutive SFP'!Q40)/'Evolutive SFP'!Q28</f>
        <v>0.10733892416995834</v>
      </c>
      <c r="T6" s="140">
        <f>((T3*1000000)-'Evolutive SFP'!R40)/'Evolutive SFP'!R28</f>
        <v>7.3278820547244383E-2</v>
      </c>
      <c r="U6" s="140">
        <f>((U3*1000000)-'Evolutive SFP'!S40)/'Evolutive SFP'!S28</f>
        <v>8.3486416206836361E-2</v>
      </c>
      <c r="V6" s="140">
        <f>((V3*1000000)-'Evolutive SFP'!T40)/'Evolutive SFP'!T28</f>
        <v>7.8354318813027124E-2</v>
      </c>
      <c r="W6" s="140">
        <f>((W3*1000000)-'Evolutive SFP'!U40)/'Evolutive SFP'!U28</f>
        <v>7.9119406648473486E-2</v>
      </c>
      <c r="X6" s="140">
        <f>((X3*1000000)-'Evolutive SFP'!V40)/'Evolutive SFP'!V28</f>
        <v>7.5738289054981658E-2</v>
      </c>
      <c r="Y6" s="140">
        <f>((Y3*1000000)-'Evolutive SFP'!W40)/'Evolutive SFP'!W28</f>
        <v>7.9026926021035185E-2</v>
      </c>
      <c r="Z6" s="140">
        <f>((Z3*1000000)-'Evolutive SFP'!X40)/'Evolutive SFP'!X28</f>
        <v>8.9254657907821944E-2</v>
      </c>
      <c r="AA6" s="140">
        <f>((AA3*1000000)-'Evolutive SFP'!Y40)/'Evolutive SFP'!Y28</f>
        <v>8.5802302846486961E-2</v>
      </c>
      <c r="AB6" s="140">
        <f>((AB3*1000000)-'Evolutive SFP'!Z40)/'Evolutive SFP'!Z28</f>
        <v>9.4793425606971266E-2</v>
      </c>
      <c r="AC6" s="140">
        <f>((AC3*1000000)-'Evolutive SFP'!AA40)/'Evolutive SFP'!AA28</f>
        <v>8.8432719767623569E-2</v>
      </c>
      <c r="AD6" s="140">
        <f>((AD3*1000000)-'Evolutive SFP'!AB40)/'Evolutive SFP'!AB28</f>
        <v>0.10981169387903972</v>
      </c>
      <c r="AE6" s="140">
        <f>((AE3*1000000)-'Evolutive SFP'!AC40)/'Evolutive SFP'!AC28</f>
        <v>8.0248269213689938E-2</v>
      </c>
      <c r="AF6" s="140">
        <f>((AF3*1000000)-'Evolutive SFP'!AD40)/'Evolutive SFP'!AD28</f>
        <v>0.10819234386666607</v>
      </c>
      <c r="AG6" s="140">
        <f>((AG3*1000000)-'Evolutive SFP'!AE40)/'Evolutive SFP'!AE28</f>
        <v>7.5893684579954046E-2</v>
      </c>
      <c r="AH6" s="140">
        <f>((AH3*1000000)-'Evolutive SFP'!AF40)/'Evolutive SFP'!AF28</f>
        <v>8.4962965309423585E-2</v>
      </c>
      <c r="AI6" s="140">
        <f>((AI3*1000000)-'Evolutive SFP'!AG40)/'Evolutive SFP'!AG28</f>
        <v>7.7431670757838619E-2</v>
      </c>
      <c r="AJ6" s="140">
        <f>((AJ3*1000000)-'Evolutive SFP'!AH40)/'Evolutive SFP'!AH28</f>
        <v>7.7856976152136104E-2</v>
      </c>
    </row>
    <row r="7" spans="1:44" ht="15.6">
      <c r="A7" s="327" t="s">
        <v>224</v>
      </c>
      <c r="B7" s="130" t="s">
        <v>225</v>
      </c>
      <c r="C7" s="131"/>
      <c r="D7" s="131"/>
      <c r="E7" s="131"/>
      <c r="F7" s="131"/>
      <c r="G7" s="131"/>
      <c r="H7" s="131">
        <f>'Evolutive SFP'!P313</f>
        <v>0</v>
      </c>
      <c r="I7" s="132"/>
      <c r="J7" s="133"/>
      <c r="K7" s="141"/>
      <c r="L7" s="141"/>
      <c r="M7" s="142"/>
      <c r="N7" s="142">
        <f>'Evolutive SFP'!G17/(' FORM 4-2021'!E5+' FORM 4-2021'!E6+' FORM 4-2021'!E7)</f>
        <v>7240035.8171428572</v>
      </c>
      <c r="O7" s="141"/>
      <c r="P7" s="142">
        <f>'Evolutive SFP'!N17/(' FORM 4-2021'!D14+' FORM 4-2021'!D15+' FORM 4-2021'!D16)</f>
        <v>0.72009799591686641</v>
      </c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</row>
    <row r="8" spans="1:44" ht="15.6">
      <c r="A8" s="327"/>
      <c r="B8" s="130" t="s">
        <v>226</v>
      </c>
      <c r="C8" s="131"/>
      <c r="D8" s="131"/>
      <c r="E8" s="131"/>
      <c r="F8" s="131"/>
      <c r="G8" s="131"/>
      <c r="H8" s="133">
        <f>(' FORM 4-2021'!D5+' FORM 4-2021'!D6+' FORM 4-2021'!D7)</f>
        <v>4859452.5</v>
      </c>
      <c r="I8" s="133"/>
      <c r="J8" s="134"/>
      <c r="K8" s="142">
        <f>(' FORM 4-2021'!D14+' FORM 4-2021'!D15+' FORM 4-2021'!D16)/'Evolutive SFP'!I16</f>
        <v>6.4305082927215762E-2</v>
      </c>
      <c r="L8" s="141"/>
      <c r="M8" s="142">
        <f>(' FORM 4-2021'!D5+' FORM 4-2021'!D6+' FORM 4-2021'!D7)/'Evolutive SFP'!K16</f>
        <v>1.1234021111199958E-2</v>
      </c>
      <c r="N8" s="142">
        <f>(' FORM 4-2021'!D23+' FORM 4-2021'!D24+' FORM 4-2021'!D25)/'Evolutive SFP'!L16</f>
        <v>0.10119135012462355</v>
      </c>
      <c r="O8" s="142">
        <f>(' FORM 4-2021'!F5+' FORM 4-2021'!F6+' FORM 4-2021'!F7)/'Evolutive SFP'!M16</f>
        <v>4.3882340921121577E-3</v>
      </c>
      <c r="P8" s="142">
        <f>(' FORM 4-2021'!G5+' FORM 4-2021'!G6+' FORM 4-2021'!G7)/'Evolutive SFP'!N16</f>
        <v>0</v>
      </c>
      <c r="Q8" s="142">
        <f>(' FORM 4-2021'!D32+' FORM 4-2021'!D33+' FORM 4-2021'!D34)/'Evolutive SFP'!O16</f>
        <v>3.5728165643541816E-2</v>
      </c>
      <c r="R8" s="278">
        <f>(' FORM 4-2021'!D42+' FORM 4-2021'!D43+' FORM 4-2021'!D44)/'Evolutive SFP'!P16</f>
        <v>4.3277453120835266E-2</v>
      </c>
      <c r="S8" s="142"/>
      <c r="T8" s="142"/>
      <c r="U8" s="278">
        <f>('FORM 4-2022'!C10+'FORM 4-2022'!C11+'FORM 4-2022'!C12+'FORM 4-2022'!C17+'FORM 4-2022'!C18+'FORM 4-2022'!C19)/'Evolutive SFP'!S16</f>
        <v>6.9339256610035982E-2</v>
      </c>
      <c r="V8" s="142"/>
      <c r="W8" s="142"/>
      <c r="X8" s="278">
        <f>('FORM 4-2022'!C28+'FORM 4-2022'!C29+'FORM 4-2022'!C30+'FORM 4-2022'!C35+'FORM 4-2022'!C36+'FORM 4-2022'!C37)/'Evolutive SFP'!V16</f>
        <v>0.11919313541282864</v>
      </c>
      <c r="Y8" s="142"/>
      <c r="Z8" s="142"/>
      <c r="AA8" s="278">
        <f>('FORM 4-2022'!C47+'FORM 4-2022'!C48+'FORM 4-2022'!C49+'FORM 4-2022'!C54+'FORM 4-2022'!C55+'FORM 4-2022'!C56)/'Evolutive SFP'!Y16</f>
        <v>0.1163045667924837</v>
      </c>
      <c r="AB8" s="142"/>
      <c r="AC8" s="142"/>
      <c r="AD8" s="278">
        <f>('FORM 4-2022'!C66+'FORM 4-2022'!C67+'FORM 4-2022'!C68)/'Evolutive SFP'!AB16</f>
        <v>4.0367211996604202E-2</v>
      </c>
      <c r="AE8" s="278">
        <f>('FORM 4-2022'!C85+'FORM 4-2022'!C86+'FORM 4-2022'!C87)/'Evolutive SFP'!AC16</f>
        <v>4.1384015142217977E-2</v>
      </c>
      <c r="AF8" s="278">
        <f>('FORM 4-2022'!D85+'FORM 4-2022'!D86+'FORM 4-2022'!D87)/'Evolutive SFP'!AD16</f>
        <v>2.9322889069394709E-9</v>
      </c>
      <c r="AG8" s="278">
        <f>('FORM 4-2022'!E85+'FORM 4-2022'!E86+'FORM 4-2022'!E87)/'Evolutive SFP'!AE16</f>
        <v>1.718771122825697E-2</v>
      </c>
      <c r="AH8" s="278">
        <f>('FORM 4-2022'!F85+'FORM 4-2022'!F86+'FORM 4-2022'!F87)/'Evolutive SFP'!AF16</f>
        <v>0</v>
      </c>
      <c r="AI8" s="278">
        <f>('FORM 4-2022'!G85+'FORM 4-2022'!G86+'FORM 4-2022'!G87)/'Evolutive SFP'!AG16</f>
        <v>0</v>
      </c>
      <c r="AJ8" s="278">
        <f>('FORM 4-2022'!H85+'FORM 4-2022'!H86+'FORM 4-2022'!H87)/'Evolutive SFP'!AH16</f>
        <v>0</v>
      </c>
    </row>
    <row r="9" spans="1:44" ht="15.6">
      <c r="A9" s="325" t="s">
        <v>227</v>
      </c>
      <c r="B9" s="130" t="s">
        <v>228</v>
      </c>
      <c r="C9" s="131"/>
      <c r="D9" s="131"/>
      <c r="E9" s="143">
        <f>'Evolutitve SCI'!C34/(('Evolutive SFP'!B28+'Evolutive SFP'!C28)/2)</f>
        <v>4.7958272404677378E-2</v>
      </c>
      <c r="F9" s="143">
        <f>'Evolutitve SCI'!D34/(('Evolutive SFP'!C28+'Evolutive SFP'!D28)/2)</f>
        <v>-1.8416027783819577E-2</v>
      </c>
      <c r="G9" s="143">
        <f>'Evolutitve SCI'!E34/(('Evolutive SFP'!D28+'Evolutive SFP'!E28)/2)</f>
        <v>1.8523429234316153E-3</v>
      </c>
      <c r="H9" s="143">
        <f>'Evolutitve SCI'!F34/(('Evolutive SFP'!E28+'Evolutive SFP'!F28)/2)</f>
        <v>9.6868453128470759E-3</v>
      </c>
      <c r="I9" s="143">
        <f>'Evolutitve SCI'!G34/(('Evolutive SFP'!F28+'Evolutive SFP'!G28)/2)</f>
        <v>1.2316087134273769E-2</v>
      </c>
      <c r="J9" s="143">
        <f>'Evolutitve SCI'!H34/(('Evolutive SFP'!G28+'Evolutive SFP'!H28)/2)</f>
        <v>1.5832181048414717E-2</v>
      </c>
      <c r="K9" s="143">
        <f>'Evolutitve SCI'!I34/(('Evolutive SFP'!H28+'Evolutive SFP'!I28)/2)</f>
        <v>1.8024890272006176E-2</v>
      </c>
      <c r="L9" s="143">
        <f>'Evolutitve SCI'!J34/(('Evolutive SFP'!I28+'Evolutive SFP'!J28)/2)</f>
        <v>2.1771443175124902E-2</v>
      </c>
      <c r="M9" s="143">
        <f>'Evolutitve SCI'!K34/(('Evolutive SFP'!J28+'Evolutive SFP'!K28)/2)</f>
        <v>3.1101382226440235E-2</v>
      </c>
      <c r="N9" s="143">
        <f>'Evolutitve SCI'!L34/(('Evolutive SFP'!K28+'Evolutive SFP'!L28)/2)</f>
        <v>2.8718616800519774E-2</v>
      </c>
      <c r="O9" s="143">
        <f>'Evolutitve SCI'!M34/(('Evolutive SFP'!L28+'Evolutive SFP'!M28)/2)</f>
        <v>3.3775442109382332E-2</v>
      </c>
      <c r="P9" s="143">
        <f>'Evolutitve SCI'!N34/(('Evolutive SFP'!M28+'Evolutive SFP'!N28)/2)</f>
        <v>4.151423302990765E-2</v>
      </c>
      <c r="Q9" s="143">
        <f>'Evolutitve SCI'!O34/(('Evolutive SFP'!N28+'Evolutive SFP'!O28)/2)</f>
        <v>5.2274002632723138E-2</v>
      </c>
      <c r="R9" s="143">
        <f>'Evolutitve SCI'!P34/(('Evolutive SFP'!O28+'Evolutive SFP'!P28)/2)</f>
        <v>3.3483665542564357E-2</v>
      </c>
      <c r="S9" s="143">
        <f>'Evolutitve SCI'!Q34/(('Evolutive SFP'!P28+'Evolutive SFP'!Q28)/2)</f>
        <v>-2.5183665882641693E-2</v>
      </c>
      <c r="T9" s="143">
        <f>'Evolutitve SCI'!R34/(('Evolutive SFP'!Q28+'Evolutive SFP'!R28)/2)</f>
        <v>-3.9563585009943858E-3</v>
      </c>
      <c r="U9" s="143">
        <f>'Evolutitve SCI'!S34/(('Evolutive SFP'!R28+'Evolutive SFP'!S28)/2)</f>
        <v>6.9348969357184986E-3</v>
      </c>
      <c r="V9" s="143">
        <f>'Evolutitve SCI'!T34/(('Evolutive SFP'!S28+'Evolutive SFP'!T28)/2)</f>
        <v>1.3785669139727971E-3</v>
      </c>
      <c r="W9" s="143">
        <f>'Evolutitve SCI'!U34/(('Evolutive SFP'!T28+'Evolutive SFP'!U28)/2)</f>
        <v>6.6868885669218951E-3</v>
      </c>
      <c r="X9" s="143">
        <f>'Evolutitve SCI'!V34/(('Evolutive SFP'!U28+'Evolutive SFP'!V28)/2)</f>
        <v>7.7192503574105599E-3</v>
      </c>
      <c r="Y9" s="143">
        <f>'Evolutitve SCI'!W34/(('Evolutive SFP'!V28+'Evolutive SFP'!W28)/2)</f>
        <v>1.0381305588385313E-2</v>
      </c>
      <c r="Z9" s="143">
        <f>'Evolutitve SCI'!X34/(('Evolutive SFP'!W28+'Evolutive SFP'!X28)/2)</f>
        <v>2.0492994596965838E-2</v>
      </c>
      <c r="AA9" s="143">
        <f>'Evolutitve SCI'!Y34/(('Evolutive SFP'!X28+'Evolutive SFP'!Y28)/2)</f>
        <v>1.9786116437696493E-2</v>
      </c>
      <c r="AB9" s="143">
        <f>'Evolutitve SCI'!Z34/(('Evolutive SFP'!Y28+'Evolutive SFP'!Z28)/2)</f>
        <v>2.8828046219167638E-2</v>
      </c>
      <c r="AC9" s="143">
        <f>'Evolutitve SCI'!AA34/(('Evolutive SFP'!Z28+'Evolutive SFP'!AA28)/2)</f>
        <v>2.5112549150614248E-2</v>
      </c>
      <c r="AD9" s="143">
        <f>'Evolutitve SCI'!AB34/(('Evolutive SFP'!AA28+'Evolutive SFP'!AB28)/2)</f>
        <v>4.4874814423881755E-2</v>
      </c>
      <c r="AE9" s="143">
        <f>'Evolutitve SCI'!AC34/(('Evolutive SFP'!AB28+'Evolutive SFP'!AC28)/2)</f>
        <v>3.1898780626317423E-2</v>
      </c>
      <c r="AF9" s="143">
        <f>'Evolutitve SCI'!AD34/(('Evolutive SFP'!AC28+'Evolutive SFP'!AD28)/2)</f>
        <v>-1.6902401642536358E-2</v>
      </c>
      <c r="AG9" s="143">
        <f>'Evolutitve SCI'!AE34/(('Evolutive SFP'!AD28+'Evolutive SFP'!AE28)/2)</f>
        <v>-8.7670710762917901E-3</v>
      </c>
      <c r="AH9" s="143">
        <f>'Evolutitve SCI'!AF34/(('Evolutive SFP'!AE28+'Evolutive SFP'!AF28)/2)</f>
        <v>5.6010492943630932E-3</v>
      </c>
      <c r="AI9" s="143">
        <f>'Evolutitve SCI'!AG34/(('Evolutive SFP'!AF28+'Evolutive SFP'!AG28)/2)</f>
        <v>7.9868454048018841E-3</v>
      </c>
      <c r="AJ9" s="143">
        <f>'Evolutitve SCI'!AH34/(('Evolutive SFP'!AG28+'Evolutive SFP'!AH28)/2)</f>
        <v>9.9567811094936551E-3</v>
      </c>
    </row>
    <row r="10" spans="1:44" ht="15.6">
      <c r="A10" s="325"/>
      <c r="B10" s="130" t="s">
        <v>229</v>
      </c>
      <c r="C10" s="131"/>
      <c r="D10" s="142">
        <f>'Evolutitve SCI'!B24/'Evolutitve SCI'!B20</f>
        <v>0.78428841146364925</v>
      </c>
      <c r="E10" s="142">
        <f>'Evolutitve SCI'!C24/'Evolutitve SCI'!C20</f>
        <v>0.5414961431660742</v>
      </c>
      <c r="F10" s="142">
        <f>'Evolutitve SCI'!D24/'Evolutitve SCI'!D20</f>
        <v>0.43820278018209524</v>
      </c>
      <c r="G10" s="142">
        <f>'Evolutitve SCI'!E24/'Evolutitve SCI'!E20</f>
        <v>0.61941038335242748</v>
      </c>
      <c r="H10" s="142">
        <f>'Evolutitve SCI'!F24/'Evolutitve SCI'!F20</f>
        <v>0.61829566594619367</v>
      </c>
      <c r="I10" s="142">
        <f>'Evolutitve SCI'!G24/'Evolutitve SCI'!G20</f>
        <v>0.60108559846596976</v>
      </c>
      <c r="J10" s="142">
        <f>'Evolutitve SCI'!H24/'Evolutitve SCI'!H20</f>
        <v>0.55761786414289061</v>
      </c>
      <c r="K10" s="142">
        <f>'Evolutitve SCI'!I24/'Evolutitve SCI'!I20</f>
        <v>0.55170183140835261</v>
      </c>
      <c r="L10" s="142">
        <f>'Evolutitve SCI'!J24/'Evolutitve SCI'!J20</f>
        <v>0.52790002984689133</v>
      </c>
      <c r="M10" s="142">
        <f>'Evolutitve SCI'!K24/'Evolutitve SCI'!K20</f>
        <v>0.51811099690018103</v>
      </c>
      <c r="N10" s="142">
        <f>'Evolutitve SCI'!L24/'Evolutitve SCI'!L20</f>
        <v>0.51495901509233799</v>
      </c>
      <c r="O10" s="142">
        <f>'Evolutitve SCI'!M24/'Evolutitve SCI'!M20</f>
        <v>0.51758016436199872</v>
      </c>
      <c r="P10" s="142">
        <f>'Evolutitve SCI'!N24/'Evolutitve SCI'!N20</f>
        <v>0.51793067750774968</v>
      </c>
      <c r="Q10" s="142">
        <f>'Evolutitve SCI'!O24/'Evolutitve SCI'!O20</f>
        <v>0.52828153539961975</v>
      </c>
      <c r="R10" s="142">
        <f>'Evolutitve SCI'!P24/'Evolutitve SCI'!P20</f>
        <v>0.57789084956563408</v>
      </c>
      <c r="S10" s="142">
        <f>'Evolutitve SCI'!Q24/'Evolutitve SCI'!Q20</f>
        <v>0.56682264582123965</v>
      </c>
      <c r="T10" s="142">
        <f>'Evolutitve SCI'!R24/'Evolutitve SCI'!R20</f>
        <v>0.70775905982488341</v>
      </c>
      <c r="U10" s="142">
        <f>'Evolutitve SCI'!S24/'Evolutitve SCI'!S20</f>
        <v>0.68368161093213409</v>
      </c>
      <c r="V10" s="142">
        <f>'Evolutitve SCI'!T24/'Evolutitve SCI'!T20</f>
        <v>0.65095334800004401</v>
      </c>
      <c r="W10" s="142">
        <f>'Evolutitve SCI'!U24/'Evolutitve SCI'!U20</f>
        <v>0.60466751488045012</v>
      </c>
      <c r="X10" s="142">
        <f>'Evolutitve SCI'!V24/'Evolutitve SCI'!V20</f>
        <v>0.60224751727357118</v>
      </c>
      <c r="Y10" s="142">
        <f>'Evolutitve SCI'!W24/'Evolutitve SCI'!W20</f>
        <v>0.63196434317260519</v>
      </c>
      <c r="Z10" s="142">
        <f>'Evolutitve SCI'!X24/'Evolutitve SCI'!X20</f>
        <v>0.621141455886007</v>
      </c>
      <c r="AA10" s="142">
        <f>'Evolutitve SCI'!Y24/'Evolutitve SCI'!Y20</f>
        <v>0.61743102336539812</v>
      </c>
      <c r="AB10" s="142">
        <f>'Evolutitve SCI'!Z24/'Evolutitve SCI'!Z20</f>
        <v>0.59855485982941703</v>
      </c>
      <c r="AC10" s="142">
        <f>'Evolutitve SCI'!AA24/'Evolutitve SCI'!AA20</f>
        <v>0.58745664092062999</v>
      </c>
      <c r="AD10" s="142">
        <f>'Evolutitve SCI'!AB24/'Evolutitve SCI'!AB20</f>
        <v>0.59540270474620061</v>
      </c>
      <c r="AE10" s="142">
        <f>'Evolutitve SCI'!AC24/'Evolutitve SCI'!AC20</f>
        <v>0.66025964561946437</v>
      </c>
      <c r="AF10" s="142">
        <f>'Evolutitve SCI'!AD24/'Evolutitve SCI'!AD20</f>
        <v>0.57146104579564683</v>
      </c>
      <c r="AG10" s="142">
        <f>'Evolutitve SCI'!AE24/'Evolutitve SCI'!AE20</f>
        <v>0.70077047370436774</v>
      </c>
      <c r="AH10" s="142">
        <f>'Evolutitve SCI'!AF24/'Evolutitve SCI'!AF20</f>
        <v>0.73468695256069605</v>
      </c>
      <c r="AI10" s="142">
        <f>'Evolutitve SCI'!AG24/'Evolutitve SCI'!AG20</f>
        <v>0.86555249142587054</v>
      </c>
      <c r="AJ10" s="142">
        <f>'Evolutitve SCI'!AH24/'Evolutitve SCI'!AH20</f>
        <v>0.86804381686249676</v>
      </c>
    </row>
    <row r="11" spans="1:44" ht="18.75" customHeight="1">
      <c r="A11" s="325"/>
      <c r="B11" s="130" t="s">
        <v>230</v>
      </c>
      <c r="C11" s="131"/>
      <c r="D11" s="142">
        <f>('Evolutitve SCI'!B24+'Evolutitve SCI'!B13)/(('Evolutive SFP'!B28+'Evolutive SFP'!C28)/2)</f>
        <v>4.0141435903060874E-5</v>
      </c>
      <c r="E11" s="142">
        <f>('Evolutitve SCI'!C24+'Evolutitve SCI'!C13)/(('Evolutive SFP'!C28+'Evolutive SFP'!D28)/2)</f>
        <v>9.5540910399190507E-2</v>
      </c>
      <c r="F11" s="142">
        <f>('Evolutitve SCI'!D24+'Evolutitve SCI'!D13)/(('Evolutive SFP'!D28+'Evolutive SFP'!E28)/2)</f>
        <v>6.0757866055052116E-3</v>
      </c>
      <c r="G11" s="142">
        <f>('Evolutitve SCI'!E24+'Evolutitve SCI'!E13)/(('Evolutive SFP'!E28+'Evolutive SFP'!F28)/2)</f>
        <v>1.6915576973229297E-2</v>
      </c>
      <c r="H11" s="142">
        <f>('Evolutitve SCI'!F24+'Evolutitve SCI'!F13)/(('Evolutive SFP'!F28+'Evolutive SFP'!G28)/2)</f>
        <v>2.588739265550901E-2</v>
      </c>
      <c r="I11" s="142">
        <f>('Evolutitve SCI'!G24+'Evolutitve SCI'!G13)/(('Evolutive SFP'!G28+'Evolutive SFP'!H28)/2)</f>
        <v>3.4131005096856293E-2</v>
      </c>
      <c r="J11" s="142">
        <f>('Evolutitve SCI'!H24+'Evolutitve SCI'!H13)/(('Evolutive SFP'!H28+'Evolutive SFP'!I28)/2)</f>
        <v>4.0553163553002418E-2</v>
      </c>
      <c r="K11" s="142">
        <f>('Evolutitve SCI'!I24+'Evolutitve SCI'!I13)/(('Evolutive SFP'!I28+'Evolutive SFP'!J28)/2)</f>
        <v>4.7612459715668756E-2</v>
      </c>
      <c r="L11" s="142">
        <f>('Evolutitve SCI'!J24+'Evolutitve SCI'!J13)/(('Evolutive SFP'!J28+'Evolutive SFP'!K28)/2)</f>
        <v>5.4745256103813207E-2</v>
      </c>
      <c r="M11" s="142">
        <f>('Evolutitve SCI'!K24+'Evolutitve SCI'!K13)/(('Evolutive SFP'!K28+'Evolutive SFP'!L28)/2)</f>
        <v>5.9432449181839493E-2</v>
      </c>
      <c r="N11" s="142">
        <f>('Evolutitve SCI'!L24+'Evolutitve SCI'!L13)/(('Evolutive SFP'!L28+'Evolutive SFP'!M28)/2)</f>
        <v>6.4988743260204845E-2</v>
      </c>
      <c r="O11" s="142">
        <f>('Evolutitve SCI'!M24+'Evolutitve SCI'!M13)/(('Evolutive SFP'!M28+'Evolutive SFP'!N28)/2)</f>
        <v>7.2356484707668478E-2</v>
      </c>
      <c r="P11" s="142">
        <f>('Evolutitve SCI'!N24+'Evolutitve SCI'!N13)/(('Evolutive SFP'!N28+'Evolutive SFP'!O28)/2)</f>
        <v>8.0151902150246646E-2</v>
      </c>
      <c r="Q11" s="142">
        <f>('Evolutitve SCI'!O24+'Evolutitve SCI'!O13)/(('Evolutive SFP'!O28+'Evolutive SFP'!P28)/2)</f>
        <v>9.046645477855049E-2</v>
      </c>
      <c r="R11" s="142">
        <f>('Evolutitve SCI'!P24+'Evolutitve SCI'!P13)/(('Evolutive SFP'!P28+'Evolutive SFP'!Q28)/2)</f>
        <v>0.10125645234855712</v>
      </c>
      <c r="S11" s="142">
        <f>('Evolutitve SCI'!Q24+'Evolutitve SCI'!Q13)/(('Evolutive SFP'!Q28+'Evolutive SFP'!R28)/2)</f>
        <v>9.3534438747225907E-3</v>
      </c>
      <c r="T11" s="142">
        <f>('Evolutitve SCI'!R24+'Evolutitve SCI'!R13)/(('Evolutive SFP'!R28+'Evolutive SFP'!S28)/2)</f>
        <v>2.1709244898067841E-2</v>
      </c>
      <c r="U11" s="142">
        <f>('Evolutitve SCI'!S24+'Evolutitve SCI'!S13)/(('Evolutive SFP'!S28+'Evolutive SFP'!T28)/2)</f>
        <v>3.2965986754950986E-2</v>
      </c>
      <c r="V11" s="142">
        <f>('Evolutitve SCI'!T24+'Evolutitve SCI'!T13)/(('Evolutive SFP'!T28+'Evolutive SFP'!U28)/2)</f>
        <v>4.1550276249507995E-2</v>
      </c>
      <c r="W11" s="142">
        <f>('Evolutitve SCI'!U24+'Evolutitve SCI'!U13)/(('Evolutive SFP'!U28+'Evolutive SFP'!V28)/2)</f>
        <v>4.7201569481789669E-2</v>
      </c>
      <c r="X11" s="142">
        <f>('Evolutitve SCI'!V24+'Evolutitve SCI'!V13)/(('Evolutive SFP'!V28+'Evolutive SFP'!W28)/2)</f>
        <v>5.5886033015749702E-2</v>
      </c>
      <c r="Y11" s="142">
        <f>('Evolutitve SCI'!W24+'Evolutitve SCI'!W13)/(('Evolutive SFP'!W28+'Evolutive SFP'!X28)/2)</f>
        <v>6.7918633519333568E-2</v>
      </c>
      <c r="Z11" s="142">
        <f>('Evolutitve SCI'!X24+'Evolutitve SCI'!X13)/(('Evolutive SFP'!X28+'Evolutive SFP'!Y28)/2)</f>
        <v>7.5337736498131608E-2</v>
      </c>
      <c r="AA11" s="142">
        <f>('Evolutitve SCI'!Y24+'Evolutitve SCI'!Y13)/(('Evolutive SFP'!Y28+'Evolutive SFP'!Z28)/2)</f>
        <v>8.3593642567530352E-2</v>
      </c>
      <c r="AB11" s="142">
        <f>('Evolutitve SCI'!Z24+'Evolutitve SCI'!Z13)/(('Evolutive SFP'!Z28+'Evolutive SFP'!AA28)/2)</f>
        <v>9.0399868359464258E-2</v>
      </c>
      <c r="AC11" s="142">
        <f>('Evolutitve SCI'!AA24+'Evolutitve SCI'!AA13)/(('Evolutive SFP'!AA28+'Evolutive SFP'!AB28)/2)</f>
        <v>9.9428728719433673E-2</v>
      </c>
      <c r="AD11" s="142">
        <f>('Evolutitve SCI'!AB24+'Evolutitve SCI'!AB13)/(('Evolutive SFP'!AB28+'Evolutive SFP'!AC28)/2)</f>
        <v>0.11180915283771495</v>
      </c>
      <c r="AE11" s="142">
        <f>('Evolutitve SCI'!AC24+'Evolutitve SCI'!AC13)/(('Evolutive SFP'!AC28+'Evolutive SFP'!AD28)/2)</f>
        <v>0.12166576998157054</v>
      </c>
      <c r="AF11" s="142">
        <f>('Evolutitve SCI'!AD24+'Evolutitve SCI'!AD13)/(('Evolutive SFP'!AD28+'Evolutive SFP'!AE28)/2)</f>
        <v>9.1583432123576378E-3</v>
      </c>
      <c r="AG11" s="142">
        <f>('Evolutitve SCI'!AE24+'Evolutitve SCI'!AE13)/(('Evolutive SFP'!AE28+'Evolutive SFP'!AF28)/2)</f>
        <v>1.9845198617524238E-2</v>
      </c>
      <c r="AH11" s="142">
        <f>('Evolutitve SCI'!AF24+'Evolutitve SCI'!AF13)/(('Evolutive SFP'!AF28+'Evolutive SFP'!AG28)/2)</f>
        <v>3.2377697774891287E-2</v>
      </c>
      <c r="AI11" s="142">
        <f>('Evolutitve SCI'!AG24+'Evolutitve SCI'!AG13)/(('Evolutive SFP'!AG28+'Evolutive SFP'!AH28)/2)</f>
        <v>9.9621102437905493E-2</v>
      </c>
      <c r="AJ11" s="142">
        <f>('Evolutitve SCI'!AH24+'Evolutitve SCI'!AH13)/(('Evolutive SFP'!AH28+'Evolutive SFP'!AI28)/2)</f>
        <v>0.12469688112657018</v>
      </c>
    </row>
    <row r="12" spans="1:44" ht="15.6">
      <c r="A12" s="325" t="s">
        <v>231</v>
      </c>
      <c r="B12" s="130" t="s">
        <v>232</v>
      </c>
      <c r="C12" s="131" t="s">
        <v>233</v>
      </c>
      <c r="D12" s="142">
        <f>('Evolutive SFP'!B5)/('Evolutive SFP'!B29+'Evolutive SFP'!B30+'Evolutive SFP'!B33+'Evolutive SFP'!B34+'Evolutive SFP'!B35+'Evolutive SFP'!B36+'Evolutive SFP'!B37)</f>
        <v>0.9080663241381759</v>
      </c>
      <c r="E12" s="142">
        <f>('Evolutive SFP'!C5)/('Evolutive SFP'!C29+'Evolutive SFP'!C30+'Evolutive SFP'!C33+'Evolutive SFP'!C34+'Evolutive SFP'!C35+'Evolutive SFP'!C36+'Evolutive SFP'!C37)</f>
        <v>0.48492072417065363</v>
      </c>
      <c r="F12" s="142">
        <f>('Evolutive SFP'!D5)/('Evolutive SFP'!D29+'Evolutive SFP'!D30+'Evolutive SFP'!D33+'Evolutive SFP'!D34+'Evolutive SFP'!D35+'Evolutive SFP'!D36+'Evolutive SFP'!D37)</f>
        <v>0.60573255593250852</v>
      </c>
      <c r="G12" s="142">
        <f>('Evolutive SFP'!E5)/('Evolutive SFP'!E29+'Evolutive SFP'!E30+'Evolutive SFP'!E33+'Evolutive SFP'!E34+'Evolutive SFP'!E35+'Evolutive SFP'!E36+'Evolutive SFP'!E37)</f>
        <v>0.56475857808459162</v>
      </c>
      <c r="H12" s="142">
        <f>('Evolutive SFP'!F5)/('Evolutive SFP'!F29+'Evolutive SFP'!F30+'Evolutive SFP'!F33+'Evolutive SFP'!F34+'Evolutive SFP'!F35+'Evolutive SFP'!F36+'Evolutive SFP'!F37)</f>
        <v>0.57163923150678875</v>
      </c>
      <c r="I12" s="142">
        <f>('Evolutive SFP'!G5)/('Evolutive SFP'!G29+'Evolutive SFP'!G30+'Evolutive SFP'!G33+'Evolutive SFP'!G34+'Evolutive SFP'!G35+'Evolutive SFP'!G36+'Evolutive SFP'!G37)</f>
        <v>0.45684828069161304</v>
      </c>
      <c r="J12" s="142">
        <f>('Evolutive SFP'!H5)/('Evolutive SFP'!H29+'Evolutive SFP'!H30+'Evolutive SFP'!H33+'Evolutive SFP'!H34+'Evolutive SFP'!H35+'Evolutive SFP'!H36+'Evolutive SFP'!H37)</f>
        <v>0.46054033706264264</v>
      </c>
      <c r="K12" s="142">
        <f>('Evolutive SFP'!I5)/('Evolutive SFP'!I29+'Evolutive SFP'!I30+'Evolutive SFP'!I33+'Evolutive SFP'!I34+'Evolutive SFP'!I35+'Evolutive SFP'!I36+'Evolutive SFP'!I37)</f>
        <v>0.52505689907212372</v>
      </c>
      <c r="L12" s="142">
        <f>('Evolutive SFP'!J5)/('Evolutive SFP'!J29+'Evolutive SFP'!J30+'Evolutive SFP'!J33+'Evolutive SFP'!J34+'Evolutive SFP'!J35+'Evolutive SFP'!J36+'Evolutive SFP'!J37)</f>
        <v>0.34117587500171642</v>
      </c>
      <c r="M12" s="142">
        <f>('Evolutive SFP'!K5)/('Evolutive SFP'!K29+'Evolutive SFP'!K30+'Evolutive SFP'!K33+'Evolutive SFP'!K34+'Evolutive SFP'!K35+'Evolutive SFP'!K36+'Evolutive SFP'!K37)</f>
        <v>0.33655742671075028</v>
      </c>
      <c r="N12" s="142">
        <f>('Evolutive SFP'!L5)/('Evolutive SFP'!L29+'Evolutive SFP'!L30+'Evolutive SFP'!L33+'Evolutive SFP'!L34+'Evolutive SFP'!L35+'Evolutive SFP'!L36+'Evolutive SFP'!L37)</f>
        <v>0.61164975377955055</v>
      </c>
      <c r="O12" s="142">
        <f>('Evolutive SFP'!M5)/('Evolutive SFP'!M29+'Evolutive SFP'!M30+'Evolutive SFP'!M33+'Evolutive SFP'!M34+'Evolutive SFP'!M35+'Evolutive SFP'!M36+'Evolutive SFP'!M37)</f>
        <v>0.61616187054824667</v>
      </c>
      <c r="P12" s="142">
        <f>('Evolutive SFP'!N5)/('Evolutive SFP'!N29+'Evolutive SFP'!N30+'Evolutive SFP'!N33+'Evolutive SFP'!N34+'Evolutive SFP'!N35+'Evolutive SFP'!N36+'Evolutive SFP'!N37)</f>
        <v>0.55211102122336864</v>
      </c>
      <c r="Q12" s="142">
        <f>('Evolutive SFP'!O5)/('Evolutive SFP'!O29+'Evolutive SFP'!O30+'Evolutive SFP'!O33+'Evolutive SFP'!O34+'Evolutive SFP'!O35+'Evolutive SFP'!O36+'Evolutive SFP'!O37)</f>
        <v>0.45465206614666986</v>
      </c>
      <c r="R12" s="142">
        <f>('Evolutive SFP'!P5)/('Evolutive SFP'!P29+'Evolutive SFP'!P30+'Evolutive SFP'!P33+'Evolutive SFP'!P34+'Evolutive SFP'!P35+'Evolutive SFP'!P36+'Evolutive SFP'!P37)</f>
        <v>0.39867539335704222</v>
      </c>
      <c r="S12" s="142">
        <f>('Evolutive SFP'!Q5)/('Evolutive SFP'!Q29+'Evolutive SFP'!Q30+'Evolutive SFP'!Q33+'Evolutive SFP'!Q34+'Evolutive SFP'!Q35+'Evolutive SFP'!Q36+'Evolutive SFP'!Q37)</f>
        <v>0.602391237313466</v>
      </c>
      <c r="T12" s="142">
        <f>('Evolutive SFP'!R5)/('Evolutive SFP'!R29+'Evolutive SFP'!R30+'Evolutive SFP'!R33+'Evolutive SFP'!R34+'Evolutive SFP'!R35+'Evolutive SFP'!R36+'Evolutive SFP'!R37)</f>
        <v>0.5179738517465412</v>
      </c>
      <c r="U12" s="142">
        <f>('Evolutive SFP'!S5)/('Evolutive SFP'!S29+'Evolutive SFP'!S30+'Evolutive SFP'!S33+'Evolutive SFP'!S34+'Evolutive SFP'!S35+'Evolutive SFP'!S36+'Evolutive SFP'!S37)</f>
        <v>0.46950511380595727</v>
      </c>
      <c r="V12" s="142">
        <f>('Evolutive SFP'!T5)/('Evolutive SFP'!T29+'Evolutive SFP'!T30+'Evolutive SFP'!T33+'Evolutive SFP'!T34+'Evolutive SFP'!T35+'Evolutive SFP'!T36+'Evolutive SFP'!T37)</f>
        <v>0.26283327323273786</v>
      </c>
      <c r="W12" s="142">
        <f>('Evolutive SFP'!U5)/('Evolutive SFP'!U29+'Evolutive SFP'!U30+'Evolutive SFP'!U33+'Evolutive SFP'!U34+'Evolutive SFP'!U35+'Evolutive SFP'!U36+'Evolutive SFP'!U37)</f>
        <v>0.31262404540183564</v>
      </c>
      <c r="X12" s="142">
        <f>('Evolutive SFP'!V5)/('Evolutive SFP'!V29+'Evolutive SFP'!V30+'Evolutive SFP'!V33+'Evolutive SFP'!V34+'Evolutive SFP'!V35+'Evolutive SFP'!V36+'Evolutive SFP'!V37)</f>
        <v>0.56364852348872763</v>
      </c>
      <c r="Y12" s="142">
        <f>('Evolutive SFP'!W5)/('Evolutive SFP'!W29+'Evolutive SFP'!W30+'Evolutive SFP'!W33+'Evolutive SFP'!W34+'Evolutive SFP'!W35+'Evolutive SFP'!W36+'Evolutive SFP'!W37)</f>
        <v>0.55112374203188308</v>
      </c>
      <c r="Z12" s="142">
        <f>('Evolutive SFP'!X5)/('Evolutive SFP'!X29+'Evolutive SFP'!X30+'Evolutive SFP'!X33+'Evolutive SFP'!X34+'Evolutive SFP'!X35+'Evolutive SFP'!X36+'Evolutive SFP'!X37)</f>
        <v>0.56267492872507108</v>
      </c>
      <c r="AA12" s="142">
        <f>('Evolutive SFP'!Y5)/('Evolutive SFP'!Y29+'Evolutive SFP'!Y30+'Evolutive SFP'!Y33+'Evolutive SFP'!Y34+'Evolutive SFP'!Y35+'Evolutive SFP'!Y36+'Evolutive SFP'!Y37)</f>
        <v>0.55020390220495763</v>
      </c>
      <c r="AB12" s="142">
        <f>('Evolutive SFP'!Z5)/('Evolutive SFP'!Z29+'Evolutive SFP'!Z30+'Evolutive SFP'!Z33+'Evolutive SFP'!Z34+'Evolutive SFP'!Z35+'Evolutive SFP'!Z36+'Evolutive SFP'!Z37)</f>
        <v>0.46354586288405258</v>
      </c>
      <c r="AC12" s="142">
        <f>('Evolutive SFP'!AA5)/('Evolutive SFP'!AA29+'Evolutive SFP'!AA30+'Evolutive SFP'!AA33+'Evolutive SFP'!AA34+'Evolutive SFP'!AA35+'Evolutive SFP'!AA36+'Evolutive SFP'!AA37)</f>
        <v>0.2638032248438994</v>
      </c>
      <c r="AD12" s="142">
        <f>('Evolutive SFP'!AB5)/('Evolutive SFP'!AB29+'Evolutive SFP'!AB30+'Evolutive SFP'!AB33+'Evolutive SFP'!AB34+'Evolutive SFP'!AB35+'Evolutive SFP'!AB36+'Evolutive SFP'!AB37)</f>
        <v>0.277198136866383</v>
      </c>
      <c r="AE12" s="142">
        <f>('Evolutive SFP'!AC5)/('Evolutive SFP'!AC29+'Evolutive SFP'!AC30+'Evolutive SFP'!AC33+'Evolutive SFP'!AC34+'Evolutive SFP'!AC35+'Evolutive SFP'!AC36+'Evolutive SFP'!AC37)</f>
        <v>0.27734295027376404</v>
      </c>
      <c r="AF12" s="142">
        <f>('Evolutive SFP'!AD5)/('Evolutive SFP'!AD29+'Evolutive SFP'!AD30+'Evolutive SFP'!AD33+'Evolutive SFP'!AD34+'Evolutive SFP'!AD35+'Evolutive SFP'!AD36+'Evolutive SFP'!AD37)</f>
        <v>0.32024663402476505</v>
      </c>
      <c r="AG12" s="142">
        <f>('Evolutive SFP'!AE5)/('Evolutive SFP'!AE29+'Evolutive SFP'!AE30+'Evolutive SFP'!AE33+'Evolutive SFP'!AE34+'Evolutive SFP'!AE35+'Evolutive SFP'!AE36+'Evolutive SFP'!AE37)</f>
        <v>0.34019162386059848</v>
      </c>
      <c r="AH12" s="142">
        <f>('Evolutive SFP'!AF5)/('Evolutive SFP'!AF29+'Evolutive SFP'!AF30+'Evolutive SFP'!AF33+'Evolutive SFP'!AF34+'Evolutive SFP'!AF35+'Evolutive SFP'!AF36+'Evolutive SFP'!AF37)</f>
        <v>0.33693439344867171</v>
      </c>
      <c r="AI12" s="142">
        <f>('Evolutive SFP'!AG5)/('Evolutive SFP'!AG29+'Evolutive SFP'!AG30+'Evolutive SFP'!AG33+'Evolutive SFP'!AG34+'Evolutive SFP'!AG35+'Evolutive SFP'!AG36+'Evolutive SFP'!AG37)</f>
        <v>0.38157120046025045</v>
      </c>
      <c r="AJ12" s="142">
        <f>('Evolutive SFP'!AH5)/('Evolutive SFP'!AH29+'Evolutive SFP'!AH30+'Evolutive SFP'!AH33+'Evolutive SFP'!AH34+'Evolutive SFP'!AH35+'Evolutive SFP'!AH36+'Evolutive SFP'!AH37)</f>
        <v>0.20625836032720016</v>
      </c>
    </row>
    <row r="13" spans="1:44" ht="15.6">
      <c r="A13" s="325"/>
      <c r="B13" s="130" t="s">
        <v>234</v>
      </c>
      <c r="C13" s="144"/>
      <c r="D13" s="142">
        <f>'Evolutive SFP'!B5/('Evolutive SFP'!B32+'Evolutive SFP'!B37)</f>
        <v>0.14915539337983874</v>
      </c>
      <c r="E13" s="142">
        <f>'Evolutive SFP'!C5/('Evolutive SFP'!C32+'Evolutive SFP'!C37)</f>
        <v>0.136149490571634</v>
      </c>
      <c r="F13" s="142">
        <f>'Evolutive SFP'!D5/('Evolutive SFP'!D32+'Evolutive SFP'!D37)</f>
        <v>0.12659332593771905</v>
      </c>
      <c r="G13" s="142">
        <f>'Evolutive SFP'!E5/('Evolutive SFP'!E32+'Evolutive SFP'!E37)</f>
        <v>0.13260174120526566</v>
      </c>
      <c r="H13" s="142">
        <f>'Evolutive SFP'!F5/('Evolutive SFP'!F32+'Evolutive SFP'!F37)</f>
        <v>0.1325545984010281</v>
      </c>
      <c r="I13" s="142">
        <f>'Evolutive SFP'!G5/('Evolutive SFP'!G32+'Evolutive SFP'!G37)</f>
        <v>0.11130074174773183</v>
      </c>
      <c r="J13" s="142">
        <f>'Evolutive SFP'!H5/('Evolutive SFP'!H32+'Evolutive SFP'!H37)</f>
        <v>0.11066331389337077</v>
      </c>
      <c r="K13" s="142">
        <f>'Evolutive SFP'!I5/('Evolutive SFP'!I32+'Evolutive SFP'!I37)</f>
        <v>0.125330180418292</v>
      </c>
      <c r="L13" s="142">
        <f>'Evolutive SFP'!J5/('Evolutive SFP'!J32+'Evolutive SFP'!J37)</f>
        <v>8.3166705535807975E-2</v>
      </c>
      <c r="M13" s="142">
        <f>'Evolutive SFP'!K5/('Evolutive SFP'!K32+'Evolutive SFP'!K37)</f>
        <v>7.8118555032607201E-2</v>
      </c>
      <c r="N13" s="142">
        <f>'Evolutive SFP'!L5/('Evolutive SFP'!L32+'Evolutive SFP'!L37)</f>
        <v>0.15169890179921008</v>
      </c>
      <c r="O13" s="142">
        <f>'Evolutive SFP'!M5/('Evolutive SFP'!M32+'Evolutive SFP'!M37)</f>
        <v>0.14681011299226901</v>
      </c>
      <c r="P13" s="142">
        <f>'Evolutive SFP'!N5/('Evolutive SFP'!N32+'Evolutive SFP'!N37)</f>
        <v>0.13238574253772942</v>
      </c>
      <c r="Q13" s="142">
        <f>'Evolutive SFP'!O5/('Evolutive SFP'!O32+'Evolutive SFP'!O37)</f>
        <v>0.11512776360034042</v>
      </c>
      <c r="R13" s="142">
        <f>'Evolutive SFP'!P5/('Evolutive SFP'!P32+'Evolutive SFP'!P37)</f>
        <v>0.11325361599944812</v>
      </c>
      <c r="S13" s="142">
        <f>'Evolutive SFP'!Q5/('Evolutive SFP'!Q32+'Evolutive SFP'!Q37)</f>
        <v>0.13764065263737998</v>
      </c>
      <c r="T13" s="142">
        <f>'Evolutive SFP'!R5/('Evolutive SFP'!R32+'Evolutive SFP'!R37)</f>
        <v>0.1485120161042732</v>
      </c>
      <c r="U13" s="142">
        <f>'Evolutive SFP'!S5/('Evolutive SFP'!S32+'Evolutive SFP'!S37)</f>
        <v>0.12691720231349898</v>
      </c>
      <c r="V13" s="142">
        <f>'Evolutive SFP'!T5/('Evolutive SFP'!T32+'Evolutive SFP'!T37)</f>
        <v>6.8024411364843912E-2</v>
      </c>
      <c r="W13" s="142">
        <f>'Evolutive SFP'!U5/('Evolutive SFP'!U32+'Evolutive SFP'!U37)</f>
        <v>9.106928051009186E-2</v>
      </c>
      <c r="X13" s="142">
        <f>'Evolutive SFP'!V5/('Evolutive SFP'!V32+'Evolutive SFP'!V37)</f>
        <v>0.1627738102166601</v>
      </c>
      <c r="Y13" s="142">
        <f>'Evolutive SFP'!W5/('Evolutive SFP'!W32+'Evolutive SFP'!W37)</f>
        <v>0.14980175809290341</v>
      </c>
      <c r="Z13" s="142">
        <f>'Evolutive SFP'!X5/('Evolutive SFP'!X32+'Evolutive SFP'!X37)</f>
        <v>0.151589481579052</v>
      </c>
      <c r="AA13" s="142">
        <f>'Evolutive SFP'!Y5/('Evolutive SFP'!Y32+'Evolutive SFP'!Y37)</f>
        <v>0.16355788050532208</v>
      </c>
      <c r="AB13" s="142">
        <f>'Evolutive SFP'!Z5/('Evolutive SFP'!Z32+'Evolutive SFP'!Z37)</f>
        <v>0.1358578991635857</v>
      </c>
      <c r="AC13" s="142">
        <f>'Evolutive SFP'!AA5/('Evolutive SFP'!AA32+'Evolutive SFP'!AA37)</f>
        <v>8.3836211494823773E-2</v>
      </c>
      <c r="AD13" s="142">
        <f>'Evolutive SFP'!AB5/('Evolutive SFP'!AB32+'Evolutive SFP'!AB37)</f>
        <v>8.6238965486413369E-2</v>
      </c>
      <c r="AE13" s="142">
        <f>'Evolutive SFP'!AC5/('Evolutive SFP'!AC32+'Evolutive SFP'!AC37)</f>
        <v>8.9376095640987724E-2</v>
      </c>
      <c r="AF13" s="142">
        <f>'Evolutive SFP'!AD5/('Evolutive SFP'!AD32+'Evolutive SFP'!AD37)</f>
        <v>8.6183220969603458E-2</v>
      </c>
      <c r="AG13" s="142">
        <f>'Evolutive SFP'!AE5/('Evolutive SFP'!AE32+'Evolutive SFP'!AE37)</f>
        <v>9.9652232671958912E-2</v>
      </c>
      <c r="AH13" s="142">
        <f>'Evolutive SFP'!AF5/('Evolutive SFP'!AF32+'Evolutive SFP'!AF37)</f>
        <v>9.0247700324505187E-2</v>
      </c>
      <c r="AI13" s="142">
        <f>'Evolutive SFP'!AG5/('Evolutive SFP'!AG32+'Evolutive SFP'!AG37)</f>
        <v>9.811800436304402E-2</v>
      </c>
      <c r="AJ13" s="142">
        <f>'Evolutive SFP'!AH5/('Evolutive SFP'!AH32+'Evolutive SFP'!AH37)</f>
        <v>5.2154588700401107E-2</v>
      </c>
    </row>
    <row r="14" spans="1:44" ht="15.6">
      <c r="A14" s="325"/>
      <c r="B14" s="130" t="s">
        <v>235</v>
      </c>
      <c r="C14" s="131" t="s">
        <v>236</v>
      </c>
      <c r="D14" s="142">
        <f>'Evolutive SFP'!B38/'Evolutive SFP'!B28</f>
        <v>1.5175035177958185E-2</v>
      </c>
      <c r="E14" s="142">
        <f>'Evolutive SFP'!C38/'Evolutive SFP'!C28</f>
        <v>4.7017949774683168E-2</v>
      </c>
      <c r="F14" s="142">
        <f>'Evolutive SFP'!D38/'Evolutive SFP'!D28</f>
        <v>4.7232376475137935E-2</v>
      </c>
      <c r="G14" s="142">
        <f>'Evolutive SFP'!E38/'Evolutive SFP'!E28</f>
        <v>4.4334153361878625E-2</v>
      </c>
      <c r="H14" s="142">
        <f>'Evolutive SFP'!F38/'Evolutive SFP'!F28</f>
        <v>4.0424794167668282E-2</v>
      </c>
      <c r="I14" s="142">
        <f>'Evolutive SFP'!G38/'Evolutive SFP'!G28</f>
        <v>3.6900180937438055E-2</v>
      </c>
      <c r="J14" s="142">
        <f>'Evolutive SFP'!H38/'Evolutive SFP'!H28</f>
        <v>3.386723775515655E-2</v>
      </c>
      <c r="K14" s="142">
        <f>'Evolutive SFP'!I38/'Evolutive SFP'!I28</f>
        <v>3.0939071228810417E-2</v>
      </c>
      <c r="L14" s="142">
        <f>'Evolutive SFP'!J38/'Evolutive SFP'!J28</f>
        <v>2.8097682907757236E-2</v>
      </c>
      <c r="M14" s="142">
        <f>'Evolutive SFP'!K38/'Evolutive SFP'!K28</f>
        <v>2.5497976944932176E-2</v>
      </c>
      <c r="N14" s="142">
        <f>'Evolutive SFP'!L38/'Evolutive SFP'!L28</f>
        <v>5.1350748509163067E-2</v>
      </c>
      <c r="O14" s="142">
        <f>'Evolutive SFP'!M38/'Evolutive SFP'!M28</f>
        <v>4.9635996554960878E-2</v>
      </c>
      <c r="P14" s="142">
        <f>'Evolutive SFP'!N38/'Evolutive SFP'!N28</f>
        <v>4.3946651266243357E-2</v>
      </c>
      <c r="Q14" s="142">
        <f>'Evolutive SFP'!O38/'Evolutive SFP'!O28</f>
        <v>4.0182007268491082E-2</v>
      </c>
      <c r="R14" s="142">
        <f>'Evolutive SFP'!P38/'Evolutive SFP'!P28</f>
        <v>4.0479529878437524E-2</v>
      </c>
      <c r="S14" s="142">
        <f>'Evolutive SFP'!Q38/'Evolutive SFP'!Q28</f>
        <v>6.4552701788469891E-2</v>
      </c>
      <c r="T14" s="142">
        <f>'Evolutive SFP'!R38/'Evolutive SFP'!R28</f>
        <v>5.8568966501137895E-2</v>
      </c>
      <c r="U14" s="142">
        <f>'Evolutive SFP'!S38/'Evolutive SFP'!S28</f>
        <v>5.5872005114626012E-2</v>
      </c>
      <c r="V14" s="142">
        <f>'Evolutive SFP'!T38/'Evolutive SFP'!T28</f>
        <v>5.1952494308140973E-2</v>
      </c>
      <c r="W14" s="142">
        <f>'Evolutive SFP'!U38/'Evolutive SFP'!U28</f>
        <v>4.5747156360435255E-2</v>
      </c>
      <c r="X14" s="142">
        <f>'Evolutive SFP'!V38/'Evolutive SFP'!V28</f>
        <v>9.4800973181362047E-2</v>
      </c>
      <c r="Y14" s="142">
        <f>'Evolutive SFP'!W38/'Evolutive SFP'!W28</f>
        <v>9.2662471691415851E-2</v>
      </c>
      <c r="Z14" s="142">
        <f>'Evolutive SFP'!X38/'Evolutive SFP'!X28</f>
        <v>9.0179232633362208E-2</v>
      </c>
      <c r="AA14" s="142">
        <f>'Evolutive SFP'!Y38/'Evolutive SFP'!Y28</f>
        <v>8.4491823404315491E-2</v>
      </c>
      <c r="AB14" s="142">
        <f>'Evolutive SFP'!Z38/'Evolutive SFP'!Z28</f>
        <v>8.1531959572556698E-2</v>
      </c>
      <c r="AC14" s="142">
        <f>'Evolutive SFP'!AA38/'Evolutive SFP'!AA28</f>
        <v>7.6255043336337994E-2</v>
      </c>
      <c r="AD14" s="142">
        <f>'Evolutive SFP'!AB38/'Evolutive SFP'!AB28</f>
        <v>8.2288742868599468E-2</v>
      </c>
      <c r="AE14" s="142">
        <f>'Evolutive SFP'!AC38/'Evolutive SFP'!AC28</f>
        <v>8.2585407722738965E-2</v>
      </c>
      <c r="AF14" s="142">
        <f>'Evolutive SFP'!AD38/'Evolutive SFP'!AD28</f>
        <v>7.9003846246583867E-2</v>
      </c>
      <c r="AG14" s="142">
        <f>'Evolutive SFP'!AE38/'Evolutive SFP'!AE28</f>
        <v>7.7127857467445091E-2</v>
      </c>
      <c r="AH14" s="142">
        <f>'Evolutive SFP'!AF38/'Evolutive SFP'!AF28</f>
        <v>7.367787879750641E-2</v>
      </c>
      <c r="AI14" s="142">
        <f>'Evolutive SFP'!AG38/'Evolutive SFP'!AG28</f>
        <v>7.0542707944775379E-2</v>
      </c>
      <c r="AJ14" s="142">
        <f>'Evolutive SFP'!AH38/'Evolutive SFP'!AH28</f>
        <v>6.6997463133936702E-2</v>
      </c>
    </row>
    <row r="15" spans="1:44" ht="15.6">
      <c r="A15" s="325"/>
      <c r="B15" s="130" t="s">
        <v>237</v>
      </c>
      <c r="C15" s="131"/>
      <c r="D15" s="142">
        <f>'Evolutive SFP'!B5/'Evolutive SFP'!B28</f>
        <v>0.12821991542351194</v>
      </c>
      <c r="E15" s="142">
        <f>'Evolutive SFP'!C5/'Evolutive SFP'!C28</f>
        <v>9.6487549451775179E-2</v>
      </c>
      <c r="F15" s="142">
        <f>'Evolutive SFP'!D5/'Evolutive SFP'!D28</f>
        <v>8.8922104986271649E-2</v>
      </c>
      <c r="G15" s="142">
        <f>'Evolutive SFP'!E5/'Evolutive SFP'!E28</f>
        <v>9.4662076262946218E-2</v>
      </c>
      <c r="H15" s="142">
        <f>'Evolutive SFP'!F5/'Evolutive SFP'!F28</f>
        <v>9.6477691493813647E-2</v>
      </c>
      <c r="I15" s="142">
        <f>'Evolutive SFP'!G5/'Evolutive SFP'!G28</f>
        <v>8.1715505751572617E-2</v>
      </c>
      <c r="J15" s="142">
        <f>'Evolutive SFP'!H5/'Evolutive SFP'!H28</f>
        <v>8.1403232761143099E-2</v>
      </c>
      <c r="K15" s="142">
        <f>'Evolutive SFP'!I5/'Evolutive SFP'!I28</f>
        <v>9.2511590950452777E-2</v>
      </c>
      <c r="L15" s="142">
        <f>'Evolutive SFP'!J5/'Evolutive SFP'!J28</f>
        <v>6.1464097270521129E-2</v>
      </c>
      <c r="M15" s="142">
        <f>'Evolutive SFP'!K5/'Evolutive SFP'!K28</f>
        <v>5.725229087787833E-2</v>
      </c>
      <c r="N15" s="142">
        <f>'Evolutive SFP'!L5/'Evolutive SFP'!L28</f>
        <v>0.10931197819871677</v>
      </c>
      <c r="O15" s="142">
        <f>'Evolutive SFP'!M5/'Evolutive SFP'!M28</f>
        <v>0.10567430889887602</v>
      </c>
      <c r="P15" s="142">
        <f>'Evolutive SFP'!N5/'Evolutive SFP'!N28</f>
        <v>9.5443081344502051E-2</v>
      </c>
      <c r="Q15" s="142">
        <f>'Evolutive SFP'!O5/'Evolutive SFP'!O28</f>
        <v>8.2515900166986011E-2</v>
      </c>
      <c r="R15" s="142">
        <f>'Evolutive SFP'!P5/'Evolutive SFP'!P28</f>
        <v>8.3126878644777094E-2</v>
      </c>
      <c r="S15" s="142">
        <f>'Evolutive SFP'!Q5/'Evolutive SFP'!Q28</f>
        <v>9.6111486325114515E-2</v>
      </c>
      <c r="T15" s="142">
        <f>'Evolutive SFP'!R5/'Evolutive SFP'!R28</f>
        <v>0.11016055293622351</v>
      </c>
      <c r="U15" s="142">
        <f>'Evolutive SFP'!S5/'Evolutive SFP'!S28</f>
        <v>9.2844159301387674E-2</v>
      </c>
      <c r="V15" s="142">
        <f>'Evolutive SFP'!T5/'Evolutive SFP'!T28</f>
        <v>5.0312478535959486E-2</v>
      </c>
      <c r="W15" s="142">
        <f>'Evolutive SFP'!U5/'Evolutive SFP'!U28</f>
        <v>6.838850598130107E-2</v>
      </c>
      <c r="X15" s="142">
        <f>'Evolutive SFP'!V5/'Evolutive SFP'!V28</f>
        <v>0.11562716616727932</v>
      </c>
      <c r="Y15" s="142">
        <f>'Evolutive SFP'!W5/'Evolutive SFP'!W28</f>
        <v>0.10566668184307981</v>
      </c>
      <c r="Z15" s="142">
        <f>'Evolutive SFP'!X5/'Evolutive SFP'!X28</f>
        <v>0.10528283579677575</v>
      </c>
      <c r="AA15" s="142">
        <f>'Evolutive SFP'!Y5/'Evolutive SFP'!Y28</f>
        <v>0.11528936654433844</v>
      </c>
      <c r="AB15" s="142">
        <f>'Evolutive SFP'!Z5/'Evolutive SFP'!Z28</f>
        <v>9.4792020541232355E-2</v>
      </c>
      <c r="AC15" s="142">
        <f>'Evolutive SFP'!AA5/'Evolutive SFP'!AA28</f>
        <v>5.9547251761221484E-2</v>
      </c>
      <c r="AD15" s="142">
        <f>'Evolutive SFP'!AB5/'Evolutive SFP'!AB28</f>
        <v>6.0168988570300071E-2</v>
      </c>
      <c r="AE15" s="142">
        <f>'Evolutive SFP'!AC5/'Evolutive SFP'!AC28</f>
        <v>6.0305538950591459E-2</v>
      </c>
      <c r="AF15" s="142">
        <f>'Evolutive SFP'!AD5/'Evolutive SFP'!AD28</f>
        <v>5.7575872838453411E-2</v>
      </c>
      <c r="AG15" s="142">
        <f>'Evolutive SFP'!AE5/'Evolutive SFP'!AE28</f>
        <v>6.7174241490449857E-2</v>
      </c>
      <c r="AH15" s="142">
        <f>'Evolutive SFP'!AF5/'Evolutive SFP'!AF28</f>
        <v>6.185995409856479E-2</v>
      </c>
      <c r="AI15" s="142">
        <f>'Evolutive SFP'!AG5/'Evolutive SFP'!AG28</f>
        <v>6.8169782734819551E-2</v>
      </c>
      <c r="AJ15" s="142">
        <f>'Evolutive SFP'!AH5/'Evolutive SFP'!AH28</f>
        <v>3.6433567582114565E-2</v>
      </c>
    </row>
    <row r="16" spans="1:44" ht="15.6">
      <c r="A16" s="325" t="s">
        <v>238</v>
      </c>
      <c r="B16" s="130" t="s">
        <v>239</v>
      </c>
      <c r="C16" s="131" t="s">
        <v>240</v>
      </c>
      <c r="D16" s="142">
        <f>('Evolutive SFP'!B8+'Evolutive SFP'!B22)/'Evolutive SFP'!B28</f>
        <v>0.12101374552845419</v>
      </c>
      <c r="E16" s="142">
        <f>('Evolutive SFP'!C8+'Evolutive SFP'!C22)/'Evolutive SFP'!C28</f>
        <v>5.2157888569819337E-2</v>
      </c>
      <c r="F16" s="142">
        <f>('Evolutive SFP'!D8+'Evolutive SFP'!D22)/'Evolutive SFP'!D28</f>
        <v>6.5386414580918831E-2</v>
      </c>
      <c r="G16" s="142">
        <f>('Evolutive SFP'!E8+'Evolutive SFP'!E22)/'Evolutive SFP'!E28</f>
        <v>6.332250621486972E-2</v>
      </c>
      <c r="H16" s="142">
        <f>('Evolutive SFP'!F8+'Evolutive SFP'!F22)/'Evolutive SFP'!F28</f>
        <v>7.7629777947390927E-2</v>
      </c>
      <c r="I16" s="142">
        <f>('Evolutive SFP'!G8+'Evolutive SFP'!G22)/'Evolutive SFP'!G28</f>
        <v>7.41211500629467E-2</v>
      </c>
      <c r="J16" s="142">
        <f>('Evolutive SFP'!H8+'Evolutive SFP'!H22)/'Evolutive SFP'!H28</f>
        <v>7.2662455568652445E-2</v>
      </c>
      <c r="K16" s="142">
        <f>('Evolutive SFP'!I8+'Evolutive SFP'!I22)/'Evolutive SFP'!I28</f>
        <v>7.1667052965910055E-2</v>
      </c>
      <c r="L16" s="142">
        <f>('Evolutive SFP'!J8+'Evolutive SFP'!J22)/'Evolutive SFP'!J28</f>
        <v>7.3623390943471811E-2</v>
      </c>
      <c r="M16" s="142">
        <f>('Evolutive SFP'!K8+'Evolutive SFP'!K22)/'Evolutive SFP'!K28</f>
        <v>7.903925455020902E-2</v>
      </c>
      <c r="N16" s="142">
        <f>('Evolutive SFP'!L8+'Evolutive SFP'!L22)/'Evolutive SFP'!L28</f>
        <v>7.3984253172591566E-2</v>
      </c>
      <c r="O16" s="142">
        <f>('Evolutive SFP'!M8+'Evolutive SFP'!M22)/'Evolutive SFP'!M28</f>
        <v>7.3907454658871719E-2</v>
      </c>
      <c r="P16" s="142">
        <f>('Evolutive SFP'!N8+'Evolutive SFP'!N22)/'Evolutive SFP'!N28</f>
        <v>6.5301358467952458E-2</v>
      </c>
      <c r="Q16" s="142">
        <f>('Evolutive SFP'!O8+'Evolutive SFP'!O22)/'Evolutive SFP'!O28</f>
        <v>5.8429416673388759E-2</v>
      </c>
      <c r="R16" s="142">
        <f>('Evolutive SFP'!P8+'Evolutive SFP'!P22)/'Evolutive SFP'!P28</f>
        <v>5.1719497642349566E-2</v>
      </c>
      <c r="S16" s="142">
        <f>('Evolutive SFP'!Q8+'Evolutive SFP'!Q22)/'Evolutive SFP'!Q28</f>
        <v>6.3306169566687706E-2</v>
      </c>
      <c r="T16" s="142">
        <f>('Evolutive SFP'!R8+'Evolutive SFP'!R22)/'Evolutive SFP'!R28</f>
        <v>6.970461070920049E-2</v>
      </c>
      <c r="U16" s="142">
        <f>('Evolutive SFP'!S8+'Evolutive SFP'!S22)/'Evolutive SFP'!S28</f>
        <v>7.4361911118968671E-2</v>
      </c>
      <c r="V16" s="142">
        <f>('Evolutive SFP'!T8+'Evolutive SFP'!T22)/'Evolutive SFP'!T28</f>
        <v>8.1671643478149133E-2</v>
      </c>
      <c r="W16" s="142">
        <f>('Evolutive SFP'!U8+'Evolutive SFP'!U22)/'Evolutive SFP'!U28</f>
        <v>7.7794502567035267E-2</v>
      </c>
      <c r="X16" s="142">
        <f>('Evolutive SFP'!V8+'Evolutive SFP'!V22)/'Evolutive SFP'!V28</f>
        <v>7.4496635220558383E-2</v>
      </c>
      <c r="Y16" s="142">
        <f>('Evolutive SFP'!W8+'Evolutive SFP'!W22)/'Evolutive SFP'!W28</f>
        <v>7.7278829658167472E-2</v>
      </c>
      <c r="Z16" s="142">
        <f>('Evolutive SFP'!X8+'Evolutive SFP'!X22)/'Evolutive SFP'!X28</f>
        <v>7.6045737758892645E-2</v>
      </c>
      <c r="AA16" s="142">
        <f>('Evolutive SFP'!Y8+'Evolutive SFP'!Y22)/'Evolutive SFP'!Y28</f>
        <v>7.7255691597232654E-2</v>
      </c>
      <c r="AB16" s="142">
        <f>('Evolutive SFP'!Z8+'Evolutive SFP'!Z22)/'Evolutive SFP'!Z28</f>
        <v>8.4505108899009598E-2</v>
      </c>
      <c r="AC16" s="142">
        <f>('Evolutive SFP'!AA8+'Evolutive SFP'!AA22)/'Evolutive SFP'!AA28</f>
        <v>8.0375146692785698E-2</v>
      </c>
      <c r="AD16" s="142">
        <f>('Evolutive SFP'!AB8+'Evolutive SFP'!AB22)/'Evolutive SFP'!AB28</f>
        <v>7.4515121112924396E-2</v>
      </c>
      <c r="AE16" s="142">
        <f>('Evolutive SFP'!AC8+'Evolutive SFP'!AC22)/'Evolutive SFP'!AC28</f>
        <v>7.1171502252756494E-2</v>
      </c>
      <c r="AF16" s="142">
        <f>('Evolutive SFP'!AD8+'Evolutive SFP'!AD22)/'Evolutive SFP'!AD28</f>
        <v>8.1653250415114162E-2</v>
      </c>
      <c r="AG16" s="142">
        <f>('Evolutive SFP'!AE8+'Evolutive SFP'!AE22)/'Evolutive SFP'!AE28</f>
        <v>8.1662510033970431E-2</v>
      </c>
      <c r="AH16" s="142">
        <f>('Evolutive SFP'!AF8+'Evolutive SFP'!AF22)/'Evolutive SFP'!AF28</f>
        <v>8.5720641289042304E-2</v>
      </c>
      <c r="AI16" s="142">
        <f>('Evolutive SFP'!AG8+'Evolutive SFP'!AG22)/'Evolutive SFP'!AG28</f>
        <v>8.4364036259804626E-2</v>
      </c>
      <c r="AJ16" s="142">
        <f>('Evolutive SFP'!AH8+'Evolutive SFP'!AH22)/'Evolutive SFP'!AH28</f>
        <v>8.1042699570697804E-2</v>
      </c>
    </row>
    <row r="17" spans="1:36" ht="15.6">
      <c r="A17" s="325"/>
      <c r="B17" s="130" t="s">
        <v>241</v>
      </c>
      <c r="C17" s="131" t="s">
        <v>242</v>
      </c>
      <c r="D17" s="142">
        <f>'Evolutive SFP'!B22/'Evolutive SFP'!B28</f>
        <v>3.2278670786670176E-2</v>
      </c>
      <c r="E17" s="142">
        <f>'Evolutive SFP'!C22/'Evolutive SFP'!C28</f>
        <v>3.4576673489551069E-2</v>
      </c>
      <c r="F17" s="142">
        <f>'Evolutive SFP'!D22/'Evolutive SFP'!D28</f>
        <v>6.5386414580918831E-2</v>
      </c>
      <c r="G17" s="142">
        <f>'Evolutive SFP'!E22/'Evolutive SFP'!E28</f>
        <v>6.332250621486972E-2</v>
      </c>
      <c r="H17" s="142">
        <f>'Evolutive SFP'!F22/'Evolutive SFP'!F28</f>
        <v>7.7629777947390927E-2</v>
      </c>
      <c r="I17" s="142">
        <f>'Evolutive SFP'!G22/'Evolutive SFP'!G28</f>
        <v>7.41211500629467E-2</v>
      </c>
      <c r="J17" s="142">
        <f>'Evolutive SFP'!H22/'Evolutive SFP'!H28</f>
        <v>7.2662455568652445E-2</v>
      </c>
      <c r="K17" s="142">
        <f>'Evolutive SFP'!I22/'Evolutive SFP'!I28</f>
        <v>7.1667052965910055E-2</v>
      </c>
      <c r="L17" s="142">
        <f>'Evolutive SFP'!J22/'Evolutive SFP'!J28</f>
        <v>7.3623390943471811E-2</v>
      </c>
      <c r="M17" s="142">
        <f>'Evolutive SFP'!K22/'Evolutive SFP'!K28</f>
        <v>7.903925455020902E-2</v>
      </c>
      <c r="N17" s="142">
        <f>'Evolutive SFP'!L22/'Evolutive SFP'!L28</f>
        <v>7.3984253172591566E-2</v>
      </c>
      <c r="O17" s="142">
        <f>'Evolutive SFP'!M22/'Evolutive SFP'!M28</f>
        <v>7.3907454658871719E-2</v>
      </c>
      <c r="P17" s="142">
        <f>'Evolutive SFP'!N22/'Evolutive SFP'!N28</f>
        <v>6.5301358467952458E-2</v>
      </c>
      <c r="Q17" s="142">
        <f>'Evolutive SFP'!O22/'Evolutive SFP'!O28</f>
        <v>5.8429416673388759E-2</v>
      </c>
      <c r="R17" s="142">
        <f>'Evolutive SFP'!P22/'Evolutive SFP'!P28</f>
        <v>3.6237717279661644E-2</v>
      </c>
      <c r="S17" s="142">
        <f>'Evolutive SFP'!Q22/'Evolutive SFP'!Q28</f>
        <v>6.3306169566687706E-2</v>
      </c>
      <c r="T17" s="142">
        <f>'Evolutive SFP'!R22/'Evolutive SFP'!R28</f>
        <v>6.970461070920049E-2</v>
      </c>
      <c r="U17" s="142">
        <f>'Evolutive SFP'!S22/'Evolutive SFP'!S28</f>
        <v>7.4361911118968671E-2</v>
      </c>
      <c r="V17" s="142">
        <f>'Evolutive SFP'!T22/'Evolutive SFP'!T28</f>
        <v>8.1671643478149133E-2</v>
      </c>
      <c r="W17" s="142">
        <f>'Evolutive SFP'!U22/'Evolutive SFP'!U28</f>
        <v>7.7794502567035267E-2</v>
      </c>
      <c r="X17" s="142">
        <f>'Evolutive SFP'!V22/'Evolutive SFP'!V28</f>
        <v>7.4496635220558383E-2</v>
      </c>
      <c r="Y17" s="142">
        <f>'Evolutive SFP'!W22/'Evolutive SFP'!W28</f>
        <v>7.7278829658167472E-2</v>
      </c>
      <c r="Z17" s="142">
        <f>'Evolutive SFP'!X22/'Evolutive SFP'!X28</f>
        <v>7.6045737758892645E-2</v>
      </c>
      <c r="AA17" s="142">
        <f>'Evolutive SFP'!Y22/'Evolutive SFP'!Y28</f>
        <v>7.7255691597232654E-2</v>
      </c>
      <c r="AB17" s="142">
        <f>'Evolutive SFP'!Z22/'Evolutive SFP'!Z28</f>
        <v>8.4505108899009598E-2</v>
      </c>
      <c r="AC17" s="142">
        <f>'Evolutive SFP'!AA22/'Evolutive SFP'!AA28</f>
        <v>8.0375146692785698E-2</v>
      </c>
      <c r="AD17" s="142">
        <f>'Evolutive SFP'!AB22/'Evolutive SFP'!AB28</f>
        <v>7.4515121112924396E-2</v>
      </c>
      <c r="AE17" s="142">
        <f>'Evolutive SFP'!AC22/'Evolutive SFP'!AC28</f>
        <v>5.1182911561973146E-2</v>
      </c>
      <c r="AF17" s="142">
        <f>'Evolutive SFP'!AD22/'Evolutive SFP'!AD28</f>
        <v>8.1653250415114162E-2</v>
      </c>
      <c r="AG17" s="142">
        <f>'Evolutive SFP'!AE22/'Evolutive SFP'!AE28</f>
        <v>8.1662510033970431E-2</v>
      </c>
      <c r="AH17" s="142">
        <f>'Evolutive SFP'!AF22/'Evolutive SFP'!AF28</f>
        <v>8.5720641289042304E-2</v>
      </c>
      <c r="AI17" s="142">
        <f>'Evolutive SFP'!AG22/'Evolutive SFP'!AG28</f>
        <v>8.4364036259804626E-2</v>
      </c>
      <c r="AJ17" s="142">
        <f>'Evolutive SFP'!AH22/'Evolutive SFP'!AH28</f>
        <v>8.1042699570697804E-2</v>
      </c>
    </row>
    <row r="18" spans="1:36" ht="15.6">
      <c r="A18" s="325"/>
      <c r="B18" s="130" t="s">
        <v>243</v>
      </c>
      <c r="C18" s="131" t="s">
        <v>242</v>
      </c>
      <c r="D18" s="142">
        <f>'Evolutive SFP'!B14/'Evolutive SFP'!B32</f>
        <v>3.6721969312762956E-3</v>
      </c>
      <c r="E18" s="142">
        <f>'Evolutive SFP'!C14/'Evolutive SFP'!C32</f>
        <v>9.8071634166193244E-4</v>
      </c>
      <c r="F18" s="142">
        <f>'Evolutive SFP'!D14/'Evolutive SFP'!D32</f>
        <v>9.9153423345715104E-4</v>
      </c>
      <c r="G18" s="142">
        <f>'Evolutive SFP'!E14/'Evolutive SFP'!E32</f>
        <v>9.8076161878001412E-4</v>
      </c>
      <c r="H18" s="142">
        <f>'Evolutive SFP'!F14/'Evolutive SFP'!F32</f>
        <v>9.1867307834607101E-4</v>
      </c>
      <c r="I18" s="142">
        <f>'Evolutive SFP'!G14/'Evolutive SFP'!G32</f>
        <v>8.9025246177134221E-4</v>
      </c>
      <c r="J18" s="142">
        <f>'Evolutive SFP'!H14/'Evolutive SFP'!H32</f>
        <v>8.7451561884463881E-4</v>
      </c>
      <c r="K18" s="142">
        <f>'Evolutive SFP'!I14/'Evolutive SFP'!I32</f>
        <v>8.5682360395506287E-4</v>
      </c>
      <c r="L18" s="142">
        <f>'Evolutive SFP'!J14/'Evolutive SFP'!J32</f>
        <v>8.4193523500964373E-4</v>
      </c>
      <c r="M18" s="142">
        <f>'Evolutive SFP'!K14/'Evolutive SFP'!K32</f>
        <v>8.396943708161343E-4</v>
      </c>
      <c r="N18" s="142">
        <f>'Evolutive SFP'!L14/'Evolutive SFP'!L32</f>
        <v>8.0427966537439499E-4</v>
      </c>
      <c r="O18" s="142">
        <f>'Evolutive SFP'!M14/'Evolutive SFP'!M32</f>
        <v>8.0012168171093845E-4</v>
      </c>
      <c r="P18" s="142">
        <f>'Evolutive SFP'!N14/'Evolutive SFP'!N32</f>
        <v>7.8064932273127889E-4</v>
      </c>
      <c r="Q18" s="142">
        <f>'Evolutive SFP'!O14/'Evolutive SFP'!O32</f>
        <v>7.682177522709225E-4</v>
      </c>
      <c r="R18" s="142">
        <f>'Evolutive SFP'!P14/'Evolutive SFP'!P32</f>
        <v>7.682186969960533E-4</v>
      </c>
      <c r="S18" s="142">
        <f>'Evolutive SFP'!Q14/'Evolutive SFP'!Q32</f>
        <v>7.7963290531365699E-4</v>
      </c>
      <c r="T18" s="142">
        <f>'Evolutive SFP'!R14/'Evolutive SFP'!R32</f>
        <v>7.2743674128814147E-4</v>
      </c>
      <c r="U18" s="142">
        <f>'Evolutive SFP'!S14/'Evolutive SFP'!S32</f>
        <v>7.153223540250429E-4</v>
      </c>
      <c r="V18" s="142">
        <f>'Evolutive SFP'!T14/'Evolutive SFP'!T32</f>
        <v>7.1075269811431618E-4</v>
      </c>
      <c r="W18" s="142">
        <f>'Evolutive SFP'!U14/'Evolutive SFP'!U32</f>
        <v>6.5981102807898115E-4</v>
      </c>
      <c r="X18" s="142">
        <f>'Evolutive SFP'!V14/'Evolutive SFP'!V32</f>
        <v>6.5497761018839151E-4</v>
      </c>
      <c r="Y18" s="142">
        <f>'Evolutive SFP'!W14/'Evolutive SFP'!W32</f>
        <v>6.6323079940214193E-4</v>
      </c>
      <c r="Z18" s="142">
        <f>'Evolutive SFP'!X14/'Evolutive SFP'!X32</f>
        <v>6.7485487368323862E-4</v>
      </c>
      <c r="AA18" s="142">
        <f>'Evolutive SFP'!Y14/'Evolutive SFP'!Y32</f>
        <v>6.4158446552361613E-4</v>
      </c>
      <c r="AB18" s="142">
        <f>'Evolutive SFP'!Z14/'Evolutive SFP'!Z32</f>
        <v>6.4975755758660259E-4</v>
      </c>
      <c r="AC18" s="142">
        <f>'Evolutive SFP'!AA14/'Evolutive SFP'!AA32</f>
        <v>6.1020034085278456E-4</v>
      </c>
      <c r="AD18" s="142">
        <f>'Evolutive SFP'!AB14/'Evolutive SFP'!AB32</f>
        <v>6.5621439013217691E-4</v>
      </c>
      <c r="AE18" s="142">
        <f>'Evolutive SFP'!AC14/'Evolutive SFP'!AC32</f>
        <v>5.2664997673447153E-4</v>
      </c>
      <c r="AF18" s="142">
        <f>'Evolutive SFP'!AD14/'Evolutive SFP'!AD32</f>
        <v>0</v>
      </c>
      <c r="AG18" s="142">
        <f>'Evolutive SFP'!AE14/'Evolutive SFP'!AE32</f>
        <v>0</v>
      </c>
      <c r="AH18" s="142">
        <f>'Evolutive SFP'!AF14/'Evolutive SFP'!AF32</f>
        <v>0</v>
      </c>
      <c r="AI18" s="142">
        <f>'Evolutive SFP'!AG14/'Evolutive SFP'!AG32</f>
        <v>0</v>
      </c>
      <c r="AJ18" s="142">
        <f>'Evolutive SFP'!AH14/'Evolutive SFP'!AH32</f>
        <v>0</v>
      </c>
    </row>
    <row r="19" spans="1:36" ht="15.6">
      <c r="A19" s="325"/>
      <c r="B19" s="145" t="s">
        <v>244</v>
      </c>
      <c r="C19" s="146" t="s">
        <v>245</v>
      </c>
      <c r="D19" s="142">
        <f>'Evolutive SFP'!B14/(CAELS!D3*1000000)</f>
        <v>3.0948443377048846E-2</v>
      </c>
      <c r="E19" s="142">
        <f>'Evolutive SFP'!C14/(CAELS!E3*1000000)</f>
        <v>3.1799473909441133E-3</v>
      </c>
      <c r="F19" s="142">
        <f>'Evolutive SFP'!D14/(CAELS!F3*1000000)</f>
        <v>2.7642580858126299E-3</v>
      </c>
      <c r="G19" s="142">
        <f>'Evolutive SFP'!E14/(CAELS!G3*1000000)</f>
        <v>3.0272887890642713E-3</v>
      </c>
      <c r="H19" s="142">
        <f>'Evolutive SFP'!F14/(CAELS!H3*1000000)</f>
        <v>2.8964332082035966E-3</v>
      </c>
      <c r="I19" s="142">
        <f>'Evolutive SFP'!G14/(CAELS!I3*1000000)</f>
        <v>2.834101810631413E-3</v>
      </c>
      <c r="J19" s="142">
        <f>'Evolutive SFP'!H14/(CAELS!J3*1000000)</f>
        <v>2.7672995004042935E-3</v>
      </c>
      <c r="K19" s="142">
        <f>'Evolutive SFP'!I14/(CAELS!K3*1000000)</f>
        <v>2.7180350920469921E-3</v>
      </c>
      <c r="L19" s="142">
        <f>'Evolutive SFP'!J14/(CAELS!L3*1000000)</f>
        <v>2.6518661933889911E-3</v>
      </c>
      <c r="M19" s="142">
        <f>'Evolutive SFP'!K14/(CAELS!M3*1000000)</f>
        <v>2.5301274826746473E-3</v>
      </c>
      <c r="N19" s="142">
        <f>'Evolutive SFP'!L14/(CAELS!N3*1000000)</f>
        <v>2.526796707869716E-3</v>
      </c>
      <c r="O19" s="142">
        <f>'Evolutive SFP'!M14/(CAELS!O3*1000000)</f>
        <v>2.4753133750511076E-3</v>
      </c>
      <c r="P19" s="142">
        <f>'Evolutive SFP'!N14/(CAELS!P3*1000000)</f>
        <v>2.3756959083980436E-3</v>
      </c>
      <c r="Q19" s="142">
        <f>'Evolutive SFP'!O14/(CAELS!Q3*1000000)</f>
        <v>2.2499855879377652E-3</v>
      </c>
      <c r="R19" s="142">
        <f>'Evolutive SFP'!P14/(CAELS!R3*1000000)</f>
        <v>2.6013499879059213E-3</v>
      </c>
      <c r="S19" s="142">
        <f>'Evolutive SFP'!Q14/(CAELS!S3*1000000)</f>
        <v>2.2787336686305735E-3</v>
      </c>
      <c r="T19" s="142">
        <f>'Evolutive SFP'!R14/(CAELS!T3*1000000)</f>
        <v>2.6002681231396779E-3</v>
      </c>
      <c r="U19" s="142">
        <f>'Evolutive SFP'!S14/(CAELS!U3*1000000)</f>
        <v>2.4566191726355323E-3</v>
      </c>
      <c r="V19" s="142">
        <f>'Evolutive SFP'!T14/(CAELS!V3*1000000)</f>
        <v>2.5051971386098508E-3</v>
      </c>
      <c r="W19" s="142">
        <f>'Evolutive SFP'!U14/(CAELS!W3*1000000)</f>
        <v>2.4231398389092714E-3</v>
      </c>
      <c r="X19" s="142">
        <f>'Evolutive SFP'!V14/(CAELS!X3*1000000)</f>
        <v>2.3761806327162482E-3</v>
      </c>
      <c r="Y19" s="142">
        <f>'Evolutive SFP'!W14/(CAELS!Y3*1000000)</f>
        <v>2.3047574709006641E-3</v>
      </c>
      <c r="Z19" s="142">
        <f>'Evolutive SFP'!X14/(CAELS!Z3*1000000)</f>
        <v>2.1659582802931493E-3</v>
      </c>
      <c r="AA19" s="142">
        <f>'Evolutive SFP'!Y14/(CAELS!AA3*1000000)</f>
        <v>2.1372179276416665E-3</v>
      </c>
      <c r="AB19" s="142">
        <f>'Evolutive SFP'!Z14/(CAELS!AB3*1000000)</f>
        <v>2.0293392075873421E-3</v>
      </c>
      <c r="AC19" s="142">
        <f>'Evolutive SFP'!AA14/(CAELS!AC3*1000000)</f>
        <v>2.0259907432026896E-3</v>
      </c>
      <c r="AD19" s="142">
        <f>'Evolutive SFP'!AB14/(CAELS!AD3*1000000)</f>
        <v>1.7773021478045123E-3</v>
      </c>
      <c r="AE19" s="142">
        <f>'Evolutive SFP'!AC14/(CAELS!AE3*1000000)</f>
        <v>1.6227745952520714E-3</v>
      </c>
      <c r="AF19" s="142">
        <f>'Evolutive SFP'!AD14/(CAELS!AF3*1000000)</f>
        <v>0</v>
      </c>
      <c r="AG19" s="142">
        <f>'Evolutive SFP'!AE14/(CAELS!AG3*1000000)</f>
        <v>0</v>
      </c>
      <c r="AH19" s="142">
        <f>'Evolutive SFP'!AF14/(CAELS!AH3*1000000)</f>
        <v>0</v>
      </c>
      <c r="AI19" s="142">
        <f>'Evolutive SFP'!AG14/(CAELS!AI3*1000000)</f>
        <v>0</v>
      </c>
      <c r="AJ19" s="142">
        <f>'Evolutive SFP'!AH14/(CAELS!AJ3*1000000)</f>
        <v>0</v>
      </c>
    </row>
    <row r="20" spans="1:36" ht="15.6">
      <c r="A20" s="325"/>
      <c r="B20" s="147" t="s">
        <v>246</v>
      </c>
      <c r="C20" s="146"/>
      <c r="D20" s="142">
        <f>'Evolutive SFP'!B16/'Evolutive SFP'!B28</f>
        <v>0.74763911512819969</v>
      </c>
      <c r="E20" s="142">
        <f>'Evolutive SFP'!C16/'Evolutive SFP'!C28</f>
        <v>0.87257162104410779</v>
      </c>
      <c r="F20" s="142">
        <f>'Evolutive SFP'!D16/'Evolutive SFP'!D28</f>
        <v>0.87087395484981689</v>
      </c>
      <c r="G20" s="142">
        <f>'Evolutive SFP'!E16/'Evolutive SFP'!E28</f>
        <v>0.87072262779880272</v>
      </c>
      <c r="H20" s="142">
        <f>'Evolutive SFP'!F16/'Evolutive SFP'!F28</f>
        <v>0.8516017853889678</v>
      </c>
      <c r="I20" s="142">
        <f>'Evolutive SFP'!G16/'Evolutive SFP'!G28</f>
        <v>0.87156624964121854</v>
      </c>
      <c r="J20" s="142">
        <f>'Evolutive SFP'!H16/'Evolutive SFP'!H28</f>
        <v>0.87822969108965487</v>
      </c>
      <c r="K20" s="142">
        <f>'Evolutive SFP'!I16/'Evolutive SFP'!I28</f>
        <v>0.87096196085659427</v>
      </c>
      <c r="L20" s="142">
        <f>'Evolutive SFP'!J16/'Evolutive SFP'!J28</f>
        <v>0.90540646000114167</v>
      </c>
      <c r="M20" s="142">
        <f>'Evolutive SFP'!K16/'Evolutive SFP'!K28</f>
        <v>0.90241779553758295</v>
      </c>
      <c r="N20" s="142">
        <f>'Evolutive SFP'!L16/'Evolutive SFP'!L28</f>
        <v>0.86173805234344314</v>
      </c>
      <c r="O20" s="142">
        <f>'Evolutive SFP'!M16/'Evolutive SFP'!M28</f>
        <v>0.85727273115407643</v>
      </c>
      <c r="P20" s="142">
        <f>'Evolutive SFP'!N16/'Evolutive SFP'!N28</f>
        <v>0.87458755679592259</v>
      </c>
      <c r="Q20" s="142">
        <f>'Evolutive SFP'!O16/'Evolutive SFP'!O28</f>
        <v>0.88594390694991232</v>
      </c>
      <c r="R20" s="142">
        <f>'Evolutive SFP'!P16/'Evolutive SFP'!P28</f>
        <v>0.89930570421989198</v>
      </c>
      <c r="S20" s="142">
        <f>'Evolutive SFP'!Q16/'Evolutive SFP'!Q28</f>
        <v>0.87725103894224632</v>
      </c>
      <c r="T20" s="142">
        <f>'Evolutive SFP'!R16/'Evolutive SFP'!R28</f>
        <v>0.86337886120036944</v>
      </c>
      <c r="U20" s="142">
        <f>'Evolutive SFP'!S16/'Evolutive SFP'!S28</f>
        <v>0.87141243233063947</v>
      </c>
      <c r="V20" s="142">
        <f>'Evolutive SFP'!T16/'Evolutive SFP'!T28</f>
        <v>0.91744290330594891</v>
      </c>
      <c r="W20" s="142">
        <f>'Evolutive SFP'!U16/'Evolutive SFP'!U28</f>
        <v>0.90405642720241208</v>
      </c>
      <c r="X20" s="142">
        <f>'Evolutive SFP'!V16/'Evolutive SFP'!V28</f>
        <v>0.86084154696480586</v>
      </c>
      <c r="Y20" s="142">
        <f>'Evolutive SFP'!W16/'Evolutive SFP'!W28</f>
        <v>0.86727627669688323</v>
      </c>
      <c r="Z20" s="142">
        <f>'Evolutive SFP'!X16/'Evolutive SFP'!X28</f>
        <v>0.86452636005187011</v>
      </c>
      <c r="AA20" s="142">
        <f>'Evolutive SFP'!Y16/'Evolutive SFP'!Y28</f>
        <v>0.85904273144733756</v>
      </c>
      <c r="AB20" s="142">
        <f>'Evolutive SFP'!Z16/'Evolutive SFP'!Z28</f>
        <v>0.87052333585773445</v>
      </c>
      <c r="AC20" s="142">
        <f>'Evolutive SFP'!AA16/'Evolutive SFP'!AA28</f>
        <v>0.91936692708740586</v>
      </c>
      <c r="AD20" s="142">
        <f>'Evolutive SFP'!AB16/'Evolutive SFP'!AB28</f>
        <v>0.8930187589159192</v>
      </c>
      <c r="AE20" s="142">
        <f>'Evolutive SFP'!AC16/'Evolutive SFP'!AC28</f>
        <v>0.89623824173552769</v>
      </c>
      <c r="AF20" s="142">
        <f>'Evolutive SFP'!AD16/'Evolutive SFP'!AD28</f>
        <v>0.89623760323111545</v>
      </c>
      <c r="AG20" s="142">
        <f>'Evolutive SFP'!AE16/'Evolutive SFP'!AE28</f>
        <v>0.89663213472472636</v>
      </c>
      <c r="AH20" s="142">
        <f>'Evolutive SFP'!AF16/'Evolutive SFP'!AF28</f>
        <v>0.88923419655814018</v>
      </c>
      <c r="AI20" s="142">
        <f>'Evolutive SFP'!AG16/'Evolutive SFP'!AG28</f>
        <v>0.89382478658099351</v>
      </c>
      <c r="AJ20" s="142">
        <f>'Evolutive SFP'!AH16/'Evolutive SFP'!AH28</f>
        <v>0.92948056780184118</v>
      </c>
    </row>
    <row r="21" spans="1:36" ht="15.6">
      <c r="A21" s="324" t="s">
        <v>247</v>
      </c>
      <c r="B21" s="148" t="s">
        <v>248</v>
      </c>
      <c r="C21" s="141"/>
      <c r="D21" s="142">
        <f>'Evolutive SFP'!B32/'Evolutive SFP'!B28</f>
        <v>0.85159482956904442</v>
      </c>
      <c r="E21" s="142">
        <f>'Evolutive SFP'!C32/'Evolutive SFP'!C28</f>
        <v>0.70240731573720727</v>
      </c>
      <c r="F21" s="142">
        <f>'Evolutive SFP'!D32/'Evolutive SFP'!D28</f>
        <v>0.69791141427412751</v>
      </c>
      <c r="G21" s="142">
        <f>'Evolutive SFP'!E32/'Evolutive SFP'!E28</f>
        <v>0.70124012437311656</v>
      </c>
      <c r="H21" s="142">
        <f>'Evolutive SFP'!F32/'Evolutive SFP'!F28</f>
        <v>0.72528311505349763</v>
      </c>
      <c r="I21" s="142">
        <f>'Evolutive SFP'!G32/'Evolutive SFP'!G28</f>
        <v>0.72872685691080208</v>
      </c>
      <c r="J21" s="142">
        <f>'Evolutive SFP'!H32/'Evolutive SFP'!H28</f>
        <v>0.7294993226874581</v>
      </c>
      <c r="K21" s="142">
        <f>'Evolutive SFP'!I32/'Evolutive SFP'!I28</f>
        <v>0.73250942520415263</v>
      </c>
      <c r="L21" s="142">
        <f>'Evolutive SFP'!J32/'Evolutive SFP'!J28</f>
        <v>0.73341754498533152</v>
      </c>
      <c r="M21" s="142">
        <f>'Evolutive SFP'!K32/'Evolutive SFP'!K28</f>
        <v>0.72800190556455291</v>
      </c>
      <c r="N21" s="142">
        <f>'Evolutive SFP'!L32/'Evolutive SFP'!L28</f>
        <v>0.71649398386529184</v>
      </c>
      <c r="O21" s="142">
        <f>'Evolutive SFP'!M32/'Evolutive SFP'!M28</f>
        <v>0.71326882476479958</v>
      </c>
      <c r="P21" s="142">
        <f>'Evolutive SFP'!N32/'Evolutive SFP'!N28</f>
        <v>0.71547163302807781</v>
      </c>
      <c r="Q21" s="142">
        <f>'Evolutive SFP'!O32/'Evolutive SFP'!O28</f>
        <v>0.71194476059612377</v>
      </c>
      <c r="R21" s="142">
        <f>'Evolutive SFP'!P32/'Evolutive SFP'!P28</f>
        <v>0.7172162603616058</v>
      </c>
      <c r="S21" s="142">
        <f>'Evolutive SFP'!Q32/'Evolutive SFP'!Q28</f>
        <v>0.69319341972605197</v>
      </c>
      <c r="T21" s="142">
        <f>'Evolutive SFP'!R32/'Evolutive SFP'!R28</f>
        <v>0.71371706193722284</v>
      </c>
      <c r="U21" s="142">
        <f>'Evolutive SFP'!S32/'Evolutive SFP'!S28</f>
        <v>0.72593428994544495</v>
      </c>
      <c r="V21" s="142">
        <f>'Evolutive SFP'!T32/'Evolutive SFP'!T28</f>
        <v>0.73462017314891404</v>
      </c>
      <c r="W21" s="142">
        <f>'Evolutive SFP'!U32/'Evolutive SFP'!U28</f>
        <v>0.74661103680764296</v>
      </c>
      <c r="X21" s="142">
        <f>'Evolutive SFP'!V32/'Evolutive SFP'!V28</f>
        <v>0.70685983261411434</v>
      </c>
      <c r="Y21" s="142">
        <f>'Evolutive SFP'!W32/'Evolutive SFP'!W28</f>
        <v>0.70181171454370217</v>
      </c>
      <c r="Z21" s="142">
        <f>'Evolutive SFP'!X32/'Evolutive SFP'!X28</f>
        <v>0.69098193443860878</v>
      </c>
      <c r="AA21" s="142">
        <f>'Evolutive SFP'!Y32/'Evolutive SFP'!Y28</f>
        <v>0.70161096225188713</v>
      </c>
      <c r="AB21" s="142">
        <f>'Evolutive SFP'!Z32/'Evolutive SFP'!Z28</f>
        <v>0.68940753488711959</v>
      </c>
      <c r="AC21" s="142">
        <f>'Evolutive SFP'!AA32/'Evolutive SFP'!AA28</f>
        <v>0.70873502509466668</v>
      </c>
      <c r="AD21" s="142">
        <f>'Evolutive SFP'!AB32/'Evolutive SFP'!AB28</f>
        <v>0.66808266200507038</v>
      </c>
      <c r="AE21" s="142">
        <f>'Evolutive SFP'!AC32/'Evolutive SFP'!AC28</f>
        <v>0.67049121291487068</v>
      </c>
      <c r="AF21" s="142">
        <f>'Evolutive SFP'!AD32/'Evolutive SFP'!AD28</f>
        <v>0.66517361415667897</v>
      </c>
      <c r="AG21" s="142">
        <f>'Evolutive SFP'!AE32/'Evolutive SFP'!AE28</f>
        <v>0.66742682979885559</v>
      </c>
      <c r="AH21" s="142">
        <f>'Evolutive SFP'!AF32/'Evolutive SFP'!AF28</f>
        <v>0.67366470899380426</v>
      </c>
      <c r="AI21" s="142">
        <f>'Evolutive SFP'!AG32/'Evolutive SFP'!AG28</f>
        <v>0.68399559753004091</v>
      </c>
      <c r="AJ21" s="142">
        <f>'Evolutive SFP'!AH32/'Evolutive SFP'!AH28</f>
        <v>0.6892976719765882</v>
      </c>
    </row>
    <row r="22" spans="1:36" ht="15.6">
      <c r="A22" s="324"/>
      <c r="B22" s="148" t="s">
        <v>249</v>
      </c>
      <c r="C22" s="141"/>
      <c r="D22" s="142">
        <f>'Evolutive SFP'!B31/'Evolutive SFP'!B28</f>
        <v>0.74257767546849374</v>
      </c>
      <c r="E22" s="142">
        <f>'Evolutive SFP'!C31/'Evolutive SFP'!C28</f>
        <v>0.53737441546755893</v>
      </c>
      <c r="F22" s="142">
        <f>'Evolutive SFP'!D31/'Evolutive SFP'!D28</f>
        <v>0.55562239142550029</v>
      </c>
      <c r="G22" s="142">
        <f>'Evolutive SFP'!E31/'Evolutive SFP'!E28</f>
        <v>0.56086270403853222</v>
      </c>
      <c r="H22" s="142">
        <f>'Evolutive SFP'!F31/'Evolutive SFP'!F28</f>
        <v>0.56075598066883559</v>
      </c>
      <c r="I22" s="142">
        <f>'Evolutive SFP'!G31/'Evolutive SFP'!G28</f>
        <v>0.55531860460812854</v>
      </c>
      <c r="J22" s="142">
        <f>'Evolutive SFP'!H31/'Evolutive SFP'!H28</f>
        <v>0.55883774214438831</v>
      </c>
      <c r="K22" s="142">
        <f>'Evolutive SFP'!I31/'Evolutive SFP'!I28</f>
        <v>0.56194950629275187</v>
      </c>
      <c r="L22" s="142">
        <f>'Evolutive SFP'!J31/'Evolutive SFP'!J28</f>
        <v>0.55889321332247965</v>
      </c>
      <c r="M22" s="142">
        <f>'Evolutive SFP'!K31/'Evolutive SFP'!K28</f>
        <v>0.56277827691737403</v>
      </c>
      <c r="N22" s="142">
        <f>'Evolutive SFP'!L31/'Evolutive SFP'!L28</f>
        <v>0.54186854251940819</v>
      </c>
      <c r="O22" s="142">
        <f>'Evolutive SFP'!M31/'Evolutive SFP'!M28</f>
        <v>0.54829851810459884</v>
      </c>
      <c r="P22" s="142">
        <f>'Evolutive SFP'!N31/'Evolutive SFP'!N28</f>
        <v>0.54807746498183563</v>
      </c>
      <c r="Q22" s="142">
        <f>'Evolutive SFP'!O31/'Evolutive SFP'!O28</f>
        <v>0.53524087257875019</v>
      </c>
      <c r="R22" s="142">
        <f>'Evolutive SFP'!P31/'Evolutive SFP'!P28</f>
        <v>0.53920399222235948</v>
      </c>
      <c r="S22" s="142">
        <f>'Evolutive SFP'!Q31/'Evolutive SFP'!Q28</f>
        <v>0.53872839824255792</v>
      </c>
      <c r="T22" s="142">
        <f>'Evolutive SFP'!R31/'Evolutive SFP'!R28</f>
        <v>0.52908598866975298</v>
      </c>
      <c r="U22" s="142">
        <f>'Evolutive SFP'!S31/'Evolutive SFP'!S28</f>
        <v>0.5349967062418135</v>
      </c>
      <c r="V22" s="142">
        <f>'Evolutive SFP'!T31/'Evolutive SFP'!T28</f>
        <v>0.54820032097219673</v>
      </c>
      <c r="W22" s="142">
        <f>'Evolutive SFP'!U31/'Evolutive SFP'!U28</f>
        <v>0.53219394220401861</v>
      </c>
      <c r="X22" s="142">
        <f>'Evolutive SFP'!V31/'Evolutive SFP'!V28</f>
        <v>0.50521430730718009</v>
      </c>
      <c r="Y22" s="142">
        <f>'Evolutive SFP'!W31/'Evolutive SFP'!W28</f>
        <v>0.51364727628657503</v>
      </c>
      <c r="Z22" s="142">
        <f>'Evolutive SFP'!X31/'Evolutive SFP'!X28</f>
        <v>0.50741469962492591</v>
      </c>
      <c r="AA22" s="142">
        <f>'Evolutive SFP'!Y31/'Evolutive SFP'!Y28</f>
        <v>0.49534485754424229</v>
      </c>
      <c r="AB22" s="142">
        <f>'Evolutive SFP'!Z31/'Evolutive SFP'!Z28</f>
        <v>0.49323588545627678</v>
      </c>
      <c r="AC22" s="142">
        <f>'Evolutive SFP'!AA31/'Evolutive SFP'!AA28</f>
        <v>0.48455478560466153</v>
      </c>
      <c r="AD22" s="142">
        <f>'Evolutive SFP'!AB31/'Evolutive SFP'!AB28</f>
        <v>0.48063942074310817</v>
      </c>
      <c r="AE22" s="142">
        <f>'Evolutive SFP'!AC31/'Evolutive SFP'!AC28</f>
        <v>0.4823722070360254</v>
      </c>
      <c r="AF22" s="142">
        <f>'Evolutive SFP'!AD31/'Evolutive SFP'!AD28</f>
        <v>0.48827756385354432</v>
      </c>
      <c r="AG22" s="142">
        <f>'Evolutive SFP'!AE31/'Evolutive SFP'!AE28</f>
        <v>0.50194730951776889</v>
      </c>
      <c r="AH22" s="142">
        <f>'Evolutive SFP'!AF31/'Evolutive SFP'!AF28</f>
        <v>0.50184988337397252</v>
      </c>
      <c r="AI22" s="142">
        <f>'Evolutive SFP'!AG31/'Evolutive SFP'!AG28</f>
        <v>0.51611796152970024</v>
      </c>
      <c r="AJ22" s="142">
        <f>'Evolutive SFP'!AH31/'Evolutive SFP'!AH28</f>
        <v>0.52192834320281334</v>
      </c>
    </row>
    <row r="23" spans="1:36" ht="15.6">
      <c r="A23" s="324"/>
      <c r="B23" s="148" t="s">
        <v>250</v>
      </c>
      <c r="C23" s="141"/>
      <c r="D23" s="142">
        <f>('Evolutive SFP'!B29+'Evolutive SFP'!B30)/'Evolutive SFP'!B28</f>
        <v>0.10901715410055068</v>
      </c>
      <c r="E23" s="142">
        <f>('Evolutive SFP'!C29+'Evolutive SFP'!C30)/'Evolutive SFP'!C28</f>
        <v>0.16503290026964842</v>
      </c>
      <c r="F23" s="142">
        <f>('Evolutive SFP'!D29+'Evolutive SFP'!D30)/'Evolutive SFP'!D28</f>
        <v>0.14228902284862716</v>
      </c>
      <c r="G23" s="142">
        <f>('Evolutive SFP'!E29+'Evolutive SFP'!E30)/'Evolutive SFP'!E28</f>
        <v>0.14037742033458431</v>
      </c>
      <c r="H23" s="142">
        <f>('Evolutive SFP'!F29+'Evolutive SFP'!F30)/'Evolutive SFP'!F28</f>
        <v>0.16452713438466202</v>
      </c>
      <c r="I23" s="142">
        <f>('Evolutive SFP'!G29+'Evolutive SFP'!G30)/'Evolutive SFP'!G28</f>
        <v>0.17340825230267359</v>
      </c>
      <c r="J23" s="142">
        <f>('Evolutive SFP'!H29+'Evolutive SFP'!H30)/'Evolutive SFP'!H28</f>
        <v>0.17066158054306979</v>
      </c>
      <c r="K23" s="142">
        <f>('Evolutive SFP'!I29+'Evolutive SFP'!I30)/'Evolutive SFP'!I28</f>
        <v>0.17055991891140074</v>
      </c>
      <c r="L23" s="142">
        <f>('Evolutive SFP'!J29+'Evolutive SFP'!J30)/'Evolutive SFP'!J28</f>
        <v>0.17452433166285189</v>
      </c>
      <c r="M23" s="142">
        <f>('Evolutive SFP'!K29+'Evolutive SFP'!K30)/'Evolutive SFP'!K28</f>
        <v>0.16522362864717882</v>
      </c>
      <c r="N23" s="142">
        <f>('Evolutive SFP'!L29+'Evolutive SFP'!L30)/'Evolutive SFP'!L28</f>
        <v>0.17462544134588362</v>
      </c>
      <c r="O23" s="142">
        <f>('Evolutive SFP'!M29+'Evolutive SFP'!M30)/'Evolutive SFP'!M28</f>
        <v>0.16497030666020082</v>
      </c>
      <c r="P23" s="142">
        <f>('Evolutive SFP'!N29+'Evolutive SFP'!N30)/'Evolutive SFP'!N28</f>
        <v>0.16739416804624219</v>
      </c>
      <c r="Q23" s="142">
        <f>('Evolutive SFP'!O29+'Evolutive SFP'!O30)/'Evolutive SFP'!O28</f>
        <v>0.17670388801737369</v>
      </c>
      <c r="R23" s="142">
        <f>('Evolutive SFP'!P29+'Evolutive SFP'!P30)/'Evolutive SFP'!P28</f>
        <v>0.17801226813924623</v>
      </c>
      <c r="S23" s="142">
        <f>('Evolutive SFP'!Q29+'Evolutive SFP'!Q30)/'Evolutive SFP'!Q28</f>
        <v>0.15446502148349414</v>
      </c>
      <c r="T23" s="142">
        <f>('Evolutive SFP'!R29+'Evolutive SFP'!R30)/'Evolutive SFP'!R28</f>
        <v>0.1846310732674698</v>
      </c>
      <c r="U23" s="142">
        <f>('Evolutive SFP'!S29+'Evolutive SFP'!S30)/'Evolutive SFP'!S28</f>
        <v>0.1909375837036314</v>
      </c>
      <c r="V23" s="142">
        <f>('Evolutive SFP'!T29+'Evolutive SFP'!T30)/'Evolutive SFP'!T28</f>
        <v>0.18641985217671725</v>
      </c>
      <c r="W23" s="142">
        <f>('Evolutive SFP'!U29+'Evolutive SFP'!U30)/'Evolutive SFP'!U28</f>
        <v>0.21441709460362435</v>
      </c>
      <c r="X23" s="142">
        <f>('Evolutive SFP'!V29+'Evolutive SFP'!V30)/'Evolutive SFP'!V28</f>
        <v>0.20164552530693425</v>
      </c>
      <c r="Y23" s="142">
        <f>('Evolutive SFP'!W29+'Evolutive SFP'!W30)/'Evolutive SFP'!W28</f>
        <v>0.18816443825712717</v>
      </c>
      <c r="Z23" s="142">
        <f>('Evolutive SFP'!X29+'Evolutive SFP'!X30)/'Evolutive SFP'!X28</f>
        <v>0.18356723481368281</v>
      </c>
      <c r="AA23" s="142">
        <f>('Evolutive SFP'!Y29+'Evolutive SFP'!Y30)/'Evolutive SFP'!Y28</f>
        <v>0.20626610470764484</v>
      </c>
      <c r="AB23" s="142">
        <f>('Evolutive SFP'!Z29+'Evolutive SFP'!Z30)/'Evolutive SFP'!Z28</f>
        <v>0.19617164943084281</v>
      </c>
      <c r="AC23" s="142">
        <f>('Evolutive SFP'!AA29+'Evolutive SFP'!AA30)/'Evolutive SFP'!AA28</f>
        <v>0.22418023949000523</v>
      </c>
      <c r="AD23" s="142">
        <f>('Evolutive SFP'!AB29+'Evolutive SFP'!AB30)/'Evolutive SFP'!AB28</f>
        <v>0.18744324126196218</v>
      </c>
      <c r="AE23" s="142">
        <f>('Evolutive SFP'!AC29+'Evolutive SFP'!AC30)/'Evolutive SFP'!AC28</f>
        <v>0.18811900587884525</v>
      </c>
      <c r="AF23" s="142">
        <f>('Evolutive SFP'!AD29+'Evolutive SFP'!AD30)/'Evolutive SFP'!AD28</f>
        <v>0.17689605030313468</v>
      </c>
      <c r="AG23" s="142">
        <f>('Evolutive SFP'!AE29+'Evolutive SFP'!AE30)/'Evolutive SFP'!AE28</f>
        <v>0.16547952028108659</v>
      </c>
      <c r="AH23" s="142">
        <f>('Evolutive SFP'!AF29+'Evolutive SFP'!AF30)/'Evolutive SFP'!AF28</f>
        <v>0.17181482561983166</v>
      </c>
      <c r="AI23" s="142">
        <f>('Evolutive SFP'!AG29+'Evolutive SFP'!AG30)/'Evolutive SFP'!AG28</f>
        <v>0.16787763600034061</v>
      </c>
      <c r="AJ23" s="142">
        <f>('Evolutive SFP'!AH29+'Evolutive SFP'!AH30)/'Evolutive SFP'!AH28</f>
        <v>0.16736932877377475</v>
      </c>
    </row>
    <row r="24" spans="1:36" ht="15.6">
      <c r="A24" s="323" t="s">
        <v>251</v>
      </c>
      <c r="B24" s="148" t="s">
        <v>29</v>
      </c>
      <c r="C24" s="141"/>
      <c r="D24" s="142" t="e">
        <f>(Financials!C4-Financials!B4)/Financials!B4</f>
        <v>#VALUE!</v>
      </c>
      <c r="E24" s="142">
        <f>(Financials!D4-Financials!C4)/Financials!C4</f>
        <v>1.8167228991094033</v>
      </c>
      <c r="F24" s="142">
        <f>(Financials!E4-Financials!D4)/Financials!D4</f>
        <v>-4.5398245114268172E-3</v>
      </c>
      <c r="G24" s="142">
        <f>(Financials!F4-Financials!E4)/Financials!E4</f>
        <v>6.1848976422242512E-3</v>
      </c>
      <c r="H24" s="142">
        <f>(Financials!G4-Financials!F4)/Financials!F4</f>
        <v>3.219479157631442E-2</v>
      </c>
      <c r="I24" s="142">
        <f>(Financials!H4-Financials!G4)/Financials!G4</f>
        <v>2.704766072953772E-2</v>
      </c>
      <c r="J24" s="142">
        <f>(Financials!I4-Financials!H4)/Financials!H4</f>
        <v>1.6916971595485275E-2</v>
      </c>
      <c r="K24" s="142">
        <f>(Financials!J4-Financials!I4)/Financials!I4</f>
        <v>1.6454222267642631E-2</v>
      </c>
      <c r="L24" s="142">
        <f>(Financials!K4-Financials!J4)/Financials!J4</f>
        <v>1.6423409830999155E-2</v>
      </c>
      <c r="M24" s="142">
        <f>(Financials!L4-Financials!K4)/Financials!K4</f>
        <v>1.0127564445500066E-2</v>
      </c>
      <c r="N24" s="142">
        <f>(Financials!M4-Financials!L4)/Financials!L4</f>
        <v>6.0801490176842742E-2</v>
      </c>
      <c r="O24" s="142">
        <f>(Financials!N4-Financials!M4)/Financials!M4</f>
        <v>9.7418467939583905E-3</v>
      </c>
      <c r="P24" s="142">
        <f>(Financials!O4-Financials!N4)/Financials!N4</f>
        <v>2.1788180648118802E-2</v>
      </c>
      <c r="Q24" s="142">
        <f>(Financials!P4-Financials!O4)/Financials!O4</f>
        <v>2.1216374407079876E-2</v>
      </c>
      <c r="R24" s="142">
        <f>(Financials!Q4-Financials!P4)/Financials!P4</f>
        <v>-7.3499457510314793E-3</v>
      </c>
      <c r="S24" s="142">
        <f>(Financials!R4-Financials!Q4)/Financials!Q4</f>
        <v>1.9506207051237397E-2</v>
      </c>
      <c r="T24" s="142">
        <f>(Financials!S4-Financials!R4)/Financials!R4</f>
        <v>4.0934207266871192E-2</v>
      </c>
      <c r="U24" s="142">
        <f>(Financials!T4-Financials!S4)/Financials!S4</f>
        <v>-1.7911713672789681E-4</v>
      </c>
      <c r="V24" s="142">
        <f>(Financials!U4-Financials!T4)/Financials!T4</f>
        <v>-5.4703371089076698E-3</v>
      </c>
      <c r="W24" s="142">
        <f>(Financials!V4-Financials!U4)/Financials!U4</f>
        <v>5.9906099718942417E-2</v>
      </c>
      <c r="X24" s="142">
        <f>(Financials!W4-Financials!V4)/Financials!V4</f>
        <v>6.4030845088072774E-2</v>
      </c>
      <c r="Y24" s="142">
        <f>(Financials!X4-Financials!W4)/Financials!W4</f>
        <v>-5.3404455162543623E-3</v>
      </c>
      <c r="Z24" s="142">
        <f>(Financials!Y4-Financials!X4)/Financials!X4</f>
        <v>-1.8214857393914607E-3</v>
      </c>
      <c r="AA24" s="142">
        <f>(Financials!Z4-Financials!Y4)/Financials!Y4</f>
        <v>3.5921569023865188E-2</v>
      </c>
      <c r="AB24" s="142">
        <f>(Financials!AA4-Financials!Z4)/Financials!Z4</f>
        <v>4.8999869788083497E-3</v>
      </c>
      <c r="AC24" s="142">
        <f>(Financials!AB4-Financials!AA4)/Financials!AA4</f>
        <v>3.5788354100740064E-2</v>
      </c>
      <c r="AD24" s="142">
        <f>(Financials!AC4-Financials!AB4)/Financials!AB4</f>
        <v>-1.3537930764867964E-2</v>
      </c>
      <c r="AE24" s="142">
        <f>(Financials!AD4-Financials!AC4)/Financials!AC4</f>
        <v>-3.5922182554416625E-3</v>
      </c>
      <c r="AF24" s="142">
        <f>(Financials!AE4-Financials!AD4)/Financials!AD4</f>
        <v>-1.1798334536706742E-4</v>
      </c>
      <c r="AG24" s="142">
        <f>(Financials!AF4-Financials!AE4)/Financials!AE4</f>
        <v>-8.1279921782153198E-3</v>
      </c>
      <c r="AH24" s="142">
        <f>(Financials!AG4-Financials!AF4)/Financials!AF4</f>
        <v>1.8907694134440062E-2</v>
      </c>
      <c r="AI24" s="142">
        <f>(Financials!AH4-Financials!AG4)/Financials!AG4</f>
        <v>6.4106256329204154E-3</v>
      </c>
      <c r="AJ24" s="142">
        <f>(Financials!AI4-Financials!AH4)/Financials!AH4</f>
        <v>1.3125670921193204E-2</v>
      </c>
    </row>
    <row r="25" spans="1:36" ht="15.6">
      <c r="A25" s="323"/>
      <c r="B25" s="148" t="s">
        <v>94</v>
      </c>
      <c r="C25" s="141" t="e">
        <f ca="1">IF(CAELS!D16&lt;6%,"1",_xludf.IF)</f>
        <v>#NAME?</v>
      </c>
      <c r="D25" s="142">
        <f>Financials!D5/Financials!C5-1</f>
        <v>1.323272408476444</v>
      </c>
      <c r="E25" s="142">
        <f>Financials!E5/Financials!D5-1</f>
        <v>-1.0911470647713917E-2</v>
      </c>
      <c r="F25" s="142">
        <f>Financials!F5/Financials!E5-1</f>
        <v>1.0983927664846016E-2</v>
      </c>
      <c r="G25" s="142">
        <f>Financials!G5/Financials!F5-1</f>
        <v>6.7585022242867776E-2</v>
      </c>
      <c r="H25" s="142">
        <f>Financials!H5/Financials!G5-1</f>
        <v>3.1924221268852193E-2</v>
      </c>
      <c r="I25" s="142">
        <f>Financials!I5/Financials!H5-1</f>
        <v>1.7994924947703161E-2</v>
      </c>
      <c r="J25" s="142">
        <f>Financials!J5/Financials!I5-1</f>
        <v>2.0648374773886147E-2</v>
      </c>
      <c r="K25" s="142">
        <f>Financials!K5/Financials!J5-1</f>
        <v>1.7683508572067907E-2</v>
      </c>
      <c r="L25" s="142">
        <f>Financials!L5/Financials!K5-1</f>
        <v>2.6686664474497857E-3</v>
      </c>
      <c r="M25" s="142">
        <f>Financials!M5/Financials!L5-1</f>
        <v>4.4032824608656096E-2</v>
      </c>
      <c r="N25" s="142">
        <f>Financials!N5/Financials!M5-1</f>
        <v>5.1966891517867264E-3</v>
      </c>
      <c r="O25" s="142">
        <f>Financials!O5/Financials!N5-1</f>
        <v>2.4943797954670721E-2</v>
      </c>
      <c r="P25" s="142">
        <f>Financials!P5/Financials!O5-1</f>
        <v>1.6182352495249575E-2</v>
      </c>
      <c r="Q25" s="142">
        <f>Financials!Q5/Financials!P5-1</f>
        <v>-1.1797735011143118E-9</v>
      </c>
      <c r="R25" s="142">
        <f>Financials!R5/Financials!Q5-1</f>
        <v>-1.4641701316876921E-2</v>
      </c>
      <c r="S25" s="142">
        <f>Financials!S5/Financials!R5-1</f>
        <v>7.1753543728196645E-2</v>
      </c>
      <c r="T25" s="142">
        <f>Financials!T5/Financials!S5-1</f>
        <v>1.693556365872273E-2</v>
      </c>
      <c r="U25" s="142">
        <f>Financials!U5/Financials!T5-1</f>
        <v>6.4293191188022902E-3</v>
      </c>
      <c r="V25" s="142">
        <f>Financials!V5/Financials!U5-1</f>
        <v>7.7206454374747491E-2</v>
      </c>
      <c r="W25" s="142">
        <f>Financials!W5/Financials!V5-1</f>
        <v>7.3795162084997479E-3</v>
      </c>
      <c r="X25" s="142">
        <f>Financials!X5/Financials!W5-1</f>
        <v>-1.2443917292728424E-2</v>
      </c>
      <c r="Y25" s="142">
        <f>Financials!Y5/Financials!X5-1</f>
        <v>-1.7224554099542266E-2</v>
      </c>
      <c r="Z25" s="142">
        <f>Financials!Z5/Financials!Y5-1</f>
        <v>5.1856629870970394E-2</v>
      </c>
      <c r="AA25" s="142">
        <f>Financials!AA5/Financials!Z5-1</f>
        <v>-1.2578679489845035E-2</v>
      </c>
      <c r="AB25" s="142">
        <f>Financials!AB5/Financials!AA5-1</f>
        <v>6.4826605436724138E-2</v>
      </c>
      <c r="AC25" s="142">
        <f>Financials!AC5/Financials!AB5-1</f>
        <v>-7.0120451442895249E-2</v>
      </c>
      <c r="AD25" s="142">
        <f>Financials!AD5/Financials!AC5-1</f>
        <v>2.0155321855952479E-10</v>
      </c>
      <c r="AE25" s="142">
        <f>Financials!AE5/Financials!AD5-1</f>
        <v>-8.0479476278011441E-3</v>
      </c>
      <c r="AF25" s="142">
        <f>Financials!AF5/Financials!AE5-1</f>
        <v>-4.7681151844554126E-3</v>
      </c>
      <c r="AG25" s="142">
        <f>Financials!AG5/Financials!AF5-1</f>
        <v>2.8430570385503895E-2</v>
      </c>
      <c r="AH25" s="142">
        <f>Financials!AH5/Financials!AG5-1</f>
        <v>2.1844291455533016E-2</v>
      </c>
      <c r="AI25" s="142">
        <f>Financials!AI5/Financials!AH5-1</f>
        <v>2.0979036864380296E-2</v>
      </c>
      <c r="AJ25" s="142">
        <f>Financials!AJ5/Financials!AI5-1</f>
        <v>8.1415336709578234E-4</v>
      </c>
    </row>
    <row r="26" spans="1:36" ht="15.6">
      <c r="A26" s="323"/>
      <c r="B26" s="149" t="s">
        <v>252</v>
      </c>
      <c r="C26" s="141"/>
      <c r="D26" s="142">
        <f>Financials!D6/Financials!C6-1</f>
        <v>1.0383521770810686</v>
      </c>
      <c r="E26" s="142">
        <f>Financials!E6/Financials!D6-1</f>
        <v>2.9263670456971536E-2</v>
      </c>
      <c r="F26" s="142">
        <f>Financials!F6/Financials!E6-1</f>
        <v>1.5674658118991713E-2</v>
      </c>
      <c r="G26" s="142">
        <f>Financials!G6/Financials!F6-1</f>
        <v>3.1998381108035545E-2</v>
      </c>
      <c r="H26" s="142">
        <f>Financials!H6/Financials!G6-1</f>
        <v>1.7088882658200522E-2</v>
      </c>
      <c r="I26" s="142">
        <f>Financials!I6/Financials!H6-1</f>
        <v>2.3361327423481848E-2</v>
      </c>
      <c r="J26" s="142">
        <f>Financials!J6/Financials!I6-1</f>
        <v>2.2114122393872782E-2</v>
      </c>
      <c r="K26" s="142">
        <f>Financials!K6/Financials!J6-1</f>
        <v>1.0895354930158474E-2</v>
      </c>
      <c r="L26" s="142">
        <f>Financials!L6/Financials!K6-1</f>
        <v>1.7149316961507344E-2</v>
      </c>
      <c r="M26" s="142">
        <f>Financials!M6/Financials!L6-1</f>
        <v>2.138796211733518E-2</v>
      </c>
      <c r="N26" s="142">
        <f>Financials!N6/Financials!M6-1</f>
        <v>2.1723748145978439E-2</v>
      </c>
      <c r="O26" s="142">
        <f>Financials!O6/Financials!N6-1</f>
        <v>2.1376234489818957E-2</v>
      </c>
      <c r="P26" s="142">
        <f>Financials!P6/Financials!O6-1</f>
        <v>-2.7016649052185038E-3</v>
      </c>
      <c r="Q26" s="142">
        <f>Financials!Q6/Financials!P6-1</f>
        <v>-8.3694018382374225E-10</v>
      </c>
      <c r="R26" s="142">
        <f>Financials!R6/Financials!Q6-1</f>
        <v>1.8606972213517592E-2</v>
      </c>
      <c r="S26" s="142">
        <f>Financials!S6/Financials!R6-1</f>
        <v>2.2303086283545825E-2</v>
      </c>
      <c r="T26" s="142">
        <f>Financials!T6/Financials!S6-1</f>
        <v>1.0990445066405119E-2</v>
      </c>
      <c r="U26" s="142">
        <f>Financials!U6/Financials!T6-1</f>
        <v>1.9074461678725729E-2</v>
      </c>
      <c r="V26" s="142">
        <f>Financials!V6/Financials!U6-1</f>
        <v>2.8958911543793375E-2</v>
      </c>
      <c r="W26" s="142">
        <f>Financials!W6/Financials!V6-1</f>
        <v>1.0089675444984847E-2</v>
      </c>
      <c r="X26" s="142">
        <f>Financials!X6/Financials!W6-1</f>
        <v>1.1262277420727163E-2</v>
      </c>
      <c r="Y26" s="142">
        <f>Financials!Y6/Financials!X6-1</f>
        <v>-1.3933346152857906E-2</v>
      </c>
      <c r="Z26" s="142">
        <f>Financials!Z6/Financials!Y6-1</f>
        <v>1.1280166724455087E-2</v>
      </c>
      <c r="AA26" s="142">
        <f>Financials!AA6/Financials!Z6-1</f>
        <v>6.215413838706052E-4</v>
      </c>
      <c r="AB26" s="142">
        <f>Financials!AB6/Financials!AA6-1</f>
        <v>1.7558167708744854E-2</v>
      </c>
      <c r="AC26" s="142">
        <f>Financials!AC6/Financials!AB6-1</f>
        <v>-2.1508874480383522E-2</v>
      </c>
      <c r="AD26" s="142">
        <f>Financials!AD6/Financials!AC6-1</f>
        <v>9.3385521537925342E-11</v>
      </c>
      <c r="AE26" s="142">
        <f>Financials!AE6/Financials!AD6-1</f>
        <v>1.2122896202912958E-2</v>
      </c>
      <c r="AF26" s="142">
        <f>Financials!AF6/Financials!AE6-1</f>
        <v>1.9640308235551851E-2</v>
      </c>
      <c r="AG26" s="142">
        <f>Financials!AG6/Financials!AF6-1</f>
        <v>1.8709927863674869E-2</v>
      </c>
      <c r="AH26" s="142">
        <f>Financials!AH6/Financials!AG6-1</f>
        <v>3.5023854287563161E-2</v>
      </c>
      <c r="AI26" s="142">
        <f>Financials!AI6/Financials!AH6-1</f>
        <v>2.4531293801345999E-2</v>
      </c>
      <c r="AJ26" s="142">
        <f>Financials!AJ6/Financials!AI6-1</f>
        <v>2.3984917838917763E-2</v>
      </c>
    </row>
    <row r="27" spans="1:36" ht="15.6">
      <c r="A27" s="323"/>
      <c r="B27" s="149" t="s">
        <v>253</v>
      </c>
      <c r="C27" s="141"/>
      <c r="D27" s="142">
        <f>Financials!D7/Financials!C7-1</f>
        <v>3.2640257226601825</v>
      </c>
      <c r="E27" s="142">
        <f>Financials!E7/Financials!D7-1</f>
        <v>-0.14172837401778426</v>
      </c>
      <c r="F27" s="142">
        <f>Financials!F7/Financials!E7-1</f>
        <v>-7.3328392950169352E-3</v>
      </c>
      <c r="G27" s="142">
        <f>Financials!G7/Financials!F7-1</f>
        <v>0.20976757358879539</v>
      </c>
      <c r="H27" s="142">
        <f>Financials!H7/Financials!G7-1</f>
        <v>8.2487338910715025E-2</v>
      </c>
      <c r="I27" s="142">
        <f>Financials!I7/Financials!H7-1</f>
        <v>8.0968090629762735E-4</v>
      </c>
      <c r="J27" s="142">
        <f>Financials!J7/Financials!I7-1</f>
        <v>1.5848729253785665E-2</v>
      </c>
      <c r="K27" s="142">
        <f>Financials!K7/Financials!J7-1</f>
        <v>4.0048666881576489E-2</v>
      </c>
      <c r="L27" s="142">
        <f>Financials!L7/Financials!K7-1</f>
        <v>-4.3703877825838622E-2</v>
      </c>
      <c r="M27" s="142">
        <f>Financials!M7/Financials!L7-1</f>
        <v>0.12116487163027356</v>
      </c>
      <c r="N27" s="142">
        <f>Financials!N7/Financials!M7-1</f>
        <v>-4.6087323648940526E-2</v>
      </c>
      <c r="O27" s="142">
        <f>Financials!O7/Financials!N7-1</f>
        <v>3.6801021236987808E-2</v>
      </c>
      <c r="P27" s="142">
        <f>Financials!P7/Financials!O7-1</f>
        <v>7.8011892355099199E-2</v>
      </c>
      <c r="Q27" s="142">
        <f>Financials!Q7/Financials!P7-1</f>
        <v>-2.2182250480895505E-9</v>
      </c>
      <c r="R27" s="142">
        <f>Financials!R7/Financials!Q7-1</f>
        <v>-0.11535283595431056</v>
      </c>
      <c r="S27" s="142">
        <f>Financials!S7/Financials!R7-1</f>
        <v>0.24422214196268555</v>
      </c>
      <c r="T27" s="142">
        <f>Financials!T7/Financials!S7-1</f>
        <v>3.3972126857478413E-2</v>
      </c>
      <c r="U27" s="142">
        <f>Financials!U7/Financials!T7-1</f>
        <v>-2.9001681359436926E-2</v>
      </c>
      <c r="V27" s="142">
        <f>Financials!V7/Financials!U7-1</f>
        <v>0.21908682900875442</v>
      </c>
      <c r="W27" s="142">
        <f>Financials!W7/Financials!V7-1</f>
        <v>6.5276556983495659E-4</v>
      </c>
      <c r="X27" s="142">
        <f>Financials!X7/Financials!W7-1</f>
        <v>-7.183878223117568E-2</v>
      </c>
      <c r="Y27" s="142">
        <f>Financials!Y7/Financials!X7-1</f>
        <v>-2.6208823460775466E-2</v>
      </c>
      <c r="Z27" s="142">
        <f>Financials!Z7/Financials!Y7-1</f>
        <v>0.16401768018165575</v>
      </c>
      <c r="AA27" s="142">
        <f>Financials!AA7/Financials!Z7-1</f>
        <v>-4.4278805584294534E-2</v>
      </c>
      <c r="AB27" s="142">
        <f>Financials!AB7/Financials!AA7-1</f>
        <v>0.1836740016050169</v>
      </c>
      <c r="AC27" s="142">
        <f>Financials!AC7/Financials!AB7-1</f>
        <v>-0.17519203271410966</v>
      </c>
      <c r="AD27" s="142">
        <f>Financials!AD7/Financials!AC7-1</f>
        <v>4.7891579590952915E-10</v>
      </c>
      <c r="AE27" s="142">
        <f>Financials!AE7/Financials!AD7-1</f>
        <v>-5.9769752189467562E-2</v>
      </c>
      <c r="AF27" s="142">
        <f>Financials!AF7/Financials!AE7-1</f>
        <v>-7.2141499183723923E-2</v>
      </c>
      <c r="AG27" s="142">
        <f>Financials!AG7/Financials!AF7-1</f>
        <v>5.7916094348397618E-2</v>
      </c>
      <c r="AH27" s="142">
        <f>Financials!AH7/Financials!AG7-1</f>
        <v>-1.6651583660676428E-2</v>
      </c>
      <c r="AI27" s="142">
        <f>Financials!AI7/Financials!AH7-1</f>
        <v>1.0058084837555548E-2</v>
      </c>
      <c r="AJ27" s="142">
        <f>Financials!AJ7/Financials!AI7-1</f>
        <v>-7.1442088562791217E-2</v>
      </c>
    </row>
    <row r="28" spans="1:36" ht="15.6">
      <c r="A28" s="323"/>
      <c r="B28" s="148" t="s">
        <v>254</v>
      </c>
      <c r="C28" s="141"/>
      <c r="D28" s="142">
        <f>Financials!D31/Financials!C31-1</f>
        <v>2.2874048673690739</v>
      </c>
      <c r="E28" s="142">
        <f>Financials!E31/Financials!D31-1</f>
        <v>-6.4765813883782553E-3</v>
      </c>
      <c r="F28" s="142">
        <f>Financials!F31/Financials!E31-1</f>
        <v>6.0100583414421926E-3</v>
      </c>
      <c r="G28" s="142">
        <f>Financials!G31/Financials!F31-1</f>
        <v>9.5280624528539803E-3</v>
      </c>
      <c r="H28" s="142">
        <f>Financials!H31/Financials!G31-1</f>
        <v>5.1125177545249034E-2</v>
      </c>
      <c r="I28" s="142">
        <f>Financials!I31/Financials!H31-1</f>
        <v>2.4691672257583175E-2</v>
      </c>
      <c r="J28" s="142">
        <f>Financials!J31/Financials!I31-1</f>
        <v>8.0426243034119604E-3</v>
      </c>
      <c r="K28" s="142">
        <f>Financials!K31/Financials!J31-1</f>
        <v>5.6620567507080999E-2</v>
      </c>
      <c r="L28" s="142">
        <f>Financials!L31/Financials!K31-1</f>
        <v>6.7932251306297431E-3</v>
      </c>
      <c r="M28" s="142">
        <f>Financials!M31/Financials!L31-1</f>
        <v>1.2982029596892763E-2</v>
      </c>
      <c r="N28" s="142">
        <f>Financials!N31/Financials!M31-1</f>
        <v>4.5096052189022018E-3</v>
      </c>
      <c r="O28" s="142">
        <f>Financials!O31/Financials!N31-1</f>
        <v>4.2425818529127746E-2</v>
      </c>
      <c r="P28" s="142">
        <f>Financials!P31/Financials!O31-1</f>
        <v>3.4476671378650847E-2</v>
      </c>
      <c r="Q28" s="142">
        <f>Financials!Q31/Financials!P31-1</f>
        <v>7.6211925804823277E-3</v>
      </c>
      <c r="R28" s="142">
        <f>Financials!R31/Financials!Q31-1</f>
        <v>-5.4962676795347054E-3</v>
      </c>
      <c r="S28" s="142">
        <f>Financials!S31/Financials!R31-1</f>
        <v>2.447366894910874E-2</v>
      </c>
      <c r="T28" s="142">
        <f>Financials!T31/Financials!S31-1</f>
        <v>9.1240202702318474E-3</v>
      </c>
      <c r="U28" s="142">
        <f>Financials!U31/Financials!T31-1</f>
        <v>4.7063534434966581E-2</v>
      </c>
      <c r="V28" s="142">
        <f>Financials!V31/Financials!U31-1</f>
        <v>4.4440932758956553E-2</v>
      </c>
      <c r="W28" s="142">
        <f>Financials!W31/Financials!V31-1</f>
        <v>1.3169013728839607E-2</v>
      </c>
      <c r="X28" s="142">
        <f>Financials!X31/Financials!W31-1</f>
        <v>2.0945643657594992E-3</v>
      </c>
      <c r="Y28" s="142">
        <f>Financials!Y31/Financials!X31-1</f>
        <v>-4.9864607131264727E-3</v>
      </c>
      <c r="Z28" s="142">
        <f>Financials!Z31/Financials!Y31-1</f>
        <v>2.9350792919813795E-2</v>
      </c>
      <c r="AA28" s="142">
        <f>Financials!AA31/Financials!Z31-1</f>
        <v>1.8329888426293905E-2</v>
      </c>
      <c r="AB28" s="142">
        <f>Financials!AB31/Financials!AA31-1</f>
        <v>9.390468583388345E-2</v>
      </c>
      <c r="AC28" s="142">
        <f>Financials!AC31/Financials!AB31-1</f>
        <v>-4.1808980907319881E-2</v>
      </c>
      <c r="AD28" s="142">
        <f>Financials!AD31/Financials!AC31-1</f>
        <v>-6.1989602340162264E-10</v>
      </c>
      <c r="AE28" s="142">
        <f>Financials!AE31/Financials!AD31-1</f>
        <v>-1.1869568841338385E-4</v>
      </c>
      <c r="AF28" s="142">
        <f>Financials!AF31/Financials!AE31-1</f>
        <v>-7.6913615979919969E-3</v>
      </c>
      <c r="AG28" s="142">
        <f>Financials!AG31/Financials!AF31-1</f>
        <v>1.0500883998218802E-2</v>
      </c>
      <c r="AH28" s="142">
        <f>Financials!AH31/Financials!AG31-1</f>
        <v>1.1606128229206369E-2</v>
      </c>
      <c r="AI28" s="142">
        <f>Financials!AI31/Financials!AH31-1</f>
        <v>5.3540512637285209E-2</v>
      </c>
      <c r="AJ28" s="142">
        <f>Financials!AJ31/Financials!AI31-1</f>
        <v>3.8697164490499869E-3</v>
      </c>
    </row>
    <row r="29" spans="1:36" ht="15.6">
      <c r="A29" s="323"/>
      <c r="B29" s="148" t="s">
        <v>255</v>
      </c>
      <c r="C29" s="141"/>
      <c r="D29" s="142">
        <f>Financials!D11/Financials!C11-1</f>
        <v>5.3580113833519984</v>
      </c>
      <c r="E29" s="142">
        <f>Financials!E11/Financials!D11-1</f>
        <v>0.15085837528275481</v>
      </c>
      <c r="F29" s="142">
        <f>Financials!F11/Financials!E11-1</f>
        <v>-8.7127400720328207E-2</v>
      </c>
      <c r="G29" s="142">
        <f>Financials!G11/Financials!F11-1</f>
        <v>4.5315362697225359E-2</v>
      </c>
      <c r="H29" s="142">
        <f>Financials!H11/Financials!G11-1</f>
        <v>2.2057238912482235E-2</v>
      </c>
      <c r="I29" s="142">
        <f>Financials!I11/Financials!H11-1</f>
        <v>2.4208501051566245E-2</v>
      </c>
      <c r="J29" s="142">
        <f>Financials!J11/Financials!I11-1</f>
        <v>2.0950283418831095E-2</v>
      </c>
      <c r="K29" s="142">
        <f>Financials!K11/Financials!J11-1</f>
        <v>2.4951824048648374E-2</v>
      </c>
      <c r="L29" s="142">
        <f>Financials!L11/Financials!K11-1</f>
        <v>4.8115643005328446E-2</v>
      </c>
      <c r="M29" s="142">
        <f>Financials!M11/Financials!L11-1</f>
        <v>1.3181807600737283E-3</v>
      </c>
      <c r="N29" s="142">
        <f>Financials!N11/Financials!M11-1</f>
        <v>2.0798713139723368E-2</v>
      </c>
      <c r="O29" s="142">
        <f>Financials!O11/Financials!N11-1</f>
        <v>4.1931909846255166E-2</v>
      </c>
      <c r="P29" s="142">
        <f>Financials!P11/Financials!O11-1</f>
        <v>5.587161141574204E-2</v>
      </c>
      <c r="Q29" s="142">
        <f>Financials!Q11/Financials!P11-1</f>
        <v>-0.1350689593130513</v>
      </c>
      <c r="R29" s="142">
        <f>Financials!R11/Financials!Q11-1</f>
        <v>0.14157561620632508</v>
      </c>
      <c r="S29" s="142">
        <f>Financials!S11/Financials!R11-1</f>
        <v>-0.12365434612214898</v>
      </c>
      <c r="T29" s="142">
        <f>Financials!T11/Financials!S11-1</f>
        <v>5.8474244646570472E-2</v>
      </c>
      <c r="U29" s="142">
        <f>Financials!U11/Financials!T11-1</f>
        <v>-1.939087556250163E-2</v>
      </c>
      <c r="V29" s="142">
        <f>Financials!V11/Financials!U11-1</f>
        <v>3.3864038048054379E-2</v>
      </c>
      <c r="W29" s="142">
        <f>Financials!W11/Financials!V11-1</f>
        <v>1.9762473250757528E-2</v>
      </c>
      <c r="X29" s="142">
        <f>Financials!X11/Financials!W11-1</f>
        <v>3.0989448008025278E-2</v>
      </c>
      <c r="Y29" s="142">
        <f>Financials!Y11/Financials!X11-1</f>
        <v>6.4082116387176757E-2</v>
      </c>
      <c r="Z29" s="142">
        <f>Financials!Z11/Financials!Y11-1</f>
        <v>1.3447553606850127E-2</v>
      </c>
      <c r="AA29" s="142">
        <f>Financials!AA11/Financials!Z11-1</f>
        <v>5.3159530772866725E-2</v>
      </c>
      <c r="AB29" s="142">
        <f>Financials!AB11/Financials!AA11-1</f>
        <v>1.652754039418447E-3</v>
      </c>
      <c r="AC29" s="142">
        <f>Financials!AC11/Financials!AB11-1</f>
        <v>0.13992477064486786</v>
      </c>
      <c r="AD29" s="142">
        <f>Financials!AD11/Financials!AC11-1</f>
        <v>-0.12101920705437552</v>
      </c>
      <c r="AE29" s="142">
        <f>Financials!AE11/Financials!AD11-1</f>
        <v>0.16222795353484698</v>
      </c>
      <c r="AF29" s="142">
        <f>Financials!AF11/Financials!AE11-1</f>
        <v>-0.1236868337999506</v>
      </c>
      <c r="AG29" s="142">
        <f>Financials!AG11/Financials!AF11-1</f>
        <v>9.8295939648585406E-2</v>
      </c>
      <c r="AH29" s="142">
        <f>Financials!AH11/Financials!AG11-1</f>
        <v>-1.9460360861915715E-2</v>
      </c>
      <c r="AI29" s="142">
        <f>Financials!AI11/Financials!AH11-1</f>
        <v>1.2046122860734476E-2</v>
      </c>
      <c r="AJ29" s="142">
        <f>Financials!AJ11/Financials!AI11-1</f>
        <v>-1.345770321191031E-2</v>
      </c>
    </row>
    <row r="30" spans="1:36" ht="15.6">
      <c r="A30" s="323"/>
      <c r="B30" s="148" t="s">
        <v>126</v>
      </c>
      <c r="C30" s="141"/>
      <c r="D30" s="142">
        <f>Financials!D37/Financials!C37-1</f>
        <v>4363.6180938643429</v>
      </c>
      <c r="E30" s="142">
        <f>Financials!E37/Financials!D37-1</f>
        <v>-0.91034091874248868</v>
      </c>
      <c r="F30" s="142">
        <f>Financials!F37/Financials!E37-1</f>
        <v>0.97750701323286338</v>
      </c>
      <c r="G30" s="142">
        <f>Financials!G37/Financials!F37-1</f>
        <v>0.58877266876132706</v>
      </c>
      <c r="H30" s="142">
        <f>Financials!H37/Financials!G37-1</f>
        <v>0.38821567818385172</v>
      </c>
      <c r="I30" s="142">
        <f>Financials!I37/Financials!H37-1</f>
        <v>0.29621732196367989</v>
      </c>
      <c r="J30" s="142">
        <f>Financials!J37/Financials!I37-1</f>
        <v>0.20866703953963706</v>
      </c>
      <c r="K30" s="142">
        <f>Financials!K37/Financials!J37-1</f>
        <v>0.21541241784503473</v>
      </c>
      <c r="L30" s="142">
        <f>Financials!L37/Financials!K37-1</f>
        <v>0.1456370008052652</v>
      </c>
      <c r="M30" s="142">
        <f>Financials!M37/Financials!L37-1</f>
        <v>0.13885210663201475</v>
      </c>
      <c r="N30" s="142">
        <f>Financials!N37/Financials!M37-1</f>
        <v>0.12092317410009312</v>
      </c>
      <c r="O30" s="142">
        <f>Financials!O37/Financials!N37-1</f>
        <v>0.12744042399150413</v>
      </c>
      <c r="P30" s="142">
        <f>Financials!P37/Financials!O37-1</f>
        <v>0.11182996800100264</v>
      </c>
      <c r="Q30" s="142">
        <f>Financials!Q37/Financials!P37-1</f>
        <v>-5.4033084673221765E-9</v>
      </c>
      <c r="R30" s="142">
        <f>Financials!R37/Financials!Q37-1</f>
        <v>-0.90681658885595917</v>
      </c>
      <c r="S30" s="142">
        <f>Financials!S37/Financials!R37-1</f>
        <v>1.008507624898205</v>
      </c>
      <c r="T30" s="142">
        <f>Financials!T37/Financials!S37-1</f>
        <v>0.58909759862645128</v>
      </c>
      <c r="U30" s="142">
        <f>Financials!U37/Financials!T37-1</f>
        <v>0.34317643867504932</v>
      </c>
      <c r="V30" s="142">
        <f>Financials!V37/Financials!U37-1</f>
        <v>0.29190040613881973</v>
      </c>
      <c r="W30" s="142">
        <f>Financials!W37/Financials!V37-1</f>
        <v>0.21081121641817679</v>
      </c>
      <c r="X30" s="142">
        <f>Financials!X37/Financials!W37-1</f>
        <v>0.15846786886654773</v>
      </c>
      <c r="Y30" s="142">
        <f>Financials!Y37/Financials!X37-1</f>
        <v>0.14233330995841498</v>
      </c>
      <c r="Z30" s="142">
        <f>Financials!Z37/Financials!Y37-1</f>
        <v>0.13565772829190825</v>
      </c>
      <c r="AA30" s="142">
        <f>Financials!AA37/Financials!Z37-1</f>
        <v>0.1322981551668958</v>
      </c>
      <c r="AB30" s="142">
        <f>Financials!AB37/Financials!AA37-1</f>
        <v>0.13149173976587103</v>
      </c>
      <c r="AC30" s="142">
        <f>Financials!AC37/Financials!AB37-1</f>
        <v>9.5952457921082646E-2</v>
      </c>
      <c r="AD30" s="142">
        <f>Financials!AD37/Financials!AC37-1</f>
        <v>-2.1723635479412362E-2</v>
      </c>
      <c r="AE30" s="142">
        <f>Financials!AE37/Financials!AD37</f>
        <v>0.25261302830278382</v>
      </c>
      <c r="AF30" s="142">
        <f>Financials!AF37/Financials!AE37</f>
        <v>2.6986305303558549</v>
      </c>
      <c r="AG30" s="142">
        <f>Financials!AG37/Financials!AF37</f>
        <v>1.2538020947516288</v>
      </c>
      <c r="AH30" s="142">
        <f>Financials!AH37/Financials!AG37</f>
        <v>0.60579376507635507</v>
      </c>
      <c r="AI30" s="142">
        <f>Financials!AI37/Financials!AH37</f>
        <v>1.1794585647593865</v>
      </c>
      <c r="AJ30" s="142">
        <f>Financials!AJ37/Financials!AI37</f>
        <v>0</v>
      </c>
    </row>
    <row r="31" spans="1:36" ht="15.6">
      <c r="A31" s="323"/>
      <c r="B31" s="148" t="s">
        <v>93</v>
      </c>
      <c r="C31" s="141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</row>
    <row r="32" spans="1:36" ht="15.6">
      <c r="A32" s="323"/>
      <c r="B32" s="148" t="s">
        <v>256</v>
      </c>
      <c r="C32" s="141"/>
      <c r="D32" s="142">
        <f>'Evolutitve SCI'!E40/'Evolutitve SCI'!B40-1</f>
        <v>632.01561730153878</v>
      </c>
      <c r="E32" s="142">
        <f>'Evolutitve SCI'!F40/'Evolutitve SCI'!C40-1</f>
        <v>-0.71543388866945046</v>
      </c>
      <c r="F32" s="142">
        <f>'Evolutitve SCI'!G40/'Evolutitve SCI'!D40-1</f>
        <v>5.0241209756608383</v>
      </c>
      <c r="G32" s="142">
        <f>'Evolutitve SCI'!H40/'Evolutitve SCI'!E40-1</f>
        <v>1.5644764373101245</v>
      </c>
      <c r="H32" s="142">
        <f>'Evolutitve SCI'!I40/'Evolutitve SCI'!F40-1</f>
        <v>0.9422896469582589</v>
      </c>
      <c r="I32" s="142">
        <f>'Evolutitve SCI'!I40/'Evolutitve SCI'!G40-1</f>
        <v>0.44157940973466303</v>
      </c>
      <c r="J32" s="142">
        <f>'Evolutitve SCI'!I40/'Evolutitve SCI'!H40-1</f>
        <v>0.19337536105577957</v>
      </c>
      <c r="K32" s="142">
        <f>'Evolutitve SCI'!J40/'Evolutitve SCI'!I40-1</f>
        <v>0.16504424997045941</v>
      </c>
      <c r="L32" s="142">
        <f>'Evolutitve SCI'!K40/'Evolutitve SCI'!J40-1</f>
        <v>0.12425777310801855</v>
      </c>
      <c r="M32" s="142">
        <f>'Evolutitve SCI'!L40/'Evolutitve SCI'!K40-1</f>
        <v>0.13123477697785213</v>
      </c>
      <c r="N32" s="142">
        <f>'Evolutitve SCI'!M40/'Evolutitve SCI'!L40-1</f>
        <v>0.13095429342297416</v>
      </c>
      <c r="O32" s="142">
        <f>'Evolutitve SCI'!N40/'Evolutitve SCI'!M40-1</f>
        <v>0.13155170501040359</v>
      </c>
      <c r="P32" s="142">
        <f>'Evolutitve SCI'!O40/'Evolutitve SCI'!N40-1</f>
        <v>0.13634376981094487</v>
      </c>
      <c r="Q32" s="142">
        <f>'Evolutitve SCI'!P40/'Evolutitve SCI'!O40-1</f>
        <v>0.44681600528716259</v>
      </c>
      <c r="R32" s="142">
        <f>'Evolutitve SCI'!Q40/'Evolutitve SCI'!P40-1</f>
        <v>-0.92592789562723843</v>
      </c>
      <c r="S32" s="142">
        <f>'Evolutitve SCI'!R40/'Evolutitve SCI'!Q40-1</f>
        <v>1.3673286180334649</v>
      </c>
      <c r="T32" s="142">
        <f>'Evolutitve SCI'!S40/'Evolutitve SCI'!R40-1</f>
        <v>0.51423390375602485</v>
      </c>
      <c r="U32" s="142">
        <f>'Evolutitve SCI'!T40/'Evolutitve SCI'!S40-1</f>
        <v>0.29459075339825724</v>
      </c>
      <c r="V32" s="142">
        <f>'Evolutitve SCI'!U40/'Evolutitve SCI'!T40-1</f>
        <v>0.20647596623528086</v>
      </c>
      <c r="W32" s="142">
        <f>'Evolutitve SCI'!V40/'Evolutitve SCI'!U40-1</f>
        <v>0.21745708071408987</v>
      </c>
      <c r="X32" s="142">
        <f>'Evolutitve SCI'!W40/'Evolutitve SCI'!V40-1</f>
        <v>0.21094834657987827</v>
      </c>
      <c r="Y32" s="142">
        <f>'Evolutitve SCI'!X40/'Evolutitve SCI'!W40-1</f>
        <v>0.12812858643007385</v>
      </c>
      <c r="Z32" s="142">
        <f>'Evolutitve SCI'!Y40/'Evolutitve SCI'!X40-1</f>
        <v>0.13192910600784935</v>
      </c>
      <c r="AA32" s="142">
        <f>'Evolutitve SCI'!Z40/'Evolutitve SCI'!Y40-1</f>
        <v>0.10346179528487798</v>
      </c>
      <c r="AB32" s="142">
        <f>'Evolutitve SCI'!AA40/'Evolutitve SCI'!Z40-1</f>
        <v>0.11163641111591227</v>
      </c>
      <c r="AC32" s="142">
        <f>'Evolutitve SCI'!AB40/'Evolutitve SCI'!AA40-1</f>
        <v>0.11484589286007618</v>
      </c>
      <c r="AD32" s="142">
        <f>'Evolutitve SCI'!AC40/'Evolutitve SCI'!AB40-1</f>
        <v>8.6133687140363513E-2</v>
      </c>
      <c r="AE32" s="142">
        <f>'Evolutitve SCI'!AD40/'Evolutitve SCI'!AC40-1</f>
        <v>-0.92503572992920147</v>
      </c>
      <c r="AF32" s="142">
        <f>'Evolutitve SCI'!AE40/'Evolutitve SCI'!AD40-1</f>
        <v>1.178458062156825</v>
      </c>
      <c r="AG32" s="142">
        <f>'Evolutitve SCI'!AF40/'Evolutitve SCI'!AE40-1</f>
        <v>0.65207101901045683</v>
      </c>
      <c r="AH32" s="142">
        <f>'Evolutitve SCI'!AG40/'Evolutitve SCI'!AF40-1</f>
        <v>2.1069313675523138</v>
      </c>
      <c r="AI32" s="142">
        <f>'Evolutitve SCI'!AH40/'Evolutitve SCI'!AG40-1</f>
        <v>0.25833548466047396</v>
      </c>
      <c r="AJ32" s="142">
        <f>'Evolutitve SCI'!AI40/'Evolutitve SCI'!AH40-1</f>
        <v>-0.50885315002943465</v>
      </c>
    </row>
    <row r="33" spans="1:36" ht="15.6">
      <c r="A33" s="150" t="s">
        <v>257</v>
      </c>
      <c r="B33" s="148" t="s">
        <v>258</v>
      </c>
      <c r="C33" s="141"/>
      <c r="D33" s="142"/>
      <c r="E33" s="142"/>
      <c r="F33" s="142"/>
      <c r="G33" s="142"/>
      <c r="H33" s="142">
        <f>Financials!G44/('Evolutive SFP'!B31+'Evolutive SFP'!F31)/2</f>
        <v>7.0074717310847877E-4</v>
      </c>
      <c r="I33" s="142"/>
      <c r="J33" s="142"/>
      <c r="K33" s="142">
        <f>Financials!J44/('Evolutive SFP'!F31+'Evolutive SFP'!I31)/2</f>
        <v>6.9799831517397863E-4</v>
      </c>
      <c r="L33" s="142">
        <f>Financials!K44/('Evolutive SFP'!I31+'Evolutive SFP'!J31)/2</f>
        <v>8.1286007809786714E-4</v>
      </c>
      <c r="M33" s="142">
        <f>Financials!L44/('Evolutive SFP'!J31+'Evolutive SFP'!K31)/2</f>
        <v>8.380434765669528E-4</v>
      </c>
      <c r="N33" s="142">
        <f>Financials!M44/('Evolutive SFP'!K31+'Evolutive SFP'!L31)/2</f>
        <v>9.425201154398497E-4</v>
      </c>
      <c r="O33" s="142">
        <f>Financials!N44/('Evolutive SFP'!L31+'Evolutive SFP'!M31)/2</f>
        <v>1.014350670269399E-3</v>
      </c>
      <c r="P33" s="142">
        <f>Financials!O44/('Evolutive SFP'!M31+'Evolutive SFP'!N31)/2</f>
        <v>1.5209624686733363E-3</v>
      </c>
      <c r="Q33" s="142">
        <f>Financials!P44/('Evolutive SFP'!N31+'Evolutive SFP'!O31)/2</f>
        <v>1.5485416096861972E-3</v>
      </c>
      <c r="R33" s="142">
        <f>Financials!Q44/('Evolutive SFP'!O31+'Evolutive SFP'!P31)/2</f>
        <v>6.0041379341496314E-3</v>
      </c>
      <c r="S33" s="142">
        <f>Financials!R44/('Evolutive SFP'!P31+'Evolutive SFP'!Q31)/2</f>
        <v>1.2063260901914498E-4</v>
      </c>
      <c r="T33" s="142">
        <f>Financials!S44/('Evolutive SFP'!Q31+'Evolutive SFP'!R31)/2</f>
        <v>7.6899619014760522E-4</v>
      </c>
      <c r="U33" s="142">
        <f>Financials!T44/('Evolutive SFP'!R31+'Evolutive SFP'!S31)/2</f>
        <v>7.1605026568773904E-4</v>
      </c>
      <c r="V33" s="142">
        <f>Financials!U44/('Evolutive SFP'!S31+'Evolutive SFP'!T31)/2</f>
        <v>9.2581802881289285E-4</v>
      </c>
      <c r="W33" s="142">
        <f>Financials!V44/('Evolutive SFP'!T31+'Evolutive SFP'!U31)/2</f>
        <v>1.1023937156887642E-3</v>
      </c>
      <c r="X33" s="142">
        <f>Financials!W44/('Evolutive SFP'!U31+'Evolutive SFP'!V31)/2</f>
        <v>1.3613896030822698E-3</v>
      </c>
      <c r="Y33" s="142">
        <f>Financials!X44/('Evolutive SFP'!V31+'Evolutive SFP'!W31)/2</f>
        <v>1.8964626889752343E-3</v>
      </c>
      <c r="Z33" s="142">
        <f>Financials!Y44/('Evolutive SFP'!W31+'Evolutive SFP'!X31)/2</f>
        <v>2.4267158428619901E-3</v>
      </c>
      <c r="AA33" s="142">
        <f>Financials!Z44/('Evolutive SFP'!X31+'Evolutive SFP'!Y31)/2</f>
        <v>3.1294989086254775E-3</v>
      </c>
      <c r="AB33" s="142">
        <f>Financials!AA44/('Evolutive SFP'!Y31+'Evolutive SFP'!Z31)/2</f>
        <v>3.648033226581986E-3</v>
      </c>
      <c r="AC33" s="142">
        <f>Financials!AB44/('Evolutive SFP'!Z31+'Evolutive SFP'!AA31)/2</f>
        <v>4.2434337236595147E-3</v>
      </c>
      <c r="AD33" s="142">
        <f>Financials!AC44/('Evolutive SFP'!AA31+'Evolutive SFP'!AB31)/2</f>
        <v>5.3041032169390077E-3</v>
      </c>
      <c r="AE33" s="142">
        <f>Financials!AD44/('Evolutive SFP'!AB31+'Evolutive SFP'!AC31)/2</f>
        <v>1.0240567361175738E-2</v>
      </c>
      <c r="AF33" s="142">
        <f>Financials!AE44/('Evolutive SFP'!AC31+'Evolutive SFP'!AD31)/2</f>
        <v>8.440712827106193E-4</v>
      </c>
      <c r="AG33" s="142">
        <f>Financials!AF44/('Evolutive SFP'!AD31+'Evolutive SFP'!AE31)/2</f>
        <v>5.8260368381044306E-4</v>
      </c>
      <c r="AH33" s="142">
        <f>Financials!AG44/('Evolutive SFP'!AE31+'Evolutive SFP'!AF31)/2</f>
        <v>7.9970419033321277E-4</v>
      </c>
      <c r="AI33" s="142">
        <f>Financials!AH44/('Evolutive SFP'!AF31+'Evolutive SFP'!AG31)/2</f>
        <v>1.8497671316893064E-3</v>
      </c>
      <c r="AJ33" s="142">
        <f>Financials!AI44/('Evolutive SFP'!AG31+'Evolutive SFP'!AH31)/2</f>
        <v>2.1207360083632877E-3</v>
      </c>
    </row>
    <row r="34" spans="1:36" ht="15.6">
      <c r="A34" s="59"/>
      <c r="B34" s="148" t="s">
        <v>259</v>
      </c>
      <c r="C34" s="141"/>
      <c r="D34" s="142"/>
      <c r="E34" s="142"/>
      <c r="F34" s="142"/>
      <c r="G34" s="142"/>
      <c r="H34" s="142">
        <f>Financials!G45/('Evolutive SFP'!B40+'Evolutive SFP'!F40)/2</f>
        <v>0</v>
      </c>
      <c r="I34" s="142"/>
      <c r="J34" s="142"/>
      <c r="K34" s="142">
        <f>Financials!J45/('Evolutive SFP'!F40+'Evolutive SFP'!I40)/2</f>
        <v>0</v>
      </c>
      <c r="L34" s="142">
        <f>Financials!K45/('Evolutive SFP'!I40+'Evolutive SFP'!J40)/2</f>
        <v>0</v>
      </c>
      <c r="M34" s="142">
        <f>Financials!L45/('Evolutive SFP'!J40+'Evolutive SFP'!K40)/2</f>
        <v>0</v>
      </c>
      <c r="N34" s="142">
        <f>Financials!M45/('Evolutive SFP'!K40+'Evolutive SFP'!L40)/2</f>
        <v>0</v>
      </c>
      <c r="O34" s="142">
        <f>Financials!N45/('Evolutive SFP'!L40+'Evolutive SFP'!M40)/2</f>
        <v>0</v>
      </c>
      <c r="P34" s="142">
        <f>Financials!O45/('Evolutive SFP'!M40+'Evolutive SFP'!N40)/2</f>
        <v>0</v>
      </c>
      <c r="Q34" s="142">
        <f>Financials!P45/('Evolutive SFP'!N40+'Evolutive SFP'!O40)/2</f>
        <v>0</v>
      </c>
      <c r="R34" s="142">
        <f>Financials!Q45/('Evolutive SFP'!O40+'Evolutive SFP'!P40)/2</f>
        <v>0</v>
      </c>
      <c r="S34" s="142">
        <f>Financials!R45/('Evolutive SFP'!P40+'Evolutive SFP'!Q40)/2</f>
        <v>0</v>
      </c>
      <c r="T34" s="142">
        <f>Financials!S45/('Evolutive SFP'!Q40+'Evolutive SFP'!R40)/2</f>
        <v>0</v>
      </c>
      <c r="U34" s="142">
        <f>Financials!T45/('Evolutive SFP'!R40+'Evolutive SFP'!S40)/2</f>
        <v>0</v>
      </c>
      <c r="V34" s="142">
        <f>Financials!U45/('Evolutive SFP'!S40+'Evolutive SFP'!T40)/2</f>
        <v>0</v>
      </c>
      <c r="W34" s="142">
        <f>Financials!V45/('Evolutive SFP'!T40+'Evolutive SFP'!U40)/2</f>
        <v>0</v>
      </c>
      <c r="X34" s="142">
        <f>Financials!W45/('Evolutive SFP'!U40+'Evolutive SFP'!V40)/2</f>
        <v>0</v>
      </c>
      <c r="Y34" s="142">
        <f>Financials!X45/('Evolutive SFP'!V40+'Evolutive SFP'!W40)/2</f>
        <v>0</v>
      </c>
      <c r="Z34" s="142">
        <f>Financials!Y45/('Evolutive SFP'!W40+'Evolutive SFP'!X40)/2</f>
        <v>0</v>
      </c>
      <c r="AA34" s="142">
        <f>Financials!Z45/('Evolutive SFP'!X40+'Evolutive SFP'!Y40)/2</f>
        <v>0</v>
      </c>
      <c r="AB34" s="142">
        <f>Financials!AA45/('Evolutive SFP'!Y40+'Evolutive SFP'!Z40)/2</f>
        <v>0</v>
      </c>
      <c r="AC34" s="142">
        <f>Financials!AB45/('Evolutive SFP'!Z40+'Evolutive SFP'!AA40)/2</f>
        <v>0</v>
      </c>
      <c r="AD34" s="142">
        <f>Financials!AC45/('Evolutive SFP'!AA40+'Evolutive SFP'!AB40)/2</f>
        <v>0</v>
      </c>
      <c r="AE34" s="142">
        <f>Financials!AD45/('Evolutive SFP'!AB40+'Evolutive SFP'!AC40)/2</f>
        <v>0</v>
      </c>
      <c r="AF34" s="142">
        <f>Financials!AE45/('Evolutive SFP'!AC40+'Evolutive SFP'!AD40)/2</f>
        <v>0</v>
      </c>
      <c r="AG34" s="142">
        <f>Financials!AF45/('Evolutive SFP'!AD40+'Evolutive SFP'!AE40)/2</f>
        <v>0</v>
      </c>
      <c r="AH34" s="142">
        <f>Financials!AG45/('Evolutive SFP'!AE40+'Evolutive SFP'!AF40)/2</f>
        <v>0</v>
      </c>
      <c r="AI34" s="142">
        <f>Financials!AH45/('Evolutive SFP'!AF40+'Evolutive SFP'!AG40)/2</f>
        <v>0</v>
      </c>
      <c r="AJ34" s="142">
        <f>Financials!AI45/('Evolutive SFP'!AG40+'Evolutive SFP'!AH40)/2</f>
        <v>0</v>
      </c>
    </row>
    <row r="35" spans="1:36" ht="15.6">
      <c r="A35" s="59"/>
      <c r="B35" s="148" t="s">
        <v>260</v>
      </c>
      <c r="C35" s="141"/>
      <c r="D35" s="142"/>
      <c r="E35" s="142"/>
      <c r="F35" s="142"/>
      <c r="G35" s="142"/>
      <c r="H35" s="142">
        <f>Financials!G46/(Financials!F31+Financials!G31)/2</f>
        <v>3.1266651983087541E-4</v>
      </c>
      <c r="I35" s="142"/>
      <c r="J35" s="142"/>
      <c r="K35" s="142">
        <f>Financials!J46/(Financials!G31+Financials!J31)/2</f>
        <v>6.4796540026827525E-4</v>
      </c>
      <c r="L35" s="142">
        <f>Financials!K46/(Financials!J31+Financials!K31)/2</f>
        <v>6.975230523368958E-4</v>
      </c>
      <c r="M35" s="142">
        <f>Financials!L46/(Financials!K31+Financials!L31)/2</f>
        <v>7.6190646084018927E-4</v>
      </c>
      <c r="N35" s="142">
        <f>Financials!M46/(Financials!L31+Financials!M31)/2</f>
        <v>8.3192800225591074E-4</v>
      </c>
      <c r="O35" s="142">
        <f>Financials!N46/(Financials!M31+Financials!N31)/2</f>
        <v>1.1321360527807218E-3</v>
      </c>
      <c r="P35" s="142">
        <f>Financials!O46/(Financials!N31+Financials!O31)/2</f>
        <v>1.1397362793640665E-3</v>
      </c>
      <c r="Q35" s="142">
        <f>Financials!P46/(Financials!O31+Financials!P31)/2</f>
        <v>1.5241686432216888E-3</v>
      </c>
      <c r="R35" s="142">
        <f>Financials!Q46/(Financials!P31+Financials!Q31)/2</f>
        <v>1.4930805821421482E-3</v>
      </c>
      <c r="S35" s="142">
        <f>Financials!R46/(Financials!Q31+Financials!R31)/2</f>
        <v>4.5663342274033554E-4</v>
      </c>
      <c r="T35" s="142">
        <f>Financials!S46/(Financials!R31+Financials!S31)/2</f>
        <v>6.5856789458188501E-4</v>
      </c>
      <c r="U35" s="142">
        <f>Financials!T46/(Financials!S31+Financials!T31)/2</f>
        <v>7.4182992110338492E-4</v>
      </c>
      <c r="V35" s="142">
        <f>Financials!U46/(Financials!T31+Financials!U31)/2</f>
        <v>9.5890914700840358E-4</v>
      </c>
      <c r="W35" s="142">
        <f>Financials!V46/(Financials!U31+Financials!V31)/2</f>
        <v>1.0650156146960038E-3</v>
      </c>
      <c r="X35" s="142">
        <f>Financials!W46/(Financials!V31+Financials!W31)/2</f>
        <v>1.6824878455946521E-3</v>
      </c>
      <c r="Y35" s="142">
        <f>Financials!X46/(Financials!W31+Financials!X31)/2</f>
        <v>2.0420327674059526E-3</v>
      </c>
      <c r="Z35" s="142">
        <f>Financials!Y46/(Financials!X31+Financials!Y31)/2</f>
        <v>2.3406506044073841E-3</v>
      </c>
      <c r="AA35" s="142">
        <f>Financials!Z46/(Financials!Y31+Financials!Z31)/2</f>
        <v>2.5488316923550484E-3</v>
      </c>
      <c r="AB35" s="142">
        <f>Financials!AA46/(Financials!Z31+Financials!AA31)/2</f>
        <v>2.7500536280159363E-3</v>
      </c>
      <c r="AC35" s="142">
        <f>Financials!AB46/(Financials!AA31+Financials!AB31)/2</f>
        <v>2.7322128465425985E-3</v>
      </c>
      <c r="AD35" s="142">
        <f>Financials!AC46/(Financials!AB31+Financials!AC31)/2</f>
        <v>2.9710894629010882E-3</v>
      </c>
      <c r="AE35" s="142">
        <f>Financials!AD46/(Financials!AC31+Financials!AD31)/2</f>
        <v>3.035908735279428E-3</v>
      </c>
      <c r="AF35" s="142">
        <f>Financials!AE46/(Financials!AD31+Financials!AE31)/2</f>
        <v>8.7103802426414135E-4</v>
      </c>
      <c r="AG35" s="142">
        <f>Financials!AF46/(Financials!AE31+Financials!AF31)/2</f>
        <v>5.0121202960377483E-3</v>
      </c>
      <c r="AH35" s="142">
        <f>Financials!AG46/(Financials!AF31+Financials!AG31)/2</f>
        <v>6.5744765597142759E-3</v>
      </c>
      <c r="AI35" s="142">
        <f>Financials!AH46/(Financials!AG31+Financials!AH31)/2</f>
        <v>1.5912064478168699E-3</v>
      </c>
      <c r="AJ35" s="142">
        <f>Financials!AI46/(Financials!AH31+Financials!AI31)/2</f>
        <v>1.7600101485650563E-3</v>
      </c>
    </row>
    <row r="36" spans="1:36" ht="15.6">
      <c r="A36" s="59"/>
      <c r="B36" s="148" t="s">
        <v>261</v>
      </c>
      <c r="C36" s="141"/>
      <c r="D36" s="142"/>
      <c r="E36" s="142"/>
      <c r="F36" s="142"/>
      <c r="G36" s="142"/>
      <c r="H36" s="142">
        <f>Financials!G47/(Financials!F4+Financials!G4)/2</f>
        <v>5.9968414591660491E-3</v>
      </c>
      <c r="I36" s="142"/>
      <c r="J36" s="142"/>
      <c r="K36" s="142">
        <f>Financials!J47/(Financials!G4+Financials!J4)/2</f>
        <v>1.1284710559291691E-2</v>
      </c>
      <c r="L36" s="142">
        <f>Financials!K47/(Financials!J4+Financials!K4)/2</f>
        <v>1.2672429214636261E-2</v>
      </c>
      <c r="M36" s="142">
        <f>Financials!L47/(Financials!K4+Financials!L4)/2</f>
        <v>1.4091399527300362E-2</v>
      </c>
      <c r="N36" s="142">
        <f>Financials!M47/(Financials!L4+Financials!M4)/2</f>
        <v>1.5422263464340155E-2</v>
      </c>
      <c r="O36" s="142">
        <f>Financials!N47/(Financials!M4+Financials!N4)/2</f>
        <v>1.671181234677251E-2</v>
      </c>
      <c r="P36" s="142">
        <f>Financials!O47/(Financials!N4+Financials!O4)/2</f>
        <v>1.8494767538289936E-2</v>
      </c>
      <c r="Q36" s="142">
        <f>Financials!P47/(Financials!O4+Financials!P4)/2</f>
        <v>2.043299254347922E-2</v>
      </c>
      <c r="R36" s="142">
        <f>Financials!Q47/(Financials!P4+Financials!Q4)/2</f>
        <v>2.0908484098050604E-2</v>
      </c>
      <c r="S36" s="142">
        <f>Financials!R47/(Financials!Q4+Financials!R4)/2</f>
        <v>1.7850534929366555E-3</v>
      </c>
      <c r="T36" s="142">
        <f>Financials!S47/(Financials!R4+Financials!S4)/2</f>
        <v>4.408369535446972E-3</v>
      </c>
      <c r="U36" s="142">
        <f>Financials!T47/(Financials!S4+Financials!T4)/2</f>
        <v>7.0077292491710717E-3</v>
      </c>
      <c r="V36" s="142">
        <f>Financials!U47/(Financials!T4+Financials!U4)/2</f>
        <v>8.8914710825860714E-3</v>
      </c>
      <c r="W36" s="142">
        <f>Financials!V47/(Financials!U4+Financials!V4)/2</f>
        <v>1.0529255539987292E-2</v>
      </c>
      <c r="X36" s="142">
        <f>Financials!W47/(Financials!V4+Financials!W4)/2</f>
        <v>1.1764799250361361E-2</v>
      </c>
      <c r="Y36" s="142">
        <f>Financials!X47/(Financials!W4+Financials!X4)/2</f>
        <v>1.3772445517361818E-2</v>
      </c>
      <c r="Z36" s="142">
        <f>Financials!Y47/(Financials!X4+Financials!Y4)/2</f>
        <v>1.5471038091607424E-2</v>
      </c>
      <c r="AA36" s="142">
        <f>Financials!Z47/(Financials!Y4+Financials!Z4)/2</f>
        <v>1.7119144605496565E-2</v>
      </c>
      <c r="AB36" s="142">
        <f>Financials!AA47/(Financials!Z4+Financials!AA4)/2</f>
        <v>1.8452821895874751E-2</v>
      </c>
      <c r="AC36" s="142">
        <f>Financials!AB47/(Financials!AA4+Financials!AB4)/2</f>
        <v>2.0181475060245996E-2</v>
      </c>
      <c r="AD36" s="142">
        <f>Financials!AC47/(Financials!AB4+Financials!AC4)/2</f>
        <v>2.192445543674917E-2</v>
      </c>
      <c r="AE36" s="142">
        <f>Financials!AD47/(Financials!AC4+Financials!AD4)/2</f>
        <v>2.2711544562777592E-2</v>
      </c>
      <c r="AF36" s="142">
        <f>Financials!AE47/(Financials!AD4+Financials!AE4)/2</f>
        <v>6.7429433712263894E-3</v>
      </c>
      <c r="AG36" s="142">
        <f>Financials!AF47/(Financials!AE4+Financials!AF4)/2</f>
        <v>2.0820090703227268E-2</v>
      </c>
      <c r="AH36" s="142">
        <f>Financials!AG47/(Financials!AF4+Financials!AG4)/2</f>
        <v>2.5772699170444648E-2</v>
      </c>
      <c r="AI36" s="142">
        <f>Financials!AH47/(Financials!AG4+Financials!AH4)/2</f>
        <v>1.2542069222905971E-2</v>
      </c>
      <c r="AJ36" s="142">
        <f>Financials!AI47/(Financials!AH4+Financials!AI4)/2</f>
        <v>1.4151805872031171E-2</v>
      </c>
    </row>
    <row r="37" spans="1:36" ht="15.6">
      <c r="A37" s="59"/>
      <c r="B37" s="148" t="s">
        <v>262</v>
      </c>
      <c r="C37" s="141"/>
      <c r="D37" s="142"/>
      <c r="E37" s="142"/>
      <c r="F37" s="142"/>
      <c r="G37" s="142"/>
      <c r="H37" s="142">
        <f>Financials!G47/Financials!G37</f>
        <v>0.57854226496449335</v>
      </c>
      <c r="I37" s="142"/>
      <c r="J37" s="142"/>
      <c r="K37" s="142">
        <f>Financials!J47/Financials!J37</f>
        <v>0.52415989329396284</v>
      </c>
      <c r="L37" s="142">
        <f>Financials!K47/Financials!K37</f>
        <v>0.5028625133855098</v>
      </c>
      <c r="M37" s="142">
        <f>Financials!L47/Financials!L37</f>
        <v>0.49455321749816239</v>
      </c>
      <c r="N37" s="142">
        <f>Financials!M47/Financials!M37</f>
        <v>0.49218509180772418</v>
      </c>
      <c r="O37" s="142">
        <f>Financials!N47/Financials!N37</f>
        <v>0.49222795649927054</v>
      </c>
      <c r="P37" s="142">
        <f>Financials!O47/Financials!O37</f>
        <v>0.49079907273164514</v>
      </c>
      <c r="Q37" s="142">
        <f>Financials!P47/Financials!P37</f>
        <v>0.49818022751303154</v>
      </c>
      <c r="R37" s="142">
        <f>Financials!Q47/Financials!Q37</f>
        <v>0.51323120789098253</v>
      </c>
      <c r="S37" s="142">
        <f>Financials!R47/Financials!R37</f>
        <v>0.47305699423438469</v>
      </c>
      <c r="T37" s="142">
        <f>Financials!S47/Financials!S37</f>
        <v>0.59929468652177986</v>
      </c>
      <c r="U37" s="142">
        <f>Financials!T47/Financials!T37</f>
        <v>0.6114691521671598</v>
      </c>
      <c r="V37" s="142">
        <f>Financials!U47/Financials!U37</f>
        <v>0.57598264456221859</v>
      </c>
      <c r="W37" s="142">
        <f>Financials!V47/Financials!V37</f>
        <v>0.54228684999595911</v>
      </c>
      <c r="X37" s="142">
        <f>Financials!W47/Financials!W37</f>
        <v>0.53146619301899944</v>
      </c>
      <c r="Y37" s="142">
        <f>Financials!X47/Financials!X37</f>
        <v>0.55223637497699951</v>
      </c>
      <c r="Z37" s="142">
        <f>Financials!Y47/Financials!Y37</f>
        <v>0.54110372429444242</v>
      </c>
      <c r="AA37" s="142">
        <f>Financials!Z47/Financials!Z37</f>
        <v>0.53620473344070163</v>
      </c>
      <c r="AB37" s="142">
        <f>Financials!AA47/Financials!AA37</f>
        <v>0.52072582724675909</v>
      </c>
      <c r="AC37" s="142">
        <f>Financials!AB47/Financials!AB37</f>
        <v>0.51358295234205986</v>
      </c>
      <c r="AD37" s="142">
        <f>Financials!AC47/Financials!AC37</f>
        <v>0.51453327852344322</v>
      </c>
      <c r="AE37" s="142">
        <f>Financials!AD47/Financials!AD37</f>
        <v>0.54015590910957145</v>
      </c>
      <c r="AF37" s="142">
        <f>Financials!AE47/Financials!AE37</f>
        <v>0.63366316149538449</v>
      </c>
      <c r="AG37" s="142">
        <f>Financials!AF47/Financials!AF37</f>
        <v>0.72202784424339395</v>
      </c>
      <c r="AH37" s="142">
        <f>Financials!AG47/Financials!AG37</f>
        <v>0.71665958037278943</v>
      </c>
      <c r="AI37" s="142">
        <f>Financials!AH47/Financials!AH37</f>
        <v>0.58295576079444311</v>
      </c>
      <c r="AJ37" s="142">
        <f>Financials!AI47/Financials!AI37</f>
        <v>0.56314711064135325</v>
      </c>
    </row>
    <row r="38" spans="1:36" ht="15.6">
      <c r="A38" s="59"/>
      <c r="B38" s="148" t="s">
        <v>263</v>
      </c>
      <c r="C38" s="141"/>
      <c r="D38" s="142"/>
      <c r="E38" s="142"/>
      <c r="F38" s="142"/>
      <c r="G38" s="142"/>
      <c r="H38" s="142">
        <f>Financials!G38/('Evolutive SFP'!F15+'Evolutive SFP'!B15)/2</f>
        <v>1.531043219819609E-2</v>
      </c>
      <c r="I38" s="142"/>
      <c r="J38" s="142"/>
      <c r="K38" s="142">
        <f>Financials!J38/('Evolutive SFP'!I15+'Evolutive SFP'!F15)/2</f>
        <v>1.9735492226923796E-2</v>
      </c>
      <c r="L38" s="142">
        <f>Financials!K38/('Evolutive SFP'!J15+'Evolutive SFP'!I15)/2</f>
        <v>2.2855847878209993E-2</v>
      </c>
      <c r="M38" s="142">
        <f>Financials!L38/('Evolutive SFP'!K15+'Evolutive SFP'!J15)/2</f>
        <v>2.8036553345887821E-2</v>
      </c>
      <c r="N38" s="142">
        <f>Financials!M38/('Evolutive SFP'!L15+'Evolutive SFP'!K15)/2</f>
        <v>3.1393246816994361E-2</v>
      </c>
      <c r="O38" s="142">
        <f>Financials!N38/('Evolutive SFP'!M15+'Evolutive SFP'!L15)/2</f>
        <v>3.5287090561276123E-2</v>
      </c>
      <c r="P38" s="142">
        <f>Financials!O38/('Evolutive SFP'!N15+'Evolutive SFP'!M15)/2</f>
        <v>3.7949882024108074E-2</v>
      </c>
      <c r="Q38" s="142">
        <f>Financials!P38/('Evolutive SFP'!O15+'Evolutive SFP'!N15)/2</f>
        <v>4.0468190293964416E-2</v>
      </c>
      <c r="R38" s="142">
        <f>Financials!Q38/('Evolutive SFP'!P15+'Evolutive SFP'!O15)/2</f>
        <v>4.0606054372124362E-2</v>
      </c>
      <c r="S38" s="142">
        <f>Financials!R38/('Evolutive SFP'!Q15+'Evolutive SFP'!P15)/2</f>
        <v>3.689060787385734E-3</v>
      </c>
      <c r="T38" s="142">
        <f>Financials!S38/('Evolutive SFP'!R15+'Evolutive SFP'!Q15)/2</f>
        <v>7.5912346861094137E-3</v>
      </c>
      <c r="U38" s="142">
        <f>Financials!T38/('Evolutive SFP'!S15+'Evolutive SFP'!R15)/2</f>
        <v>1.1369159631457222E-2</v>
      </c>
      <c r="V38" s="142">
        <f>Financials!U38/('Evolutive SFP'!T15+'Evolutive SFP'!S15)/2</f>
        <v>1.5033090915098203E-2</v>
      </c>
      <c r="W38" s="142">
        <f>Financials!V38/('Evolutive SFP'!U15+'Evolutive SFP'!T15)/2</f>
        <v>1.8678107016741472E-2</v>
      </c>
      <c r="X38" s="142">
        <f>Financials!W38/('Evolutive SFP'!V15+'Evolutive SFP'!U15)/2</f>
        <v>1.9929675197111665E-2</v>
      </c>
      <c r="Y38" s="142">
        <f>Financials!X38/('Evolutive SFP'!W15+'Evolutive SFP'!V15)/2</f>
        <v>2.5190368835936696E-2</v>
      </c>
      <c r="Z38" s="142">
        <f>Financials!Y38/('Evolutive SFP'!X15+'Evolutive SFP'!W15)/2</f>
        <v>2.8833433178532181E-2</v>
      </c>
      <c r="AA38" s="142">
        <f>Financials!Z38/('Evolutive SFP'!Y15+'Evolutive SFP'!X15)/2</f>
        <v>3.2236268061819895E-2</v>
      </c>
      <c r="AB38" s="142">
        <f>Financials!AA38/('Evolutive SFP'!Z15+'Evolutive SFP'!Y15)/2</f>
        <v>3.5654148934470185E-2</v>
      </c>
      <c r="AC38" s="142">
        <f>Financials!AB38/('Evolutive SFP'!AA15+'Evolutive SFP'!Z15)/2</f>
        <v>3.7610922164562126E-2</v>
      </c>
      <c r="AD38" s="142">
        <f>Financials!AC38/('Evolutive SFP'!AB15+'Evolutive SFP'!AA15)/2</f>
        <v>4.0010859833305254E-2</v>
      </c>
      <c r="AE38" s="142">
        <f>Financials!AD38/('Evolutive SFP'!AC15+'Evolutive SFP'!AB15)/2</f>
        <v>4.1712504849823841E-2</v>
      </c>
      <c r="AF38" s="142">
        <f>Financials!AE38/('Evolutive SFP'!AD15+'Evolutive SFP'!AC15)/2</f>
        <v>1.0341975899627072E-2</v>
      </c>
      <c r="AG38" s="142">
        <f>Financials!AF38/('Evolutive SFP'!AE15+'Evolutive SFP'!AD15)/2</f>
        <v>3.370434559144244E-2</v>
      </c>
      <c r="AH38" s="142">
        <f>Financials!AG38/('Evolutive SFP'!AF15+'Evolutive SFP'!AE15)/2</f>
        <v>4.2243237769811988E-2</v>
      </c>
      <c r="AI38" s="142">
        <f>Financials!AH38/('Evolutive SFP'!AG15+'Evolutive SFP'!AF15)/2</f>
        <v>2.1078953753813356E-2</v>
      </c>
      <c r="AJ38" s="142">
        <f>Financials!AI38/('Evolutive SFP'!AH15+'Evolutive SFP'!AG15)/2</f>
        <v>2.4088774893408882E-2</v>
      </c>
    </row>
    <row r="39" spans="1:36" ht="15.6">
      <c r="A39" s="59"/>
      <c r="B39" s="148" t="s">
        <v>264</v>
      </c>
      <c r="C39" s="141"/>
      <c r="D39" s="142"/>
      <c r="E39" s="142"/>
      <c r="F39" s="142"/>
      <c r="G39" s="142"/>
      <c r="H39" s="142">
        <f>Financials!G37/('Evolutive SFP'!F16+'Evolutive SFP'!B16)/2</f>
        <v>1.8412786745660634E-2</v>
      </c>
      <c r="I39" s="142"/>
      <c r="J39" s="142"/>
      <c r="K39" s="142">
        <f>Financials!J37/('Evolutive SFP'!I16+'Evolutive SFP'!F16)/2</f>
        <v>2.4988229824465084E-2</v>
      </c>
      <c r="L39" s="142">
        <f>Financials!K37/('Evolutive SFP'!J16+'Evolutive SFP'!I16)/2</f>
        <v>2.8368670348365425E-2</v>
      </c>
      <c r="M39" s="142">
        <f>Financials!L37/('Evolutive SFP'!K16+'Evolutive SFP'!J16)/2</f>
        <v>3.152234375426153E-2</v>
      </c>
      <c r="N39" s="142">
        <f>Financials!M37/('Evolutive SFP'!L16+'Evolutive SFP'!K16)/2</f>
        <v>3.5547435439104311E-2</v>
      </c>
      <c r="O39" s="142">
        <f>Financials!N37/('Evolutive SFP'!M16+'Evolutive SFP'!L16)/2</f>
        <v>3.9501550001496258E-2</v>
      </c>
      <c r="P39" s="142">
        <f>Financials!O37/('Evolutive SFP'!N16+'Evolutive SFP'!M16)/2</f>
        <v>4.3512646196862674E-2</v>
      </c>
      <c r="Q39" s="142">
        <f>Financials!P37/('Evolutive SFP'!O16+'Evolutive SFP'!N16)/2</f>
        <v>4.6591027611076787E-2</v>
      </c>
      <c r="R39" s="142">
        <f>Financials!Q37/('Evolutive SFP'!P16+'Evolutive SFP'!O16)/2</f>
        <v>4.5640724371776728E-2</v>
      </c>
      <c r="S39" s="142">
        <f>Financials!R37/('Evolutive SFP'!Q16+'Evolutive SFP'!P16)/2</f>
        <v>4.2485502384922045E-3</v>
      </c>
      <c r="T39" s="142">
        <f>Financials!S37/('Evolutive SFP'!R16+'Evolutive SFP'!Q16)/2</f>
        <v>8.4533830036252252E-3</v>
      </c>
      <c r="U39" s="142">
        <f>Financials!T37/('Evolutive SFP'!S16+'Evolutive SFP'!R16)/2</f>
        <v>1.3212521398089353E-2</v>
      </c>
      <c r="V39" s="142">
        <f>Financials!U37/('Evolutive SFP'!T16+'Evolutive SFP'!S16)/2</f>
        <v>1.7260352019407354E-2</v>
      </c>
      <c r="W39" s="142">
        <f>Financials!V37/('Evolutive SFP'!U16+'Evolutive SFP'!T16)/2</f>
        <v>2.1323692103982186E-2</v>
      </c>
      <c r="X39" s="142">
        <f>Financials!W37/('Evolutive SFP'!V16+'Evolutive SFP'!U16)/2</f>
        <v>2.5104367559399869E-2</v>
      </c>
      <c r="Y39" s="142">
        <f>Financials!X37/('Evolutive SFP'!W16+'Evolutive SFP'!V16)/2</f>
        <v>2.8863369509962725E-2</v>
      </c>
      <c r="Z39" s="142">
        <f>Financials!Y37/('Evolutive SFP'!X16+'Evolutive SFP'!W16)/2</f>
        <v>3.3019455155014005E-2</v>
      </c>
      <c r="AA39" s="142">
        <f>Financials!Z37/('Evolutive SFP'!Y16+'Evolutive SFP'!X16)/2</f>
        <v>3.7049051591518542E-2</v>
      </c>
      <c r="AB39" s="142">
        <f>Financials!AA37/('Evolutive SFP'!Z16+'Evolutive SFP'!Y16)/2</f>
        <v>4.0976934488586303E-2</v>
      </c>
      <c r="AC39" s="142">
        <f>Financials!AB37/('Evolutive SFP'!AA16+'Evolutive SFP'!Z16)/2</f>
        <v>4.3887172866972662E-2</v>
      </c>
      <c r="AD39" s="142">
        <f>Financials!AC37/('Evolutive SFP'!AB16+'Evolutive SFP'!AA16)/2</f>
        <v>4.7016651097973067E-2</v>
      </c>
      <c r="AE39" s="142">
        <f>Financials!AD37/('Evolutive SFP'!AC16+'Evolutive SFP'!AB16)/2</f>
        <v>4.6998740088561766E-2</v>
      </c>
      <c r="AF39" s="142">
        <f>Financials!AE37/('Evolutive SFP'!AD16+'Evolutive SFP'!AC16)/2</f>
        <v>1.187319871261432E-2</v>
      </c>
      <c r="AG39" s="142">
        <f>Financials!AF37/('Evolutive SFP'!AE16+'Evolutive SFP'!AD16)/2</f>
        <v>3.2166982297385453E-2</v>
      </c>
      <c r="AH39" s="142">
        <f>Financials!AG37/('Evolutive SFP'!AF16+'Evolutive SFP'!AE16)/2</f>
        <v>4.0275866132686626E-2</v>
      </c>
      <c r="AI39" s="142">
        <f>Financials!AH37/('Evolutive SFP'!AG16+'Evolutive SFP'!AF16)/2</f>
        <v>2.413205511379931E-2</v>
      </c>
      <c r="AJ39" s="142">
        <f>Financials!AI37/('Evolutive SFP'!AH16+'Evolutive SFP'!AG16)/2</f>
        <v>2.7561650431374499E-2</v>
      </c>
    </row>
    <row r="40" spans="1:36" ht="15.6">
      <c r="A40" s="15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</row>
    <row r="41" spans="1:36" ht="16.149999999999999" thickBot="1">
      <c r="A41" s="152" t="s">
        <v>265</v>
      </c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  <c r="Z41" s="153"/>
      <c r="AA41" s="153"/>
      <c r="AB41" s="153"/>
      <c r="AC41" s="153"/>
      <c r="AD41" s="153"/>
      <c r="AE41" s="153"/>
      <c r="AF41" s="153"/>
      <c r="AG41" s="153"/>
      <c r="AH41" s="153"/>
      <c r="AI41" s="153"/>
    </row>
    <row r="42" spans="1:36" ht="15.6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honeticPr fontId="45" type="noConversion"/>
  <pageMargins left="0.7" right="0.7" top="0.75" bottom="0.75" header="0.3" footer="0.3"/>
  <pageSetup scale="4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2"/>
  <sheetViews>
    <sheetView workbookViewId="0">
      <pane xSplit="2" ySplit="3" topLeftCell="C4" activePane="bottomRight" state="frozen"/>
      <selection pane="bottomRight" activeCell="I21" sqref="I21"/>
      <selection pane="bottomLeft" activeCell="A4" sqref="A4"/>
      <selection pane="topRight" activeCell="C1" sqref="C1"/>
    </sheetView>
  </sheetViews>
  <sheetFormatPr defaultRowHeight="14.45"/>
  <cols>
    <col min="1" max="1" width="13.5703125" bestFit="1" customWidth="1"/>
    <col min="2" max="2" width="12.85546875" bestFit="1" customWidth="1"/>
    <col min="3" max="4" width="15.5703125" bestFit="1" customWidth="1"/>
    <col min="5" max="5" width="12.85546875" bestFit="1" customWidth="1"/>
    <col min="6" max="7" width="13.140625" bestFit="1" customWidth="1"/>
    <col min="8" max="9" width="12.85546875" bestFit="1" customWidth="1"/>
    <col min="10" max="10" width="8.140625" bestFit="1" customWidth="1"/>
    <col min="11" max="11" width="7.42578125" bestFit="1" customWidth="1"/>
    <col min="12" max="12" width="8.5703125" bestFit="1" customWidth="1"/>
    <col min="13" max="13" width="8.28515625" bestFit="1" customWidth="1"/>
    <col min="14" max="14" width="8.140625" bestFit="1" customWidth="1"/>
    <col min="15" max="15" width="9.28515625" customWidth="1"/>
    <col min="16" max="16" width="10.140625" customWidth="1"/>
    <col min="17" max="17" width="12" customWidth="1"/>
    <col min="18" max="18" width="14.28515625" customWidth="1"/>
    <col min="19" max="19" width="10.7109375" customWidth="1"/>
    <col min="20" max="20" width="10.42578125" customWidth="1"/>
    <col min="21" max="21" width="12.140625" customWidth="1"/>
  </cols>
  <sheetData>
    <row r="1" spans="1:22" ht="15.6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16.149999999999999" thickBot="1">
      <c r="A2" s="328" t="s">
        <v>266</v>
      </c>
      <c r="B2" s="329"/>
      <c r="C2" s="329"/>
      <c r="D2" s="329"/>
      <c r="E2" s="329"/>
      <c r="F2" s="33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60.6">
      <c r="A3" s="174" t="s">
        <v>267</v>
      </c>
      <c r="B3" s="175" t="s">
        <v>268</v>
      </c>
      <c r="C3" s="176" t="s">
        <v>2</v>
      </c>
      <c r="D3" s="176" t="s">
        <v>269</v>
      </c>
      <c r="E3" s="177">
        <v>44197.120173611111</v>
      </c>
      <c r="F3" s="177">
        <v>44229</v>
      </c>
      <c r="G3" s="177">
        <v>44258</v>
      </c>
      <c r="H3" s="177">
        <v>44290</v>
      </c>
      <c r="I3" s="177">
        <v>44321</v>
      </c>
      <c r="J3" s="177">
        <v>44353</v>
      </c>
      <c r="K3" s="177">
        <v>44384</v>
      </c>
      <c r="L3" s="177">
        <v>44416</v>
      </c>
      <c r="M3" s="177">
        <v>44448</v>
      </c>
      <c r="N3" s="177">
        <v>44479</v>
      </c>
      <c r="O3" s="177">
        <v>44511</v>
      </c>
      <c r="P3" s="177">
        <v>44542</v>
      </c>
      <c r="Q3" s="178" t="s">
        <v>4</v>
      </c>
      <c r="R3" s="178">
        <v>44562</v>
      </c>
      <c r="S3" s="178">
        <v>44593</v>
      </c>
      <c r="T3" s="178">
        <v>44621</v>
      </c>
      <c r="U3" s="178">
        <v>44652</v>
      </c>
      <c r="V3" s="20"/>
    </row>
    <row r="4" spans="1:22" ht="15.6">
      <c r="A4" s="179" t="s">
        <v>270</v>
      </c>
      <c r="B4" s="154"/>
      <c r="C4" s="154"/>
      <c r="D4" s="154"/>
      <c r="E4" s="180"/>
      <c r="F4" s="180"/>
      <c r="G4" s="154"/>
      <c r="H4" s="154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20"/>
    </row>
    <row r="5" spans="1:22" ht="15.6">
      <c r="A5" s="59" t="s">
        <v>271</v>
      </c>
      <c r="B5" s="181" t="s">
        <v>272</v>
      </c>
      <c r="C5" s="182" t="str">
        <f>IF(CAELS!D3&gt;10,"1","5")</f>
        <v>1</v>
      </c>
      <c r="D5" s="182" t="str">
        <f>IF(CAELS!E3&gt;10,"1","5")</f>
        <v>1</v>
      </c>
      <c r="E5" s="182" t="str">
        <f>IF(CAELS!F3&gt;10,"1","5")</f>
        <v>1</v>
      </c>
      <c r="F5" s="182" t="str">
        <f>IF(CAELS!G3&gt;10,"1","5")</f>
        <v>1</v>
      </c>
      <c r="G5" s="182" t="str">
        <f>IF(CAELS!H3&gt;10,"1","5")</f>
        <v>1</v>
      </c>
      <c r="H5" s="182" t="str">
        <f>IF(CAELS!I3&gt;10,"1","5")</f>
        <v>1</v>
      </c>
      <c r="I5" s="182" t="str">
        <f>IF(CAELS!J3&gt;10,"1","5")</f>
        <v>1</v>
      </c>
      <c r="J5" s="182" t="str">
        <f>IF(CAELS!K3&gt;10,"1","5")</f>
        <v>1</v>
      </c>
      <c r="K5" s="182" t="str">
        <f>IF(CAELS!L3&gt;10,"1","5")</f>
        <v>1</v>
      </c>
      <c r="L5" s="182" t="str">
        <f>IF(CAELS!M3&gt;10,"1","5")</f>
        <v>1</v>
      </c>
      <c r="M5" s="182" t="str">
        <f>IF(CAELS!N3&gt;10,"1","5")</f>
        <v>1</v>
      </c>
      <c r="N5" s="182" t="str">
        <f>IF(CAELS!O3&gt;10,"1","5")</f>
        <v>1</v>
      </c>
      <c r="O5" s="182" t="str">
        <f>IF(CAELS!P3&gt;10,"1","5")</f>
        <v>1</v>
      </c>
      <c r="P5" s="182" t="str">
        <f>IF(CAELS!Q3&gt;10,"1","5")</f>
        <v>1</v>
      </c>
      <c r="Q5" s="182" t="str">
        <f>IF(CAELS!R3&gt;10,"1","5")</f>
        <v>1</v>
      </c>
      <c r="R5" s="182" t="str">
        <f>IF(CAELS!S3&gt;10,"1","5")</f>
        <v>1</v>
      </c>
      <c r="S5" s="182" t="str">
        <f>IF(CAELS!T3&gt;10,"1","5")</f>
        <v>1</v>
      </c>
      <c r="T5" s="182" t="str">
        <f>IF(CAELS!U3&gt;10,"1","5")</f>
        <v>1</v>
      </c>
      <c r="U5" s="182" t="str">
        <f>IF(CAELS!V3&gt;10,"1","5")</f>
        <v>1</v>
      </c>
      <c r="V5" s="20"/>
    </row>
    <row r="6" spans="1:22" ht="15.6">
      <c r="A6" s="59" t="s">
        <v>219</v>
      </c>
      <c r="B6" s="181" t="s">
        <v>273</v>
      </c>
      <c r="C6" s="183" t="str">
        <f>IF(CAELS!D4&gt;20%,"1",IF(CAELS!D4&gt;15%,"2",IF(CAELS!D4&gt;12%,"3",IF(CAELS!D4&gt;10%,"4","5"))))</f>
        <v>4</v>
      </c>
      <c r="D6" s="183" t="str">
        <f>IF(CAELS!E4&gt;20%,"1",IF(CAELS!E4&gt;15%,"2",IF(CAELS!E4&gt;12%,"3",IF(CAELS!E4&gt;10%,"4","5"))))</f>
        <v>1</v>
      </c>
      <c r="E6" s="183" t="str">
        <f>IF(CAELS!F4&gt;20%,"1",IF(CAELS!F4&gt;15%,"2",IF(CAELS!F4&gt;12%,"3",IF(CAELS!F4&gt;10%,"4","5"))))</f>
        <v>1</v>
      </c>
      <c r="F6" s="183" t="str">
        <f>IF(CAELS!G4&gt;20%,"1",IF(CAELS!G4&gt;15%,"2",IF(CAELS!G4&gt;12%,"3",IF(CAELS!G4&gt;10%,"4","5"))))</f>
        <v>1</v>
      </c>
      <c r="G6" s="183" t="str">
        <f>IF(CAELS!H4&gt;20%,"1",IF(CAELS!H4&gt;15%,"2",IF(CAELS!H4&gt;12%,"3",IF(CAELS!H4&gt;10%,"4","5"))))</f>
        <v>1</v>
      </c>
      <c r="H6" s="183" t="str">
        <f>IF(CAELS!I4&gt;20%,"1",IF(CAELS!I4&gt;15%,"2",IF(CAELS!I4&gt;12%,"3",IF(CAELS!I4&gt;10%,"4","5"))))</f>
        <v>1</v>
      </c>
      <c r="I6" s="183" t="str">
        <f>IF(CAELS!J4&gt;20%,"1",IF(CAELS!J4&gt;15%,"2",IF(CAELS!J4&gt;12%,"3",IF(CAELS!J4&gt;10%,"4","5"))))</f>
        <v>1</v>
      </c>
      <c r="J6" s="183" t="str">
        <f>IF(CAELS!K4&gt;20%,"1",IF(CAELS!K4&gt;15%,"2",IF(CAELS!K4&gt;12%,"3",IF(CAELS!K4&gt;10%,"4","5"))))</f>
        <v>1</v>
      </c>
      <c r="K6" s="183" t="str">
        <f>IF(CAELS!L4&gt;20%,"1",IF(CAELS!L4&gt;15%,"2",IF(CAELS!L4&gt;12%,"3",IF(CAELS!L4&gt;10%,"4","5"))))</f>
        <v>1</v>
      </c>
      <c r="L6" s="183" t="str">
        <f>IF(CAELS!M4&gt;20%,"1",IF(CAELS!M4&gt;15%,"2",IF(CAELS!M4&gt;12%,"3",IF(CAELS!M4&gt;10%,"4","5"))))</f>
        <v>1</v>
      </c>
      <c r="M6" s="183" t="str">
        <f>IF(CAELS!N4&gt;20%,"1",IF(CAELS!N4&gt;15%,"2",IF(CAELS!N4&gt;12%,"3",IF(CAELS!N4&gt;10%,"4","5"))))</f>
        <v>1</v>
      </c>
      <c r="N6" s="183" t="str">
        <f>IF(CAELS!O4&gt;20%,"1",IF(CAELS!O4&gt;15%,"2",IF(CAELS!O4&gt;12%,"3",IF(CAELS!O4&gt;10%,"4","5"))))</f>
        <v>1</v>
      </c>
      <c r="O6" s="183" t="str">
        <f>IF(CAELS!P4&gt;20%,"1",IF(CAELS!P4&gt;15%,"2",IF(CAELS!P4&gt;12%,"3",IF(CAELS!P4&gt;10%,"4","5"))))</f>
        <v>1</v>
      </c>
      <c r="P6" s="183" t="str">
        <f>IF(CAELS!Q4&gt;20%,"1",IF(CAELS!Q4&gt;15%,"2",IF(CAELS!Q4&gt;12%,"3",IF(CAELS!Q4&gt;10%,"4","5"))))</f>
        <v>1</v>
      </c>
      <c r="Q6" s="183" t="str">
        <f>IF(CAELS!R4&gt;20%,"1",IF(CAELS!R4&gt;15%,"2",IF(CAELS!R4&gt;12%,"3",IF(CAELS!R4&gt;10%,"4","5"))))</f>
        <v>1</v>
      </c>
      <c r="R6" s="183" t="str">
        <f>IF(CAELS!S4&gt;20%,"1",IF(CAELS!S4&gt;15%,"2",IF(CAELS!S4&gt;12%,"3",IF(CAELS!S4&gt;10%,"4","5"))))</f>
        <v>1</v>
      </c>
      <c r="S6" s="183" t="str">
        <f>IF(CAELS!T4&gt;20%,"1",IF(CAELS!T4&gt;15%,"2",IF(CAELS!T4&gt;12%,"3",IF(CAELS!T4&gt;10%,"4","5"))))</f>
        <v>2</v>
      </c>
      <c r="T6" s="183" t="str">
        <f>IF(CAELS!U4&gt;20%,"1",IF(CAELS!U4&gt;15%,"2",IF(CAELS!U4&gt;12%,"3",IF(CAELS!U4&gt;10%,"4","5"))))</f>
        <v>1</v>
      </c>
      <c r="U6" s="183" t="str">
        <f>IF(CAELS!V4&gt;20%,"1",IF(CAELS!V4&gt;15%,"2",IF(CAELS!V4&gt;12%,"3",IF(CAELS!V4&gt;10%,"4","5"))))</f>
        <v>1</v>
      </c>
      <c r="V6" s="20"/>
    </row>
    <row r="7" spans="1:22" ht="15.6">
      <c r="A7" s="59" t="s">
        <v>223</v>
      </c>
      <c r="B7" s="181" t="s">
        <v>274</v>
      </c>
      <c r="C7" s="183" t="str">
        <f>IF(CAELS!D6&gt;15%,"1",IF(CAELS!D6&gt;12%,"2",IF(CAELS!D6&gt;10%,"3",IF(CAELS!D6&gt;8,"4","5"))))</f>
        <v>5</v>
      </c>
      <c r="D7" s="183" t="str">
        <f>IF(CAELS!E6&gt;15%,"1",IF(CAELS!E6&gt;12%,"2",IF(CAELS!E6&gt;10%,"3",IF(CAELS!E6&gt;8,"4","5"))))</f>
        <v>5</v>
      </c>
      <c r="E7" s="183" t="str">
        <f>IF(CAELS!F6&gt;15%,"1",IF(CAELS!F6&gt;12%,"2",IF(CAELS!F6&gt;10%,"3",IF(CAELS!F6&gt;8,"4","5"))))</f>
        <v>3</v>
      </c>
      <c r="F7" s="183" t="str">
        <f>IF(CAELS!G6&gt;15%,"1",IF(CAELS!G6&gt;12%,"2",IF(CAELS!G6&gt;10%,"3",IF(CAELS!G6&gt;8,"4","5"))))</f>
        <v>5</v>
      </c>
      <c r="G7" s="183" t="str">
        <f>IF(CAELS!H6&gt;15%,"1",IF(CAELS!H6&gt;12%,"2",IF(CAELS!H6&gt;10%,"3",IF(CAELS!H6&gt;8,"4","5"))))</f>
        <v>5</v>
      </c>
      <c r="H7" s="183" t="str">
        <f>IF(CAELS!I6&gt;15%,"1",IF(CAELS!I6&gt;12%,"2",IF(CAELS!I6&gt;10%,"3",IF(CAELS!I6&gt;8,"4","5"))))</f>
        <v>5</v>
      </c>
      <c r="I7" s="183" t="str">
        <f>IF(CAELS!J6&gt;15%,"1",IF(CAELS!J6&gt;12%,"2",IF(CAELS!J6&gt;10%,"3",IF(CAELS!J6&gt;8,"4","5"))))</f>
        <v>5</v>
      </c>
      <c r="J7" s="183" t="str">
        <f>IF(CAELS!K6&gt;15%,"1",IF(CAELS!K6&gt;12%,"2",IF(CAELS!K6&gt;10%,"3",IF(CAELS!K6&gt;8,"4","5"))))</f>
        <v>5</v>
      </c>
      <c r="K7" s="183" t="str">
        <f>IF(CAELS!L6&gt;15%,"1",IF(CAELS!L6&gt;12%,"2",IF(CAELS!L6&gt;10%,"3",IF(CAELS!L6&gt;8,"4","5"))))</f>
        <v>5</v>
      </c>
      <c r="L7" s="183" t="str">
        <f>IF(CAELS!M6&gt;15%,"1",IF(CAELS!M6&gt;12%,"2",IF(CAELS!M6&gt;10%,"3",IF(CAELS!M6&gt;8,"4","5"))))</f>
        <v>3</v>
      </c>
      <c r="M7" s="183" t="str">
        <f>IF(CAELS!N6&gt;15%,"1",IF(CAELS!N6&gt;12%,"2",IF(CAELS!N6&gt;10%,"3",IF(CAELS!N6&gt;8,"4","5"))))</f>
        <v>5</v>
      </c>
      <c r="N7" s="183" t="str">
        <f>IF(CAELS!O6&gt;15%,"1",IF(CAELS!O6&gt;12%,"2",IF(CAELS!O6&gt;10%,"3",IF(CAELS!O6&gt;8,"4","5"))))</f>
        <v>5</v>
      </c>
      <c r="O7" s="183" t="str">
        <f>IF(CAELS!P6&gt;15%,"1",IF(CAELS!P6&gt;12%,"2",IF(CAELS!P6&gt;10%,"3",IF(CAELS!P6&gt;8,"4","5"))))</f>
        <v>3</v>
      </c>
      <c r="P7" s="183" t="str">
        <f>IF(CAELS!Q6&gt;15%,"1",IF(CAELS!Q6&gt;12%,"2",IF(CAELS!Q6&gt;10%,"3",IF(CAELS!Q6&gt;8,"4","5"))))</f>
        <v>3</v>
      </c>
      <c r="Q7" s="183" t="str">
        <f>IF(CAELS!R6&gt;15%,"1",IF(CAELS!R6&gt;12%,"2",IF(CAELS!R6&gt;10%,"3",IF(CAELS!R6&gt;8,"4","5"))))</f>
        <v>5</v>
      </c>
      <c r="R7" s="183" t="str">
        <f>IF(CAELS!S6&gt;15%,"1",IF(CAELS!S6&gt;12%,"2",IF(CAELS!S6&gt;10%,"3",IF(CAELS!S6&gt;8,"4","5"))))</f>
        <v>3</v>
      </c>
      <c r="S7" s="183" t="str">
        <f>IF(CAELS!T6&gt;15%,"1",IF(CAELS!T6&gt;12%,"2",IF(CAELS!T6&gt;10%,"3",IF(CAELS!T6&gt;8,"4","5"))))</f>
        <v>5</v>
      </c>
      <c r="T7" s="183" t="str">
        <f>IF(CAELS!U6&gt;15%,"1",IF(CAELS!U6&gt;12%,"2",IF(CAELS!U6&gt;10%,"3",IF(CAELS!U6&gt;8,"4","5"))))</f>
        <v>5</v>
      </c>
      <c r="U7" s="183" t="str">
        <f>IF(CAELS!V6&gt;15%,"1",IF(CAELS!V6&gt;12%,"2",IF(CAELS!V6&gt;10%,"3",IF(CAELS!V6&gt;8,"4","5"))))</f>
        <v>5</v>
      </c>
      <c r="V7" s="20"/>
    </row>
    <row r="8" spans="1:22" ht="15.6">
      <c r="A8" s="59" t="s">
        <v>221</v>
      </c>
      <c r="B8" s="181" t="s">
        <v>274</v>
      </c>
      <c r="C8" s="183" t="str">
        <f>IF(CAELS!D5&gt;20%,"1",IF(CAELS!D5&gt;15%,"2",IF(CAELS!D5&gt;12%,"3",IF(CAELS!D5&gt;10%,"4","5"))))</f>
        <v>4</v>
      </c>
      <c r="D8" s="183" t="str">
        <f>IF(CAELS!E5&gt;20%,"1",IF(CAELS!E5&gt;15%,"2",IF(CAELS!E5&gt;12%,"3",IF(CAELS!E5&gt;10%,"4","5"))))</f>
        <v>1</v>
      </c>
      <c r="E8" s="183" t="str">
        <f>IF(CAELS!F5&gt;20%,"1",IF(CAELS!F5&gt;15%,"2",IF(CAELS!F5&gt;12%,"3",IF(CAELS!F5&gt;10%,"4","5"))))</f>
        <v>1</v>
      </c>
      <c r="F8" s="183" t="str">
        <f>IF(CAELS!G5&gt;20%,"1",IF(CAELS!G5&gt;15%,"2",IF(CAELS!G5&gt;12%,"3",IF(CAELS!G5&gt;10%,"4","5"))))</f>
        <v>1</v>
      </c>
      <c r="G8" s="183" t="str">
        <f>IF(CAELS!H5&gt;20%,"1",IF(CAELS!H5&gt;15%,"2",IF(CAELS!H5&gt;12%,"3",IF(CAELS!H5&gt;10%,"4","5"))))</f>
        <v>1</v>
      </c>
      <c r="H8" s="183" t="str">
        <f>IF(CAELS!I5&gt;20%,"1",IF(CAELS!I5&gt;15%,"2",IF(CAELS!I5&gt;12%,"3",IF(CAELS!I5&gt;10%,"4","5"))))</f>
        <v>1</v>
      </c>
      <c r="I8" s="183" t="str">
        <f>IF(CAELS!J5&gt;20%,"1",IF(CAELS!J5&gt;15%,"2",IF(CAELS!J5&gt;12%,"3",IF(CAELS!J5&gt;10%,"4","5"))))</f>
        <v>1</v>
      </c>
      <c r="J8" s="183" t="str">
        <f>IF(CAELS!K5&gt;20%,"1",IF(CAELS!K5&gt;15%,"2",IF(CAELS!K5&gt;12%,"3",IF(CAELS!K5&gt;10%,"4","5"))))</f>
        <v>1</v>
      </c>
      <c r="K8" s="183" t="str">
        <f>IF(CAELS!L5&gt;20%,"1",IF(CAELS!L5&gt;15%,"2",IF(CAELS!L5&gt;12%,"3",IF(CAELS!L5&gt;10%,"4","5"))))</f>
        <v>1</v>
      </c>
      <c r="L8" s="183" t="str">
        <f>IF(CAELS!M5&gt;20%,"1",IF(CAELS!M5&gt;15%,"2",IF(CAELS!M5&gt;12%,"3",IF(CAELS!M5&gt;10%,"4","5"))))</f>
        <v>1</v>
      </c>
      <c r="M8" s="183" t="str">
        <f>IF(CAELS!N5&gt;20%,"1",IF(CAELS!N5&gt;15%,"2",IF(CAELS!N5&gt;12%,"3",IF(CAELS!N5&gt;10%,"4","5"))))</f>
        <v>1</v>
      </c>
      <c r="N8" s="183" t="str">
        <f>IF(CAELS!O5&gt;20%,"1",IF(CAELS!O5&gt;15%,"2",IF(CAELS!O5&gt;12%,"3",IF(CAELS!O5&gt;10%,"4","5"))))</f>
        <v>1</v>
      </c>
      <c r="O8" s="183" t="str">
        <f>IF(CAELS!P5&gt;20%,"1",IF(CAELS!P5&gt;15%,"2",IF(CAELS!P5&gt;12%,"3",IF(CAELS!P5&gt;10%,"4","5"))))</f>
        <v>1</v>
      </c>
      <c r="P8" s="183" t="str">
        <f>IF(CAELS!Q5&gt;20%,"1",IF(CAELS!Q5&gt;15%,"2",IF(CAELS!Q5&gt;12%,"3",IF(CAELS!Q5&gt;10%,"4","5"))))</f>
        <v>1</v>
      </c>
      <c r="Q8" s="183" t="str">
        <f>IF(CAELS!R5&gt;20%,"1",IF(CAELS!R5&gt;15%,"2",IF(CAELS!R5&gt;12%,"3",IF(CAELS!R5&gt;10%,"4","5"))))</f>
        <v>1</v>
      </c>
      <c r="R8" s="183" t="str">
        <f>IF(CAELS!S5&gt;20%,"1",IF(CAELS!S5&gt;15%,"2",IF(CAELS!S5&gt;12%,"3",IF(CAELS!S5&gt;10%,"4","5"))))</f>
        <v>1</v>
      </c>
      <c r="S8" s="183" t="str">
        <f>IF(CAELS!T5&gt;20%,"1",IF(CAELS!T5&gt;15%,"2",IF(CAELS!T5&gt;12%,"3",IF(CAELS!T5&gt;10%,"4","5"))))</f>
        <v>1</v>
      </c>
      <c r="T8" s="183" t="str">
        <f>IF(CAELS!U5&gt;20%,"1",IF(CAELS!U5&gt;15%,"2",IF(CAELS!U5&gt;12%,"3",IF(CAELS!U5&gt;10%,"4","5"))))</f>
        <v>1</v>
      </c>
      <c r="U8" s="183" t="str">
        <f>IF(CAELS!V5&gt;20%,"1",IF(CAELS!V5&gt;15%,"2",IF(CAELS!V5&gt;12%,"3",IF(CAELS!V5&gt;10%,"4","5"))))</f>
        <v>1</v>
      </c>
      <c r="V8" s="20"/>
    </row>
    <row r="9" spans="1:22" ht="15.6">
      <c r="A9" s="59"/>
      <c r="B9" s="181"/>
      <c r="C9" s="184">
        <f t="shared" ref="C9:K9" si="0">(C5+C6+C7+C8)/4</f>
        <v>3.5</v>
      </c>
      <c r="D9" s="184">
        <f t="shared" si="0"/>
        <v>2</v>
      </c>
      <c r="E9" s="185">
        <f t="shared" si="0"/>
        <v>1.5</v>
      </c>
      <c r="F9" s="185">
        <f t="shared" si="0"/>
        <v>2</v>
      </c>
      <c r="G9" s="184">
        <f t="shared" si="0"/>
        <v>2</v>
      </c>
      <c r="H9" s="184">
        <f t="shared" si="0"/>
        <v>2</v>
      </c>
      <c r="I9" s="185">
        <f t="shared" si="0"/>
        <v>2</v>
      </c>
      <c r="J9" s="185">
        <f t="shared" si="0"/>
        <v>2</v>
      </c>
      <c r="K9" s="185">
        <f t="shared" si="0"/>
        <v>2</v>
      </c>
      <c r="L9" s="185">
        <f t="shared" ref="L9:S9" si="1">(L5+L6+L7+L8)/4</f>
        <v>1.5</v>
      </c>
      <c r="M9" s="185">
        <f t="shared" si="1"/>
        <v>2</v>
      </c>
      <c r="N9" s="185">
        <f t="shared" si="1"/>
        <v>2</v>
      </c>
      <c r="O9" s="185">
        <f t="shared" si="1"/>
        <v>1.5</v>
      </c>
      <c r="P9" s="185">
        <f t="shared" si="1"/>
        <v>1.5</v>
      </c>
      <c r="Q9" s="185">
        <f t="shared" si="1"/>
        <v>2</v>
      </c>
      <c r="R9" s="185">
        <f t="shared" si="1"/>
        <v>1.5</v>
      </c>
      <c r="S9" s="185">
        <f t="shared" si="1"/>
        <v>2.25</v>
      </c>
      <c r="T9" s="185">
        <f>(T5+T6+T7+T8)/4</f>
        <v>2</v>
      </c>
      <c r="U9" s="185">
        <f>(U5+U6+U7+U8)/4</f>
        <v>2</v>
      </c>
      <c r="V9" s="20"/>
    </row>
    <row r="10" spans="1:22" ht="15.6">
      <c r="A10" s="179" t="s">
        <v>275</v>
      </c>
      <c r="B10" s="154"/>
      <c r="C10" s="154"/>
      <c r="D10" s="154"/>
      <c r="E10" s="186"/>
      <c r="F10" s="186"/>
      <c r="G10" s="154"/>
      <c r="H10" s="154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20"/>
    </row>
    <row r="11" spans="1:22" ht="15.6">
      <c r="A11" s="59" t="s">
        <v>143</v>
      </c>
      <c r="B11" s="181" t="s">
        <v>276</v>
      </c>
      <c r="C11" s="187"/>
      <c r="D11" s="188"/>
      <c r="E11" s="188"/>
      <c r="F11" s="188"/>
      <c r="G11" s="188"/>
      <c r="H11" s="188"/>
      <c r="I11" s="188"/>
      <c r="J11" s="188"/>
      <c r="K11" s="188"/>
      <c r="L11" s="188" t="str">
        <f>IF(CAELS!M8&lt;4%,"1",IF(CAELS!M8&lt;8%,"2",IF(CAELS!M8&lt;12%,"3",IF(CAELS!M8&lt;15%,"4","5"))))</f>
        <v>1</v>
      </c>
      <c r="M11" s="188"/>
      <c r="N11" s="188"/>
      <c r="O11" s="188" t="str">
        <f>IF(CAELS!P8&lt;4%,"1",IF(CAELS!P8&lt;8%,"2",IF(CAELS!P8&lt;12%,"3",IF(CAELS!P8&lt;15%,"4","5"))))</f>
        <v>1</v>
      </c>
      <c r="P11" s="188"/>
      <c r="Q11" s="188"/>
      <c r="R11" s="188" t="str">
        <f>IF(CAELS!S8&lt;4%,"1",IF(CAELS!S8&lt;8%,"2",IF(CAELS!S8&lt;12%,"3",IF(CAELS!S8&lt;15%,"4","5"))))</f>
        <v>1</v>
      </c>
      <c r="S11" s="188"/>
      <c r="T11" s="188"/>
      <c r="U11" s="188" t="str">
        <f>IF(CAELS!V8&lt;4%,"1",IF(CAELS!V8&lt;8%,"2",IF(CAELS!V8&lt;12%,"3",IF(CAELS!V8&lt;15%,"4","5"))))</f>
        <v>1</v>
      </c>
      <c r="V11" s="20"/>
    </row>
    <row r="12" spans="1:22" ht="15.6">
      <c r="A12" s="59"/>
      <c r="B12" s="181"/>
      <c r="C12" s="187">
        <f t="shared" ref="C12:K12" si="2">C11</f>
        <v>0</v>
      </c>
      <c r="D12" s="187">
        <f t="shared" si="2"/>
        <v>0</v>
      </c>
      <c r="E12" s="188">
        <f t="shared" si="2"/>
        <v>0</v>
      </c>
      <c r="F12" s="188">
        <f t="shared" si="2"/>
        <v>0</v>
      </c>
      <c r="G12" s="187">
        <f t="shared" si="2"/>
        <v>0</v>
      </c>
      <c r="H12" s="187">
        <f t="shared" si="2"/>
        <v>0</v>
      </c>
      <c r="I12" s="188">
        <f t="shared" si="2"/>
        <v>0</v>
      </c>
      <c r="J12" s="188">
        <f t="shared" si="2"/>
        <v>0</v>
      </c>
      <c r="K12" s="188">
        <f t="shared" si="2"/>
        <v>0</v>
      </c>
      <c r="L12" s="188" t="str">
        <f t="shared" ref="L12:S12" si="3">L11</f>
        <v>1</v>
      </c>
      <c r="M12" s="188">
        <f t="shared" si="3"/>
        <v>0</v>
      </c>
      <c r="N12" s="188">
        <f t="shared" si="3"/>
        <v>0</v>
      </c>
      <c r="O12" s="188" t="str">
        <f t="shared" si="3"/>
        <v>1</v>
      </c>
      <c r="P12" s="188">
        <f t="shared" si="3"/>
        <v>0</v>
      </c>
      <c r="Q12" s="188">
        <f t="shared" si="3"/>
        <v>0</v>
      </c>
      <c r="R12" s="188" t="str">
        <f t="shared" si="3"/>
        <v>1</v>
      </c>
      <c r="S12" s="188">
        <f t="shared" si="3"/>
        <v>0</v>
      </c>
      <c r="T12" s="188">
        <f>T11</f>
        <v>0</v>
      </c>
      <c r="U12" s="188" t="str">
        <f>U11</f>
        <v>1</v>
      </c>
      <c r="V12" s="20"/>
    </row>
    <row r="13" spans="1:22" ht="15.6">
      <c r="A13" s="179" t="s">
        <v>277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20"/>
    </row>
    <row r="14" spans="1:22" ht="15.6">
      <c r="A14" s="59" t="s">
        <v>228</v>
      </c>
      <c r="B14" s="141"/>
      <c r="C14" s="183"/>
      <c r="D14" s="183" t="str">
        <f>IF(CAELS!E9&gt;6%,"1",IF(CAELS!E9&gt;4%,"2",IF(CAELS!E9&gt;2%,"3",IF(CAELS!E9&gt;0%,"4","5"))))</f>
        <v>2</v>
      </c>
      <c r="E14" s="183" t="str">
        <f>IF(CAELS!F9&gt;6%,"1",IF(CAELS!F9&gt;4%,"2",IF(CAELS!F9&gt;2%,"3",IF(CAELS!F9&gt;0%,"4","5"))))</f>
        <v>5</v>
      </c>
      <c r="F14" s="183" t="str">
        <f>IF(CAELS!G9&gt;6%,"1",IF(CAELS!G9&gt;4%,"2",IF(CAELS!G9&gt;2%,"3",IF(CAELS!G9&gt;0%,"4","5"))))</f>
        <v>4</v>
      </c>
      <c r="G14" s="183" t="str">
        <f>IF(CAELS!H9&gt;6%,"1",IF(CAELS!H9&gt;4%,"2",IF(CAELS!H9&gt;2%,"3",IF(CAELS!H9&gt;0%,"4","5"))))</f>
        <v>4</v>
      </c>
      <c r="H14" s="183" t="str">
        <f>IF(CAELS!I9&gt;6%,"1",IF(CAELS!I9&gt;4%,"2",IF(CAELS!I9&gt;2%,"3",IF(CAELS!I9&gt;0%,"4","5"))))</f>
        <v>4</v>
      </c>
      <c r="I14" s="183" t="str">
        <f>IF(CAELS!J9&gt;6%,"1",IF(CAELS!J9&gt;4%,"2",IF(CAELS!J9&gt;2%,"3",IF(CAELS!J9&gt;0%,"4","5"))))</f>
        <v>4</v>
      </c>
      <c r="J14" s="183" t="str">
        <f>IF(CAELS!K9&gt;6%,"1",IF(CAELS!K9&gt;4%,"2",IF(CAELS!K9&gt;2%,"3",IF(CAELS!K9&gt;0%,"4","5"))))</f>
        <v>4</v>
      </c>
      <c r="K14" s="183" t="str">
        <f>IF(CAELS!L9&gt;6%,"1",IF(CAELS!L9&gt;4%,"2",IF(CAELS!L9&gt;2%,"3",IF(CAELS!L9&gt;0%,"4","5"))))</f>
        <v>3</v>
      </c>
      <c r="L14" s="183" t="str">
        <f>IF(CAELS!M9&gt;6%,"1",IF(CAELS!M9&gt;4%,"2",IF(CAELS!M9&gt;2%,"3",IF(CAELS!M9&gt;0%,"4","5"))))</f>
        <v>3</v>
      </c>
      <c r="M14" s="183" t="str">
        <f>IF(CAELS!N9&gt;6%,"1",IF(CAELS!N9&gt;4%,"2",IF(CAELS!N9&gt;2%,"3",IF(CAELS!N9&gt;0%,"4","5"))))</f>
        <v>3</v>
      </c>
      <c r="N14" s="183" t="str">
        <f>IF(CAELS!O9&gt;6%,"1",IF(CAELS!O9&gt;4%,"2",IF(CAELS!O9&gt;2%,"3",IF(CAELS!O9&gt;0%,"4","5"))))</f>
        <v>3</v>
      </c>
      <c r="O14" s="183" t="str">
        <f>IF(CAELS!P9&gt;6%,"1",IF(CAELS!P9&gt;4%,"2",IF(CAELS!P9&gt;2%,"3",IF(CAELS!P9&gt;0%,"4","5"))))</f>
        <v>2</v>
      </c>
      <c r="P14" s="183" t="str">
        <f>IF(CAELS!Q9&gt;6%,"1",IF(CAELS!Q9&gt;4%,"2",IF(CAELS!Q9&gt;2%,"3",IF(CAELS!Q9&gt;0%,"4","5"))))</f>
        <v>2</v>
      </c>
      <c r="Q14" s="183" t="str">
        <f>IF(CAELS!R9&gt;6%,"1",IF(CAELS!R9&gt;4%,"2",IF(CAELS!R9&gt;2%,"3",IF(CAELS!R9&gt;0%,"4","5"))))</f>
        <v>3</v>
      </c>
      <c r="R14" s="183" t="str">
        <f>IF(CAELS!S9&gt;6%,"1",IF(CAELS!S9&gt;4%,"2",IF(CAELS!S9&gt;2%,"3",IF(CAELS!S9&gt;0%,"4","5"))))</f>
        <v>5</v>
      </c>
      <c r="S14" s="183" t="str">
        <f>IF(CAELS!T9&gt;6%,"1",IF(CAELS!T9&gt;4%,"2",IF(CAELS!T9&gt;2%,"3",IF(CAELS!T9&gt;0%,"4","5"))))</f>
        <v>5</v>
      </c>
      <c r="T14" s="183" t="str">
        <f>IF(CAELS!U9&gt;6%,"1",IF(CAELS!U9&gt;4%,"2",IF(CAELS!U9&gt;2%,"3",IF(CAELS!U9&gt;0%,"4","5"))))</f>
        <v>4</v>
      </c>
      <c r="U14" s="183" t="str">
        <f>IF(CAELS!V9&gt;6%,"1",IF(CAELS!V9&gt;4%,"2",IF(CAELS!V9&gt;2%,"3",IF(CAELS!V9&gt;0%,"4","5"))))</f>
        <v>4</v>
      </c>
      <c r="V14" s="20"/>
    </row>
    <row r="15" spans="1:22" ht="15.6">
      <c r="A15" s="59" t="s">
        <v>278</v>
      </c>
      <c r="B15" s="141"/>
      <c r="C15" s="188" t="str">
        <f>IF(CAELS!D10&lt;60%,"1",IF(CAELS!D10&lt;70%,"2",IF(CAELS!D10&lt;80%,"3",IF(CAELS!D10&lt;90%,"4","5"))))</f>
        <v>3</v>
      </c>
      <c r="D15" s="188" t="str">
        <f>IF(CAELS!E10&lt;60%,"1",IF(CAELS!E10&lt;70%,"2",IF(CAELS!E10&lt;80%,"3",IF(CAELS!E10&lt;90%,"4","5"))))</f>
        <v>1</v>
      </c>
      <c r="E15" s="188" t="str">
        <f>IF(CAELS!F10&lt;60%,"1",IF(CAELS!F10&lt;70%,"2",IF(CAELS!F10&lt;80%,"3",IF(CAELS!F10&lt;90%,"4","5"))))</f>
        <v>1</v>
      </c>
      <c r="F15" s="188" t="str">
        <f>IF(CAELS!G10&lt;60%,"1",IF(CAELS!G10&lt;70%,"2",IF(CAELS!G10&lt;80%,"3",IF(CAELS!G10&lt;90%,"4","5"))))</f>
        <v>2</v>
      </c>
      <c r="G15" s="188" t="str">
        <f>IF(CAELS!H10&lt;60%,"1",IF(CAELS!H10&lt;70%,"2",IF(CAELS!H10&lt;80%,"3",IF(CAELS!H10&lt;90%,"4","5"))))</f>
        <v>2</v>
      </c>
      <c r="H15" s="188" t="str">
        <f>IF(CAELS!I10&lt;60%,"1",IF(CAELS!I10&lt;70%,"2",IF(CAELS!I10&lt;80%,"3",IF(CAELS!I10&lt;90%,"4","5"))))</f>
        <v>2</v>
      </c>
      <c r="I15" s="188" t="str">
        <f>IF(CAELS!J10&lt;60%,"1",IF(CAELS!J10&lt;70%,"2",IF(CAELS!J10&lt;80%,"3",IF(CAELS!J10&lt;90%,"4","5"))))</f>
        <v>1</v>
      </c>
      <c r="J15" s="188" t="str">
        <f>IF(CAELS!K10&lt;60%,"1",IF(CAELS!K10&lt;70%,"2",IF(CAELS!K10&lt;80%,"3",IF(CAELS!K10&lt;90%,"4","5"))))</f>
        <v>1</v>
      </c>
      <c r="K15" s="188" t="str">
        <f>IF(CAELS!L10&lt;60%,"1",IF(CAELS!L10&lt;70%,"2",IF(CAELS!L10&lt;80%,"3",IF(CAELS!L10&lt;90%,"4","5"))))</f>
        <v>1</v>
      </c>
      <c r="L15" s="188" t="str">
        <f>IF(CAELS!M10&lt;60%,"1",IF(CAELS!M10&lt;70%,"2",IF(CAELS!M10&lt;80%,"3",IF(CAELS!M10&lt;90%,"4","5"))))</f>
        <v>1</v>
      </c>
      <c r="M15" s="188" t="str">
        <f>IF(CAELS!N10&lt;60%,"1",IF(CAELS!N10&lt;70%,"2",IF(CAELS!N10&lt;80%,"3",IF(CAELS!N10&lt;90%,"4","5"))))</f>
        <v>1</v>
      </c>
      <c r="N15" s="188" t="str">
        <f>IF(CAELS!O10&lt;60%,"1",IF(CAELS!O10&lt;70%,"2",IF(CAELS!O10&lt;80%,"3",IF(CAELS!O10&lt;90%,"4","5"))))</f>
        <v>1</v>
      </c>
      <c r="O15" s="188" t="str">
        <f>IF(CAELS!P10&lt;60%,"1",IF(CAELS!P10&lt;70%,"2",IF(CAELS!P10&lt;80%,"3",IF(CAELS!P10&lt;90%,"4","5"))))</f>
        <v>1</v>
      </c>
      <c r="P15" s="188" t="str">
        <f>IF(CAELS!Q10&lt;60%,"1",IF(CAELS!Q10&lt;70%,"2",IF(CAELS!Q10&lt;80%,"3",IF(CAELS!Q10&lt;90%,"4","5"))))</f>
        <v>1</v>
      </c>
      <c r="Q15" s="188" t="str">
        <f>IF(CAELS!R10&lt;60%,"1",IF(CAELS!R10&lt;70%,"2",IF(CAELS!R10&lt;80%,"3",IF(CAELS!R10&lt;90%,"4","5"))))</f>
        <v>1</v>
      </c>
      <c r="R15" s="188" t="str">
        <f>IF(CAELS!S10&lt;60%,"1",IF(CAELS!S10&lt;70%,"2",IF(CAELS!S10&lt;80%,"3",IF(CAELS!S10&lt;90%,"4","5"))))</f>
        <v>1</v>
      </c>
      <c r="S15" s="188" t="str">
        <f>IF(CAELS!T10&lt;60%,"1",IF(CAELS!T10&lt;70%,"2",IF(CAELS!T10&lt;80%,"3",IF(CAELS!T10&lt;90%,"4","5"))))</f>
        <v>3</v>
      </c>
      <c r="T15" s="188" t="str">
        <f>IF(CAELS!U10&lt;60%,"1",IF(CAELS!U10&lt;70%,"2",IF(CAELS!U10&lt;80%,"3",IF(CAELS!U10&lt;90%,"4","5"))))</f>
        <v>2</v>
      </c>
      <c r="U15" s="188" t="str">
        <f>IF(CAELS!V10&lt;60%,"1",IF(CAELS!V10&lt;70%,"2",IF(CAELS!V10&lt;80%,"3",IF(CAELS!V10&lt;90%,"4","5"))))</f>
        <v>2</v>
      </c>
      <c r="V15" s="20"/>
    </row>
    <row r="16" spans="1:22" ht="15.6">
      <c r="A16" s="59" t="s">
        <v>279</v>
      </c>
      <c r="B16" s="141"/>
      <c r="C16" s="183" t="str">
        <f>IF(CAELS!D11&lt;4%,"1",IF(CAELS!D11&lt;6%,"2",IF(CAELS!D11&lt;8%,"3",IF(CAELS!D11&lt;10%,"4","5"))))</f>
        <v>1</v>
      </c>
      <c r="D16" s="183" t="str">
        <f>IF(CAELS!E11&lt;4%,"1",IF(CAELS!E11&lt;6%,"2",IF(CAELS!E11&lt;8%,"3",IF(CAELS!E11&lt;10%,"4","5"))))</f>
        <v>4</v>
      </c>
      <c r="E16" s="183" t="str">
        <f>IF(CAELS!F11&lt;4%,"1",IF(CAELS!F11&lt;6%,"2",IF(CAELS!F11&lt;8%,"3",IF(CAELS!F11&lt;10%,"4","5"))))</f>
        <v>1</v>
      </c>
      <c r="F16" s="183" t="str">
        <f>IF(CAELS!G11&lt;4%,"1",IF(CAELS!G11&lt;6%,"2",IF(CAELS!G11&lt;8%,"3",IF(CAELS!G11&lt;10%,"4","5"))))</f>
        <v>1</v>
      </c>
      <c r="G16" s="183" t="str">
        <f>IF(CAELS!H11&lt;4%,"1",IF(CAELS!H11&lt;6%,"2",IF(CAELS!H11&lt;8%,"3",IF(CAELS!H11&lt;10%,"4","5"))))</f>
        <v>1</v>
      </c>
      <c r="H16" s="183" t="str">
        <f>IF(CAELS!I11&lt;4%,"1",IF(CAELS!I11&lt;6%,"2",IF(CAELS!I11&lt;8%,"3",IF(CAELS!I11&lt;10%,"4","5"))))</f>
        <v>1</v>
      </c>
      <c r="I16" s="183" t="str">
        <f>IF(CAELS!J11&lt;4%,"1",IF(CAELS!J11&lt;6%,"2",IF(CAELS!J11&lt;8%,"3",IF(CAELS!J11&lt;10%,"4","5"))))</f>
        <v>2</v>
      </c>
      <c r="J16" s="183" t="str">
        <f>IF(CAELS!K11&lt;4%,"1",IF(CAELS!K11&lt;6%,"2",IF(CAELS!K11&lt;8%,"3",IF(CAELS!K11&lt;10%,"4","5"))))</f>
        <v>2</v>
      </c>
      <c r="K16" s="183" t="str">
        <f>IF(CAELS!L11&lt;4%,"1",IF(CAELS!L11&lt;6%,"2",IF(CAELS!L11&lt;8%,"3",IF(CAELS!L11&lt;10%,"4","5"))))</f>
        <v>2</v>
      </c>
      <c r="L16" s="183" t="str">
        <f>IF(CAELS!M11&lt;4%,"1",IF(CAELS!M11&lt;6%,"2",IF(CAELS!M11&lt;8%,"3",IF(CAELS!M11&lt;10%,"4","5"))))</f>
        <v>2</v>
      </c>
      <c r="M16" s="183" t="str">
        <f>IF(CAELS!N11&lt;4%,"1",IF(CAELS!N11&lt;6%,"2",IF(CAELS!N11&lt;8%,"3",IF(CAELS!N11&lt;10%,"4","5"))))</f>
        <v>3</v>
      </c>
      <c r="N16" s="183" t="str">
        <f>IF(CAELS!O11&lt;4%,"1",IF(CAELS!O11&lt;6%,"2",IF(CAELS!O11&lt;8%,"3",IF(CAELS!O11&lt;10%,"4","5"))))</f>
        <v>3</v>
      </c>
      <c r="O16" s="183" t="str">
        <f>IF(CAELS!P11&lt;4%,"1",IF(CAELS!P11&lt;6%,"2",IF(CAELS!P11&lt;8%,"3",IF(CAELS!P11&lt;10%,"4","5"))))</f>
        <v>4</v>
      </c>
      <c r="P16" s="183" t="str">
        <f>IF(CAELS!Q11&lt;4%,"1",IF(CAELS!Q11&lt;6%,"2",IF(CAELS!Q11&lt;8%,"3",IF(CAELS!Q11&lt;10%,"4","5"))))</f>
        <v>4</v>
      </c>
      <c r="Q16" s="183" t="str">
        <f>IF(CAELS!R11&lt;4%,"1",IF(CAELS!R11&lt;6%,"2",IF(CAELS!R11&lt;8%,"3",IF(CAELS!R11&lt;10%,"4","5"))))</f>
        <v>5</v>
      </c>
      <c r="R16" s="183" t="str">
        <f>IF(CAELS!S11&lt;4%,"1",IF(CAELS!S11&lt;6%,"2",IF(CAELS!S11&lt;8%,"3",IF(CAELS!S11&lt;10%,"4","5"))))</f>
        <v>1</v>
      </c>
      <c r="S16" s="183" t="str">
        <f>IF(CAELS!T11&lt;4%,"1",IF(CAELS!T11&lt;6%,"2",IF(CAELS!T11&lt;8%,"3",IF(CAELS!T11&lt;10%,"4","5"))))</f>
        <v>1</v>
      </c>
      <c r="T16" s="183" t="str">
        <f>IF(CAELS!U11&lt;4%,"1",IF(CAELS!U11&lt;6%,"2",IF(CAELS!U11&lt;8%,"3",IF(CAELS!U11&lt;10%,"4","5"))))</f>
        <v>1</v>
      </c>
      <c r="U16" s="183" t="str">
        <f>IF(CAELS!V11&lt;4%,"1",IF(CAELS!V11&lt;6%,"2",IF(CAELS!V11&lt;8%,"3",IF(CAELS!V11&lt;10%,"4","5"))))</f>
        <v>2</v>
      </c>
      <c r="V16" s="20"/>
    </row>
    <row r="17" spans="1:22" ht="15.6">
      <c r="A17" s="59"/>
      <c r="B17" s="141"/>
      <c r="C17" s="189">
        <f t="shared" ref="C17:K17" si="4">(C14+C15+C16)/3</f>
        <v>1.3333333333333333</v>
      </c>
      <c r="D17" s="189">
        <f t="shared" si="4"/>
        <v>2.3333333333333335</v>
      </c>
      <c r="E17" s="189">
        <f t="shared" si="4"/>
        <v>2.3333333333333335</v>
      </c>
      <c r="F17" s="189">
        <f t="shared" si="4"/>
        <v>2.3333333333333335</v>
      </c>
      <c r="G17" s="189">
        <f t="shared" si="4"/>
        <v>2.3333333333333335</v>
      </c>
      <c r="H17" s="189">
        <f t="shared" si="4"/>
        <v>2.3333333333333335</v>
      </c>
      <c r="I17" s="189">
        <f t="shared" si="4"/>
        <v>2.3333333333333335</v>
      </c>
      <c r="J17" s="189">
        <f t="shared" si="4"/>
        <v>2.3333333333333335</v>
      </c>
      <c r="K17" s="189">
        <f t="shared" si="4"/>
        <v>2</v>
      </c>
      <c r="L17" s="189">
        <f t="shared" ref="L17:S17" si="5">(L14+L15+L16)/3</f>
        <v>2</v>
      </c>
      <c r="M17" s="189">
        <f t="shared" si="5"/>
        <v>2.3333333333333335</v>
      </c>
      <c r="N17" s="189">
        <f t="shared" si="5"/>
        <v>2.3333333333333335</v>
      </c>
      <c r="O17" s="189">
        <f t="shared" si="5"/>
        <v>2.3333333333333335</v>
      </c>
      <c r="P17" s="189">
        <f t="shared" si="5"/>
        <v>2.3333333333333335</v>
      </c>
      <c r="Q17" s="189">
        <f t="shared" si="5"/>
        <v>3</v>
      </c>
      <c r="R17" s="189">
        <f t="shared" si="5"/>
        <v>2.3333333333333335</v>
      </c>
      <c r="S17" s="189">
        <f t="shared" si="5"/>
        <v>3</v>
      </c>
      <c r="T17" s="189">
        <f>(T14+T15+T16)/3</f>
        <v>2.3333333333333335</v>
      </c>
      <c r="U17" s="189">
        <f>(U14+U15+U16)/3</f>
        <v>2.6666666666666665</v>
      </c>
      <c r="V17" s="20"/>
    </row>
    <row r="18" spans="1:22" ht="15.6">
      <c r="A18" s="179" t="s">
        <v>231</v>
      </c>
      <c r="B18" s="154"/>
      <c r="C18" s="154"/>
      <c r="D18" s="154"/>
      <c r="E18" s="154"/>
      <c r="F18" s="154"/>
      <c r="G18" s="154"/>
      <c r="H18" s="154"/>
      <c r="I18" s="154"/>
      <c r="J18" s="154"/>
      <c r="K18" s="154"/>
      <c r="L18" s="154"/>
      <c r="M18" s="154"/>
      <c r="N18" s="154"/>
      <c r="O18" s="154"/>
      <c r="P18" s="154"/>
      <c r="Q18" s="154"/>
      <c r="R18" s="154"/>
      <c r="S18" s="154"/>
      <c r="T18" s="154"/>
      <c r="U18" s="154"/>
      <c r="V18" s="20"/>
    </row>
    <row r="19" spans="1:22" ht="15.6">
      <c r="A19" s="59" t="s">
        <v>280</v>
      </c>
      <c r="B19" s="190">
        <v>0.15</v>
      </c>
      <c r="C19" s="183" t="str">
        <f>IF(CAELS!D12&gt;30%,"1",IF(CAELS!D12&gt;25%,"2",IF(CAELS!D12&gt;20%,"3",IF(CAELS!D12&gt;15%,"4","5"))))</f>
        <v>1</v>
      </c>
      <c r="D19" s="183" t="str">
        <f>IF(CAELS!E12&gt;30%,"1",IF(CAELS!E12&gt;25%,"2",IF(CAELS!E12&gt;20%,"3",IF(CAELS!E12&gt;15%,"4","5"))))</f>
        <v>1</v>
      </c>
      <c r="E19" s="183" t="str">
        <f>IF(CAELS!F12&gt;30%,"1",IF(CAELS!F12&gt;25%,"2",IF(CAELS!F12&gt;20%,"3",IF(CAELS!F12&gt;15%,"4","5"))))</f>
        <v>1</v>
      </c>
      <c r="F19" s="183" t="str">
        <f>IF(CAELS!G12&gt;30%,"1",IF(CAELS!G12&gt;25%,"2",IF(CAELS!G12&gt;20%,"3",IF(CAELS!G12&gt;15%,"4","5"))))</f>
        <v>1</v>
      </c>
      <c r="G19" s="183" t="str">
        <f>IF(CAELS!H12&gt;30%,"1",IF(CAELS!H12&gt;25%,"2",IF(CAELS!H12&gt;20%,"3",IF(CAELS!H12&gt;15%,"4","5"))))</f>
        <v>1</v>
      </c>
      <c r="H19" s="183" t="str">
        <f>IF(CAELS!I12&gt;30%,"1",IF(CAELS!I12&gt;25%,"2",IF(CAELS!I12&gt;20%,"3",IF(CAELS!I12&gt;15%,"4","5"))))</f>
        <v>1</v>
      </c>
      <c r="I19" s="183" t="str">
        <f>IF(CAELS!J12&gt;30%,"1",IF(CAELS!J12&gt;25%,"2",IF(CAELS!J12&gt;20%,"3",IF(CAELS!J12&gt;15%,"4","5"))))</f>
        <v>1</v>
      </c>
      <c r="J19" s="183" t="str">
        <f>IF(CAELS!K12&gt;30%,"1",IF(CAELS!K12&gt;25%,"2",IF(CAELS!K12&gt;20%,"3",IF(CAELS!K12&gt;15%,"4","5"))))</f>
        <v>1</v>
      </c>
      <c r="K19" s="183" t="str">
        <f>IF(CAELS!L12&gt;30%,"1",IF(CAELS!L12&gt;25%,"2",IF(CAELS!L12&gt;20%,"3",IF(CAELS!L12&gt;15%,"4","5"))))</f>
        <v>1</v>
      </c>
      <c r="L19" s="183" t="str">
        <f>IF(CAELS!M12&gt;30%,"1",IF(CAELS!M12&gt;25%,"2",IF(CAELS!M12&gt;20%,"3",IF(CAELS!M12&gt;15%,"4","5"))))</f>
        <v>1</v>
      </c>
      <c r="M19" s="183" t="str">
        <f>IF(CAELS!N12&gt;30%,"1",IF(CAELS!N12&gt;25%,"2",IF(CAELS!N12&gt;20%,"3",IF(CAELS!N12&gt;15%,"4","5"))))</f>
        <v>1</v>
      </c>
      <c r="N19" s="183" t="str">
        <f>IF(CAELS!O12&gt;30%,"1",IF(CAELS!O12&gt;25%,"2",IF(CAELS!O12&gt;20%,"3",IF(CAELS!O12&gt;15%,"4","5"))))</f>
        <v>1</v>
      </c>
      <c r="O19" s="183" t="str">
        <f>IF(CAELS!P12&gt;30%,"1",IF(CAELS!P12&gt;25%,"2",IF(CAELS!P12&gt;20%,"3",IF(CAELS!P12&gt;15%,"4","5"))))</f>
        <v>1</v>
      </c>
      <c r="P19" s="183" t="str">
        <f>IF(CAELS!Q12&gt;30%,"1",IF(CAELS!Q12&gt;25%,"2",IF(CAELS!Q12&gt;20%,"3",IF(CAELS!Q12&gt;15%,"4","5"))))</f>
        <v>1</v>
      </c>
      <c r="Q19" s="183" t="str">
        <f>IF(CAELS!R12&gt;30%,"1",IF(CAELS!R12&gt;25%,"2",IF(CAELS!R12&gt;20%,"3",IF(CAELS!R12&gt;15%,"4","5"))))</f>
        <v>1</v>
      </c>
      <c r="R19" s="183" t="str">
        <f>IF(CAELS!S12&gt;30%,"1",IF(CAELS!S12&gt;25%,"2",IF(CAELS!S12&gt;20%,"3",IF(CAELS!S12&gt;15%,"4","5"))))</f>
        <v>1</v>
      </c>
      <c r="S19" s="183" t="str">
        <f>IF(CAELS!T12&gt;30%,"1",IF(CAELS!T12&gt;25%,"2",IF(CAELS!T12&gt;20%,"3",IF(CAELS!T12&gt;15%,"4","5"))))</f>
        <v>1</v>
      </c>
      <c r="T19" s="183" t="str">
        <f>IF(CAELS!U12&gt;30%,"1",IF(CAELS!U12&gt;25%,"2",IF(CAELS!U12&gt;20%,"3",IF(CAELS!U12&gt;15%,"4","5"))))</f>
        <v>1</v>
      </c>
      <c r="U19" s="183" t="str">
        <f>IF(CAELS!V12&gt;30%,"1",IF(CAELS!V12&gt;25%,"2",IF(CAELS!V12&gt;20%,"3",IF(CAELS!V12&gt;15%,"4","5"))))</f>
        <v>2</v>
      </c>
      <c r="V19" s="20"/>
    </row>
    <row r="20" spans="1:22" ht="15.6">
      <c r="A20" s="59" t="s">
        <v>281</v>
      </c>
      <c r="B20" s="190"/>
      <c r="C20" s="183" t="str">
        <f>IF(CAELS!D13&gt;30%,"1",IF(CAELS!D13&gt;25%,"2",IF(CAELS!D13&gt;20%,"3",IF(CAELS!D13&gt;15%,"4","5"))))</f>
        <v>5</v>
      </c>
      <c r="D20" s="183" t="str">
        <f>IF(CAELS!E13&gt;30%,"1",IF(CAELS!E13&gt;25%,"2",IF(CAELS!E13&gt;20%,"3",IF(CAELS!E13&gt;15%,"4","5"))))</f>
        <v>5</v>
      </c>
      <c r="E20" s="183" t="str">
        <f>IF(CAELS!F13&gt;30%,"1",IF(CAELS!F13&gt;25%,"2",IF(CAELS!F13&gt;20%,"3",IF(CAELS!F13&gt;15%,"4","5"))))</f>
        <v>5</v>
      </c>
      <c r="F20" s="183" t="str">
        <f>IF(CAELS!G13&gt;30%,"1",IF(CAELS!G13&gt;25%,"2",IF(CAELS!G13&gt;20%,"3",IF(CAELS!G13&gt;15%,"4","5"))))</f>
        <v>5</v>
      </c>
      <c r="G20" s="183" t="str">
        <f>IF(CAELS!H13&gt;30%,"1",IF(CAELS!H13&gt;25%,"2",IF(CAELS!H13&gt;20%,"3",IF(CAELS!H13&gt;15%,"4","5"))))</f>
        <v>5</v>
      </c>
      <c r="H20" s="183" t="str">
        <f>IF(CAELS!I13&gt;30%,"1",IF(CAELS!I13&gt;25%,"2",IF(CAELS!I13&gt;20%,"3",IF(CAELS!I13&gt;15%,"4","5"))))</f>
        <v>5</v>
      </c>
      <c r="I20" s="183" t="str">
        <f>IF(CAELS!J13&gt;30%,"1",IF(CAELS!J13&gt;25%,"2",IF(CAELS!J13&gt;20%,"3",IF(CAELS!J13&gt;15%,"4","5"))))</f>
        <v>5</v>
      </c>
      <c r="J20" s="183" t="str">
        <f>IF(CAELS!K13&gt;30%,"1",IF(CAELS!K13&gt;25%,"2",IF(CAELS!K13&gt;20%,"3",IF(CAELS!K13&gt;15%,"4","5"))))</f>
        <v>5</v>
      </c>
      <c r="K20" s="183" t="str">
        <f>IF(CAELS!L13&gt;30%,"1",IF(CAELS!L13&gt;25%,"2",IF(CAELS!L13&gt;20%,"3",IF(CAELS!L13&gt;15%,"4","5"))))</f>
        <v>5</v>
      </c>
      <c r="L20" s="183" t="str">
        <f>IF(CAELS!M13&gt;30%,"1",IF(CAELS!M13&gt;25%,"2",IF(CAELS!M13&gt;20%,"3",IF(CAELS!M13&gt;15%,"4","5"))))</f>
        <v>5</v>
      </c>
      <c r="M20" s="183" t="str">
        <f>IF(CAELS!N13&gt;30%,"1",IF(CAELS!N13&gt;25%,"2",IF(CAELS!N13&gt;20%,"3",IF(CAELS!N13&gt;15%,"4","5"))))</f>
        <v>4</v>
      </c>
      <c r="N20" s="183" t="str">
        <f>IF(CAELS!O13&gt;30%,"1",IF(CAELS!O13&gt;25%,"2",IF(CAELS!O13&gt;20%,"3",IF(CAELS!O13&gt;15%,"4","5"))))</f>
        <v>5</v>
      </c>
      <c r="O20" s="183" t="str">
        <f>IF(CAELS!P13&gt;30%,"1",IF(CAELS!P13&gt;25%,"2",IF(CAELS!P13&gt;20%,"3",IF(CAELS!P13&gt;15%,"4","5"))))</f>
        <v>5</v>
      </c>
      <c r="P20" s="183" t="str">
        <f>IF(CAELS!Q13&gt;30%,"1",IF(CAELS!Q13&gt;25%,"2",IF(CAELS!Q13&gt;20%,"3",IF(CAELS!Q13&gt;15%,"4","5"))))</f>
        <v>5</v>
      </c>
      <c r="Q20" s="183" t="str">
        <f>IF(CAELS!R13&gt;30%,"1",IF(CAELS!R13&gt;25%,"2",IF(CAELS!R13&gt;20%,"3",IF(CAELS!R13&gt;15%,"4","5"))))</f>
        <v>5</v>
      </c>
      <c r="R20" s="183" t="str">
        <f>IF(CAELS!S13&gt;30%,"1",IF(CAELS!S13&gt;25%,"2",IF(CAELS!S13&gt;20%,"3",IF(CAELS!S13&gt;15%,"4","5"))))</f>
        <v>5</v>
      </c>
      <c r="S20" s="183" t="str">
        <f>IF(CAELS!T13&gt;30%,"1",IF(CAELS!T13&gt;25%,"2",IF(CAELS!T13&gt;20%,"3",IF(CAELS!T13&gt;15%,"4","5"))))</f>
        <v>5</v>
      </c>
      <c r="T20" s="183" t="str">
        <f>IF(CAELS!U13&gt;30%,"1",IF(CAELS!U13&gt;25%,"2",IF(CAELS!U13&gt;20%,"3",IF(CAELS!U13&gt;15%,"4","5"))))</f>
        <v>5</v>
      </c>
      <c r="U20" s="183" t="str">
        <f>IF(CAELS!V13&gt;30%,"1",IF(CAELS!V13&gt;25%,"2",IF(CAELS!V13&gt;20%,"3",IF(CAELS!V13&gt;15%,"4","5"))))</f>
        <v>5</v>
      </c>
      <c r="V20" s="20"/>
    </row>
    <row r="21" spans="1:22" ht="15.6">
      <c r="A21" s="59" t="s">
        <v>282</v>
      </c>
      <c r="B21" s="181" t="s">
        <v>283</v>
      </c>
      <c r="C21" s="183" t="str">
        <f>IF(CAELS!D14&lt;15%,"1",IF(CAELS!D14&lt;18%,"2",IF(CAELS!D14&lt;22%,"3",IF(CAELS!D14&lt;25%,"4","5"))))</f>
        <v>1</v>
      </c>
      <c r="D21" s="183" t="str">
        <f>IF(CAELS!E14&lt;15%,"1",IF(CAELS!E14&lt;18%,"2",IF(CAELS!E14&lt;22%,"3",IF(CAELS!E14&lt;25%,"4","5"))))</f>
        <v>1</v>
      </c>
      <c r="E21" s="183" t="str">
        <f>IF(CAELS!F14&lt;15%,"1",IF(CAELS!F14&lt;18%,"2",IF(CAELS!F14&lt;22%,"3",IF(CAELS!F14&lt;25%,"4","5"))))</f>
        <v>1</v>
      </c>
      <c r="F21" s="183" t="str">
        <f>IF(CAELS!G14&lt;15%,"1",IF(CAELS!G14&lt;18%,"2",IF(CAELS!G14&lt;22%,"3",IF(CAELS!G14&lt;25%,"4","5"))))</f>
        <v>1</v>
      </c>
      <c r="G21" s="183" t="str">
        <f>IF(CAELS!H14&lt;15%,"1",IF(CAELS!H14&lt;18%,"2",IF(CAELS!H14&lt;22%,"3",IF(CAELS!H14&lt;25%,"4","5"))))</f>
        <v>1</v>
      </c>
      <c r="H21" s="183" t="str">
        <f>IF(CAELS!I14&lt;15%,"1",IF(CAELS!I14&lt;18%,"2",IF(CAELS!I14&lt;22%,"3",IF(CAELS!I14&lt;25%,"4","5"))))</f>
        <v>1</v>
      </c>
      <c r="I21" s="183" t="str">
        <f>IF(CAELS!J14&lt;15%,"1",IF(CAELS!J14&lt;18%,"2",IF(CAELS!J14&lt;22%,"3",IF(CAELS!J14&lt;25%,"4","5"))))</f>
        <v>1</v>
      </c>
      <c r="J21" s="183" t="str">
        <f>IF(CAELS!K14&lt;15%,"1",IF(CAELS!K14&lt;18%,"2",IF(CAELS!K14&lt;22%,"3",IF(CAELS!K14&lt;25%,"4","5"))))</f>
        <v>1</v>
      </c>
      <c r="K21" s="183" t="str">
        <f>IF(CAELS!L14&lt;15%,"1",IF(CAELS!L14&lt;18%,"2",IF(CAELS!L14&lt;22%,"3",IF(CAELS!L14&lt;25%,"4","5"))))</f>
        <v>1</v>
      </c>
      <c r="L21" s="183" t="str">
        <f>IF(CAELS!M14&lt;15%,"1",IF(CAELS!M14&lt;18%,"2",IF(CAELS!M14&lt;22%,"3",IF(CAELS!M14&lt;25%,"4","5"))))</f>
        <v>1</v>
      </c>
      <c r="M21" s="183" t="str">
        <f>IF(CAELS!N14&lt;15%,"1",IF(CAELS!N14&lt;18%,"2",IF(CAELS!N14&lt;22%,"3",IF(CAELS!N14&lt;25%,"4","5"))))</f>
        <v>1</v>
      </c>
      <c r="N21" s="183" t="str">
        <f>IF(CAELS!O14&lt;15%,"1",IF(CAELS!O14&lt;18%,"2",IF(CAELS!O14&lt;22%,"3",IF(CAELS!O14&lt;25%,"4","5"))))</f>
        <v>1</v>
      </c>
      <c r="O21" s="183" t="str">
        <f>IF(CAELS!P14&lt;15%,"1",IF(CAELS!P14&lt;18%,"2",IF(CAELS!P14&lt;22%,"3",IF(CAELS!P14&lt;25%,"4","5"))))</f>
        <v>1</v>
      </c>
      <c r="P21" s="183" t="str">
        <f>IF(CAELS!Q14&lt;15%,"1",IF(CAELS!Q14&lt;18%,"2",IF(CAELS!Q14&lt;22%,"3",IF(CAELS!Q14&lt;25%,"4","5"))))</f>
        <v>1</v>
      </c>
      <c r="Q21" s="183" t="str">
        <f>IF(CAELS!R14&lt;15%,"1",IF(CAELS!R14&lt;18%,"2",IF(CAELS!R14&lt;22%,"3",IF(CAELS!R14&lt;25%,"4","5"))))</f>
        <v>1</v>
      </c>
      <c r="R21" s="183" t="str">
        <f>IF(CAELS!S14&lt;15%,"1",IF(CAELS!S14&lt;18%,"2",IF(CAELS!S14&lt;22%,"3",IF(CAELS!S14&lt;25%,"4","5"))))</f>
        <v>1</v>
      </c>
      <c r="S21" s="183" t="str">
        <f>IF(CAELS!T14&lt;15%,"1",IF(CAELS!T14&lt;18%,"2",IF(CAELS!T14&lt;22%,"3",IF(CAELS!T14&lt;25%,"4","5"))))</f>
        <v>1</v>
      </c>
      <c r="T21" s="183" t="str">
        <f>IF(CAELS!U14&lt;15%,"1",IF(CAELS!U14&lt;18%,"2",IF(CAELS!U14&lt;22%,"3",IF(CAELS!U14&lt;25%,"4","5"))))</f>
        <v>1</v>
      </c>
      <c r="U21" s="183" t="str">
        <f>IF(CAELS!V14&lt;15%,"1",IF(CAELS!V14&lt;18%,"2",IF(CAELS!V14&lt;22%,"3",IF(CAELS!V14&lt;25%,"4","5"))))</f>
        <v>1</v>
      </c>
      <c r="V21" s="20"/>
    </row>
    <row r="22" spans="1:22" ht="15.6">
      <c r="A22" s="59" t="s">
        <v>284</v>
      </c>
      <c r="B22" s="141"/>
      <c r="C22" s="183" t="str">
        <f>IF(CAELS!D15&gt;15%,"1",IF(CAELS!D15&gt;12%,"2",IF(CAELS!D15&gt;9%,"3",IF(CAELS!D15&gt;6%,"4","5"))))</f>
        <v>2</v>
      </c>
      <c r="D22" s="183" t="str">
        <f>IF(CAELS!E15&gt;15%,"1",IF(CAELS!E15&gt;12%,"2",IF(CAELS!E15&gt;9%,"3",IF(CAELS!E15&gt;6%,"4","5"))))</f>
        <v>3</v>
      </c>
      <c r="E22" s="183" t="str">
        <f>IF(CAELS!F15&gt;15%,"1",IF(CAELS!F15&gt;12%,"2",IF(CAELS!F15&gt;9%,"3",IF(CAELS!F15&gt;6%,"4","5"))))</f>
        <v>4</v>
      </c>
      <c r="F22" s="183" t="str">
        <f>IF(CAELS!G15&gt;15%,"1",IF(CAELS!G15&gt;12%,"2",IF(CAELS!G15&gt;9%,"3",IF(CAELS!G15&gt;6%,"4","5"))))</f>
        <v>3</v>
      </c>
      <c r="G22" s="183" t="str">
        <f>IF(CAELS!H15&gt;15%,"1",IF(CAELS!H15&gt;12%,"2",IF(CAELS!H15&gt;9%,"3",IF(CAELS!H15&gt;6%,"4","5"))))</f>
        <v>3</v>
      </c>
      <c r="H22" s="183" t="str">
        <f>IF(CAELS!I15&gt;15%,"1",IF(CAELS!I15&gt;12%,"2",IF(CAELS!I15&gt;9%,"3",IF(CAELS!I15&gt;6%,"4","5"))))</f>
        <v>4</v>
      </c>
      <c r="I22" s="183" t="str">
        <f>IF(CAELS!J15&gt;15%,"1",IF(CAELS!J15&gt;12%,"2",IF(CAELS!J15&gt;9%,"3",IF(CAELS!J15&gt;6%,"4","5"))))</f>
        <v>4</v>
      </c>
      <c r="J22" s="183" t="str">
        <f>IF(CAELS!K15&gt;15%,"1",IF(CAELS!K15&gt;12%,"2",IF(CAELS!K15&gt;9%,"3",IF(CAELS!K15&gt;6%,"4","5"))))</f>
        <v>3</v>
      </c>
      <c r="K22" s="183" t="str">
        <f>IF(CAELS!L15&gt;15%,"1",IF(CAELS!L15&gt;12%,"2",IF(CAELS!L15&gt;9%,"3",IF(CAELS!L15&gt;6%,"4","5"))))</f>
        <v>4</v>
      </c>
      <c r="L22" s="183" t="str">
        <f>IF(CAELS!M15&gt;15%,"1",IF(CAELS!M15&gt;12%,"2",IF(CAELS!M15&gt;9%,"3",IF(CAELS!M15&gt;6%,"4","5"))))</f>
        <v>5</v>
      </c>
      <c r="M22" s="183" t="str">
        <f>IF(CAELS!N15&gt;15%,"1",IF(CAELS!N15&gt;12%,"2",IF(CAELS!N15&gt;9%,"3",IF(CAELS!N15&gt;6%,"4","5"))))</f>
        <v>3</v>
      </c>
      <c r="N22" s="183" t="str">
        <f>IF(CAELS!O15&gt;15%,"1",IF(CAELS!O15&gt;12%,"2",IF(CAELS!O15&gt;9%,"3",IF(CAELS!O15&gt;6%,"4","5"))))</f>
        <v>3</v>
      </c>
      <c r="O22" s="183" t="str">
        <f>IF(CAELS!P15&gt;15%,"1",IF(CAELS!P15&gt;12%,"2",IF(CAELS!P15&gt;9%,"3",IF(CAELS!P15&gt;6%,"4","5"))))</f>
        <v>3</v>
      </c>
      <c r="P22" s="183" t="str">
        <f>IF(CAELS!Q15&gt;15%,"1",IF(CAELS!Q15&gt;12%,"2",IF(CAELS!Q15&gt;9%,"3",IF(CAELS!Q15&gt;6%,"4","5"))))</f>
        <v>4</v>
      </c>
      <c r="Q22" s="183" t="str">
        <f>IF(CAELS!R15&gt;15%,"1",IF(CAELS!R15&gt;12%,"2",IF(CAELS!R15&gt;9%,"3",IF(CAELS!R15&gt;6%,"4","5"))))</f>
        <v>4</v>
      </c>
      <c r="R22" s="183" t="str">
        <f>IF(CAELS!S15&gt;15%,"1",IF(CAELS!S15&gt;12%,"2",IF(CAELS!S15&gt;9%,"3",IF(CAELS!S15&gt;6%,"4","5"))))</f>
        <v>3</v>
      </c>
      <c r="S22" s="183" t="str">
        <f>IF(CAELS!T15&gt;15%,"1",IF(CAELS!T15&gt;12%,"2",IF(CAELS!T15&gt;9%,"3",IF(CAELS!T15&gt;6%,"4","5"))))</f>
        <v>3</v>
      </c>
      <c r="T22" s="183" t="str">
        <f>IF(CAELS!U15&gt;15%,"1",IF(CAELS!U15&gt;12%,"2",IF(CAELS!U15&gt;9%,"3",IF(CAELS!U15&gt;6%,"4","5"))))</f>
        <v>3</v>
      </c>
      <c r="U22" s="183" t="str">
        <f>IF(CAELS!V15&gt;15%,"1",IF(CAELS!V15&gt;12%,"2",IF(CAELS!V15&gt;9%,"3",IF(CAELS!V15&gt;6%,"4","5"))))</f>
        <v>5</v>
      </c>
      <c r="V22" s="20"/>
    </row>
    <row r="23" spans="1:22" ht="15.6">
      <c r="A23" s="59"/>
      <c r="B23" s="141"/>
      <c r="C23" s="191">
        <f t="shared" ref="C23:K23" si="6">(C19+C20+C21+C22)/4</f>
        <v>2.25</v>
      </c>
      <c r="D23" s="191">
        <f t="shared" si="6"/>
        <v>2.5</v>
      </c>
      <c r="E23" s="191">
        <f t="shared" si="6"/>
        <v>2.75</v>
      </c>
      <c r="F23" s="191">
        <f t="shared" si="6"/>
        <v>2.5</v>
      </c>
      <c r="G23" s="191">
        <f t="shared" si="6"/>
        <v>2.5</v>
      </c>
      <c r="H23" s="191">
        <f t="shared" si="6"/>
        <v>2.75</v>
      </c>
      <c r="I23" s="191">
        <f t="shared" si="6"/>
        <v>2.75</v>
      </c>
      <c r="J23" s="191">
        <f t="shared" si="6"/>
        <v>2.5</v>
      </c>
      <c r="K23" s="191">
        <f t="shared" si="6"/>
        <v>2.75</v>
      </c>
      <c r="L23" s="191">
        <f t="shared" ref="L23:S23" si="7">(L19+L20+L21+L22)/4</f>
        <v>3</v>
      </c>
      <c r="M23" s="191">
        <f t="shared" si="7"/>
        <v>2.25</v>
      </c>
      <c r="N23" s="191">
        <f t="shared" si="7"/>
        <v>2.5</v>
      </c>
      <c r="O23" s="191">
        <f t="shared" si="7"/>
        <v>2.5</v>
      </c>
      <c r="P23" s="191">
        <f t="shared" si="7"/>
        <v>2.75</v>
      </c>
      <c r="Q23" s="191">
        <f t="shared" si="7"/>
        <v>2.75</v>
      </c>
      <c r="R23" s="191">
        <f t="shared" si="7"/>
        <v>2.5</v>
      </c>
      <c r="S23" s="191">
        <f t="shared" si="7"/>
        <v>2.5</v>
      </c>
      <c r="T23" s="191">
        <f>(T19+T20+T21+T22)/4</f>
        <v>2.5</v>
      </c>
      <c r="U23" s="191">
        <f>(U19+U20+U21+U22)/4</f>
        <v>3.25</v>
      </c>
      <c r="V23" s="20"/>
    </row>
    <row r="24" spans="1:22" ht="15.6">
      <c r="A24" s="179" t="s">
        <v>238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20"/>
    </row>
    <row r="25" spans="1:22" ht="15.6">
      <c r="A25" s="59" t="s">
        <v>285</v>
      </c>
      <c r="B25" s="181" t="s">
        <v>286</v>
      </c>
      <c r="C25" s="183" t="str">
        <f>IF(CAELS!D16&lt;6%,"1",IF(CAELS!D16&lt;7%,"2",IF(CAELS!D16&lt;8%,"3",IF(CAELS!D16&lt;10%,"4","5"))))</f>
        <v>5</v>
      </c>
      <c r="D25" s="183" t="str">
        <f>IF(CAELS!E16&lt;6%,"1",IF(CAELS!E16&lt;7%,"2",IF(CAELS!E16&lt;8%,"3",IF(CAELS!E16&lt;10%,"4","5"))))</f>
        <v>1</v>
      </c>
      <c r="E25" s="183" t="str">
        <f>IF(CAELS!F16&lt;6%,"1",IF(CAELS!F16&lt;7%,"2",IF(CAELS!F16&lt;8%,"3",IF(CAELS!F16&lt;10%,"4","5"))))</f>
        <v>2</v>
      </c>
      <c r="F25" s="183" t="str">
        <f>IF(CAELS!G16&lt;6%,"1",IF(CAELS!G16&lt;7%,"2",IF(CAELS!G16&lt;8%,"3",IF(CAELS!G16&lt;10%,"4","5"))))</f>
        <v>2</v>
      </c>
      <c r="G25" s="183" t="str">
        <f>IF(CAELS!H16&lt;6%,"1",IF(CAELS!H16&lt;7%,"2",IF(CAELS!H16&lt;8%,"3",IF(CAELS!H16&lt;10%,"4","5"))))</f>
        <v>3</v>
      </c>
      <c r="H25" s="183" t="str">
        <f>IF(CAELS!I16&lt;6%,"1",IF(CAELS!I16&lt;7%,"2",IF(CAELS!I16&lt;8%,"3",IF(CAELS!I16&lt;10%,"4","5"))))</f>
        <v>3</v>
      </c>
      <c r="I25" s="183" t="str">
        <f>IF(CAELS!J16&lt;6%,"1",IF(CAELS!J16&lt;7%,"2",IF(CAELS!J16&lt;8%,"3",IF(CAELS!J16&lt;10%,"4","5"))))</f>
        <v>3</v>
      </c>
      <c r="J25" s="183" t="str">
        <f>IF(CAELS!K16&lt;6%,"1",IF(CAELS!K16&lt;7%,"2",IF(CAELS!K16&lt;8%,"3",IF(CAELS!K16&lt;10%,"4","5"))))</f>
        <v>3</v>
      </c>
      <c r="K25" s="183" t="str">
        <f>IF(CAELS!L16&lt;6%,"1",IF(CAELS!L16&lt;7%,"2",IF(CAELS!L16&lt;8%,"3",IF(CAELS!L16&lt;10%,"4","5"))))</f>
        <v>3</v>
      </c>
      <c r="L25" s="183" t="str">
        <f>IF(CAELS!M16&lt;6%,"1",IF(CAELS!M16&lt;7%,"2",IF(CAELS!M16&lt;8%,"3",IF(CAELS!M16&lt;10%,"4","5"))))</f>
        <v>3</v>
      </c>
      <c r="M25" s="183" t="str">
        <f>IF(CAELS!N16&lt;6%,"1",IF(CAELS!N16&lt;7%,"2",IF(CAELS!N16&lt;8%,"3",IF(CAELS!N16&lt;10%,"4","5"))))</f>
        <v>3</v>
      </c>
      <c r="N25" s="183" t="str">
        <f>IF(CAELS!O16&lt;6%,"1",IF(CAELS!O16&lt;7%,"2",IF(CAELS!O16&lt;8%,"3",IF(CAELS!O16&lt;10%,"4","5"))))</f>
        <v>3</v>
      </c>
      <c r="O25" s="183" t="str">
        <f>IF(CAELS!P16&lt;6%,"1",IF(CAELS!P16&lt;7%,"2",IF(CAELS!P16&lt;8%,"3",IF(CAELS!P16&lt;10%,"4","5"))))</f>
        <v>2</v>
      </c>
      <c r="P25" s="183" t="str">
        <f>IF(CAELS!Q16&lt;6%,"1",IF(CAELS!Q16&lt;7%,"2",IF(CAELS!Q16&lt;8%,"3",IF(CAELS!Q16&lt;10%,"4","5"))))</f>
        <v>1</v>
      </c>
      <c r="Q25" s="183" t="str">
        <f>IF(CAELS!R16&lt;6%,"1",IF(CAELS!R16&lt;7%,"2",IF(CAELS!R16&lt;8%,"3",IF(CAELS!R16&lt;10%,"4","5"))))</f>
        <v>1</v>
      </c>
      <c r="R25" s="183" t="str">
        <f>IF(CAELS!S16&lt;6%,"1",IF(CAELS!S16&lt;7%,"2",IF(CAELS!S16&lt;8%,"3",IF(CAELS!S16&lt;10%,"4","5"))))</f>
        <v>2</v>
      </c>
      <c r="S25" s="183" t="str">
        <f>IF(CAELS!T16&lt;6%,"1",IF(CAELS!T16&lt;7%,"2",IF(CAELS!T16&lt;8%,"3",IF(CAELS!T16&lt;10%,"4","5"))))</f>
        <v>2</v>
      </c>
      <c r="T25" s="183" t="str">
        <f>IF(CAELS!U16&lt;6%,"1",IF(CAELS!U16&lt;7%,"2",IF(CAELS!U16&lt;8%,"3",IF(CAELS!U16&lt;10%,"4","5"))))</f>
        <v>3</v>
      </c>
      <c r="U25" s="183" t="str">
        <f>IF(CAELS!V16&lt;6%,"1",IF(CAELS!V16&lt;7%,"2",IF(CAELS!V16&lt;8%,"3",IF(CAELS!V16&lt;10%,"4","5"))))</f>
        <v>4</v>
      </c>
      <c r="V25" s="20"/>
    </row>
    <row r="26" spans="1:22" ht="15.6">
      <c r="A26" s="59" t="s">
        <v>287</v>
      </c>
      <c r="B26" s="181" t="s">
        <v>288</v>
      </c>
      <c r="C26" s="183" t="str">
        <f>IF(CAELS!D17&lt;2%,"1",IF(CAELS!D17&lt;3%,"2",IF(CAELS!D17&lt;4%,"3",IF(CAELS!D17&lt;5%,"4","5"))))</f>
        <v>3</v>
      </c>
      <c r="D26" s="183" t="str">
        <f>IF(CAELS!E17&lt;2%,"1",IF(CAELS!E17&lt;3%,"2",IF(CAELS!E17&lt;4%,"3",IF(CAELS!E17&lt;5%,"4","5"))))</f>
        <v>3</v>
      </c>
      <c r="E26" s="183" t="str">
        <f>IF(CAELS!F17&lt;2%,"1",IF(CAELS!F17&lt;3%,"2",IF(CAELS!F17&lt;4%,"3",IF(CAELS!F17&lt;5%,"4","5"))))</f>
        <v>5</v>
      </c>
      <c r="F26" s="183" t="str">
        <f>IF(CAELS!G17&lt;2%,"1",IF(CAELS!G17&lt;3%,"2",IF(CAELS!G17&lt;4%,"3",IF(CAELS!G17&lt;5%,"4","5"))))</f>
        <v>5</v>
      </c>
      <c r="G26" s="183" t="str">
        <f>IF(CAELS!H17&lt;2%,"1",IF(CAELS!H17&lt;3%,"2",IF(CAELS!H17&lt;4%,"3",IF(CAELS!H17&lt;5%,"4","5"))))</f>
        <v>5</v>
      </c>
      <c r="H26" s="183" t="str">
        <f>IF(CAELS!I17&lt;2%,"1",IF(CAELS!I17&lt;3%,"2",IF(CAELS!I17&lt;4%,"3",IF(CAELS!I17&lt;5%,"4","5"))))</f>
        <v>5</v>
      </c>
      <c r="I26" s="183" t="str">
        <f>IF(CAELS!J17&lt;2%,"1",IF(CAELS!J17&lt;3%,"2",IF(CAELS!J17&lt;4%,"3",IF(CAELS!J17&lt;5%,"4","5"))))</f>
        <v>5</v>
      </c>
      <c r="J26" s="183" t="str">
        <f>IF(CAELS!K17&lt;2%,"1",IF(CAELS!K17&lt;3%,"2",IF(CAELS!K17&lt;4%,"3",IF(CAELS!K17&lt;5%,"4","5"))))</f>
        <v>5</v>
      </c>
      <c r="K26" s="183" t="str">
        <f>IF(CAELS!L17&lt;2%,"1",IF(CAELS!L17&lt;3%,"2",IF(CAELS!L17&lt;4%,"3",IF(CAELS!L17&lt;5%,"4","5"))))</f>
        <v>5</v>
      </c>
      <c r="L26" s="183" t="str">
        <f>IF(CAELS!M17&lt;2%,"1",IF(CAELS!M17&lt;3%,"2",IF(CAELS!M17&lt;4%,"3",IF(CAELS!M17&lt;5%,"4","5"))))</f>
        <v>5</v>
      </c>
      <c r="M26" s="183" t="str">
        <f>IF(CAELS!N17&lt;2%,"1",IF(CAELS!N17&lt;3%,"2",IF(CAELS!N17&lt;4%,"3",IF(CAELS!N17&lt;5%,"4","5"))))</f>
        <v>5</v>
      </c>
      <c r="N26" s="183" t="str">
        <f>IF(CAELS!O17&lt;2%,"1",IF(CAELS!O17&lt;3%,"2",IF(CAELS!O17&lt;4%,"3",IF(CAELS!O17&lt;5%,"4","5"))))</f>
        <v>5</v>
      </c>
      <c r="O26" s="183" t="str">
        <f>IF(CAELS!P17&lt;2%,"1",IF(CAELS!P17&lt;3%,"2",IF(CAELS!P17&lt;4%,"3",IF(CAELS!P17&lt;5%,"4","5"))))</f>
        <v>5</v>
      </c>
      <c r="P26" s="183" t="str">
        <f>IF(CAELS!Q17&lt;2%,"1",IF(CAELS!Q17&lt;3%,"2",IF(CAELS!Q17&lt;4%,"3",IF(CAELS!Q17&lt;5%,"4","5"))))</f>
        <v>5</v>
      </c>
      <c r="Q26" s="183" t="str">
        <f>IF(CAELS!R17&lt;2%,"1",IF(CAELS!R17&lt;3%,"2",IF(CAELS!R17&lt;4%,"3",IF(CAELS!R17&lt;5%,"4","5"))))</f>
        <v>3</v>
      </c>
      <c r="R26" s="183" t="str">
        <f>IF(CAELS!S17&lt;2%,"1",IF(CAELS!S17&lt;3%,"2",IF(CAELS!S17&lt;4%,"3",IF(CAELS!S17&lt;5%,"4","5"))))</f>
        <v>5</v>
      </c>
      <c r="S26" s="183" t="str">
        <f>IF(CAELS!T17&lt;2%,"1",IF(CAELS!T17&lt;3%,"2",IF(CAELS!T17&lt;4%,"3",IF(CAELS!T17&lt;5%,"4","5"))))</f>
        <v>5</v>
      </c>
      <c r="T26" s="183" t="str">
        <f>IF(CAELS!U17&lt;2%,"1",IF(CAELS!U17&lt;3%,"2",IF(CAELS!U17&lt;4%,"3",IF(CAELS!U17&lt;5%,"4","5"))))</f>
        <v>5</v>
      </c>
      <c r="U26" s="183" t="str">
        <f>IF(CAELS!V17&lt;2%,"1",IF(CAELS!V17&lt;3%,"2",IF(CAELS!V17&lt;4%,"3",IF(CAELS!V17&lt;5%,"4","5"))))</f>
        <v>5</v>
      </c>
      <c r="V26" s="20"/>
    </row>
    <row r="27" spans="1:22" ht="15.6">
      <c r="A27" s="59" t="s">
        <v>289</v>
      </c>
      <c r="B27" s="181" t="s">
        <v>288</v>
      </c>
      <c r="C27" s="183" t="str">
        <f>IF(CAELS!D18&lt;2%,"1",IF(CAELS!D18&lt;3%,"2",IF(CAELS!D18&lt;4%,"3",IF(CAELS!D18&lt;5%,"4","5"))))</f>
        <v>1</v>
      </c>
      <c r="D27" s="183" t="str">
        <f>IF(CAELS!E18&lt;2%,"1",IF(CAELS!E18&lt;3%,"2",IF(CAELS!E18&lt;4%,"3",IF(CAELS!E18&lt;5%,"4","5"))))</f>
        <v>1</v>
      </c>
      <c r="E27" s="183" t="str">
        <f>IF(CAELS!F18&lt;2%,"1",IF(CAELS!F18&lt;3%,"2",IF(CAELS!F18&lt;4%,"3",IF(CAELS!F18&lt;5%,"4","5"))))</f>
        <v>1</v>
      </c>
      <c r="F27" s="183" t="str">
        <f>IF(CAELS!G18&lt;2%,"1",IF(CAELS!G18&lt;3%,"2",IF(CAELS!G18&lt;4%,"3",IF(CAELS!G18&lt;5%,"4","5"))))</f>
        <v>1</v>
      </c>
      <c r="G27" s="183" t="str">
        <f>IF(CAELS!H18&lt;2%,"1",IF(CAELS!H18&lt;3%,"2",IF(CAELS!H18&lt;4%,"3",IF(CAELS!H18&lt;5%,"4","5"))))</f>
        <v>1</v>
      </c>
      <c r="H27" s="183" t="str">
        <f>IF(CAELS!I18&lt;2%,"1",IF(CAELS!I18&lt;3%,"2",IF(CAELS!I18&lt;4%,"3",IF(CAELS!I18&lt;5%,"4","5"))))</f>
        <v>1</v>
      </c>
      <c r="I27" s="183" t="str">
        <f>IF(CAELS!J18&lt;2%,"1",IF(CAELS!J18&lt;3%,"2",IF(CAELS!J18&lt;4%,"3",IF(CAELS!J18&lt;5%,"4","5"))))</f>
        <v>1</v>
      </c>
      <c r="J27" s="183" t="str">
        <f>IF(CAELS!K18&lt;2%,"1",IF(CAELS!K18&lt;3%,"2",IF(CAELS!K18&lt;4%,"3",IF(CAELS!K18&lt;5%,"4","5"))))</f>
        <v>1</v>
      </c>
      <c r="K27" s="183" t="str">
        <f>IF(CAELS!L18&lt;2%,"1",IF(CAELS!L18&lt;3%,"2",IF(CAELS!L18&lt;4%,"3",IF(CAELS!L18&lt;5%,"4","5"))))</f>
        <v>1</v>
      </c>
      <c r="L27" s="183" t="str">
        <f>IF(CAELS!M18&lt;2%,"1",IF(CAELS!M18&lt;3%,"2",IF(CAELS!M18&lt;4%,"3",IF(CAELS!M18&lt;5%,"4","5"))))</f>
        <v>1</v>
      </c>
      <c r="M27" s="183" t="str">
        <f>IF(CAELS!N18&lt;2%,"1",IF(CAELS!N18&lt;3%,"2",IF(CAELS!N18&lt;4%,"3",IF(CAELS!N18&lt;5%,"4","5"))))</f>
        <v>1</v>
      </c>
      <c r="N27" s="183" t="str">
        <f>IF(CAELS!O18&lt;2%,"1",IF(CAELS!O18&lt;3%,"2",IF(CAELS!O18&lt;4%,"3",IF(CAELS!O18&lt;5%,"4","5"))))</f>
        <v>1</v>
      </c>
      <c r="O27" s="183" t="str">
        <f>IF(CAELS!P18&lt;2%,"1",IF(CAELS!P18&lt;3%,"2",IF(CAELS!P18&lt;4%,"3",IF(CAELS!P18&lt;5%,"4","5"))))</f>
        <v>1</v>
      </c>
      <c r="P27" s="183" t="str">
        <f>IF(CAELS!Q18&lt;2%,"1",IF(CAELS!Q18&lt;3%,"2",IF(CAELS!Q18&lt;4%,"3",IF(CAELS!Q18&lt;5%,"4","5"))))</f>
        <v>1</v>
      </c>
      <c r="Q27" s="183" t="str">
        <f>IF(CAELS!R18&lt;2%,"1",IF(CAELS!R18&lt;3%,"2",IF(CAELS!R18&lt;4%,"3",IF(CAELS!R18&lt;5%,"4","5"))))</f>
        <v>1</v>
      </c>
      <c r="R27" s="183" t="str">
        <f>IF(CAELS!S18&lt;2%,"1",IF(CAELS!S18&lt;3%,"2",IF(CAELS!S18&lt;4%,"3",IF(CAELS!S18&lt;5%,"4","5"))))</f>
        <v>1</v>
      </c>
      <c r="S27" s="183" t="str">
        <f>IF(CAELS!T18&lt;2%,"1",IF(CAELS!T18&lt;3%,"2",IF(CAELS!T18&lt;4%,"3",IF(CAELS!T18&lt;5%,"4","5"))))</f>
        <v>1</v>
      </c>
      <c r="T27" s="183" t="str">
        <f>IF(CAELS!U18&lt;2%,"1",IF(CAELS!U18&lt;3%,"2",IF(CAELS!U18&lt;4%,"3",IF(CAELS!U18&lt;5%,"4","5"))))</f>
        <v>1</v>
      </c>
      <c r="U27" s="183" t="str">
        <f>IF(CAELS!V18&lt;2%,"1",IF(CAELS!V18&lt;3%,"2",IF(CAELS!V18&lt;4%,"3",IF(CAELS!V18&lt;5%,"4","5"))))</f>
        <v>1</v>
      </c>
      <c r="V27" s="20"/>
    </row>
    <row r="28" spans="1:22" ht="15.6">
      <c r="A28" s="59" t="s">
        <v>290</v>
      </c>
      <c r="B28" s="181" t="s">
        <v>291</v>
      </c>
      <c r="C28" s="183" t="str">
        <f>IF(CAELS!D19&lt;20%,"1",IF(CAELS!D19&lt;25%,"2",IF(CAELS!D19&lt;30%,"3",IF(CAELS!D19&lt;40%,"4","5"))))</f>
        <v>1</v>
      </c>
      <c r="D28" s="183" t="str">
        <f>IF(CAELS!E19&lt;20%,"1",IF(CAELS!E19&lt;25%,"2",IF(CAELS!E19&lt;30%,"3",IF(CAELS!E19&lt;40%,"4","5"))))</f>
        <v>1</v>
      </c>
      <c r="E28" s="183" t="str">
        <f>IF(CAELS!F19&lt;20%,"1",IF(CAELS!F19&lt;25%,"2",IF(CAELS!F19&lt;30%,"3",IF(CAELS!F19&lt;40%,"4","5"))))</f>
        <v>1</v>
      </c>
      <c r="F28" s="183" t="str">
        <f>IF(CAELS!G19&lt;20%,"1",IF(CAELS!G19&lt;25%,"2",IF(CAELS!G19&lt;30%,"3",IF(CAELS!G19&lt;40%,"4","5"))))</f>
        <v>1</v>
      </c>
      <c r="G28" s="183" t="str">
        <f>IF(CAELS!H19&lt;20%,"1",IF(CAELS!H19&lt;25%,"2",IF(CAELS!H19&lt;30%,"3",IF(CAELS!H19&lt;40%,"4","5"))))</f>
        <v>1</v>
      </c>
      <c r="H28" s="183" t="str">
        <f>IF(CAELS!I19&lt;20%,"1",IF(CAELS!I19&lt;25%,"2",IF(CAELS!I19&lt;30%,"3",IF(CAELS!I19&lt;40%,"4","5"))))</f>
        <v>1</v>
      </c>
      <c r="I28" s="183" t="str">
        <f>IF(CAELS!J19&lt;20%,"1",IF(CAELS!J19&lt;25%,"2",IF(CAELS!J19&lt;30%,"3",IF(CAELS!J19&lt;40%,"4","5"))))</f>
        <v>1</v>
      </c>
      <c r="J28" s="183" t="str">
        <f>IF(CAELS!K19&lt;20%,"1",IF(CAELS!K19&lt;25%,"2",IF(CAELS!K19&lt;30%,"3",IF(CAELS!K19&lt;40%,"4","5"))))</f>
        <v>1</v>
      </c>
      <c r="K28" s="183" t="str">
        <f>IF(CAELS!L19&lt;20%,"1",IF(CAELS!L19&lt;25%,"2",IF(CAELS!L19&lt;30%,"3",IF(CAELS!L19&lt;40%,"4","5"))))</f>
        <v>1</v>
      </c>
      <c r="L28" s="183" t="str">
        <f>IF(CAELS!M19&lt;20%,"1",IF(CAELS!M19&lt;25%,"2",IF(CAELS!M19&lt;30%,"3",IF(CAELS!M19&lt;40%,"4","5"))))</f>
        <v>1</v>
      </c>
      <c r="M28" s="183" t="str">
        <f>IF(CAELS!N19&lt;20%,"1",IF(CAELS!N19&lt;25%,"2",IF(CAELS!N19&lt;30%,"3",IF(CAELS!N19&lt;40%,"4","5"))))</f>
        <v>1</v>
      </c>
      <c r="N28" s="183" t="str">
        <f>IF(CAELS!O19&lt;20%,"1",IF(CAELS!O19&lt;25%,"2",IF(CAELS!O19&lt;30%,"3",IF(CAELS!O19&lt;40%,"4","5"))))</f>
        <v>1</v>
      </c>
      <c r="O28" s="183" t="str">
        <f>IF(CAELS!P19&lt;20%,"1",IF(CAELS!P19&lt;25%,"2",IF(CAELS!P19&lt;30%,"3",IF(CAELS!P19&lt;40%,"4","5"))))</f>
        <v>1</v>
      </c>
      <c r="P28" s="183" t="str">
        <f>IF(CAELS!Q19&lt;20%,"1",IF(CAELS!Q19&lt;25%,"2",IF(CAELS!Q19&lt;30%,"3",IF(CAELS!Q19&lt;40%,"4","5"))))</f>
        <v>1</v>
      </c>
      <c r="Q28" s="183" t="str">
        <f>IF(CAELS!R19&lt;20%,"1",IF(CAELS!R19&lt;25%,"2",IF(CAELS!R19&lt;30%,"3",IF(CAELS!R19&lt;40%,"4","5"))))</f>
        <v>1</v>
      </c>
      <c r="R28" s="183" t="str">
        <f>IF(CAELS!S19&lt;20%,"1",IF(CAELS!S19&lt;25%,"2",IF(CAELS!S19&lt;30%,"3",IF(CAELS!S19&lt;40%,"4","5"))))</f>
        <v>1</v>
      </c>
      <c r="S28" s="183" t="str">
        <f>IF(CAELS!T19&lt;20%,"1",IF(CAELS!T19&lt;25%,"2",IF(CAELS!T19&lt;30%,"3",IF(CAELS!T19&lt;40%,"4","5"))))</f>
        <v>1</v>
      </c>
      <c r="T28" s="183" t="str">
        <f>IF(CAELS!U19&lt;20%,"1",IF(CAELS!U19&lt;25%,"2",IF(CAELS!U19&lt;30%,"3",IF(CAELS!U19&lt;40%,"4","5"))))</f>
        <v>1</v>
      </c>
      <c r="U28" s="183" t="str">
        <f>IF(CAELS!V19&lt;20%,"1",IF(CAELS!V19&lt;25%,"2",IF(CAELS!V19&lt;30%,"3",IF(CAELS!V19&lt;40%,"4","5"))))</f>
        <v>1</v>
      </c>
      <c r="V28" s="20"/>
    </row>
    <row r="29" spans="1:22" ht="15.6">
      <c r="A29" s="59"/>
      <c r="B29" s="141"/>
      <c r="C29" s="192">
        <f t="shared" ref="C29:K29" si="8">(C25+C26+C27+C28)/4</f>
        <v>2.5</v>
      </c>
      <c r="D29" s="192">
        <f t="shared" si="8"/>
        <v>1.5</v>
      </c>
      <c r="E29" s="192">
        <f t="shared" si="8"/>
        <v>2.25</v>
      </c>
      <c r="F29" s="192">
        <f t="shared" si="8"/>
        <v>2.25</v>
      </c>
      <c r="G29" s="192">
        <f t="shared" si="8"/>
        <v>2.5</v>
      </c>
      <c r="H29" s="192">
        <f t="shared" si="8"/>
        <v>2.5</v>
      </c>
      <c r="I29" s="192">
        <f t="shared" si="8"/>
        <v>2.5</v>
      </c>
      <c r="J29" s="192">
        <f t="shared" si="8"/>
        <v>2.5</v>
      </c>
      <c r="K29" s="192">
        <f t="shared" si="8"/>
        <v>2.5</v>
      </c>
      <c r="L29" s="192">
        <f t="shared" ref="L29:S29" si="9">(L25+L26+L27+L28)/4</f>
        <v>2.5</v>
      </c>
      <c r="M29" s="192">
        <f t="shared" si="9"/>
        <v>2.5</v>
      </c>
      <c r="N29" s="192">
        <f t="shared" si="9"/>
        <v>2.5</v>
      </c>
      <c r="O29" s="192">
        <f t="shared" si="9"/>
        <v>2.25</v>
      </c>
      <c r="P29" s="192">
        <f t="shared" si="9"/>
        <v>2</v>
      </c>
      <c r="Q29" s="192">
        <f t="shared" si="9"/>
        <v>1.5</v>
      </c>
      <c r="R29" s="192">
        <f t="shared" si="9"/>
        <v>2.25</v>
      </c>
      <c r="S29" s="192">
        <f t="shared" si="9"/>
        <v>2.25</v>
      </c>
      <c r="T29" s="192">
        <f>(T25+T26+T27+T28)/4</f>
        <v>2.5</v>
      </c>
      <c r="U29" s="192">
        <f>(U25+U26+U27+U28)/4</f>
        <v>2.75</v>
      </c>
      <c r="V29" s="20"/>
    </row>
    <row r="30" spans="1:22" ht="16.149999999999999" thickBot="1">
      <c r="A30" s="193" t="s">
        <v>292</v>
      </c>
      <c r="B30" s="194"/>
      <c r="C30" s="195">
        <f t="shared" ref="C30:K30" si="10">(C9+C12+C17+C23)/4</f>
        <v>1.7708333333333333</v>
      </c>
      <c r="D30" s="195">
        <f t="shared" si="10"/>
        <v>1.7083333333333335</v>
      </c>
      <c r="E30" s="195">
        <f t="shared" si="10"/>
        <v>1.6458333333333335</v>
      </c>
      <c r="F30" s="195">
        <f t="shared" si="10"/>
        <v>1.7083333333333335</v>
      </c>
      <c r="G30" s="195">
        <f t="shared" si="10"/>
        <v>1.7083333333333335</v>
      </c>
      <c r="H30" s="195">
        <f t="shared" si="10"/>
        <v>1.7708333333333335</v>
      </c>
      <c r="I30" s="195">
        <f t="shared" si="10"/>
        <v>1.7708333333333335</v>
      </c>
      <c r="J30" s="195">
        <f t="shared" si="10"/>
        <v>1.7083333333333335</v>
      </c>
      <c r="K30" s="195">
        <f t="shared" si="10"/>
        <v>1.6875</v>
      </c>
      <c r="L30" s="195">
        <f t="shared" ref="L30:S30" si="11">(L9+L12+L17+L23)/4</f>
        <v>1.875</v>
      </c>
      <c r="M30" s="195">
        <f t="shared" si="11"/>
        <v>1.6458333333333335</v>
      </c>
      <c r="N30" s="195">
        <f t="shared" si="11"/>
        <v>1.7083333333333335</v>
      </c>
      <c r="O30" s="195">
        <f t="shared" si="11"/>
        <v>1.8333333333333335</v>
      </c>
      <c r="P30" s="195">
        <f t="shared" si="11"/>
        <v>1.6458333333333335</v>
      </c>
      <c r="Q30" s="195">
        <f t="shared" si="11"/>
        <v>1.9375</v>
      </c>
      <c r="R30" s="195">
        <f t="shared" si="11"/>
        <v>1.8333333333333335</v>
      </c>
      <c r="S30" s="195">
        <f t="shared" si="11"/>
        <v>1.9375</v>
      </c>
      <c r="T30" s="195">
        <f>(T9+T12+T17+T23)/4</f>
        <v>1.7083333333333335</v>
      </c>
      <c r="U30" s="195">
        <f>(U9+U12+U17+U23)/4</f>
        <v>2.2291666666666665</v>
      </c>
      <c r="V30" s="20"/>
    </row>
    <row r="31" spans="1:22" ht="15.6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spans="1:22" ht="15.6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U15"/>
  <sheetViews>
    <sheetView workbookViewId="0">
      <selection activeCell="E12" sqref="E12"/>
    </sheetView>
  </sheetViews>
  <sheetFormatPr defaultRowHeight="14.45"/>
  <cols>
    <col min="1" max="1" width="16.85546875" bestFit="1" customWidth="1"/>
    <col min="2" max="2" width="15.5703125" bestFit="1" customWidth="1"/>
    <col min="3" max="4" width="15.85546875" bestFit="1" customWidth="1"/>
    <col min="5" max="5" width="15.5703125" bestFit="1" customWidth="1"/>
    <col min="6" max="6" width="15.85546875" bestFit="1" customWidth="1"/>
    <col min="7" max="8" width="15.5703125" bestFit="1" customWidth="1"/>
    <col min="9" max="9" width="15.85546875" bestFit="1" customWidth="1"/>
    <col min="10" max="10" width="14.7109375" bestFit="1" customWidth="1"/>
    <col min="11" max="14" width="15.85546875" bestFit="1" customWidth="1"/>
    <col min="15" max="15" width="15.140625" bestFit="1" customWidth="1"/>
    <col min="16" max="20" width="15.85546875" bestFit="1" customWidth="1"/>
  </cols>
  <sheetData>
    <row r="2" spans="1:21" ht="15.6">
      <c r="A2" s="20"/>
      <c r="B2" s="8" t="s">
        <v>2</v>
      </c>
      <c r="C2" s="8" t="s">
        <v>293</v>
      </c>
      <c r="D2" s="9">
        <v>44197</v>
      </c>
      <c r="E2" s="9">
        <v>44229</v>
      </c>
      <c r="F2" s="9">
        <v>44258</v>
      </c>
      <c r="G2" s="9">
        <v>44290</v>
      </c>
      <c r="H2" s="9">
        <v>44321</v>
      </c>
      <c r="I2" s="9">
        <v>44353</v>
      </c>
      <c r="J2" s="9">
        <v>44384</v>
      </c>
      <c r="K2" s="9">
        <v>44416</v>
      </c>
      <c r="L2" s="9">
        <v>44448</v>
      </c>
      <c r="M2" s="9">
        <v>44479</v>
      </c>
      <c r="N2" s="9">
        <v>44511</v>
      </c>
      <c r="O2" s="9">
        <v>44542</v>
      </c>
      <c r="P2" s="9" t="s">
        <v>294</v>
      </c>
      <c r="Q2" s="9">
        <v>44563</v>
      </c>
      <c r="R2" s="9">
        <v>44595</v>
      </c>
      <c r="S2" s="9">
        <v>44624</v>
      </c>
      <c r="T2" s="9">
        <v>44656</v>
      </c>
      <c r="U2" s="20"/>
    </row>
    <row r="3" spans="1:21" ht="15.6">
      <c r="A3" s="196" t="s">
        <v>271</v>
      </c>
      <c r="B3" s="141" t="str">
        <f>IF(CAELS!D3&gt;10,"Compliant","Non-Compliant")</f>
        <v>Compliant</v>
      </c>
      <c r="C3" s="141" t="str">
        <f>IF(CAELS!E3&gt;10,"Compliant","Non-Compliant")</f>
        <v>Compliant</v>
      </c>
      <c r="D3" s="141" t="str">
        <f>IF(CAELS!F3&gt;10,"Compliant","Non-Compliant")</f>
        <v>Compliant</v>
      </c>
      <c r="E3" s="141" t="str">
        <f>IF(CAELS!G3&gt;10,"Compliant","Non-Compliant")</f>
        <v>Compliant</v>
      </c>
      <c r="F3" s="141" t="str">
        <f>IF(CAELS!H3&gt;10,"Compliant","Non-Compliant")</f>
        <v>Compliant</v>
      </c>
      <c r="G3" s="141" t="str">
        <f>IF(CAELS!I3&gt;10,"Compliant","Non-Compliant")</f>
        <v>Compliant</v>
      </c>
      <c r="H3" s="141" t="str">
        <f>IF(CAELS!J3&gt;10,"Compliant","Non-Compliant")</f>
        <v>Compliant</v>
      </c>
      <c r="I3" s="141" t="str">
        <f>IF(CAELS!K3&gt;10,"Compliant","Non-Compliant")</f>
        <v>Compliant</v>
      </c>
      <c r="J3" s="141" t="str">
        <f>IF(CAELS!L3&gt;10,"Compliant","Non-Compliant")</f>
        <v>Compliant</v>
      </c>
      <c r="K3" s="141" t="str">
        <f>IF(CAELS!M3&gt;10,"Compliant","Non-Compliant")</f>
        <v>Compliant</v>
      </c>
      <c r="L3" s="141" t="str">
        <f>IF(CAELS!N3&gt;10,"Compliant","Non-Compliant")</f>
        <v>Compliant</v>
      </c>
      <c r="M3" s="141" t="str">
        <f>IF(CAELS!O3&gt;10,"Compliant","Non-Compliant")</f>
        <v>Compliant</v>
      </c>
      <c r="N3" s="141" t="str">
        <f>IF(CAELS!P3&gt;10,"Compliant","Non-Compliant")</f>
        <v>Compliant</v>
      </c>
      <c r="O3" s="141" t="str">
        <f>IF(CAELS!Q3&gt;10,"Compliant","Non-Compliant")</f>
        <v>Compliant</v>
      </c>
      <c r="P3" s="141" t="str">
        <f>IF(CAELS!R3&gt;10,"Compliant","Non-Compliant")</f>
        <v>Compliant</v>
      </c>
      <c r="Q3" s="141" t="str">
        <f>IF(CAELS!S3&gt;10,"Compliant","Non-Compliant")</f>
        <v>Compliant</v>
      </c>
      <c r="R3" s="141" t="str">
        <f>IF(CAELS!T3&gt;10,"Compliant","Non-Compliant")</f>
        <v>Compliant</v>
      </c>
      <c r="S3" s="141" t="str">
        <f>IF(CAELS!U3&gt;10,"Compliant","Non-Compliant")</f>
        <v>Compliant</v>
      </c>
      <c r="T3" s="141" t="str">
        <f>IF(CAELS!V3&gt;10,"Compliant","Non-Compliant")</f>
        <v>Compliant</v>
      </c>
      <c r="U3" s="20"/>
    </row>
    <row r="4" spans="1:21" ht="15.6">
      <c r="A4" s="161" t="s">
        <v>295</v>
      </c>
      <c r="B4" s="141" t="str">
        <f>IF(CAELS!D4&gt;10%,"Compliant","Non-Compliant")</f>
        <v>Compliant</v>
      </c>
      <c r="C4" s="141" t="str">
        <f>IF(CAELS!E4&gt;10%,"Compliant","Non-Compliant")</f>
        <v>Compliant</v>
      </c>
      <c r="D4" s="141" t="str">
        <f>IF(CAELS!F4&gt;10%,"Compliant","Non-Compliant")</f>
        <v>Compliant</v>
      </c>
      <c r="E4" s="141" t="str">
        <f>IF(CAELS!G4&gt;10%,"Compliant","Non-Compliant")</f>
        <v>Compliant</v>
      </c>
      <c r="F4" s="141" t="str">
        <f>IF(CAELS!H4&gt;10%,"Compliant","Non-Compliant")</f>
        <v>Compliant</v>
      </c>
      <c r="G4" s="141" t="str">
        <f>IF(CAELS!I4&gt;10%,"Compliant","Non-Compliant")</f>
        <v>Compliant</v>
      </c>
      <c r="H4" s="141" t="str">
        <f>IF(CAELS!J4&gt;10%,"Compliant","Non-Compliant")</f>
        <v>Compliant</v>
      </c>
      <c r="I4" s="141" t="str">
        <f>IF(CAELS!K4&gt;10%,"Compliant","Non-Compliant")</f>
        <v>Compliant</v>
      </c>
      <c r="J4" s="141" t="str">
        <f>IF(CAELS!L4&gt;10%,"Compliant","Non-Compliant")</f>
        <v>Compliant</v>
      </c>
      <c r="K4" s="141" t="str">
        <f>IF(CAELS!M4&gt;10%,"Compliant","Non-Compliant")</f>
        <v>Compliant</v>
      </c>
      <c r="L4" s="141" t="str">
        <f>IF(CAELS!N4&gt;10%,"Compliant","Non-Compliant")</f>
        <v>Compliant</v>
      </c>
      <c r="M4" s="141" t="str">
        <f>IF(CAELS!O4&gt;10%,"Compliant","Non-Compliant")</f>
        <v>Compliant</v>
      </c>
      <c r="N4" s="141" t="str">
        <f>IF(CAELS!P4&gt;10%,"Compliant","Non-Compliant")</f>
        <v>Compliant</v>
      </c>
      <c r="O4" s="141" t="str">
        <f>IF(CAELS!Q4&gt;10%,"Compliant","Non-Compliant")</f>
        <v>Compliant</v>
      </c>
      <c r="P4" s="141" t="str">
        <f>IF(CAELS!R4&gt;10%,"Compliant","Non-Compliant")</f>
        <v>Compliant</v>
      </c>
      <c r="Q4" s="141" t="str">
        <f>IF(CAELS!S4&gt;10%,"Compliant","Non-Compliant")</f>
        <v>Compliant</v>
      </c>
      <c r="R4" s="141" t="str">
        <f>IF(CAELS!T4&gt;10%,"Compliant","Non-Compliant")</f>
        <v>Compliant</v>
      </c>
      <c r="S4" s="141" t="str">
        <f>IF(CAELS!U4&gt;10%,"Compliant","Non-Compliant")</f>
        <v>Compliant</v>
      </c>
      <c r="T4" s="141" t="str">
        <f>IF(CAELS!V4&gt;10%,"Compliant","Non-Compliant")</f>
        <v>Compliant</v>
      </c>
      <c r="U4" s="20"/>
    </row>
    <row r="5" spans="1:21" ht="15.6">
      <c r="A5" s="161" t="s">
        <v>296</v>
      </c>
      <c r="B5" s="141" t="str">
        <f>IF(CAELS!D6&gt;8%,"Compliant","Non-Compliant")</f>
        <v>Non-Compliant</v>
      </c>
      <c r="C5" s="141" t="str">
        <f>IF(CAELS!E6&gt;8%,"Compliant","Non-Compliant")</f>
        <v>Non-Compliant</v>
      </c>
      <c r="D5" s="141" t="str">
        <f>IF(CAELS!F6&gt;8%,"Compliant","Non-Compliant")</f>
        <v>Compliant</v>
      </c>
      <c r="E5" s="141" t="str">
        <f>IF(CAELS!G6&gt;8%,"Compliant","Non-Compliant")</f>
        <v>Compliant</v>
      </c>
      <c r="F5" s="141" t="str">
        <f>IF(CAELS!H6&gt;8%,"Compliant","Non-Compliant")</f>
        <v>Compliant</v>
      </c>
      <c r="G5" s="141" t="str">
        <f>IF(CAELS!I6&gt;8%,"Compliant","Non-Compliant")</f>
        <v>Compliant</v>
      </c>
      <c r="H5" s="141" t="str">
        <f>IF(CAELS!J6&gt;8%,"Compliant","Non-Compliant")</f>
        <v>Compliant</v>
      </c>
      <c r="I5" s="141" t="str">
        <f>IF(CAELS!K6&gt;8%,"Compliant","Non-Compliant")</f>
        <v>Compliant</v>
      </c>
      <c r="J5" s="141" t="str">
        <f>IF(CAELS!L6&gt;8%,"Compliant","Non-Compliant")</f>
        <v>Compliant</v>
      </c>
      <c r="K5" s="141" t="str">
        <f>IF(CAELS!M6&gt;8%,"Compliant","Non-Compliant")</f>
        <v>Compliant</v>
      </c>
      <c r="L5" s="141" t="str">
        <f>IF(CAELS!N6&gt;8%,"Compliant","Non-Compliant")</f>
        <v>Compliant</v>
      </c>
      <c r="M5" s="141" t="str">
        <f>IF(CAELS!O6&gt;8%,"Compliant","Non-Compliant")</f>
        <v>Compliant</v>
      </c>
      <c r="N5" s="141" t="str">
        <f>IF(CAELS!P6&gt;8%,"Compliant","Non-Compliant")</f>
        <v>Compliant</v>
      </c>
      <c r="O5" s="141" t="str">
        <f>IF(CAELS!Q6&gt;8%,"Compliant","Non-Compliant")</f>
        <v>Compliant</v>
      </c>
      <c r="P5" s="141" t="str">
        <f>IF(CAELS!R6&gt;8%,"Compliant","Non-Compliant")</f>
        <v>Compliant</v>
      </c>
      <c r="Q5" s="141" t="str">
        <f>IF(CAELS!S6&gt;8%,"Compliant","Non-Compliant")</f>
        <v>Compliant</v>
      </c>
      <c r="R5" s="141" t="str">
        <f>IF(CAELS!T6&gt;8%,"Compliant","Non-Compliant")</f>
        <v>Non-Compliant</v>
      </c>
      <c r="S5" s="141" t="str">
        <f>IF(CAELS!U6&gt;8%,"Compliant","Non-Compliant")</f>
        <v>Compliant</v>
      </c>
      <c r="T5" s="141" t="str">
        <f>IF(CAELS!V6&gt;8%,"Compliant","Non-Compliant")</f>
        <v>Non-Compliant</v>
      </c>
      <c r="U5" s="20"/>
    </row>
    <row r="6" spans="1:21" ht="15.6">
      <c r="A6" s="161" t="s">
        <v>297</v>
      </c>
      <c r="B6" s="141" t="str">
        <f>IF(CAELS!D5&gt;8%,"Compliant","Non-Compiant")</f>
        <v>Compliant</v>
      </c>
      <c r="C6" s="141" t="str">
        <f>IF(CAELS!E5&gt;8%,"Compliant","Non-Compiant")</f>
        <v>Compliant</v>
      </c>
      <c r="D6" s="141" t="str">
        <f>IF(CAELS!F5&gt;8%,"Compliant","Non-Compiant")</f>
        <v>Compliant</v>
      </c>
      <c r="E6" s="141" t="str">
        <f>IF(CAELS!G5&gt;8%,"Compliant","Non-Compiant")</f>
        <v>Compliant</v>
      </c>
      <c r="F6" s="141" t="str">
        <f>IF(CAELS!H5&gt;8%,"Compliant","Non-Compiant")</f>
        <v>Compliant</v>
      </c>
      <c r="G6" s="141" t="str">
        <f>IF(CAELS!I5&gt;8%,"Compliant","Non-Compiant")</f>
        <v>Compliant</v>
      </c>
      <c r="H6" s="141" t="str">
        <f>IF(CAELS!J5&gt;8%,"Compliant","Non-Compiant")</f>
        <v>Compliant</v>
      </c>
      <c r="I6" s="141" t="str">
        <f>IF(CAELS!K5&gt;8%,"Compliant","Non-Compiant")</f>
        <v>Compliant</v>
      </c>
      <c r="J6" s="141" t="str">
        <f>IF(CAELS!L5&gt;8%,"Compliant","Non-Compiant")</f>
        <v>Compliant</v>
      </c>
      <c r="K6" s="141" t="str">
        <f>IF(CAELS!M5&gt;8%,"Compliant","Non-Compiant")</f>
        <v>Compliant</v>
      </c>
      <c r="L6" s="141" t="str">
        <f>IF(CAELS!N5&gt;8%,"Compliant","Non-Compiant")</f>
        <v>Compliant</v>
      </c>
      <c r="M6" s="141" t="str">
        <f>IF(CAELS!O5&gt;8%,"Compliant","Non-Compiant")</f>
        <v>Compliant</v>
      </c>
      <c r="N6" s="141" t="str">
        <f>IF(CAELS!P5&gt;8%,"Compliant","Non-Compiant")</f>
        <v>Compliant</v>
      </c>
      <c r="O6" s="141" t="str">
        <f>IF(CAELS!Q5&gt;8%,"Compliant","Non-Compiant")</f>
        <v>Compliant</v>
      </c>
      <c r="P6" s="141" t="str">
        <f>IF(CAELS!R5&gt;8%,"Compliant","Non-Compiant")</f>
        <v>Compliant</v>
      </c>
      <c r="Q6" s="141" t="str">
        <f>IF(CAELS!S5&gt;8%,"Compliant","Non-Compiant")</f>
        <v>Compliant</v>
      </c>
      <c r="R6" s="141" t="str">
        <f>IF(CAELS!T5&gt;8%,"Compliant","Non-Compiant")</f>
        <v>Compliant</v>
      </c>
      <c r="S6" s="141" t="str">
        <f>IF(CAELS!U5&gt;8%,"Compliant","Non-Compiant")</f>
        <v>Compliant</v>
      </c>
      <c r="T6" s="141" t="str">
        <f>IF(CAELS!V5&gt;8%,"Compliant","Non-Compiant")</f>
        <v>Compliant</v>
      </c>
      <c r="U6" s="20"/>
    </row>
    <row r="7" spans="1:21" ht="15.6">
      <c r="A7" s="161" t="s">
        <v>298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20"/>
    </row>
    <row r="8" spans="1:21" ht="15.6">
      <c r="A8" s="161" t="s">
        <v>299</v>
      </c>
      <c r="B8" s="141" t="str">
        <f>IF(CAELS!D12&gt;15%,"Compliant","Non-Compliant")</f>
        <v>Compliant</v>
      </c>
      <c r="C8" s="141" t="str">
        <f>IF(CAELS!E12&gt;15%,"Compliant","Non-Compliant")</f>
        <v>Compliant</v>
      </c>
      <c r="D8" s="141" t="str">
        <f>IF(CAELS!F12&gt;15%,"Compliant","Non-Compliant")</f>
        <v>Compliant</v>
      </c>
      <c r="E8" s="141" t="str">
        <f>IF(CAELS!G12&gt;15%,"Compliant","Non-Compliant")</f>
        <v>Compliant</v>
      </c>
      <c r="F8" s="141" t="str">
        <f>IF(CAELS!H12&gt;15%,"Compliant","Non-Compliant")</f>
        <v>Compliant</v>
      </c>
      <c r="G8" s="141" t="str">
        <f>IF(CAELS!I12&gt;15%,"Compliant","Non-Compliant")</f>
        <v>Compliant</v>
      </c>
      <c r="H8" s="141" t="str">
        <f>IF(CAELS!J12&gt;15%,"Compliant","Non-Compliant")</f>
        <v>Compliant</v>
      </c>
      <c r="I8" s="141" t="str">
        <f>IF(CAELS!K12&gt;15%,"Compliant","Non-Compliant")</f>
        <v>Compliant</v>
      </c>
      <c r="J8" s="141" t="str">
        <f>IF(CAELS!L12&gt;15%,"Compliant","Non-Compliant")</f>
        <v>Compliant</v>
      </c>
      <c r="K8" s="141" t="str">
        <f>IF(CAELS!M12&gt;15%,"Compliant","Non-Compliant")</f>
        <v>Compliant</v>
      </c>
      <c r="L8" s="141" t="str">
        <f>IF(CAELS!N12&gt;15%,"Compliant","Non-Compliant")</f>
        <v>Compliant</v>
      </c>
      <c r="M8" s="141" t="str">
        <f>IF(CAELS!O12&gt;15%,"Compliant","Non-Compliant")</f>
        <v>Compliant</v>
      </c>
      <c r="N8" s="141" t="str">
        <f>IF(CAELS!P12&gt;15%,"Compliant","Non-Compliant")</f>
        <v>Compliant</v>
      </c>
      <c r="O8" s="141" t="str">
        <f>IF(CAELS!Q12&gt;15%,"Compliant","Non-Compliant")</f>
        <v>Compliant</v>
      </c>
      <c r="P8" s="141" t="str">
        <f>IF(CAELS!R12&gt;15%,"Compliant","Non-Compliant")</f>
        <v>Compliant</v>
      </c>
      <c r="Q8" s="141" t="str">
        <f>IF(CAELS!S12&gt;15%,"Compliant","Non-Compliant")</f>
        <v>Compliant</v>
      </c>
      <c r="R8" s="141" t="str">
        <f>IF(CAELS!T12&gt;15%,"Compliant","Non-Compliant")</f>
        <v>Compliant</v>
      </c>
      <c r="S8" s="141" t="str">
        <f>IF(CAELS!U12&gt;15%,"Compliant","Non-Compliant")</f>
        <v>Compliant</v>
      </c>
      <c r="T8" s="141" t="str">
        <f>IF(CAELS!V12&gt;15%,"Compliant","Non-Compliant")</f>
        <v>Compliant</v>
      </c>
      <c r="U8" s="20"/>
    </row>
    <row r="9" spans="1:21" ht="15.6">
      <c r="A9" s="161" t="s">
        <v>300</v>
      </c>
      <c r="B9" s="141" t="str">
        <f>IF(CAELS!D16&lt;10%,"Compliant","Non-Compliant")</f>
        <v>Non-Compliant</v>
      </c>
      <c r="C9" s="141" t="str">
        <f>IF(CAELS!E16&lt;10%,"Compliant","Non-Compliant")</f>
        <v>Compliant</v>
      </c>
      <c r="D9" s="141" t="str">
        <f>IF(CAELS!F16&lt;10%,"Compliant","Non-Compliant")</f>
        <v>Compliant</v>
      </c>
      <c r="E9" s="141" t="str">
        <f>IF(CAELS!G16&lt;10%,"Compliant","Non-Compliant")</f>
        <v>Compliant</v>
      </c>
      <c r="F9" s="141" t="str">
        <f>IF(CAELS!H16&lt;10%,"Compliant","Non-Compliant")</f>
        <v>Compliant</v>
      </c>
      <c r="G9" s="141" t="str">
        <f>IF(CAELS!I16&lt;10%,"Compliant","Non-Compliant")</f>
        <v>Compliant</v>
      </c>
      <c r="H9" s="141" t="str">
        <f>IF(CAELS!J16&lt;10%,"Compliant","Non-Compliant")</f>
        <v>Compliant</v>
      </c>
      <c r="I9" s="141" t="str">
        <f>IF(CAELS!K16&lt;10%,"Compliant","Non-Compliant")</f>
        <v>Compliant</v>
      </c>
      <c r="J9" s="141" t="str">
        <f>IF(CAELS!L16&lt;10%,"Compliant","Non-Compliant")</f>
        <v>Compliant</v>
      </c>
      <c r="K9" s="141" t="str">
        <f>IF(CAELS!M16&lt;10%,"Compliant","Non-Compliant")</f>
        <v>Compliant</v>
      </c>
      <c r="L9" s="141" t="str">
        <f>IF(CAELS!N16&lt;10%,"Compliant","Non-Compliant")</f>
        <v>Compliant</v>
      </c>
      <c r="M9" s="141" t="str">
        <f>IF(CAELS!O16&lt;10%,"Compliant","Non-Compliant")</f>
        <v>Compliant</v>
      </c>
      <c r="N9" s="141" t="str">
        <f>IF(CAELS!P16&lt;10%,"Compliant","Non-Compliant")</f>
        <v>Compliant</v>
      </c>
      <c r="O9" s="141" t="str">
        <f>IF(CAELS!Q16&lt;10%,"Compliant","Non-Compliant")</f>
        <v>Compliant</v>
      </c>
      <c r="P9" s="141" t="str">
        <f>IF(CAELS!R16&lt;10%,"Compliant","Non-Compliant")</f>
        <v>Compliant</v>
      </c>
      <c r="Q9" s="141" t="str">
        <f>IF(CAELS!S16&lt;10%,"Compliant","Non-Compliant")</f>
        <v>Compliant</v>
      </c>
      <c r="R9" s="141" t="str">
        <f>IF(CAELS!T16&lt;10%,"Compliant","Non-Compliant")</f>
        <v>Compliant</v>
      </c>
      <c r="S9" s="141" t="str">
        <f>IF(CAELS!U16&lt;10%,"Compliant","Non-Compliant")</f>
        <v>Compliant</v>
      </c>
      <c r="T9" s="141" t="str">
        <f>IF(CAELS!V16&lt;10%,"Compliant","Non-Compliant")</f>
        <v>Compliant</v>
      </c>
      <c r="U9" s="20"/>
    </row>
    <row r="10" spans="1:21" ht="15.6">
      <c r="A10" s="161" t="s">
        <v>301</v>
      </c>
      <c r="B10" s="141" t="str">
        <f>IF(CAELS!D17&lt;5%,"Compliant","Non-Compliant")</f>
        <v>Compliant</v>
      </c>
      <c r="C10" s="141" t="str">
        <f>IF(CAELS!E17&lt;5%,"Compliant","Non-Compliant")</f>
        <v>Compliant</v>
      </c>
      <c r="D10" s="141" t="str">
        <f>IF(CAELS!F17&lt;5%,"Compliant","Non-Compliant")</f>
        <v>Non-Compliant</v>
      </c>
      <c r="E10" s="141" t="str">
        <f>IF(CAELS!G17&lt;5%,"Compliant","Non-Compliant")</f>
        <v>Non-Compliant</v>
      </c>
      <c r="F10" s="141" t="str">
        <f>IF(CAELS!H17&lt;5%,"Compliant","Non-Compliant")</f>
        <v>Non-Compliant</v>
      </c>
      <c r="G10" s="141" t="str">
        <f>IF(CAELS!I17&lt;5%,"Compliant","Non-Compliant")</f>
        <v>Non-Compliant</v>
      </c>
      <c r="H10" s="141" t="str">
        <f>IF(CAELS!J17&lt;5%,"Compliant","Non-Compliant")</f>
        <v>Non-Compliant</v>
      </c>
      <c r="I10" s="141" t="str">
        <f>IF(CAELS!K17&lt;5%,"Compliant","Non-Compliant")</f>
        <v>Non-Compliant</v>
      </c>
      <c r="J10" s="141" t="str">
        <f>IF(CAELS!L17&lt;5%,"Compliant","Non-Compliant")</f>
        <v>Non-Compliant</v>
      </c>
      <c r="K10" s="141" t="str">
        <f>IF(CAELS!M17&lt;5%,"Compliant","Non-Compliant")</f>
        <v>Non-Compliant</v>
      </c>
      <c r="L10" s="141" t="str">
        <f>IF(CAELS!N17&lt;5%,"Compliant","Non-Compliant")</f>
        <v>Non-Compliant</v>
      </c>
      <c r="M10" s="141" t="str">
        <f>IF(CAELS!O17&lt;5%,"Compliant","Non-Compliant")</f>
        <v>Non-Compliant</v>
      </c>
      <c r="N10" s="141" t="str">
        <f>IF(CAELS!P17&lt;5%,"Compliant","Non-Compliant")</f>
        <v>Non-Compliant</v>
      </c>
      <c r="O10" s="141" t="str">
        <f>IF(CAELS!Q17&lt;5%,"Compliant","Non-Compliant")</f>
        <v>Non-Compliant</v>
      </c>
      <c r="P10" s="141" t="str">
        <f>IF(CAELS!R17&lt;5%,"Compliant","Non-Compliant")</f>
        <v>Compliant</v>
      </c>
      <c r="Q10" s="141" t="str">
        <f>IF(CAELS!S17&lt;5%,"Compliant","Non-Compliant")</f>
        <v>Non-Compliant</v>
      </c>
      <c r="R10" s="141" t="str">
        <f>IF(CAELS!T17&lt;5%,"Compliant","Non-Compliant")</f>
        <v>Non-Compliant</v>
      </c>
      <c r="S10" s="141" t="str">
        <f>IF(CAELS!U17&lt;5%,"Compliant","Non-Compliant")</f>
        <v>Non-Compliant</v>
      </c>
      <c r="T10" s="141" t="str">
        <f>IF(CAELS!V17&lt;5%,"Compliant","Non-Compliant")</f>
        <v>Non-Compliant</v>
      </c>
      <c r="U10" s="20"/>
    </row>
    <row r="11" spans="1:21" ht="15.6">
      <c r="A11" s="161" t="s">
        <v>302</v>
      </c>
      <c r="B11" s="141" t="str">
        <f>IF(CAELS!D18&lt;5%,"Compliant","Non-Compliant")</f>
        <v>Compliant</v>
      </c>
      <c r="C11" s="141" t="str">
        <f>IF(CAELS!E18&lt;5%,"Compliant","Non-Compliant")</f>
        <v>Compliant</v>
      </c>
      <c r="D11" s="141" t="str">
        <f>IF(CAELS!F18&lt;5%,"Compliant","Non-Compliant")</f>
        <v>Compliant</v>
      </c>
      <c r="E11" s="141" t="str">
        <f>IF(CAELS!G18&lt;5%,"Compliant","Non-Compliant")</f>
        <v>Compliant</v>
      </c>
      <c r="F11" s="141" t="str">
        <f>IF(CAELS!H18&lt;5%,"Compliant","Non-Compliant")</f>
        <v>Compliant</v>
      </c>
      <c r="G11" s="141" t="str">
        <f>IF(CAELS!I18&lt;5%,"Compliant","Non-Compliant")</f>
        <v>Compliant</v>
      </c>
      <c r="H11" s="141" t="str">
        <f>IF(CAELS!J18&lt;5%,"Compliant","Non-Compliant")</f>
        <v>Compliant</v>
      </c>
      <c r="I11" s="141" t="str">
        <f>IF(CAELS!K18&lt;5%,"Compliant","Non-Compliant")</f>
        <v>Compliant</v>
      </c>
      <c r="J11" s="141" t="str">
        <f>IF(CAELS!L18&lt;5%,"Compliant","Non-Compliant")</f>
        <v>Compliant</v>
      </c>
      <c r="K11" s="141" t="str">
        <f>IF(CAELS!M18&lt;5%,"Compliant","Non-Compliant")</f>
        <v>Compliant</v>
      </c>
      <c r="L11" s="141" t="str">
        <f>IF(CAELS!N18&lt;5%,"Compliant","Non-Compliant")</f>
        <v>Compliant</v>
      </c>
      <c r="M11" s="141" t="str">
        <f>IF(CAELS!O18&lt;5%,"Compliant","Non-Compliant")</f>
        <v>Compliant</v>
      </c>
      <c r="N11" s="141" t="str">
        <f>IF(CAELS!P18&lt;5%,"Compliant","Non-Compliant")</f>
        <v>Compliant</v>
      </c>
      <c r="O11" s="141" t="str">
        <f>IF(CAELS!Q18&lt;5%,"Compliant","Non-Compliant")</f>
        <v>Compliant</v>
      </c>
      <c r="P11" s="141" t="str">
        <f>IF(CAELS!R18&lt;5%,"Compliant","Non-Compliant")</f>
        <v>Compliant</v>
      </c>
      <c r="Q11" s="141" t="str">
        <f>IF(CAELS!S18&lt;5%,"Compliant","Non-Compliant")</f>
        <v>Compliant</v>
      </c>
      <c r="R11" s="141" t="str">
        <f>IF(CAELS!T18&lt;5%,"Compliant","Non-Compliant")</f>
        <v>Compliant</v>
      </c>
      <c r="S11" s="141" t="str">
        <f>IF(CAELS!U18&lt;5%,"Compliant","Non-Compliant")</f>
        <v>Compliant</v>
      </c>
      <c r="T11" s="141" t="str">
        <f>IF(CAELS!V18&lt;5%,"Compliant","Non-Compliant")</f>
        <v>Compliant</v>
      </c>
      <c r="U11" s="20"/>
    </row>
    <row r="12" spans="1:21" ht="15.6">
      <c r="A12" s="161" t="s">
        <v>303</v>
      </c>
      <c r="B12" s="141" t="str">
        <f>IF(CAELS!D19&lt;40%,"Compliant","Non-Compliant")</f>
        <v>Compliant</v>
      </c>
      <c r="C12" s="141" t="str">
        <f>IF(CAELS!E19&lt;40%,"Compliant","Non-Compliant")</f>
        <v>Compliant</v>
      </c>
      <c r="D12" s="141" t="str">
        <f>IF(CAELS!F19&lt;40%,"Compliant","Non-Compliant")</f>
        <v>Compliant</v>
      </c>
      <c r="E12" s="141" t="str">
        <f>IF(CAELS!G19&lt;40%,"Compliant","Non-Compliant")</f>
        <v>Compliant</v>
      </c>
      <c r="F12" s="141" t="str">
        <f>IF(CAELS!H19&lt;40%,"Compliant","Non-Compliant")</f>
        <v>Compliant</v>
      </c>
      <c r="G12" s="141" t="str">
        <f>IF(CAELS!I19&lt;40%,"Compliant","Non-Compliant")</f>
        <v>Compliant</v>
      </c>
      <c r="H12" s="141" t="str">
        <f>IF(CAELS!J19&lt;40%,"Compliant","Non-Compliant")</f>
        <v>Compliant</v>
      </c>
      <c r="I12" s="141" t="str">
        <f>IF(CAELS!K19&lt;40%,"Compliant","Non-Compliant")</f>
        <v>Compliant</v>
      </c>
      <c r="J12" s="141" t="str">
        <f>IF(CAELS!L19&lt;40%,"Compliant","Non-Compliant")</f>
        <v>Compliant</v>
      </c>
      <c r="K12" s="141" t="str">
        <f>IF(CAELS!M19&lt;40%,"Compliant","Non-Compliant")</f>
        <v>Compliant</v>
      </c>
      <c r="L12" s="141" t="str">
        <f>IF(CAELS!N19&lt;40%,"Compliant","Non-Compliant")</f>
        <v>Compliant</v>
      </c>
      <c r="M12" s="141" t="str">
        <f>IF(CAELS!O19&lt;40%,"Compliant","Non-Compliant")</f>
        <v>Compliant</v>
      </c>
      <c r="N12" s="141" t="str">
        <f>IF(CAELS!P19&lt;40%,"Compliant","Non-Compliant")</f>
        <v>Compliant</v>
      </c>
      <c r="O12" s="141" t="str">
        <f>IF(CAELS!Q19&lt;40%,"Compliant","Non-Compliant")</f>
        <v>Compliant</v>
      </c>
      <c r="P12" s="141" t="str">
        <f>IF(CAELS!R19&lt;40%,"Compliant","Non-Compliant")</f>
        <v>Compliant</v>
      </c>
      <c r="Q12" s="141" t="str">
        <f>IF(CAELS!S19&lt;40%,"Compliant","Non-Compliant")</f>
        <v>Compliant</v>
      </c>
      <c r="R12" s="141" t="str">
        <f>IF(CAELS!T19&lt;40%,"Compliant","Non-Compliant")</f>
        <v>Compliant</v>
      </c>
      <c r="S12" s="141" t="str">
        <f>IF(CAELS!U19&lt;40%,"Compliant","Non-Compliant")</f>
        <v>Compliant</v>
      </c>
      <c r="T12" s="141" t="str">
        <f>IF(CAELS!V19&lt;40%,"Compliant","Non-Compliant")</f>
        <v>Compliant</v>
      </c>
      <c r="U12" s="20"/>
    </row>
    <row r="13" spans="1:21" ht="15.6">
      <c r="A13" s="161" t="s">
        <v>304</v>
      </c>
      <c r="B13" s="141" t="str">
        <f>IF(CAELS!D14&lt;25%,"Compliant","Non-Compliant")</f>
        <v>Compliant</v>
      </c>
      <c r="C13" s="141" t="str">
        <f>IF(CAELS!E14&lt;25%,"Compliant","Non-Compliant")</f>
        <v>Compliant</v>
      </c>
      <c r="D13" s="141" t="str">
        <f>IF(CAELS!F14&lt;25%,"Compliant","Non-Compliant")</f>
        <v>Compliant</v>
      </c>
      <c r="E13" s="141" t="str">
        <f>IF(CAELS!G14&lt;25%,"Compliant","Non-Compliant")</f>
        <v>Compliant</v>
      </c>
      <c r="F13" s="141" t="str">
        <f>IF(CAELS!H14&lt;25%,"Compliant","Non-Compliant")</f>
        <v>Compliant</v>
      </c>
      <c r="G13" s="141" t="str">
        <f>IF(CAELS!I14&lt;25%,"Compliant","Non-Compliant")</f>
        <v>Compliant</v>
      </c>
      <c r="H13" s="141" t="str">
        <f>IF(CAELS!J14&lt;25%,"Compliant","Non-Compliant")</f>
        <v>Compliant</v>
      </c>
      <c r="I13" s="141" t="str">
        <f>IF(CAELS!K14&lt;25%,"Compliant","Non-Compliant")</f>
        <v>Compliant</v>
      </c>
      <c r="J13" s="141" t="str">
        <f>IF(CAELS!L14&lt;25%,"Compliant","Non-Compliant")</f>
        <v>Compliant</v>
      </c>
      <c r="K13" s="141" t="str">
        <f>IF(CAELS!M14&lt;25%,"Compliant","Non-Compliant")</f>
        <v>Compliant</v>
      </c>
      <c r="L13" s="141" t="str">
        <f>IF(CAELS!N14&lt;25%,"Compliant","Non-Compliant")</f>
        <v>Compliant</v>
      </c>
      <c r="M13" s="141" t="str">
        <f>IF(CAELS!O14&lt;25%,"Compliant","Non-Compliant")</f>
        <v>Compliant</v>
      </c>
      <c r="N13" s="141" t="str">
        <f>IF(CAELS!P14&lt;25%,"Compliant","Non-Compliant")</f>
        <v>Compliant</v>
      </c>
      <c r="O13" s="141" t="str">
        <f>IF(CAELS!Q14&lt;25%,"Compliant","Non-Compliant")</f>
        <v>Compliant</v>
      </c>
      <c r="P13" s="141" t="str">
        <f>IF(CAELS!R14&lt;25%,"Compliant","Non-Compliant")</f>
        <v>Compliant</v>
      </c>
      <c r="Q13" s="141" t="str">
        <f>IF(CAELS!S14&lt;25%,"Compliant","Non-Compliant")</f>
        <v>Compliant</v>
      </c>
      <c r="R13" s="141" t="str">
        <f>IF(CAELS!T14&lt;25%,"Compliant","Non-Compliant")</f>
        <v>Compliant</v>
      </c>
      <c r="S13" s="141" t="str">
        <f>IF(CAELS!U14&lt;25%,"Compliant","Non-Compliant")</f>
        <v>Compliant</v>
      </c>
      <c r="T13" s="141" t="str">
        <f>IF(CAELS!V14&lt;25%,"Compliant","Non-Compliant")</f>
        <v>Compliant</v>
      </c>
      <c r="U13" s="20"/>
    </row>
    <row r="14" spans="1:21" ht="15.6">
      <c r="A14" s="161" t="s">
        <v>305</v>
      </c>
      <c r="B14" s="141" t="str">
        <f>IF('Evolutive SFP'!B28='Evolutive SFP'!B50,"BALANCING","NOT BALANCING")</f>
        <v>BALANCING</v>
      </c>
      <c r="C14" s="141" t="str">
        <f>IF('Evolutive SFP'!C28='Evolutive SFP'!C50,"BALANCING","NOT BALANCING")</f>
        <v>BALANCING</v>
      </c>
      <c r="D14" s="141" t="str">
        <f>IF('Evolutive SFP'!D28='Evolutive SFP'!D50,"BALANCING","NOT BALANCING")</f>
        <v>BALANCING</v>
      </c>
      <c r="E14" s="141" t="str">
        <f>IF('Evolutive SFP'!E28='Evolutive SFP'!E50,"BALANCING","NOT BALANCING")</f>
        <v>BALANCING</v>
      </c>
      <c r="F14" s="141" t="str">
        <f>IF('Evolutive SFP'!F28='Evolutive SFP'!F50,"BALANCING","NOT BALANCING")</f>
        <v>BALANCING</v>
      </c>
      <c r="G14" s="141" t="str">
        <f>IF('Evolutive SFP'!G28='Evolutive SFP'!G50,"BALANCING","NOT BALANCING")</f>
        <v>BALANCING</v>
      </c>
      <c r="H14" s="141" t="str">
        <f>IF('Evolutive SFP'!H28='Evolutive SFP'!H50,"BALANCING","NOT BALANCING")</f>
        <v>BALANCING</v>
      </c>
      <c r="I14" s="141" t="str">
        <f>IF('Evolutive SFP'!I28='Evolutive SFP'!I50,"BALANCING","NOT BALANCING")</f>
        <v>BALANCING</v>
      </c>
      <c r="J14" s="141" t="str">
        <f>IF('Evolutive SFP'!J28='Evolutive SFP'!J50,"BALANCING","NOT BALANCING")</f>
        <v>BALANCING</v>
      </c>
      <c r="K14" s="141" t="str">
        <f>IF('Evolutive SFP'!K28='Evolutive SFP'!K50,"BALANCING","NOT BALANCING")</f>
        <v>BALANCING</v>
      </c>
      <c r="L14" s="141" t="str">
        <f>IF('Evolutive SFP'!L28='Evolutive SFP'!L50,"BALANCING","NOT BALANCING")</f>
        <v>BALANCING</v>
      </c>
      <c r="M14" s="141" t="str">
        <f>IF('Evolutive SFP'!M28='Evolutive SFP'!M50,"BALANCING","NOT BALANCING")</f>
        <v>BALANCING</v>
      </c>
      <c r="N14" s="141" t="str">
        <f>IF('Evolutive SFP'!N28='Evolutive SFP'!N50,"BALANCING","NOT BALANCING")</f>
        <v>BALANCING</v>
      </c>
      <c r="O14" s="141" t="str">
        <f>IF('Evolutive SFP'!O28='Evolutive SFP'!O50,"BALANCING","NOT BALANCING")</f>
        <v>BALANCING</v>
      </c>
      <c r="P14" s="141" t="str">
        <f>IF('Evolutive SFP'!P28='Evolutive SFP'!P50,"BALANCING","NOT BALANCING")</f>
        <v>NOT BALANCING</v>
      </c>
      <c r="Q14" s="141" t="e">
        <f>IF('Evolutive SFP'!#REF!='Evolutive SFP'!#REF!,"BALANCING","NOT BALANCING")</f>
        <v>#REF!</v>
      </c>
      <c r="R14" s="141" t="e">
        <f>IF('Evolutive SFP'!#REF!='Evolutive SFP'!#REF!,"BALANCING","NOT BALANCING")</f>
        <v>#REF!</v>
      </c>
      <c r="S14" s="141" t="str">
        <f>IF('Evolutive SFP'!Q28='Evolutive SFP'!Q50,"BALANCING","NOT BALANCING")</f>
        <v>BALANCING</v>
      </c>
      <c r="T14" s="141" t="str">
        <f>IF('Evolutive SFP'!R28='Evolutive SFP'!R50,"BALANCING","NOT BALANCING")</f>
        <v>BALANCING</v>
      </c>
      <c r="U14" s="20"/>
    </row>
    <row r="15" spans="1:21" ht="15.6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1"/>
  <sheetViews>
    <sheetView workbookViewId="0">
      <pane xSplit="1" ySplit="2" topLeftCell="B3" activePane="bottomRight" state="frozen"/>
      <selection pane="bottomRight" activeCell="A26" sqref="A26"/>
      <selection pane="bottomLeft" activeCell="A3" sqref="A3"/>
      <selection pane="topRight" activeCell="B1" sqref="B1"/>
    </sheetView>
  </sheetViews>
  <sheetFormatPr defaultRowHeight="14.45"/>
  <cols>
    <col min="1" max="1" width="54.85546875" style="6" bestFit="1" customWidth="1"/>
    <col min="2" max="2" width="15" style="6" bestFit="1" customWidth="1"/>
    <col min="3" max="3" width="15.140625" style="6" customWidth="1"/>
    <col min="4" max="4" width="17.7109375" style="7" bestFit="1" customWidth="1"/>
    <col min="5" max="5" width="13.5703125" bestFit="1" customWidth="1"/>
    <col min="6" max="6" width="11.5703125" bestFit="1" customWidth="1"/>
    <col min="8" max="8" width="16" bestFit="1" customWidth="1"/>
    <col min="10" max="10" width="10.7109375" bestFit="1" customWidth="1"/>
  </cols>
  <sheetData>
    <row r="1" spans="1:10" ht="15.6">
      <c r="A1" s="326" t="s">
        <v>306</v>
      </c>
      <c r="B1" s="326"/>
      <c r="C1" s="326"/>
      <c r="D1" s="21"/>
      <c r="E1" s="20"/>
    </row>
    <row r="2" spans="1:10" ht="15.6">
      <c r="A2" s="141"/>
      <c r="B2" s="154">
        <v>2020</v>
      </c>
      <c r="C2" s="154">
        <v>2021</v>
      </c>
      <c r="D2" s="197" t="s">
        <v>307</v>
      </c>
      <c r="E2" s="20" t="s">
        <v>308</v>
      </c>
    </row>
    <row r="3" spans="1:10" ht="15.6">
      <c r="A3" s="198" t="s">
        <v>309</v>
      </c>
      <c r="B3" s="199"/>
      <c r="C3" s="200"/>
      <c r="D3" s="21"/>
      <c r="E3" s="20"/>
    </row>
    <row r="4" spans="1:10" ht="15.6">
      <c r="A4" s="201" t="s">
        <v>310</v>
      </c>
      <c r="B4" s="202"/>
      <c r="C4" s="203"/>
      <c r="D4" s="21"/>
      <c r="E4" s="20"/>
    </row>
    <row r="5" spans="1:10" ht="15.6">
      <c r="A5" s="204" t="s">
        <v>311</v>
      </c>
      <c r="B5" s="205"/>
      <c r="C5" s="206"/>
      <c r="D5" s="21"/>
      <c r="E5" s="20"/>
      <c r="J5" t="s">
        <v>312</v>
      </c>
    </row>
    <row r="6" spans="1:10" ht="16.899999999999999">
      <c r="A6" s="204" t="s">
        <v>313</v>
      </c>
      <c r="B6" s="207"/>
      <c r="C6" s="208"/>
      <c r="D6" s="209"/>
      <c r="E6" s="20"/>
      <c r="J6" t="s">
        <v>312</v>
      </c>
    </row>
    <row r="7" spans="1:10" ht="16.899999999999999">
      <c r="A7" s="204" t="s">
        <v>314</v>
      </c>
      <c r="B7" s="202"/>
      <c r="C7" s="206"/>
      <c r="D7" s="209"/>
      <c r="E7" s="207"/>
      <c r="F7" s="4"/>
    </row>
    <row r="8" spans="1:10" ht="18.600000000000001">
      <c r="A8" s="210" t="s">
        <v>315</v>
      </c>
      <c r="B8" s="211">
        <f>B4+B5+B6+B7</f>
        <v>0</v>
      </c>
      <c r="C8" s="212">
        <f>SUM(C4:C7)</f>
        <v>0</v>
      </c>
      <c r="D8" s="213">
        <f>SUM(D4:D7)</f>
        <v>0</v>
      </c>
      <c r="E8" s="20"/>
      <c r="H8" s="5"/>
    </row>
    <row r="9" spans="1:10" ht="15.6">
      <c r="A9" s="204" t="s">
        <v>316</v>
      </c>
      <c r="B9" s="205"/>
      <c r="C9" s="206"/>
      <c r="D9" s="209"/>
      <c r="E9" s="214"/>
    </row>
    <row r="10" spans="1:10" ht="15.6">
      <c r="A10" s="204" t="s">
        <v>317</v>
      </c>
      <c r="B10" s="205"/>
      <c r="C10" s="206"/>
      <c r="D10" s="21"/>
      <c r="E10" s="20"/>
    </row>
    <row r="11" spans="1:10" ht="15.6">
      <c r="A11" s="204" t="s">
        <v>318</v>
      </c>
      <c r="B11" s="205"/>
      <c r="C11" s="206"/>
      <c r="D11" s="209"/>
      <c r="E11" s="20"/>
    </row>
    <row r="12" spans="1:10" ht="15.6">
      <c r="A12" s="204" t="s">
        <v>319</v>
      </c>
      <c r="B12" s="205"/>
      <c r="C12" s="206"/>
      <c r="D12" s="21"/>
      <c r="E12" s="20"/>
    </row>
    <row r="13" spans="1:10" ht="16.899999999999999">
      <c r="A13" s="204" t="s">
        <v>320</v>
      </c>
      <c r="B13" s="215"/>
      <c r="C13" s="208"/>
      <c r="D13" s="21"/>
      <c r="E13" s="20"/>
      <c r="H13" s="7"/>
    </row>
    <row r="14" spans="1:10" ht="15.6">
      <c r="A14" s="216" t="s">
        <v>321</v>
      </c>
      <c r="B14" s="217">
        <f>SUM(B9:B13)</f>
        <v>0</v>
      </c>
      <c r="C14" s="218">
        <f>SUM(C9:C13)</f>
        <v>0</v>
      </c>
      <c r="D14" s="219">
        <f>SUM(D9:D13)</f>
        <v>0</v>
      </c>
      <c r="E14" s="20"/>
      <c r="H14" s="7"/>
    </row>
    <row r="15" spans="1:10" ht="15.6">
      <c r="A15" s="220" t="s">
        <v>322</v>
      </c>
      <c r="B15" s="205"/>
      <c r="C15" s="206"/>
      <c r="D15" s="21"/>
      <c r="E15" s="20"/>
      <c r="H15" s="7"/>
    </row>
    <row r="16" spans="1:10" ht="15.6">
      <c r="A16" s="220" t="s">
        <v>323</v>
      </c>
      <c r="B16" s="202"/>
      <c r="C16" s="206"/>
      <c r="D16" s="21"/>
      <c r="E16" s="20"/>
      <c r="H16" s="7"/>
    </row>
    <row r="17" spans="1:8" ht="16.899999999999999">
      <c r="A17" s="220" t="s">
        <v>324</v>
      </c>
      <c r="B17" s="215"/>
      <c r="C17" s="208"/>
      <c r="D17" s="21"/>
      <c r="E17" s="20"/>
      <c r="H17" s="7"/>
    </row>
    <row r="18" spans="1:8" ht="15.6">
      <c r="A18" s="221" t="s">
        <v>325</v>
      </c>
      <c r="B18" s="222">
        <f>B8+B14+B15+B16+B17</f>
        <v>0</v>
      </c>
      <c r="C18" s="223">
        <f>C8+C14+C15+C16+C17</f>
        <v>0</v>
      </c>
      <c r="D18" s="219">
        <f>D8+D14+D15+D16+D17</f>
        <v>0</v>
      </c>
      <c r="E18" s="20"/>
      <c r="H18" s="7"/>
    </row>
    <row r="19" spans="1:8" ht="16.899999999999999">
      <c r="A19" s="220" t="s">
        <v>326</v>
      </c>
      <c r="B19" s="215"/>
      <c r="C19" s="208"/>
      <c r="D19" s="21"/>
      <c r="E19" s="20"/>
      <c r="H19" s="7"/>
    </row>
    <row r="20" spans="1:8" ht="18.600000000000001">
      <c r="A20" s="221" t="s">
        <v>327</v>
      </c>
      <c r="B20" s="224"/>
      <c r="C20" s="225"/>
      <c r="D20" s="213"/>
      <c r="E20" s="20"/>
      <c r="F20" s="7"/>
      <c r="H20" s="3"/>
    </row>
    <row r="21" spans="1:8" ht="15.6">
      <c r="A21" s="220"/>
      <c r="B21" s="226"/>
      <c r="C21" s="206"/>
      <c r="D21" s="21"/>
      <c r="E21" s="20"/>
    </row>
    <row r="22" spans="1:8" ht="15.6">
      <c r="A22" s="221" t="s">
        <v>328</v>
      </c>
      <c r="B22" s="227"/>
      <c r="C22" s="228"/>
      <c r="D22" s="229"/>
      <c r="E22" s="20"/>
    </row>
    <row r="23" spans="1:8" ht="15.6">
      <c r="A23" s="220" t="s">
        <v>329</v>
      </c>
      <c r="B23" s="202"/>
      <c r="C23" s="206"/>
      <c r="D23" s="21"/>
      <c r="E23" s="20"/>
    </row>
    <row r="24" spans="1:8" ht="15.6">
      <c r="A24" s="220" t="s">
        <v>330</v>
      </c>
      <c r="B24" s="202"/>
      <c r="C24" s="206"/>
      <c r="D24" s="21"/>
      <c r="E24" s="20"/>
    </row>
    <row r="25" spans="1:8" ht="15.6">
      <c r="A25" s="220" t="s">
        <v>331</v>
      </c>
      <c r="B25" s="202"/>
      <c r="C25" s="206"/>
      <c r="D25" s="21"/>
      <c r="E25" s="20"/>
    </row>
    <row r="26" spans="1:8" ht="15.6">
      <c r="A26" s="220" t="s">
        <v>332</v>
      </c>
      <c r="B26" s="202"/>
      <c r="C26" s="206"/>
      <c r="D26" s="209"/>
      <c r="E26" s="20"/>
    </row>
    <row r="27" spans="1:8" ht="16.899999999999999">
      <c r="A27" s="220" t="s">
        <v>333</v>
      </c>
      <c r="B27" s="215"/>
      <c r="C27" s="208"/>
      <c r="D27" s="209"/>
      <c r="E27" s="20"/>
    </row>
    <row r="28" spans="1:8" ht="18.600000000000001">
      <c r="A28" s="221" t="s">
        <v>334</v>
      </c>
      <c r="B28" s="211">
        <f>SUM(B23:B27)</f>
        <v>0</v>
      </c>
      <c r="C28" s="212">
        <f>SUM(C23:C27)</f>
        <v>0</v>
      </c>
      <c r="D28" s="213">
        <f>SUM(D23:D27)</f>
        <v>0</v>
      </c>
      <c r="E28" s="20"/>
    </row>
    <row r="29" spans="1:8" ht="15.6">
      <c r="A29" s="220"/>
      <c r="B29" s="226"/>
      <c r="C29" s="230"/>
      <c r="D29" s="21"/>
      <c r="E29" s="20"/>
    </row>
    <row r="30" spans="1:8" ht="15.6">
      <c r="A30" s="221" t="s">
        <v>335</v>
      </c>
      <c r="B30" s="227"/>
      <c r="C30" s="228"/>
      <c r="D30" s="229"/>
      <c r="E30" s="20"/>
    </row>
    <row r="31" spans="1:8" ht="15.6">
      <c r="A31" s="220" t="s">
        <v>336</v>
      </c>
      <c r="B31" s="202"/>
      <c r="C31" s="206"/>
      <c r="D31" s="21"/>
      <c r="E31" s="20"/>
    </row>
    <row r="32" spans="1:8" ht="15.6">
      <c r="A32" s="220" t="s">
        <v>337</v>
      </c>
      <c r="B32" s="202"/>
      <c r="C32" s="206"/>
      <c r="D32" s="21"/>
      <c r="E32" s="20"/>
    </row>
    <row r="33" spans="1:5" ht="15.6">
      <c r="A33" s="220" t="s">
        <v>338</v>
      </c>
      <c r="B33" s="202"/>
      <c r="C33" s="206"/>
      <c r="D33" s="21"/>
      <c r="E33" s="20"/>
    </row>
    <row r="34" spans="1:5" ht="15.6">
      <c r="A34" s="220" t="s">
        <v>339</v>
      </c>
      <c r="B34" s="202"/>
      <c r="C34" s="206"/>
      <c r="D34" s="209"/>
      <c r="E34" s="20"/>
    </row>
    <row r="35" spans="1:5" ht="15.6">
      <c r="A35" s="220" t="s">
        <v>340</v>
      </c>
      <c r="B35" s="202"/>
      <c r="C35" s="206"/>
      <c r="D35" s="209"/>
      <c r="E35" s="20"/>
    </row>
    <row r="36" spans="1:5" ht="15.6">
      <c r="A36" s="220" t="s">
        <v>341</v>
      </c>
      <c r="B36" s="202"/>
      <c r="C36" s="206"/>
      <c r="D36" s="209"/>
      <c r="E36" s="20"/>
    </row>
    <row r="37" spans="1:5" ht="18.600000000000001">
      <c r="A37" s="221" t="s">
        <v>342</v>
      </c>
      <c r="B37" s="211">
        <f>SUM(B31:B36)</f>
        <v>0</v>
      </c>
      <c r="C37" s="212">
        <f>SUM(C31:C36)</f>
        <v>0</v>
      </c>
      <c r="D37" s="213">
        <f>SUM(D31:D36)</f>
        <v>0</v>
      </c>
      <c r="E37" s="20"/>
    </row>
    <row r="38" spans="1:5" ht="15.6">
      <c r="A38" s="221" t="s">
        <v>343</v>
      </c>
      <c r="B38" s="231">
        <f>B20+B28+B37</f>
        <v>0</v>
      </c>
      <c r="C38" s="232">
        <f>C20+C28+C37</f>
        <v>0</v>
      </c>
      <c r="D38" s="229">
        <f>D20+D28+D37</f>
        <v>0</v>
      </c>
      <c r="E38" s="20"/>
    </row>
    <row r="39" spans="1:5" ht="16.899999999999999">
      <c r="A39" s="220" t="s">
        <v>344</v>
      </c>
      <c r="B39" s="233"/>
      <c r="C39" s="234"/>
      <c r="D39" s="209"/>
      <c r="E39" s="20"/>
    </row>
    <row r="40" spans="1:5" ht="18.600000000000001">
      <c r="A40" s="221" t="s">
        <v>345</v>
      </c>
      <c r="B40" s="224">
        <f>SUM(B38:B39)</f>
        <v>0</v>
      </c>
      <c r="C40" s="235">
        <f>SUM(C38:C39)</f>
        <v>0</v>
      </c>
      <c r="D40" s="236">
        <f>SUM(D38:D39)</f>
        <v>0</v>
      </c>
      <c r="E40" s="20"/>
    </row>
    <row r="41" spans="1:5" ht="15.6">
      <c r="A41" s="20"/>
      <c r="B41" s="20"/>
      <c r="C41" s="20"/>
      <c r="D41" s="21"/>
      <c r="E41" s="20"/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7" ma:contentTypeDescription="Create a new document." ma:contentTypeScope="" ma:versionID="332fa557c6615f9869f6fecf8fd32bdc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0ef70def4206780f33c1bc13f4ed6917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  <_Flow_SignoffStatus xmlns="df647032-17c5-4266-af02-4596a72daf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160CC-44F7-4C52-BD12-8A8B7C539A5F}"/>
</file>

<file path=customXml/itemProps2.xml><?xml version="1.0" encoding="utf-8"?>
<ds:datastoreItem xmlns:ds="http://schemas.openxmlformats.org/officeDocument/2006/customXml" ds:itemID="{B7047148-5EBA-4300-AA18-99402CF302B6}"/>
</file>

<file path=customXml/itemProps3.xml><?xml version="1.0" encoding="utf-8"?>
<ds:datastoreItem xmlns:ds="http://schemas.openxmlformats.org/officeDocument/2006/customXml" ds:itemID="{57FB5E3C-7F58-4779-B400-B88E63B01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Cynthia Jepkoech</cp:lastModifiedBy>
  <cp:revision/>
  <dcterms:created xsi:type="dcterms:W3CDTF">2012-11-01T05:11:14Z</dcterms:created>
  <dcterms:modified xsi:type="dcterms:W3CDTF">2023-09-04T07:49:41Z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ediaServiceImageTags">
    <vt:lpwstr/>
  </property>
  <property fmtid="{D5CDD505-2E9C-101B-9397-08002B2CF9AE}" pid="4" name="MSIP_Label_7a02b3b2-3762-4506-88a3-8b8c11cc60e6_Enabled">
    <vt:lpwstr>true</vt:lpwstr>
  </property>
  <property fmtid="{D5CDD505-2E9C-101B-9397-08002B2CF9AE}" pid="5" name="MSIP_Label_7a02b3b2-3762-4506-88a3-8b8c11cc60e6_SetDate">
    <vt:lpwstr>2023-03-08T08:53:37Z</vt:lpwstr>
  </property>
  <property fmtid="{D5CDD505-2E9C-101B-9397-08002B2CF9AE}" pid="6" name="MSIP_Label_7a02b3b2-3762-4506-88a3-8b8c11cc60e6_Method">
    <vt:lpwstr>Privileged</vt:lpwstr>
  </property>
  <property fmtid="{D5CDD505-2E9C-101B-9397-08002B2CF9AE}" pid="7" name="MSIP_Label_7a02b3b2-3762-4506-88a3-8b8c11cc60e6_Name">
    <vt:lpwstr>Internal Use</vt:lpwstr>
  </property>
  <property fmtid="{D5CDD505-2E9C-101B-9397-08002B2CF9AE}" pid="8" name="MSIP_Label_7a02b3b2-3762-4506-88a3-8b8c11cc60e6_SiteId">
    <vt:lpwstr>d6c8161d-ccd5-4325-b291-dd442c369fe4</vt:lpwstr>
  </property>
  <property fmtid="{D5CDD505-2E9C-101B-9397-08002B2CF9AE}" pid="9" name="MSIP_Label_7a02b3b2-3762-4506-88a3-8b8c11cc60e6_ActionId">
    <vt:lpwstr>cb0ed2a0-47d0-4506-816d-705a5276e0bb</vt:lpwstr>
  </property>
  <property fmtid="{D5CDD505-2E9C-101B-9397-08002B2CF9AE}" pid="10" name="MSIP_Label_7a02b3b2-3762-4506-88a3-8b8c11cc60e6_ContentBits">
    <vt:lpwstr>0</vt:lpwstr>
  </property>
</Properties>
</file>
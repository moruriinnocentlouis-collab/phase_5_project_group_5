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3/TRANS COUNTIES- 6918/Accounts Approval/"/>
    </mc:Choice>
  </mc:AlternateContent>
  <xr:revisionPtr revIDLastSave="14" documentId="11_CA723FB89664EC2796075FB2B55D521B12D7B29B" xr6:coauthVersionLast="47" xr6:coauthVersionMax="47" xr10:uidLastSave="{6FDDEB3E-D1F9-431D-BB17-6A26F300CE4A}"/>
  <bookViews>
    <workbookView xWindow="-108" yWindow="-108" windowWidth="23256" windowHeight="12456" activeTab="3" xr2:uid="{00000000-000D-0000-FFFF-FFFF00000000}"/>
  </bookViews>
  <sheets>
    <sheet name="Evolutive SFP" sheetId="1" r:id="rId1"/>
    <sheet name="Evolutitve SCI" sheetId="2" r:id="rId2"/>
    <sheet name="FORM 4" sheetId="4" r:id="rId3"/>
    <sheet name="CAELS" sheetId="3" r:id="rId4"/>
    <sheet name="Financials" sheetId="5" r:id="rId5"/>
    <sheet name="CAELS Rating" sheetId="7" r:id="rId6"/>
    <sheet name="Compliance Status" sheetId="8" r:id="rId7"/>
    <sheet name="compliance report audited 2021" sheetId="9" r:id="rId8"/>
    <sheet name="CashFlow Stmnt" sheetId="6" r:id="rId9"/>
  </sheets>
  <calcPr calcId="181029"/>
</workbook>
</file>

<file path=xl/calcChain.xml><?xml version="1.0" encoding="utf-8"?>
<calcChain xmlns="http://schemas.openxmlformats.org/spreadsheetml/2006/main">
  <c r="AL39" i="2" l="1"/>
  <c r="AN32" i="3" s="1"/>
  <c r="AN29" i="2"/>
  <c r="AD30" i="2"/>
  <c r="AE30" i="2"/>
  <c r="AF30" i="2"/>
  <c r="AG30" i="2"/>
  <c r="AH30" i="2"/>
  <c r="AI30" i="2"/>
  <c r="AJ30" i="2"/>
  <c r="AK30" i="2"/>
  <c r="AL30" i="2"/>
  <c r="AM30" i="2"/>
  <c r="AN30" i="2"/>
  <c r="AD23" i="2"/>
  <c r="AE23" i="2"/>
  <c r="AF23" i="2"/>
  <c r="AG47" i="5" s="1"/>
  <c r="AG23" i="2"/>
  <c r="AH47" i="5" s="1"/>
  <c r="AH23" i="2"/>
  <c r="AI23" i="2"/>
  <c r="AJ23" i="2"/>
  <c r="AK47" i="5" s="1"/>
  <c r="AK23" i="2"/>
  <c r="AL47" i="5" s="1"/>
  <c r="AL23" i="2"/>
  <c r="AM23" i="2"/>
  <c r="AD20" i="2"/>
  <c r="AE20" i="2"/>
  <c r="AF20" i="2"/>
  <c r="AG20" i="2"/>
  <c r="AH20" i="2"/>
  <c r="AI20" i="2"/>
  <c r="AJ20" i="2"/>
  <c r="AK20" i="2"/>
  <c r="AL20" i="2"/>
  <c r="AM20" i="2"/>
  <c r="AD12" i="2"/>
  <c r="AE12" i="2"/>
  <c r="AF12" i="2"/>
  <c r="AF39" i="2" s="1"/>
  <c r="AG12" i="2"/>
  <c r="AH12" i="2"/>
  <c r="AH39" i="2" s="1"/>
  <c r="AI12" i="2"/>
  <c r="AI39" i="2" s="1"/>
  <c r="AJ12" i="2"/>
  <c r="AJ39" i="2" s="1"/>
  <c r="AK12" i="2"/>
  <c r="AL12" i="2"/>
  <c r="AM12" i="2"/>
  <c r="AO11" i="3" s="1"/>
  <c r="AN16" i="7" s="1"/>
  <c r="AD7" i="2"/>
  <c r="AE39" i="5" s="1"/>
  <c r="AE7" i="2"/>
  <c r="AF7" i="2"/>
  <c r="AG39" i="5" s="1"/>
  <c r="AG7" i="2"/>
  <c r="AH39" i="5" s="1"/>
  <c r="AH7" i="2"/>
  <c r="AI39" i="5" s="1"/>
  <c r="AI7" i="2"/>
  <c r="AJ7" i="2"/>
  <c r="AK39" i="5" s="1"/>
  <c r="AK7" i="2"/>
  <c r="AL39" i="5" s="1"/>
  <c r="AL7" i="2"/>
  <c r="AM39" i="5" s="1"/>
  <c r="AM7" i="2"/>
  <c r="AD4" i="2"/>
  <c r="AE4" i="2"/>
  <c r="AE3" i="2" s="1"/>
  <c r="AF4" i="2"/>
  <c r="AG4" i="2"/>
  <c r="AH4" i="2"/>
  <c r="AI4" i="2"/>
  <c r="AJ4" i="2"/>
  <c r="AK4" i="2"/>
  <c r="AL4" i="2"/>
  <c r="AM4" i="2"/>
  <c r="AM3" i="2" s="1"/>
  <c r="AM19" i="2" s="1"/>
  <c r="AD48" i="1"/>
  <c r="AE48" i="1"/>
  <c r="AF48" i="1"/>
  <c r="AG48" i="1"/>
  <c r="AH48" i="1"/>
  <c r="AI48" i="1"/>
  <c r="AI49" i="1" s="1"/>
  <c r="AE38" i="1"/>
  <c r="AG38" i="1"/>
  <c r="AI38" i="1"/>
  <c r="AD31" i="1"/>
  <c r="AE5" i="5" s="1"/>
  <c r="AE31" i="1"/>
  <c r="AF5" i="5" s="1"/>
  <c r="AF31" i="1"/>
  <c r="AF38" i="1" s="1"/>
  <c r="AG31" i="1"/>
  <c r="AH31" i="1"/>
  <c r="AH38" i="1" s="1"/>
  <c r="AI31" i="1"/>
  <c r="AK13" i="3" s="1"/>
  <c r="AJ20" i="7" s="1"/>
  <c r="AI27" i="1"/>
  <c r="AI21" i="1"/>
  <c r="AD21" i="1"/>
  <c r="AE34" i="5" s="1"/>
  <c r="AE21" i="1"/>
  <c r="AF21" i="1"/>
  <c r="AG21" i="1"/>
  <c r="AH34" i="5" s="1"/>
  <c r="AH21" i="1"/>
  <c r="AI34" i="5" s="1"/>
  <c r="AD17" i="1"/>
  <c r="AE17" i="1"/>
  <c r="AF17" i="1"/>
  <c r="AG17" i="1"/>
  <c r="AH17" i="1"/>
  <c r="AI17" i="1"/>
  <c r="AD14" i="1"/>
  <c r="AE14" i="1"/>
  <c r="AF14" i="1"/>
  <c r="AG14" i="1"/>
  <c r="AH14" i="1"/>
  <c r="AI14" i="1"/>
  <c r="AJ30" i="5" s="1"/>
  <c r="AI4" i="1"/>
  <c r="AD8" i="1"/>
  <c r="AE8" i="1"/>
  <c r="AF8" i="1"/>
  <c r="AG8" i="1"/>
  <c r="AH8" i="1"/>
  <c r="AI8" i="1"/>
  <c r="AD4" i="1"/>
  <c r="AE4" i="1"/>
  <c r="AF4" i="1"/>
  <c r="AH12" i="3" s="1"/>
  <c r="AG4" i="1"/>
  <c r="AH4" i="1"/>
  <c r="U8" i="3"/>
  <c r="AX3" i="8"/>
  <c r="AY3" i="8"/>
  <c r="AZ3" i="8"/>
  <c r="BA3" i="8"/>
  <c r="BB3" i="8"/>
  <c r="BC3" i="8"/>
  <c r="BD3" i="8"/>
  <c r="BE3" i="8"/>
  <c r="BF3" i="8"/>
  <c r="BG3" i="8"/>
  <c r="BH3" i="8"/>
  <c r="AX4" i="8"/>
  <c r="AY4" i="8"/>
  <c r="AZ4" i="8"/>
  <c r="BA4" i="8"/>
  <c r="BB4" i="8"/>
  <c r="BC4" i="8"/>
  <c r="BD4" i="8"/>
  <c r="BE4" i="8"/>
  <c r="BF4" i="8"/>
  <c r="BG4" i="8"/>
  <c r="BH4" i="8"/>
  <c r="AX5" i="8"/>
  <c r="AY5" i="8"/>
  <c r="AZ5" i="8"/>
  <c r="BA5" i="8"/>
  <c r="BB5" i="8"/>
  <c r="BC5" i="8"/>
  <c r="BD5" i="8"/>
  <c r="BE5" i="8"/>
  <c r="BF5" i="8"/>
  <c r="BG5" i="8"/>
  <c r="BH5" i="8"/>
  <c r="AX6" i="8"/>
  <c r="AY6" i="8"/>
  <c r="AZ6" i="8"/>
  <c r="BA6" i="8"/>
  <c r="BB6" i="8"/>
  <c r="BC6" i="8"/>
  <c r="BD6" i="8"/>
  <c r="BE6" i="8"/>
  <c r="BF6" i="8"/>
  <c r="BG6" i="8"/>
  <c r="BH6" i="8"/>
  <c r="AX8" i="8"/>
  <c r="AY8" i="8"/>
  <c r="AZ8" i="8"/>
  <c r="BA8" i="8"/>
  <c r="BB8" i="8"/>
  <c r="BC8" i="8"/>
  <c r="BD8" i="8"/>
  <c r="BE8" i="8"/>
  <c r="BF8" i="8"/>
  <c r="BG8" i="8"/>
  <c r="BH8" i="8"/>
  <c r="AX9" i="8"/>
  <c r="AY9" i="8"/>
  <c r="AZ9" i="8"/>
  <c r="BA9" i="8"/>
  <c r="BB9" i="8"/>
  <c r="BC9" i="8"/>
  <c r="BD9" i="8"/>
  <c r="BE9" i="8"/>
  <c r="BF9" i="8"/>
  <c r="BG9" i="8"/>
  <c r="BH9" i="8"/>
  <c r="AX10" i="8"/>
  <c r="AY10" i="8"/>
  <c r="AZ10" i="8"/>
  <c r="BA10" i="8"/>
  <c r="BB10" i="8"/>
  <c r="BC10" i="8"/>
  <c r="BD10" i="8"/>
  <c r="BE10" i="8"/>
  <c r="BF10" i="8"/>
  <c r="BG10" i="8"/>
  <c r="BH10" i="8"/>
  <c r="AX11" i="8"/>
  <c r="AY11" i="8"/>
  <c r="AZ11" i="8"/>
  <c r="BA11" i="8"/>
  <c r="BB11" i="8"/>
  <c r="BC11" i="8"/>
  <c r="BD11" i="8"/>
  <c r="BE11" i="8"/>
  <c r="BF11" i="8"/>
  <c r="BG11" i="8"/>
  <c r="BH11" i="8"/>
  <c r="AX12" i="8"/>
  <c r="AY12" i="8"/>
  <c r="AZ12" i="8"/>
  <c r="BA12" i="8"/>
  <c r="BB12" i="8"/>
  <c r="BC12" i="8"/>
  <c r="BD12" i="8"/>
  <c r="BE12" i="8"/>
  <c r="BF12" i="8"/>
  <c r="BG12" i="8"/>
  <c r="BH12" i="8"/>
  <c r="AX13" i="8"/>
  <c r="AY13" i="8"/>
  <c r="AZ13" i="8"/>
  <c r="BA13" i="8"/>
  <c r="BB13" i="8"/>
  <c r="BC13" i="8"/>
  <c r="BD13" i="8"/>
  <c r="BE13" i="8"/>
  <c r="BF13" i="8"/>
  <c r="BG13" i="8"/>
  <c r="BH13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AY6" i="7"/>
  <c r="AZ6" i="7"/>
  <c r="AZ9" i="7" s="1"/>
  <c r="BA6" i="7"/>
  <c r="BB6" i="7"/>
  <c r="BC6" i="7"/>
  <c r="BD6" i="7"/>
  <c r="BE6" i="7"/>
  <c r="BF6" i="7"/>
  <c r="BF9" i="7" s="1"/>
  <c r="BF30" i="7" s="1"/>
  <c r="BG6" i="7"/>
  <c r="BH6" i="7"/>
  <c r="BH9" i="7" s="1"/>
  <c r="BI6" i="7"/>
  <c r="BJ6" i="7"/>
  <c r="BK6" i="7"/>
  <c r="BL6" i="7"/>
  <c r="BM6" i="7"/>
  <c r="BN6" i="7"/>
  <c r="BN9" i="7" s="1"/>
  <c r="BN30" i="7" s="1"/>
  <c r="BO6" i="7"/>
  <c r="BP6" i="7"/>
  <c r="BP9" i="7" s="1"/>
  <c r="BQ6" i="7"/>
  <c r="BR6" i="7"/>
  <c r="BS6" i="7"/>
  <c r="BT6" i="7"/>
  <c r="BU6" i="7"/>
  <c r="BV6" i="7"/>
  <c r="BV9" i="7" s="1"/>
  <c r="BV30" i="7" s="1"/>
  <c r="BW6" i="7"/>
  <c r="BX6" i="7"/>
  <c r="BX9" i="7" s="1"/>
  <c r="BY6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AY9" i="7"/>
  <c r="BA9" i="7"/>
  <c r="BB9" i="7"/>
  <c r="BC9" i="7"/>
  <c r="BD9" i="7"/>
  <c r="BE9" i="7"/>
  <c r="BG9" i="7"/>
  <c r="BI9" i="7"/>
  <c r="BJ9" i="7"/>
  <c r="BK9" i="7"/>
  <c r="BL9" i="7"/>
  <c r="BM9" i="7"/>
  <c r="BO9" i="7"/>
  <c r="BQ9" i="7"/>
  <c r="BR9" i="7"/>
  <c r="BS9" i="7"/>
  <c r="BT9" i="7"/>
  <c r="BU9" i="7"/>
  <c r="BW9" i="7"/>
  <c r="BY9" i="7"/>
  <c r="V11" i="7"/>
  <c r="X11" i="7"/>
  <c r="Y11" i="7"/>
  <c r="AA11" i="7"/>
  <c r="AB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V12" i="7"/>
  <c r="X12" i="7"/>
  <c r="Y12" i="7"/>
  <c r="AA12" i="7"/>
  <c r="AB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AY14" i="7"/>
  <c r="AZ14" i="7"/>
  <c r="BA14" i="7"/>
  <c r="BB14" i="7"/>
  <c r="BC14" i="7"/>
  <c r="BD14" i="7"/>
  <c r="BE14" i="7"/>
  <c r="BF14" i="7"/>
  <c r="BF17" i="7" s="1"/>
  <c r="BG14" i="7"/>
  <c r="BH14" i="7"/>
  <c r="BI14" i="7"/>
  <c r="BJ14" i="7"/>
  <c r="BK14" i="7"/>
  <c r="BL14" i="7"/>
  <c r="BM14" i="7"/>
  <c r="BN14" i="7"/>
  <c r="BN17" i="7" s="1"/>
  <c r="BO14" i="7"/>
  <c r="BP14" i="7"/>
  <c r="BQ14" i="7"/>
  <c r="BR14" i="7"/>
  <c r="BS14" i="7"/>
  <c r="BT14" i="7"/>
  <c r="BU14" i="7"/>
  <c r="BV14" i="7"/>
  <c r="BV17" i="7" s="1"/>
  <c r="BW14" i="7"/>
  <c r="BX14" i="7"/>
  <c r="BY14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AY17" i="7"/>
  <c r="AZ17" i="7"/>
  <c r="BA17" i="7"/>
  <c r="BB17" i="7"/>
  <c r="BC17" i="7"/>
  <c r="BD17" i="7"/>
  <c r="BE17" i="7"/>
  <c r="BG17" i="7"/>
  <c r="BH17" i="7"/>
  <c r="BI17" i="7"/>
  <c r="BJ17" i="7"/>
  <c r="BK17" i="7"/>
  <c r="BL17" i="7"/>
  <c r="BM17" i="7"/>
  <c r="BO17" i="7"/>
  <c r="BP17" i="7"/>
  <c r="BQ17" i="7"/>
  <c r="BR17" i="7"/>
  <c r="BS17" i="7"/>
  <c r="BT17" i="7"/>
  <c r="BU17" i="7"/>
  <c r="BW17" i="7"/>
  <c r="BX17" i="7"/>
  <c r="BY17" i="7"/>
  <c r="AY19" i="7"/>
  <c r="AY23" i="7" s="1"/>
  <c r="AZ19" i="7"/>
  <c r="BA19" i="7"/>
  <c r="BB19" i="7"/>
  <c r="BC19" i="7"/>
  <c r="BD19" i="7"/>
  <c r="BE19" i="7"/>
  <c r="BF19" i="7"/>
  <c r="BF23" i="7" s="1"/>
  <c r="BG19" i="7"/>
  <c r="BG23" i="7" s="1"/>
  <c r="BH19" i="7"/>
  <c r="BI19" i="7"/>
  <c r="BJ19" i="7"/>
  <c r="BK19" i="7"/>
  <c r="BL19" i="7"/>
  <c r="BM19" i="7"/>
  <c r="BN19" i="7"/>
  <c r="BN23" i="7" s="1"/>
  <c r="BO19" i="7"/>
  <c r="BO23" i="7" s="1"/>
  <c r="BP19" i="7"/>
  <c r="BQ19" i="7"/>
  <c r="BR19" i="7"/>
  <c r="BS19" i="7"/>
  <c r="BT19" i="7"/>
  <c r="BU19" i="7"/>
  <c r="BU23" i="7" s="1"/>
  <c r="BU30" i="7" s="1"/>
  <c r="BV19" i="7"/>
  <c r="BV23" i="7" s="1"/>
  <c r="BW19" i="7"/>
  <c r="BW23" i="7" s="1"/>
  <c r="BX19" i="7"/>
  <c r="BY19" i="7"/>
  <c r="AT20" i="7"/>
  <c r="AY20" i="7"/>
  <c r="AZ20" i="7"/>
  <c r="BA20" i="7"/>
  <c r="BB20" i="7"/>
  <c r="BB23" i="7" s="1"/>
  <c r="BB30" i="7" s="1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AY21" i="7"/>
  <c r="AZ21" i="7"/>
  <c r="BA21" i="7"/>
  <c r="BA23" i="7" s="1"/>
  <c r="BA30" i="7" s="1"/>
  <c r="BB21" i="7"/>
  <c r="BC21" i="7"/>
  <c r="BD21" i="7"/>
  <c r="BE21" i="7"/>
  <c r="BF21" i="7"/>
  <c r="BG21" i="7"/>
  <c r="BH21" i="7"/>
  <c r="BH23" i="7" s="1"/>
  <c r="BI21" i="7"/>
  <c r="BI23" i="7" s="1"/>
  <c r="BI30" i="7" s="1"/>
  <c r="BJ21" i="7"/>
  <c r="BK21" i="7"/>
  <c r="BL21" i="7"/>
  <c r="BM21" i="7"/>
  <c r="BN21" i="7"/>
  <c r="BO21" i="7"/>
  <c r="BP21" i="7"/>
  <c r="BP23" i="7" s="1"/>
  <c r="BP30" i="7" s="1"/>
  <c r="BQ21" i="7"/>
  <c r="BQ23" i="7" s="1"/>
  <c r="BQ30" i="7" s="1"/>
  <c r="BR21" i="7"/>
  <c r="BS21" i="7"/>
  <c r="BT21" i="7"/>
  <c r="BU21" i="7"/>
  <c r="BV21" i="7"/>
  <c r="BW21" i="7"/>
  <c r="BX21" i="7"/>
  <c r="BX23" i="7" s="1"/>
  <c r="BX30" i="7" s="1"/>
  <c r="BY21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BV22" i="7"/>
  <c r="BW22" i="7"/>
  <c r="BX22" i="7"/>
  <c r="BY22" i="7"/>
  <c r="AZ23" i="7"/>
  <c r="BC23" i="7"/>
  <c r="BD23" i="7"/>
  <c r="BE23" i="7"/>
  <c r="BJ23" i="7"/>
  <c r="BJ30" i="7" s="1"/>
  <c r="BK23" i="7"/>
  <c r="BL23" i="7"/>
  <c r="BM23" i="7"/>
  <c r="BM30" i="7" s="1"/>
  <c r="BR23" i="7"/>
  <c r="BR30" i="7" s="1"/>
  <c r="BS23" i="7"/>
  <c r="BS30" i="7" s="1"/>
  <c r="BT23" i="7"/>
  <c r="BT30" i="7" s="1"/>
  <c r="AY25" i="7"/>
  <c r="AZ25" i="7"/>
  <c r="BA25" i="7"/>
  <c r="BA29" i="7" s="1"/>
  <c r="BB25" i="7"/>
  <c r="BC25" i="7"/>
  <c r="BC29" i="7" s="1"/>
  <c r="BD25" i="7"/>
  <c r="BE25" i="7"/>
  <c r="BF25" i="7"/>
  <c r="BG25" i="7"/>
  <c r="BH25" i="7"/>
  <c r="BI25" i="7"/>
  <c r="BI29" i="7" s="1"/>
  <c r="BJ25" i="7"/>
  <c r="BK25" i="7"/>
  <c r="BK29" i="7" s="1"/>
  <c r="BL25" i="7"/>
  <c r="BL29" i="7" s="1"/>
  <c r="BM25" i="7"/>
  <c r="BN25" i="7"/>
  <c r="BO25" i="7"/>
  <c r="BP25" i="7"/>
  <c r="BQ25" i="7"/>
  <c r="BQ29" i="7" s="1"/>
  <c r="BR25" i="7"/>
  <c r="BS25" i="7"/>
  <c r="BS29" i="7" s="1"/>
  <c r="BT25" i="7"/>
  <c r="BT29" i="7" s="1"/>
  <c r="BU25" i="7"/>
  <c r="BV25" i="7"/>
  <c r="BW25" i="7"/>
  <c r="BX25" i="7"/>
  <c r="BY25" i="7"/>
  <c r="BY29" i="7" s="1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AY29" i="7"/>
  <c r="BD29" i="7"/>
  <c r="BE29" i="7"/>
  <c r="BF29" i="7"/>
  <c r="BG29" i="7"/>
  <c r="BM29" i="7"/>
  <c r="BN29" i="7"/>
  <c r="BO29" i="7"/>
  <c r="BU29" i="7"/>
  <c r="BV29" i="7"/>
  <c r="BW29" i="7"/>
  <c r="AY30" i="7"/>
  <c r="BC30" i="7"/>
  <c r="BD30" i="7"/>
  <c r="BE30" i="7"/>
  <c r="BG30" i="7"/>
  <c r="BK30" i="7"/>
  <c r="BL30" i="7"/>
  <c r="BO30" i="7"/>
  <c r="BW30" i="7"/>
  <c r="AE8" i="3"/>
  <c r="AD11" i="7" s="1"/>
  <c r="AD12" i="7" s="1"/>
  <c r="AD8" i="3"/>
  <c r="AC11" i="7" s="1"/>
  <c r="AC12" i="7" s="1"/>
  <c r="AA8" i="3"/>
  <c r="Z11" i="7" s="1"/>
  <c r="Z12" i="7" s="1"/>
  <c r="X8" i="3"/>
  <c r="W11" i="7" s="1"/>
  <c r="W12" i="7" s="1"/>
  <c r="R8" i="3"/>
  <c r="AK4" i="5"/>
  <c r="AL4" i="5"/>
  <c r="AM4" i="5"/>
  <c r="AN4" i="5"/>
  <c r="AO4" i="5"/>
  <c r="AP4" i="5"/>
  <c r="AQ4" i="5"/>
  <c r="AR4" i="5"/>
  <c r="AS24" i="3" s="1"/>
  <c r="AS4" i="5"/>
  <c r="AT4" i="5"/>
  <c r="AU4" i="5"/>
  <c r="AV4" i="5"/>
  <c r="AW4" i="5"/>
  <c r="AX4" i="5"/>
  <c r="AY4" i="5"/>
  <c r="AH5" i="5"/>
  <c r="AK5" i="5"/>
  <c r="AL5" i="5"/>
  <c r="AL25" i="3" s="1"/>
  <c r="AM5" i="5"/>
  <c r="AN5" i="5"/>
  <c r="AO25" i="3" s="1"/>
  <c r="AO5" i="5"/>
  <c r="AP5" i="5"/>
  <c r="AQ5" i="5"/>
  <c r="AR5" i="5"/>
  <c r="AS5" i="5"/>
  <c r="AT5" i="5"/>
  <c r="AT25" i="3" s="1"/>
  <c r="AU5" i="5"/>
  <c r="AV5" i="5"/>
  <c r="AW25" i="3" s="1"/>
  <c r="AW5" i="5"/>
  <c r="AX5" i="5"/>
  <c r="AY5" i="5"/>
  <c r="V6" i="5"/>
  <c r="W6" i="5"/>
  <c r="X6" i="5"/>
  <c r="X26" i="3" s="1"/>
  <c r="Y6" i="5"/>
  <c r="Y26" i="3" s="1"/>
  <c r="Z6" i="5"/>
  <c r="Z26" i="3" s="1"/>
  <c r="AA6" i="5"/>
  <c r="AB6" i="5"/>
  <c r="AC6" i="5"/>
  <c r="AD6" i="5"/>
  <c r="AE6" i="5"/>
  <c r="AE26" i="3" s="1"/>
  <c r="AF6" i="5"/>
  <c r="AG6" i="5"/>
  <c r="AH6" i="5"/>
  <c r="AI6" i="5"/>
  <c r="AJ6" i="5"/>
  <c r="AK6" i="5"/>
  <c r="AL6" i="5"/>
  <c r="AM6" i="5"/>
  <c r="AN6" i="5"/>
  <c r="AN26" i="3" s="1"/>
  <c r="AO6" i="5"/>
  <c r="AO26" i="3" s="1"/>
  <c r="AP6" i="5"/>
  <c r="AQ6" i="5"/>
  <c r="AR6" i="5"/>
  <c r="AS6" i="5"/>
  <c r="AT6" i="5"/>
  <c r="AU6" i="5"/>
  <c r="AV6" i="5"/>
  <c r="AV26" i="3" s="1"/>
  <c r="AW6" i="5"/>
  <c r="AW26" i="3" s="1"/>
  <c r="AX6" i="5"/>
  <c r="AY6" i="5"/>
  <c r="V7" i="5"/>
  <c r="W7" i="5"/>
  <c r="X7" i="5"/>
  <c r="Y7" i="5"/>
  <c r="Z7" i="5"/>
  <c r="AA7" i="5"/>
  <c r="AA27" i="3" s="1"/>
  <c r="AB7" i="5"/>
  <c r="AC27" i="3" s="1"/>
  <c r="AC7" i="5"/>
  <c r="AD7" i="5"/>
  <c r="AE7" i="5"/>
  <c r="AF7" i="5"/>
  <c r="AG7" i="5"/>
  <c r="AG27" i="3" s="1"/>
  <c r="AH7" i="5"/>
  <c r="AI7" i="5"/>
  <c r="AJ7" i="5"/>
  <c r="AK7" i="5"/>
  <c r="AL7" i="5"/>
  <c r="AM7" i="5"/>
  <c r="AN7" i="5"/>
  <c r="AO7" i="5"/>
  <c r="AP7" i="5"/>
  <c r="AQ7" i="5"/>
  <c r="AQ27" i="3" s="1"/>
  <c r="AR7" i="5"/>
  <c r="AS27" i="3" s="1"/>
  <c r="AS7" i="5"/>
  <c r="AT7" i="5"/>
  <c r="AU7" i="5"/>
  <c r="AV7" i="5"/>
  <c r="AW7" i="5"/>
  <c r="AX7" i="5"/>
  <c r="AY7" i="5"/>
  <c r="AY27" i="3" s="1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V15" i="5"/>
  <c r="W15" i="5"/>
  <c r="W14" i="5" s="1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M14" i="5" s="1"/>
  <c r="AN15" i="5"/>
  <c r="AO15" i="5"/>
  <c r="AP15" i="5"/>
  <c r="AQ15" i="5"/>
  <c r="AR15" i="5"/>
  <c r="AS15" i="5"/>
  <c r="AT15" i="5"/>
  <c r="AU15" i="5"/>
  <c r="AV15" i="5"/>
  <c r="AW15" i="5"/>
  <c r="AX15" i="5"/>
  <c r="AY15" i="5"/>
  <c r="V17" i="5"/>
  <c r="W17" i="5"/>
  <c r="X17" i="5"/>
  <c r="Y17" i="5"/>
  <c r="Y14" i="5" s="1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O14" i="5" s="1"/>
  <c r="AP17" i="5"/>
  <c r="AQ17" i="5"/>
  <c r="AR17" i="5"/>
  <c r="AS17" i="5"/>
  <c r="AT17" i="5"/>
  <c r="AU17" i="5"/>
  <c r="AV17" i="5"/>
  <c r="AW17" i="5"/>
  <c r="AW14" i="5" s="1"/>
  <c r="AX17" i="5"/>
  <c r="AY17" i="5"/>
  <c r="V18" i="5"/>
  <c r="W18" i="5"/>
  <c r="X18" i="5"/>
  <c r="Y18" i="5"/>
  <c r="Z18" i="5"/>
  <c r="AA18" i="5"/>
  <c r="AB18" i="5"/>
  <c r="AC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B21" i="5"/>
  <c r="AE21" i="5"/>
  <c r="AL21" i="5"/>
  <c r="AM21" i="5"/>
  <c r="V22" i="5"/>
  <c r="V21" i="5" s="1"/>
  <c r="W22" i="5"/>
  <c r="W21" i="5" s="1"/>
  <c r="X22" i="5"/>
  <c r="X21" i="5" s="1"/>
  <c r="Y22" i="5"/>
  <c r="Y21" i="5" s="1"/>
  <c r="Z22" i="5"/>
  <c r="Z21" i="5" s="1"/>
  <c r="AA22" i="5"/>
  <c r="AA21" i="5" s="1"/>
  <c r="AB22" i="5"/>
  <c r="AC22" i="5"/>
  <c r="AC21" i="5" s="1"/>
  <c r="AD22" i="5"/>
  <c r="AD21" i="5" s="1"/>
  <c r="AE22" i="5"/>
  <c r="AF22" i="5"/>
  <c r="AF21" i="5" s="1"/>
  <c r="AG22" i="5"/>
  <c r="AG21" i="5" s="1"/>
  <c r="AH22" i="5"/>
  <c r="AH21" i="5" s="1"/>
  <c r="AI22" i="5"/>
  <c r="AI21" i="5" s="1"/>
  <c r="AJ22" i="5"/>
  <c r="AJ21" i="5" s="1"/>
  <c r="AK22" i="5"/>
  <c r="AK21" i="5" s="1"/>
  <c r="AL22" i="5"/>
  <c r="AM22" i="5"/>
  <c r="AN22" i="5"/>
  <c r="AN21" i="5" s="1"/>
  <c r="AO22" i="5"/>
  <c r="AO21" i="5" s="1"/>
  <c r="AP22" i="5"/>
  <c r="AP21" i="5" s="1"/>
  <c r="AQ22" i="5"/>
  <c r="AQ21" i="5" s="1"/>
  <c r="AR22" i="5"/>
  <c r="AR21" i="5" s="1"/>
  <c r="AS22" i="5"/>
  <c r="AS21" i="5" s="1"/>
  <c r="AT22" i="5"/>
  <c r="AT21" i="5" s="1"/>
  <c r="AU22" i="5"/>
  <c r="AU21" i="5" s="1"/>
  <c r="AV22" i="5"/>
  <c r="AV21" i="5" s="1"/>
  <c r="AW22" i="5"/>
  <c r="AW21" i="5" s="1"/>
  <c r="AX22" i="5"/>
  <c r="AX21" i="5" s="1"/>
  <c r="AY22" i="5"/>
  <c r="AY21" i="5" s="1"/>
  <c r="AX25" i="5"/>
  <c r="V26" i="5"/>
  <c r="W26" i="5"/>
  <c r="W25" i="5" s="1"/>
  <c r="X26" i="5"/>
  <c r="Y26" i="5"/>
  <c r="Z26" i="5"/>
  <c r="Z25" i="5" s="1"/>
  <c r="AA26" i="5"/>
  <c r="AB26" i="5"/>
  <c r="AB25" i="5" s="1"/>
  <c r="AC26" i="5"/>
  <c r="AD26" i="5"/>
  <c r="AE26" i="5"/>
  <c r="AF26" i="5"/>
  <c r="AG26" i="5"/>
  <c r="AH26" i="5"/>
  <c r="AI26" i="5"/>
  <c r="AJ26" i="5"/>
  <c r="AJ25" i="5" s="1"/>
  <c r="AK26" i="5"/>
  <c r="AL26" i="5"/>
  <c r="AM26" i="5"/>
  <c r="AM25" i="5" s="1"/>
  <c r="AN26" i="5"/>
  <c r="AO26" i="5"/>
  <c r="AP26" i="5"/>
  <c r="AP25" i="5" s="1"/>
  <c r="AQ26" i="5"/>
  <c r="AR26" i="5"/>
  <c r="AR25" i="5" s="1"/>
  <c r="AS26" i="5"/>
  <c r="AT26" i="5"/>
  <c r="AU26" i="5"/>
  <c r="AU25" i="5" s="1"/>
  <c r="AV26" i="5"/>
  <c r="AW26" i="5"/>
  <c r="AX26" i="5"/>
  <c r="AY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V28" i="5"/>
  <c r="W28" i="5"/>
  <c r="X28" i="5"/>
  <c r="X25" i="5" s="1"/>
  <c r="Y28" i="5"/>
  <c r="Z28" i="5"/>
  <c r="AA28" i="5"/>
  <c r="AA25" i="5" s="1"/>
  <c r="AB28" i="5"/>
  <c r="AC28" i="5"/>
  <c r="AD28" i="5"/>
  <c r="AE28" i="5"/>
  <c r="AF28" i="5"/>
  <c r="AF25" i="5" s="1"/>
  <c r="AG28" i="5"/>
  <c r="AH28" i="5"/>
  <c r="AI28" i="5"/>
  <c r="AI25" i="5" s="1"/>
  <c r="AJ28" i="5"/>
  <c r="AK28" i="5"/>
  <c r="AL28" i="5"/>
  <c r="AM28" i="5"/>
  <c r="AN28" i="5"/>
  <c r="AN25" i="5" s="1"/>
  <c r="AO28" i="5"/>
  <c r="AP28" i="5"/>
  <c r="AQ28" i="5"/>
  <c r="AQ25" i="5" s="1"/>
  <c r="AR28" i="5"/>
  <c r="AS28" i="5"/>
  <c r="AT28" i="5"/>
  <c r="AU28" i="5"/>
  <c r="AV28" i="5"/>
  <c r="AV25" i="5" s="1"/>
  <c r="AW28" i="5"/>
  <c r="AX28" i="5"/>
  <c r="AY28" i="5"/>
  <c r="AD30" i="5"/>
  <c r="AE30" i="5"/>
  <c r="AF30" i="5"/>
  <c r="AG30" i="5"/>
  <c r="AH30" i="5"/>
  <c r="AI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V31" i="5"/>
  <c r="W31" i="5"/>
  <c r="X31" i="5"/>
  <c r="Y31" i="5"/>
  <c r="Z31" i="5"/>
  <c r="AA31" i="5"/>
  <c r="AB31" i="5"/>
  <c r="AB28" i="3" s="1"/>
  <c r="AC31" i="5"/>
  <c r="AD28" i="3" s="1"/>
  <c r="AD31" i="5"/>
  <c r="AE31" i="5"/>
  <c r="AF31" i="5"/>
  <c r="AG28" i="3" s="1"/>
  <c r="AG31" i="5"/>
  <c r="AH31" i="5"/>
  <c r="AI31" i="5"/>
  <c r="AJ31" i="5"/>
  <c r="AJ28" i="3" s="1"/>
  <c r="AK31" i="5"/>
  <c r="AL28" i="3" s="1"/>
  <c r="AL31" i="5"/>
  <c r="AM31" i="5"/>
  <c r="AN31" i="5"/>
  <c r="AO31" i="5"/>
  <c r="AP31" i="5"/>
  <c r="AQ31" i="5"/>
  <c r="AR31" i="5"/>
  <c r="AS31" i="5"/>
  <c r="AT28" i="3" s="1"/>
  <c r="AT31" i="5"/>
  <c r="AU31" i="5"/>
  <c r="AV31" i="5"/>
  <c r="AW31" i="5"/>
  <c r="AX31" i="5"/>
  <c r="AY31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F34" i="5"/>
  <c r="AG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F39" i="5"/>
  <c r="AJ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V40" i="5"/>
  <c r="W40" i="5"/>
  <c r="X40" i="5"/>
  <c r="Y40" i="5"/>
  <c r="Z40" i="5"/>
  <c r="AA40" i="5"/>
  <c r="AB40" i="5"/>
  <c r="AC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E47" i="5"/>
  <c r="AF47" i="5"/>
  <c r="AI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E6" i="5"/>
  <c r="F6" i="5"/>
  <c r="G6" i="5"/>
  <c r="H6" i="5"/>
  <c r="I6" i="5"/>
  <c r="J26" i="3" s="1"/>
  <c r="J6" i="5"/>
  <c r="K6" i="5"/>
  <c r="L6" i="5"/>
  <c r="M6" i="5"/>
  <c r="N6" i="5"/>
  <c r="O6" i="5"/>
  <c r="P6" i="5"/>
  <c r="Q6" i="5"/>
  <c r="R26" i="3" s="1"/>
  <c r="R6" i="5"/>
  <c r="S6" i="5"/>
  <c r="T6" i="5"/>
  <c r="U6" i="5"/>
  <c r="E7" i="5"/>
  <c r="F7" i="5"/>
  <c r="G7" i="5"/>
  <c r="G27" i="3" s="1"/>
  <c r="H7" i="5"/>
  <c r="I7" i="5"/>
  <c r="J7" i="5"/>
  <c r="K7" i="5"/>
  <c r="L7" i="5"/>
  <c r="M7" i="5"/>
  <c r="N7" i="5"/>
  <c r="O7" i="5"/>
  <c r="O27" i="3" s="1"/>
  <c r="P7" i="5"/>
  <c r="P27" i="3" s="1"/>
  <c r="Q7" i="5"/>
  <c r="R7" i="5"/>
  <c r="S7" i="5"/>
  <c r="T7" i="5"/>
  <c r="U7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E18" i="5"/>
  <c r="F18" i="5"/>
  <c r="G18" i="5"/>
  <c r="H18" i="5"/>
  <c r="I18" i="5"/>
  <c r="J18" i="5"/>
  <c r="K18" i="5"/>
  <c r="L18" i="5"/>
  <c r="M18" i="5"/>
  <c r="N18" i="5"/>
  <c r="O18" i="5"/>
  <c r="P18" i="5"/>
  <c r="R18" i="5"/>
  <c r="S18" i="5"/>
  <c r="T18" i="5"/>
  <c r="U18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F21" i="5"/>
  <c r="M21" i="5"/>
  <c r="E22" i="5"/>
  <c r="E21" i="5" s="1"/>
  <c r="F22" i="5"/>
  <c r="G22" i="5"/>
  <c r="G21" i="5" s="1"/>
  <c r="H22" i="5"/>
  <c r="H21" i="5" s="1"/>
  <c r="I22" i="5"/>
  <c r="I21" i="5" s="1"/>
  <c r="J22" i="5"/>
  <c r="J21" i="5" s="1"/>
  <c r="K22" i="5"/>
  <c r="K21" i="5" s="1"/>
  <c r="L22" i="5"/>
  <c r="L21" i="5" s="1"/>
  <c r="M22" i="5"/>
  <c r="N22" i="5"/>
  <c r="N21" i="5" s="1"/>
  <c r="O22" i="5"/>
  <c r="O21" i="5" s="1"/>
  <c r="P22" i="5"/>
  <c r="P21" i="5" s="1"/>
  <c r="Q22" i="5"/>
  <c r="Q21" i="5" s="1"/>
  <c r="R22" i="5"/>
  <c r="R21" i="5" s="1"/>
  <c r="S22" i="5"/>
  <c r="S21" i="5" s="1"/>
  <c r="T22" i="5"/>
  <c r="T21" i="5" s="1"/>
  <c r="U22" i="5"/>
  <c r="U21" i="5" s="1"/>
  <c r="E26" i="5"/>
  <c r="E25" i="5" s="1"/>
  <c r="F26" i="5"/>
  <c r="F25" i="5" s="1"/>
  <c r="G26" i="5"/>
  <c r="H26" i="5"/>
  <c r="I26" i="5"/>
  <c r="J26" i="5"/>
  <c r="K26" i="5"/>
  <c r="L26" i="5"/>
  <c r="M26" i="5"/>
  <c r="M25" i="5" s="1"/>
  <c r="N26" i="5"/>
  <c r="N25" i="5" s="1"/>
  <c r="O26" i="5"/>
  <c r="P26" i="5"/>
  <c r="Q26" i="5"/>
  <c r="R26" i="5"/>
  <c r="S26" i="5"/>
  <c r="T26" i="5"/>
  <c r="U26" i="5"/>
  <c r="U25" i="5" s="1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T25" i="5" s="1"/>
  <c r="U27" i="5"/>
  <c r="E28" i="5"/>
  <c r="F28" i="5"/>
  <c r="G28" i="5"/>
  <c r="H28" i="5"/>
  <c r="I28" i="5"/>
  <c r="J28" i="5"/>
  <c r="K28" i="5"/>
  <c r="K25" i="5" s="1"/>
  <c r="L28" i="5"/>
  <c r="M28" i="5"/>
  <c r="N28" i="5"/>
  <c r="O28" i="5"/>
  <c r="P28" i="5"/>
  <c r="Q28" i="5"/>
  <c r="R28" i="5"/>
  <c r="S28" i="5"/>
  <c r="T28" i="5"/>
  <c r="U28" i="5"/>
  <c r="R30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28" i="3" s="1"/>
  <c r="S31" i="5"/>
  <c r="T31" i="5"/>
  <c r="U31" i="5"/>
  <c r="U28" i="3" s="1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E40" i="5"/>
  <c r="F40" i="5"/>
  <c r="G40" i="5"/>
  <c r="H40" i="5"/>
  <c r="I40" i="5"/>
  <c r="J40" i="5"/>
  <c r="K40" i="5"/>
  <c r="L40" i="5"/>
  <c r="M40" i="5"/>
  <c r="N40" i="5"/>
  <c r="O40" i="5"/>
  <c r="P40" i="5"/>
  <c r="R40" i="5"/>
  <c r="S40" i="5"/>
  <c r="T40" i="5"/>
  <c r="U40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AY32" i="3"/>
  <c r="AX32" i="3"/>
  <c r="AW32" i="3"/>
  <c r="AV32" i="3"/>
  <c r="AU32" i="3"/>
  <c r="AT32" i="3"/>
  <c r="AS32" i="3"/>
  <c r="AR32" i="3"/>
  <c r="AQ32" i="3"/>
  <c r="AP32" i="3"/>
  <c r="AY28" i="3"/>
  <c r="AR28" i="3"/>
  <c r="AQ28" i="3"/>
  <c r="AI28" i="3"/>
  <c r="AA28" i="3"/>
  <c r="V28" i="3"/>
  <c r="T28" i="3"/>
  <c r="R28" i="3"/>
  <c r="N28" i="3"/>
  <c r="M28" i="3"/>
  <c r="L28" i="3"/>
  <c r="AX27" i="3"/>
  <c r="AW27" i="3"/>
  <c r="AV27" i="3"/>
  <c r="AU27" i="3"/>
  <c r="AT27" i="3"/>
  <c r="AP27" i="3"/>
  <c r="AO27" i="3"/>
  <c r="AN27" i="3"/>
  <c r="AM27" i="3"/>
  <c r="AL27" i="3"/>
  <c r="AK27" i="3"/>
  <c r="AF27" i="3"/>
  <c r="AE27" i="3"/>
  <c r="AD27" i="3"/>
  <c r="Z27" i="3"/>
  <c r="Y27" i="3"/>
  <c r="X27" i="3"/>
  <c r="W27" i="3"/>
  <c r="V27" i="3"/>
  <c r="U27" i="3"/>
  <c r="T27" i="3"/>
  <c r="S27" i="3"/>
  <c r="R27" i="3"/>
  <c r="Q27" i="3"/>
  <c r="M27" i="3"/>
  <c r="L27" i="3"/>
  <c r="K27" i="3"/>
  <c r="J27" i="3"/>
  <c r="AU26" i="3"/>
  <c r="AT26" i="3"/>
  <c r="AS26" i="3"/>
  <c r="AR26" i="3"/>
  <c r="AM26" i="3"/>
  <c r="AL26" i="3"/>
  <c r="AK26" i="3"/>
  <c r="AJ26" i="3"/>
  <c r="AD26" i="3"/>
  <c r="AC26" i="3"/>
  <c r="AB26" i="3"/>
  <c r="AA26" i="3"/>
  <c r="W26" i="3"/>
  <c r="V26" i="3"/>
  <c r="U26" i="3"/>
  <c r="T26" i="3"/>
  <c r="S26" i="3"/>
  <c r="P26" i="3"/>
  <c r="O26" i="3"/>
  <c r="N26" i="3"/>
  <c r="M26" i="3"/>
  <c r="L26" i="3"/>
  <c r="K26" i="3"/>
  <c r="G26" i="3"/>
  <c r="AY25" i="3"/>
  <c r="AX25" i="3"/>
  <c r="AS25" i="3"/>
  <c r="AR25" i="3"/>
  <c r="AQ25" i="3"/>
  <c r="AP25" i="3"/>
  <c r="AW24" i="3"/>
  <c r="AV24" i="3"/>
  <c r="AR24" i="3"/>
  <c r="AQ24" i="3"/>
  <c r="AP24" i="3"/>
  <c r="AO24" i="3"/>
  <c r="AN24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P20" i="3"/>
  <c r="AV19" i="3"/>
  <c r="Y19" i="3"/>
  <c r="P19" i="3"/>
  <c r="I19" i="3"/>
  <c r="H19" i="3"/>
  <c r="AY18" i="3"/>
  <c r="AX18" i="3"/>
  <c r="AW18" i="3"/>
  <c r="AV18" i="3"/>
  <c r="AU18" i="3"/>
  <c r="AS11" i="8" s="1"/>
  <c r="AT18" i="3"/>
  <c r="AS18" i="3"/>
  <c r="AR18" i="3"/>
  <c r="AQ18" i="3"/>
  <c r="AP18" i="3"/>
  <c r="AO18" i="3"/>
  <c r="AN18" i="3"/>
  <c r="AM18" i="3"/>
  <c r="AK11" i="8" s="1"/>
  <c r="AL18" i="3"/>
  <c r="AI18" i="3"/>
  <c r="AH18" i="3"/>
  <c r="AG18" i="3"/>
  <c r="AB18" i="3"/>
  <c r="AA18" i="3"/>
  <c r="S18" i="3"/>
  <c r="Q18" i="3"/>
  <c r="P18" i="3"/>
  <c r="AY17" i="3"/>
  <c r="AX17" i="3"/>
  <c r="AW17" i="3"/>
  <c r="AV17" i="3"/>
  <c r="AU17" i="3"/>
  <c r="AS10" i="8" s="1"/>
  <c r="AT17" i="3"/>
  <c r="AR10" i="8" s="1"/>
  <c r="AS17" i="3"/>
  <c r="AQ10" i="8" s="1"/>
  <c r="AR17" i="3"/>
  <c r="AQ17" i="3"/>
  <c r="AP17" i="3"/>
  <c r="AO17" i="3"/>
  <c r="AN17" i="3"/>
  <c r="AM17" i="3"/>
  <c r="AK10" i="8" s="1"/>
  <c r="AL17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J9" i="8" s="1"/>
  <c r="AY15" i="3"/>
  <c r="AX22" i="7" s="1"/>
  <c r="AX15" i="3"/>
  <c r="AW22" i="7" s="1"/>
  <c r="AW15" i="3"/>
  <c r="AV22" i="7" s="1"/>
  <c r="AV15" i="3"/>
  <c r="AU22" i="7" s="1"/>
  <c r="AU15" i="3"/>
  <c r="AT22" i="7" s="1"/>
  <c r="AT15" i="3"/>
  <c r="AS22" i="7" s="1"/>
  <c r="AS15" i="3"/>
  <c r="AR22" i="7" s="1"/>
  <c r="AR15" i="3"/>
  <c r="AQ22" i="7" s="1"/>
  <c r="AQ15" i="3"/>
  <c r="AP22" i="7" s="1"/>
  <c r="AP15" i="3"/>
  <c r="AO22" i="7" s="1"/>
  <c r="AO15" i="3"/>
  <c r="AN22" i="7" s="1"/>
  <c r="AN15" i="3"/>
  <c r="AM22" i="7" s="1"/>
  <c r="AM15" i="3"/>
  <c r="AL22" i="7" s="1"/>
  <c r="AL15" i="3"/>
  <c r="AK22" i="7" s="1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Y13" i="3"/>
  <c r="AX20" i="7" s="1"/>
  <c r="AX13" i="3"/>
  <c r="AW20" i="7" s="1"/>
  <c r="AW13" i="3"/>
  <c r="AV20" i="7" s="1"/>
  <c r="AV13" i="3"/>
  <c r="AU20" i="7" s="1"/>
  <c r="AU13" i="3"/>
  <c r="AT13" i="3"/>
  <c r="AS20" i="7" s="1"/>
  <c r="AS13" i="3"/>
  <c r="AR20" i="7" s="1"/>
  <c r="AR13" i="3"/>
  <c r="AQ20" i="7" s="1"/>
  <c r="AQ13" i="3"/>
  <c r="AP20" i="7" s="1"/>
  <c r="AP13" i="3"/>
  <c r="AO20" i="7" s="1"/>
  <c r="AO13" i="3"/>
  <c r="AN20" i="7" s="1"/>
  <c r="AN13" i="3"/>
  <c r="AM20" i="7" s="1"/>
  <c r="AM13" i="3"/>
  <c r="AL20" i="7" s="1"/>
  <c r="AL13" i="3"/>
  <c r="AK20" i="7" s="1"/>
  <c r="AG13" i="3"/>
  <c r="AF20" i="7" s="1"/>
  <c r="AB13" i="3"/>
  <c r="AA20" i="7" s="1"/>
  <c r="T13" i="3"/>
  <c r="P13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G12" i="3"/>
  <c r="AF12" i="3"/>
  <c r="AD8" i="8" s="1"/>
  <c r="AD12" i="3"/>
  <c r="AC12" i="3"/>
  <c r="Y12" i="3"/>
  <c r="V12" i="3"/>
  <c r="U12" i="3"/>
  <c r="N12" i="3"/>
  <c r="AY11" i="3"/>
  <c r="AX16" i="7" s="1"/>
  <c r="AX11" i="3"/>
  <c r="AW16" i="7" s="1"/>
  <c r="AW11" i="3"/>
  <c r="AV16" i="7" s="1"/>
  <c r="AV11" i="3"/>
  <c r="AU16" i="7" s="1"/>
  <c r="AU11" i="3"/>
  <c r="AT16" i="7" s="1"/>
  <c r="AT11" i="3"/>
  <c r="AS16" i="7" s="1"/>
  <c r="AS11" i="3"/>
  <c r="AR16" i="7" s="1"/>
  <c r="AR11" i="3"/>
  <c r="AQ16" i="7" s="1"/>
  <c r="AQ11" i="3"/>
  <c r="AP16" i="7" s="1"/>
  <c r="AP11" i="3"/>
  <c r="AO16" i="7" s="1"/>
  <c r="AN11" i="3"/>
  <c r="AM16" i="7" s="1"/>
  <c r="AY10" i="3"/>
  <c r="AX15" i="7" s="1"/>
  <c r="AX10" i="3"/>
  <c r="AW15" i="7" s="1"/>
  <c r="AW10" i="3"/>
  <c r="AV15" i="7" s="1"/>
  <c r="AV10" i="3"/>
  <c r="AU15" i="7" s="1"/>
  <c r="AU10" i="3"/>
  <c r="AT15" i="7" s="1"/>
  <c r="AT10" i="3"/>
  <c r="AS15" i="7" s="1"/>
  <c r="AS10" i="3"/>
  <c r="AR15" i="7" s="1"/>
  <c r="AR10" i="3"/>
  <c r="AQ15" i="7" s="1"/>
  <c r="AQ10" i="3"/>
  <c r="AP15" i="7" s="1"/>
  <c r="AP10" i="3"/>
  <c r="AO15" i="7" s="1"/>
  <c r="AY9" i="3"/>
  <c r="AX14" i="7" s="1"/>
  <c r="AX9" i="3"/>
  <c r="AW14" i="7" s="1"/>
  <c r="AW9" i="3"/>
  <c r="AV14" i="7" s="1"/>
  <c r="AV9" i="3"/>
  <c r="AU14" i="7" s="1"/>
  <c r="AU9" i="3"/>
  <c r="AT14" i="7" s="1"/>
  <c r="AT9" i="3"/>
  <c r="AS14" i="7" s="1"/>
  <c r="AS9" i="3"/>
  <c r="AR14" i="7" s="1"/>
  <c r="AR9" i="3"/>
  <c r="AQ14" i="7" s="1"/>
  <c r="AQ9" i="3"/>
  <c r="AP14" i="7" s="1"/>
  <c r="AP9" i="3"/>
  <c r="AO14" i="7" s="1"/>
  <c r="AV6" i="3"/>
  <c r="AU6" i="3"/>
  <c r="AN6" i="3"/>
  <c r="AB5" i="3"/>
  <c r="AX4" i="3"/>
  <c r="AW4" i="3"/>
  <c r="AP4" i="3"/>
  <c r="AO4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G19" i="3" s="1"/>
  <c r="AF3" i="3"/>
  <c r="AD3" i="3"/>
  <c r="AC3" i="3"/>
  <c r="AB3" i="3"/>
  <c r="AA3" i="3"/>
  <c r="Z3" i="3"/>
  <c r="Y3" i="3"/>
  <c r="X3" i="3"/>
  <c r="X19" i="3" s="1"/>
  <c r="W3" i="3"/>
  <c r="V3" i="3"/>
  <c r="U3" i="3"/>
  <c r="U5" i="3" s="1"/>
  <c r="T3" i="3"/>
  <c r="S3" i="3"/>
  <c r="S5" i="3" s="1"/>
  <c r="Q3" i="3"/>
  <c r="P3" i="3"/>
  <c r="O3" i="3"/>
  <c r="O19" i="3" s="1"/>
  <c r="N3" i="3"/>
  <c r="M3" i="3"/>
  <c r="L3" i="3"/>
  <c r="K3" i="3"/>
  <c r="J3" i="3"/>
  <c r="I3" i="3"/>
  <c r="H3" i="3"/>
  <c r="G3" i="3"/>
  <c r="D91" i="4"/>
  <c r="C91" i="4"/>
  <c r="F90" i="4"/>
  <c r="F89" i="4"/>
  <c r="F88" i="4"/>
  <c r="F87" i="4"/>
  <c r="F86" i="4"/>
  <c r="D81" i="4"/>
  <c r="C81" i="4"/>
  <c r="F80" i="4"/>
  <c r="F79" i="4"/>
  <c r="F78" i="4"/>
  <c r="F77" i="4"/>
  <c r="F76" i="4"/>
  <c r="D72" i="4"/>
  <c r="C72" i="4"/>
  <c r="F71" i="4"/>
  <c r="F70" i="4"/>
  <c r="F69" i="4"/>
  <c r="F68" i="4"/>
  <c r="F67" i="4"/>
  <c r="D63" i="4"/>
  <c r="C63" i="4"/>
  <c r="F62" i="4"/>
  <c r="F61" i="4"/>
  <c r="F60" i="4"/>
  <c r="F59" i="4"/>
  <c r="F58" i="4"/>
  <c r="E54" i="4"/>
  <c r="D54" i="4"/>
  <c r="C54" i="4"/>
  <c r="F53" i="4"/>
  <c r="F52" i="4"/>
  <c r="F51" i="4"/>
  <c r="F50" i="4"/>
  <c r="F49" i="4"/>
  <c r="AC25" i="2"/>
  <c r="AC27" i="2"/>
  <c r="AC28" i="2" s="1"/>
  <c r="AC23" i="2" s="1"/>
  <c r="AC6" i="2"/>
  <c r="AD40" i="5" s="1"/>
  <c r="AC42" i="1"/>
  <c r="AD18" i="5" s="1"/>
  <c r="AC48" i="1"/>
  <c r="AC12" i="1"/>
  <c r="AC6" i="1"/>
  <c r="L4" i="1"/>
  <c r="M4" i="1"/>
  <c r="N4" i="1"/>
  <c r="P12" i="3" s="1"/>
  <c r="O4" i="1"/>
  <c r="Q13" i="3" s="1"/>
  <c r="Q4" i="1"/>
  <c r="R4" i="1"/>
  <c r="T12" i="3" s="1"/>
  <c r="S4" i="1"/>
  <c r="T4" i="1"/>
  <c r="V13" i="3" s="1"/>
  <c r="U4" i="1"/>
  <c r="V4" i="1"/>
  <c r="X12" i="3" s="1"/>
  <c r="W4" i="1"/>
  <c r="X4" i="1"/>
  <c r="Y4" i="1"/>
  <c r="Z4" i="1"/>
  <c r="AB12" i="3" s="1"/>
  <c r="AA4" i="1"/>
  <c r="O49" i="1"/>
  <c r="L48" i="1"/>
  <c r="M48" i="1"/>
  <c r="N48" i="1"/>
  <c r="O48" i="1"/>
  <c r="M38" i="1"/>
  <c r="M49" i="1" s="1"/>
  <c r="N38" i="1"/>
  <c r="N49" i="1" s="1"/>
  <c r="O38" i="1"/>
  <c r="L31" i="1"/>
  <c r="M31" i="1"/>
  <c r="N31" i="1"/>
  <c r="O5" i="5" s="1"/>
  <c r="O31" i="1"/>
  <c r="L21" i="1"/>
  <c r="M21" i="1"/>
  <c r="N21" i="1"/>
  <c r="P16" i="3" s="1"/>
  <c r="O21" i="1"/>
  <c r="P34" i="5" s="1"/>
  <c r="L17" i="1"/>
  <c r="M17" i="1"/>
  <c r="N17" i="1"/>
  <c r="N27" i="1" s="1"/>
  <c r="O17" i="1"/>
  <c r="O27" i="1" s="1"/>
  <c r="L14" i="1"/>
  <c r="M30" i="5" s="1"/>
  <c r="M14" i="1"/>
  <c r="N30" i="5" s="1"/>
  <c r="N14" i="1"/>
  <c r="O30" i="5" s="1"/>
  <c r="O14" i="1"/>
  <c r="P30" i="5" s="1"/>
  <c r="L8" i="1"/>
  <c r="M8" i="1"/>
  <c r="N8" i="1"/>
  <c r="O8" i="1"/>
  <c r="P6" i="1"/>
  <c r="P4" i="1" s="1"/>
  <c r="P12" i="1"/>
  <c r="P8" i="1" s="1"/>
  <c r="P14" i="1"/>
  <c r="Q30" i="5" s="1"/>
  <c r="P17" i="1"/>
  <c r="P21" i="1"/>
  <c r="Q34" i="5" s="1"/>
  <c r="P31" i="1"/>
  <c r="Q5" i="5" s="1"/>
  <c r="P42" i="1"/>
  <c r="Q18" i="5" s="1"/>
  <c r="P48" i="1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Q23" i="2"/>
  <c r="R47" i="5" s="1"/>
  <c r="R23" i="2"/>
  <c r="S23" i="2"/>
  <c r="T23" i="2"/>
  <c r="U47" i="5" s="1"/>
  <c r="U23" i="2"/>
  <c r="V47" i="5" s="1"/>
  <c r="V23" i="2"/>
  <c r="W23" i="2"/>
  <c r="X47" i="5" s="1"/>
  <c r="X23" i="2"/>
  <c r="Y23" i="2"/>
  <c r="Z47" i="5" s="1"/>
  <c r="Z23" i="2"/>
  <c r="AA23" i="2"/>
  <c r="AB47" i="5" s="1"/>
  <c r="AB23" i="2"/>
  <c r="AC47" i="5" s="1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P12" i="2"/>
  <c r="Q12" i="2"/>
  <c r="Q39" i="2" s="1"/>
  <c r="R12" i="2"/>
  <c r="S12" i="2"/>
  <c r="S39" i="2" s="1"/>
  <c r="T12" i="2"/>
  <c r="U12" i="2"/>
  <c r="V12" i="2"/>
  <c r="W12" i="2"/>
  <c r="X12" i="2"/>
  <c r="Y12" i="2"/>
  <c r="Z12" i="2"/>
  <c r="AA12" i="2"/>
  <c r="AA39" i="2" s="1"/>
  <c r="AB12" i="2"/>
  <c r="AC12" i="2"/>
  <c r="AC39" i="2" s="1"/>
  <c r="Q7" i="2"/>
  <c r="R39" i="5" s="1"/>
  <c r="R7" i="2"/>
  <c r="S39" i="5" s="1"/>
  <c r="S7" i="2"/>
  <c r="T39" i="5" s="1"/>
  <c r="T7" i="2"/>
  <c r="U39" i="5" s="1"/>
  <c r="U7" i="2"/>
  <c r="V39" i="5" s="1"/>
  <c r="V7" i="2"/>
  <c r="W39" i="5" s="1"/>
  <c r="W7" i="2"/>
  <c r="X39" i="5" s="1"/>
  <c r="X7" i="2"/>
  <c r="Y39" i="5" s="1"/>
  <c r="Y7" i="2"/>
  <c r="Z39" i="5" s="1"/>
  <c r="Z7" i="2"/>
  <c r="AA39" i="5" s="1"/>
  <c r="AA7" i="2"/>
  <c r="AB39" i="5" s="1"/>
  <c r="AB7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Q48" i="1"/>
  <c r="R48" i="1"/>
  <c r="S48" i="1"/>
  <c r="T48" i="1"/>
  <c r="U48" i="1"/>
  <c r="V48" i="1"/>
  <c r="W48" i="1"/>
  <c r="X48" i="1"/>
  <c r="Y48" i="1"/>
  <c r="Z48" i="1"/>
  <c r="AA48" i="1"/>
  <c r="AB48" i="1"/>
  <c r="Q31" i="1"/>
  <c r="R31" i="1"/>
  <c r="T18" i="3" s="1"/>
  <c r="S31" i="1"/>
  <c r="T31" i="1"/>
  <c r="U31" i="1"/>
  <c r="V31" i="1"/>
  <c r="W31" i="1"/>
  <c r="X31" i="1"/>
  <c r="Y31" i="1"/>
  <c r="Z31" i="1"/>
  <c r="AA31" i="1"/>
  <c r="AB31" i="1"/>
  <c r="AC31" i="1"/>
  <c r="Q21" i="1"/>
  <c r="R21" i="1"/>
  <c r="S21" i="1"/>
  <c r="T34" i="5" s="1"/>
  <c r="T21" i="1"/>
  <c r="U34" i="5" s="1"/>
  <c r="U21" i="1"/>
  <c r="V21" i="1"/>
  <c r="W21" i="1"/>
  <c r="X34" i="5" s="1"/>
  <c r="X21" i="1"/>
  <c r="Y21" i="1"/>
  <c r="Z21" i="1"/>
  <c r="AA21" i="1"/>
  <c r="AB34" i="5" s="1"/>
  <c r="AB21" i="1"/>
  <c r="AC34" i="5" s="1"/>
  <c r="AC21" i="1"/>
  <c r="Q17" i="1"/>
  <c r="R17" i="1"/>
  <c r="S17" i="1"/>
  <c r="T17" i="1"/>
  <c r="U17" i="1"/>
  <c r="V17" i="1"/>
  <c r="W17" i="1"/>
  <c r="X17" i="1"/>
  <c r="Y17" i="1"/>
  <c r="Z17" i="1"/>
  <c r="AA17" i="1"/>
  <c r="AB17" i="1"/>
  <c r="AB27" i="1" s="1"/>
  <c r="AC17" i="1"/>
  <c r="Q14" i="1"/>
  <c r="R14" i="1"/>
  <c r="S30" i="5" s="1"/>
  <c r="S14" i="1"/>
  <c r="T30" i="5" s="1"/>
  <c r="T14" i="1"/>
  <c r="U30" i="5" s="1"/>
  <c r="U14" i="1"/>
  <c r="V30" i="5" s="1"/>
  <c r="V14" i="1"/>
  <c r="W30" i="5" s="1"/>
  <c r="W14" i="1"/>
  <c r="X30" i="5" s="1"/>
  <c r="X14" i="1"/>
  <c r="Y30" i="5" s="1"/>
  <c r="Y14" i="1"/>
  <c r="Z30" i="5" s="1"/>
  <c r="Z14" i="1"/>
  <c r="AA30" i="5" s="1"/>
  <c r="AA14" i="1"/>
  <c r="AB30" i="5" s="1"/>
  <c r="AB14" i="1"/>
  <c r="AC30" i="5" s="1"/>
  <c r="AC14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B4" i="1"/>
  <c r="AD13" i="3" s="1"/>
  <c r="AC20" i="7" s="1"/>
  <c r="AC4" i="1"/>
  <c r="K8" i="1"/>
  <c r="K14" i="1"/>
  <c r="L30" i="5" s="1"/>
  <c r="K17" i="1"/>
  <c r="K21" i="1"/>
  <c r="K31" i="1"/>
  <c r="L5" i="5" s="1"/>
  <c r="AG3" i="2" l="1"/>
  <c r="AG19" i="2" s="1"/>
  <c r="AJ18" i="3"/>
  <c r="AI5" i="5"/>
  <c r="AI25" i="3" s="1"/>
  <c r="AH49" i="1"/>
  <c r="AG49" i="1"/>
  <c r="AH27" i="1"/>
  <c r="AG27" i="1"/>
  <c r="AI15" i="3" s="1"/>
  <c r="AH22" i="7" s="1"/>
  <c r="AI4" i="5"/>
  <c r="AJ17" i="3"/>
  <c r="AI26" i="7" s="1"/>
  <c r="AJ13" i="3"/>
  <c r="AI20" i="7" s="1"/>
  <c r="AJ15" i="3"/>
  <c r="AI22" i="7" s="1"/>
  <c r="AJ12" i="3"/>
  <c r="AI13" i="3"/>
  <c r="AH20" i="7" s="1"/>
  <c r="AI12" i="3"/>
  <c r="AG8" i="8" s="1"/>
  <c r="AT37" i="5"/>
  <c r="AL3" i="2"/>
  <c r="AL19" i="2" s="1"/>
  <c r="X39" i="2"/>
  <c r="T3" i="2"/>
  <c r="T19" i="2" s="1"/>
  <c r="T29" i="2" s="1"/>
  <c r="T33" i="2" s="1"/>
  <c r="U39" i="2"/>
  <c r="AR37" i="5"/>
  <c r="AG39" i="2"/>
  <c r="AF32" i="3" s="1"/>
  <c r="AH3" i="2"/>
  <c r="AH19" i="2" s="1"/>
  <c r="AH29" i="2" s="1"/>
  <c r="AH33" i="2" s="1"/>
  <c r="AD39" i="2"/>
  <c r="AE39" i="2"/>
  <c r="AG32" i="3" s="1"/>
  <c r="AR17" i="7"/>
  <c r="AO10" i="3"/>
  <c r="AN15" i="7" s="1"/>
  <c r="AM29" i="2"/>
  <c r="AM33" i="2" s="1"/>
  <c r="AL29" i="2"/>
  <c r="AL33" i="2" s="1"/>
  <c r="AN10" i="3"/>
  <c r="AM15" i="7" s="1"/>
  <c r="AJ10" i="3"/>
  <c r="AI15" i="7" s="1"/>
  <c r="AI10" i="3"/>
  <c r="AH15" i="7" s="1"/>
  <c r="AG29" i="2"/>
  <c r="AG33" i="2" s="1"/>
  <c r="AG35" i="2" s="1"/>
  <c r="AG37" i="2" s="1"/>
  <c r="AB39" i="2"/>
  <c r="AD32" i="3" s="1"/>
  <c r="T39" i="2"/>
  <c r="S32" i="3" s="1"/>
  <c r="AY37" i="5"/>
  <c r="AQ37" i="5"/>
  <c r="AR30" i="3" s="1"/>
  <c r="AM39" i="2"/>
  <c r="AX37" i="5"/>
  <c r="AP37" i="5"/>
  <c r="AK39" i="2"/>
  <c r="U37" i="5"/>
  <c r="U30" i="3" s="1"/>
  <c r="AY43" i="5"/>
  <c r="AQ43" i="5"/>
  <c r="AE19" i="2"/>
  <c r="W39" i="2"/>
  <c r="V37" i="5"/>
  <c r="AK32" i="3"/>
  <c r="W32" i="3"/>
  <c r="AC43" i="5"/>
  <c r="X3" i="2"/>
  <c r="X19" i="2" s="1"/>
  <c r="X29" i="2" s="1"/>
  <c r="X33" i="2" s="1"/>
  <c r="X35" i="2" s="1"/>
  <c r="X37" i="2" s="1"/>
  <c r="V39" i="2"/>
  <c r="U32" i="3" s="1"/>
  <c r="AQ17" i="7"/>
  <c r="AS37" i="5"/>
  <c r="AS30" i="3" s="1"/>
  <c r="AH32" i="3"/>
  <c r="AF3" i="2"/>
  <c r="AF19" i="2" s="1"/>
  <c r="AF29" i="2" s="1"/>
  <c r="AF33" i="2" s="1"/>
  <c r="AF35" i="2" s="1"/>
  <c r="AF37" i="2" s="1"/>
  <c r="AD3" i="2"/>
  <c r="AD19" i="2" s="1"/>
  <c r="AF10" i="3" s="1"/>
  <c r="AE15" i="7" s="1"/>
  <c r="AE29" i="2"/>
  <c r="AE33" i="2" s="1"/>
  <c r="AE35" i="2" s="1"/>
  <c r="AE37" i="2" s="1"/>
  <c r="AG10" i="3"/>
  <c r="AF15" i="7" s="1"/>
  <c r="AE49" i="1"/>
  <c r="AF49" i="1"/>
  <c r="AG14" i="5"/>
  <c r="AD38" i="1"/>
  <c r="AD49" i="1" s="1"/>
  <c r="AF26" i="3"/>
  <c r="AG5" i="5"/>
  <c r="AH25" i="3" s="1"/>
  <c r="AF13" i="3"/>
  <c r="AE20" i="7" s="1"/>
  <c r="AF18" i="3"/>
  <c r="AE27" i="7" s="1"/>
  <c r="AH27" i="3"/>
  <c r="AF27" i="1"/>
  <c r="AE27" i="1"/>
  <c r="AG15" i="3" s="1"/>
  <c r="AF22" i="7" s="1"/>
  <c r="AG21" i="3"/>
  <c r="AG20" i="3"/>
  <c r="AG22" i="3"/>
  <c r="AG23" i="3"/>
  <c r="AD27" i="1"/>
  <c r="AF14" i="3" s="1"/>
  <c r="AF4" i="5"/>
  <c r="AH13" i="3"/>
  <c r="AG20" i="7" s="1"/>
  <c r="AG14" i="3"/>
  <c r="AE13" i="8" s="1"/>
  <c r="AK11" i="3"/>
  <c r="AJ16" i="7" s="1"/>
  <c r="AJ47" i="5"/>
  <c r="AI43" i="5"/>
  <c r="AL11" i="3"/>
  <c r="AK16" i="7" s="1"/>
  <c r="AM11" i="3"/>
  <c r="AL16" i="7" s="1"/>
  <c r="AK3" i="2"/>
  <c r="AK19" i="2" s="1"/>
  <c r="AK29" i="2" s="1"/>
  <c r="AK33" i="2" s="1"/>
  <c r="AL37" i="5"/>
  <c r="AI3" i="2"/>
  <c r="AI19" i="2" s="1"/>
  <c r="AI29" i="2" s="1"/>
  <c r="AI33" i="2" s="1"/>
  <c r="AI35" i="2" s="1"/>
  <c r="AI37" i="2" s="1"/>
  <c r="AJ3" i="2"/>
  <c r="AJ19" i="2" s="1"/>
  <c r="AJ29" i="2" s="1"/>
  <c r="AJ33" i="2" s="1"/>
  <c r="AJ35" i="2" s="1"/>
  <c r="AJ37" i="2" s="1"/>
  <c r="AK37" i="5"/>
  <c r="AH37" i="5"/>
  <c r="AJ37" i="5"/>
  <c r="AI37" i="5"/>
  <c r="AJ5" i="5"/>
  <c r="AK25" i="3" s="1"/>
  <c r="AK18" i="3"/>
  <c r="AK21" i="3"/>
  <c r="AK5" i="3"/>
  <c r="AI6" i="8" s="1"/>
  <c r="AJ4" i="5"/>
  <c r="AK24" i="3" s="1"/>
  <c r="AG16" i="3"/>
  <c r="AF25" i="7" s="1"/>
  <c r="AH25" i="5"/>
  <c r="AG4" i="3"/>
  <c r="AE4" i="8" s="1"/>
  <c r="AE25" i="5"/>
  <c r="AE14" i="5"/>
  <c r="AG26" i="3"/>
  <c r="AI17" i="3"/>
  <c r="AH26" i="7" s="1"/>
  <c r="AI22" i="3"/>
  <c r="AI23" i="3"/>
  <c r="AI21" i="3"/>
  <c r="AI11" i="3"/>
  <c r="AH16" i="7" s="1"/>
  <c r="AH4" i="5"/>
  <c r="AI14" i="3"/>
  <c r="AH21" i="7" s="1"/>
  <c r="AI20" i="3"/>
  <c r="AH14" i="3"/>
  <c r="AF13" i="8" s="1"/>
  <c r="AH22" i="3"/>
  <c r="AH17" i="3"/>
  <c r="AF10" i="8" s="1"/>
  <c r="AH15" i="3"/>
  <c r="AG22" i="7" s="1"/>
  <c r="AH4" i="3"/>
  <c r="AF4" i="8" s="1"/>
  <c r="AH23" i="3"/>
  <c r="AH21" i="3"/>
  <c r="AH11" i="3"/>
  <c r="AG16" i="7" s="1"/>
  <c r="AG4" i="5"/>
  <c r="AG11" i="3"/>
  <c r="AF16" i="7" s="1"/>
  <c r="AH16" i="3"/>
  <c r="AG25" i="7" s="1"/>
  <c r="AH20" i="3"/>
  <c r="AK17" i="3"/>
  <c r="AJ26" i="7" s="1"/>
  <c r="AJ20" i="3"/>
  <c r="AJ22" i="3"/>
  <c r="AJ14" i="3"/>
  <c r="AH13" i="8" s="1"/>
  <c r="AJ16" i="3"/>
  <c r="AI25" i="7" s="1"/>
  <c r="AK20" i="3"/>
  <c r="AK22" i="3"/>
  <c r="AJ25" i="3"/>
  <c r="AK15" i="3"/>
  <c r="AJ22" i="7" s="1"/>
  <c r="AK14" i="3"/>
  <c r="AK16" i="3"/>
  <c r="AI9" i="8" s="1"/>
  <c r="AJ11" i="3"/>
  <c r="AI16" i="7" s="1"/>
  <c r="AJ21" i="3"/>
  <c r="AJ23" i="3"/>
  <c r="T35" i="2"/>
  <c r="T37" i="2" s="1"/>
  <c r="Q20" i="3"/>
  <c r="Q23" i="3"/>
  <c r="P4" i="5"/>
  <c r="Q24" i="3" s="1"/>
  <c r="Q14" i="3"/>
  <c r="Q4" i="3"/>
  <c r="Q22" i="3"/>
  <c r="Q16" i="3"/>
  <c r="R12" i="3"/>
  <c r="R15" i="3"/>
  <c r="R13" i="3"/>
  <c r="R34" i="5"/>
  <c r="AD47" i="5"/>
  <c r="AD43" i="5" s="1"/>
  <c r="AC38" i="1"/>
  <c r="AD5" i="5"/>
  <c r="AE18" i="3"/>
  <c r="N13" i="3"/>
  <c r="AA5" i="3"/>
  <c r="Y3" i="8"/>
  <c r="Z5" i="7"/>
  <c r="AQ5" i="3"/>
  <c r="AP5" i="7"/>
  <c r="AO3" i="8"/>
  <c r="W8" i="8"/>
  <c r="X19" i="7"/>
  <c r="AJ19" i="7"/>
  <c r="AI8" i="8"/>
  <c r="AR19" i="7"/>
  <c r="AQ8" i="8"/>
  <c r="AM9" i="8"/>
  <c r="AN25" i="7"/>
  <c r="AT12" i="8"/>
  <c r="AU28" i="7"/>
  <c r="V38" i="1"/>
  <c r="W5" i="5"/>
  <c r="X18" i="3"/>
  <c r="W13" i="3"/>
  <c r="V20" i="7" s="1"/>
  <c r="W12" i="3"/>
  <c r="AL5" i="8"/>
  <c r="AM7" i="7"/>
  <c r="Z11" i="8"/>
  <c r="AA27" i="7"/>
  <c r="Y34" i="5"/>
  <c r="U38" i="1"/>
  <c r="V5" i="5"/>
  <c r="V25" i="3" s="1"/>
  <c r="W18" i="3"/>
  <c r="W21" i="3"/>
  <c r="N34" i="5"/>
  <c r="AI5" i="3"/>
  <c r="AG3" i="8"/>
  <c r="AH5" i="7"/>
  <c r="AY5" i="3"/>
  <c r="AX5" i="7"/>
  <c r="AW3" i="8"/>
  <c r="AV4" i="8"/>
  <c r="AW6" i="7"/>
  <c r="AS5" i="8"/>
  <c r="AT7" i="7"/>
  <c r="M34" i="5"/>
  <c r="N16" i="3"/>
  <c r="L27" i="1"/>
  <c r="T5" i="3"/>
  <c r="Z3" i="8"/>
  <c r="AA5" i="7"/>
  <c r="AJ6" i="3"/>
  <c r="AH3" i="8"/>
  <c r="AI5" i="7"/>
  <c r="AJ5" i="3"/>
  <c r="AR6" i="3"/>
  <c r="AP3" i="8"/>
  <c r="AQ5" i="7"/>
  <c r="AR5" i="3"/>
  <c r="AA8" i="8"/>
  <c r="AB19" i="7"/>
  <c r="AJ8" i="8"/>
  <c r="AK19" i="7"/>
  <c r="AK23" i="7" s="1"/>
  <c r="AR8" i="8"/>
  <c r="AS19" i="7"/>
  <c r="AS23" i="7" s="1"/>
  <c r="AK13" i="8"/>
  <c r="AL21" i="7"/>
  <c r="AN9" i="8"/>
  <c r="AO25" i="7"/>
  <c r="AV9" i="8"/>
  <c r="AW25" i="7"/>
  <c r="AN10" i="8"/>
  <c r="AO26" i="7"/>
  <c r="AV10" i="8"/>
  <c r="AW26" i="7"/>
  <c r="AD22" i="3"/>
  <c r="AC4" i="5"/>
  <c r="AD20" i="3"/>
  <c r="AD23" i="3"/>
  <c r="AD14" i="3"/>
  <c r="M5" i="5"/>
  <c r="M25" i="3" s="1"/>
  <c r="N18" i="3"/>
  <c r="N21" i="3"/>
  <c r="L38" i="1"/>
  <c r="L49" i="1" s="1"/>
  <c r="O13" i="3"/>
  <c r="O12" i="3"/>
  <c r="AE13" i="3"/>
  <c r="AD20" i="7" s="1"/>
  <c r="AE12" i="3"/>
  <c r="W34" i="5"/>
  <c r="X16" i="3"/>
  <c r="R39" i="2"/>
  <c r="S47" i="5"/>
  <c r="S43" i="5" s="1"/>
  <c r="AB8" i="8"/>
  <c r="AC19" i="7"/>
  <c r="AW10" i="8"/>
  <c r="AX26" i="7"/>
  <c r="O4" i="5"/>
  <c r="P14" i="3"/>
  <c r="P23" i="3"/>
  <c r="P17" i="3"/>
  <c r="P6" i="3"/>
  <c r="M27" i="1"/>
  <c r="AA12" i="3"/>
  <c r="AA13" i="3"/>
  <c r="Z20" i="7" s="1"/>
  <c r="S12" i="3"/>
  <c r="S13" i="3"/>
  <c r="M5" i="3"/>
  <c r="AU17" i="7"/>
  <c r="AD15" i="3"/>
  <c r="AC22" i="7" s="1"/>
  <c r="P22" i="3"/>
  <c r="AY26" i="3"/>
  <c r="AX26" i="3"/>
  <c r="AQ26" i="3"/>
  <c r="AP26" i="3"/>
  <c r="AI26" i="3"/>
  <c r="AH26" i="3"/>
  <c r="S38" i="1"/>
  <c r="T5" i="5"/>
  <c r="U18" i="3"/>
  <c r="Y47" i="5"/>
  <c r="Y43" i="5" s="1"/>
  <c r="Z10" i="3"/>
  <c r="Y15" i="7" s="1"/>
  <c r="W19" i="3"/>
  <c r="U3" i="8"/>
  <c r="V5" i="7"/>
  <c r="AU19" i="3"/>
  <c r="AS3" i="8"/>
  <c r="AT5" i="7"/>
  <c r="AE8" i="8"/>
  <c r="AF19" i="7"/>
  <c r="AM8" i="8"/>
  <c r="AN19" i="7"/>
  <c r="AU8" i="8"/>
  <c r="AV19" i="7"/>
  <c r="AE15" i="3"/>
  <c r="AD22" i="7" s="1"/>
  <c r="N17" i="3"/>
  <c r="AH11" i="8"/>
  <c r="AI27" i="7"/>
  <c r="AP11" i="8"/>
  <c r="AQ27" i="7"/>
  <c r="Z34" i="5"/>
  <c r="AA38" i="1"/>
  <c r="AB5" i="5"/>
  <c r="AC18" i="3"/>
  <c r="AA47" i="5"/>
  <c r="AA43" i="5" s="1"/>
  <c r="Z39" i="2"/>
  <c r="Y32" i="3" s="1"/>
  <c r="P49" i="1"/>
  <c r="Z8" i="8"/>
  <c r="AA19" i="7"/>
  <c r="Z6" i="8"/>
  <c r="AA8" i="7"/>
  <c r="Y39" i="2"/>
  <c r="AE3" i="3"/>
  <c r="AA32" i="3"/>
  <c r="Q15" i="3"/>
  <c r="G19" i="3"/>
  <c r="V12" i="8"/>
  <c r="W28" i="7"/>
  <c r="AM4" i="8"/>
  <c r="AN6" i="7"/>
  <c r="O6" i="3"/>
  <c r="Q12" i="3"/>
  <c r="X13" i="3"/>
  <c r="W20" i="7" s="1"/>
  <c r="AP21" i="7"/>
  <c r="AO13" i="8"/>
  <c r="AW13" i="8"/>
  <c r="AX21" i="7"/>
  <c r="AI11" i="8"/>
  <c r="AJ27" i="7"/>
  <c r="AQ11" i="8"/>
  <c r="AR27" i="7"/>
  <c r="AJ8" i="7"/>
  <c r="AO10" i="8"/>
  <c r="AP26" i="7"/>
  <c r="P38" i="1"/>
  <c r="R18" i="3"/>
  <c r="Z15" i="3"/>
  <c r="Y22" i="7" s="1"/>
  <c r="Z12" i="3"/>
  <c r="Z13" i="3"/>
  <c r="Y20" i="7" s="1"/>
  <c r="AM19" i="3"/>
  <c r="AK3" i="8"/>
  <c r="AL5" i="7"/>
  <c r="AM6" i="3"/>
  <c r="L34" i="5"/>
  <c r="AA34" i="5"/>
  <c r="S34" i="5"/>
  <c r="T16" i="3"/>
  <c r="W38" i="1"/>
  <c r="W49" i="1" s="1"/>
  <c r="X5" i="5"/>
  <c r="Y18" i="3"/>
  <c r="Y3" i="2"/>
  <c r="Y19" i="2" s="1"/>
  <c r="Q3" i="2"/>
  <c r="Q19" i="2" s="1"/>
  <c r="Q29" i="2" s="1"/>
  <c r="Q33" i="2" s="1"/>
  <c r="Z32" i="3"/>
  <c r="AC32" i="3"/>
  <c r="W47" i="5"/>
  <c r="W43" i="5" s="1"/>
  <c r="N5" i="5"/>
  <c r="N25" i="3" s="1"/>
  <c r="O18" i="3"/>
  <c r="O21" i="3"/>
  <c r="V8" i="8"/>
  <c r="W19" i="7"/>
  <c r="AC11" i="2"/>
  <c r="AC7" i="2" s="1"/>
  <c r="AD39" i="5" s="1"/>
  <c r="AD37" i="5" s="1"/>
  <c r="AE12" i="8"/>
  <c r="AF28" i="7"/>
  <c r="Y13" i="3"/>
  <c r="X20" i="7" s="1"/>
  <c r="AP13" i="8"/>
  <c r="AQ21" i="7"/>
  <c r="Z27" i="7"/>
  <c r="Y11" i="8"/>
  <c r="Z37" i="5"/>
  <c r="AA30" i="3" s="1"/>
  <c r="AA3" i="8"/>
  <c r="AB5" i="7"/>
  <c r="AK6" i="3"/>
  <c r="AJ5" i="7"/>
  <c r="AI3" i="8"/>
  <c r="AS6" i="3"/>
  <c r="AR5" i="7"/>
  <c r="AQ3" i="8"/>
  <c r="AN4" i="8"/>
  <c r="AO6" i="7"/>
  <c r="AC5" i="3"/>
  <c r="AT5" i="8"/>
  <c r="AU7" i="7"/>
  <c r="AS17" i="7"/>
  <c r="AK8" i="8"/>
  <c r="AL19" i="7"/>
  <c r="AL23" i="7" s="1"/>
  <c r="AS8" i="8"/>
  <c r="AT19" i="7"/>
  <c r="AQ13" i="8"/>
  <c r="AR21" i="7"/>
  <c r="P15" i="3"/>
  <c r="AP25" i="7"/>
  <c r="AO9" i="8"/>
  <c r="AW9" i="8"/>
  <c r="AX25" i="7"/>
  <c r="AJ11" i="8"/>
  <c r="AK27" i="7"/>
  <c r="AR11" i="8"/>
  <c r="AS27" i="7"/>
  <c r="T37" i="5"/>
  <c r="L25" i="5"/>
  <c r="H27" i="3"/>
  <c r="I27" i="3"/>
  <c r="AO11" i="5"/>
  <c r="Y11" i="5"/>
  <c r="Y29" i="3" s="1"/>
  <c r="AU14" i="5"/>
  <c r="AU11" i="5" s="1"/>
  <c r="AU12" i="5" s="1"/>
  <c r="AM11" i="5"/>
  <c r="W11" i="5"/>
  <c r="AJ27" i="3"/>
  <c r="AV25" i="3"/>
  <c r="AN25" i="3"/>
  <c r="AF25" i="3"/>
  <c r="AB38" i="1"/>
  <c r="AB49" i="1" s="1"/>
  <c r="AC5" i="5"/>
  <c r="AC25" i="3" s="1"/>
  <c r="T38" i="1"/>
  <c r="U5" i="5"/>
  <c r="Z3" i="2"/>
  <c r="Z19" i="2" s="1"/>
  <c r="Z29" i="2" s="1"/>
  <c r="Z33" i="2" s="1"/>
  <c r="R3" i="2"/>
  <c r="R19" i="2" s="1"/>
  <c r="R29" i="2" s="1"/>
  <c r="R33" i="2" s="1"/>
  <c r="N6" i="3"/>
  <c r="V6" i="3"/>
  <c r="AD6" i="3"/>
  <c r="AB3" i="8"/>
  <c r="AC5" i="7"/>
  <c r="AL6" i="3"/>
  <c r="AJ3" i="8"/>
  <c r="AK5" i="7"/>
  <c r="AT6" i="3"/>
  <c r="AR3" i="8"/>
  <c r="AS5" i="7"/>
  <c r="AU4" i="8"/>
  <c r="AV6" i="7"/>
  <c r="AT17" i="7"/>
  <c r="AL8" i="8"/>
  <c r="AM19" i="7"/>
  <c r="AT8" i="8"/>
  <c r="AU19" i="7"/>
  <c r="AU23" i="7" s="1"/>
  <c r="AJ13" i="8"/>
  <c r="AK21" i="7"/>
  <c r="AR13" i="8"/>
  <c r="AS21" i="7"/>
  <c r="AP9" i="8"/>
  <c r="AQ25" i="7"/>
  <c r="Q17" i="3"/>
  <c r="AI10" i="8"/>
  <c r="AD18" i="3"/>
  <c r="S37" i="5"/>
  <c r="S25" i="5"/>
  <c r="Q26" i="3"/>
  <c r="I26" i="3"/>
  <c r="H26" i="3"/>
  <c r="AK25" i="7"/>
  <c r="AL11" i="8"/>
  <c r="AM27" i="7"/>
  <c r="AS13" i="8"/>
  <c r="AT21" i="7"/>
  <c r="AQ9" i="8"/>
  <c r="AR25" i="7"/>
  <c r="AT11" i="8"/>
  <c r="AU27" i="7"/>
  <c r="AE17" i="3"/>
  <c r="V34" i="5"/>
  <c r="Z38" i="1"/>
  <c r="AA5" i="5"/>
  <c r="AA25" i="3" s="1"/>
  <c r="R38" i="1"/>
  <c r="S5" i="5"/>
  <c r="S25" i="3" s="1"/>
  <c r="T21" i="3"/>
  <c r="P4" i="3"/>
  <c r="V3" i="8"/>
  <c r="W5" i="7"/>
  <c r="AD3" i="8"/>
  <c r="AE5" i="7"/>
  <c r="AF19" i="3"/>
  <c r="AN4" i="3"/>
  <c r="AL3" i="8"/>
  <c r="AM5" i="7"/>
  <c r="AV4" i="3"/>
  <c r="AT3" i="8"/>
  <c r="AU5" i="7"/>
  <c r="AV17" i="7"/>
  <c r="AF8" i="8"/>
  <c r="AG19" i="7"/>
  <c r="AN8" i="8"/>
  <c r="AO19" i="7"/>
  <c r="AO23" i="7" s="1"/>
  <c r="AV8" i="8"/>
  <c r="AW19" i="7"/>
  <c r="U13" i="3"/>
  <c r="AC13" i="3"/>
  <c r="AB20" i="7" s="1"/>
  <c r="AL13" i="8"/>
  <c r="AM21" i="7"/>
  <c r="AT13" i="8"/>
  <c r="AU21" i="7"/>
  <c r="AD16" i="3"/>
  <c r="AR9" i="8"/>
  <c r="AS25" i="7"/>
  <c r="AD17" i="3"/>
  <c r="V18" i="3"/>
  <c r="AE11" i="8"/>
  <c r="AF27" i="7"/>
  <c r="AM11" i="8"/>
  <c r="AN27" i="7"/>
  <c r="AU11" i="8"/>
  <c r="AV27" i="7"/>
  <c r="T47" i="5"/>
  <c r="T43" i="5" s="1"/>
  <c r="K28" i="3"/>
  <c r="J28" i="3"/>
  <c r="AY24" i="3"/>
  <c r="AX24" i="3"/>
  <c r="AS26" i="7"/>
  <c r="AJ10" i="8"/>
  <c r="AK26" i="7"/>
  <c r="W12" i="8"/>
  <c r="X28" i="7"/>
  <c r="R37" i="5"/>
  <c r="K38" i="1"/>
  <c r="Y38" i="1"/>
  <c r="Y49" i="1" s="1"/>
  <c r="Z5" i="5"/>
  <c r="Q38" i="1"/>
  <c r="AB3" i="2"/>
  <c r="AB19" i="2" s="1"/>
  <c r="AB29" i="2" s="1"/>
  <c r="AB33" i="2" s="1"/>
  <c r="AC39" i="5"/>
  <c r="AC37" i="5" s="1"/>
  <c r="Q21" i="3"/>
  <c r="P5" i="5"/>
  <c r="P25" i="3" s="1"/>
  <c r="Q5" i="3"/>
  <c r="Q19" i="3"/>
  <c r="Y5" i="3"/>
  <c r="W3" i="8"/>
  <c r="X5" i="7"/>
  <c r="AG5" i="3"/>
  <c r="AE3" i="8"/>
  <c r="AF5" i="7"/>
  <c r="AO5" i="3"/>
  <c r="AM3" i="8"/>
  <c r="AN5" i="7"/>
  <c r="AW5" i="3"/>
  <c r="AU3" i="8"/>
  <c r="AV5" i="7"/>
  <c r="AW19" i="3"/>
  <c r="AS5" i="3"/>
  <c r="AO17" i="7"/>
  <c r="AW17" i="7"/>
  <c r="AP19" i="7"/>
  <c r="AO8" i="8"/>
  <c r="AX19" i="7"/>
  <c r="AX23" i="7" s="1"/>
  <c r="AW8" i="8"/>
  <c r="AM13" i="8"/>
  <c r="AN21" i="7"/>
  <c r="AU13" i="8"/>
  <c r="AV21" i="7"/>
  <c r="AB15" i="3"/>
  <c r="AA22" i="7" s="1"/>
  <c r="W16" i="3"/>
  <c r="AK9" i="8"/>
  <c r="AL25" i="7"/>
  <c r="AS9" i="8"/>
  <c r="AT25" i="7"/>
  <c r="AL10" i="8"/>
  <c r="AM26" i="7"/>
  <c r="AT10" i="8"/>
  <c r="AU26" i="7"/>
  <c r="M18" i="3"/>
  <c r="AN19" i="3"/>
  <c r="P21" i="3"/>
  <c r="AD21" i="3"/>
  <c r="O34" i="5"/>
  <c r="AD34" i="5"/>
  <c r="AR26" i="7"/>
  <c r="BY23" i="7"/>
  <c r="BY30" i="7" s="1"/>
  <c r="X38" i="1"/>
  <c r="X49" i="1" s="1"/>
  <c r="Z18" i="3"/>
  <c r="Y5" i="5"/>
  <c r="T49" i="1"/>
  <c r="AB43" i="5"/>
  <c r="O25" i="3"/>
  <c r="J5" i="3"/>
  <c r="R3" i="3"/>
  <c r="R6" i="3" s="1"/>
  <c r="Z5" i="3"/>
  <c r="X3" i="8"/>
  <c r="Y5" i="7"/>
  <c r="AH5" i="3"/>
  <c r="AF3" i="8"/>
  <c r="AG5" i="7"/>
  <c r="AP5" i="3"/>
  <c r="AN3" i="8"/>
  <c r="AO5" i="7"/>
  <c r="AX5" i="3"/>
  <c r="AV3" i="8"/>
  <c r="AW5" i="7"/>
  <c r="AP17" i="7"/>
  <c r="AX17" i="7"/>
  <c r="V10" i="3"/>
  <c r="AH8" i="8"/>
  <c r="AI19" i="7"/>
  <c r="AP8" i="8"/>
  <c r="AQ19" i="7"/>
  <c r="AQ23" i="7" s="1"/>
  <c r="AN13" i="8"/>
  <c r="AO21" i="7"/>
  <c r="AV13" i="8"/>
  <c r="AW21" i="7"/>
  <c r="AL9" i="8"/>
  <c r="AM25" i="7"/>
  <c r="AT9" i="8"/>
  <c r="AU25" i="7"/>
  <c r="V17" i="3"/>
  <c r="AM10" i="8"/>
  <c r="AN26" i="7"/>
  <c r="AU10" i="8"/>
  <c r="AV26" i="7"/>
  <c r="AG11" i="8"/>
  <c r="AH27" i="7"/>
  <c r="AO11" i="8"/>
  <c r="AP27" i="7"/>
  <c r="AX27" i="7"/>
  <c r="AW11" i="8"/>
  <c r="AO19" i="3"/>
  <c r="R5" i="5"/>
  <c r="R25" i="3" s="1"/>
  <c r="AW28" i="3"/>
  <c r="AO28" i="3"/>
  <c r="Y28" i="3"/>
  <c r="BR29" i="7"/>
  <c r="BJ29" i="7"/>
  <c r="BB29" i="7"/>
  <c r="AE19" i="7"/>
  <c r="U43" i="5"/>
  <c r="Q28" i="3"/>
  <c r="I28" i="3"/>
  <c r="N27" i="3"/>
  <c r="AB37" i="5"/>
  <c r="AV28" i="3"/>
  <c r="AN28" i="3"/>
  <c r="AF28" i="3"/>
  <c r="X28" i="3"/>
  <c r="AT14" i="5"/>
  <c r="AT11" i="5" s="1"/>
  <c r="AT29" i="3" s="1"/>
  <c r="AL14" i="5"/>
  <c r="AD14" i="5"/>
  <c r="V14" i="5"/>
  <c r="AT27" i="7"/>
  <c r="AL26" i="7"/>
  <c r="BX29" i="7"/>
  <c r="BP29" i="7"/>
  <c r="AZ29" i="7"/>
  <c r="AW43" i="5"/>
  <c r="AO43" i="5"/>
  <c r="AG43" i="5"/>
  <c r="AA37" i="5"/>
  <c r="BH29" i="7"/>
  <c r="AU9" i="8"/>
  <c r="AV25" i="7"/>
  <c r="AH10" i="8"/>
  <c r="AP10" i="8"/>
  <c r="AQ26" i="7"/>
  <c r="O28" i="3"/>
  <c r="G28" i="3"/>
  <c r="R25" i="5"/>
  <c r="J25" i="5"/>
  <c r="T14" i="5"/>
  <c r="T11" i="5" s="1"/>
  <c r="T12" i="5" s="1"/>
  <c r="L14" i="5"/>
  <c r="L11" i="5" s="1"/>
  <c r="L29" i="3" s="1"/>
  <c r="AV43" i="5"/>
  <c r="AN43" i="5"/>
  <c r="AF43" i="5"/>
  <c r="X43" i="5"/>
  <c r="AY25" i="5"/>
  <c r="AU24" i="3"/>
  <c r="AM24" i="3"/>
  <c r="R43" i="5"/>
  <c r="Q25" i="5"/>
  <c r="I25" i="5"/>
  <c r="S14" i="5"/>
  <c r="K14" i="5"/>
  <c r="K11" i="5" s="1"/>
  <c r="K29" i="3" s="1"/>
  <c r="U14" i="5"/>
  <c r="U11" i="5" s="1"/>
  <c r="U29" i="3" s="1"/>
  <c r="M14" i="5"/>
  <c r="M11" i="5" s="1"/>
  <c r="E14" i="5"/>
  <c r="E11" i="5" s="1"/>
  <c r="E12" i="5" s="1"/>
  <c r="N14" i="5"/>
  <c r="N11" i="5" s="1"/>
  <c r="F14" i="5"/>
  <c r="F11" i="5" s="1"/>
  <c r="F12" i="5" s="1"/>
  <c r="O14" i="5"/>
  <c r="O11" i="5" s="1"/>
  <c r="G14" i="5"/>
  <c r="AS43" i="5"/>
  <c r="AK43" i="5"/>
  <c r="AU43" i="5"/>
  <c r="AM43" i="5"/>
  <c r="AE43" i="5"/>
  <c r="AW37" i="5"/>
  <c r="AX30" i="3" s="1"/>
  <c r="AO37" i="5"/>
  <c r="AG37" i="5"/>
  <c r="Y37" i="5"/>
  <c r="AL27" i="7"/>
  <c r="P25" i="5"/>
  <c r="P11" i="5" s="1"/>
  <c r="H25" i="5"/>
  <c r="P14" i="5"/>
  <c r="H14" i="5"/>
  <c r="AR43" i="5"/>
  <c r="AJ43" i="5"/>
  <c r="AX43" i="5"/>
  <c r="AP43" i="5"/>
  <c r="AH43" i="5"/>
  <c r="Z43" i="5"/>
  <c r="AT43" i="5"/>
  <c r="AL43" i="5"/>
  <c r="V43" i="5"/>
  <c r="AV37" i="5"/>
  <c r="AW25" i="5"/>
  <c r="AW11" i="5" s="1"/>
  <c r="AO25" i="5"/>
  <c r="AG25" i="5"/>
  <c r="AG11" i="5" s="1"/>
  <c r="Y25" i="5"/>
  <c r="AF11" i="8"/>
  <c r="AG27" i="7"/>
  <c r="AN11" i="8"/>
  <c r="AO27" i="7"/>
  <c r="AV11" i="8"/>
  <c r="AW27" i="7"/>
  <c r="O25" i="5"/>
  <c r="G25" i="5"/>
  <c r="AU37" i="5"/>
  <c r="AU30" i="3" s="1"/>
  <c r="AM37" i="5"/>
  <c r="AE37" i="5"/>
  <c r="AX28" i="3"/>
  <c r="AP28" i="3"/>
  <c r="AH28" i="3"/>
  <c r="Z28" i="3"/>
  <c r="AT26" i="7"/>
  <c r="BH30" i="7"/>
  <c r="AZ30" i="7"/>
  <c r="AN37" i="5"/>
  <c r="AF37" i="5"/>
  <c r="X37" i="5"/>
  <c r="AT25" i="5"/>
  <c r="AL25" i="5"/>
  <c r="AD25" i="5"/>
  <c r="V25" i="5"/>
  <c r="W37" i="5"/>
  <c r="W30" i="3" s="1"/>
  <c r="AS25" i="5"/>
  <c r="AK25" i="5"/>
  <c r="AC25" i="5"/>
  <c r="AX14" i="5"/>
  <c r="AX11" i="5" s="1"/>
  <c r="AP14" i="5"/>
  <c r="AP11" i="5" s="1"/>
  <c r="AP29" i="3" s="1"/>
  <c r="AH14" i="5"/>
  <c r="AH11" i="5" s="1"/>
  <c r="AH12" i="5" s="1"/>
  <c r="Z14" i="5"/>
  <c r="Z11" i="5" s="1"/>
  <c r="Z12" i="5" s="1"/>
  <c r="AV14" i="5"/>
  <c r="AV11" i="5" s="1"/>
  <c r="AV29" i="3" s="1"/>
  <c r="AN14" i="5"/>
  <c r="AN11" i="5" s="1"/>
  <c r="AF14" i="5"/>
  <c r="AF11" i="5" s="1"/>
  <c r="AF12" i="5" s="1"/>
  <c r="X14" i="5"/>
  <c r="X11" i="5" s="1"/>
  <c r="AR14" i="5"/>
  <c r="AR11" i="5" s="1"/>
  <c r="AJ14" i="5"/>
  <c r="AJ11" i="5" s="1"/>
  <c r="AJ12" i="5" s="1"/>
  <c r="AB14" i="5"/>
  <c r="AB11" i="5" s="1"/>
  <c r="AO29" i="3"/>
  <c r="AO12" i="5"/>
  <c r="AY14" i="5"/>
  <c r="AQ14" i="5"/>
  <c r="AQ11" i="5" s="1"/>
  <c r="AR29" i="3" s="1"/>
  <c r="AI14" i="5"/>
  <c r="AI11" i="5" s="1"/>
  <c r="AA14" i="5"/>
  <c r="AA11" i="5" s="1"/>
  <c r="AB29" i="3" s="1"/>
  <c r="AS14" i="5"/>
  <c r="AS11" i="5" s="1"/>
  <c r="AK14" i="5"/>
  <c r="AC14" i="5"/>
  <c r="AC11" i="5" s="1"/>
  <c r="AU29" i="3"/>
  <c r="AX12" i="5"/>
  <c r="X12" i="5"/>
  <c r="X29" i="3"/>
  <c r="W12" i="5"/>
  <c r="AP12" i="5"/>
  <c r="Y12" i="5"/>
  <c r="AM12" i="5"/>
  <c r="AN12" i="5"/>
  <c r="AN29" i="3"/>
  <c r="AR12" i="5"/>
  <c r="AB12" i="5"/>
  <c r="AY30" i="3"/>
  <c r="AI27" i="3"/>
  <c r="AB27" i="3"/>
  <c r="AR27" i="3"/>
  <c r="AC28" i="3"/>
  <c r="AK28" i="3"/>
  <c r="AS28" i="3"/>
  <c r="AL24" i="3"/>
  <c r="AT24" i="3"/>
  <c r="AE25" i="3"/>
  <c r="AM25" i="3"/>
  <c r="AU25" i="3"/>
  <c r="W28" i="3"/>
  <c r="AE28" i="3"/>
  <c r="AM28" i="3"/>
  <c r="AU28" i="3"/>
  <c r="V30" i="3"/>
  <c r="R14" i="5"/>
  <c r="R11" i="5" s="1"/>
  <c r="J14" i="5"/>
  <c r="J11" i="5" s="1"/>
  <c r="M12" i="5"/>
  <c r="N29" i="3"/>
  <c r="N12" i="5"/>
  <c r="G11" i="5"/>
  <c r="Q14" i="5"/>
  <c r="Q11" i="5" s="1"/>
  <c r="I14" i="5"/>
  <c r="I11" i="5" s="1"/>
  <c r="H11" i="5"/>
  <c r="H28" i="3"/>
  <c r="P28" i="3"/>
  <c r="AA4" i="3"/>
  <c r="AI4" i="3"/>
  <c r="AQ4" i="3"/>
  <c r="AY4" i="3"/>
  <c r="N5" i="3"/>
  <c r="V5" i="3"/>
  <c r="AD5" i="3"/>
  <c r="AL5" i="3"/>
  <c r="AT5" i="3"/>
  <c r="Q6" i="3"/>
  <c r="AG6" i="3"/>
  <c r="AO6" i="3"/>
  <c r="AW6" i="3"/>
  <c r="J19" i="3"/>
  <c r="R19" i="3"/>
  <c r="Z19" i="3"/>
  <c r="AH19" i="3"/>
  <c r="AP19" i="3"/>
  <c r="AX19" i="3"/>
  <c r="AB4" i="3"/>
  <c r="AJ4" i="3"/>
  <c r="AR4" i="3"/>
  <c r="O5" i="3"/>
  <c r="W5" i="3"/>
  <c r="AE5" i="3"/>
  <c r="AM5" i="3"/>
  <c r="AU5" i="3"/>
  <c r="Z6" i="3"/>
  <c r="AH6" i="3"/>
  <c r="AP6" i="3"/>
  <c r="AX6" i="3"/>
  <c r="K19" i="3"/>
  <c r="S19" i="3"/>
  <c r="AA19" i="3"/>
  <c r="AI19" i="3"/>
  <c r="AQ19" i="3"/>
  <c r="AY19" i="3"/>
  <c r="AK4" i="3"/>
  <c r="AS4" i="3"/>
  <c r="P5" i="3"/>
  <c r="X5" i="3"/>
  <c r="AF5" i="3"/>
  <c r="AN5" i="3"/>
  <c r="AV5" i="3"/>
  <c r="AI6" i="3"/>
  <c r="AQ6" i="3"/>
  <c r="AY6" i="3"/>
  <c r="L19" i="3"/>
  <c r="T19" i="3"/>
  <c r="AB19" i="3"/>
  <c r="AJ19" i="3"/>
  <c r="AR19" i="3"/>
  <c r="N4" i="3"/>
  <c r="AD4" i="3"/>
  <c r="AL4" i="3"/>
  <c r="AT4" i="3"/>
  <c r="M19" i="3"/>
  <c r="U19" i="3"/>
  <c r="AC19" i="3"/>
  <c r="AK19" i="3"/>
  <c r="AS19" i="3"/>
  <c r="O4" i="3"/>
  <c r="W4" i="3"/>
  <c r="AE4" i="3"/>
  <c r="AM4" i="3"/>
  <c r="AU4" i="3"/>
  <c r="N19" i="3"/>
  <c r="V19" i="3"/>
  <c r="AD19" i="3"/>
  <c r="AL19" i="3"/>
  <c r="AT19" i="3"/>
  <c r="F72" i="4"/>
  <c r="F63" i="4"/>
  <c r="F91" i="4"/>
  <c r="F81" i="4"/>
  <c r="F54" i="4"/>
  <c r="W27" i="1"/>
  <c r="Y11" i="3" s="1"/>
  <c r="X16" i="7" s="1"/>
  <c r="T27" i="1"/>
  <c r="Y27" i="1"/>
  <c r="Q27" i="1"/>
  <c r="Q49" i="1"/>
  <c r="V27" i="1"/>
  <c r="X21" i="3" s="1"/>
  <c r="AC27" i="1"/>
  <c r="U27" i="1"/>
  <c r="Z27" i="1"/>
  <c r="AB16" i="3" s="1"/>
  <c r="R27" i="1"/>
  <c r="S27" i="1"/>
  <c r="AA27" i="1"/>
  <c r="AC21" i="3" s="1"/>
  <c r="AA49" i="1"/>
  <c r="S49" i="1"/>
  <c r="X27" i="1"/>
  <c r="Z11" i="3" s="1"/>
  <c r="Y16" i="7" s="1"/>
  <c r="Z49" i="1"/>
  <c r="R49" i="1"/>
  <c r="V49" i="1"/>
  <c r="AC49" i="1"/>
  <c r="U49" i="1"/>
  <c r="P27" i="1"/>
  <c r="R21" i="3" s="1"/>
  <c r="W3" i="2"/>
  <c r="W19" i="2" s="1"/>
  <c r="W29" i="2" s="1"/>
  <c r="W33" i="2" s="1"/>
  <c r="AA3" i="2"/>
  <c r="AA19" i="2" s="1"/>
  <c r="AA29" i="2" s="1"/>
  <c r="AA33" i="2" s="1"/>
  <c r="S3" i="2"/>
  <c r="S19" i="2" s="1"/>
  <c r="S29" i="2" s="1"/>
  <c r="S33" i="2" s="1"/>
  <c r="V3" i="2"/>
  <c r="V19" i="2" s="1"/>
  <c r="V29" i="2" s="1"/>
  <c r="V33" i="2" s="1"/>
  <c r="U3" i="2"/>
  <c r="U19" i="2" s="1"/>
  <c r="F46" i="9"/>
  <c r="F43" i="9"/>
  <c r="F41" i="9"/>
  <c r="D4" i="1"/>
  <c r="E4" i="1"/>
  <c r="F4" i="1"/>
  <c r="G4" i="1"/>
  <c r="H4" i="1"/>
  <c r="I4" i="1"/>
  <c r="J4" i="1"/>
  <c r="F37" i="9"/>
  <c r="F36" i="9"/>
  <c r="F35" i="9"/>
  <c r="F32" i="9"/>
  <c r="G27" i="9"/>
  <c r="E27" i="9"/>
  <c r="D27" i="9"/>
  <c r="C27" i="9"/>
  <c r="G26" i="9"/>
  <c r="E26" i="9"/>
  <c r="D26" i="9"/>
  <c r="C26" i="9"/>
  <c r="G25" i="9"/>
  <c r="E25" i="9"/>
  <c r="D25" i="9"/>
  <c r="C25" i="9"/>
  <c r="G24" i="9"/>
  <c r="E24" i="9"/>
  <c r="D24" i="9"/>
  <c r="C24" i="9"/>
  <c r="G22" i="9"/>
  <c r="E22" i="9"/>
  <c r="D22" i="9"/>
  <c r="C22" i="9"/>
  <c r="G21" i="9"/>
  <c r="E21" i="9"/>
  <c r="D21" i="9"/>
  <c r="C21" i="9"/>
  <c r="G20" i="9"/>
  <c r="E20" i="9"/>
  <c r="D20" i="9"/>
  <c r="C20" i="9"/>
  <c r="G18" i="9"/>
  <c r="E18" i="9"/>
  <c r="D18" i="9"/>
  <c r="C18" i="9"/>
  <c r="G17" i="9"/>
  <c r="E17" i="9"/>
  <c r="D17" i="9"/>
  <c r="C17" i="9"/>
  <c r="G16" i="9"/>
  <c r="E16" i="9"/>
  <c r="D16" i="9"/>
  <c r="C16" i="9"/>
  <c r="G15" i="9"/>
  <c r="E15" i="9"/>
  <c r="D15" i="9"/>
  <c r="C15" i="9"/>
  <c r="G13" i="9"/>
  <c r="E13" i="9"/>
  <c r="D13" i="9"/>
  <c r="C13" i="9"/>
  <c r="G12" i="9"/>
  <c r="E12" i="9"/>
  <c r="D12" i="9"/>
  <c r="C12" i="9"/>
  <c r="G11" i="9"/>
  <c r="E11" i="9"/>
  <c r="D11" i="9"/>
  <c r="C11" i="9"/>
  <c r="G10" i="9"/>
  <c r="E10" i="9"/>
  <c r="D10" i="9"/>
  <c r="C10" i="9"/>
  <c r="G8" i="9"/>
  <c r="E8" i="9"/>
  <c r="D8" i="9"/>
  <c r="C8" i="9"/>
  <c r="G7" i="9"/>
  <c r="E7" i="9"/>
  <c r="D7" i="9"/>
  <c r="C7" i="9"/>
  <c r="G6" i="9"/>
  <c r="E6" i="9"/>
  <c r="D6" i="9"/>
  <c r="C6" i="9"/>
  <c r="D30" i="2"/>
  <c r="E30" i="2"/>
  <c r="F30" i="2"/>
  <c r="G30" i="2"/>
  <c r="H30" i="2"/>
  <c r="I30" i="2"/>
  <c r="J30" i="2"/>
  <c r="K30" i="2"/>
  <c r="L30" i="2"/>
  <c r="M30" i="2"/>
  <c r="N30" i="2"/>
  <c r="O30" i="2"/>
  <c r="P25" i="2"/>
  <c r="P28" i="2"/>
  <c r="D20" i="2"/>
  <c r="E20" i="2"/>
  <c r="F20" i="2"/>
  <c r="G20" i="2"/>
  <c r="H20" i="2"/>
  <c r="I20" i="2"/>
  <c r="J20" i="2"/>
  <c r="K20" i="2"/>
  <c r="L20" i="2"/>
  <c r="M20" i="2"/>
  <c r="N20" i="2"/>
  <c r="P6" i="2"/>
  <c r="F33" i="9"/>
  <c r="D48" i="1"/>
  <c r="E48" i="1"/>
  <c r="F48" i="1"/>
  <c r="G48" i="1"/>
  <c r="H48" i="1"/>
  <c r="I48" i="1"/>
  <c r="J48" i="1"/>
  <c r="D17" i="1"/>
  <c r="E17" i="1"/>
  <c r="F17" i="1"/>
  <c r="G17" i="1"/>
  <c r="H17" i="1"/>
  <c r="I17" i="1"/>
  <c r="J17" i="1"/>
  <c r="D31" i="1"/>
  <c r="E31" i="1"/>
  <c r="F31" i="1"/>
  <c r="G31" i="1"/>
  <c r="I5" i="3" s="1"/>
  <c r="H31" i="1"/>
  <c r="I31" i="1"/>
  <c r="J31" i="1"/>
  <c r="L5" i="3" s="1"/>
  <c r="D21" i="1"/>
  <c r="E34" i="5" s="1"/>
  <c r="E21" i="1"/>
  <c r="F21" i="1"/>
  <c r="G21" i="1"/>
  <c r="H21" i="1"/>
  <c r="I21" i="1"/>
  <c r="J21" i="1"/>
  <c r="D14" i="1"/>
  <c r="E30" i="5" s="1"/>
  <c r="E14" i="1"/>
  <c r="F30" i="5" s="1"/>
  <c r="F14" i="1"/>
  <c r="G30" i="5" s="1"/>
  <c r="G14" i="1"/>
  <c r="H30" i="5" s="1"/>
  <c r="H14" i="1"/>
  <c r="I30" i="5" s="1"/>
  <c r="I14" i="1"/>
  <c r="J30" i="5" s="1"/>
  <c r="J14" i="1"/>
  <c r="K30" i="5" s="1"/>
  <c r="F38" i="9"/>
  <c r="D8" i="1"/>
  <c r="E8" i="1"/>
  <c r="F8" i="1"/>
  <c r="G8" i="1"/>
  <c r="H8" i="1"/>
  <c r="I8" i="1"/>
  <c r="J8" i="1"/>
  <c r="F39" i="9"/>
  <c r="F40" i="9"/>
  <c r="AH35" i="2" l="1"/>
  <c r="AH37" i="2" s="1"/>
  <c r="AJ9" i="3"/>
  <c r="AI14" i="7" s="1"/>
  <c r="AI9" i="3"/>
  <c r="AH14" i="7" s="1"/>
  <c r="AI16" i="3"/>
  <c r="AH19" i="7"/>
  <c r="AI32" i="3"/>
  <c r="P23" i="2"/>
  <c r="V32" i="3"/>
  <c r="AQ30" i="3"/>
  <c r="AC30" i="3"/>
  <c r="AV30" i="3"/>
  <c r="Y30" i="3"/>
  <c r="AK30" i="3"/>
  <c r="AM30" i="3"/>
  <c r="AH17" i="7"/>
  <c r="T30" i="3"/>
  <c r="X32" i="3"/>
  <c r="S10" i="3"/>
  <c r="AO32" i="3"/>
  <c r="AL32" i="3"/>
  <c r="AM9" i="3"/>
  <c r="AL14" i="7" s="1"/>
  <c r="AL17" i="7" s="1"/>
  <c r="AK35" i="2"/>
  <c r="AK37" i="2" s="1"/>
  <c r="AP30" i="3"/>
  <c r="AB30" i="3"/>
  <c r="AI30" i="3"/>
  <c r="AL10" i="3"/>
  <c r="AK15" i="7" s="1"/>
  <c r="AO30" i="3"/>
  <c r="AK10" i="3"/>
  <c r="AJ15" i="7" s="1"/>
  <c r="AN9" i="3"/>
  <c r="AM14" i="7" s="1"/>
  <c r="AM17" i="7" s="1"/>
  <c r="AL35" i="2"/>
  <c r="AL37" i="2" s="1"/>
  <c r="S30" i="3"/>
  <c r="AM10" i="3"/>
  <c r="AL15" i="7" s="1"/>
  <c r="AH10" i="3"/>
  <c r="AG15" i="7" s="1"/>
  <c r="AM32" i="3"/>
  <c r="AJ32" i="3"/>
  <c r="AM35" i="2"/>
  <c r="AM37" i="2" s="1"/>
  <c r="AO9" i="3"/>
  <c r="AN14" i="7" s="1"/>
  <c r="AN17" i="7" s="1"/>
  <c r="AL9" i="3"/>
  <c r="AK14" i="7" s="1"/>
  <c r="AK17" i="7" s="1"/>
  <c r="AK9" i="3"/>
  <c r="AJ14" i="7" s="1"/>
  <c r="AT30" i="3"/>
  <c r="AD29" i="2"/>
  <c r="AD33" i="2" s="1"/>
  <c r="AD35" i="2" s="1"/>
  <c r="AD37" i="2" s="1"/>
  <c r="AG30" i="3"/>
  <c r="AF30" i="3"/>
  <c r="AH9" i="3"/>
  <c r="AG14" i="7" s="1"/>
  <c r="AD11" i="8"/>
  <c r="AG25" i="3"/>
  <c r="AG17" i="3"/>
  <c r="AF20" i="3"/>
  <c r="AG26" i="7"/>
  <c r="AE21" i="7"/>
  <c r="AD13" i="8"/>
  <c r="AE11" i="5"/>
  <c r="AE12" i="5" s="1"/>
  <c r="AF15" i="3"/>
  <c r="AE22" i="7" s="1"/>
  <c r="AE23" i="7" s="1"/>
  <c r="AE11" i="3"/>
  <c r="AD16" i="7" s="1"/>
  <c r="AH24" i="3"/>
  <c r="AF11" i="3"/>
  <c r="AE16" i="7" s="1"/>
  <c r="AG9" i="3"/>
  <c r="AF14" i="7" s="1"/>
  <c r="AF17" i="7" s="1"/>
  <c r="AF6" i="3"/>
  <c r="AE7" i="7" s="1"/>
  <c r="AF4" i="3"/>
  <c r="AE6" i="7" s="1"/>
  <c r="AF22" i="3"/>
  <c r="AF21" i="3"/>
  <c r="AF17" i="3"/>
  <c r="AF23" i="3"/>
  <c r="AF16" i="3"/>
  <c r="AD9" i="8" s="1"/>
  <c r="AE4" i="5"/>
  <c r="AG24" i="3" s="1"/>
  <c r="AF21" i="7"/>
  <c r="AE9" i="8"/>
  <c r="AG21" i="7"/>
  <c r="AG23" i="7" s="1"/>
  <c r="AJ30" i="3"/>
  <c r="AL30" i="3"/>
  <c r="AI24" i="3"/>
  <c r="AF6" i="7"/>
  <c r="AE25" i="7"/>
  <c r="AF29" i="3"/>
  <c r="AG13" i="8"/>
  <c r="AG6" i="7"/>
  <c r="AG10" i="8"/>
  <c r="AJ25" i="7"/>
  <c r="AH9" i="8"/>
  <c r="AF9" i="8"/>
  <c r="AI13" i="8"/>
  <c r="AJ21" i="7"/>
  <c r="AH23" i="7"/>
  <c r="AJ23" i="7"/>
  <c r="AI21" i="7"/>
  <c r="AI17" i="7"/>
  <c r="AI23" i="7"/>
  <c r="AJ24" i="3"/>
  <c r="AH29" i="3"/>
  <c r="AG12" i="5"/>
  <c r="AG29" i="3"/>
  <c r="AD30" i="3"/>
  <c r="AW29" i="3"/>
  <c r="AW12" i="5"/>
  <c r="AX29" i="3"/>
  <c r="Z9" i="8"/>
  <c r="AA25" i="7"/>
  <c r="G34" i="5"/>
  <c r="K12" i="3"/>
  <c r="K13" i="3"/>
  <c r="S23" i="3"/>
  <c r="R4" i="5"/>
  <c r="S22" i="3"/>
  <c r="S20" i="3"/>
  <c r="S14" i="3"/>
  <c r="Y12" i="8"/>
  <c r="Z28" i="7"/>
  <c r="P11" i="2"/>
  <c r="P7" i="2" s="1"/>
  <c r="Q39" i="5" s="1"/>
  <c r="Q40" i="5"/>
  <c r="P4" i="2"/>
  <c r="T4" i="5"/>
  <c r="U23" i="3"/>
  <c r="U20" i="3"/>
  <c r="U22" i="3"/>
  <c r="U16" i="3"/>
  <c r="U11" i="3"/>
  <c r="U14" i="3"/>
  <c r="Z12" i="8"/>
  <c r="AA28" i="7"/>
  <c r="AS6" i="8"/>
  <c r="AT8" i="7"/>
  <c r="W6" i="8"/>
  <c r="X8" i="7"/>
  <c r="S21" i="3"/>
  <c r="AQ5" i="8"/>
  <c r="AR7" i="7"/>
  <c r="Y15" i="3"/>
  <c r="X22" i="7" s="1"/>
  <c r="T25" i="3"/>
  <c r="AE24" i="3"/>
  <c r="I12" i="3"/>
  <c r="I13" i="3"/>
  <c r="V35" i="2"/>
  <c r="V37" i="2" s="1"/>
  <c r="X9" i="3"/>
  <c r="W14" i="7" s="1"/>
  <c r="T22" i="3"/>
  <c r="T23" i="3"/>
  <c r="S4" i="5"/>
  <c r="T20" i="3"/>
  <c r="T14" i="3"/>
  <c r="U4" i="5"/>
  <c r="V24" i="3" s="1"/>
  <c r="V22" i="3"/>
  <c r="V20" i="3"/>
  <c r="V23" i="3"/>
  <c r="V14" i="3"/>
  <c r="V21" i="3"/>
  <c r="V11" i="3"/>
  <c r="V15" i="3"/>
  <c r="AR12" i="8"/>
  <c r="AS28" i="7"/>
  <c r="AS29" i="7" s="1"/>
  <c r="U4" i="8"/>
  <c r="V6" i="7"/>
  <c r="AR4" i="8"/>
  <c r="AS6" i="7"/>
  <c r="AT6" i="8"/>
  <c r="AU8" i="7"/>
  <c r="AC4" i="3"/>
  <c r="AK6" i="8"/>
  <c r="AL8" i="7"/>
  <c r="T4" i="3"/>
  <c r="AU5" i="8"/>
  <c r="AV7" i="7"/>
  <c r="AB6" i="8"/>
  <c r="AC8" i="7"/>
  <c r="M29" i="3"/>
  <c r="AJ29" i="3"/>
  <c r="S11" i="5"/>
  <c r="AL12" i="8"/>
  <c r="AM28" i="7"/>
  <c r="U17" i="3"/>
  <c r="T15" i="3"/>
  <c r="AB10" i="8"/>
  <c r="AC26" i="7"/>
  <c r="AM23" i="7"/>
  <c r="AR5" i="8"/>
  <c r="AS7" i="7"/>
  <c r="AV23" i="7"/>
  <c r="U12" i="8"/>
  <c r="V28" i="7"/>
  <c r="P24" i="3"/>
  <c r="AB6" i="3"/>
  <c r="AX8" i="7"/>
  <c r="AW6" i="8"/>
  <c r="U11" i="8"/>
  <c r="V27" i="7"/>
  <c r="Z4" i="3"/>
  <c r="AQ4" i="8"/>
  <c r="AR6" i="7"/>
  <c r="Y4" i="8"/>
  <c r="Z6" i="7"/>
  <c r="Z4" i="5"/>
  <c r="AA23" i="3"/>
  <c r="AA22" i="3"/>
  <c r="AA20" i="3"/>
  <c r="AA14" i="3"/>
  <c r="AN6" i="8"/>
  <c r="AO8" i="7"/>
  <c r="S35" i="2"/>
  <c r="S37" i="2" s="1"/>
  <c r="U9" i="3"/>
  <c r="AJ12" i="8"/>
  <c r="AK28" i="7"/>
  <c r="AL6" i="8"/>
  <c r="AM8" i="7"/>
  <c r="AM5" i="8"/>
  <c r="AN7" i="7"/>
  <c r="AN9" i="7" s="1"/>
  <c r="U12" i="5"/>
  <c r="V11" i="5"/>
  <c r="R35" i="2"/>
  <c r="R37" i="2" s="1"/>
  <c r="T9" i="3"/>
  <c r="AA15" i="3"/>
  <c r="Z22" i="7" s="1"/>
  <c r="U10" i="3"/>
  <c r="Z8" i="7"/>
  <c r="Y6" i="8"/>
  <c r="K34" i="5"/>
  <c r="L17" i="3"/>
  <c r="I38" i="1"/>
  <c r="I49" i="1" s="1"/>
  <c r="K21" i="3"/>
  <c r="K18" i="3"/>
  <c r="J5" i="5"/>
  <c r="F10" i="9"/>
  <c r="G13" i="3"/>
  <c r="G12" i="3"/>
  <c r="AC9" i="3"/>
  <c r="AB14" i="7" s="1"/>
  <c r="AA35" i="2"/>
  <c r="AA37" i="2" s="1"/>
  <c r="W22" i="3"/>
  <c r="V4" i="5"/>
  <c r="W24" i="3" s="1"/>
  <c r="W23" i="3"/>
  <c r="W20" i="3"/>
  <c r="W14" i="3"/>
  <c r="AB32" i="3"/>
  <c r="AE32" i="3"/>
  <c r="AB12" i="8"/>
  <c r="AC28" i="7"/>
  <c r="AB4" i="8"/>
  <c r="AC6" i="7"/>
  <c r="AW5" i="8"/>
  <c r="AX7" i="7"/>
  <c r="AD6" i="8"/>
  <c r="AE8" i="7"/>
  <c r="AN5" i="8"/>
  <c r="AO7" i="7"/>
  <c r="U6" i="8"/>
  <c r="V8" i="7"/>
  <c r="AV12" i="8"/>
  <c r="AW28" i="7"/>
  <c r="AW29" i="7" s="1"/>
  <c r="AE5" i="8"/>
  <c r="AF7" i="7"/>
  <c r="L12" i="5"/>
  <c r="W25" i="3"/>
  <c r="AV12" i="5"/>
  <c r="AY11" i="5"/>
  <c r="AT12" i="5"/>
  <c r="AD11" i="5"/>
  <c r="AU29" i="7"/>
  <c r="AF6" i="8"/>
  <c r="AG8" i="7"/>
  <c r="AP23" i="7"/>
  <c r="AR8" i="7"/>
  <c r="AQ6" i="8"/>
  <c r="Z25" i="3"/>
  <c r="AB21" i="3"/>
  <c r="AB11" i="8"/>
  <c r="AC27" i="7"/>
  <c r="Z35" i="2"/>
  <c r="Z37" i="2" s="1"/>
  <c r="AB9" i="3"/>
  <c r="AA14" i="7" s="1"/>
  <c r="AP29" i="7"/>
  <c r="AA6" i="8"/>
  <c r="AB8" i="7"/>
  <c r="AI5" i="8"/>
  <c r="AJ7" i="7"/>
  <c r="T17" i="3"/>
  <c r="AN23" i="7"/>
  <c r="AT9" i="7"/>
  <c r="AT30" i="7" s="1"/>
  <c r="Y8" i="8"/>
  <c r="Z19" i="7"/>
  <c r="AH6" i="8"/>
  <c r="AI8" i="7"/>
  <c r="T6" i="3"/>
  <c r="E38" i="1"/>
  <c r="F5" i="5"/>
  <c r="G18" i="3"/>
  <c r="AB4" i="5"/>
  <c r="AC23" i="3"/>
  <c r="AC17" i="3"/>
  <c r="AC16" i="3"/>
  <c r="AC11" i="3"/>
  <c r="AB16" i="7" s="1"/>
  <c r="AC22" i="3"/>
  <c r="AC20" i="3"/>
  <c r="AC14" i="3"/>
  <c r="AH12" i="8"/>
  <c r="AI28" i="7"/>
  <c r="AI29" i="7" s="1"/>
  <c r="AH4" i="8"/>
  <c r="AI6" i="7"/>
  <c r="F34" i="5"/>
  <c r="G16" i="3"/>
  <c r="G17" i="3"/>
  <c r="AJ6" i="7"/>
  <c r="AI4" i="8"/>
  <c r="Z4" i="8"/>
  <c r="AA6" i="7"/>
  <c r="S4" i="3"/>
  <c r="J38" i="1"/>
  <c r="K5" i="5"/>
  <c r="L21" i="3"/>
  <c r="L18" i="3"/>
  <c r="H12" i="3"/>
  <c r="H13" i="3"/>
  <c r="X4" i="5"/>
  <c r="Y24" i="3" s="1"/>
  <c r="Y20" i="3"/>
  <c r="Y23" i="3"/>
  <c r="Y22" i="3"/>
  <c r="Y14" i="3"/>
  <c r="AV5" i="8"/>
  <c r="AW7" i="7"/>
  <c r="AW9" i="7" s="1"/>
  <c r="AW30" i="7" s="1"/>
  <c r="AW30" i="3"/>
  <c r="AT29" i="7"/>
  <c r="AM6" i="8"/>
  <c r="AN8" i="7"/>
  <c r="AA21" i="3"/>
  <c r="AT23" i="7"/>
  <c r="AK5" i="8"/>
  <c r="AL7" i="7"/>
  <c r="AL9" i="7" s="1"/>
  <c r="AA11" i="8"/>
  <c r="AB27" i="7"/>
  <c r="U21" i="3"/>
  <c r="V9" i="8"/>
  <c r="W25" i="7"/>
  <c r="AO29" i="7"/>
  <c r="AP5" i="8"/>
  <c r="AQ7" i="7"/>
  <c r="AQ9" i="7" s="1"/>
  <c r="AQ30" i="7" s="1"/>
  <c r="U8" i="8"/>
  <c r="V19" i="7"/>
  <c r="J34" i="5"/>
  <c r="H38" i="1"/>
  <c r="H49" i="1" s="1"/>
  <c r="J18" i="3"/>
  <c r="I5" i="5"/>
  <c r="AC3" i="2"/>
  <c r="AC19" i="2" s="1"/>
  <c r="Y4" i="5"/>
  <c r="Z23" i="3"/>
  <c r="Z20" i="3"/>
  <c r="Z14" i="3"/>
  <c r="Z21" i="3"/>
  <c r="Z22" i="3"/>
  <c r="AE22" i="3"/>
  <c r="AE23" i="3"/>
  <c r="AD4" i="5"/>
  <c r="AF24" i="3" s="1"/>
  <c r="AE14" i="3"/>
  <c r="AE20" i="3"/>
  <c r="AR28" i="7"/>
  <c r="AR29" i="7" s="1"/>
  <c r="AQ12" i="8"/>
  <c r="V4" i="3"/>
  <c r="AO5" i="8"/>
  <c r="AP7" i="7"/>
  <c r="V6" i="8"/>
  <c r="W8" i="7"/>
  <c r="AX28" i="7"/>
  <c r="AX29" i="7" s="1"/>
  <c r="AW12" i="8"/>
  <c r="AF5" i="8"/>
  <c r="AG7" i="7"/>
  <c r="AN12" i="8"/>
  <c r="AO28" i="7"/>
  <c r="Y6" i="3"/>
  <c r="AW4" i="8"/>
  <c r="AX6" i="7"/>
  <c r="AX9" i="7" s="1"/>
  <c r="AX30" i="7" s="1"/>
  <c r="Z30" i="3"/>
  <c r="X30" i="3"/>
  <c r="AL11" i="5"/>
  <c r="AD10" i="3"/>
  <c r="AC15" i="7" s="1"/>
  <c r="AU12" i="8"/>
  <c r="AV28" i="7"/>
  <c r="AV29" i="7" s="1"/>
  <c r="AB9" i="8"/>
  <c r="AC25" i="7"/>
  <c r="W11" i="3"/>
  <c r="V16" i="7" s="1"/>
  <c r="X4" i="3"/>
  <c r="AK29" i="7"/>
  <c r="AJ5" i="8"/>
  <c r="AK7" i="7"/>
  <c r="U25" i="3"/>
  <c r="X10" i="3"/>
  <c r="W15" i="7" s="1"/>
  <c r="S9" i="3"/>
  <c r="Q35" i="2"/>
  <c r="Q37" i="2" s="1"/>
  <c r="AE19" i="3"/>
  <c r="AC3" i="8"/>
  <c r="AD5" i="7"/>
  <c r="AE6" i="3"/>
  <c r="AB25" i="3"/>
  <c r="U6" i="3"/>
  <c r="O22" i="3"/>
  <c r="N4" i="5"/>
  <c r="O23" i="3"/>
  <c r="O20" i="3"/>
  <c r="O14" i="3"/>
  <c r="AC23" i="7"/>
  <c r="AC8" i="8"/>
  <c r="AD19" i="7"/>
  <c r="T32" i="3"/>
  <c r="K5" i="3"/>
  <c r="AG6" i="8"/>
  <c r="AH8" i="7"/>
  <c r="Z17" i="3"/>
  <c r="S16" i="3"/>
  <c r="V9" i="3"/>
  <c r="J12" i="3"/>
  <c r="J13" i="3"/>
  <c r="AJ6" i="8"/>
  <c r="AK8" i="7"/>
  <c r="AJ4" i="8"/>
  <c r="AK6" i="7"/>
  <c r="AK9" i="7" s="1"/>
  <c r="U4" i="3"/>
  <c r="AT4" i="8"/>
  <c r="AU6" i="7"/>
  <c r="AU9" i="7" s="1"/>
  <c r="AU30" i="7" s="1"/>
  <c r="G38" i="1"/>
  <c r="H5" i="5"/>
  <c r="I18" i="3"/>
  <c r="Q47" i="5"/>
  <c r="Q43" i="5" s="1"/>
  <c r="R11" i="3"/>
  <c r="Y9" i="3"/>
  <c r="X14" i="7" s="1"/>
  <c r="W35" i="2"/>
  <c r="W37" i="2" s="1"/>
  <c r="W4" i="5"/>
  <c r="X24" i="3" s="1"/>
  <c r="X22" i="3"/>
  <c r="X20" i="3"/>
  <c r="X14" i="3"/>
  <c r="X6" i="3"/>
  <c r="X23" i="3"/>
  <c r="AI12" i="8"/>
  <c r="AJ28" i="7"/>
  <c r="AH7" i="7"/>
  <c r="AG5" i="8"/>
  <c r="AP28" i="7"/>
  <c r="AO12" i="8"/>
  <c r="X5" i="8"/>
  <c r="Y7" i="7"/>
  <c r="G5" i="3"/>
  <c r="AF12" i="8"/>
  <c r="AG28" i="7"/>
  <c r="AG29" i="7" s="1"/>
  <c r="AP6" i="7"/>
  <c r="AO4" i="8"/>
  <c r="K12" i="5"/>
  <c r="T29" i="3"/>
  <c r="AH30" i="3"/>
  <c r="Z29" i="3"/>
  <c r="AM12" i="8"/>
  <c r="AN28" i="7"/>
  <c r="AN29" i="7" s="1"/>
  <c r="AM29" i="7"/>
  <c r="AV6" i="8"/>
  <c r="AW8" i="7"/>
  <c r="Y25" i="3"/>
  <c r="AV9" i="7"/>
  <c r="AV30" i="7" s="1"/>
  <c r="AE6" i="8"/>
  <c r="AF8" i="7"/>
  <c r="V16" i="3"/>
  <c r="AL4" i="8"/>
  <c r="AM6" i="7"/>
  <c r="AM9" i="7" s="1"/>
  <c r="W17" i="3"/>
  <c r="AC9" i="7"/>
  <c r="Y17" i="3"/>
  <c r="Y29" i="2"/>
  <c r="Y33" i="2" s="1"/>
  <c r="AA10" i="3"/>
  <c r="Z15" i="7" s="1"/>
  <c r="AK12" i="8"/>
  <c r="AL28" i="7"/>
  <c r="AL29" i="7" s="1"/>
  <c r="X17" i="3"/>
  <c r="AF23" i="7"/>
  <c r="AS12" i="8"/>
  <c r="AT28" i="7"/>
  <c r="Z9" i="3"/>
  <c r="Y14" i="7" s="1"/>
  <c r="Y17" i="7" s="1"/>
  <c r="AB13" i="8"/>
  <c r="AC21" i="7"/>
  <c r="U15" i="3"/>
  <c r="O16" i="3"/>
  <c r="V11" i="8"/>
  <c r="W27" i="7"/>
  <c r="AE21" i="3"/>
  <c r="S17" i="3"/>
  <c r="AK4" i="8"/>
  <c r="AL6" i="7"/>
  <c r="D38" i="1"/>
  <c r="E5" i="5"/>
  <c r="W10" i="3"/>
  <c r="V15" i="7" s="1"/>
  <c r="U29" i="2"/>
  <c r="U33" i="2" s="1"/>
  <c r="AC4" i="8"/>
  <c r="AD6" i="7"/>
  <c r="AA4" i="5"/>
  <c r="AB24" i="3" s="1"/>
  <c r="AB22" i="3"/>
  <c r="AB23" i="3"/>
  <c r="AB20" i="3"/>
  <c r="AB14" i="3"/>
  <c r="AC6" i="8"/>
  <c r="AD8" i="7"/>
  <c r="I34" i="5"/>
  <c r="H34" i="5"/>
  <c r="I16" i="3"/>
  <c r="F38" i="1"/>
  <c r="F49" i="1" s="1"/>
  <c r="F51" i="1" s="1"/>
  <c r="G5" i="5"/>
  <c r="H18" i="3"/>
  <c r="L12" i="3"/>
  <c r="L15" i="3"/>
  <c r="L13" i="3"/>
  <c r="R23" i="3"/>
  <c r="Q4" i="5"/>
  <c r="R24" i="3" s="1"/>
  <c r="R14" i="3"/>
  <c r="R17" i="3"/>
  <c r="R22" i="3"/>
  <c r="R16" i="3"/>
  <c r="R20" i="3"/>
  <c r="AS4" i="8"/>
  <c r="AT6" i="7"/>
  <c r="AA12" i="8"/>
  <c r="AB28" i="7"/>
  <c r="AP12" i="8"/>
  <c r="AQ28" i="7"/>
  <c r="AA6" i="3"/>
  <c r="H5" i="3"/>
  <c r="AG12" i="8"/>
  <c r="AH28" i="7"/>
  <c r="AP4" i="8"/>
  <c r="AQ6" i="7"/>
  <c r="X12" i="8"/>
  <c r="Y28" i="7"/>
  <c r="AH6" i="7"/>
  <c r="AG4" i="8"/>
  <c r="AD24" i="3"/>
  <c r="AK11" i="5"/>
  <c r="AK29" i="3" s="1"/>
  <c r="AN30" i="3"/>
  <c r="AE30" i="3"/>
  <c r="AO9" i="7"/>
  <c r="AO30" i="7" s="1"/>
  <c r="X6" i="8"/>
  <c r="Y8" i="7"/>
  <c r="X11" i="8"/>
  <c r="Y27" i="7"/>
  <c r="AE16" i="3"/>
  <c r="AC10" i="3"/>
  <c r="AB15" i="7" s="1"/>
  <c r="AW23" i="7"/>
  <c r="AD12" i="8"/>
  <c r="AE28" i="7"/>
  <c r="X15" i="3"/>
  <c r="W22" i="7" s="1"/>
  <c r="Y10" i="3"/>
  <c r="X15" i="7" s="1"/>
  <c r="AC6" i="3"/>
  <c r="Z16" i="3"/>
  <c r="W11" i="8"/>
  <c r="X27" i="7"/>
  <c r="AB17" i="3"/>
  <c r="Y16" i="3"/>
  <c r="W15" i="3"/>
  <c r="V22" i="7" s="1"/>
  <c r="AB11" i="3"/>
  <c r="AA16" i="7" s="1"/>
  <c r="AA16" i="3"/>
  <c r="W6" i="3"/>
  <c r="T11" i="3"/>
  <c r="S11" i="3"/>
  <c r="AH5" i="8"/>
  <c r="AI7" i="7"/>
  <c r="AC15" i="3"/>
  <c r="AB22" i="7" s="1"/>
  <c r="X25" i="3"/>
  <c r="AC11" i="8"/>
  <c r="AD27" i="7"/>
  <c r="P39" i="2"/>
  <c r="S6" i="3"/>
  <c r="AR6" i="8"/>
  <c r="AS8" i="7"/>
  <c r="AS9" i="7" s="1"/>
  <c r="AS30" i="7" s="1"/>
  <c r="R5" i="3"/>
  <c r="R4" i="3"/>
  <c r="U9" i="8"/>
  <c r="V25" i="7"/>
  <c r="AU6" i="8"/>
  <c r="AV8" i="7"/>
  <c r="AB35" i="2"/>
  <c r="AB37" i="2" s="1"/>
  <c r="AD9" i="3"/>
  <c r="AC14" i="7" s="1"/>
  <c r="AC10" i="8"/>
  <c r="AD26" i="7"/>
  <c r="AQ29" i="7"/>
  <c r="AB5" i="8"/>
  <c r="AC7" i="7"/>
  <c r="AR9" i="7"/>
  <c r="AR30" i="7" s="1"/>
  <c r="Y4" i="3"/>
  <c r="X11" i="3"/>
  <c r="W16" i="7" s="1"/>
  <c r="Y21" i="3"/>
  <c r="X8" i="8"/>
  <c r="Y19" i="7"/>
  <c r="AD11" i="3"/>
  <c r="AC16" i="7" s="1"/>
  <c r="AB10" i="3"/>
  <c r="AA15" i="7" s="1"/>
  <c r="AA17" i="3"/>
  <c r="AA11" i="3"/>
  <c r="Z16" i="7" s="1"/>
  <c r="S15" i="3"/>
  <c r="T10" i="3"/>
  <c r="AP6" i="8"/>
  <c r="AQ8" i="7"/>
  <c r="M4" i="5"/>
  <c r="N22" i="3"/>
  <c r="N20" i="3"/>
  <c r="N23" i="3"/>
  <c r="N14" i="3"/>
  <c r="N15" i="3"/>
  <c r="O17" i="3"/>
  <c r="AR23" i="7"/>
  <c r="AO6" i="8"/>
  <c r="AP8" i="7"/>
  <c r="AP9" i="7" s="1"/>
  <c r="AP30" i="7" s="1"/>
  <c r="AD25" i="3"/>
  <c r="O15" i="3"/>
  <c r="Q25" i="3"/>
  <c r="AC29" i="3"/>
  <c r="AC12" i="5"/>
  <c r="AS29" i="3"/>
  <c r="AS12" i="5"/>
  <c r="AY12" i="5"/>
  <c r="AY29" i="3"/>
  <c r="AA12" i="5"/>
  <c r="AA29" i="3"/>
  <c r="AQ12" i="5"/>
  <c r="AQ29" i="3"/>
  <c r="AI12" i="5"/>
  <c r="AI29" i="3"/>
  <c r="AD29" i="3"/>
  <c r="G12" i="5"/>
  <c r="G29" i="3"/>
  <c r="O12" i="5"/>
  <c r="O29" i="3"/>
  <c r="H12" i="5"/>
  <c r="H29" i="3"/>
  <c r="P12" i="5"/>
  <c r="P29" i="3"/>
  <c r="I29" i="3"/>
  <c r="I12" i="5"/>
  <c r="R29" i="3"/>
  <c r="R12" i="5"/>
  <c r="J29" i="3"/>
  <c r="J12" i="5"/>
  <c r="Q29" i="3"/>
  <c r="Q12" i="5"/>
  <c r="F13" i="9"/>
  <c r="F27" i="1"/>
  <c r="E27" i="1"/>
  <c r="G15" i="3" s="1"/>
  <c r="F29" i="9"/>
  <c r="F7" i="9" s="1"/>
  <c r="I27" i="1"/>
  <c r="H27" i="1"/>
  <c r="F31" i="9"/>
  <c r="F12" i="9" s="1"/>
  <c r="J49" i="1"/>
  <c r="G49" i="1"/>
  <c r="E49" i="1"/>
  <c r="E51" i="1" s="1"/>
  <c r="D49" i="1"/>
  <c r="F6" i="9"/>
  <c r="F34" i="9"/>
  <c r="F20" i="9"/>
  <c r="G27" i="1"/>
  <c r="I17" i="3" s="1"/>
  <c r="D27" i="1"/>
  <c r="E4" i="5" s="1"/>
  <c r="J27" i="1"/>
  <c r="I31" i="4"/>
  <c r="I22" i="4"/>
  <c r="L23" i="2"/>
  <c r="M23" i="2"/>
  <c r="N23" i="2"/>
  <c r="O23" i="2"/>
  <c r="F47" i="9"/>
  <c r="L12" i="2"/>
  <c r="M12" i="2"/>
  <c r="M39" i="2" s="1"/>
  <c r="N12" i="2"/>
  <c r="N39" i="2" s="1"/>
  <c r="O12" i="2"/>
  <c r="L7" i="2"/>
  <c r="M39" i="5" s="1"/>
  <c r="M37" i="5" s="1"/>
  <c r="M7" i="2"/>
  <c r="N39" i="5" s="1"/>
  <c r="N37" i="5" s="1"/>
  <c r="N7" i="2"/>
  <c r="O39" i="5" s="1"/>
  <c r="O37" i="5" s="1"/>
  <c r="O7" i="2"/>
  <c r="P39" i="5" s="1"/>
  <c r="P37" i="5" s="1"/>
  <c r="L4" i="2"/>
  <c r="M4" i="2"/>
  <c r="M3" i="2" s="1"/>
  <c r="M19" i="2" s="1"/>
  <c r="M29" i="2" s="1"/>
  <c r="M33" i="2" s="1"/>
  <c r="N4" i="2"/>
  <c r="O4" i="2"/>
  <c r="F48" i="9"/>
  <c r="F15" i="9" s="1"/>
  <c r="AG9" i="8" l="1"/>
  <c r="AH25" i="7"/>
  <c r="AH29" i="7" s="1"/>
  <c r="AM30" i="7"/>
  <c r="L39" i="2"/>
  <c r="X17" i="7"/>
  <c r="AG17" i="7"/>
  <c r="AF9" i="3"/>
  <c r="AE14" i="7" s="1"/>
  <c r="AE17" i="7" s="1"/>
  <c r="AC17" i="7"/>
  <c r="P30" i="3"/>
  <c r="AN30" i="7"/>
  <c r="Q37" i="5"/>
  <c r="R30" i="3" s="1"/>
  <c r="AL30" i="7"/>
  <c r="AK30" i="7"/>
  <c r="O39" i="2"/>
  <c r="P3" i="2"/>
  <c r="P19" i="2" s="1"/>
  <c r="P29" i="2" s="1"/>
  <c r="P33" i="2" s="1"/>
  <c r="P35" i="2" s="1"/>
  <c r="P37" i="2" s="1"/>
  <c r="AJ17" i="7"/>
  <c r="AD5" i="8"/>
  <c r="AD4" i="8"/>
  <c r="AE10" i="8"/>
  <c r="AF26" i="7"/>
  <c r="AF29" i="7" s="1"/>
  <c r="AG9" i="7"/>
  <c r="AF9" i="7"/>
  <c r="AE26" i="7"/>
  <c r="AE29" i="7" s="1"/>
  <c r="AD10" i="8"/>
  <c r="AE9" i="7"/>
  <c r="AJ9" i="7"/>
  <c r="AJ29" i="7"/>
  <c r="AI9" i="7"/>
  <c r="AI30" i="7" s="1"/>
  <c r="AH9" i="7"/>
  <c r="AH30" i="7" s="1"/>
  <c r="S24" i="3"/>
  <c r="AA29" i="7"/>
  <c r="J23" i="3"/>
  <c r="I4" i="5"/>
  <c r="J24" i="3" s="1"/>
  <c r="J14" i="3"/>
  <c r="J22" i="3"/>
  <c r="J20" i="3"/>
  <c r="J4" i="3"/>
  <c r="J6" i="3"/>
  <c r="M35" i="2"/>
  <c r="M37" i="2" s="1"/>
  <c r="O9" i="3"/>
  <c r="K22" i="3"/>
  <c r="J4" i="5"/>
  <c r="K20" i="3"/>
  <c r="K23" i="3"/>
  <c r="K14" i="3"/>
  <c r="K6" i="3"/>
  <c r="K4" i="3"/>
  <c r="Z26" i="7"/>
  <c r="Y10" i="8"/>
  <c r="Y9" i="8"/>
  <c r="Z25" i="7"/>
  <c r="Z13" i="8"/>
  <c r="AA21" i="7"/>
  <c r="AA23" i="7" s="1"/>
  <c r="AF30" i="7"/>
  <c r="AB17" i="7"/>
  <c r="X4" i="8"/>
  <c r="Y6" i="7"/>
  <c r="Y9" i="7" s="1"/>
  <c r="L3" i="2"/>
  <c r="L19" i="2" s="1"/>
  <c r="L29" i="2" s="1"/>
  <c r="L33" i="2" s="1"/>
  <c r="L22" i="3"/>
  <c r="K4" i="5"/>
  <c r="L20" i="3"/>
  <c r="L14" i="3"/>
  <c r="L23" i="3"/>
  <c r="L6" i="3"/>
  <c r="L4" i="3"/>
  <c r="V10" i="8"/>
  <c r="W26" i="7"/>
  <c r="V5" i="8"/>
  <c r="W7" i="7"/>
  <c r="K16" i="3"/>
  <c r="AA17" i="7"/>
  <c r="AE29" i="3"/>
  <c r="AD12" i="5"/>
  <c r="L16" i="3"/>
  <c r="S12" i="5"/>
  <c r="S29" i="3"/>
  <c r="W17" i="7"/>
  <c r="Y13" i="8"/>
  <c r="Z21" i="7"/>
  <c r="Z23" i="7" s="1"/>
  <c r="AB7" i="7"/>
  <c r="AA5" i="8"/>
  <c r="X13" i="8"/>
  <c r="Y21" i="7"/>
  <c r="Y23" i="7" s="1"/>
  <c r="G22" i="3"/>
  <c r="F4" i="5"/>
  <c r="G24" i="3" s="1"/>
  <c r="G23" i="3"/>
  <c r="G14" i="3"/>
  <c r="G20" i="3"/>
  <c r="G6" i="3"/>
  <c r="G4" i="3"/>
  <c r="K17" i="3"/>
  <c r="Q30" i="3"/>
  <c r="O30" i="3"/>
  <c r="P47" i="5"/>
  <c r="P43" i="5" s="1"/>
  <c r="Q11" i="3"/>
  <c r="I20" i="3"/>
  <c r="I23" i="3"/>
  <c r="H4" i="5"/>
  <c r="I14" i="3"/>
  <c r="I22" i="3"/>
  <c r="I4" i="3"/>
  <c r="I6" i="3"/>
  <c r="G4" i="5"/>
  <c r="H23" i="3"/>
  <c r="H14" i="3"/>
  <c r="H22" i="3"/>
  <c r="H20" i="3"/>
  <c r="H6" i="3"/>
  <c r="H4" i="3"/>
  <c r="W9" i="8"/>
  <c r="X25" i="7"/>
  <c r="Z7" i="7"/>
  <c r="Z9" i="7" s="1"/>
  <c r="Y5" i="8"/>
  <c r="J16" i="3"/>
  <c r="O24" i="3"/>
  <c r="Z24" i="3"/>
  <c r="W29" i="7"/>
  <c r="AB26" i="7"/>
  <c r="AA10" i="8"/>
  <c r="V12" i="5"/>
  <c r="V29" i="3"/>
  <c r="W29" i="3"/>
  <c r="AA24" i="3"/>
  <c r="AB6" i="7"/>
  <c r="AB9" i="7" s="1"/>
  <c r="AA4" i="8"/>
  <c r="K15" i="3"/>
  <c r="P32" i="3"/>
  <c r="W4" i="8"/>
  <c r="X6" i="7"/>
  <c r="X9" i="7" s="1"/>
  <c r="U5" i="8"/>
  <c r="V7" i="7"/>
  <c r="V9" i="7" s="1"/>
  <c r="AC5" i="8"/>
  <c r="AD7" i="7"/>
  <c r="AC9" i="8"/>
  <c r="AD25" i="7"/>
  <c r="AD29" i="7" s="1"/>
  <c r="AC30" i="7"/>
  <c r="K25" i="3"/>
  <c r="L25" i="3"/>
  <c r="J15" i="3"/>
  <c r="AC12" i="8"/>
  <c r="AD28" i="7"/>
  <c r="W5" i="8"/>
  <c r="X7" i="7"/>
  <c r="AC13" i="8"/>
  <c r="AD21" i="7"/>
  <c r="AD23" i="7" s="1"/>
  <c r="AA9" i="8"/>
  <c r="AB25" i="7"/>
  <c r="AB29" i="7" s="1"/>
  <c r="U13" i="8"/>
  <c r="V21" i="7"/>
  <c r="N30" i="3"/>
  <c r="O47" i="5"/>
  <c r="O43" i="5" s="1"/>
  <c r="P11" i="3"/>
  <c r="AK12" i="5"/>
  <c r="V29" i="7"/>
  <c r="O32" i="3"/>
  <c r="R32" i="3"/>
  <c r="Z10" i="8"/>
  <c r="AA26" i="7"/>
  <c r="H21" i="3"/>
  <c r="J17" i="3"/>
  <c r="H25" i="3"/>
  <c r="V4" i="8"/>
  <c r="W6" i="7"/>
  <c r="W9" i="7" s="1"/>
  <c r="AC29" i="2"/>
  <c r="AC33" i="2" s="1"/>
  <c r="AE10" i="3"/>
  <c r="AD15" i="7" s="1"/>
  <c r="H15" i="3"/>
  <c r="X9" i="8"/>
  <c r="Y25" i="7"/>
  <c r="Y29" i="7" s="1"/>
  <c r="W9" i="3"/>
  <c r="V14" i="7" s="1"/>
  <c r="V17" i="7" s="1"/>
  <c r="U35" i="2"/>
  <c r="U37" i="2" s="1"/>
  <c r="U10" i="8"/>
  <c r="V26" i="7"/>
  <c r="V13" i="8"/>
  <c r="W21" i="7"/>
  <c r="W23" i="7" s="1"/>
  <c r="N47" i="5"/>
  <c r="N43" i="5" s="1"/>
  <c r="O11" i="3"/>
  <c r="O10" i="3"/>
  <c r="AA9" i="3"/>
  <c r="Z14" i="7" s="1"/>
  <c r="Z17" i="7" s="1"/>
  <c r="Y35" i="2"/>
  <c r="Y37" i="2" s="1"/>
  <c r="I21" i="3"/>
  <c r="AL12" i="5"/>
  <c r="AL29" i="3"/>
  <c r="AM29" i="3"/>
  <c r="J21" i="3"/>
  <c r="V23" i="7"/>
  <c r="AC24" i="3"/>
  <c r="J25" i="3"/>
  <c r="Z5" i="8"/>
  <c r="AA7" i="7"/>
  <c r="AA9" i="7" s="1"/>
  <c r="I15" i="3"/>
  <c r="AD9" i="7"/>
  <c r="O3" i="2"/>
  <c r="O19" i="2" s="1"/>
  <c r="O29" i="2" s="1"/>
  <c r="O33" i="2" s="1"/>
  <c r="N32" i="3"/>
  <c r="M47" i="5"/>
  <c r="M43" i="5" s="1"/>
  <c r="N10" i="3"/>
  <c r="N11" i="3"/>
  <c r="G25" i="3"/>
  <c r="W10" i="8"/>
  <c r="X26" i="7"/>
  <c r="X10" i="8"/>
  <c r="Y26" i="7"/>
  <c r="AC29" i="7"/>
  <c r="I25" i="3"/>
  <c r="W13" i="8"/>
  <c r="X21" i="7"/>
  <c r="X23" i="7" s="1"/>
  <c r="AA13" i="8"/>
  <c r="AB21" i="7"/>
  <c r="AB23" i="7" s="1"/>
  <c r="G21" i="3"/>
  <c r="Q32" i="3"/>
  <c r="U24" i="3"/>
  <c r="T24" i="3"/>
  <c r="H17" i="3"/>
  <c r="H16" i="3"/>
  <c r="H51" i="1"/>
  <c r="I51" i="1"/>
  <c r="M51" i="1"/>
  <c r="N51" i="1"/>
  <c r="F22" i="9"/>
  <c r="F21" i="9"/>
  <c r="F11" i="9"/>
  <c r="F24" i="9"/>
  <c r="F8" i="9"/>
  <c r="P51" i="1"/>
  <c r="F49" i="9"/>
  <c r="D51" i="1"/>
  <c r="G51" i="1"/>
  <c r="J51" i="1"/>
  <c r="L51" i="1"/>
  <c r="O51" i="1"/>
  <c r="F26" i="9"/>
  <c r="F25" i="9"/>
  <c r="N3" i="2"/>
  <c r="N19" i="2" s="1"/>
  <c r="N29" i="2" s="1"/>
  <c r="N33" i="2" s="1"/>
  <c r="K23" i="2"/>
  <c r="K12" i="2"/>
  <c r="K7" i="2"/>
  <c r="L39" i="5" s="1"/>
  <c r="L37" i="5" s="1"/>
  <c r="J7" i="2"/>
  <c r="K39" i="5" s="1"/>
  <c r="K37" i="5" s="1"/>
  <c r="K4" i="2"/>
  <c r="AG30" i="7" l="1"/>
  <c r="K39" i="2"/>
  <c r="AA30" i="7"/>
  <c r="AB30" i="7"/>
  <c r="L30" i="3"/>
  <c r="R10" i="3"/>
  <c r="V30" i="7"/>
  <c r="R9" i="3"/>
  <c r="P10" i="3"/>
  <c r="Z30" i="7"/>
  <c r="AJ30" i="7"/>
  <c r="AE30" i="7"/>
  <c r="Y30" i="7"/>
  <c r="X30" i="7"/>
  <c r="I24" i="3"/>
  <c r="L47" i="5"/>
  <c r="L43" i="5" s="1"/>
  <c r="L24" i="3"/>
  <c r="O35" i="2"/>
  <c r="O37" i="2" s="1"/>
  <c r="Q9" i="3"/>
  <c r="M32" i="3"/>
  <c r="X29" i="7"/>
  <c r="N35" i="2"/>
  <c r="N37" i="2" s="1"/>
  <c r="P9" i="3"/>
  <c r="M30" i="3"/>
  <c r="AC35" i="2"/>
  <c r="AC37" i="2" s="1"/>
  <c r="AE9" i="3"/>
  <c r="AD14" i="7" s="1"/>
  <c r="AD17" i="7" s="1"/>
  <c r="AD30" i="7" s="1"/>
  <c r="H24" i="3"/>
  <c r="Q10" i="3"/>
  <c r="Z29" i="7"/>
  <c r="W30" i="7"/>
  <c r="L35" i="2"/>
  <c r="L37" i="2" s="1"/>
  <c r="K24" i="3"/>
  <c r="F44" i="9"/>
  <c r="F16" i="9" s="1"/>
  <c r="K3" i="2"/>
  <c r="K19" i="2" s="1"/>
  <c r="K29" i="2" s="1"/>
  <c r="K33" i="2" s="1"/>
  <c r="J23" i="2"/>
  <c r="J12" i="2"/>
  <c r="J39" i="2" s="1"/>
  <c r="J4" i="2"/>
  <c r="J3" i="2" s="1"/>
  <c r="M10" i="3" l="1"/>
  <c r="J19" i="2"/>
  <c r="J29" i="2" s="1"/>
  <c r="J33" i="2" s="1"/>
  <c r="J35" i="2" s="1"/>
  <c r="J37" i="2" s="1"/>
  <c r="L9" i="3"/>
  <c r="L10" i="3"/>
  <c r="K47" i="5"/>
  <c r="K43" i="5" s="1"/>
  <c r="L32" i="3"/>
  <c r="K35" i="2"/>
  <c r="K37" i="2" s="1"/>
  <c r="F45" i="9"/>
  <c r="F50" i="9"/>
  <c r="F27" i="9"/>
  <c r="F18" i="9"/>
  <c r="I4" i="4"/>
  <c r="I13" i="4"/>
  <c r="I23" i="2"/>
  <c r="I12" i="2"/>
  <c r="I7" i="2"/>
  <c r="J39" i="5" s="1"/>
  <c r="J37" i="5" s="1"/>
  <c r="I4" i="2"/>
  <c r="K30" i="3" l="1"/>
  <c r="J47" i="5"/>
  <c r="J43" i="5" s="1"/>
  <c r="K11" i="3"/>
  <c r="I39" i="2"/>
  <c r="I3" i="2"/>
  <c r="I19" i="2" s="1"/>
  <c r="I29" i="2" s="1"/>
  <c r="I33" i="2" s="1"/>
  <c r="H7" i="2"/>
  <c r="I39" i="5" s="1"/>
  <c r="I37" i="5" s="1"/>
  <c r="C42" i="1"/>
  <c r="C11" i="1"/>
  <c r="C6" i="1"/>
  <c r="K32" i="3" l="1"/>
  <c r="J30" i="3"/>
  <c r="I35" i="2"/>
  <c r="I37" i="2" s="1"/>
  <c r="K9" i="3"/>
  <c r="K10" i="3"/>
  <c r="J15" i="7" s="1"/>
  <c r="C23" i="2"/>
  <c r="D47" i="5" s="1"/>
  <c r="D23" i="2"/>
  <c r="E47" i="5" s="1"/>
  <c r="E43" i="5" s="1"/>
  <c r="E23" i="2"/>
  <c r="F23" i="2"/>
  <c r="G23" i="2"/>
  <c r="C20" i="2"/>
  <c r="C12" i="2"/>
  <c r="D12" i="2"/>
  <c r="E12" i="2"/>
  <c r="F12" i="2"/>
  <c r="G12" i="2"/>
  <c r="C7" i="2"/>
  <c r="D7" i="2"/>
  <c r="E39" i="5" s="1"/>
  <c r="E37" i="5" s="1"/>
  <c r="E7" i="2"/>
  <c r="F39" i="5" s="1"/>
  <c r="F37" i="5" s="1"/>
  <c r="F7" i="2"/>
  <c r="G39" i="5" s="1"/>
  <c r="G37" i="5" s="1"/>
  <c r="G30" i="3" s="1"/>
  <c r="G7" i="2"/>
  <c r="H39" i="5" s="1"/>
  <c r="H37" i="5" s="1"/>
  <c r="D4" i="2"/>
  <c r="E4" i="2"/>
  <c r="F4" i="2"/>
  <c r="G4" i="2"/>
  <c r="C48" i="1"/>
  <c r="C31" i="1"/>
  <c r="C38" i="1" s="1"/>
  <c r="C21" i="1"/>
  <c r="D34" i="5" s="1"/>
  <c r="C17" i="1"/>
  <c r="C14" i="1"/>
  <c r="D30" i="5" s="1"/>
  <c r="C8" i="1"/>
  <c r="C4" i="1"/>
  <c r="F12" i="3"/>
  <c r="E19" i="7" s="1"/>
  <c r="E8" i="8"/>
  <c r="H20" i="7"/>
  <c r="H23" i="2"/>
  <c r="H12" i="2"/>
  <c r="H4" i="2"/>
  <c r="H3" i="2" s="1"/>
  <c r="O11" i="7"/>
  <c r="O12" i="7" s="1"/>
  <c r="C45" i="4"/>
  <c r="D45" i="4"/>
  <c r="K27" i="7"/>
  <c r="L11" i="8"/>
  <c r="N11" i="8"/>
  <c r="P6" i="8"/>
  <c r="C30" i="2"/>
  <c r="C4" i="2"/>
  <c r="B4" i="2"/>
  <c r="B7" i="2"/>
  <c r="C39" i="5" s="1"/>
  <c r="S14" i="8"/>
  <c r="T14" i="8"/>
  <c r="G12" i="7"/>
  <c r="J12" i="7"/>
  <c r="K12" i="7"/>
  <c r="Q12" i="7"/>
  <c r="S12" i="7"/>
  <c r="C12" i="7"/>
  <c r="T12" i="7"/>
  <c r="M12" i="7"/>
  <c r="N12" i="7"/>
  <c r="P12" i="7"/>
  <c r="I12" i="7"/>
  <c r="H12" i="7"/>
  <c r="F12" i="7"/>
  <c r="E12" i="7"/>
  <c r="D12" i="7"/>
  <c r="B48" i="1"/>
  <c r="I11" i="8"/>
  <c r="K11" i="8"/>
  <c r="M11" i="8"/>
  <c r="O11" i="8"/>
  <c r="P11" i="8"/>
  <c r="S11" i="8"/>
  <c r="S10" i="8"/>
  <c r="S9" i="8"/>
  <c r="T22" i="7"/>
  <c r="S13" i="8"/>
  <c r="J20" i="7"/>
  <c r="K20" i="7"/>
  <c r="M20" i="7"/>
  <c r="N20" i="7"/>
  <c r="O20" i="7"/>
  <c r="P20" i="7"/>
  <c r="Q20" i="7"/>
  <c r="T20" i="7"/>
  <c r="G8" i="8"/>
  <c r="I8" i="8"/>
  <c r="K19" i="7"/>
  <c r="L8" i="8"/>
  <c r="N19" i="7"/>
  <c r="N8" i="8"/>
  <c r="O8" i="8"/>
  <c r="P8" i="8"/>
  <c r="S8" i="8"/>
  <c r="T16" i="7"/>
  <c r="U16" i="7"/>
  <c r="R15" i="7"/>
  <c r="S15" i="7"/>
  <c r="T15" i="7"/>
  <c r="D3" i="3"/>
  <c r="B3" i="8" s="1"/>
  <c r="E3" i="3"/>
  <c r="C3" i="8" s="1"/>
  <c r="F3" i="3"/>
  <c r="F19" i="3" s="1"/>
  <c r="E28" i="7" s="1"/>
  <c r="F5" i="7"/>
  <c r="H28" i="7"/>
  <c r="I6" i="8"/>
  <c r="K5" i="7"/>
  <c r="L8" i="7"/>
  <c r="L3" i="8"/>
  <c r="M3" i="8"/>
  <c r="O5" i="7"/>
  <c r="P8" i="7"/>
  <c r="S5" i="8"/>
  <c r="C46" i="5"/>
  <c r="D46" i="5"/>
  <c r="C45" i="5"/>
  <c r="D45" i="5"/>
  <c r="C44" i="5"/>
  <c r="D44" i="5"/>
  <c r="C40" i="5"/>
  <c r="D40" i="5"/>
  <c r="C38" i="5"/>
  <c r="D38" i="5"/>
  <c r="C35" i="5"/>
  <c r="D35" i="5"/>
  <c r="C32" i="5"/>
  <c r="D32" i="5"/>
  <c r="C31" i="5"/>
  <c r="D31" i="5"/>
  <c r="C28" i="5"/>
  <c r="D28" i="5"/>
  <c r="C27" i="5"/>
  <c r="D27" i="5"/>
  <c r="C26" i="5"/>
  <c r="D26" i="5"/>
  <c r="C22" i="5"/>
  <c r="C21" i="5" s="1"/>
  <c r="D22" i="5"/>
  <c r="D21" i="5" s="1"/>
  <c r="C20" i="5"/>
  <c r="D20" i="5"/>
  <c r="C19" i="5"/>
  <c r="D19" i="5"/>
  <c r="C17" i="5"/>
  <c r="D17" i="5"/>
  <c r="C18" i="5"/>
  <c r="D18" i="5"/>
  <c r="C15" i="5"/>
  <c r="D15" i="5"/>
  <c r="C8" i="5"/>
  <c r="D8" i="5"/>
  <c r="C7" i="5"/>
  <c r="D7" i="5"/>
  <c r="D6" i="5"/>
  <c r="C6" i="5"/>
  <c r="U15" i="7"/>
  <c r="B12" i="2"/>
  <c r="B20" i="2"/>
  <c r="B23" i="2"/>
  <c r="C47" i="5" s="1"/>
  <c r="B30" i="2"/>
  <c r="U27" i="7"/>
  <c r="U25" i="7"/>
  <c r="B31" i="1"/>
  <c r="C5" i="5" s="1"/>
  <c r="B21" i="1"/>
  <c r="C34" i="5" s="1"/>
  <c r="B17" i="1"/>
  <c r="B14" i="1"/>
  <c r="B8" i="1"/>
  <c r="B4" i="1"/>
  <c r="D12" i="3" s="1"/>
  <c r="U7" i="7"/>
  <c r="D37" i="6"/>
  <c r="D28" i="6"/>
  <c r="D14" i="6"/>
  <c r="D8" i="6"/>
  <c r="T8" i="8"/>
  <c r="C37" i="6"/>
  <c r="B37" i="6"/>
  <c r="C28" i="6"/>
  <c r="C38" i="6" s="1"/>
  <c r="C40" i="6" s="1"/>
  <c r="B28" i="6"/>
  <c r="C14" i="6"/>
  <c r="B14" i="6"/>
  <c r="C8" i="6"/>
  <c r="C18" i="6" s="1"/>
  <c r="B8" i="6"/>
  <c r="B18" i="6" s="1"/>
  <c r="F44" i="4"/>
  <c r="F43" i="4"/>
  <c r="F42" i="4"/>
  <c r="F41" i="4"/>
  <c r="F40" i="4"/>
  <c r="C8" i="4"/>
  <c r="U11" i="7"/>
  <c r="U12" i="7" s="1"/>
  <c r="D35" i="4"/>
  <c r="I32" i="4" s="1"/>
  <c r="C35" i="4"/>
  <c r="F34" i="4"/>
  <c r="F33" i="4"/>
  <c r="F32" i="4"/>
  <c r="F31" i="4"/>
  <c r="F30" i="4"/>
  <c r="D8" i="4"/>
  <c r="I5" i="4" s="1"/>
  <c r="E8" i="4"/>
  <c r="L11" i="7"/>
  <c r="L12" i="7" s="1"/>
  <c r="F4" i="4"/>
  <c r="F5" i="4"/>
  <c r="F6" i="4"/>
  <c r="F7" i="4"/>
  <c r="F3" i="4"/>
  <c r="F22" i="4"/>
  <c r="F23" i="4"/>
  <c r="F26" i="4" s="1"/>
  <c r="F24" i="4"/>
  <c r="F25" i="4"/>
  <c r="F21" i="4"/>
  <c r="D26" i="4"/>
  <c r="I23" i="4" s="1"/>
  <c r="C26" i="4"/>
  <c r="C17" i="4"/>
  <c r="D17" i="4"/>
  <c r="I14" i="4" s="1"/>
  <c r="F13" i="4"/>
  <c r="F14" i="4"/>
  <c r="F15" i="4"/>
  <c r="F16" i="4"/>
  <c r="F12" i="4"/>
  <c r="U20" i="7"/>
  <c r="U26" i="7"/>
  <c r="U14" i="7"/>
  <c r="T13" i="8"/>
  <c r="U22" i="7"/>
  <c r="B38" i="6"/>
  <c r="B40" i="6" s="1"/>
  <c r="D38" i="6"/>
  <c r="D40" i="6" s="1"/>
  <c r="Q11" i="8"/>
  <c r="P10" i="8"/>
  <c r="M22" i="7"/>
  <c r="P14" i="8"/>
  <c r="K22" i="7"/>
  <c r="O25" i="7"/>
  <c r="M25" i="7"/>
  <c r="M21" i="7"/>
  <c r="L10" i="8"/>
  <c r="P25" i="7"/>
  <c r="O10" i="8"/>
  <c r="P21" i="7"/>
  <c r="P13" i="8"/>
  <c r="Q25" i="7"/>
  <c r="Q22" i="7"/>
  <c r="R11" i="7"/>
  <c r="R12" i="7" s="1"/>
  <c r="I14" i="8"/>
  <c r="O22" i="7"/>
  <c r="S20" i="7"/>
  <c r="Q8" i="8"/>
  <c r="R20" i="7"/>
  <c r="K14" i="8"/>
  <c r="Q5" i="8"/>
  <c r="J22" i="7"/>
  <c r="M9" i="8"/>
  <c r="S27" i="7"/>
  <c r="R22" i="7"/>
  <c r="R26" i="7"/>
  <c r="Q9" i="8"/>
  <c r="F27" i="7"/>
  <c r="G11" i="8"/>
  <c r="D39" i="2" l="1"/>
  <c r="H19" i="2"/>
  <c r="H29" i="2" s="1"/>
  <c r="H33" i="2" s="1"/>
  <c r="H35" i="2" s="1"/>
  <c r="H37" i="2" s="1"/>
  <c r="E39" i="2"/>
  <c r="J9" i="3"/>
  <c r="D18" i="6"/>
  <c r="H39" i="2"/>
  <c r="H30" i="3"/>
  <c r="I47" i="5"/>
  <c r="I43" i="5" s="1"/>
  <c r="J10" i="3"/>
  <c r="I15" i="7" s="1"/>
  <c r="J11" i="3"/>
  <c r="F17" i="4"/>
  <c r="H47" i="5"/>
  <c r="H43" i="5" s="1"/>
  <c r="I11" i="3"/>
  <c r="G47" i="5"/>
  <c r="G43" i="5" s="1"/>
  <c r="H11" i="3"/>
  <c r="G39" i="2"/>
  <c r="I32" i="3" s="1"/>
  <c r="F47" i="5"/>
  <c r="F43" i="5" s="1"/>
  <c r="G11" i="3"/>
  <c r="F39" i="2"/>
  <c r="H32" i="3" s="1"/>
  <c r="I30" i="3"/>
  <c r="T7" i="7"/>
  <c r="F45" i="4"/>
  <c r="F35" i="4"/>
  <c r="F8" i="4"/>
  <c r="B39" i="2"/>
  <c r="E3" i="2"/>
  <c r="F3" i="2"/>
  <c r="Q16" i="7"/>
  <c r="D3" i="2"/>
  <c r="D19" i="2" s="1"/>
  <c r="D29" i="2" s="1"/>
  <c r="D33" i="2" s="1"/>
  <c r="D35" i="2" s="1"/>
  <c r="D37" i="2" s="1"/>
  <c r="G3" i="2"/>
  <c r="G19" i="2" s="1"/>
  <c r="G29" i="2" s="1"/>
  <c r="G33" i="2" s="1"/>
  <c r="Q15" i="7"/>
  <c r="P15" i="7"/>
  <c r="O15" i="7"/>
  <c r="B3" i="2"/>
  <c r="B19" i="2" s="1"/>
  <c r="B29" i="2" s="1"/>
  <c r="B33" i="2" s="1"/>
  <c r="B35" i="2" s="1"/>
  <c r="B37" i="2" s="1"/>
  <c r="C37" i="5"/>
  <c r="P16" i="7"/>
  <c r="K15" i="7"/>
  <c r="C3" i="2"/>
  <c r="C19" i="2" s="1"/>
  <c r="C29" i="2" s="1"/>
  <c r="C33" i="2" s="1"/>
  <c r="C35" i="2" s="1"/>
  <c r="C37" i="2" s="1"/>
  <c r="C43" i="5"/>
  <c r="L15" i="7"/>
  <c r="D43" i="5"/>
  <c r="N28" i="7"/>
  <c r="J8" i="8"/>
  <c r="N6" i="7"/>
  <c r="E3" i="8"/>
  <c r="T9" i="8"/>
  <c r="I3" i="8"/>
  <c r="T5" i="7"/>
  <c r="O27" i="7"/>
  <c r="M19" i="7"/>
  <c r="M23" i="7" s="1"/>
  <c r="D26" i="3"/>
  <c r="N9" i="8"/>
  <c r="G3" i="8"/>
  <c r="J7" i="7"/>
  <c r="I12" i="8"/>
  <c r="D19" i="3"/>
  <c r="F6" i="8"/>
  <c r="J6" i="7"/>
  <c r="P9" i="8"/>
  <c r="P28" i="7"/>
  <c r="C5" i="7"/>
  <c r="F8" i="7"/>
  <c r="O5" i="8"/>
  <c r="D8" i="8"/>
  <c r="O3" i="8"/>
  <c r="O6" i="7"/>
  <c r="J5" i="7"/>
  <c r="F13" i="3"/>
  <c r="E20" i="7" s="1"/>
  <c r="Q6" i="7"/>
  <c r="N5" i="7"/>
  <c r="Q27" i="7"/>
  <c r="F5" i="3"/>
  <c r="D6" i="8" s="1"/>
  <c r="I20" i="7"/>
  <c r="H3" i="8"/>
  <c r="N8" i="7"/>
  <c r="T21" i="7"/>
  <c r="I5" i="7"/>
  <c r="N27" i="7"/>
  <c r="F28" i="3"/>
  <c r="Q7" i="7"/>
  <c r="T19" i="7"/>
  <c r="U5" i="7"/>
  <c r="T6" i="8"/>
  <c r="C49" i="1"/>
  <c r="D3" i="8"/>
  <c r="E5" i="7"/>
  <c r="G27" i="7"/>
  <c r="R7" i="7"/>
  <c r="E26" i="3"/>
  <c r="Q5" i="7"/>
  <c r="F18" i="3"/>
  <c r="S3" i="8"/>
  <c r="P3" i="8"/>
  <c r="K8" i="7"/>
  <c r="S12" i="8"/>
  <c r="P12" i="8"/>
  <c r="D27" i="3"/>
  <c r="G5" i="7"/>
  <c r="T3" i="8"/>
  <c r="J27" i="7"/>
  <c r="F25" i="3"/>
  <c r="I28" i="7"/>
  <c r="H12" i="8"/>
  <c r="T12" i="8"/>
  <c r="H19" i="7"/>
  <c r="L5" i="7"/>
  <c r="Q19" i="7"/>
  <c r="K3" i="8"/>
  <c r="F12" i="8"/>
  <c r="C25" i="5"/>
  <c r="G12" i="8"/>
  <c r="F19" i="7"/>
  <c r="T11" i="8"/>
  <c r="P5" i="7"/>
  <c r="F28" i="7"/>
  <c r="R5" i="7"/>
  <c r="P19" i="7"/>
  <c r="L27" i="7"/>
  <c r="F27" i="3"/>
  <c r="H5" i="7"/>
  <c r="T25" i="7"/>
  <c r="H8" i="7"/>
  <c r="T4" i="8"/>
  <c r="J11" i="8"/>
  <c r="E19" i="3"/>
  <c r="D28" i="7" s="1"/>
  <c r="F8" i="8"/>
  <c r="G19" i="7"/>
  <c r="O9" i="8"/>
  <c r="D28" i="3"/>
  <c r="F23" i="3"/>
  <c r="P26" i="7"/>
  <c r="L13" i="8"/>
  <c r="E27" i="3"/>
  <c r="O19" i="7"/>
  <c r="D13" i="3"/>
  <c r="C20" i="7" s="1"/>
  <c r="O13" i="8"/>
  <c r="N5" i="8"/>
  <c r="F26" i="3"/>
  <c r="D18" i="3"/>
  <c r="D5" i="3"/>
  <c r="B6" i="8" s="1"/>
  <c r="J19" i="7"/>
  <c r="B38" i="1"/>
  <c r="B49" i="1" s="1"/>
  <c r="C14" i="5"/>
  <c r="M8" i="8"/>
  <c r="M6" i="7"/>
  <c r="U19" i="7"/>
  <c r="E18" i="3"/>
  <c r="C11" i="8" s="1"/>
  <c r="B27" i="1"/>
  <c r="D21" i="3" s="1"/>
  <c r="L9" i="8"/>
  <c r="R19" i="7"/>
  <c r="R27" i="7"/>
  <c r="F3" i="8"/>
  <c r="T26" i="7"/>
  <c r="M5" i="7"/>
  <c r="H22" i="7"/>
  <c r="E11" i="8"/>
  <c r="H27" i="7"/>
  <c r="L12" i="8"/>
  <c r="D14" i="5"/>
  <c r="Q26" i="7"/>
  <c r="Q3" i="8"/>
  <c r="J3" i="8"/>
  <c r="M26" i="7"/>
  <c r="M27" i="7"/>
  <c r="M12" i="8"/>
  <c r="U17" i="7"/>
  <c r="Q10" i="8"/>
  <c r="T10" i="8"/>
  <c r="P27" i="7"/>
  <c r="J8" i="7"/>
  <c r="T27" i="7"/>
  <c r="R11" i="8"/>
  <c r="Q8" i="7"/>
  <c r="C39" i="2"/>
  <c r="D39" i="5"/>
  <c r="D37" i="5" s="1"/>
  <c r="D5" i="7"/>
  <c r="E13" i="3"/>
  <c r="D20" i="7" s="1"/>
  <c r="E5" i="3"/>
  <c r="D8" i="7" s="1"/>
  <c r="D5" i="5"/>
  <c r="D25" i="5"/>
  <c r="E28" i="3"/>
  <c r="E12" i="3"/>
  <c r="C27" i="1"/>
  <c r="R8" i="8"/>
  <c r="S19" i="7"/>
  <c r="K14" i="7"/>
  <c r="N16" i="7"/>
  <c r="T5" i="8"/>
  <c r="C19" i="7"/>
  <c r="B8" i="8"/>
  <c r="N25" i="7"/>
  <c r="K25" i="7"/>
  <c r="J9" i="8"/>
  <c r="S16" i="7"/>
  <c r="N22" i="7"/>
  <c r="O14" i="7"/>
  <c r="N14" i="8"/>
  <c r="O16" i="7"/>
  <c r="T14" i="7"/>
  <c r="T17" i="7" s="1"/>
  <c r="R16" i="7"/>
  <c r="R25" i="7"/>
  <c r="K6" i="8"/>
  <c r="D12" i="8"/>
  <c r="J14" i="8"/>
  <c r="S14" i="7"/>
  <c r="R14" i="7"/>
  <c r="O6" i="8"/>
  <c r="L14" i="8"/>
  <c r="Q21" i="7"/>
  <c r="M14" i="8"/>
  <c r="J16" i="7"/>
  <c r="O14" i="8"/>
  <c r="P22" i="7"/>
  <c r="I27" i="7"/>
  <c r="H11" i="8"/>
  <c r="M16" i="7"/>
  <c r="M4" i="8"/>
  <c r="S22" i="7"/>
  <c r="G20" i="7"/>
  <c r="U21" i="7"/>
  <c r="C30" i="5"/>
  <c r="F20" i="7"/>
  <c r="N3" i="8"/>
  <c r="G32" i="3" l="1"/>
  <c r="J32" i="3"/>
  <c r="E32" i="3"/>
  <c r="G35" i="2"/>
  <c r="G37" i="2" s="1"/>
  <c r="I9" i="3"/>
  <c r="I10" i="3"/>
  <c r="J6" i="8"/>
  <c r="E6" i="8"/>
  <c r="E15" i="3"/>
  <c r="D22" i="7" s="1"/>
  <c r="F30" i="9"/>
  <c r="F17" i="9" s="1"/>
  <c r="F19" i="2"/>
  <c r="H10" i="3" s="1"/>
  <c r="E19" i="2"/>
  <c r="G10" i="3" s="1"/>
  <c r="D32" i="3"/>
  <c r="H15" i="7"/>
  <c r="F32" i="3"/>
  <c r="D10" i="3"/>
  <c r="C15" i="7" s="1"/>
  <c r="E30" i="3"/>
  <c r="M15" i="7"/>
  <c r="N15" i="7"/>
  <c r="F10" i="3"/>
  <c r="E15" i="7" s="1"/>
  <c r="I22" i="7"/>
  <c r="C12" i="8"/>
  <c r="P4" i="8"/>
  <c r="O12" i="8"/>
  <c r="I5" i="8"/>
  <c r="E8" i="7"/>
  <c r="T23" i="7"/>
  <c r="P23" i="7"/>
  <c r="P7" i="7"/>
  <c r="O7" i="7"/>
  <c r="U28" i="7"/>
  <c r="U29" i="7" s="1"/>
  <c r="J28" i="7"/>
  <c r="U23" i="7"/>
  <c r="P5" i="8"/>
  <c r="P29" i="7"/>
  <c r="I4" i="8"/>
  <c r="T28" i="7"/>
  <c r="T29" i="7" s="1"/>
  <c r="F6" i="3"/>
  <c r="E7" i="7" s="1"/>
  <c r="I8" i="7"/>
  <c r="H6" i="8"/>
  <c r="F14" i="3"/>
  <c r="E21" i="7" s="1"/>
  <c r="N4" i="8"/>
  <c r="G28" i="7"/>
  <c r="J9" i="7"/>
  <c r="F4" i="3"/>
  <c r="D4" i="8" s="1"/>
  <c r="G8" i="7"/>
  <c r="Q23" i="7"/>
  <c r="F21" i="3"/>
  <c r="B12" i="8"/>
  <c r="C28" i="7"/>
  <c r="E25" i="3"/>
  <c r="C11" i="5"/>
  <c r="C12" i="5" s="1"/>
  <c r="L4" i="8"/>
  <c r="C6" i="8"/>
  <c r="M6" i="8"/>
  <c r="Q9" i="7"/>
  <c r="T6" i="7"/>
  <c r="S4" i="8"/>
  <c r="I25" i="7"/>
  <c r="I16" i="7"/>
  <c r="U8" i="7"/>
  <c r="F11" i="8"/>
  <c r="I7" i="7"/>
  <c r="H14" i="8"/>
  <c r="E27" i="7"/>
  <c r="D11" i="8"/>
  <c r="Q28" i="7"/>
  <c r="Q29" i="7" s="1"/>
  <c r="D16" i="3"/>
  <c r="C25" i="7" s="1"/>
  <c r="S17" i="7"/>
  <c r="H13" i="8"/>
  <c r="G6" i="8"/>
  <c r="T8" i="7"/>
  <c r="S6" i="8"/>
  <c r="U6" i="7"/>
  <c r="D11" i="5"/>
  <c r="E12" i="8"/>
  <c r="L28" i="7"/>
  <c r="K12" i="8"/>
  <c r="F22" i="3"/>
  <c r="F17" i="3"/>
  <c r="E26" i="7" s="1"/>
  <c r="F16" i="3"/>
  <c r="D9" i="8" s="1"/>
  <c r="H8" i="8"/>
  <c r="I19" i="7"/>
  <c r="D27" i="7"/>
  <c r="F14" i="8"/>
  <c r="G22" i="7"/>
  <c r="D15" i="3"/>
  <c r="C22" i="7" s="1"/>
  <c r="D14" i="8"/>
  <c r="F20" i="3"/>
  <c r="B11" i="8"/>
  <c r="C27" i="7"/>
  <c r="M28" i="7"/>
  <c r="M29" i="7" s="1"/>
  <c r="D22" i="3"/>
  <c r="J14" i="7"/>
  <c r="J17" i="7" s="1"/>
  <c r="F15" i="3"/>
  <c r="E22" i="7" s="1"/>
  <c r="C8" i="7"/>
  <c r="B14" i="8"/>
  <c r="D20" i="3"/>
  <c r="D23" i="3"/>
  <c r="D4" i="3"/>
  <c r="D14" i="3"/>
  <c r="D17" i="3"/>
  <c r="D6" i="3"/>
  <c r="C4" i="5"/>
  <c r="D24" i="3" s="1"/>
  <c r="B51" i="1"/>
  <c r="H16" i="7"/>
  <c r="G16" i="7"/>
  <c r="L6" i="8"/>
  <c r="M8" i="7"/>
  <c r="M7" i="7"/>
  <c r="L5" i="8"/>
  <c r="J12" i="8"/>
  <c r="K28" i="7"/>
  <c r="J4" i="8"/>
  <c r="K6" i="7"/>
  <c r="E10" i="3"/>
  <c r="D15" i="7" s="1"/>
  <c r="D30" i="3"/>
  <c r="D25" i="3"/>
  <c r="D19" i="7"/>
  <c r="C8" i="8"/>
  <c r="E11" i="3"/>
  <c r="D16" i="7" s="1"/>
  <c r="E20" i="3"/>
  <c r="E9" i="3"/>
  <c r="D14" i="7" s="1"/>
  <c r="D4" i="5"/>
  <c r="E23" i="3"/>
  <c r="E6" i="3"/>
  <c r="E16" i="3"/>
  <c r="C14" i="8"/>
  <c r="E22" i="3"/>
  <c r="F9" i="3"/>
  <c r="E14" i="7" s="1"/>
  <c r="E4" i="3"/>
  <c r="E14" i="3"/>
  <c r="D11" i="3"/>
  <c r="C16" i="7" s="1"/>
  <c r="C51" i="1"/>
  <c r="E21" i="3"/>
  <c r="E17" i="3"/>
  <c r="Q12" i="8"/>
  <c r="R28" i="7"/>
  <c r="R29" i="7" s="1"/>
  <c r="R17" i="7"/>
  <c r="O17" i="7"/>
  <c r="I10" i="8"/>
  <c r="J26" i="7"/>
  <c r="R8" i="7"/>
  <c r="Q6" i="8"/>
  <c r="O26" i="7"/>
  <c r="N10" i="8"/>
  <c r="E14" i="8"/>
  <c r="F11" i="3"/>
  <c r="E16" i="7" s="1"/>
  <c r="F16" i="7"/>
  <c r="F22" i="7"/>
  <c r="K26" i="7"/>
  <c r="J10" i="8"/>
  <c r="Q13" i="8"/>
  <c r="R21" i="7"/>
  <c r="R23" i="7" s="1"/>
  <c r="S26" i="7"/>
  <c r="R10" i="8"/>
  <c r="J13" i="8"/>
  <c r="K21" i="7"/>
  <c r="K23" i="7" s="1"/>
  <c r="I13" i="8"/>
  <c r="J21" i="7"/>
  <c r="J23" i="7" s="1"/>
  <c r="S25" i="7"/>
  <c r="R9" i="8"/>
  <c r="G14" i="8"/>
  <c r="F7" i="7"/>
  <c r="E5" i="8"/>
  <c r="N13" i="8"/>
  <c r="O21" i="7"/>
  <c r="O23" i="7" s="1"/>
  <c r="Q14" i="8"/>
  <c r="S21" i="7"/>
  <c r="S23" i="7" s="1"/>
  <c r="R13" i="8"/>
  <c r="F30" i="3"/>
  <c r="I9" i="8"/>
  <c r="J25" i="7"/>
  <c r="F13" i="8"/>
  <c r="G21" i="7"/>
  <c r="S5" i="7"/>
  <c r="R3" i="8"/>
  <c r="R6" i="7"/>
  <c r="Q4" i="8"/>
  <c r="M13" i="8"/>
  <c r="N21" i="7"/>
  <c r="N23" i="7" s="1"/>
  <c r="N6" i="8"/>
  <c r="O8" i="7"/>
  <c r="O9" i="7" s="1"/>
  <c r="H14" i="7"/>
  <c r="M10" i="8"/>
  <c r="N26" i="7"/>
  <c r="N29" i="7" s="1"/>
  <c r="O28" i="7"/>
  <c r="N12" i="8"/>
  <c r="O4" i="8"/>
  <c r="P6" i="7"/>
  <c r="K7" i="7"/>
  <c r="J5" i="8"/>
  <c r="M5" i="8"/>
  <c r="N7" i="7"/>
  <c r="N9" i="7" s="1"/>
  <c r="C17" i="7" l="1"/>
  <c r="P9" i="7"/>
  <c r="E29" i="2"/>
  <c r="E33" i="2" s="1"/>
  <c r="F15" i="7"/>
  <c r="F29" i="2"/>
  <c r="F33" i="2" s="1"/>
  <c r="G15" i="7"/>
  <c r="I14" i="7"/>
  <c r="I17" i="7" s="1"/>
  <c r="P14" i="7"/>
  <c r="P17" i="7" s="1"/>
  <c r="P30" i="7" s="1"/>
  <c r="Q14" i="7"/>
  <c r="Q17" i="7" s="1"/>
  <c r="Q30" i="7" s="1"/>
  <c r="N14" i="7"/>
  <c r="N17" i="7" s="1"/>
  <c r="N30" i="7" s="1"/>
  <c r="E6" i="7"/>
  <c r="E9" i="7" s="1"/>
  <c r="D10" i="8"/>
  <c r="E25" i="7"/>
  <c r="E29" i="7" s="1"/>
  <c r="I21" i="7"/>
  <c r="I23" i="7" s="1"/>
  <c r="D13" i="8"/>
  <c r="U9" i="7"/>
  <c r="U30" i="7" s="1"/>
  <c r="D5" i="8"/>
  <c r="J30" i="7"/>
  <c r="K29" i="7"/>
  <c r="B9" i="8"/>
  <c r="H9" i="8"/>
  <c r="C25" i="3"/>
  <c r="H5" i="8"/>
  <c r="R9" i="7"/>
  <c r="R30" i="7" s="1"/>
  <c r="I6" i="7"/>
  <c r="I9" i="7" s="1"/>
  <c r="H4" i="8"/>
  <c r="I26" i="7"/>
  <c r="I29" i="7" s="1"/>
  <c r="H10" i="8"/>
  <c r="T9" i="7"/>
  <c r="T30" i="7" s="1"/>
  <c r="J29" i="7"/>
  <c r="G23" i="7"/>
  <c r="E29" i="3"/>
  <c r="M9" i="7"/>
  <c r="E23" i="7"/>
  <c r="D12" i="5"/>
  <c r="D29" i="3"/>
  <c r="G25" i="7"/>
  <c r="F9" i="8"/>
  <c r="F10" i="8"/>
  <c r="G26" i="7"/>
  <c r="O30" i="7"/>
  <c r="G7" i="7"/>
  <c r="F5" i="8"/>
  <c r="F29" i="3"/>
  <c r="F4" i="8"/>
  <c r="G6" i="7"/>
  <c r="H17" i="7"/>
  <c r="H21" i="7"/>
  <c r="H23" i="7" s="1"/>
  <c r="G13" i="8"/>
  <c r="H25" i="7"/>
  <c r="G9" i="8"/>
  <c r="B5" i="8"/>
  <c r="C7" i="7"/>
  <c r="B10" i="8"/>
  <c r="C26" i="7"/>
  <c r="C29" i="7" s="1"/>
  <c r="G5" i="8"/>
  <c r="H7" i="7"/>
  <c r="C21" i="7"/>
  <c r="C23" i="7" s="1"/>
  <c r="B13" i="8"/>
  <c r="H6" i="7"/>
  <c r="G4" i="8"/>
  <c r="B4" i="8"/>
  <c r="C6" i="7"/>
  <c r="H26" i="7"/>
  <c r="G10" i="8"/>
  <c r="O29" i="7"/>
  <c r="K9" i="7"/>
  <c r="D17" i="7"/>
  <c r="C9" i="8"/>
  <c r="D25" i="7"/>
  <c r="E17" i="7"/>
  <c r="D7" i="7"/>
  <c r="C5" i="8"/>
  <c r="D26" i="7"/>
  <c r="C10" i="8"/>
  <c r="F24" i="3"/>
  <c r="E24" i="3"/>
  <c r="D21" i="7"/>
  <c r="D23" i="7" s="1"/>
  <c r="C13" i="8"/>
  <c r="D6" i="7"/>
  <c r="C4" i="8"/>
  <c r="R6" i="8"/>
  <c r="S8" i="7"/>
  <c r="S6" i="7"/>
  <c r="R4" i="8"/>
  <c r="R12" i="8"/>
  <c r="S28" i="7"/>
  <c r="S29" i="7" s="1"/>
  <c r="S7" i="7"/>
  <c r="R5" i="8"/>
  <c r="E4" i="8"/>
  <c r="F6" i="7"/>
  <c r="F9" i="7" s="1"/>
  <c r="R14" i="8"/>
  <c r="E9" i="8"/>
  <c r="F25" i="7"/>
  <c r="F21" i="7"/>
  <c r="F23" i="7" s="1"/>
  <c r="E13" i="8"/>
  <c r="F26" i="7"/>
  <c r="E10" i="8"/>
  <c r="F35" i="2" l="1"/>
  <c r="F37" i="2" s="1"/>
  <c r="H9" i="3"/>
  <c r="G14" i="7" s="1"/>
  <c r="G17" i="7" s="1"/>
  <c r="E35" i="2"/>
  <c r="E37" i="2" s="1"/>
  <c r="G9" i="3"/>
  <c r="F14" i="7" s="1"/>
  <c r="F17" i="7" s="1"/>
  <c r="F30" i="7" s="1"/>
  <c r="I30" i="7"/>
  <c r="H9" i="7"/>
  <c r="H30" i="7" s="1"/>
  <c r="E30" i="7"/>
  <c r="G29" i="7"/>
  <c r="G9" i="7"/>
  <c r="C9" i="7"/>
  <c r="C30" i="7" s="1"/>
  <c r="H29" i="7"/>
  <c r="S9" i="7"/>
  <c r="S30" i="7" s="1"/>
  <c r="D9" i="7"/>
  <c r="D30" i="7" s="1"/>
  <c r="D29" i="7"/>
  <c r="F29" i="7"/>
  <c r="G30" i="7" l="1"/>
  <c r="K4" i="1" l="1"/>
  <c r="K48" i="1"/>
  <c r="K49" i="1" s="1"/>
  <c r="K27" i="1" l="1"/>
  <c r="M13" i="3"/>
  <c r="L20" i="7" s="1"/>
  <c r="M12" i="3"/>
  <c r="K8" i="8" l="1"/>
  <c r="L19" i="7"/>
  <c r="L4" i="5"/>
  <c r="M20" i="3"/>
  <c r="M23" i="3"/>
  <c r="M14" i="3"/>
  <c r="M22" i="3"/>
  <c r="M21" i="3"/>
  <c r="M6" i="3"/>
  <c r="M4" i="3"/>
  <c r="M17" i="3"/>
  <c r="M16" i="3"/>
  <c r="N9" i="3"/>
  <c r="M14" i="7" s="1"/>
  <c r="M17" i="7" s="1"/>
  <c r="M30" i="7" s="1"/>
  <c r="M11" i="3"/>
  <c r="L16" i="7" s="1"/>
  <c r="M9" i="3"/>
  <c r="L14" i="7" s="1"/>
  <c r="L17" i="7" s="1"/>
  <c r="L11" i="3"/>
  <c r="K16" i="7" s="1"/>
  <c r="K17" i="7" s="1"/>
  <c r="K30" i="7" s="1"/>
  <c r="M15" i="3"/>
  <c r="L22" i="7" s="1"/>
  <c r="K51" i="1"/>
  <c r="L26" i="7" l="1"/>
  <c r="K10" i="8"/>
  <c r="N24" i="3"/>
  <c r="M24" i="3"/>
  <c r="K13" i="8"/>
  <c r="L21" i="7"/>
  <c r="L23" i="7" s="1"/>
  <c r="K9" i="8"/>
  <c r="L25" i="7"/>
  <c r="L29" i="7" s="1"/>
  <c r="L6" i="7"/>
  <c r="K4" i="8"/>
  <c r="K5" i="8"/>
  <c r="L7" i="7"/>
  <c r="L9" i="7" l="1"/>
  <c r="L30" i="7" s="1"/>
</calcChain>
</file>

<file path=xl/sharedStrings.xml><?xml version="1.0" encoding="utf-8"?>
<sst xmlns="http://schemas.openxmlformats.org/spreadsheetml/2006/main" count="492" uniqueCount="339">
  <si>
    <t>2010 Audited</t>
  </si>
  <si>
    <t>2020 Audited</t>
  </si>
  <si>
    <t>Audited 2021</t>
  </si>
  <si>
    <t>Cash &amp; cash Equivalent</t>
  </si>
  <si>
    <t>Cash In Hand</t>
  </si>
  <si>
    <t>Cash at Bank</t>
  </si>
  <si>
    <t>Prepayment and Sundry</t>
  </si>
  <si>
    <t>Financial Investment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</si>
  <si>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</si>
  <si>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</si>
  <si>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</si>
  <si>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</si>
  <si>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</si>
  <si>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</si>
  <si>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</si>
  <si>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</si>
  <si>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</si>
  <si>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</si>
  <si>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</si>
  <si>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</si>
  <si>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</si>
  <si>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</si>
  <si>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</si>
  <si>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</si>
  <si>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</si>
  <si>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</si>
  <si>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</si>
  <si>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</si>
  <si>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</si>
  <si>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</si>
  <si>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</si>
  <si>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</si>
  <si>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</si>
  <si>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</si>
  <si>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</si>
  <si>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</si>
  <si>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</si>
  <si>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</si>
  <si>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</si>
  <si>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</si>
  <si>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</si>
  <si>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</si>
  <si>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</si>
  <si>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</si>
  <si>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</si>
  <si>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</si>
  <si>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</si>
  <si>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</si>
  <si>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</si>
  <si>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</si>
  <si>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</si>
  <si>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</si>
  <si>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</si>
  <si>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</si>
  <si>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</si>
  <si>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</si>
  <si>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</si>
  <si>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</si>
  <si>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</si>
  <si>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</si>
  <si>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</si>
  <si>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</si>
  <si>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</si>
  <si>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</si>
  <si>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</si>
  <si>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</si>
  <si>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</si>
  <si>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</si>
  <si>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</si>
  <si>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</si>
  <si>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</si>
  <si>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</si>
  <si>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</si>
  <si>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</si>
  <si>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</si>
  <si>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</si>
  <si>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</si>
  <si>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</si>
  <si>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</si>
  <si>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</si>
  <si>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</si>
  <si>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</si>
  <si>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</si>
  <si>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</si>
  <si>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</si>
  <si>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</si>
  <si>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</si>
  <si>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</si>
  <si>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</si>
  <si>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</si>
  <si>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</si>
  <si>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</si>
  <si>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NPL</t>
  </si>
  <si>
    <t>Substandard</t>
  </si>
  <si>
    <t>PAR</t>
  </si>
  <si>
    <t>Doubtful</t>
  </si>
  <si>
    <t>Loss</t>
  </si>
  <si>
    <t>subtotal</t>
  </si>
  <si>
    <t>2020Audited</t>
  </si>
  <si>
    <t>CAPITAL ADEQUACY</t>
  </si>
  <si>
    <t>Core Capital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</si>
  <si>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</si>
  <si>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</si>
  <si>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</si>
  <si>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</si>
  <si>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</si>
  <si>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</si>
  <si>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</si>
  <si>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</si>
  <si>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</si>
  <si>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</si>
  <si>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</si>
  <si>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</si>
  <si>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</si>
  <si>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</si>
  <si>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</si>
  <si>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</si>
  <si>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</si>
  <si>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</si>
  <si>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</si>
  <si>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</si>
  <si>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</si>
  <si>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</si>
  <si>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</si>
  <si>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</si>
  <si>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</si>
  <si>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</si>
  <si>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</si>
  <si>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</si>
  <si>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</si>
  <si>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</si>
  <si>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</si>
  <si>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</si>
  <si>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</si>
  <si>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</si>
  <si>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Deposits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</si>
  <si>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</si>
  <si>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</si>
  <si>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</si>
  <si>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</si>
  <si>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</si>
  <si>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</si>
  <si>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</si>
  <si>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</si>
  <si>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</si>
  <si>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</si>
  <si>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</si>
  <si>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</si>
  <si>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</si>
  <si>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</si>
  <si>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</si>
  <si>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</si>
  <si>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SOLUTION Sacco Financial Performance</t>
  </si>
  <si>
    <t>Year</t>
  </si>
  <si>
    <t>Deposits-Members(BOSA)</t>
  </si>
  <si>
    <t>Deposits-Customers(FOSA)</t>
  </si>
  <si>
    <t>External Borrowing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</si>
  <si>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</si>
  <si>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</si>
  <si>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</si>
  <si>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</si>
  <si>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</si>
  <si>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</si>
  <si>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</si>
  <si>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</si>
  <si>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</si>
  <si>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</si>
  <si>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</si>
  <si>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</si>
  <si>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</si>
  <si>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</si>
  <si>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</si>
  <si>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</si>
  <si>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</si>
  <si>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</si>
  <si>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</si>
  <si>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</si>
  <si>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</si>
  <si>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</si>
  <si>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</si>
  <si>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</si>
  <si>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</si>
  <si>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</si>
  <si>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</si>
  <si>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</si>
  <si>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</si>
  <si>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</si>
  <si>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</si>
  <si>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</si>
  <si>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</si>
  <si>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</si>
  <si>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</si>
  <si>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</si>
  <si>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CAELS RATINGS KINGDOM SACCO</t>
  </si>
  <si>
    <t>FINANCIAL SOUNDNESS INDICATORS</t>
  </si>
  <si>
    <t>Prude.  Std</t>
  </si>
  <si>
    <t>2021 Audited</t>
  </si>
  <si>
    <t>CAPITAL</t>
  </si>
  <si>
    <t>CORE CAPITAL</t>
  </si>
  <si>
    <t>≥ Ksh.10M</t>
  </si>
  <si>
    <t>≥ 10%</t>
  </si>
  <si>
    <t>≥ 8%</t>
  </si>
  <si>
    <t>Asset Quality</t>
  </si>
  <si>
    <t>≤ 6%</t>
  </si>
  <si>
    <t>Earnings</t>
  </si>
  <si>
    <t>CIR</t>
  </si>
  <si>
    <t>OER</t>
  </si>
  <si>
    <t>MIN LIQ</t>
  </si>
  <si>
    <t>TECH LIQ</t>
  </si>
  <si>
    <t>EB</t>
  </si>
  <si>
    <t>≤ 25%</t>
  </si>
  <si>
    <t>LIQ/TA</t>
  </si>
  <si>
    <t>NEA</t>
  </si>
  <si>
    <t>≤ 10%</t>
  </si>
  <si>
    <t>LB</t>
  </si>
  <si>
    <t>≤ 5%</t>
  </si>
  <si>
    <t>FITD</t>
  </si>
  <si>
    <t>FICC</t>
  </si>
  <si>
    <t>≤ 40%</t>
  </si>
  <si>
    <t>FINAL RATING</t>
  </si>
  <si>
    <t>2020 audited</t>
  </si>
  <si>
    <t>AUDITED 2021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</si>
  <si>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</si>
  <si>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</si>
  <si>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</si>
  <si>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</si>
  <si>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</si>
  <si>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</si>
  <si>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</si>
  <si>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</si>
  <si>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</si>
  <si>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 (Max 25%)</t>
  </si>
  <si>
    <t>A=S+L</t>
  </si>
  <si>
    <t>TRANSCOUNTIES SACCO SOCIETY LIMITED</t>
  </si>
  <si>
    <t>PERFORMANCE AND COMPLIANCE REPORT AS AT :  31st December , 2021</t>
  </si>
  <si>
    <t>Prudential Standard</t>
  </si>
  <si>
    <t>Audited</t>
  </si>
  <si>
    <t>Returns</t>
  </si>
  <si>
    <t>Aggregate for all Licensed Saccos</t>
  </si>
  <si>
    <t xml:space="preserve"> 30th September  , 2021</t>
  </si>
  <si>
    <t xml:space="preserve"> 31st December  , 2021</t>
  </si>
  <si>
    <t>A. CAPITAL  ADEQUACY</t>
  </si>
  <si>
    <t xml:space="preserve">Core Capital 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</si>
  <si>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10M</t>
    </r>
  </si>
  <si>
    <t>Core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</si>
  <si>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10%</t>
    </r>
  </si>
  <si>
    <t>Institutional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</si>
  <si>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</si>
  <si>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</si>
  <si>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</si>
  <si>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</si>
  <si>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</si>
  <si>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</si>
  <si>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</si>
  <si>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</si>
  <si>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</si>
  <si>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</si>
  <si>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</si>
  <si>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</si>
  <si>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</si>
  <si>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</si>
  <si>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</si>
  <si>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</si>
  <si>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</si>
  <si>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</si>
  <si>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</si>
  <si>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</si>
  <si>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</si>
  <si>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</si>
  <si>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</si>
  <si>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</si>
  <si>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</si>
  <si>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</si>
  <si>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</si>
  <si>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</si>
  <si>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</si>
  <si>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</si>
  <si>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</si>
  <si>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</si>
  <si>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</si>
  <si>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Financial Investments</t>
  </si>
  <si>
    <t>Liquid Assets</t>
  </si>
  <si>
    <t>Short-term Liabilities)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</si>
  <si>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</si>
  <si>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</si>
  <si>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</si>
  <si>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</si>
  <si>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</si>
  <si>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</si>
  <si>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Net Income</t>
  </si>
  <si>
    <t>G. AREAS OF IMPROVEMENT/REGULATORY CONCERNS</t>
  </si>
  <si>
    <t>1.Non perfoming loan of 20.6 % against required 5% and below.</t>
  </si>
  <si>
    <t>2.Gross loans to Total Assets at 60.6% against recommended industry level of 70-80%.</t>
  </si>
  <si>
    <r>
      <t>3.Gross loans to Deposits of 85.1</t>
    </r>
    <r>
      <rPr>
        <strike/>
        <sz val="11"/>
        <rFont val="Cambria"/>
        <family val="2"/>
        <scheme val="major"/>
      </rPr>
      <t>%</t>
    </r>
    <r>
      <rPr>
        <sz val="11"/>
        <rFont val="Cambria"/>
        <family val="2"/>
        <scheme val="major"/>
      </rPr>
      <t xml:space="preserve"> against  required 100% and above.</t>
    </r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</si>
  <si>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</si>
  <si>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</si>
  <si>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</si>
  <si>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STATEMENT OF CASHFLOWS FOR THE YEAR ENDED 31ST DECEMBER 2020</t>
  </si>
  <si>
    <t>Audited -2021</t>
  </si>
  <si>
    <t>Variance</t>
  </si>
  <si>
    <t>Cash flows from operating activities</t>
  </si>
  <si>
    <t>Interest receipts</t>
  </si>
  <si>
    <t>Interest Payments</t>
  </si>
  <si>
    <t>.</t>
  </si>
  <si>
    <t>Payment to employees and suppliers</t>
  </si>
  <si>
    <t>Other operating income</t>
  </si>
  <si>
    <t>(Increase)/Decrease in Operating assets</t>
  </si>
  <si>
    <t>Net loans to members</t>
  </si>
  <si>
    <t>Recievables and prepayments</t>
  </si>
  <si>
    <t>Trade and Other Receivables</t>
  </si>
  <si>
    <t>Inventories</t>
  </si>
  <si>
    <t>Short term investments</t>
  </si>
  <si>
    <t>Increase/(Decrease) in Operating liabilities</t>
  </si>
  <si>
    <t>Deposits from members</t>
  </si>
  <si>
    <t>Trade and Accrued Expenses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</si>
  <si>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</si>
  <si>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</si>
  <si>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</si>
  <si>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</si>
  <si>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</si>
  <si>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</si>
  <si>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</si>
  <si>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Increase in Other Assets</t>
  </si>
  <si>
    <t>Purchase of Investment Securities</t>
  </si>
  <si>
    <t>Dividends Received</t>
  </si>
  <si>
    <t>Net Cash from investing activities</t>
  </si>
  <si>
    <t>Cashflow from financing activities</t>
  </si>
  <si>
    <t>Share capital contributions</t>
  </si>
  <si>
    <t>Proceeds from long-term borrowings</t>
  </si>
  <si>
    <t>Prior Year Adjustments</t>
  </si>
  <si>
    <t>Housing Contributions Plaza</t>
  </si>
  <si>
    <t>Repayments of long term borrowings</t>
  </si>
  <si>
    <t>Dividend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</si>
  <si>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</si>
  <si>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</si>
  <si>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</si>
  <si>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</si>
  <si>
    <t>Audited 2022</t>
  </si>
  <si>
    <t>TRANSCOUNTIES  SACCO 2022 CAELS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</si>
</sst>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[$-10409]#,##0.00;\-\ #,##0.00"/>
    <numFmt numFmtId="165" formatCode="[$-10409]0.00;\-\ 0.00"/>
    <numFmt numFmtId="166" formatCode="_(* #,##0.00_);_(* \(#,##0.00\);_(* \-??_);_(@_)"/>
    <numFmt numFmtId="167" formatCode="d/mmm/yy"/>
    <numFmt numFmtId="168" formatCode="\£#,##0;&quot;-£&quot;#,##0"/>
    <numFmt numFmtId="169" formatCode="_-* #,##0.00_-;\-* #,##0.00_-;_-* \-??_-;_-@_-"/>
    <numFmt numFmtId="170" formatCode="0.0%"/>
    <numFmt numFmtId="171" formatCode="_(* #,##0.0_);_(* \(#,##0.0\);_(* \-??_);_(@_)"/>
    <numFmt numFmtId="172" formatCode="#,##0.00_);\-#,##0.00"/>
    <numFmt numFmtId="173" formatCode="0.0"/>
    <numFmt numFmtId="174" formatCode="_(* #,##0_);_(* \(#,##0\);_(* &quot;-&quot;??_);_(@_)"/>
    <numFmt numFmtId="175" formatCode="[$-409]mmm\-yy;@"/>
    <numFmt numFmtId="176" formatCode="[$-409]mmmm\-yy;@"/>
    <numFmt numFmtId="177" formatCode="#,##0.00_ ;\-#,##0.00\ "/>
    <numFmt numFmtId="178" formatCode="#,##0.0_ ;\-#,##0.0\ "/>
  </numFmts>
  <fonts count="6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1.95"/>
      <name val="Times New Roman"/>
      <family val="1"/>
    </font>
    <font>
      <b/>
      <u/>
      <sz val="10"/>
      <color indexed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.5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Cambria"/>
      <family val="1"/>
    </font>
    <font>
      <sz val="10"/>
      <color indexed="8"/>
      <name val="Arial"/>
      <charset val="1"/>
    </font>
    <font>
      <b/>
      <u/>
      <sz val="9"/>
      <color indexed="11"/>
      <name val="Cambria"/>
      <family val="1"/>
      <scheme val="major"/>
    </font>
    <font>
      <b/>
      <sz val="9"/>
      <color indexed="8"/>
      <name val="Cambria"/>
      <family val="1"/>
      <scheme val="major"/>
    </font>
    <font>
      <sz val="9"/>
      <color indexed="8"/>
      <name val="Cambria"/>
      <family val="1"/>
      <scheme val="major"/>
    </font>
    <font>
      <sz val="9"/>
      <color theme="1"/>
      <name val="Cambria"/>
      <family val="1"/>
      <scheme val="major"/>
    </font>
    <font>
      <sz val="9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mbria"/>
      <family val="2"/>
      <scheme val="major"/>
    </font>
    <font>
      <strike/>
      <sz val="11"/>
      <name val="Cambria"/>
      <family val="2"/>
      <scheme val="major"/>
    </font>
    <font>
      <b/>
      <sz val="11"/>
      <color rgb="FFFF0000"/>
      <name val="Calibri"/>
      <family val="2"/>
      <scheme val="minor"/>
    </font>
    <font>
      <sz val="11"/>
      <color rgb="FFFF0000"/>
      <name val="Cambria"/>
      <family val="1"/>
    </font>
    <font>
      <sz val="9"/>
      <color indexed="8"/>
      <name val="Arial"/>
      <charset val="1"/>
    </font>
    <font>
      <sz val="9"/>
      <color indexed="8"/>
      <name val="Arial"/>
      <family val="2"/>
    </font>
    <font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0.39997558519241921"/>
      </left>
      <right style="thin">
        <color theme="3"/>
      </right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/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</borders>
  <cellStyleXfs count="465">
    <xf numFmtId="0" fontId="0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2" applyNumberFormat="0" applyAlignment="0" applyProtection="0"/>
    <xf numFmtId="43" fontId="25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8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43" fontId="18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10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7" borderId="3" applyNumberFormat="0" applyAlignment="0" applyProtection="0"/>
    <xf numFmtId="9" fontId="25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</cellStyleXfs>
  <cellXfs count="279">
    <xf numFmtId="0" fontId="0" fillId="0" borderId="0" xfId="0"/>
    <xf numFmtId="0" fontId="15" fillId="0" borderId="5" xfId="283" applyFont="1" applyBorder="1" applyAlignment="1">
      <alignment horizontal="left" vertical="top" wrapText="1"/>
    </xf>
    <xf numFmtId="0" fontId="0" fillId="0" borderId="6" xfId="0" applyBorder="1"/>
    <xf numFmtId="0" fontId="27" fillId="0" borderId="6" xfId="0" applyFont="1" applyBorder="1" applyAlignment="1">
      <alignment horizontal="left" vertical="top" wrapText="1"/>
    </xf>
    <xf numFmtId="0" fontId="28" fillId="0" borderId="6" xfId="0" applyFont="1" applyBorder="1" applyAlignment="1">
      <alignment horizontal="left" vertical="top" wrapText="1"/>
    </xf>
    <xf numFmtId="17" fontId="26" fillId="0" borderId="0" xfId="0" applyNumberFormat="1" applyFont="1"/>
    <xf numFmtId="0" fontId="14" fillId="0" borderId="5" xfId="241" applyFont="1" applyBorder="1" applyAlignment="1">
      <alignment wrapText="1"/>
    </xf>
    <xf numFmtId="0" fontId="15" fillId="0" borderId="5" xfId="241" applyFont="1" applyBorder="1" applyAlignment="1">
      <alignment wrapText="1"/>
    </xf>
    <xf numFmtId="43" fontId="2" fillId="0" borderId="5" xfId="93" applyBorder="1" applyAlignment="1">
      <alignment wrapText="1"/>
    </xf>
    <xf numFmtId="43" fontId="2" fillId="0" borderId="5" xfId="93" applyBorder="1" applyAlignment="1">
      <alignment horizontal="center" wrapText="1"/>
    </xf>
    <xf numFmtId="0" fontId="4" fillId="0" borderId="7" xfId="0" applyFont="1" applyBorder="1" applyAlignment="1" applyProtection="1">
      <alignment vertical="top" wrapText="1" readingOrder="1"/>
      <protection locked="0"/>
    </xf>
    <xf numFmtId="0" fontId="6" fillId="0" borderId="7" xfId="0" applyFont="1" applyBorder="1" applyAlignment="1" applyProtection="1">
      <alignment vertical="top" wrapText="1" readingOrder="1"/>
      <protection locked="0"/>
    </xf>
    <xf numFmtId="0" fontId="5" fillId="0" borderId="7" xfId="0" applyFont="1" applyBorder="1" applyAlignment="1" applyProtection="1">
      <alignment vertical="top" wrapText="1" readingOrder="1"/>
      <protection locked="0"/>
    </xf>
    <xf numFmtId="164" fontId="5" fillId="0" borderId="7" xfId="0" applyNumberFormat="1" applyFont="1" applyBorder="1" applyAlignment="1" applyProtection="1">
      <alignment vertical="top" wrapText="1" readingOrder="1"/>
      <protection locked="0"/>
    </xf>
    <xf numFmtId="165" fontId="5" fillId="0" borderId="7" xfId="0" applyNumberFormat="1" applyFont="1" applyBorder="1" applyAlignment="1" applyProtection="1">
      <alignment vertical="top" wrapText="1" readingOrder="1"/>
      <protection locked="0"/>
    </xf>
    <xf numFmtId="164" fontId="0" fillId="0" borderId="0" xfId="0" applyNumberFormat="1"/>
    <xf numFmtId="0" fontId="27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9" fontId="25" fillId="0" borderId="6" xfId="459" applyFont="1" applyBorder="1"/>
    <xf numFmtId="1" fontId="14" fillId="0" borderId="5" xfId="241" applyNumberFormat="1" applyFont="1" applyBorder="1" applyAlignment="1">
      <alignment wrapText="1"/>
    </xf>
    <xf numFmtId="43" fontId="6" fillId="0" borderId="7" xfId="27" applyFont="1" applyBorder="1" applyAlignment="1" applyProtection="1">
      <alignment vertical="top" wrapText="1" readingOrder="1"/>
      <protection locked="0"/>
    </xf>
    <xf numFmtId="43" fontId="5" fillId="0" borderId="7" xfId="27" applyFont="1" applyBorder="1" applyAlignment="1" applyProtection="1">
      <alignment vertical="top" wrapText="1" readingOrder="1"/>
      <protection locked="0"/>
    </xf>
    <xf numFmtId="0" fontId="19" fillId="12" borderId="7" xfId="0" applyFont="1" applyFill="1" applyBorder="1" applyAlignment="1" applyProtection="1">
      <alignment vertical="top" wrapText="1" readingOrder="1"/>
      <protection locked="0"/>
    </xf>
    <xf numFmtId="0" fontId="26" fillId="0" borderId="0" xfId="0" applyFont="1"/>
    <xf numFmtId="43" fontId="14" fillId="0" borderId="5" xfId="27" applyFont="1" applyBorder="1" applyAlignment="1">
      <alignment wrapText="1"/>
    </xf>
    <xf numFmtId="0" fontId="29" fillId="0" borderId="6" xfId="0" applyFont="1" applyBorder="1"/>
    <xf numFmtId="43" fontId="29" fillId="0" borderId="6" xfId="27" applyFont="1" applyBorder="1"/>
    <xf numFmtId="0" fontId="30" fillId="0" borderId="6" xfId="0" applyFont="1" applyBorder="1"/>
    <xf numFmtId="0" fontId="31" fillId="0" borderId="6" xfId="0" applyFont="1" applyBorder="1"/>
    <xf numFmtId="173" fontId="30" fillId="0" borderId="6" xfId="0" applyNumberFormat="1" applyFont="1" applyBorder="1"/>
    <xf numFmtId="9" fontId="31" fillId="0" borderId="6" xfId="459" applyFont="1" applyBorder="1"/>
    <xf numFmtId="0" fontId="32" fillId="0" borderId="6" xfId="0" applyFont="1" applyBorder="1"/>
    <xf numFmtId="0" fontId="33" fillId="0" borderId="6" xfId="0" applyFont="1" applyBorder="1"/>
    <xf numFmtId="173" fontId="30" fillId="0" borderId="6" xfId="0" applyNumberFormat="1" applyFont="1" applyBorder="1" applyAlignment="1">
      <alignment horizontal="right"/>
    </xf>
    <xf numFmtId="174" fontId="31" fillId="0" borderId="6" xfId="0" applyNumberFormat="1" applyFont="1" applyBorder="1"/>
    <xf numFmtId="0" fontId="34" fillId="0" borderId="6" xfId="0" applyFont="1" applyBorder="1"/>
    <xf numFmtId="43" fontId="0" fillId="0" borderId="0" xfId="0" applyNumberFormat="1"/>
    <xf numFmtId="173" fontId="34" fillId="0" borderId="6" xfId="0" applyNumberFormat="1" applyFont="1" applyBorder="1"/>
    <xf numFmtId="170" fontId="25" fillId="0" borderId="6" xfId="459" applyNumberFormat="1" applyFont="1" applyBorder="1"/>
    <xf numFmtId="0" fontId="0" fillId="0" borderId="6" xfId="0" applyBorder="1" applyAlignment="1">
      <alignment horizontal="center" vertical="center"/>
    </xf>
    <xf numFmtId="0" fontId="28" fillId="0" borderId="6" xfId="0" applyFont="1" applyBorder="1" applyAlignment="1">
      <alignment vertical="top" wrapText="1"/>
    </xf>
    <xf numFmtId="0" fontId="30" fillId="0" borderId="6" xfId="241" applyFont="1" applyBorder="1"/>
    <xf numFmtId="0" fontId="31" fillId="0" borderId="6" xfId="241" applyFont="1" applyBorder="1"/>
    <xf numFmtId="0" fontId="0" fillId="0" borderId="8" xfId="0" applyBorder="1"/>
    <xf numFmtId="0" fontId="0" fillId="0" borderId="9" xfId="0" applyBorder="1"/>
    <xf numFmtId="17" fontId="26" fillId="0" borderId="9" xfId="0" applyNumberFormat="1" applyFont="1" applyBorder="1"/>
    <xf numFmtId="10" fontId="25" fillId="0" borderId="10" xfId="459" applyNumberFormat="1" applyFont="1" applyBorder="1"/>
    <xf numFmtId="0" fontId="34" fillId="0" borderId="11" xfId="241" applyFont="1" applyBorder="1"/>
    <xf numFmtId="0" fontId="0" fillId="0" borderId="11" xfId="0" applyBorder="1"/>
    <xf numFmtId="0" fontId="30" fillId="0" borderId="11" xfId="241" applyFont="1" applyBorder="1"/>
    <xf numFmtId="0" fontId="34" fillId="0" borderId="12" xfId="241" applyFont="1" applyBorder="1"/>
    <xf numFmtId="0" fontId="0" fillId="0" borderId="13" xfId="0" applyBorder="1"/>
    <xf numFmtId="0" fontId="29" fillId="0" borderId="15" xfId="0" applyFont="1" applyBorder="1"/>
    <xf numFmtId="0" fontId="19" fillId="12" borderId="6" xfId="0" applyFont="1" applyFill="1" applyBorder="1" applyAlignment="1" applyProtection="1">
      <alignment horizontal="center" vertical="top" readingOrder="1"/>
      <protection locked="0"/>
    </xf>
    <xf numFmtId="0" fontId="19" fillId="12" borderId="6" xfId="0" applyFont="1" applyFill="1" applyBorder="1" applyAlignment="1" applyProtection="1">
      <alignment vertical="top" readingOrder="1"/>
      <protection locked="0"/>
    </xf>
    <xf numFmtId="174" fontId="0" fillId="0" borderId="6" xfId="0" applyNumberFormat="1" applyBorder="1"/>
    <xf numFmtId="174" fontId="26" fillId="0" borderId="6" xfId="0" applyNumberFormat="1" applyFont="1" applyBorder="1"/>
    <xf numFmtId="43" fontId="6" fillId="13" borderId="7" xfId="27" applyFont="1" applyFill="1" applyBorder="1" applyAlignment="1" applyProtection="1">
      <alignment vertical="top" wrapText="1" readingOrder="1"/>
      <protection locked="0"/>
    </xf>
    <xf numFmtId="43" fontId="26" fillId="0" borderId="0" xfId="0" applyNumberFormat="1" applyFont="1"/>
    <xf numFmtId="43" fontId="25" fillId="0" borderId="6" xfId="27" applyFont="1" applyBorder="1"/>
    <xf numFmtId="174" fontId="25" fillId="0" borderId="6" xfId="27" applyNumberFormat="1" applyFont="1" applyBorder="1"/>
    <xf numFmtId="0" fontId="35" fillId="0" borderId="6" xfId="0" applyFont="1" applyBorder="1"/>
    <xf numFmtId="0" fontId="36" fillId="0" borderId="6" xfId="0" applyFont="1" applyBorder="1"/>
    <xf numFmtId="0" fontId="36" fillId="13" borderId="6" xfId="0" applyFont="1" applyFill="1" applyBorder="1"/>
    <xf numFmtId="0" fontId="35" fillId="13" borderId="16" xfId="0" applyFont="1" applyFill="1" applyBorder="1"/>
    <xf numFmtId="0" fontId="35" fillId="13" borderId="20" xfId="0" applyFont="1" applyFill="1" applyBorder="1"/>
    <xf numFmtId="0" fontId="35" fillId="0" borderId="21" xfId="0" applyFont="1" applyBorder="1"/>
    <xf numFmtId="174" fontId="35" fillId="0" borderId="17" xfId="27" applyNumberFormat="1" applyFont="1" applyBorder="1"/>
    <xf numFmtId="174" fontId="35" fillId="0" borderId="22" xfId="27" applyNumberFormat="1" applyFont="1" applyBorder="1"/>
    <xf numFmtId="0" fontId="35" fillId="0" borderId="23" xfId="0" applyFont="1" applyBorder="1"/>
    <xf numFmtId="174" fontId="35" fillId="15" borderId="17" xfId="27" applyNumberFormat="1" applyFont="1" applyFill="1" applyBorder="1"/>
    <xf numFmtId="174" fontId="35" fillId="0" borderId="24" xfId="27" applyNumberFormat="1" applyFont="1" applyBorder="1"/>
    <xf numFmtId="174" fontId="37" fillId="15" borderId="17" xfId="27" applyNumberFormat="1" applyFont="1" applyFill="1" applyBorder="1"/>
    <xf numFmtId="174" fontId="37" fillId="0" borderId="24" xfId="27" applyNumberFormat="1" applyFont="1" applyBorder="1"/>
    <xf numFmtId="0" fontId="36" fillId="13" borderId="23" xfId="0" applyFont="1" applyFill="1" applyBorder="1"/>
    <xf numFmtId="174" fontId="38" fillId="13" borderId="17" xfId="27" applyNumberFormat="1" applyFont="1" applyFill="1" applyBorder="1"/>
    <xf numFmtId="174" fontId="38" fillId="13" borderId="24" xfId="27" applyNumberFormat="1" applyFont="1" applyFill="1" applyBorder="1"/>
    <xf numFmtId="0" fontId="0" fillId="0" borderId="25" xfId="0" applyBorder="1"/>
    <xf numFmtId="0" fontId="0" fillId="0" borderId="26" xfId="0" applyBorder="1"/>
    <xf numFmtId="174" fontId="37" fillId="0" borderId="17" xfId="27" applyNumberFormat="1" applyFont="1" applyBorder="1"/>
    <xf numFmtId="0" fontId="36" fillId="13" borderId="27" xfId="0" applyFont="1" applyFill="1" applyBorder="1"/>
    <xf numFmtId="174" fontId="36" fillId="13" borderId="17" xfId="27" applyNumberFormat="1" applyFont="1" applyFill="1" applyBorder="1"/>
    <xf numFmtId="174" fontId="36" fillId="13" borderId="24" xfId="27" applyNumberFormat="1" applyFont="1" applyFill="1" applyBorder="1"/>
    <xf numFmtId="0" fontId="35" fillId="0" borderId="28" xfId="0" applyFont="1" applyBorder="1"/>
    <xf numFmtId="0" fontId="36" fillId="13" borderId="28" xfId="0" applyFont="1" applyFill="1" applyBorder="1"/>
    <xf numFmtId="174" fontId="36" fillId="13" borderId="17" xfId="0" applyNumberFormat="1" applyFont="1" applyFill="1" applyBorder="1"/>
    <xf numFmtId="174" fontId="36" fillId="13" borderId="24" xfId="0" applyNumberFormat="1" applyFont="1" applyFill="1" applyBorder="1"/>
    <xf numFmtId="174" fontId="38" fillId="13" borderId="17" xfId="0" applyNumberFormat="1" applyFont="1" applyFill="1" applyBorder="1"/>
    <xf numFmtId="174" fontId="38" fillId="13" borderId="24" xfId="0" applyNumberFormat="1" applyFont="1" applyFill="1" applyBorder="1"/>
    <xf numFmtId="0" fontId="35" fillId="0" borderId="17" xfId="0" applyFont="1" applyBorder="1"/>
    <xf numFmtId="0" fontId="35" fillId="13" borderId="17" xfId="0" applyFont="1" applyFill="1" applyBorder="1"/>
    <xf numFmtId="0" fontId="35" fillId="13" borderId="24" xfId="0" applyFont="1" applyFill="1" applyBorder="1"/>
    <xf numFmtId="0" fontId="35" fillId="0" borderId="24" xfId="0" applyFont="1" applyBorder="1"/>
    <xf numFmtId="174" fontId="35" fillId="13" borderId="17" xfId="0" applyNumberFormat="1" applyFont="1" applyFill="1" applyBorder="1"/>
    <xf numFmtId="174" fontId="35" fillId="13" borderId="24" xfId="0" applyNumberFormat="1" applyFont="1" applyFill="1" applyBorder="1"/>
    <xf numFmtId="174" fontId="37" fillId="0" borderId="17" xfId="0" applyNumberFormat="1" applyFont="1" applyBorder="1"/>
    <xf numFmtId="174" fontId="37" fillId="0" borderId="24" xfId="0" applyNumberFormat="1" applyFont="1" applyBorder="1"/>
    <xf numFmtId="174" fontId="38" fillId="13" borderId="29" xfId="0" applyNumberFormat="1" applyFont="1" applyFill="1" applyBorder="1"/>
    <xf numFmtId="0" fontId="35" fillId="0" borderId="0" xfId="0" applyFont="1"/>
    <xf numFmtId="9" fontId="25" fillId="0" borderId="0" xfId="459" applyFont="1"/>
    <xf numFmtId="43" fontId="25" fillId="0" borderId="0" xfId="27" applyFont="1"/>
    <xf numFmtId="43" fontId="39" fillId="0" borderId="0" xfId="27" applyFont="1"/>
    <xf numFmtId="43" fontId="25" fillId="0" borderId="0" xfId="27" applyFont="1" applyFill="1" applyBorder="1"/>
    <xf numFmtId="43" fontId="38" fillId="13" borderId="24" xfId="27" applyFont="1" applyFill="1" applyBorder="1"/>
    <xf numFmtId="43" fontId="36" fillId="13" borderId="24" xfId="27" applyFont="1" applyFill="1" applyBorder="1"/>
    <xf numFmtId="43" fontId="35" fillId="13" borderId="24" xfId="27" applyFont="1" applyFill="1" applyBorder="1"/>
    <xf numFmtId="43" fontId="38" fillId="13" borderId="29" xfId="27" applyFont="1" applyFill="1" applyBorder="1"/>
    <xf numFmtId="0" fontId="29" fillId="0" borderId="0" xfId="0" applyFont="1"/>
    <xf numFmtId="0" fontId="3" fillId="0" borderId="0" xfId="0" applyFont="1" applyAlignment="1" applyProtection="1">
      <alignment vertical="top" wrapText="1" readingOrder="1"/>
      <protection locked="0"/>
    </xf>
    <xf numFmtId="0" fontId="40" fillId="16" borderId="11" xfId="435" applyFont="1" applyFill="1" applyBorder="1" applyAlignment="1">
      <alignment horizontal="center" wrapText="1"/>
    </xf>
    <xf numFmtId="0" fontId="40" fillId="16" borderId="6" xfId="435" applyFont="1" applyFill="1" applyBorder="1" applyAlignment="1">
      <alignment horizontal="center"/>
    </xf>
    <xf numFmtId="0" fontId="40" fillId="16" borderId="9" xfId="435" applyFont="1" applyFill="1" applyBorder="1" applyAlignment="1">
      <alignment horizontal="center"/>
    </xf>
    <xf numFmtId="17" fontId="26" fillId="16" borderId="10" xfId="0" applyNumberFormat="1" applyFont="1" applyFill="1" applyBorder="1"/>
    <xf numFmtId="0" fontId="26" fillId="0" borderId="11" xfId="0" applyFont="1" applyBorder="1"/>
    <xf numFmtId="0" fontId="26" fillId="0" borderId="6" xfId="0" applyFont="1" applyBorder="1"/>
    <xf numFmtId="0" fontId="26" fillId="0" borderId="10" xfId="0" applyFont="1" applyBorder="1"/>
    <xf numFmtId="0" fontId="41" fillId="0" borderId="6" xfId="435" applyFont="1" applyBorder="1" applyAlignment="1">
      <alignment horizontal="center"/>
    </xf>
    <xf numFmtId="43" fontId="25" fillId="0" borderId="6" xfId="27" applyFont="1" applyFill="1" applyBorder="1" applyAlignment="1">
      <alignment horizontal="center"/>
    </xf>
    <xf numFmtId="170" fontId="25" fillId="0" borderId="6" xfId="459" applyNumberFormat="1" applyFont="1" applyFill="1" applyBorder="1" applyAlignment="1">
      <alignment horizontal="center"/>
    </xf>
    <xf numFmtId="0" fontId="26" fillId="0" borderId="6" xfId="0" applyFont="1" applyBorder="1" applyAlignment="1">
      <alignment horizontal="center"/>
    </xf>
    <xf numFmtId="170" fontId="2" fillId="0" borderId="6" xfId="461" applyNumberFormat="1" applyFont="1" applyFill="1" applyBorder="1" applyAlignment="1">
      <alignment horizontal="right"/>
    </xf>
    <xf numFmtId="170" fontId="2" fillId="0" borderId="6" xfId="461" applyNumberFormat="1" applyFont="1" applyFill="1" applyBorder="1" applyAlignment="1">
      <alignment horizontal="center"/>
    </xf>
    <xf numFmtId="9" fontId="41" fillId="0" borderId="6" xfId="435" applyNumberFormat="1" applyFont="1" applyBorder="1" applyAlignment="1">
      <alignment horizontal="center"/>
    </xf>
    <xf numFmtId="0" fontId="26" fillId="0" borderId="12" xfId="0" applyFont="1" applyBorder="1"/>
    <xf numFmtId="0" fontId="26" fillId="0" borderId="13" xfId="0" applyFont="1" applyBorder="1"/>
    <xf numFmtId="17" fontId="42" fillId="0" borderId="0" xfId="0" applyNumberFormat="1" applyFont="1" applyAlignment="1">
      <alignment horizontal="center" vertical="center"/>
    </xf>
    <xf numFmtId="174" fontId="2" fillId="0" borderId="6" xfId="30" applyNumberFormat="1" applyFont="1" applyFill="1" applyBorder="1"/>
    <xf numFmtId="0" fontId="2" fillId="0" borderId="6" xfId="0" applyFont="1" applyBorder="1"/>
    <xf numFmtId="0" fontId="25" fillId="17" borderId="6" xfId="459" applyNumberFormat="1" applyFont="1" applyFill="1" applyBorder="1" applyAlignment="1">
      <alignment horizontal="right"/>
    </xf>
    <xf numFmtId="0" fontId="25" fillId="17" borderId="6" xfId="459" applyNumberFormat="1" applyFont="1" applyFill="1" applyBorder="1" applyAlignment="1">
      <alignment horizontal="center"/>
    </xf>
    <xf numFmtId="2" fontId="2" fillId="17" borderId="6" xfId="461" applyNumberFormat="1" applyFont="1" applyFill="1" applyBorder="1" applyAlignment="1">
      <alignment horizontal="center"/>
    </xf>
    <xf numFmtId="2" fontId="25" fillId="17" borderId="6" xfId="459" applyNumberFormat="1" applyFont="1" applyFill="1" applyBorder="1" applyAlignment="1">
      <alignment horizontal="center"/>
    </xf>
    <xf numFmtId="2" fontId="0" fillId="17" borderId="6" xfId="0" applyNumberFormat="1" applyFill="1" applyBorder="1" applyAlignment="1">
      <alignment horizontal="center"/>
    </xf>
    <xf numFmtId="2" fontId="26" fillId="18" borderId="14" xfId="0" applyNumberFormat="1" applyFont="1" applyFill="1" applyBorder="1"/>
    <xf numFmtId="166" fontId="24" fillId="0" borderId="5" xfId="28" applyFont="1" applyFill="1" applyBorder="1" applyAlignment="1" applyProtection="1">
      <protection locked="0"/>
    </xf>
    <xf numFmtId="0" fontId="24" fillId="0" borderId="0" xfId="0" applyFont="1" applyProtection="1">
      <protection locked="0"/>
    </xf>
    <xf numFmtId="17" fontId="19" fillId="12" borderId="7" xfId="0" applyNumberFormat="1" applyFont="1" applyFill="1" applyBorder="1" applyAlignment="1" applyProtection="1">
      <alignment vertical="top" wrapText="1" readingOrder="1"/>
      <protection locked="0"/>
    </xf>
    <xf numFmtId="175" fontId="19" fillId="12" borderId="7" xfId="0" applyNumberFormat="1" applyFont="1" applyFill="1" applyBorder="1" applyAlignment="1" applyProtection="1">
      <alignment vertical="top" wrapText="1" readingOrder="1"/>
      <protection locked="0"/>
    </xf>
    <xf numFmtId="175" fontId="26" fillId="0" borderId="9" xfId="0" applyNumberFormat="1" applyFont="1" applyBorder="1"/>
    <xf numFmtId="175" fontId="19" fillId="12" borderId="6" xfId="0" applyNumberFormat="1" applyFont="1" applyFill="1" applyBorder="1" applyAlignment="1" applyProtection="1">
      <alignment horizontal="center" vertical="top" readingOrder="1"/>
      <protection locked="0"/>
    </xf>
    <xf numFmtId="175" fontId="26" fillId="16" borderId="10" xfId="0" applyNumberFormat="1" applyFont="1" applyFill="1" applyBorder="1"/>
    <xf numFmtId="176" fontId="42" fillId="0" borderId="0" xfId="0" applyNumberFormat="1" applyFont="1" applyAlignment="1">
      <alignment horizontal="center" vertical="center"/>
    </xf>
    <xf numFmtId="166" fontId="14" fillId="0" borderId="5" xfId="28" applyFont="1" applyFill="1" applyBorder="1" applyAlignment="1" applyProtection="1">
      <protection locked="0"/>
    </xf>
    <xf numFmtId="166" fontId="15" fillId="11" borderId="5" xfId="28" applyFont="1" applyFill="1" applyBorder="1" applyAlignment="1" applyProtection="1"/>
    <xf numFmtId="0" fontId="14" fillId="12" borderId="5" xfId="241" applyFont="1" applyFill="1" applyBorder="1" applyAlignment="1">
      <alignment wrapText="1"/>
    </xf>
    <xf numFmtId="166" fontId="46" fillId="0" borderId="5" xfId="28" applyFont="1" applyFill="1" applyBorder="1" applyAlignment="1" applyProtection="1">
      <protection locked="0"/>
    </xf>
    <xf numFmtId="177" fontId="0" fillId="0" borderId="0" xfId="0" applyNumberFormat="1"/>
    <xf numFmtId="9" fontId="0" fillId="0" borderId="0" xfId="459" applyFont="1"/>
    <xf numFmtId="178" fontId="0" fillId="0" borderId="0" xfId="0" applyNumberFormat="1"/>
    <xf numFmtId="164" fontId="47" fillId="0" borderId="7" xfId="0" applyNumberFormat="1" applyFont="1" applyBorder="1" applyAlignment="1" applyProtection="1">
      <alignment vertical="top" wrapText="1" readingOrder="1"/>
      <protection locked="0"/>
    </xf>
    <xf numFmtId="165" fontId="47" fillId="0" borderId="7" xfId="0" applyNumberFormat="1" applyFont="1" applyBorder="1" applyAlignment="1" applyProtection="1">
      <alignment vertical="top" wrapText="1" readingOrder="1"/>
      <protection locked="0"/>
    </xf>
    <xf numFmtId="0" fontId="48" fillId="0" borderId="7" xfId="0" applyFont="1" applyBorder="1" applyAlignment="1" applyProtection="1">
      <alignment vertical="top" wrapText="1" readingOrder="1"/>
      <protection locked="0"/>
    </xf>
    <xf numFmtId="0" fontId="49" fillId="8" borderId="7" xfId="0" applyFont="1" applyFill="1" applyBorder="1" applyAlignment="1" applyProtection="1">
      <alignment vertical="top" wrapText="1" readingOrder="1"/>
      <protection locked="0"/>
    </xf>
    <xf numFmtId="175" fontId="49" fillId="8" borderId="7" xfId="0" applyNumberFormat="1" applyFont="1" applyFill="1" applyBorder="1" applyAlignment="1" applyProtection="1">
      <alignment vertical="top" wrapText="1" readingOrder="1"/>
      <protection locked="0"/>
    </xf>
    <xf numFmtId="0" fontId="49" fillId="0" borderId="7" xfId="0" applyFont="1" applyBorder="1" applyAlignment="1" applyProtection="1">
      <alignment vertical="top" wrapText="1" readingOrder="1"/>
      <protection locked="0"/>
    </xf>
    <xf numFmtId="43" fontId="49" fillId="13" borderId="7" xfId="27" applyFont="1" applyFill="1" applyBorder="1" applyAlignment="1" applyProtection="1">
      <alignment vertical="top" wrapText="1" readingOrder="1"/>
      <protection locked="0"/>
    </xf>
    <xf numFmtId="0" fontId="50" fillId="0" borderId="7" xfId="0" applyFont="1" applyBorder="1" applyAlignment="1" applyProtection="1">
      <alignment vertical="top" wrapText="1" readingOrder="1"/>
      <protection locked="0"/>
    </xf>
    <xf numFmtId="43" fontId="50" fillId="0" borderId="7" xfId="27" applyFont="1" applyBorder="1" applyAlignment="1" applyProtection="1">
      <alignment vertical="top" wrapText="1" readingOrder="1"/>
      <protection locked="0"/>
    </xf>
    <xf numFmtId="164" fontId="50" fillId="0" borderId="7" xfId="0" applyNumberFormat="1" applyFont="1" applyBorder="1" applyAlignment="1" applyProtection="1">
      <alignment vertical="top" wrapText="1" readingOrder="1"/>
      <protection locked="0"/>
    </xf>
    <xf numFmtId="43" fontId="49" fillId="0" borderId="7" xfId="27" applyFont="1" applyBorder="1" applyAlignment="1" applyProtection="1">
      <alignment vertical="top" wrapText="1" readingOrder="1"/>
      <protection locked="0"/>
    </xf>
    <xf numFmtId="164" fontId="50" fillId="10" borderId="7" xfId="0" applyNumberFormat="1" applyFont="1" applyFill="1" applyBorder="1" applyAlignment="1" applyProtection="1">
      <alignment vertical="top" wrapText="1" readingOrder="1"/>
      <protection locked="0"/>
    </xf>
    <xf numFmtId="0" fontId="49" fillId="9" borderId="7" xfId="0" applyFont="1" applyFill="1" applyBorder="1" applyAlignment="1" applyProtection="1">
      <alignment vertical="top" wrapText="1" readingOrder="1"/>
      <protection locked="0"/>
    </xf>
    <xf numFmtId="43" fontId="49" fillId="14" borderId="7" xfId="27" applyFont="1" applyFill="1" applyBorder="1" applyAlignment="1" applyProtection="1">
      <alignment vertical="top" wrapText="1" readingOrder="1"/>
      <protection locked="0"/>
    </xf>
    <xf numFmtId="172" fontId="50" fillId="0" borderId="6" xfId="0" applyNumberFormat="1" applyFont="1" applyBorder="1" applyAlignment="1" applyProtection="1">
      <alignment horizontal="right" vertical="center"/>
      <protection locked="0"/>
    </xf>
    <xf numFmtId="171" fontId="52" fillId="0" borderId="6" xfId="28" applyNumberFormat="1" applyFont="1" applyBorder="1" applyAlignment="1" applyProtection="1">
      <alignment horizontal="right" vertical="center"/>
      <protection locked="0"/>
    </xf>
    <xf numFmtId="171" fontId="52" fillId="0" borderId="6" xfId="28" applyNumberFormat="1" applyFont="1" applyFill="1" applyBorder="1" applyAlignment="1" applyProtection="1">
      <protection locked="0"/>
    </xf>
    <xf numFmtId="43" fontId="0" fillId="0" borderId="0" xfId="27" applyFont="1"/>
    <xf numFmtId="43" fontId="19" fillId="12" borderId="7" xfId="27" applyFont="1" applyFill="1" applyBorder="1" applyAlignment="1" applyProtection="1">
      <alignment vertical="top" wrapText="1" readingOrder="1"/>
      <protection locked="0"/>
    </xf>
    <xf numFmtId="43" fontId="26" fillId="0" borderId="0" xfId="27" applyFont="1"/>
    <xf numFmtId="43" fontId="49" fillId="8" borderId="7" xfId="27" applyFont="1" applyFill="1" applyBorder="1" applyAlignment="1" applyProtection="1">
      <alignment vertical="top" wrapText="1" readingOrder="1"/>
      <protection locked="0"/>
    </xf>
    <xf numFmtId="43" fontId="51" fillId="0" borderId="0" xfId="27" applyFont="1"/>
    <xf numFmtId="43" fontId="53" fillId="0" borderId="0" xfId="27" applyFont="1"/>
    <xf numFmtId="0" fontId="26" fillId="0" borderId="11" xfId="0" applyFont="1" applyBorder="1" applyAlignment="1">
      <alignment horizontal="center"/>
    </xf>
    <xf numFmtId="0" fontId="26" fillId="0" borderId="32" xfId="0" applyFont="1" applyBorder="1" applyAlignment="1">
      <alignment horizontal="right"/>
    </xf>
    <xf numFmtId="0" fontId="26" fillId="0" borderId="6" xfId="0" applyFont="1" applyBorder="1" applyAlignment="1" applyProtection="1">
      <alignment horizontal="right"/>
      <protection locked="0"/>
    </xf>
    <xf numFmtId="17" fontId="26" fillId="0" borderId="0" xfId="0" applyNumberFormat="1" applyFont="1" applyProtection="1">
      <protection locked="0"/>
    </xf>
    <xf numFmtId="17" fontId="56" fillId="0" borderId="10" xfId="0" applyNumberFormat="1" applyFont="1" applyBorder="1" applyAlignment="1" applyProtection="1">
      <alignment horizontal="right" wrapText="1"/>
      <protection locked="0"/>
    </xf>
    <xf numFmtId="0" fontId="57" fillId="0" borderId="11" xfId="0" applyFont="1" applyBorder="1"/>
    <xf numFmtId="0" fontId="57" fillId="0" borderId="6" xfId="0" applyFont="1" applyBorder="1" applyAlignment="1">
      <alignment horizontal="center"/>
    </xf>
    <xf numFmtId="174" fontId="57" fillId="0" borderId="6" xfId="30" applyNumberFormat="1" applyFont="1" applyBorder="1" applyAlignment="1" applyProtection="1">
      <alignment horizontal="right"/>
    </xf>
    <xf numFmtId="174" fontId="14" fillId="0" borderId="6" xfId="30" applyNumberFormat="1" applyFont="1" applyBorder="1" applyAlignment="1" applyProtection="1">
      <alignment horizontal="right"/>
    </xf>
    <xf numFmtId="9" fontId="57" fillId="0" borderId="6" xfId="0" applyNumberFormat="1" applyFont="1" applyBorder="1" applyAlignment="1">
      <alignment horizontal="center"/>
    </xf>
    <xf numFmtId="170" fontId="57" fillId="0" borderId="6" xfId="459" applyNumberFormat="1" applyFont="1" applyBorder="1" applyAlignment="1" applyProtection="1">
      <alignment horizontal="right"/>
    </xf>
    <xf numFmtId="170" fontId="14" fillId="0" borderId="6" xfId="459" applyNumberFormat="1" applyFont="1" applyBorder="1" applyAlignment="1" applyProtection="1">
      <alignment horizontal="right"/>
    </xf>
    <xf numFmtId="170" fontId="57" fillId="0" borderId="6" xfId="459" applyNumberFormat="1" applyFont="1" applyFill="1" applyBorder="1" applyAlignment="1" applyProtection="1">
      <alignment horizontal="right"/>
    </xf>
    <xf numFmtId="170" fontId="14" fillId="0" borderId="6" xfId="459" applyNumberFormat="1" applyFont="1" applyFill="1" applyBorder="1" applyAlignment="1" applyProtection="1">
      <alignment horizontal="right"/>
    </xf>
    <xf numFmtId="170" fontId="0" fillId="15" borderId="6" xfId="459" applyNumberFormat="1" applyFont="1" applyFill="1" applyBorder="1" applyAlignment="1" applyProtection="1">
      <alignment horizontal="right"/>
    </xf>
    <xf numFmtId="170" fontId="59" fillId="15" borderId="6" xfId="459" applyNumberFormat="1" applyFont="1" applyFill="1" applyBorder="1" applyAlignment="1" applyProtection="1">
      <alignment horizontal="right"/>
    </xf>
    <xf numFmtId="0" fontId="57" fillId="15" borderId="11" xfId="0" applyFont="1" applyFill="1" applyBorder="1"/>
    <xf numFmtId="170" fontId="57" fillId="15" borderId="6" xfId="459" applyNumberFormat="1" applyFont="1" applyFill="1" applyBorder="1" applyAlignment="1" applyProtection="1">
      <alignment horizontal="right"/>
    </xf>
    <xf numFmtId="170" fontId="14" fillId="15" borderId="6" xfId="459" applyNumberFormat="1" applyFont="1" applyFill="1" applyBorder="1" applyAlignment="1" applyProtection="1">
      <alignment horizontal="right"/>
    </xf>
    <xf numFmtId="0" fontId="57" fillId="15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57" fillId="15" borderId="11" xfId="0" applyFont="1" applyFill="1" applyBorder="1" applyAlignment="1">
      <alignment horizontal="left"/>
    </xf>
    <xf numFmtId="9" fontId="57" fillId="15" borderId="6" xfId="0" applyNumberFormat="1" applyFont="1" applyFill="1" applyBorder="1" applyAlignment="1">
      <alignment horizontal="center"/>
    </xf>
    <xf numFmtId="0" fontId="54" fillId="0" borderId="6" xfId="0" applyFont="1" applyBorder="1" applyAlignment="1">
      <alignment horizontal="center"/>
    </xf>
    <xf numFmtId="0" fontId="59" fillId="0" borderId="11" xfId="0" applyFont="1" applyBorder="1"/>
    <xf numFmtId="43" fontId="59" fillId="0" borderId="6" xfId="27" applyFont="1" applyBorder="1" applyAlignment="1" applyProtection="1">
      <alignment horizontal="center"/>
    </xf>
    <xf numFmtId="43" fontId="59" fillId="0" borderId="6" xfId="27" applyFont="1" applyBorder="1" applyProtection="1">
      <protection locked="0"/>
    </xf>
    <xf numFmtId="43" fontId="14" fillId="0" borderId="6" xfId="27" applyFont="1" applyBorder="1" applyProtection="1">
      <protection locked="0"/>
    </xf>
    <xf numFmtId="43" fontId="46" fillId="0" borderId="6" xfId="27" applyFont="1" applyBorder="1" applyProtection="1">
      <protection locked="0"/>
    </xf>
    <xf numFmtId="0" fontId="30" fillId="15" borderId="11" xfId="0" applyFont="1" applyFill="1" applyBorder="1" applyAlignment="1" applyProtection="1">
      <alignment horizontal="left"/>
      <protection locked="0"/>
    </xf>
    <xf numFmtId="0" fontId="59" fillId="0" borderId="6" xfId="0" applyFon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59" fillId="0" borderId="6" xfId="0" applyFont="1" applyBorder="1" applyProtection="1">
      <protection locked="0"/>
    </xf>
    <xf numFmtId="0" fontId="0" fillId="0" borderId="32" xfId="0" applyBorder="1" applyProtection="1">
      <protection locked="0"/>
    </xf>
    <xf numFmtId="0" fontId="54" fillId="0" borderId="10" xfId="0" applyFont="1" applyBorder="1" applyProtection="1">
      <protection locked="0"/>
    </xf>
    <xf numFmtId="0" fontId="60" fillId="0" borderId="11" xfId="0" applyFont="1" applyBorder="1" applyAlignment="1" applyProtection="1">
      <alignment horizontal="left"/>
      <protection locked="0"/>
    </xf>
    <xf numFmtId="0" fontId="60" fillId="15" borderId="11" xfId="0" applyFont="1" applyFill="1" applyBorder="1" applyAlignment="1" applyProtection="1">
      <alignment horizontal="left"/>
      <protection locked="0"/>
    </xf>
    <xf numFmtId="0" fontId="26" fillId="15" borderId="11" xfId="0" applyFont="1" applyFill="1" applyBorder="1"/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left"/>
      <protection locked="0"/>
    </xf>
    <xf numFmtId="0" fontId="59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54" fillId="0" borderId="10" xfId="0" applyFont="1" applyBorder="1" applyAlignment="1" applyProtection="1">
      <alignment horizontal="left"/>
      <protection locked="0"/>
    </xf>
    <xf numFmtId="0" fontId="26" fillId="15" borderId="39" xfId="0" applyFont="1" applyFill="1" applyBorder="1"/>
    <xf numFmtId="0" fontId="0" fillId="0" borderId="15" xfId="0" applyBorder="1" applyAlignment="1" applyProtection="1">
      <alignment horizontal="center"/>
      <protection locked="0"/>
    </xf>
    <xf numFmtId="0" fontId="26" fillId="15" borderId="12" xfId="0" applyFont="1" applyFill="1" applyBorder="1"/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0" fontId="59" fillId="0" borderId="13" xfId="0" applyFont="1" applyBorder="1" applyProtection="1">
      <protection locked="0"/>
    </xf>
    <xf numFmtId="0" fontId="0" fillId="0" borderId="40" xfId="0" applyBorder="1" applyProtection="1">
      <protection locked="0"/>
    </xf>
    <xf numFmtId="0" fontId="54" fillId="0" borderId="14" xfId="0" applyFont="1" applyBorder="1" applyProtection="1">
      <protection locked="0"/>
    </xf>
    <xf numFmtId="0" fontId="62" fillId="15" borderId="41" xfId="0" applyFont="1" applyFill="1" applyBorder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59" fillId="0" borderId="0" xfId="0" applyFont="1" applyProtection="1">
      <protection locked="0"/>
    </xf>
    <xf numFmtId="0" fontId="54" fillId="0" borderId="0" xfId="0" applyFont="1" applyProtection="1">
      <protection locked="0"/>
    </xf>
    <xf numFmtId="170" fontId="63" fillId="0" borderId="6" xfId="459" applyNumberFormat="1" applyFont="1" applyFill="1" applyBorder="1" applyAlignment="1" applyProtection="1">
      <alignment horizontal="right"/>
    </xf>
    <xf numFmtId="164" fontId="64" fillId="10" borderId="7" xfId="0" applyNumberFormat="1" applyFont="1" applyFill="1" applyBorder="1" applyAlignment="1" applyProtection="1">
      <alignment vertical="top" wrapText="1" readingOrder="1"/>
      <protection locked="0"/>
    </xf>
    <xf numFmtId="164" fontId="64" fillId="0" borderId="7" xfId="0" applyNumberFormat="1" applyFont="1" applyBorder="1" applyAlignment="1" applyProtection="1">
      <alignment vertical="top" wrapText="1" readingOrder="1"/>
      <protection locked="0"/>
    </xf>
    <xf numFmtId="43" fontId="0" fillId="0" borderId="42" xfId="27" applyFont="1" applyBorder="1" applyAlignment="1" applyProtection="1">
      <alignment vertical="top" wrapText="1"/>
      <protection locked="0"/>
    </xf>
    <xf numFmtId="43" fontId="54" fillId="0" borderId="42" xfId="27" applyFont="1" applyBorder="1" applyAlignment="1" applyProtection="1">
      <alignment vertical="top" wrapText="1"/>
      <protection locked="0"/>
    </xf>
    <xf numFmtId="43" fontId="65" fillId="0" borderId="43" xfId="27" applyFont="1" applyFill="1" applyBorder="1" applyAlignment="1" applyProtection="1">
      <alignment vertical="top" wrapText="1" readingOrder="1"/>
      <protection locked="0"/>
    </xf>
    <xf numFmtId="164" fontId="66" fillId="0" borderId="7" xfId="0" applyNumberFormat="1" applyFont="1" applyBorder="1" applyAlignment="1" applyProtection="1">
      <alignment vertical="top" wrapText="1" readingOrder="1"/>
      <protection locked="0"/>
    </xf>
    <xf numFmtId="164" fontId="2" fillId="0" borderId="7" xfId="0" applyNumberFormat="1" applyFont="1" applyBorder="1" applyAlignment="1" applyProtection="1">
      <alignment vertical="top" wrapText="1" readingOrder="1"/>
      <protection locked="0"/>
    </xf>
    <xf numFmtId="9" fontId="27" fillId="0" borderId="6" xfId="459" applyFont="1" applyBorder="1" applyAlignment="1">
      <alignment horizontal="right" vertical="center" wrapText="1"/>
    </xf>
    <xf numFmtId="174" fontId="6" fillId="13" borderId="7" xfId="27" applyNumberFormat="1" applyFont="1" applyFill="1" applyBorder="1" applyAlignment="1" applyProtection="1">
      <alignment vertical="top" wrapText="1" readingOrder="1"/>
      <protection locked="0"/>
    </xf>
    <xf numFmtId="174" fontId="0" fillId="0" borderId="0" xfId="27" applyNumberFormat="1" applyFont="1"/>
    <xf numFmtId="174" fontId="26" fillId="0" borderId="0" xfId="27" applyNumberFormat="1" applyFont="1"/>
    <xf numFmtId="174" fontId="54" fillId="0" borderId="0" xfId="27" applyNumberFormat="1" applyFont="1"/>
    <xf numFmtId="174" fontId="49" fillId="13" borderId="7" xfId="27" applyNumberFormat="1" applyFont="1" applyFill="1" applyBorder="1" applyAlignment="1" applyProtection="1">
      <alignment vertical="top" wrapText="1" readingOrder="1"/>
      <protection locked="0"/>
    </xf>
    <xf numFmtId="174" fontId="49" fillId="14" borderId="7" xfId="27" applyNumberFormat="1" applyFont="1" applyFill="1" applyBorder="1" applyAlignment="1" applyProtection="1">
      <alignment vertical="top" wrapText="1" readingOrder="1"/>
      <protection locked="0"/>
    </xf>
    <xf numFmtId="0" fontId="16" fillId="0" borderId="0" xfId="0" applyFont="1" applyAlignment="1" applyProtection="1">
      <alignment vertical="top" wrapText="1" readingOrder="1"/>
      <protection locked="0"/>
    </xf>
    <xf numFmtId="0" fontId="29" fillId="0" borderId="11" xfId="241" applyFont="1" applyBorder="1" applyAlignment="1">
      <alignment horizontal="left" vertical="top"/>
    </xf>
    <xf numFmtId="0" fontId="29" fillId="0" borderId="11" xfId="241" applyFont="1" applyBorder="1" applyAlignment="1">
      <alignment horizontal="left" vertical="top" wrapText="1"/>
    </xf>
    <xf numFmtId="0" fontId="43" fillId="0" borderId="11" xfId="0" applyFont="1" applyBorder="1" applyAlignment="1">
      <alignment horizontal="center" vertical="top" wrapText="1"/>
    </xf>
    <xf numFmtId="0" fontId="44" fillId="0" borderId="0" xfId="0" applyFont="1" applyAlignment="1">
      <alignment horizontal="center"/>
    </xf>
    <xf numFmtId="0" fontId="43" fillId="0" borderId="11" xfId="0" applyFont="1" applyBorder="1" applyAlignment="1">
      <alignment horizontal="center" vertical="top"/>
    </xf>
    <xf numFmtId="0" fontId="45" fillId="0" borderId="18" xfId="0" applyFont="1" applyBorder="1" applyAlignment="1">
      <alignment horizontal="center" wrapText="1"/>
    </xf>
    <xf numFmtId="0" fontId="45" fillId="0" borderId="0" xfId="0" applyFont="1" applyAlignment="1">
      <alignment horizontal="center" wrapText="1"/>
    </xf>
    <xf numFmtId="0" fontId="45" fillId="0" borderId="19" xfId="0" applyFont="1" applyBorder="1" applyAlignment="1">
      <alignment horizontal="center" wrapText="1"/>
    </xf>
    <xf numFmtId="0" fontId="56" fillId="17" borderId="37" xfId="0" applyFont="1" applyFill="1" applyBorder="1" applyAlignment="1">
      <alignment horizontal="left"/>
    </xf>
    <xf numFmtId="0" fontId="56" fillId="17" borderId="16" xfId="0" applyFont="1" applyFill="1" applyBorder="1" applyAlignment="1">
      <alignment horizontal="left"/>
    </xf>
    <xf numFmtId="0" fontId="56" fillId="17" borderId="38" xfId="0" applyFont="1" applyFill="1" applyBorder="1" applyAlignment="1">
      <alignment horizontal="left"/>
    </xf>
    <xf numFmtId="0" fontId="0" fillId="0" borderId="32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55" fillId="16" borderId="11" xfId="0" applyFont="1" applyFill="1" applyBorder="1" applyAlignment="1">
      <alignment horizontal="left"/>
    </xf>
    <xf numFmtId="0" fontId="55" fillId="16" borderId="6" xfId="0" applyFont="1" applyFill="1" applyBorder="1" applyAlignment="1">
      <alignment horizontal="left"/>
    </xf>
    <xf numFmtId="0" fontId="55" fillId="16" borderId="32" xfId="0" applyFont="1" applyFill="1" applyBorder="1" applyAlignment="1">
      <alignment horizontal="left"/>
    </xf>
    <xf numFmtId="0" fontId="55" fillId="16" borderId="10" xfId="0" applyFont="1" applyFill="1" applyBorder="1" applyAlignment="1">
      <alignment horizontal="left"/>
    </xf>
    <xf numFmtId="0" fontId="26" fillId="0" borderId="8" xfId="0" applyFont="1" applyBorder="1" applyAlignment="1" applyProtection="1">
      <alignment horizontal="center"/>
      <protection locked="0"/>
    </xf>
    <xf numFmtId="0" fontId="26" fillId="0" borderId="9" xfId="0" applyFont="1" applyBorder="1" applyAlignment="1" applyProtection="1">
      <alignment horizontal="center"/>
      <protection locked="0"/>
    </xf>
    <xf numFmtId="0" fontId="26" fillId="0" borderId="30" xfId="0" applyFont="1" applyBorder="1" applyAlignment="1" applyProtection="1">
      <alignment horizontal="center"/>
      <protection locked="0"/>
    </xf>
    <xf numFmtId="0" fontId="26" fillId="0" borderId="31" xfId="0" applyFont="1" applyBorder="1" applyAlignment="1" applyProtection="1">
      <alignment horizontal="center"/>
      <protection locked="0"/>
    </xf>
    <xf numFmtId="0" fontId="26" fillId="0" borderId="11" xfId="0" applyFont="1" applyBorder="1" applyAlignment="1" applyProtection="1">
      <alignment horizontal="center"/>
      <protection locked="0"/>
    </xf>
    <xf numFmtId="0" fontId="26" fillId="0" borderId="6" xfId="0" applyFont="1" applyBorder="1" applyAlignment="1" applyProtection="1">
      <alignment horizontal="center"/>
      <protection locked="0"/>
    </xf>
    <xf numFmtId="0" fontId="26" fillId="0" borderId="32" xfId="0" applyFont="1" applyBorder="1" applyAlignment="1" applyProtection="1">
      <alignment horizontal="center"/>
      <protection locked="0"/>
    </xf>
    <xf numFmtId="0" fontId="26" fillId="0" borderId="10" xfId="0" applyFont="1" applyBorder="1" applyAlignment="1" applyProtection="1">
      <alignment horizontal="center"/>
      <protection locked="0"/>
    </xf>
    <xf numFmtId="0" fontId="26" fillId="0" borderId="15" xfId="0" applyFont="1" applyBorder="1" applyAlignment="1">
      <alignment horizontal="center"/>
    </xf>
    <xf numFmtId="0" fontId="26" fillId="0" borderId="35" xfId="0" applyFont="1" applyBorder="1" applyAlignment="1">
      <alignment horizontal="center"/>
    </xf>
    <xf numFmtId="0" fontId="26" fillId="0" borderId="17" xfId="0" applyFont="1" applyBorder="1" applyAlignment="1" applyProtection="1">
      <alignment horizontal="center"/>
      <protection locked="0"/>
    </xf>
    <xf numFmtId="0" fontId="26" fillId="0" borderId="33" xfId="0" applyFont="1" applyBorder="1" applyAlignment="1" applyProtection="1">
      <alignment horizontal="center"/>
      <protection locked="0"/>
    </xf>
    <xf numFmtId="17" fontId="26" fillId="0" borderId="34" xfId="0" applyNumberFormat="1" applyFont="1" applyBorder="1" applyAlignment="1" applyProtection="1">
      <alignment horizontal="center" wrapText="1"/>
      <protection locked="0"/>
    </xf>
    <xf numFmtId="17" fontId="26" fillId="0" borderId="36" xfId="0" applyNumberFormat="1" applyFont="1" applyBorder="1" applyAlignment="1" applyProtection="1">
      <alignment horizontal="center" wrapText="1"/>
      <protection locked="0"/>
    </xf>
    <xf numFmtId="0" fontId="55" fillId="0" borderId="34" xfId="0" applyFont="1" applyBorder="1" applyAlignment="1">
      <alignment horizontal="center" wrapText="1"/>
    </xf>
    <xf numFmtId="0" fontId="55" fillId="0" borderId="36" xfId="0" applyFont="1" applyBorder="1" applyAlignment="1">
      <alignment horizontal="center" wrapText="1"/>
    </xf>
    <xf numFmtId="0" fontId="36" fillId="0" borderId="0" xfId="0" applyFont="1" applyAlignment="1">
      <alignment horizontal="center"/>
    </xf>
  </cellXfs>
  <cellStyles count="465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30" xr:uid="{00000000-0005-0000-0000-00001D000000}"/>
    <cellStyle name="Comma 10 11" xfId="31" xr:uid="{00000000-0005-0000-0000-00001E000000}"/>
    <cellStyle name="Comma 10 12" xfId="32" xr:uid="{00000000-0005-0000-0000-00001F000000}"/>
    <cellStyle name="Comma 10 13" xfId="33" xr:uid="{00000000-0005-0000-0000-000020000000}"/>
    <cellStyle name="Comma 10 14" xfId="34" xr:uid="{00000000-0005-0000-0000-000021000000}"/>
    <cellStyle name="Comma 10 15" xfId="35" xr:uid="{00000000-0005-0000-0000-000022000000}"/>
    <cellStyle name="Comma 10 16" xfId="36" xr:uid="{00000000-0005-0000-0000-000023000000}"/>
    <cellStyle name="Comma 10 2" xfId="37" xr:uid="{00000000-0005-0000-0000-000024000000}"/>
    <cellStyle name="Comma 10 3" xfId="38" xr:uid="{00000000-0005-0000-0000-000025000000}"/>
    <cellStyle name="Comma 10 4" xfId="39" xr:uid="{00000000-0005-0000-0000-000026000000}"/>
    <cellStyle name="Comma 10 5" xfId="40" xr:uid="{00000000-0005-0000-0000-000027000000}"/>
    <cellStyle name="Comma 10 6" xfId="41" xr:uid="{00000000-0005-0000-0000-000028000000}"/>
    <cellStyle name="Comma 10 7" xfId="42" xr:uid="{00000000-0005-0000-0000-000029000000}"/>
    <cellStyle name="Comma 10 8" xfId="43" xr:uid="{00000000-0005-0000-0000-00002A000000}"/>
    <cellStyle name="Comma 10 9" xfId="44" xr:uid="{00000000-0005-0000-0000-00002B000000}"/>
    <cellStyle name="Comma 11" xfId="45" xr:uid="{00000000-0005-0000-0000-00002C000000}"/>
    <cellStyle name="Comma 11 10" xfId="46" xr:uid="{00000000-0005-0000-0000-00002D000000}"/>
    <cellStyle name="Comma 11 11" xfId="47" xr:uid="{00000000-0005-0000-0000-00002E000000}"/>
    <cellStyle name="Comma 11 12" xfId="48" xr:uid="{00000000-0005-0000-0000-00002F000000}"/>
    <cellStyle name="Comma 11 13" xfId="49" xr:uid="{00000000-0005-0000-0000-000030000000}"/>
    <cellStyle name="Comma 11 14" xfId="50" xr:uid="{00000000-0005-0000-0000-000031000000}"/>
    <cellStyle name="Comma 11 15" xfId="51" xr:uid="{00000000-0005-0000-0000-000032000000}"/>
    <cellStyle name="Comma 11 16" xfId="52" xr:uid="{00000000-0005-0000-0000-000033000000}"/>
    <cellStyle name="Comma 11 17" xfId="53" xr:uid="{00000000-0005-0000-0000-000034000000}"/>
    <cellStyle name="Comma 11 2" xfId="54" xr:uid="{00000000-0005-0000-0000-000035000000}"/>
    <cellStyle name="Comma 11 2 2" xfId="55" xr:uid="{00000000-0005-0000-0000-000036000000}"/>
    <cellStyle name="Comma 11 3" xfId="56" xr:uid="{00000000-0005-0000-0000-000037000000}"/>
    <cellStyle name="Comma 11 4" xfId="57" xr:uid="{00000000-0005-0000-0000-000038000000}"/>
    <cellStyle name="Comma 11 5" xfId="58" xr:uid="{00000000-0005-0000-0000-000039000000}"/>
    <cellStyle name="Comma 11 6" xfId="59" xr:uid="{00000000-0005-0000-0000-00003A000000}"/>
    <cellStyle name="Comma 11 7" xfId="60" xr:uid="{00000000-0005-0000-0000-00003B000000}"/>
    <cellStyle name="Comma 11 8" xfId="61" xr:uid="{00000000-0005-0000-0000-00003C000000}"/>
    <cellStyle name="Comma 11 9" xfId="62" xr:uid="{00000000-0005-0000-0000-00003D000000}"/>
    <cellStyle name="Comma 12" xfId="63" xr:uid="{00000000-0005-0000-0000-00003E000000}"/>
    <cellStyle name="Comma 13" xfId="64" xr:uid="{00000000-0005-0000-0000-00003F000000}"/>
    <cellStyle name="Comma 14" xfId="65" xr:uid="{00000000-0005-0000-0000-000040000000}"/>
    <cellStyle name="Comma 15" xfId="66" xr:uid="{00000000-0005-0000-0000-000041000000}"/>
    <cellStyle name="Comma 16" xfId="67" xr:uid="{00000000-0005-0000-0000-000042000000}"/>
    <cellStyle name="Comma 16 10" xfId="68" xr:uid="{00000000-0005-0000-0000-000043000000}"/>
    <cellStyle name="Comma 16 11" xfId="69" xr:uid="{00000000-0005-0000-0000-000044000000}"/>
    <cellStyle name="Comma 16 12" xfId="70" xr:uid="{00000000-0005-0000-0000-000045000000}"/>
    <cellStyle name="Comma 16 13" xfId="71" xr:uid="{00000000-0005-0000-0000-000046000000}"/>
    <cellStyle name="Comma 16 14" xfId="72" xr:uid="{00000000-0005-0000-0000-000047000000}"/>
    <cellStyle name="Comma 16 15" xfId="73" xr:uid="{00000000-0005-0000-0000-000048000000}"/>
    <cellStyle name="Comma 16 16" xfId="74" xr:uid="{00000000-0005-0000-0000-000049000000}"/>
    <cellStyle name="Comma 16 2" xfId="75" xr:uid="{00000000-0005-0000-0000-00004A000000}"/>
    <cellStyle name="Comma 16 3" xfId="76" xr:uid="{00000000-0005-0000-0000-00004B000000}"/>
    <cellStyle name="Comma 16 4" xfId="77" xr:uid="{00000000-0005-0000-0000-00004C000000}"/>
    <cellStyle name="Comma 16 5" xfId="78" xr:uid="{00000000-0005-0000-0000-00004D000000}"/>
    <cellStyle name="Comma 16 6" xfId="79" xr:uid="{00000000-0005-0000-0000-00004E000000}"/>
    <cellStyle name="Comma 16 7" xfId="80" xr:uid="{00000000-0005-0000-0000-00004F000000}"/>
    <cellStyle name="Comma 16 8" xfId="81" xr:uid="{00000000-0005-0000-0000-000050000000}"/>
    <cellStyle name="Comma 16 9" xfId="82" xr:uid="{00000000-0005-0000-0000-000051000000}"/>
    <cellStyle name="Comma 17" xfId="83" xr:uid="{00000000-0005-0000-0000-000052000000}"/>
    <cellStyle name="Comma 17 10" xfId="84" xr:uid="{00000000-0005-0000-0000-000053000000}"/>
    <cellStyle name="Comma 17 2" xfId="85" xr:uid="{00000000-0005-0000-0000-000054000000}"/>
    <cellStyle name="Comma 17 3" xfId="86" xr:uid="{00000000-0005-0000-0000-000055000000}"/>
    <cellStyle name="Comma 17 4" xfId="87" xr:uid="{00000000-0005-0000-0000-000056000000}"/>
    <cellStyle name="Comma 17 5" xfId="88" xr:uid="{00000000-0005-0000-0000-000057000000}"/>
    <cellStyle name="Comma 17 6" xfId="89" xr:uid="{00000000-0005-0000-0000-000058000000}"/>
    <cellStyle name="Comma 17 7" xfId="90" xr:uid="{00000000-0005-0000-0000-000059000000}"/>
    <cellStyle name="Comma 17 8" xfId="91" xr:uid="{00000000-0005-0000-0000-00005A000000}"/>
    <cellStyle name="Comma 17 9" xfId="92" xr:uid="{00000000-0005-0000-0000-00005B000000}"/>
    <cellStyle name="Comma 18" xfId="93" xr:uid="{00000000-0005-0000-0000-00005C000000}"/>
    <cellStyle name="Comma 18 2" xfId="94" xr:uid="{00000000-0005-0000-0000-00005D000000}"/>
    <cellStyle name="Comma 18 3" xfId="95" xr:uid="{00000000-0005-0000-0000-00005E000000}"/>
    <cellStyle name="Comma 2" xfId="96" xr:uid="{00000000-0005-0000-0000-00005F000000}"/>
    <cellStyle name="Comma 2 10" xfId="97" xr:uid="{00000000-0005-0000-0000-000060000000}"/>
    <cellStyle name="Comma 2 11" xfId="98" xr:uid="{00000000-0005-0000-0000-000061000000}"/>
    <cellStyle name="Comma 2 12" xfId="99" xr:uid="{00000000-0005-0000-0000-000062000000}"/>
    <cellStyle name="Comma 2 13" xfId="100" xr:uid="{00000000-0005-0000-0000-000063000000}"/>
    <cellStyle name="Comma 2 14" xfId="101" xr:uid="{00000000-0005-0000-0000-000064000000}"/>
    <cellStyle name="Comma 2 15" xfId="102" xr:uid="{00000000-0005-0000-0000-000065000000}"/>
    <cellStyle name="Comma 2 16" xfId="103" xr:uid="{00000000-0005-0000-0000-000066000000}"/>
    <cellStyle name="Comma 2 17" xfId="104" xr:uid="{00000000-0005-0000-0000-000067000000}"/>
    <cellStyle name="Comma 2 18" xfId="105" xr:uid="{00000000-0005-0000-0000-000068000000}"/>
    <cellStyle name="Comma 2 19" xfId="106" xr:uid="{00000000-0005-0000-0000-000069000000}"/>
    <cellStyle name="Comma 2 2" xfId="107" xr:uid="{00000000-0005-0000-0000-00006A000000}"/>
    <cellStyle name="Comma 2 20" xfId="108" xr:uid="{00000000-0005-0000-0000-00006B000000}"/>
    <cellStyle name="Comma 2 21" xfId="109" xr:uid="{00000000-0005-0000-0000-00006C000000}"/>
    <cellStyle name="Comma 2 22" xfId="110" xr:uid="{00000000-0005-0000-0000-00006D000000}"/>
    <cellStyle name="Comma 2 23" xfId="111" xr:uid="{00000000-0005-0000-0000-00006E000000}"/>
    <cellStyle name="Comma 2 24" xfId="112" xr:uid="{00000000-0005-0000-0000-00006F000000}"/>
    <cellStyle name="Comma 2 25" xfId="113" xr:uid="{00000000-0005-0000-0000-000070000000}"/>
    <cellStyle name="Comma 2 26" xfId="114" xr:uid="{00000000-0005-0000-0000-000071000000}"/>
    <cellStyle name="Comma 2 3" xfId="115" xr:uid="{00000000-0005-0000-0000-000072000000}"/>
    <cellStyle name="Comma 2 4" xfId="116" xr:uid="{00000000-0005-0000-0000-000073000000}"/>
    <cellStyle name="Comma 2 5" xfId="117" xr:uid="{00000000-0005-0000-0000-000074000000}"/>
    <cellStyle name="Comma 2 6" xfId="118" xr:uid="{00000000-0005-0000-0000-000075000000}"/>
    <cellStyle name="Comma 2 7" xfId="119" xr:uid="{00000000-0005-0000-0000-000076000000}"/>
    <cellStyle name="Comma 2 8" xfId="120" xr:uid="{00000000-0005-0000-0000-000077000000}"/>
    <cellStyle name="Comma 2 9" xfId="121" xr:uid="{00000000-0005-0000-0000-000078000000}"/>
    <cellStyle name="Comma 24" xfId="122" xr:uid="{00000000-0005-0000-0000-000079000000}"/>
    <cellStyle name="Comma 3" xfId="123" xr:uid="{00000000-0005-0000-0000-00007A000000}"/>
    <cellStyle name="Comma 3 10" xfId="124" xr:uid="{00000000-0005-0000-0000-00007B000000}"/>
    <cellStyle name="Comma 3 11" xfId="125" xr:uid="{00000000-0005-0000-0000-00007C000000}"/>
    <cellStyle name="Comma 3 12" xfId="126" xr:uid="{00000000-0005-0000-0000-00007D000000}"/>
    <cellStyle name="Comma 3 13" xfId="127" xr:uid="{00000000-0005-0000-0000-00007E000000}"/>
    <cellStyle name="Comma 3 14" xfId="128" xr:uid="{00000000-0005-0000-0000-00007F000000}"/>
    <cellStyle name="Comma 3 15" xfId="129" xr:uid="{00000000-0005-0000-0000-000080000000}"/>
    <cellStyle name="Comma 3 16" xfId="130" xr:uid="{00000000-0005-0000-0000-000081000000}"/>
    <cellStyle name="Comma 3 17" xfId="131" xr:uid="{00000000-0005-0000-0000-000082000000}"/>
    <cellStyle name="Comma 3 18" xfId="132" xr:uid="{00000000-0005-0000-0000-000083000000}"/>
    <cellStyle name="Comma 3 19" xfId="133" xr:uid="{00000000-0005-0000-0000-000084000000}"/>
    <cellStyle name="Comma 3 2" xfId="134" xr:uid="{00000000-0005-0000-0000-000085000000}"/>
    <cellStyle name="Comma 3 20" xfId="135" xr:uid="{00000000-0005-0000-0000-000086000000}"/>
    <cellStyle name="Comma 3 3" xfId="136" xr:uid="{00000000-0005-0000-0000-000087000000}"/>
    <cellStyle name="Comma 3 4" xfId="137" xr:uid="{00000000-0005-0000-0000-000088000000}"/>
    <cellStyle name="Comma 3 5" xfId="138" xr:uid="{00000000-0005-0000-0000-000089000000}"/>
    <cellStyle name="Comma 3 6" xfId="139" xr:uid="{00000000-0005-0000-0000-00008A000000}"/>
    <cellStyle name="Comma 3 7" xfId="140" xr:uid="{00000000-0005-0000-0000-00008B000000}"/>
    <cellStyle name="Comma 3 8" xfId="141" xr:uid="{00000000-0005-0000-0000-00008C000000}"/>
    <cellStyle name="Comma 3 9" xfId="142" xr:uid="{00000000-0005-0000-0000-00008D000000}"/>
    <cellStyle name="Comma 4" xfId="143" xr:uid="{00000000-0005-0000-0000-00008E000000}"/>
    <cellStyle name="Comma 5" xfId="144" xr:uid="{00000000-0005-0000-0000-00008F000000}"/>
    <cellStyle name="Comma 5 10" xfId="145" xr:uid="{00000000-0005-0000-0000-000090000000}"/>
    <cellStyle name="Comma 5 11" xfId="146" xr:uid="{00000000-0005-0000-0000-000091000000}"/>
    <cellStyle name="Comma 5 12" xfId="147" xr:uid="{00000000-0005-0000-0000-000092000000}"/>
    <cellStyle name="Comma 5 13" xfId="148" xr:uid="{00000000-0005-0000-0000-000093000000}"/>
    <cellStyle name="Comma 5 14" xfId="149" xr:uid="{00000000-0005-0000-0000-000094000000}"/>
    <cellStyle name="Comma 5 15" xfId="150" xr:uid="{00000000-0005-0000-0000-000095000000}"/>
    <cellStyle name="Comma 5 16" xfId="151" xr:uid="{00000000-0005-0000-0000-000096000000}"/>
    <cellStyle name="Comma 5 17" xfId="152" xr:uid="{00000000-0005-0000-0000-000097000000}"/>
    <cellStyle name="Comma 5 18" xfId="153" xr:uid="{00000000-0005-0000-0000-000098000000}"/>
    <cellStyle name="Comma 5 19" xfId="154" xr:uid="{00000000-0005-0000-0000-000099000000}"/>
    <cellStyle name="Comma 5 2" xfId="155" xr:uid="{00000000-0005-0000-0000-00009A000000}"/>
    <cellStyle name="Comma 5 20" xfId="156" xr:uid="{00000000-0005-0000-0000-00009B000000}"/>
    <cellStyle name="Comma 5 3" xfId="157" xr:uid="{00000000-0005-0000-0000-00009C000000}"/>
    <cellStyle name="Comma 5 4" xfId="158" xr:uid="{00000000-0005-0000-0000-00009D000000}"/>
    <cellStyle name="Comma 5 5" xfId="159" xr:uid="{00000000-0005-0000-0000-00009E000000}"/>
    <cellStyle name="Comma 5 6" xfId="160" xr:uid="{00000000-0005-0000-0000-00009F000000}"/>
    <cellStyle name="Comma 5 7" xfId="161" xr:uid="{00000000-0005-0000-0000-0000A0000000}"/>
    <cellStyle name="Comma 5 8" xfId="162" xr:uid="{00000000-0005-0000-0000-0000A1000000}"/>
    <cellStyle name="Comma 5 9" xfId="163" xr:uid="{00000000-0005-0000-0000-0000A2000000}"/>
    <cellStyle name="Comma 6" xfId="164" xr:uid="{00000000-0005-0000-0000-0000A3000000}"/>
    <cellStyle name="Comma 6 10" xfId="165" xr:uid="{00000000-0005-0000-0000-0000A4000000}"/>
    <cellStyle name="Comma 6 11" xfId="166" xr:uid="{00000000-0005-0000-0000-0000A5000000}"/>
    <cellStyle name="Comma 6 12" xfId="167" xr:uid="{00000000-0005-0000-0000-0000A6000000}"/>
    <cellStyle name="Comma 6 13" xfId="168" xr:uid="{00000000-0005-0000-0000-0000A7000000}"/>
    <cellStyle name="Comma 6 14" xfId="169" xr:uid="{00000000-0005-0000-0000-0000A8000000}"/>
    <cellStyle name="Comma 6 15" xfId="170" xr:uid="{00000000-0005-0000-0000-0000A9000000}"/>
    <cellStyle name="Comma 6 16" xfId="171" xr:uid="{00000000-0005-0000-0000-0000AA000000}"/>
    <cellStyle name="Comma 6 17" xfId="172" xr:uid="{00000000-0005-0000-0000-0000AB000000}"/>
    <cellStyle name="Comma 6 18" xfId="173" xr:uid="{00000000-0005-0000-0000-0000AC000000}"/>
    <cellStyle name="Comma 6 19" xfId="174" xr:uid="{00000000-0005-0000-0000-0000AD000000}"/>
    <cellStyle name="Comma 6 2" xfId="175" xr:uid="{00000000-0005-0000-0000-0000AE000000}"/>
    <cellStyle name="Comma 6 3" xfId="176" xr:uid="{00000000-0005-0000-0000-0000AF000000}"/>
    <cellStyle name="Comma 6 4" xfId="177" xr:uid="{00000000-0005-0000-0000-0000B0000000}"/>
    <cellStyle name="Comma 6 5" xfId="178" xr:uid="{00000000-0005-0000-0000-0000B1000000}"/>
    <cellStyle name="Comma 6 6" xfId="179" xr:uid="{00000000-0005-0000-0000-0000B2000000}"/>
    <cellStyle name="Comma 6 7" xfId="180" xr:uid="{00000000-0005-0000-0000-0000B3000000}"/>
    <cellStyle name="Comma 6 8" xfId="181" xr:uid="{00000000-0005-0000-0000-0000B4000000}"/>
    <cellStyle name="Comma 6 9" xfId="182" xr:uid="{00000000-0005-0000-0000-0000B5000000}"/>
    <cellStyle name="Comma 7" xfId="183" xr:uid="{00000000-0005-0000-0000-0000B6000000}"/>
    <cellStyle name="Comma 7 10" xfId="184" xr:uid="{00000000-0005-0000-0000-0000B7000000}"/>
    <cellStyle name="Comma 7 11" xfId="185" xr:uid="{00000000-0005-0000-0000-0000B8000000}"/>
    <cellStyle name="Comma 7 12" xfId="186" xr:uid="{00000000-0005-0000-0000-0000B9000000}"/>
    <cellStyle name="Comma 7 13" xfId="187" xr:uid="{00000000-0005-0000-0000-0000BA000000}"/>
    <cellStyle name="Comma 7 14" xfId="188" xr:uid="{00000000-0005-0000-0000-0000BB000000}"/>
    <cellStyle name="Comma 7 15" xfId="189" xr:uid="{00000000-0005-0000-0000-0000BC000000}"/>
    <cellStyle name="Comma 7 16" xfId="190" xr:uid="{00000000-0005-0000-0000-0000BD000000}"/>
    <cellStyle name="Comma 7 17" xfId="191" xr:uid="{00000000-0005-0000-0000-0000BE000000}"/>
    <cellStyle name="Comma 7 18" xfId="192" xr:uid="{00000000-0005-0000-0000-0000BF000000}"/>
    <cellStyle name="Comma 7 19" xfId="193" xr:uid="{00000000-0005-0000-0000-0000C0000000}"/>
    <cellStyle name="Comma 7 2" xfId="194" xr:uid="{00000000-0005-0000-0000-0000C1000000}"/>
    <cellStyle name="Comma 7 3" xfId="195" xr:uid="{00000000-0005-0000-0000-0000C2000000}"/>
    <cellStyle name="Comma 7 4" xfId="196" xr:uid="{00000000-0005-0000-0000-0000C3000000}"/>
    <cellStyle name="Comma 7 5" xfId="197" xr:uid="{00000000-0005-0000-0000-0000C4000000}"/>
    <cellStyle name="Comma 7 6" xfId="198" xr:uid="{00000000-0005-0000-0000-0000C5000000}"/>
    <cellStyle name="Comma 7 7" xfId="199" xr:uid="{00000000-0005-0000-0000-0000C6000000}"/>
    <cellStyle name="Comma 7 8" xfId="200" xr:uid="{00000000-0005-0000-0000-0000C7000000}"/>
    <cellStyle name="Comma 7 9" xfId="201" xr:uid="{00000000-0005-0000-0000-0000C8000000}"/>
    <cellStyle name="Comma 8" xfId="202" xr:uid="{00000000-0005-0000-0000-0000C9000000}"/>
    <cellStyle name="Comma 8 10" xfId="203" xr:uid="{00000000-0005-0000-0000-0000CA000000}"/>
    <cellStyle name="Comma 8 11" xfId="204" xr:uid="{00000000-0005-0000-0000-0000CB000000}"/>
    <cellStyle name="Comma 8 12" xfId="205" xr:uid="{00000000-0005-0000-0000-0000CC000000}"/>
    <cellStyle name="Comma 8 13" xfId="206" xr:uid="{00000000-0005-0000-0000-0000CD000000}"/>
    <cellStyle name="Comma 8 14" xfId="207" xr:uid="{00000000-0005-0000-0000-0000CE000000}"/>
    <cellStyle name="Comma 8 15" xfId="208" xr:uid="{00000000-0005-0000-0000-0000CF000000}"/>
    <cellStyle name="Comma 8 16" xfId="209" xr:uid="{00000000-0005-0000-0000-0000D0000000}"/>
    <cellStyle name="Comma 8 17" xfId="210" xr:uid="{00000000-0005-0000-0000-0000D1000000}"/>
    <cellStyle name="Comma 8 18" xfId="211" xr:uid="{00000000-0005-0000-0000-0000D2000000}"/>
    <cellStyle name="Comma 8 19" xfId="212" xr:uid="{00000000-0005-0000-0000-0000D3000000}"/>
    <cellStyle name="Comma 8 2" xfId="213" xr:uid="{00000000-0005-0000-0000-0000D4000000}"/>
    <cellStyle name="Comma 8 3" xfId="214" xr:uid="{00000000-0005-0000-0000-0000D5000000}"/>
    <cellStyle name="Comma 8 4" xfId="215" xr:uid="{00000000-0005-0000-0000-0000D6000000}"/>
    <cellStyle name="Comma 8 5" xfId="216" xr:uid="{00000000-0005-0000-0000-0000D7000000}"/>
    <cellStyle name="Comma 8 6" xfId="217" xr:uid="{00000000-0005-0000-0000-0000D8000000}"/>
    <cellStyle name="Comma 8 7" xfId="218" xr:uid="{00000000-0005-0000-0000-0000D9000000}"/>
    <cellStyle name="Comma 8 8" xfId="219" xr:uid="{00000000-0005-0000-0000-0000DA000000}"/>
    <cellStyle name="Comma 8 9" xfId="220" xr:uid="{00000000-0005-0000-0000-0000DB000000}"/>
    <cellStyle name="Comma 9" xfId="221" xr:uid="{00000000-0005-0000-0000-0000DC000000}"/>
    <cellStyle name="Comma 9 10" xfId="222" xr:uid="{00000000-0005-0000-0000-0000DD000000}"/>
    <cellStyle name="Comma 9 11" xfId="223" xr:uid="{00000000-0005-0000-0000-0000DE000000}"/>
    <cellStyle name="Comma 9 12" xfId="224" xr:uid="{00000000-0005-0000-0000-0000DF000000}"/>
    <cellStyle name="Comma 9 13" xfId="225" xr:uid="{00000000-0005-0000-0000-0000E0000000}"/>
    <cellStyle name="Comma 9 14" xfId="226" xr:uid="{00000000-0005-0000-0000-0000E1000000}"/>
    <cellStyle name="Comma 9 15" xfId="227" xr:uid="{00000000-0005-0000-0000-0000E2000000}"/>
    <cellStyle name="Comma 9 16" xfId="228" xr:uid="{00000000-0005-0000-0000-0000E3000000}"/>
    <cellStyle name="Comma 9 17" xfId="229" xr:uid="{00000000-0005-0000-0000-0000E4000000}"/>
    <cellStyle name="Comma 9 18" xfId="230" xr:uid="{00000000-0005-0000-0000-0000E5000000}"/>
    <cellStyle name="Comma 9 19" xfId="231" xr:uid="{00000000-0005-0000-0000-0000E6000000}"/>
    <cellStyle name="Comma 9 2" xfId="232" xr:uid="{00000000-0005-0000-0000-0000E7000000}"/>
    <cellStyle name="Comma 9 3" xfId="233" xr:uid="{00000000-0005-0000-0000-0000E8000000}"/>
    <cellStyle name="Comma 9 4" xfId="234" xr:uid="{00000000-0005-0000-0000-0000E9000000}"/>
    <cellStyle name="Comma 9 5" xfId="235" xr:uid="{00000000-0005-0000-0000-0000EA000000}"/>
    <cellStyle name="Comma 9 6" xfId="236" xr:uid="{00000000-0005-0000-0000-0000EB000000}"/>
    <cellStyle name="Comma 9 7" xfId="237" xr:uid="{00000000-0005-0000-0000-0000EC000000}"/>
    <cellStyle name="Comma 9 8" xfId="238" xr:uid="{00000000-0005-0000-0000-0000ED000000}"/>
    <cellStyle name="Comma 9 9" xfId="239" xr:uid="{00000000-0005-0000-0000-0000EE000000}"/>
    <cellStyle name="Input 2" xfId="240" xr:uid="{00000000-0005-0000-0000-0000EF000000}"/>
    <cellStyle name="Normal" xfId="0" builtinId="0"/>
    <cellStyle name="Normal 10" xfId="241" xr:uid="{00000000-0005-0000-0000-0000F1000000}"/>
    <cellStyle name="Normal 10 2" xfId="242" xr:uid="{00000000-0005-0000-0000-0000F2000000}"/>
    <cellStyle name="Normal 10 3" xfId="243" xr:uid="{00000000-0005-0000-0000-0000F3000000}"/>
    <cellStyle name="Normal 10 4" xfId="244" xr:uid="{00000000-0005-0000-0000-0000F4000000}"/>
    <cellStyle name="Normal 10 5" xfId="245" xr:uid="{00000000-0005-0000-0000-0000F5000000}"/>
    <cellStyle name="Normal 11" xfId="246" xr:uid="{00000000-0005-0000-0000-0000F6000000}"/>
    <cellStyle name="Normal 12" xfId="247" xr:uid="{00000000-0005-0000-0000-0000F7000000}"/>
    <cellStyle name="Normal 12 2" xfId="248" xr:uid="{00000000-0005-0000-0000-0000F8000000}"/>
    <cellStyle name="Normal 12 3" xfId="249" xr:uid="{00000000-0005-0000-0000-0000F9000000}"/>
    <cellStyle name="Normal 12 4" xfId="250" xr:uid="{00000000-0005-0000-0000-0000FA000000}"/>
    <cellStyle name="Normal 12 5" xfId="251" xr:uid="{00000000-0005-0000-0000-0000FB000000}"/>
    <cellStyle name="Normal 13" xfId="252" xr:uid="{00000000-0005-0000-0000-0000FC000000}"/>
    <cellStyle name="Normal 13 2" xfId="253" xr:uid="{00000000-0005-0000-0000-0000FD000000}"/>
    <cellStyle name="Normal 13 3" xfId="254" xr:uid="{00000000-0005-0000-0000-0000FE000000}"/>
    <cellStyle name="Normal 13 4" xfId="255" xr:uid="{00000000-0005-0000-0000-0000FF000000}"/>
    <cellStyle name="Normal 13 5" xfId="256" xr:uid="{00000000-0005-0000-0000-000000010000}"/>
    <cellStyle name="Normal 14" xfId="257" xr:uid="{00000000-0005-0000-0000-000001010000}"/>
    <cellStyle name="Normal 14 10" xfId="258" xr:uid="{00000000-0005-0000-0000-000002010000}"/>
    <cellStyle name="Normal 14 11" xfId="259" xr:uid="{00000000-0005-0000-0000-000003010000}"/>
    <cellStyle name="Normal 14 12" xfId="260" xr:uid="{00000000-0005-0000-0000-000004010000}"/>
    <cellStyle name="Normal 14 2" xfId="261" xr:uid="{00000000-0005-0000-0000-000005010000}"/>
    <cellStyle name="Normal 14 3" xfId="262" xr:uid="{00000000-0005-0000-0000-000006010000}"/>
    <cellStyle name="Normal 14 4" xfId="263" xr:uid="{00000000-0005-0000-0000-000007010000}"/>
    <cellStyle name="Normal 14 5" xfId="264" xr:uid="{00000000-0005-0000-0000-000008010000}"/>
    <cellStyle name="Normal 14 6" xfId="265" xr:uid="{00000000-0005-0000-0000-000009010000}"/>
    <cellStyle name="Normal 14 7" xfId="266" xr:uid="{00000000-0005-0000-0000-00000A010000}"/>
    <cellStyle name="Normal 14 8" xfId="267" xr:uid="{00000000-0005-0000-0000-00000B010000}"/>
    <cellStyle name="Normal 14 9" xfId="268" xr:uid="{00000000-0005-0000-0000-00000C010000}"/>
    <cellStyle name="Normal 15" xfId="269" xr:uid="{00000000-0005-0000-0000-00000D010000}"/>
    <cellStyle name="Normal 16" xfId="270" xr:uid="{00000000-0005-0000-0000-00000E010000}"/>
    <cellStyle name="Normal 17" xfId="271" xr:uid="{00000000-0005-0000-0000-00000F010000}"/>
    <cellStyle name="Normal 17 2" xfId="272" xr:uid="{00000000-0005-0000-0000-000010010000}"/>
    <cellStyle name="Normal 17 2 2" xfId="273" xr:uid="{00000000-0005-0000-0000-000011010000}"/>
    <cellStyle name="Normal 17 3" xfId="274" xr:uid="{00000000-0005-0000-0000-000012010000}"/>
    <cellStyle name="Normal 17 3 2" xfId="275" xr:uid="{00000000-0005-0000-0000-000013010000}"/>
    <cellStyle name="Normal 17 4" xfId="276" xr:uid="{00000000-0005-0000-0000-000014010000}"/>
    <cellStyle name="Normal 17 4 2" xfId="277" xr:uid="{00000000-0005-0000-0000-000015010000}"/>
    <cellStyle name="Normal 17 5" xfId="278" xr:uid="{00000000-0005-0000-0000-000016010000}"/>
    <cellStyle name="Normal 17 5 2" xfId="279" xr:uid="{00000000-0005-0000-0000-000017010000}"/>
    <cellStyle name="Normal 17 6" xfId="280" xr:uid="{00000000-0005-0000-0000-000018010000}"/>
    <cellStyle name="Normal 18" xfId="281" xr:uid="{00000000-0005-0000-0000-000019010000}"/>
    <cellStyle name="Normal 19" xfId="282" xr:uid="{00000000-0005-0000-0000-00001A010000}"/>
    <cellStyle name="Normal 2" xfId="283" xr:uid="{00000000-0005-0000-0000-00001B010000}"/>
    <cellStyle name="Normal 2 10" xfId="284" xr:uid="{00000000-0005-0000-0000-00001C010000}"/>
    <cellStyle name="Normal 2 11" xfId="285" xr:uid="{00000000-0005-0000-0000-00001D010000}"/>
    <cellStyle name="Normal 2 12" xfId="286" xr:uid="{00000000-0005-0000-0000-00001E010000}"/>
    <cellStyle name="Normal 2 13" xfId="287" xr:uid="{00000000-0005-0000-0000-00001F010000}"/>
    <cellStyle name="Normal 2 14" xfId="288" xr:uid="{00000000-0005-0000-0000-000020010000}"/>
    <cellStyle name="Normal 2 15" xfId="289" xr:uid="{00000000-0005-0000-0000-000021010000}"/>
    <cellStyle name="Normal 2 16" xfId="290" xr:uid="{00000000-0005-0000-0000-000022010000}"/>
    <cellStyle name="Normal 2 17" xfId="291" xr:uid="{00000000-0005-0000-0000-000023010000}"/>
    <cellStyle name="Normal 2 18" xfId="292" xr:uid="{00000000-0005-0000-0000-000024010000}"/>
    <cellStyle name="Normal 2 19" xfId="293" xr:uid="{00000000-0005-0000-0000-000025010000}"/>
    <cellStyle name="Normal 2 2" xfId="294" xr:uid="{00000000-0005-0000-0000-000026010000}"/>
    <cellStyle name="Normal 2 20" xfId="295" xr:uid="{00000000-0005-0000-0000-000027010000}"/>
    <cellStyle name="Normal 2 3" xfId="296" xr:uid="{00000000-0005-0000-0000-000028010000}"/>
    <cellStyle name="Normal 2 4" xfId="297" xr:uid="{00000000-0005-0000-0000-000029010000}"/>
    <cellStyle name="Normal 2 5" xfId="298" xr:uid="{00000000-0005-0000-0000-00002A010000}"/>
    <cellStyle name="Normal 2 6" xfId="299" xr:uid="{00000000-0005-0000-0000-00002B010000}"/>
    <cellStyle name="Normal 2 7" xfId="300" xr:uid="{00000000-0005-0000-0000-00002C010000}"/>
    <cellStyle name="Normal 2 8" xfId="301" xr:uid="{00000000-0005-0000-0000-00002D010000}"/>
    <cellStyle name="Normal 2 9" xfId="302" xr:uid="{00000000-0005-0000-0000-00002E010000}"/>
    <cellStyle name="Normal 2_deposits mobilized" xfId="303" xr:uid="{00000000-0005-0000-0000-00002F010000}"/>
    <cellStyle name="Normal 20" xfId="304" xr:uid="{00000000-0005-0000-0000-000030010000}"/>
    <cellStyle name="Normal 21" xfId="305" xr:uid="{00000000-0005-0000-0000-000031010000}"/>
    <cellStyle name="Normal 21 10" xfId="306" xr:uid="{00000000-0005-0000-0000-000032010000}"/>
    <cellStyle name="Normal 21 10 2" xfId="307" xr:uid="{00000000-0005-0000-0000-000033010000}"/>
    <cellStyle name="Normal 21 11" xfId="308" xr:uid="{00000000-0005-0000-0000-000034010000}"/>
    <cellStyle name="Normal 21 11 2" xfId="309" xr:uid="{00000000-0005-0000-0000-000035010000}"/>
    <cellStyle name="Normal 21 12" xfId="310" xr:uid="{00000000-0005-0000-0000-000036010000}"/>
    <cellStyle name="Normal 21 12 2" xfId="311" xr:uid="{00000000-0005-0000-0000-000037010000}"/>
    <cellStyle name="Normal 21 13" xfId="312" xr:uid="{00000000-0005-0000-0000-000038010000}"/>
    <cellStyle name="Normal 21 13 2" xfId="313" xr:uid="{00000000-0005-0000-0000-000039010000}"/>
    <cellStyle name="Normal 21 14" xfId="314" xr:uid="{00000000-0005-0000-0000-00003A010000}"/>
    <cellStyle name="Normal 21 14 2" xfId="315" xr:uid="{00000000-0005-0000-0000-00003B010000}"/>
    <cellStyle name="Normal 21 15" xfId="316" xr:uid="{00000000-0005-0000-0000-00003C010000}"/>
    <cellStyle name="Normal 21 15 2" xfId="317" xr:uid="{00000000-0005-0000-0000-00003D010000}"/>
    <cellStyle name="Normal 21 16" xfId="318" xr:uid="{00000000-0005-0000-0000-00003E010000}"/>
    <cellStyle name="Normal 21 16 2" xfId="319" xr:uid="{00000000-0005-0000-0000-00003F010000}"/>
    <cellStyle name="Normal 21 17" xfId="320" xr:uid="{00000000-0005-0000-0000-000040010000}"/>
    <cellStyle name="Normal 21 2" xfId="321" xr:uid="{00000000-0005-0000-0000-000041010000}"/>
    <cellStyle name="Normal 21 2 2" xfId="322" xr:uid="{00000000-0005-0000-0000-000042010000}"/>
    <cellStyle name="Normal 21 3" xfId="323" xr:uid="{00000000-0005-0000-0000-000043010000}"/>
    <cellStyle name="Normal 21 3 2" xfId="324" xr:uid="{00000000-0005-0000-0000-000044010000}"/>
    <cellStyle name="Normal 21 4" xfId="325" xr:uid="{00000000-0005-0000-0000-000045010000}"/>
    <cellStyle name="Normal 21 4 2" xfId="326" xr:uid="{00000000-0005-0000-0000-000046010000}"/>
    <cellStyle name="Normal 21 5" xfId="327" xr:uid="{00000000-0005-0000-0000-000047010000}"/>
    <cellStyle name="Normal 21 5 2" xfId="328" xr:uid="{00000000-0005-0000-0000-000048010000}"/>
    <cellStyle name="Normal 21 6" xfId="329" xr:uid="{00000000-0005-0000-0000-000049010000}"/>
    <cellStyle name="Normal 21 6 2" xfId="330" xr:uid="{00000000-0005-0000-0000-00004A010000}"/>
    <cellStyle name="Normal 21 7" xfId="331" xr:uid="{00000000-0005-0000-0000-00004B010000}"/>
    <cellStyle name="Normal 21 7 2" xfId="332" xr:uid="{00000000-0005-0000-0000-00004C010000}"/>
    <cellStyle name="Normal 21 8" xfId="333" xr:uid="{00000000-0005-0000-0000-00004D010000}"/>
    <cellStyle name="Normal 21 8 2" xfId="334" xr:uid="{00000000-0005-0000-0000-00004E010000}"/>
    <cellStyle name="Normal 21 9" xfId="335" xr:uid="{00000000-0005-0000-0000-00004F010000}"/>
    <cellStyle name="Normal 21 9 2" xfId="336" xr:uid="{00000000-0005-0000-0000-000050010000}"/>
    <cellStyle name="Normal 22" xfId="337" xr:uid="{00000000-0005-0000-0000-000051010000}"/>
    <cellStyle name="Normal 23" xfId="338" xr:uid="{00000000-0005-0000-0000-000052010000}"/>
    <cellStyle name="Normal 24" xfId="339" xr:uid="{00000000-0005-0000-0000-000053010000}"/>
    <cellStyle name="Normal 25" xfId="340" xr:uid="{00000000-0005-0000-0000-000054010000}"/>
    <cellStyle name="Normal 26" xfId="341" xr:uid="{00000000-0005-0000-0000-000055010000}"/>
    <cellStyle name="Normal 27" xfId="342" xr:uid="{00000000-0005-0000-0000-000056010000}"/>
    <cellStyle name="Normal 28" xfId="343" xr:uid="{00000000-0005-0000-0000-000057010000}"/>
    <cellStyle name="Normal 29" xfId="344" xr:uid="{00000000-0005-0000-0000-000058010000}"/>
    <cellStyle name="Normal 3" xfId="345" xr:uid="{00000000-0005-0000-0000-000059010000}"/>
    <cellStyle name="Normal 3 10" xfId="346" xr:uid="{00000000-0005-0000-0000-00005A010000}"/>
    <cellStyle name="Normal 3 11" xfId="347" xr:uid="{00000000-0005-0000-0000-00005B010000}"/>
    <cellStyle name="Normal 3 12" xfId="348" xr:uid="{00000000-0005-0000-0000-00005C010000}"/>
    <cellStyle name="Normal 3 13" xfId="349" xr:uid="{00000000-0005-0000-0000-00005D010000}"/>
    <cellStyle name="Normal 3 14" xfId="350" xr:uid="{00000000-0005-0000-0000-00005E010000}"/>
    <cellStyle name="Normal 3 15" xfId="351" xr:uid="{00000000-0005-0000-0000-00005F010000}"/>
    <cellStyle name="Normal 3 16" xfId="352" xr:uid="{00000000-0005-0000-0000-000060010000}"/>
    <cellStyle name="Normal 3 17" xfId="353" xr:uid="{00000000-0005-0000-0000-000061010000}"/>
    <cellStyle name="Normal 3 18" xfId="354" xr:uid="{00000000-0005-0000-0000-000062010000}"/>
    <cellStyle name="Normal 3 19" xfId="355" xr:uid="{00000000-0005-0000-0000-000063010000}"/>
    <cellStyle name="Normal 3 2" xfId="356" xr:uid="{00000000-0005-0000-0000-000064010000}"/>
    <cellStyle name="Normal 3 20" xfId="357" xr:uid="{00000000-0005-0000-0000-000065010000}"/>
    <cellStyle name="Normal 3 21" xfId="358" xr:uid="{00000000-0005-0000-0000-000066010000}"/>
    <cellStyle name="Normal 3 22" xfId="359" xr:uid="{00000000-0005-0000-0000-000067010000}"/>
    <cellStyle name="Normal 3 23" xfId="360" xr:uid="{00000000-0005-0000-0000-000068010000}"/>
    <cellStyle name="Normal 3 24" xfId="361" xr:uid="{00000000-0005-0000-0000-000069010000}"/>
    <cellStyle name="Normal 3 25" xfId="362" xr:uid="{00000000-0005-0000-0000-00006A010000}"/>
    <cellStyle name="Normal 3 26" xfId="363" xr:uid="{00000000-0005-0000-0000-00006B010000}"/>
    <cellStyle name="Normal 3 27" xfId="364" xr:uid="{00000000-0005-0000-0000-00006C010000}"/>
    <cellStyle name="Normal 3 28" xfId="365" xr:uid="{00000000-0005-0000-0000-00006D010000}"/>
    <cellStyle name="Normal 3 29" xfId="366" xr:uid="{00000000-0005-0000-0000-00006E010000}"/>
    <cellStyle name="Normal 3 3" xfId="367" xr:uid="{00000000-0005-0000-0000-00006F010000}"/>
    <cellStyle name="Normal 3 30" xfId="368" xr:uid="{00000000-0005-0000-0000-000070010000}"/>
    <cellStyle name="Normal 3 4" xfId="369" xr:uid="{00000000-0005-0000-0000-000071010000}"/>
    <cellStyle name="Normal 3 5" xfId="370" xr:uid="{00000000-0005-0000-0000-000072010000}"/>
    <cellStyle name="Normal 3 6" xfId="371" xr:uid="{00000000-0005-0000-0000-000073010000}"/>
    <cellStyle name="Normal 3 7" xfId="372" xr:uid="{00000000-0005-0000-0000-000074010000}"/>
    <cellStyle name="Normal 3 8" xfId="373" xr:uid="{00000000-0005-0000-0000-000075010000}"/>
    <cellStyle name="Normal 3 9" xfId="374" xr:uid="{00000000-0005-0000-0000-000076010000}"/>
    <cellStyle name="Normal 3_deposits mobilized" xfId="375" xr:uid="{00000000-0005-0000-0000-000077010000}"/>
    <cellStyle name="Normal 30" xfId="376" xr:uid="{00000000-0005-0000-0000-000078010000}"/>
    <cellStyle name="Normal 31" xfId="377" xr:uid="{00000000-0005-0000-0000-000079010000}"/>
    <cellStyle name="Normal 32" xfId="378" xr:uid="{00000000-0005-0000-0000-00007A010000}"/>
    <cellStyle name="Normal 33" xfId="379" xr:uid="{00000000-0005-0000-0000-00007B010000}"/>
    <cellStyle name="Normal 34" xfId="380" xr:uid="{00000000-0005-0000-0000-00007C010000}"/>
    <cellStyle name="Normal 35" xfId="381" xr:uid="{00000000-0005-0000-0000-00007D010000}"/>
    <cellStyle name="Normal 36" xfId="382" xr:uid="{00000000-0005-0000-0000-00007E010000}"/>
    <cellStyle name="Normal 37" xfId="383" xr:uid="{00000000-0005-0000-0000-00007F010000}"/>
    <cellStyle name="Normal 38" xfId="384" xr:uid="{00000000-0005-0000-0000-000080010000}"/>
    <cellStyle name="Normal 4" xfId="385" xr:uid="{00000000-0005-0000-0000-000081010000}"/>
    <cellStyle name="Normal 4 10" xfId="386" xr:uid="{00000000-0005-0000-0000-000082010000}"/>
    <cellStyle name="Normal 4 11" xfId="387" xr:uid="{00000000-0005-0000-0000-000083010000}"/>
    <cellStyle name="Normal 4 12" xfId="388" xr:uid="{00000000-0005-0000-0000-000084010000}"/>
    <cellStyle name="Normal 4 13" xfId="389" xr:uid="{00000000-0005-0000-0000-000085010000}"/>
    <cellStyle name="Normal 4 14" xfId="390" xr:uid="{00000000-0005-0000-0000-000086010000}"/>
    <cellStyle name="Normal 4 15" xfId="391" xr:uid="{00000000-0005-0000-0000-000087010000}"/>
    <cellStyle name="Normal 4 16" xfId="392" xr:uid="{00000000-0005-0000-0000-000088010000}"/>
    <cellStyle name="Normal 4 17" xfId="393" xr:uid="{00000000-0005-0000-0000-000089010000}"/>
    <cellStyle name="Normal 4 18" xfId="394" xr:uid="{00000000-0005-0000-0000-00008A010000}"/>
    <cellStyle name="Normal 4 19" xfId="395" xr:uid="{00000000-0005-0000-0000-00008B010000}"/>
    <cellStyle name="Normal 4 2" xfId="396" xr:uid="{00000000-0005-0000-0000-00008C010000}"/>
    <cellStyle name="Normal 4 20" xfId="397" xr:uid="{00000000-0005-0000-0000-00008D010000}"/>
    <cellStyle name="Normal 4 21" xfId="398" xr:uid="{00000000-0005-0000-0000-00008E010000}"/>
    <cellStyle name="Normal 4 22" xfId="399" xr:uid="{00000000-0005-0000-0000-00008F010000}"/>
    <cellStyle name="Normal 4 23" xfId="400" xr:uid="{00000000-0005-0000-0000-000090010000}"/>
    <cellStyle name="Normal 4 24" xfId="401" xr:uid="{00000000-0005-0000-0000-000091010000}"/>
    <cellStyle name="Normal 4 25" xfId="402" xr:uid="{00000000-0005-0000-0000-000092010000}"/>
    <cellStyle name="Normal 4 26" xfId="403" xr:uid="{00000000-0005-0000-0000-000093010000}"/>
    <cellStyle name="Normal 4 27" xfId="404" xr:uid="{00000000-0005-0000-0000-000094010000}"/>
    <cellStyle name="Normal 4 28" xfId="405" xr:uid="{00000000-0005-0000-0000-000095010000}"/>
    <cellStyle name="Normal 4 29" xfId="406" xr:uid="{00000000-0005-0000-0000-000096010000}"/>
    <cellStyle name="Normal 4 3" xfId="407" xr:uid="{00000000-0005-0000-0000-000097010000}"/>
    <cellStyle name="Normal 4 30" xfId="408" xr:uid="{00000000-0005-0000-0000-000098010000}"/>
    <cellStyle name="Normal 4 4" xfId="409" xr:uid="{00000000-0005-0000-0000-000099010000}"/>
    <cellStyle name="Normal 4 5" xfId="410" xr:uid="{00000000-0005-0000-0000-00009A010000}"/>
    <cellStyle name="Normal 4 6" xfId="411" xr:uid="{00000000-0005-0000-0000-00009B010000}"/>
    <cellStyle name="Normal 4 7" xfId="412" xr:uid="{00000000-0005-0000-0000-00009C010000}"/>
    <cellStyle name="Normal 4 8" xfId="413" xr:uid="{00000000-0005-0000-0000-00009D010000}"/>
    <cellStyle name="Normal 4 9" xfId="414" xr:uid="{00000000-0005-0000-0000-00009E010000}"/>
    <cellStyle name="Normal 5" xfId="415" xr:uid="{00000000-0005-0000-0000-00009F010000}"/>
    <cellStyle name="Normal 5 10" xfId="416" xr:uid="{00000000-0005-0000-0000-0000A0010000}"/>
    <cellStyle name="Normal 5 11" xfId="417" xr:uid="{00000000-0005-0000-0000-0000A1010000}"/>
    <cellStyle name="Normal 5 12" xfId="418" xr:uid="{00000000-0005-0000-0000-0000A2010000}"/>
    <cellStyle name="Normal 5 13" xfId="419" xr:uid="{00000000-0005-0000-0000-0000A3010000}"/>
    <cellStyle name="Normal 5 14" xfId="420" xr:uid="{00000000-0005-0000-0000-0000A4010000}"/>
    <cellStyle name="Normal 5 15" xfId="421" xr:uid="{00000000-0005-0000-0000-0000A5010000}"/>
    <cellStyle name="Normal 5 2" xfId="422" xr:uid="{00000000-0005-0000-0000-0000A6010000}"/>
    <cellStyle name="Normal 5 3" xfId="423" xr:uid="{00000000-0005-0000-0000-0000A7010000}"/>
    <cellStyle name="Normal 5 4" xfId="424" xr:uid="{00000000-0005-0000-0000-0000A8010000}"/>
    <cellStyle name="Normal 5 5" xfId="425" xr:uid="{00000000-0005-0000-0000-0000A9010000}"/>
    <cellStyle name="Normal 5 6" xfId="426" xr:uid="{00000000-0005-0000-0000-0000AA010000}"/>
    <cellStyle name="Normal 5 7" xfId="427" xr:uid="{00000000-0005-0000-0000-0000AB010000}"/>
    <cellStyle name="Normal 5 8" xfId="428" xr:uid="{00000000-0005-0000-0000-0000AC010000}"/>
    <cellStyle name="Normal 5 9" xfId="429" xr:uid="{00000000-0005-0000-0000-0000AD010000}"/>
    <cellStyle name="Normal 6" xfId="430" xr:uid="{00000000-0005-0000-0000-0000AE010000}"/>
    <cellStyle name="Normal 6 2" xfId="431" xr:uid="{00000000-0005-0000-0000-0000AF010000}"/>
    <cellStyle name="Normal 6 3" xfId="432" xr:uid="{00000000-0005-0000-0000-0000B0010000}"/>
    <cellStyle name="Normal 6 4" xfId="433" xr:uid="{00000000-0005-0000-0000-0000B1010000}"/>
    <cellStyle name="Normal 6 5" xfId="434" xr:uid="{00000000-0005-0000-0000-0000B2010000}"/>
    <cellStyle name="Normal 7" xfId="435" xr:uid="{00000000-0005-0000-0000-0000B3010000}"/>
    <cellStyle name="Normal 7 2" xfId="436" xr:uid="{00000000-0005-0000-0000-0000B4010000}"/>
    <cellStyle name="Normal 7 3" xfId="437" xr:uid="{00000000-0005-0000-0000-0000B5010000}"/>
    <cellStyle name="Normal 7 4" xfId="438" xr:uid="{00000000-0005-0000-0000-0000B6010000}"/>
    <cellStyle name="Normal 7 5" xfId="439" xr:uid="{00000000-0005-0000-0000-0000B7010000}"/>
    <cellStyle name="Normal 8" xfId="440" xr:uid="{00000000-0005-0000-0000-0000B8010000}"/>
    <cellStyle name="Normal 9" xfId="441" xr:uid="{00000000-0005-0000-0000-0000B9010000}"/>
    <cellStyle name="Normal 9 10" xfId="442" xr:uid="{00000000-0005-0000-0000-0000BA010000}"/>
    <cellStyle name="Normal 9 11" xfId="443" xr:uid="{00000000-0005-0000-0000-0000BB010000}"/>
    <cellStyle name="Normal 9 12" xfId="444" xr:uid="{00000000-0005-0000-0000-0000BC010000}"/>
    <cellStyle name="Normal 9 13" xfId="445" xr:uid="{00000000-0005-0000-0000-0000BD010000}"/>
    <cellStyle name="Normal 9 14" xfId="446" xr:uid="{00000000-0005-0000-0000-0000BE010000}"/>
    <cellStyle name="Normal 9 2" xfId="447" xr:uid="{00000000-0005-0000-0000-0000BF010000}"/>
    <cellStyle name="Normal 9 2 2" xfId="448" xr:uid="{00000000-0005-0000-0000-0000C0010000}"/>
    <cellStyle name="Normal 9 2 3" xfId="449" xr:uid="{00000000-0005-0000-0000-0000C1010000}"/>
    <cellStyle name="Normal 9 2 4" xfId="450" xr:uid="{00000000-0005-0000-0000-0000C2010000}"/>
    <cellStyle name="Normal 9 3" xfId="451" xr:uid="{00000000-0005-0000-0000-0000C3010000}"/>
    <cellStyle name="Normal 9 4" xfId="452" xr:uid="{00000000-0005-0000-0000-0000C4010000}"/>
    <cellStyle name="Normal 9 5" xfId="453" xr:uid="{00000000-0005-0000-0000-0000C5010000}"/>
    <cellStyle name="Normal 9 6" xfId="454" xr:uid="{00000000-0005-0000-0000-0000C6010000}"/>
    <cellStyle name="Normal 9 7" xfId="455" xr:uid="{00000000-0005-0000-0000-0000C7010000}"/>
    <cellStyle name="Normal 9 8" xfId="456" xr:uid="{00000000-0005-0000-0000-0000C8010000}"/>
    <cellStyle name="Normal 9 9" xfId="457" xr:uid="{00000000-0005-0000-0000-0000C9010000}"/>
    <cellStyle name="Note 2" xfId="458" xr:uid="{00000000-0005-0000-0000-0000CA010000}"/>
    <cellStyle name="Percent" xfId="459" builtinId="5"/>
    <cellStyle name="Percent 2" xfId="460" xr:uid="{00000000-0005-0000-0000-0000CC010000}"/>
    <cellStyle name="Percent 2 2" xfId="461" xr:uid="{00000000-0005-0000-0000-0000CD010000}"/>
    <cellStyle name="Percent 3" xfId="462" xr:uid="{00000000-0005-0000-0000-0000CE010000}"/>
    <cellStyle name="Total 2" xfId="463" xr:uid="{00000000-0005-0000-0000-0000CF010000}"/>
    <cellStyle name="Total 2 2" xfId="464" xr:uid="{00000000-0005-0000-0000-0000D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1"/>
  <sheetViews>
    <sheetView zoomScale="80" zoomScaleNormal="80" workbookViewId="0">
      <pane xSplit="1" ySplit="3" topLeftCell="AF22" activePane="bottomRight" state="frozen"/>
      <selection pane="topRight" activeCell="B1" sqref="B1"/>
      <selection pane="bottomLeft" activeCell="A4" sqref="A4"/>
      <selection pane="bottomRight" activeCell="AJ42" sqref="AJ42"/>
    </sheetView>
  </sheetViews>
  <sheetFormatPr defaultRowHeight="14.4" x14ac:dyDescent="0.3"/>
  <cols>
    <col min="1" max="1" width="40.88671875" customWidth="1"/>
    <col min="2" max="2" width="16.5546875" customWidth="1"/>
    <col min="3" max="3" width="19.33203125" customWidth="1"/>
    <col min="4" max="8" width="16.5546875" hidden="1" customWidth="1"/>
    <col min="9" max="11" width="15" hidden="1" customWidth="1"/>
    <col min="12" max="14" width="14.88671875" hidden="1" customWidth="1"/>
    <col min="15" max="15" width="14.88671875" bestFit="1" customWidth="1"/>
    <col min="16" max="16" width="17.88671875" style="166" customWidth="1"/>
    <col min="17" max="22" width="14.88671875" bestFit="1" customWidth="1"/>
    <col min="23" max="23" width="13.77734375" customWidth="1"/>
    <col min="24" max="28" width="14.88671875" bestFit="1" customWidth="1"/>
    <col min="29" max="29" width="14.88671875" style="166" bestFit="1" customWidth="1"/>
    <col min="30" max="34" width="14.88671875" bestFit="1" customWidth="1"/>
  </cols>
  <sheetData>
    <row r="1" spans="1:35" ht="15" customHeight="1" x14ac:dyDescent="0.3">
      <c r="A1" s="108"/>
      <c r="B1" s="108"/>
      <c r="C1" s="108"/>
      <c r="D1" s="108"/>
      <c r="E1" s="108"/>
      <c r="F1" s="108"/>
      <c r="G1" s="108"/>
      <c r="H1" s="108"/>
    </row>
    <row r="3" spans="1:35" x14ac:dyDescent="0.3">
      <c r="A3" s="10"/>
      <c r="B3" s="22" t="s">
        <v>0</v>
      </c>
      <c r="C3" s="22" t="s">
        <v>1</v>
      </c>
      <c r="D3" s="137">
        <v>44197</v>
      </c>
      <c r="E3" s="136">
        <v>44228</v>
      </c>
      <c r="F3" s="137">
        <v>44256</v>
      </c>
      <c r="G3" s="136">
        <v>44287</v>
      </c>
      <c r="H3" s="136">
        <v>44317</v>
      </c>
      <c r="I3" s="136">
        <v>44348</v>
      </c>
      <c r="J3" s="136">
        <v>44378</v>
      </c>
      <c r="K3" s="136">
        <v>44409</v>
      </c>
      <c r="L3" s="136">
        <v>44440</v>
      </c>
      <c r="M3" s="136">
        <v>44470</v>
      </c>
      <c r="N3" s="136">
        <v>44501</v>
      </c>
      <c r="O3" s="136">
        <v>44531</v>
      </c>
      <c r="P3" s="136" t="s">
        <v>2</v>
      </c>
      <c r="Q3" s="136">
        <v>44562</v>
      </c>
      <c r="R3" s="136">
        <v>44593</v>
      </c>
      <c r="S3" s="136">
        <v>44621</v>
      </c>
      <c r="T3" s="136">
        <v>44652</v>
      </c>
      <c r="U3" s="136">
        <v>44682</v>
      </c>
      <c r="V3" s="136">
        <v>44713</v>
      </c>
      <c r="W3" s="136">
        <v>44743</v>
      </c>
      <c r="X3" s="136">
        <v>44774</v>
      </c>
      <c r="Y3" s="136">
        <v>44805</v>
      </c>
      <c r="Z3" s="136">
        <v>44835</v>
      </c>
      <c r="AA3" s="136">
        <v>44866</v>
      </c>
      <c r="AB3" s="136">
        <v>44896</v>
      </c>
      <c r="AC3" s="167" t="s">
        <v>337</v>
      </c>
      <c r="AD3" s="136">
        <v>44927</v>
      </c>
      <c r="AE3" s="136">
        <v>44958</v>
      </c>
      <c r="AF3" s="136">
        <v>44986</v>
      </c>
      <c r="AG3" s="136">
        <v>45017</v>
      </c>
      <c r="AH3" s="136">
        <v>45047</v>
      </c>
      <c r="AI3" s="136">
        <v>45078</v>
      </c>
    </row>
    <row r="4" spans="1:35" x14ac:dyDescent="0.3">
      <c r="A4" s="11" t="s">
        <v>3</v>
      </c>
      <c r="B4" s="57">
        <f t="shared" ref="B4:AI4" si="0">SUM(B5:B6)</f>
        <v>19363224</v>
      </c>
      <c r="C4" s="57">
        <f t="shared" si="0"/>
        <v>80999768</v>
      </c>
      <c r="D4" s="57">
        <f t="shared" si="0"/>
        <v>77138716.040000007</v>
      </c>
      <c r="E4" s="57">
        <f t="shared" si="0"/>
        <v>73684627.950000003</v>
      </c>
      <c r="F4" s="57">
        <f t="shared" si="0"/>
        <v>74121414.590000004</v>
      </c>
      <c r="G4" s="57">
        <f t="shared" si="0"/>
        <v>71189443.879999995</v>
      </c>
      <c r="H4" s="57">
        <f t="shared" si="0"/>
        <v>70304355.400000006</v>
      </c>
      <c r="I4" s="57">
        <f t="shared" si="0"/>
        <v>71367923.75</v>
      </c>
      <c r="J4" s="57">
        <f t="shared" si="0"/>
        <v>74969692.370000005</v>
      </c>
      <c r="K4" s="57">
        <f t="shared" si="0"/>
        <v>74647571.379999995</v>
      </c>
      <c r="L4" s="57">
        <f t="shared" si="0"/>
        <v>74505718.079999998</v>
      </c>
      <c r="M4" s="57">
        <f t="shared" si="0"/>
        <v>82877321</v>
      </c>
      <c r="N4" s="57">
        <f t="shared" si="0"/>
        <v>83929370.170000002</v>
      </c>
      <c r="O4" s="57">
        <f t="shared" si="0"/>
        <v>84015798.5</v>
      </c>
      <c r="P4" s="57">
        <f t="shared" si="0"/>
        <v>84096060</v>
      </c>
      <c r="Q4" s="57">
        <f t="shared" si="0"/>
        <v>85675590.599999994</v>
      </c>
      <c r="R4" s="57">
        <f t="shared" si="0"/>
        <v>89778250.850000009</v>
      </c>
      <c r="S4" s="57">
        <f t="shared" si="0"/>
        <v>84171536.900000006</v>
      </c>
      <c r="T4" s="57">
        <f t="shared" si="0"/>
        <v>78749561.88000001</v>
      </c>
      <c r="U4" s="57">
        <f t="shared" si="0"/>
        <v>85282493.689999998</v>
      </c>
      <c r="V4" s="57">
        <f t="shared" si="0"/>
        <v>82309010.409999996</v>
      </c>
      <c r="W4" s="57">
        <f t="shared" si="0"/>
        <v>117039832.36999999</v>
      </c>
      <c r="X4" s="57">
        <f t="shared" si="0"/>
        <v>100541313.98</v>
      </c>
      <c r="Y4" s="57">
        <f t="shared" si="0"/>
        <v>96593277.900000006</v>
      </c>
      <c r="Z4" s="57">
        <f t="shared" si="0"/>
        <v>98644696.299999997</v>
      </c>
      <c r="AA4" s="57">
        <f t="shared" si="0"/>
        <v>103768612.86</v>
      </c>
      <c r="AB4" s="57">
        <f t="shared" si="0"/>
        <v>113804882.98999999</v>
      </c>
      <c r="AC4" s="57">
        <f t="shared" si="0"/>
        <v>114000530</v>
      </c>
      <c r="AD4" s="237">
        <f t="shared" si="0"/>
        <v>115648770.45999999</v>
      </c>
      <c r="AE4" s="237">
        <f t="shared" si="0"/>
        <v>110936306.14</v>
      </c>
      <c r="AF4" s="237">
        <f t="shared" si="0"/>
        <v>107335769.15000001</v>
      </c>
      <c r="AG4" s="57">
        <f t="shared" si="0"/>
        <v>97652688.049999997</v>
      </c>
      <c r="AH4" s="57">
        <f t="shared" si="0"/>
        <v>96034782.519999996</v>
      </c>
      <c r="AI4" s="57">
        <f t="shared" si="0"/>
        <v>0</v>
      </c>
    </row>
    <row r="5" spans="1:35" x14ac:dyDescent="0.3">
      <c r="A5" s="12" t="s">
        <v>4</v>
      </c>
      <c r="B5" s="21">
        <v>19363224</v>
      </c>
      <c r="C5" s="142">
        <v>4035251</v>
      </c>
      <c r="D5" s="13">
        <v>3995970.45</v>
      </c>
      <c r="E5" s="13">
        <v>3766598.45</v>
      </c>
      <c r="F5" s="13">
        <v>9326300.5500000007</v>
      </c>
      <c r="G5" s="13">
        <v>6523468.4400000004</v>
      </c>
      <c r="H5" s="13">
        <v>6020580.6299999999</v>
      </c>
      <c r="I5" s="13">
        <v>4661148.8600000003</v>
      </c>
      <c r="J5" s="149">
        <v>4172915.12</v>
      </c>
      <c r="K5" s="149">
        <v>5899898</v>
      </c>
      <c r="L5" s="149">
        <v>4658033</v>
      </c>
      <c r="M5" s="149">
        <v>6059450</v>
      </c>
      <c r="N5" s="149">
        <v>8118262.0499999998</v>
      </c>
      <c r="O5" s="149">
        <v>11625492</v>
      </c>
      <c r="P5" s="166">
        <v>10261482</v>
      </c>
      <c r="Q5" s="149">
        <v>10176525.890000001</v>
      </c>
      <c r="R5" s="149">
        <v>11570374.73</v>
      </c>
      <c r="S5" s="149">
        <v>4777669.29</v>
      </c>
      <c r="T5" s="149">
        <v>9598330.1199999992</v>
      </c>
      <c r="U5" s="149">
        <v>9337814.4700000007</v>
      </c>
      <c r="V5" s="149">
        <v>9646218</v>
      </c>
      <c r="W5" s="149">
        <v>6587404.5499999998</v>
      </c>
      <c r="X5" s="149">
        <v>5381194.3600000003</v>
      </c>
      <c r="Y5" s="149">
        <v>5547341</v>
      </c>
      <c r="Z5" s="149">
        <v>12800685.66</v>
      </c>
      <c r="AA5" s="149">
        <v>10878141.75</v>
      </c>
      <c r="AB5" s="149">
        <v>12090099</v>
      </c>
      <c r="AC5" s="231">
        <v>12090099</v>
      </c>
      <c r="AD5" s="238">
        <v>5598184.3799999999</v>
      </c>
      <c r="AE5" s="238">
        <v>6939336.3799999999</v>
      </c>
      <c r="AF5" s="238">
        <v>7836364.7800000003</v>
      </c>
      <c r="AG5">
        <v>11271976.779999999</v>
      </c>
      <c r="AH5">
        <v>10975509.890000001</v>
      </c>
    </row>
    <row r="6" spans="1:35" x14ac:dyDescent="0.3">
      <c r="A6" s="12" t="s">
        <v>5</v>
      </c>
      <c r="B6" s="21"/>
      <c r="C6" s="142">
        <f>80999768-C5</f>
        <v>76964517</v>
      </c>
      <c r="D6" s="13">
        <v>73142745.590000004</v>
      </c>
      <c r="E6" s="13">
        <v>69918029.5</v>
      </c>
      <c r="F6" s="13">
        <v>64795114.039999999</v>
      </c>
      <c r="G6" s="13">
        <v>64665975.439999998</v>
      </c>
      <c r="H6" s="13">
        <v>64283774.770000003</v>
      </c>
      <c r="I6" s="13">
        <v>66706774.890000001</v>
      </c>
      <c r="J6" s="149">
        <v>70796777.25</v>
      </c>
      <c r="K6" s="149">
        <v>68747673.379999995</v>
      </c>
      <c r="L6" s="149">
        <v>69847685.079999998</v>
      </c>
      <c r="M6" s="149">
        <v>76817871</v>
      </c>
      <c r="N6" s="149">
        <v>75811108.120000005</v>
      </c>
      <c r="O6" s="149">
        <v>72390306.5</v>
      </c>
      <c r="P6" s="166">
        <f>84096060-P5</f>
        <v>73834578</v>
      </c>
      <c r="Q6" s="149">
        <v>75499064.709999993</v>
      </c>
      <c r="R6" s="149">
        <v>78207876.120000005</v>
      </c>
      <c r="S6" s="149">
        <v>79393867.609999999</v>
      </c>
      <c r="T6" s="149">
        <v>69151231.760000005</v>
      </c>
      <c r="U6" s="149">
        <v>75944679.219999999</v>
      </c>
      <c r="V6" s="149">
        <v>72662792.409999996</v>
      </c>
      <c r="W6" s="149">
        <v>110452427.81999999</v>
      </c>
      <c r="X6" s="149">
        <v>95160119.620000005</v>
      </c>
      <c r="Y6" s="149">
        <v>91045936.900000006</v>
      </c>
      <c r="Z6" s="149">
        <v>85844010.640000001</v>
      </c>
      <c r="AA6" s="149">
        <v>92890471.109999999</v>
      </c>
      <c r="AB6" s="149">
        <v>101714783.98999999</v>
      </c>
      <c r="AC6" s="231">
        <f>114000530-AC5</f>
        <v>101910431</v>
      </c>
      <c r="AD6" s="238">
        <v>110050586.08</v>
      </c>
      <c r="AE6" s="238">
        <v>103996969.76000001</v>
      </c>
      <c r="AF6" s="238">
        <v>99499404.370000005</v>
      </c>
      <c r="AG6">
        <v>86380711.269999996</v>
      </c>
      <c r="AH6">
        <v>85059272.629999995</v>
      </c>
    </row>
    <row r="7" spans="1:35" s="23" customFormat="1" x14ac:dyDescent="0.3">
      <c r="A7" s="11" t="s">
        <v>6</v>
      </c>
      <c r="B7" s="20">
        <v>13400392</v>
      </c>
      <c r="C7" s="143">
        <v>2333374</v>
      </c>
      <c r="D7" s="13">
        <v>633118.27</v>
      </c>
      <c r="E7" s="13">
        <v>44413.73</v>
      </c>
      <c r="F7" s="13">
        <v>445154.27</v>
      </c>
      <c r="G7" s="13">
        <v>331738.27</v>
      </c>
      <c r="H7" s="13">
        <v>229721.27</v>
      </c>
      <c r="I7" s="13">
        <v>444301.27</v>
      </c>
      <c r="J7" s="149">
        <v>546243.27</v>
      </c>
      <c r="K7" s="149">
        <v>373441.27</v>
      </c>
      <c r="L7" s="149">
        <v>930490.27</v>
      </c>
      <c r="M7" s="149">
        <v>911843.27</v>
      </c>
      <c r="N7" s="149">
        <v>524693.27</v>
      </c>
      <c r="O7" s="149">
        <v>0</v>
      </c>
      <c r="P7" s="168">
        <v>1268268</v>
      </c>
      <c r="Q7" s="149">
        <v>786800.57</v>
      </c>
      <c r="R7" s="149">
        <v>462657.57</v>
      </c>
      <c r="S7" s="149">
        <v>558673.56999999995</v>
      </c>
      <c r="T7" s="149">
        <v>399543.57</v>
      </c>
      <c r="U7" s="149">
        <v>334323.57</v>
      </c>
      <c r="V7" s="149">
        <v>1110531.57</v>
      </c>
      <c r="W7" s="149">
        <v>239495.37</v>
      </c>
      <c r="X7" s="149">
        <v>583688.37</v>
      </c>
      <c r="Y7" s="149">
        <v>0</v>
      </c>
      <c r="Z7" s="149">
        <v>1308291.3700000001</v>
      </c>
      <c r="AA7" s="149">
        <v>307206.37</v>
      </c>
      <c r="AB7" s="149">
        <v>435016.37</v>
      </c>
      <c r="AC7" s="231">
        <v>1714134</v>
      </c>
      <c r="AD7" s="239">
        <v>986516.37</v>
      </c>
      <c r="AE7" s="239">
        <v>871836.37</v>
      </c>
      <c r="AF7" s="239">
        <v>0</v>
      </c>
      <c r="AG7" s="23">
        <v>710789.37</v>
      </c>
      <c r="AH7" s="23">
        <v>283876.51</v>
      </c>
    </row>
    <row r="8" spans="1:35" x14ac:dyDescent="0.3">
      <c r="A8" s="11" t="s">
        <v>7</v>
      </c>
      <c r="B8" s="57">
        <f t="shared" ref="B8:AI8" si="1">SUM(B9:B13)</f>
        <v>472260</v>
      </c>
      <c r="C8" s="57">
        <f t="shared" si="1"/>
        <v>3322320</v>
      </c>
      <c r="D8" s="57">
        <f t="shared" si="1"/>
        <v>4219411.4000000004</v>
      </c>
      <c r="E8" s="57">
        <f t="shared" si="1"/>
        <v>3322320.4</v>
      </c>
      <c r="F8" s="57">
        <f t="shared" si="1"/>
        <v>3322320.4</v>
      </c>
      <c r="G8" s="57">
        <f t="shared" si="1"/>
        <v>3322320.4</v>
      </c>
      <c r="H8" s="57">
        <f t="shared" si="1"/>
        <v>3322320.4</v>
      </c>
      <c r="I8" s="57">
        <f t="shared" si="1"/>
        <v>3322320.4</v>
      </c>
      <c r="J8" s="57">
        <f t="shared" si="1"/>
        <v>3322320.4</v>
      </c>
      <c r="K8" s="57">
        <f t="shared" si="1"/>
        <v>3322320.4</v>
      </c>
      <c r="L8" s="57">
        <f t="shared" si="1"/>
        <v>3322320.4</v>
      </c>
      <c r="M8" s="57">
        <f t="shared" si="1"/>
        <v>3322320</v>
      </c>
      <c r="N8" s="57">
        <f t="shared" si="1"/>
        <v>3322320.4</v>
      </c>
      <c r="O8" s="57">
        <f t="shared" si="1"/>
        <v>3322320.4</v>
      </c>
      <c r="P8" s="57">
        <f t="shared" si="1"/>
        <v>3460532</v>
      </c>
      <c r="Q8" s="57">
        <f t="shared" si="1"/>
        <v>3322320.4</v>
      </c>
      <c r="R8" s="57">
        <f t="shared" si="1"/>
        <v>3322320.4</v>
      </c>
      <c r="S8" s="57">
        <f t="shared" si="1"/>
        <v>3322320.4</v>
      </c>
      <c r="T8" s="57">
        <f t="shared" si="1"/>
        <v>3322320.4</v>
      </c>
      <c r="U8" s="57">
        <f t="shared" si="1"/>
        <v>3322320.4</v>
      </c>
      <c r="V8" s="57">
        <f t="shared" si="1"/>
        <v>3322320.4</v>
      </c>
      <c r="W8" s="57">
        <f t="shared" si="1"/>
        <v>3322320.4</v>
      </c>
      <c r="X8" s="57">
        <f t="shared" si="1"/>
        <v>3322320</v>
      </c>
      <c r="Y8" s="57">
        <f t="shared" si="1"/>
        <v>3322320.4</v>
      </c>
      <c r="Z8" s="57">
        <f t="shared" si="1"/>
        <v>3322320.4</v>
      </c>
      <c r="AA8" s="57">
        <f t="shared" si="1"/>
        <v>3322320.4</v>
      </c>
      <c r="AB8" s="57">
        <f t="shared" si="1"/>
        <v>3322320.4</v>
      </c>
      <c r="AC8" s="57">
        <f t="shared" si="1"/>
        <v>3460532</v>
      </c>
      <c r="AD8" s="237">
        <f t="shared" si="1"/>
        <v>3460532.4</v>
      </c>
      <c r="AE8" s="237">
        <f t="shared" si="1"/>
        <v>3460532.4</v>
      </c>
      <c r="AF8" s="237">
        <f t="shared" si="1"/>
        <v>3460532.4</v>
      </c>
      <c r="AG8" s="57">
        <f t="shared" si="1"/>
        <v>3460532.4</v>
      </c>
      <c r="AH8" s="57">
        <f t="shared" si="1"/>
        <v>3460532.4</v>
      </c>
      <c r="AI8" s="57">
        <f t="shared" si="1"/>
        <v>0</v>
      </c>
    </row>
    <row r="9" spans="1:35" ht="28.2" x14ac:dyDescent="0.3">
      <c r="A9" s="6" t="s">
        <v>8</v>
      </c>
      <c r="B9" s="21"/>
      <c r="C9" s="135"/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49">
        <v>0</v>
      </c>
      <c r="K9" s="149">
        <v>0</v>
      </c>
      <c r="L9" s="149">
        <v>0</v>
      </c>
      <c r="M9" s="149">
        <v>0</v>
      </c>
      <c r="N9" s="149">
        <v>0</v>
      </c>
      <c r="O9" s="149">
        <v>0</v>
      </c>
      <c r="Q9" s="149">
        <v>0</v>
      </c>
      <c r="R9" s="149">
        <v>0</v>
      </c>
      <c r="S9" s="149">
        <v>0</v>
      </c>
      <c r="T9" s="149">
        <v>0</v>
      </c>
      <c r="U9" s="149">
        <v>0</v>
      </c>
      <c r="V9" s="149">
        <v>0</v>
      </c>
      <c r="W9" s="149">
        <v>0</v>
      </c>
      <c r="X9" s="149">
        <v>0</v>
      </c>
      <c r="Y9" s="149">
        <v>0</v>
      </c>
      <c r="Z9" s="149">
        <v>0</v>
      </c>
      <c r="AA9" s="149">
        <v>0</v>
      </c>
      <c r="AB9" s="149">
        <v>0</v>
      </c>
      <c r="AC9" s="231"/>
      <c r="AD9" s="238">
        <v>0</v>
      </c>
      <c r="AE9" s="238">
        <v>0</v>
      </c>
      <c r="AF9" s="238">
        <v>0</v>
      </c>
      <c r="AG9">
        <v>0</v>
      </c>
      <c r="AH9">
        <v>0</v>
      </c>
    </row>
    <row r="10" spans="1:35" x14ac:dyDescent="0.3">
      <c r="A10" s="6" t="s">
        <v>9</v>
      </c>
      <c r="B10" s="21"/>
      <c r="C10" s="142"/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49">
        <v>0</v>
      </c>
      <c r="K10" s="149">
        <v>0</v>
      </c>
      <c r="L10" s="149">
        <v>0</v>
      </c>
      <c r="M10" s="149">
        <v>0</v>
      </c>
      <c r="N10" s="149">
        <v>0</v>
      </c>
      <c r="O10" s="149">
        <v>0</v>
      </c>
      <c r="Q10" s="149">
        <v>0</v>
      </c>
      <c r="R10" s="149">
        <v>0</v>
      </c>
      <c r="S10" s="149">
        <v>0</v>
      </c>
      <c r="T10" s="149">
        <v>0</v>
      </c>
      <c r="U10" s="149">
        <v>0</v>
      </c>
      <c r="V10" s="149">
        <v>0</v>
      </c>
      <c r="W10" s="149">
        <v>0</v>
      </c>
      <c r="X10" s="149">
        <v>0</v>
      </c>
      <c r="Y10" s="149">
        <v>0</v>
      </c>
      <c r="Z10" s="149">
        <v>0</v>
      </c>
      <c r="AA10" s="149">
        <v>0</v>
      </c>
      <c r="AB10" s="149">
        <v>0</v>
      </c>
      <c r="AC10" s="231"/>
      <c r="AD10" s="238">
        <v>0</v>
      </c>
      <c r="AE10" s="238">
        <v>0</v>
      </c>
      <c r="AF10" s="238">
        <v>0</v>
      </c>
      <c r="AG10">
        <v>0</v>
      </c>
      <c r="AH10">
        <v>0</v>
      </c>
    </row>
    <row r="11" spans="1:35" ht="28.2" x14ac:dyDescent="0.3">
      <c r="A11" s="6" t="s">
        <v>10</v>
      </c>
      <c r="B11" s="21"/>
      <c r="C11" s="145">
        <f>3322320-C13</f>
        <v>3167735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49">
        <v>0</v>
      </c>
      <c r="K11" s="149">
        <v>0</v>
      </c>
      <c r="L11" s="149">
        <v>0</v>
      </c>
      <c r="M11" s="149">
        <v>0</v>
      </c>
      <c r="N11" s="149">
        <v>0</v>
      </c>
      <c r="O11" s="149">
        <v>0</v>
      </c>
      <c r="Q11" s="149">
        <v>0</v>
      </c>
      <c r="R11" s="149">
        <v>0</v>
      </c>
      <c r="S11" s="149">
        <v>0</v>
      </c>
      <c r="T11" s="149">
        <v>0</v>
      </c>
      <c r="U11" s="149">
        <v>0</v>
      </c>
      <c r="V11" s="149">
        <v>0</v>
      </c>
      <c r="W11" s="149">
        <v>0</v>
      </c>
      <c r="X11" s="149">
        <v>0</v>
      </c>
      <c r="Y11" s="149">
        <v>0</v>
      </c>
      <c r="Z11" s="149">
        <v>0</v>
      </c>
      <c r="AA11" s="149">
        <v>0</v>
      </c>
      <c r="AB11" s="149">
        <v>0</v>
      </c>
      <c r="AC11" s="231"/>
      <c r="AD11" s="238">
        <v>0</v>
      </c>
      <c r="AE11" s="238">
        <v>0</v>
      </c>
      <c r="AF11" s="238">
        <v>0</v>
      </c>
      <c r="AG11">
        <v>0</v>
      </c>
      <c r="AH11">
        <v>0</v>
      </c>
    </row>
    <row r="12" spans="1:35" ht="28.2" x14ac:dyDescent="0.3">
      <c r="A12" s="144" t="s">
        <v>11</v>
      </c>
      <c r="B12" s="21"/>
      <c r="C12" s="134"/>
      <c r="D12" s="13"/>
      <c r="E12" s="13"/>
      <c r="F12" s="13"/>
      <c r="G12" s="13"/>
      <c r="H12" s="13"/>
      <c r="I12" s="13"/>
      <c r="J12" s="149"/>
      <c r="K12" s="149"/>
      <c r="L12" s="149"/>
      <c r="M12" s="149"/>
      <c r="N12" s="149"/>
      <c r="O12" s="149"/>
      <c r="P12" s="166">
        <f>3460532-P13</f>
        <v>3297347</v>
      </c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231">
        <f>3460532-AC13</f>
        <v>3297347</v>
      </c>
      <c r="AD12" s="238">
        <v>3460532.4</v>
      </c>
      <c r="AE12" s="238">
        <v>3460532.4</v>
      </c>
      <c r="AF12" s="238">
        <v>3460532.4</v>
      </c>
      <c r="AG12">
        <v>3460532.4</v>
      </c>
      <c r="AH12">
        <v>3460532.4</v>
      </c>
    </row>
    <row r="13" spans="1:35" ht="28.2" x14ac:dyDescent="0.3">
      <c r="A13" s="6" t="s">
        <v>12</v>
      </c>
      <c r="B13" s="13">
        <v>472260</v>
      </c>
      <c r="C13" s="142">
        <v>154585</v>
      </c>
      <c r="D13" s="13">
        <v>4219411.4000000004</v>
      </c>
      <c r="E13" s="13">
        <v>3322320.4</v>
      </c>
      <c r="F13" s="13">
        <v>3322320.4</v>
      </c>
      <c r="G13" s="13">
        <v>3322320.4</v>
      </c>
      <c r="H13" s="13">
        <v>3322320.4</v>
      </c>
      <c r="I13" s="13">
        <v>3322320.4</v>
      </c>
      <c r="J13" s="149">
        <v>3322320.4</v>
      </c>
      <c r="K13" s="149">
        <v>3322320.4</v>
      </c>
      <c r="L13" s="149">
        <v>3322320.4</v>
      </c>
      <c r="M13" s="149">
        <v>3322320</v>
      </c>
      <c r="N13" s="149">
        <v>3322320.4</v>
      </c>
      <c r="O13" s="149">
        <v>3322320.4</v>
      </c>
      <c r="P13" s="166">
        <v>163185</v>
      </c>
      <c r="Q13" s="149">
        <v>3322320.4</v>
      </c>
      <c r="R13" s="149">
        <v>3322320.4</v>
      </c>
      <c r="S13" s="149">
        <v>3322320.4</v>
      </c>
      <c r="T13" s="149">
        <v>3322320.4</v>
      </c>
      <c r="U13" s="149">
        <v>3322320.4</v>
      </c>
      <c r="V13" s="149">
        <v>3322320.4</v>
      </c>
      <c r="W13" s="149">
        <v>3322320.4</v>
      </c>
      <c r="X13" s="149">
        <v>3322320</v>
      </c>
      <c r="Y13" s="149">
        <v>3322320.4</v>
      </c>
      <c r="Z13" s="149">
        <v>3322320.4</v>
      </c>
      <c r="AA13" s="149">
        <v>3322320.4</v>
      </c>
      <c r="AB13" s="149">
        <v>3322320.4</v>
      </c>
      <c r="AC13" s="231">
        <v>163185</v>
      </c>
      <c r="AD13" s="238"/>
      <c r="AE13" s="238"/>
      <c r="AF13" s="238"/>
    </row>
    <row r="14" spans="1:35" x14ac:dyDescent="0.3">
      <c r="A14" s="11" t="s">
        <v>13</v>
      </c>
      <c r="B14" s="57">
        <f t="shared" ref="B14:AI14" si="2">B15-B16</f>
        <v>112905266</v>
      </c>
      <c r="C14" s="57">
        <f t="shared" si="2"/>
        <v>94715902</v>
      </c>
      <c r="D14" s="57">
        <f t="shared" si="2"/>
        <v>99526768.109999999</v>
      </c>
      <c r="E14" s="57">
        <f t="shared" si="2"/>
        <v>101572313.78</v>
      </c>
      <c r="F14" s="57">
        <f t="shared" si="2"/>
        <v>100145541.54000001</v>
      </c>
      <c r="G14" s="57">
        <f t="shared" si="2"/>
        <v>101087178.20999999</v>
      </c>
      <c r="H14" s="57">
        <f t="shared" si="2"/>
        <v>102689521.27</v>
      </c>
      <c r="I14" s="57">
        <f t="shared" si="2"/>
        <v>100764117.80000001</v>
      </c>
      <c r="J14" s="57">
        <f t="shared" si="2"/>
        <v>97520039.569999993</v>
      </c>
      <c r="K14" s="57">
        <f t="shared" si="2"/>
        <v>96258667.040000007</v>
      </c>
      <c r="L14" s="57">
        <f t="shared" si="2"/>
        <v>97216350.260000005</v>
      </c>
      <c r="M14" s="57">
        <f t="shared" si="2"/>
        <v>95219545.88000001</v>
      </c>
      <c r="N14" s="57">
        <f t="shared" si="2"/>
        <v>98378794.939999998</v>
      </c>
      <c r="O14" s="57">
        <f t="shared" si="2"/>
        <v>101006132.98999999</v>
      </c>
      <c r="P14" s="57">
        <f t="shared" si="2"/>
        <v>101006133</v>
      </c>
      <c r="Q14" s="57">
        <f t="shared" si="2"/>
        <v>99725107.819999993</v>
      </c>
      <c r="R14" s="57">
        <f t="shared" si="2"/>
        <v>99387618.469999999</v>
      </c>
      <c r="S14" s="57">
        <f t="shared" si="2"/>
        <v>103249352.39</v>
      </c>
      <c r="T14" s="57">
        <f t="shared" si="2"/>
        <v>105765160.47</v>
      </c>
      <c r="U14" s="57">
        <f t="shared" si="2"/>
        <v>105002565.53</v>
      </c>
      <c r="V14" s="57">
        <f t="shared" si="2"/>
        <v>104935914.77</v>
      </c>
      <c r="W14" s="57">
        <f t="shared" si="2"/>
        <v>93662659.060000002</v>
      </c>
      <c r="X14" s="57">
        <f t="shared" si="2"/>
        <v>106257101.25</v>
      </c>
      <c r="Y14" s="57">
        <f t="shared" si="2"/>
        <v>108080087.59999999</v>
      </c>
      <c r="Z14" s="57">
        <f t="shared" si="2"/>
        <v>106735412.22</v>
      </c>
      <c r="AA14" s="57">
        <f t="shared" si="2"/>
        <v>105758090.13</v>
      </c>
      <c r="AB14" s="57">
        <f t="shared" si="2"/>
        <v>102510867.5</v>
      </c>
      <c r="AC14" s="57">
        <f t="shared" si="2"/>
        <v>102709901</v>
      </c>
      <c r="AD14" s="237">
        <f t="shared" si="2"/>
        <v>104010632.29000001</v>
      </c>
      <c r="AE14" s="237">
        <f t="shared" si="2"/>
        <v>106836398.94</v>
      </c>
      <c r="AF14" s="237">
        <f t="shared" si="2"/>
        <v>108805070.76000001</v>
      </c>
      <c r="AG14" s="57">
        <f t="shared" si="2"/>
        <v>108871151.33</v>
      </c>
      <c r="AH14" s="57">
        <f t="shared" si="2"/>
        <v>109117083.53999999</v>
      </c>
      <c r="AI14" s="57">
        <f t="shared" si="2"/>
        <v>0</v>
      </c>
    </row>
    <row r="15" spans="1:35" x14ac:dyDescent="0.3">
      <c r="A15" s="12" t="s">
        <v>14</v>
      </c>
      <c r="B15" s="21">
        <v>112905266</v>
      </c>
      <c r="C15" s="142">
        <v>117738087</v>
      </c>
      <c r="D15" s="13">
        <v>123415063.62</v>
      </c>
      <c r="E15" s="13">
        <v>126145167.2</v>
      </c>
      <c r="F15" s="13">
        <v>125723724.04000001</v>
      </c>
      <c r="G15" s="13">
        <v>126473622.20999999</v>
      </c>
      <c r="H15" s="13">
        <v>125711706.14</v>
      </c>
      <c r="I15" s="13">
        <v>125928334.09</v>
      </c>
      <c r="J15" s="149">
        <v>122704146.89</v>
      </c>
      <c r="K15" s="149">
        <v>122285305.53</v>
      </c>
      <c r="L15" s="149">
        <v>122989946.42</v>
      </c>
      <c r="M15" s="149">
        <v>120601445.68000001</v>
      </c>
      <c r="N15" s="149">
        <v>123671591.25</v>
      </c>
      <c r="O15" s="149">
        <v>122972157.98999999</v>
      </c>
      <c r="P15" s="166">
        <v>122972158</v>
      </c>
      <c r="Q15" s="149">
        <v>121691132.69</v>
      </c>
      <c r="R15" s="149">
        <v>121353643.34</v>
      </c>
      <c r="S15" s="149">
        <v>127431062.97</v>
      </c>
      <c r="T15" s="149">
        <v>129940091.53</v>
      </c>
      <c r="U15" s="149">
        <v>128484165.45999999</v>
      </c>
      <c r="V15" s="149">
        <v>128408547.09999999</v>
      </c>
      <c r="W15" s="149">
        <v>116156966.65000001</v>
      </c>
      <c r="X15" s="149">
        <v>129392906.51000001</v>
      </c>
      <c r="Y15" s="149">
        <v>130839716.83</v>
      </c>
      <c r="Z15" s="149">
        <v>129502161.51000001</v>
      </c>
      <c r="AA15" s="149">
        <v>128305935</v>
      </c>
      <c r="AB15" s="149">
        <v>123340432.56999999</v>
      </c>
      <c r="AC15" s="232">
        <v>123584731</v>
      </c>
      <c r="AD15" s="240">
        <v>124845299.59</v>
      </c>
      <c r="AE15" s="238">
        <v>128111691.39</v>
      </c>
      <c r="AF15" s="238">
        <v>130371129.12</v>
      </c>
      <c r="AG15">
        <v>130611100.23999999</v>
      </c>
      <c r="AH15">
        <v>130635188.13</v>
      </c>
    </row>
    <row r="16" spans="1:35" x14ac:dyDescent="0.3">
      <c r="A16" s="12" t="s">
        <v>15</v>
      </c>
      <c r="B16" s="21"/>
      <c r="C16" s="142">
        <v>23022185</v>
      </c>
      <c r="D16" s="13">
        <v>23888295.510000002</v>
      </c>
      <c r="E16" s="13">
        <v>24572853.420000002</v>
      </c>
      <c r="F16" s="13">
        <v>25578182.5</v>
      </c>
      <c r="G16" s="13">
        <v>25386444</v>
      </c>
      <c r="H16" s="13">
        <v>23022184.870000001</v>
      </c>
      <c r="I16" s="13">
        <v>25164216.289999999</v>
      </c>
      <c r="J16" s="149">
        <v>25184107.32</v>
      </c>
      <c r="K16" s="149">
        <v>26026638.489999998</v>
      </c>
      <c r="L16" s="149">
        <v>25773596.16</v>
      </c>
      <c r="M16" s="149">
        <v>25381899.800000001</v>
      </c>
      <c r="N16" s="149">
        <v>25292796.309999999</v>
      </c>
      <c r="O16" s="149">
        <v>21966025</v>
      </c>
      <c r="P16" s="166">
        <v>21966025</v>
      </c>
      <c r="Q16" s="149">
        <v>21966024.870000001</v>
      </c>
      <c r="R16" s="149">
        <v>21966024.870000001</v>
      </c>
      <c r="S16" s="149">
        <v>24181710.579999998</v>
      </c>
      <c r="T16" s="149">
        <v>24174931.059999999</v>
      </c>
      <c r="U16" s="149">
        <v>23481599.93</v>
      </c>
      <c r="V16" s="149">
        <v>23472632.329999998</v>
      </c>
      <c r="W16" s="149">
        <v>22494307.59</v>
      </c>
      <c r="X16" s="149">
        <v>23135805.260000002</v>
      </c>
      <c r="Y16" s="149">
        <v>22759629.23</v>
      </c>
      <c r="Z16" s="149">
        <v>22766749.289999999</v>
      </c>
      <c r="AA16" s="149">
        <v>22547844.870000001</v>
      </c>
      <c r="AB16" s="149">
        <v>20829565.07</v>
      </c>
      <c r="AC16" s="231">
        <v>20874830</v>
      </c>
      <c r="AD16" s="238">
        <v>20834667.300000001</v>
      </c>
      <c r="AE16" s="238">
        <v>21275292.449999999</v>
      </c>
      <c r="AF16" s="238">
        <v>21566058.359999999</v>
      </c>
      <c r="AG16">
        <v>21739948.91</v>
      </c>
      <c r="AH16">
        <v>21518104.59</v>
      </c>
    </row>
    <row r="17" spans="1:35" x14ac:dyDescent="0.3">
      <c r="A17" s="11" t="s">
        <v>16</v>
      </c>
      <c r="B17" s="57">
        <f t="shared" ref="B17:AI17" si="3">SUM(B18:B20)</f>
        <v>0</v>
      </c>
      <c r="C17" s="57">
        <f t="shared" si="3"/>
        <v>0</v>
      </c>
      <c r="D17" s="57">
        <f t="shared" si="3"/>
        <v>0</v>
      </c>
      <c r="E17" s="57">
        <f t="shared" si="3"/>
        <v>0</v>
      </c>
      <c r="F17" s="57">
        <f t="shared" si="3"/>
        <v>0</v>
      </c>
      <c r="G17" s="57">
        <f t="shared" si="3"/>
        <v>0</v>
      </c>
      <c r="H17" s="57">
        <f t="shared" si="3"/>
        <v>0</v>
      </c>
      <c r="I17" s="57">
        <f t="shared" si="3"/>
        <v>0</v>
      </c>
      <c r="J17" s="57">
        <f t="shared" si="3"/>
        <v>0</v>
      </c>
      <c r="K17" s="57">
        <f t="shared" si="3"/>
        <v>0</v>
      </c>
      <c r="L17" s="57">
        <f t="shared" si="3"/>
        <v>0</v>
      </c>
      <c r="M17" s="57">
        <f t="shared" si="3"/>
        <v>0</v>
      </c>
      <c r="N17" s="57">
        <f t="shared" si="3"/>
        <v>0</v>
      </c>
      <c r="O17" s="57">
        <f t="shared" si="3"/>
        <v>0</v>
      </c>
      <c r="P17" s="57">
        <f t="shared" si="3"/>
        <v>0</v>
      </c>
      <c r="Q17" s="57">
        <f t="shared" si="3"/>
        <v>0</v>
      </c>
      <c r="R17" s="57">
        <f t="shared" si="3"/>
        <v>0</v>
      </c>
      <c r="S17" s="57">
        <f t="shared" si="3"/>
        <v>0</v>
      </c>
      <c r="T17" s="57">
        <f t="shared" si="3"/>
        <v>0</v>
      </c>
      <c r="U17" s="57">
        <f t="shared" si="3"/>
        <v>0</v>
      </c>
      <c r="V17" s="57">
        <f t="shared" si="3"/>
        <v>0</v>
      </c>
      <c r="W17" s="57">
        <f t="shared" si="3"/>
        <v>0</v>
      </c>
      <c r="X17" s="57">
        <f t="shared" si="3"/>
        <v>0</v>
      </c>
      <c r="Y17" s="57">
        <f t="shared" si="3"/>
        <v>0</v>
      </c>
      <c r="Z17" s="57">
        <f t="shared" si="3"/>
        <v>0</v>
      </c>
      <c r="AA17" s="57">
        <f t="shared" si="3"/>
        <v>0</v>
      </c>
      <c r="AB17" s="57">
        <f t="shared" si="3"/>
        <v>0</v>
      </c>
      <c r="AC17" s="57">
        <f t="shared" si="3"/>
        <v>0</v>
      </c>
      <c r="AD17" s="237">
        <f t="shared" si="3"/>
        <v>0</v>
      </c>
      <c r="AE17" s="237">
        <f t="shared" si="3"/>
        <v>0</v>
      </c>
      <c r="AF17" s="237">
        <f t="shared" si="3"/>
        <v>0</v>
      </c>
      <c r="AG17" s="57">
        <f t="shared" si="3"/>
        <v>0</v>
      </c>
      <c r="AH17" s="57">
        <f t="shared" si="3"/>
        <v>0</v>
      </c>
      <c r="AI17" s="57">
        <f t="shared" si="3"/>
        <v>0</v>
      </c>
    </row>
    <row r="18" spans="1:35" x14ac:dyDescent="0.3">
      <c r="A18" s="12" t="s">
        <v>17</v>
      </c>
      <c r="B18" s="21"/>
      <c r="C18" s="142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49">
        <v>0</v>
      </c>
      <c r="K18" s="149">
        <v>0</v>
      </c>
      <c r="L18" s="149">
        <v>0</v>
      </c>
      <c r="M18" s="149">
        <v>0</v>
      </c>
      <c r="N18" s="149">
        <v>0</v>
      </c>
      <c r="O18" s="149">
        <v>0</v>
      </c>
      <c r="Q18" s="149">
        <v>0</v>
      </c>
      <c r="R18" s="149">
        <v>0</v>
      </c>
      <c r="S18" s="149">
        <v>0</v>
      </c>
      <c r="T18" s="149">
        <v>0</v>
      </c>
      <c r="U18" s="149">
        <v>0</v>
      </c>
      <c r="V18" s="149">
        <v>0</v>
      </c>
      <c r="W18" s="149">
        <v>0</v>
      </c>
      <c r="X18" s="149">
        <v>0</v>
      </c>
      <c r="Y18" s="149">
        <v>0</v>
      </c>
      <c r="Z18" s="149">
        <v>0</v>
      </c>
      <c r="AA18" s="149">
        <v>0</v>
      </c>
      <c r="AB18" s="149">
        <v>0</v>
      </c>
      <c r="AC18" s="231"/>
      <c r="AD18" s="238">
        <v>0</v>
      </c>
      <c r="AE18" s="238">
        <v>0</v>
      </c>
      <c r="AF18" s="238">
        <v>0</v>
      </c>
      <c r="AG18">
        <v>0</v>
      </c>
      <c r="AH18">
        <v>0</v>
      </c>
    </row>
    <row r="19" spans="1:35" x14ac:dyDescent="0.3">
      <c r="A19" s="12" t="s">
        <v>18</v>
      </c>
      <c r="B19" s="21"/>
      <c r="C19" s="142"/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49">
        <v>0</v>
      </c>
      <c r="K19" s="149">
        <v>0</v>
      </c>
      <c r="L19" s="149">
        <v>0</v>
      </c>
      <c r="M19" s="149">
        <v>0</v>
      </c>
      <c r="N19" s="149">
        <v>0</v>
      </c>
      <c r="O19" s="149">
        <v>0</v>
      </c>
      <c r="Q19" s="149">
        <v>0</v>
      </c>
      <c r="R19" s="149">
        <v>0</v>
      </c>
      <c r="S19" s="149">
        <v>0</v>
      </c>
      <c r="T19" s="149">
        <v>0</v>
      </c>
      <c r="U19" s="149">
        <v>0</v>
      </c>
      <c r="V19" s="149">
        <v>0</v>
      </c>
      <c r="W19" s="149">
        <v>0</v>
      </c>
      <c r="X19" s="149">
        <v>0</v>
      </c>
      <c r="Y19" s="149">
        <v>0</v>
      </c>
      <c r="Z19" s="149">
        <v>0</v>
      </c>
      <c r="AA19" s="149">
        <v>0</v>
      </c>
      <c r="AB19" s="149">
        <v>0</v>
      </c>
      <c r="AC19" s="231"/>
      <c r="AD19" s="238">
        <v>0</v>
      </c>
      <c r="AE19" s="238">
        <v>0</v>
      </c>
      <c r="AF19" s="238">
        <v>0</v>
      </c>
      <c r="AG19">
        <v>0</v>
      </c>
      <c r="AH19">
        <v>0</v>
      </c>
    </row>
    <row r="20" spans="1:35" x14ac:dyDescent="0.3">
      <c r="A20" s="12" t="s">
        <v>19</v>
      </c>
      <c r="B20" s="21"/>
      <c r="C20" s="134"/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49">
        <v>0</v>
      </c>
      <c r="K20" s="149">
        <v>0</v>
      </c>
      <c r="L20" s="149">
        <v>0</v>
      </c>
      <c r="M20" s="149">
        <v>0</v>
      </c>
      <c r="N20" s="149">
        <v>0</v>
      </c>
      <c r="O20" s="149">
        <v>0</v>
      </c>
      <c r="Q20" s="149">
        <v>0</v>
      </c>
      <c r="R20" s="149">
        <v>0</v>
      </c>
      <c r="S20" s="149">
        <v>0</v>
      </c>
      <c r="T20" s="149">
        <v>0</v>
      </c>
      <c r="U20" s="149">
        <v>0</v>
      </c>
      <c r="V20" s="149">
        <v>0</v>
      </c>
      <c r="W20" s="149">
        <v>0</v>
      </c>
      <c r="X20" s="149">
        <v>0</v>
      </c>
      <c r="Y20" s="149">
        <v>0</v>
      </c>
      <c r="Z20" s="149">
        <v>0</v>
      </c>
      <c r="AA20" s="149">
        <v>0</v>
      </c>
      <c r="AB20" s="149">
        <v>0</v>
      </c>
      <c r="AC20" s="231"/>
      <c r="AD20" s="238">
        <v>0</v>
      </c>
      <c r="AE20" s="238">
        <v>0</v>
      </c>
      <c r="AF20" s="238">
        <v>0</v>
      </c>
      <c r="AG20">
        <v>0</v>
      </c>
      <c r="AH20">
        <v>0</v>
      </c>
    </row>
    <row r="21" spans="1:35" x14ac:dyDescent="0.3">
      <c r="A21" s="11" t="s">
        <v>20</v>
      </c>
      <c r="B21" s="57">
        <f t="shared" ref="B21:AI21" si="4">SUM(B22:B26)</f>
        <v>4874587</v>
      </c>
      <c r="C21" s="57">
        <f t="shared" si="4"/>
        <v>14963299</v>
      </c>
      <c r="D21" s="57">
        <f t="shared" si="4"/>
        <v>15620228.800000001</v>
      </c>
      <c r="E21" s="57">
        <f t="shared" si="4"/>
        <v>16690033.810000001</v>
      </c>
      <c r="F21" s="57">
        <f t="shared" si="4"/>
        <v>16705739.43</v>
      </c>
      <c r="G21" s="57">
        <f t="shared" si="4"/>
        <v>16705179.58</v>
      </c>
      <c r="H21" s="57">
        <f t="shared" si="4"/>
        <v>16734038.800000001</v>
      </c>
      <c r="I21" s="57">
        <f t="shared" si="4"/>
        <v>15635767.470000001</v>
      </c>
      <c r="J21" s="57">
        <f t="shared" si="4"/>
        <v>15691840.010000002</v>
      </c>
      <c r="K21" s="57">
        <f t="shared" si="4"/>
        <v>15748540.050000001</v>
      </c>
      <c r="L21" s="57">
        <f t="shared" si="4"/>
        <v>15742600.950000001</v>
      </c>
      <c r="M21" s="57">
        <f t="shared" si="4"/>
        <v>15741440.050000001</v>
      </c>
      <c r="N21" s="57">
        <f t="shared" si="4"/>
        <v>15460033.010000002</v>
      </c>
      <c r="O21" s="57">
        <f t="shared" si="4"/>
        <v>14590003.649999999</v>
      </c>
      <c r="P21" s="57">
        <f t="shared" si="4"/>
        <v>13321202</v>
      </c>
      <c r="Q21" s="57">
        <f t="shared" si="4"/>
        <v>14535205.960000001</v>
      </c>
      <c r="R21" s="57">
        <f t="shared" si="4"/>
        <v>14523549.780000001</v>
      </c>
      <c r="S21" s="57">
        <f t="shared" si="4"/>
        <v>14515829.960000001</v>
      </c>
      <c r="T21" s="57">
        <f t="shared" si="4"/>
        <v>14503285.960000001</v>
      </c>
      <c r="U21" s="57">
        <f t="shared" si="4"/>
        <v>14550603.580000002</v>
      </c>
      <c r="V21" s="57">
        <f t="shared" si="4"/>
        <v>13758139.580000002</v>
      </c>
      <c r="W21" s="57">
        <f t="shared" si="4"/>
        <v>13639588.640000001</v>
      </c>
      <c r="X21" s="57">
        <f t="shared" si="4"/>
        <v>13676304.050000001</v>
      </c>
      <c r="Y21" s="57">
        <f t="shared" si="4"/>
        <v>14255940.59</v>
      </c>
      <c r="Z21" s="57">
        <f t="shared" si="4"/>
        <v>14260494.48</v>
      </c>
      <c r="AA21" s="57">
        <f t="shared" si="4"/>
        <v>14239522.6</v>
      </c>
      <c r="AB21" s="57">
        <f t="shared" si="4"/>
        <v>13539692.339999998</v>
      </c>
      <c r="AC21" s="57">
        <f t="shared" si="4"/>
        <v>12279234</v>
      </c>
      <c r="AD21" s="237">
        <f t="shared" si="4"/>
        <v>13489622.319999998</v>
      </c>
      <c r="AE21" s="237">
        <f t="shared" si="4"/>
        <v>13480488.389999999</v>
      </c>
      <c r="AF21" s="237">
        <f t="shared" si="4"/>
        <v>13462272.339999998</v>
      </c>
      <c r="AG21" s="57">
        <f t="shared" si="4"/>
        <v>14359492.339999998</v>
      </c>
      <c r="AH21" s="57">
        <f t="shared" si="4"/>
        <v>13715783.059999999</v>
      </c>
      <c r="AI21" s="57">
        <f t="shared" si="4"/>
        <v>0</v>
      </c>
    </row>
    <row r="22" spans="1:35" x14ac:dyDescent="0.3">
      <c r="A22" s="12" t="s">
        <v>21</v>
      </c>
      <c r="B22" s="21"/>
      <c r="C22" s="142"/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49">
        <v>0</v>
      </c>
      <c r="K22" s="149">
        <v>0</v>
      </c>
      <c r="L22" s="149">
        <v>0</v>
      </c>
      <c r="M22" s="149">
        <v>0</v>
      </c>
      <c r="N22" s="149">
        <v>0</v>
      </c>
      <c r="O22" s="149">
        <v>0</v>
      </c>
      <c r="Q22" s="149">
        <v>0</v>
      </c>
      <c r="R22" s="149">
        <v>0</v>
      </c>
      <c r="S22" s="149">
        <v>0</v>
      </c>
      <c r="T22" s="149">
        <v>0</v>
      </c>
      <c r="U22" s="149">
        <v>0</v>
      </c>
      <c r="V22" s="149">
        <v>0</v>
      </c>
      <c r="W22" s="149">
        <v>0</v>
      </c>
      <c r="X22" s="149">
        <v>0</v>
      </c>
      <c r="Y22" s="149">
        <v>0</v>
      </c>
      <c r="Z22" s="149">
        <v>0</v>
      </c>
      <c r="AA22" s="149">
        <v>0</v>
      </c>
      <c r="AB22" s="149">
        <v>0</v>
      </c>
      <c r="AC22" s="231"/>
      <c r="AD22" s="238">
        <v>0</v>
      </c>
      <c r="AE22" s="238">
        <v>0</v>
      </c>
      <c r="AF22" s="238">
        <v>0</v>
      </c>
      <c r="AG22">
        <v>0</v>
      </c>
      <c r="AH22">
        <v>0</v>
      </c>
    </row>
    <row r="23" spans="1:35" x14ac:dyDescent="0.3">
      <c r="A23" s="12" t="s">
        <v>22</v>
      </c>
      <c r="B23" s="21">
        <v>4123114</v>
      </c>
      <c r="C23" s="142">
        <v>13159426</v>
      </c>
      <c r="D23" s="13">
        <v>13635196.390000001</v>
      </c>
      <c r="E23" s="13">
        <v>13635196.390000001</v>
      </c>
      <c r="F23" s="13">
        <v>13660301.390000001</v>
      </c>
      <c r="G23" s="13">
        <v>13666801.390000001</v>
      </c>
      <c r="H23" s="13">
        <v>13701801.390000001</v>
      </c>
      <c r="I23" s="13">
        <v>12851347.390000001</v>
      </c>
      <c r="J23" s="149">
        <v>12886347.390000001</v>
      </c>
      <c r="K23" s="149">
        <v>12953447.390000001</v>
      </c>
      <c r="L23" s="149">
        <v>12953447.390000001</v>
      </c>
      <c r="M23" s="149">
        <v>12963347.390000001</v>
      </c>
      <c r="N23" s="149">
        <v>12988547.390000001</v>
      </c>
      <c r="O23" s="149">
        <v>12135655.689999999</v>
      </c>
      <c r="P23" s="166">
        <v>12118019</v>
      </c>
      <c r="Q23" s="149">
        <v>12119458</v>
      </c>
      <c r="R23" s="149">
        <v>12119458</v>
      </c>
      <c r="S23" s="149">
        <v>12123882</v>
      </c>
      <c r="T23" s="149">
        <v>12124282</v>
      </c>
      <c r="U23" s="149">
        <v>12180282</v>
      </c>
      <c r="V23" s="149">
        <v>11499364</v>
      </c>
      <c r="W23" s="149">
        <v>11629864</v>
      </c>
      <c r="X23" s="149">
        <v>11474348.42</v>
      </c>
      <c r="Y23" s="149">
        <v>11961238.42</v>
      </c>
      <c r="Z23" s="149">
        <v>11961238.42</v>
      </c>
      <c r="AA23" s="149">
        <v>11961238.42</v>
      </c>
      <c r="AB23" s="149">
        <v>11482673.369999999</v>
      </c>
      <c r="AC23" s="231">
        <v>11476711</v>
      </c>
      <c r="AD23" s="238">
        <v>11478269.369999999</v>
      </c>
      <c r="AE23" s="238">
        <v>11478269.369999999</v>
      </c>
      <c r="AF23" s="238">
        <v>11477413.369999999</v>
      </c>
      <c r="AG23">
        <v>12373033.369999999</v>
      </c>
      <c r="AH23">
        <v>11859474.01</v>
      </c>
    </row>
    <row r="24" spans="1:35" x14ac:dyDescent="0.3">
      <c r="A24" s="12" t="s">
        <v>23</v>
      </c>
      <c r="B24" s="21">
        <v>0</v>
      </c>
      <c r="C24" s="142"/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49">
        <v>0</v>
      </c>
      <c r="K24" s="149">
        <v>0</v>
      </c>
      <c r="L24" s="149">
        <v>0</v>
      </c>
      <c r="M24" s="149">
        <v>0</v>
      </c>
      <c r="N24" s="149">
        <v>0</v>
      </c>
      <c r="O24" s="149">
        <v>0</v>
      </c>
      <c r="Q24" s="149">
        <v>0</v>
      </c>
      <c r="R24" s="149">
        <v>0</v>
      </c>
      <c r="S24" s="149">
        <v>0</v>
      </c>
      <c r="T24" s="149">
        <v>0</v>
      </c>
      <c r="U24" s="149">
        <v>0</v>
      </c>
      <c r="V24" s="149">
        <v>0</v>
      </c>
      <c r="W24" s="149">
        <v>0</v>
      </c>
      <c r="X24" s="149">
        <v>0</v>
      </c>
      <c r="Y24" s="149">
        <v>0</v>
      </c>
      <c r="Z24" s="149">
        <v>0</v>
      </c>
      <c r="AA24" s="149">
        <v>0</v>
      </c>
      <c r="AB24" s="149">
        <v>0</v>
      </c>
      <c r="AC24" s="231"/>
      <c r="AD24" s="238">
        <v>0</v>
      </c>
      <c r="AE24" s="238">
        <v>0</v>
      </c>
      <c r="AF24" s="238">
        <v>0</v>
      </c>
      <c r="AG24">
        <v>0</v>
      </c>
      <c r="AH24">
        <v>0</v>
      </c>
    </row>
    <row r="25" spans="1:35" x14ac:dyDescent="0.3">
      <c r="A25" s="12" t="s">
        <v>24</v>
      </c>
      <c r="B25" s="21">
        <v>751473</v>
      </c>
      <c r="C25" s="142">
        <v>1803873</v>
      </c>
      <c r="D25" s="13">
        <v>1803872.41</v>
      </c>
      <c r="E25" s="13">
        <v>1803872.41</v>
      </c>
      <c r="F25" s="13">
        <v>1803872.41</v>
      </c>
      <c r="G25" s="13">
        <v>1803872.41</v>
      </c>
      <c r="H25" s="13">
        <v>1803872.41</v>
      </c>
      <c r="I25" s="13">
        <v>1503527.66</v>
      </c>
      <c r="J25" s="149">
        <v>1503527.66</v>
      </c>
      <c r="K25" s="149">
        <v>1503527.66</v>
      </c>
      <c r="L25" s="149">
        <v>1503527.66</v>
      </c>
      <c r="M25" s="149">
        <v>1503527.66</v>
      </c>
      <c r="N25" s="149">
        <v>1503527.66</v>
      </c>
      <c r="O25" s="149">
        <v>1203182.96</v>
      </c>
      <c r="P25" s="166">
        <v>1203183</v>
      </c>
      <c r="Q25" s="149">
        <v>1203182.96</v>
      </c>
      <c r="R25" s="149">
        <v>1203182.96</v>
      </c>
      <c r="S25" s="149">
        <v>1203182.96</v>
      </c>
      <c r="T25" s="149">
        <v>1203182.96</v>
      </c>
      <c r="U25" s="149">
        <v>1203182.96</v>
      </c>
      <c r="V25" s="149">
        <v>1002855.96</v>
      </c>
      <c r="W25" s="149">
        <v>1002855.96</v>
      </c>
      <c r="X25" s="149">
        <v>936080</v>
      </c>
      <c r="Y25" s="149">
        <v>936080.42</v>
      </c>
      <c r="Z25" s="149">
        <v>936080.42</v>
      </c>
      <c r="AA25" s="149">
        <v>936080.42</v>
      </c>
      <c r="AB25" s="149">
        <v>802523.03</v>
      </c>
      <c r="AC25" s="231">
        <v>802523</v>
      </c>
      <c r="AD25" s="238">
        <v>802523.87</v>
      </c>
      <c r="AE25" s="238">
        <v>802523.03</v>
      </c>
      <c r="AF25" s="238">
        <v>802523.03</v>
      </c>
      <c r="AG25">
        <v>802523.03</v>
      </c>
      <c r="AH25">
        <v>691172.96</v>
      </c>
    </row>
    <row r="26" spans="1:35" x14ac:dyDescent="0.3">
      <c r="A26" s="12" t="s">
        <v>25</v>
      </c>
      <c r="B26" s="21"/>
      <c r="C26" s="142"/>
      <c r="D26" s="13">
        <v>181160</v>
      </c>
      <c r="E26" s="13">
        <v>1250965.01</v>
      </c>
      <c r="F26" s="13">
        <v>1241565.6299999999</v>
      </c>
      <c r="G26" s="13">
        <v>1234505.78</v>
      </c>
      <c r="H26" s="13">
        <v>1228365</v>
      </c>
      <c r="I26" s="13">
        <v>1280892.42</v>
      </c>
      <c r="J26" s="149">
        <v>1301964.96</v>
      </c>
      <c r="K26" s="149">
        <v>1291565</v>
      </c>
      <c r="L26" s="149">
        <v>1285625.8999999999</v>
      </c>
      <c r="M26" s="149">
        <v>1274565</v>
      </c>
      <c r="N26" s="149">
        <v>967957.96</v>
      </c>
      <c r="O26" s="149">
        <v>1251165</v>
      </c>
      <c r="Q26" s="149">
        <v>1212565</v>
      </c>
      <c r="R26" s="149">
        <v>1200908.82</v>
      </c>
      <c r="S26" s="149">
        <v>1188765</v>
      </c>
      <c r="T26" s="149">
        <v>1175821</v>
      </c>
      <c r="U26" s="149">
        <v>1167138.6200000001</v>
      </c>
      <c r="V26" s="149">
        <v>1255919.6200000001</v>
      </c>
      <c r="W26" s="149">
        <v>1006868.68</v>
      </c>
      <c r="X26" s="149">
        <v>1265875.6299999999</v>
      </c>
      <c r="Y26" s="149">
        <v>1358621.75</v>
      </c>
      <c r="Z26" s="149">
        <v>1363175.64</v>
      </c>
      <c r="AA26" s="149">
        <v>1342203.76</v>
      </c>
      <c r="AB26" s="149">
        <v>1254495.94</v>
      </c>
      <c r="AC26" s="231"/>
      <c r="AD26" s="238">
        <v>1208829.08</v>
      </c>
      <c r="AE26" s="238">
        <v>1199695.99</v>
      </c>
      <c r="AF26" s="238">
        <v>1182335.94</v>
      </c>
      <c r="AG26">
        <v>1183935.94</v>
      </c>
      <c r="AH26">
        <v>1165136.0900000001</v>
      </c>
    </row>
    <row r="27" spans="1:35" x14ac:dyDescent="0.3">
      <c r="A27" s="11" t="s">
        <v>26</v>
      </c>
      <c r="B27" s="57">
        <f t="shared" ref="B27:AI27" si="5">B21+B17+B14+B8+B7+B4</f>
        <v>151015729</v>
      </c>
      <c r="C27" s="57">
        <f t="shared" si="5"/>
        <v>196334663</v>
      </c>
      <c r="D27" s="57">
        <f t="shared" si="5"/>
        <v>197138242.62</v>
      </c>
      <c r="E27" s="57">
        <f t="shared" si="5"/>
        <v>195313709.67000002</v>
      </c>
      <c r="F27" s="57">
        <f t="shared" si="5"/>
        <v>194740170.23000002</v>
      </c>
      <c r="G27" s="57">
        <f t="shared" si="5"/>
        <v>192635860.33999997</v>
      </c>
      <c r="H27" s="57">
        <f t="shared" si="5"/>
        <v>193279957.13999999</v>
      </c>
      <c r="I27" s="57">
        <f t="shared" si="5"/>
        <v>191534430.69</v>
      </c>
      <c r="J27" s="57">
        <f t="shared" si="5"/>
        <v>192050135.62</v>
      </c>
      <c r="K27" s="57">
        <f t="shared" si="5"/>
        <v>190350540.13999999</v>
      </c>
      <c r="L27" s="57">
        <f t="shared" si="5"/>
        <v>191717479.96000001</v>
      </c>
      <c r="M27" s="57">
        <f t="shared" si="5"/>
        <v>198072470.19999999</v>
      </c>
      <c r="N27" s="57">
        <f t="shared" si="5"/>
        <v>201615211.79000002</v>
      </c>
      <c r="O27" s="57">
        <f t="shared" si="5"/>
        <v>202934255.53999999</v>
      </c>
      <c r="P27" s="57">
        <f t="shared" si="5"/>
        <v>203152195</v>
      </c>
      <c r="Q27" s="57">
        <f t="shared" si="5"/>
        <v>204045025.34999999</v>
      </c>
      <c r="R27" s="57">
        <f t="shared" si="5"/>
        <v>207474397.06999999</v>
      </c>
      <c r="S27" s="57">
        <f t="shared" si="5"/>
        <v>205817713.22</v>
      </c>
      <c r="T27" s="57">
        <f t="shared" si="5"/>
        <v>202739872.28000003</v>
      </c>
      <c r="U27" s="57">
        <f t="shared" si="5"/>
        <v>208492306.76999998</v>
      </c>
      <c r="V27" s="57">
        <f t="shared" si="5"/>
        <v>205435916.72999999</v>
      </c>
      <c r="W27" s="57">
        <f t="shared" si="5"/>
        <v>227903895.84</v>
      </c>
      <c r="X27" s="57">
        <f t="shared" si="5"/>
        <v>224380727.65000001</v>
      </c>
      <c r="Y27" s="57">
        <f t="shared" si="5"/>
        <v>222251626.49000001</v>
      </c>
      <c r="Z27" s="57">
        <f t="shared" si="5"/>
        <v>224271214.77000001</v>
      </c>
      <c r="AA27" s="57">
        <f t="shared" si="5"/>
        <v>227395752.36000001</v>
      </c>
      <c r="AB27" s="57">
        <f t="shared" si="5"/>
        <v>233612779.60000002</v>
      </c>
      <c r="AC27" s="57">
        <f t="shared" si="5"/>
        <v>234164331</v>
      </c>
      <c r="AD27" s="237">
        <f t="shared" si="5"/>
        <v>237596073.84</v>
      </c>
      <c r="AE27" s="237">
        <f t="shared" si="5"/>
        <v>235585562.24000001</v>
      </c>
      <c r="AF27" s="237">
        <f t="shared" si="5"/>
        <v>233063644.65000004</v>
      </c>
      <c r="AG27" s="57">
        <f t="shared" si="5"/>
        <v>225054653.49000001</v>
      </c>
      <c r="AH27" s="57">
        <f t="shared" si="5"/>
        <v>222612058.03</v>
      </c>
      <c r="AI27" s="57">
        <f t="shared" si="5"/>
        <v>0</v>
      </c>
    </row>
    <row r="28" spans="1:35" x14ac:dyDescent="0.3">
      <c r="A28" s="12" t="s">
        <v>27</v>
      </c>
      <c r="B28" s="21">
        <v>8112861</v>
      </c>
      <c r="C28" s="142"/>
      <c r="D28" s="13">
        <v>43388182.380000003</v>
      </c>
      <c r="E28" s="13">
        <v>41878809.039999999</v>
      </c>
      <c r="F28" s="13">
        <v>44019733.579999998</v>
      </c>
      <c r="G28" s="13">
        <v>42339314.960000001</v>
      </c>
      <c r="H28" s="13">
        <v>40289561.18</v>
      </c>
      <c r="I28" s="13">
        <v>40213380.649999999</v>
      </c>
      <c r="J28" s="149">
        <v>39423150.030000001</v>
      </c>
      <c r="K28" s="149">
        <v>37586802.200000003</v>
      </c>
      <c r="L28" s="149">
        <v>37772136.469999999</v>
      </c>
      <c r="M28" s="149">
        <v>40771717.759999998</v>
      </c>
      <c r="N28" s="149">
        <v>41579535.619999997</v>
      </c>
      <c r="O28" s="149">
        <v>40688747.719999999</v>
      </c>
      <c r="P28" s="166">
        <v>40687314</v>
      </c>
      <c r="Q28" s="149">
        <v>40668803.560000002</v>
      </c>
      <c r="R28" s="149">
        <v>42694972.189999998</v>
      </c>
      <c r="S28" s="149">
        <v>40260480.729999997</v>
      </c>
      <c r="T28" s="149">
        <v>41555416.240000002</v>
      </c>
      <c r="U28" s="149">
        <v>45199037.380000003</v>
      </c>
      <c r="V28" s="149">
        <v>42150626.329999998</v>
      </c>
      <c r="W28" s="149">
        <v>60483106.25</v>
      </c>
      <c r="X28" s="149">
        <v>55704377.93</v>
      </c>
      <c r="Y28" s="149">
        <v>52141569.960000001</v>
      </c>
      <c r="Z28" s="149">
        <v>52428644.07</v>
      </c>
      <c r="AA28" s="149">
        <v>53115330.979999997</v>
      </c>
      <c r="AB28" s="149">
        <v>59343781.509999998</v>
      </c>
      <c r="AC28" s="231">
        <v>59343782</v>
      </c>
      <c r="AD28" s="238">
        <v>60897811.600000001</v>
      </c>
      <c r="AE28" s="238">
        <v>55103067.090000004</v>
      </c>
      <c r="AF28" s="238">
        <v>54896464.710000001</v>
      </c>
      <c r="AG28">
        <v>49813962.060000002</v>
      </c>
      <c r="AH28">
        <v>47077438.950000003</v>
      </c>
    </row>
    <row r="29" spans="1:35" x14ac:dyDescent="0.3">
      <c r="A29" s="12" t="s">
        <v>28</v>
      </c>
      <c r="B29" s="21">
        <v>8350444</v>
      </c>
      <c r="C29" s="142">
        <v>45172689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49">
        <v>0</v>
      </c>
      <c r="K29" s="149">
        <v>0</v>
      </c>
      <c r="L29" s="149">
        <v>0</v>
      </c>
      <c r="M29" s="149">
        <v>0</v>
      </c>
      <c r="N29" s="149">
        <v>0</v>
      </c>
      <c r="O29" s="149">
        <v>0</v>
      </c>
      <c r="Q29" s="149">
        <v>0</v>
      </c>
      <c r="R29" s="149">
        <v>0</v>
      </c>
      <c r="S29" s="149">
        <v>0</v>
      </c>
      <c r="T29" s="149">
        <v>0</v>
      </c>
      <c r="U29" s="149">
        <v>0</v>
      </c>
      <c r="V29" s="149">
        <v>0</v>
      </c>
      <c r="W29" s="149">
        <v>0</v>
      </c>
      <c r="X29" s="149">
        <v>0</v>
      </c>
      <c r="Y29" s="149">
        <v>0</v>
      </c>
      <c r="Z29" s="149">
        <v>0</v>
      </c>
      <c r="AA29" s="149">
        <v>0</v>
      </c>
      <c r="AB29" s="149">
        <v>0</v>
      </c>
      <c r="AC29" s="231"/>
      <c r="AD29" s="238">
        <v>0</v>
      </c>
      <c r="AE29" s="238">
        <v>0</v>
      </c>
      <c r="AF29" s="238">
        <v>0</v>
      </c>
      <c r="AG29">
        <v>0</v>
      </c>
      <c r="AH29">
        <v>0</v>
      </c>
    </row>
    <row r="30" spans="1:35" x14ac:dyDescent="0.3">
      <c r="A30" s="12" t="s">
        <v>29</v>
      </c>
      <c r="B30" s="21">
        <v>112140909</v>
      </c>
      <c r="C30" s="142">
        <v>97747282</v>
      </c>
      <c r="D30" s="13">
        <v>98068546.370000005</v>
      </c>
      <c r="E30" s="13">
        <v>98848444.939999998</v>
      </c>
      <c r="F30" s="13">
        <v>99652558.310000002</v>
      </c>
      <c r="G30" s="13">
        <v>100100734.67</v>
      </c>
      <c r="H30" s="13">
        <v>100793044.62</v>
      </c>
      <c r="I30" s="13">
        <v>101310736.81999999</v>
      </c>
      <c r="J30" s="149">
        <v>102049553.37</v>
      </c>
      <c r="K30" s="149">
        <v>102841437.52</v>
      </c>
      <c r="L30" s="149">
        <v>102985477.73</v>
      </c>
      <c r="M30" s="149">
        <v>104033892.03</v>
      </c>
      <c r="N30" s="149">
        <v>105983068.34</v>
      </c>
      <c r="O30" s="149">
        <v>103826130.23</v>
      </c>
      <c r="P30" s="166">
        <v>103826130</v>
      </c>
      <c r="Q30" s="149">
        <v>104239041.06</v>
      </c>
      <c r="R30" s="149">
        <v>105301779.95</v>
      </c>
      <c r="S30" s="149">
        <v>106424885.11</v>
      </c>
      <c r="T30" s="149">
        <v>106417790.06</v>
      </c>
      <c r="U30" s="149">
        <v>107189397.86</v>
      </c>
      <c r="V30" s="149">
        <v>107844184</v>
      </c>
      <c r="W30" s="149">
        <v>108398399.03</v>
      </c>
      <c r="X30" s="149">
        <v>108518138.04000001</v>
      </c>
      <c r="Y30" s="149">
        <v>108941082.83</v>
      </c>
      <c r="Z30" s="149">
        <v>109745535.93000001</v>
      </c>
      <c r="AA30" s="149">
        <v>110589515.08</v>
      </c>
      <c r="AB30" s="149">
        <v>110166921.53</v>
      </c>
      <c r="AC30" s="231">
        <v>110164921</v>
      </c>
      <c r="AD30" s="238">
        <v>111063995.87</v>
      </c>
      <c r="AE30" s="238">
        <v>111764825.52</v>
      </c>
      <c r="AF30" s="238">
        <v>112221311.77</v>
      </c>
      <c r="AG30">
        <v>112149094.41</v>
      </c>
      <c r="AH30">
        <v>112799393.89</v>
      </c>
    </row>
    <row r="31" spans="1:35" x14ac:dyDescent="0.3">
      <c r="A31" s="11" t="s">
        <v>30</v>
      </c>
      <c r="B31" s="57">
        <f t="shared" ref="B31:AI31" si="6">SUM(B28:B30)</f>
        <v>128604214</v>
      </c>
      <c r="C31" s="57">
        <f t="shared" si="6"/>
        <v>142919971</v>
      </c>
      <c r="D31" s="57">
        <f t="shared" si="6"/>
        <v>141456728.75</v>
      </c>
      <c r="E31" s="57">
        <f t="shared" si="6"/>
        <v>140727253.97999999</v>
      </c>
      <c r="F31" s="57">
        <f t="shared" si="6"/>
        <v>143672291.88999999</v>
      </c>
      <c r="G31" s="57">
        <f t="shared" si="6"/>
        <v>142440049.63</v>
      </c>
      <c r="H31" s="57">
        <f t="shared" si="6"/>
        <v>141082605.80000001</v>
      </c>
      <c r="I31" s="57">
        <f t="shared" si="6"/>
        <v>141524117.47</v>
      </c>
      <c r="J31" s="57">
        <f t="shared" si="6"/>
        <v>141472703.40000001</v>
      </c>
      <c r="K31" s="57">
        <f t="shared" si="6"/>
        <v>140428239.72</v>
      </c>
      <c r="L31" s="57">
        <f t="shared" si="6"/>
        <v>140757614.19999999</v>
      </c>
      <c r="M31" s="57">
        <f t="shared" si="6"/>
        <v>144805609.78999999</v>
      </c>
      <c r="N31" s="57">
        <f t="shared" si="6"/>
        <v>147562603.96000001</v>
      </c>
      <c r="O31" s="57">
        <f t="shared" si="6"/>
        <v>144514877.94999999</v>
      </c>
      <c r="P31" s="57">
        <f t="shared" si="6"/>
        <v>144513444</v>
      </c>
      <c r="Q31" s="57">
        <f t="shared" si="6"/>
        <v>144907844.62</v>
      </c>
      <c r="R31" s="57">
        <f t="shared" si="6"/>
        <v>147996752.13999999</v>
      </c>
      <c r="S31" s="57">
        <f t="shared" si="6"/>
        <v>146685365.84</v>
      </c>
      <c r="T31" s="57">
        <f t="shared" si="6"/>
        <v>147973206.30000001</v>
      </c>
      <c r="U31" s="57">
        <f t="shared" si="6"/>
        <v>152388435.24000001</v>
      </c>
      <c r="V31" s="57">
        <f t="shared" si="6"/>
        <v>149994810.32999998</v>
      </c>
      <c r="W31" s="57">
        <f t="shared" si="6"/>
        <v>168881505.28</v>
      </c>
      <c r="X31" s="57">
        <f t="shared" si="6"/>
        <v>164222515.97</v>
      </c>
      <c r="Y31" s="57">
        <f t="shared" si="6"/>
        <v>161082652.78999999</v>
      </c>
      <c r="Z31" s="57">
        <f t="shared" si="6"/>
        <v>162174180</v>
      </c>
      <c r="AA31" s="57">
        <f t="shared" si="6"/>
        <v>163704846.06</v>
      </c>
      <c r="AB31" s="57">
        <f t="shared" si="6"/>
        <v>169510703.03999999</v>
      </c>
      <c r="AC31" s="57">
        <f t="shared" si="6"/>
        <v>169508703</v>
      </c>
      <c r="AD31" s="237">
        <f t="shared" si="6"/>
        <v>171961807.47</v>
      </c>
      <c r="AE31" s="237">
        <f t="shared" si="6"/>
        <v>166867892.61000001</v>
      </c>
      <c r="AF31" s="237">
        <f t="shared" si="6"/>
        <v>167117776.47999999</v>
      </c>
      <c r="AG31" s="57">
        <f t="shared" si="6"/>
        <v>161963056.47</v>
      </c>
      <c r="AH31" s="57">
        <f t="shared" si="6"/>
        <v>159876832.84</v>
      </c>
      <c r="AI31" s="57">
        <f t="shared" si="6"/>
        <v>0</v>
      </c>
    </row>
    <row r="32" spans="1:35" x14ac:dyDescent="0.3">
      <c r="A32" s="12" t="s">
        <v>31</v>
      </c>
      <c r="B32" s="21">
        <v>27231</v>
      </c>
      <c r="C32" s="134">
        <v>331303</v>
      </c>
      <c r="D32" s="13">
        <v>331303</v>
      </c>
      <c r="E32" s="13">
        <v>331303</v>
      </c>
      <c r="F32" s="13">
        <v>331303</v>
      </c>
      <c r="G32" s="13">
        <v>331303</v>
      </c>
      <c r="H32" s="13">
        <v>0</v>
      </c>
      <c r="I32" s="13">
        <v>0</v>
      </c>
      <c r="J32" s="149">
        <v>0</v>
      </c>
      <c r="K32" s="149">
        <v>0</v>
      </c>
      <c r="L32" s="149">
        <v>0</v>
      </c>
      <c r="M32" s="149">
        <v>0</v>
      </c>
      <c r="N32" s="149">
        <v>200</v>
      </c>
      <c r="O32" s="149">
        <v>0</v>
      </c>
      <c r="P32" s="166">
        <v>47492</v>
      </c>
      <c r="Q32" s="149">
        <v>0</v>
      </c>
      <c r="R32" s="149">
        <v>0</v>
      </c>
      <c r="S32" s="149">
        <v>47492</v>
      </c>
      <c r="T32" s="149">
        <v>47492</v>
      </c>
      <c r="U32" s="149">
        <v>47492</v>
      </c>
      <c r="V32" s="149">
        <v>0</v>
      </c>
      <c r="W32" s="149">
        <v>0</v>
      </c>
      <c r="X32" s="149">
        <v>0</v>
      </c>
      <c r="Y32" s="149">
        <v>0</v>
      </c>
      <c r="Z32" s="149">
        <v>0</v>
      </c>
      <c r="AA32" s="149">
        <v>0</v>
      </c>
      <c r="AB32" s="149">
        <v>0</v>
      </c>
      <c r="AC32" s="231">
        <v>320845</v>
      </c>
      <c r="AD32" s="238">
        <v>0</v>
      </c>
      <c r="AE32" s="238">
        <v>320844.57</v>
      </c>
      <c r="AF32" s="238">
        <v>320844.57</v>
      </c>
      <c r="AG32">
        <v>1207.57</v>
      </c>
      <c r="AH32">
        <v>1207.57</v>
      </c>
    </row>
    <row r="33" spans="1:35" x14ac:dyDescent="0.3">
      <c r="A33" s="12" t="s">
        <v>32</v>
      </c>
      <c r="B33" s="21">
        <v>3618123</v>
      </c>
      <c r="C33" s="134">
        <v>4469416</v>
      </c>
      <c r="D33" s="13">
        <v>4469416</v>
      </c>
      <c r="E33" s="13">
        <v>4109416.82</v>
      </c>
      <c r="F33" s="13">
        <v>178005.53</v>
      </c>
      <c r="G33" s="13">
        <v>178005.53</v>
      </c>
      <c r="H33" s="13">
        <v>178005.53</v>
      </c>
      <c r="I33" s="13">
        <v>178005.53</v>
      </c>
      <c r="J33" s="149">
        <v>178005.53</v>
      </c>
      <c r="K33" s="149">
        <v>178005.53</v>
      </c>
      <c r="L33" s="149">
        <v>178005.53</v>
      </c>
      <c r="M33" s="149">
        <v>178005.53</v>
      </c>
      <c r="N33" s="149">
        <v>178005.53</v>
      </c>
      <c r="O33" s="149">
        <v>178005.53</v>
      </c>
      <c r="P33" s="166">
        <v>4982212</v>
      </c>
      <c r="Q33" s="149">
        <v>178005.53</v>
      </c>
      <c r="R33" s="149">
        <v>178005.53</v>
      </c>
      <c r="S33" s="149">
        <v>2725690.53</v>
      </c>
      <c r="T33" s="149">
        <v>239968.88</v>
      </c>
      <c r="U33" s="149">
        <v>238270.68</v>
      </c>
      <c r="V33" s="149">
        <v>238270.68</v>
      </c>
      <c r="W33" s="149">
        <v>234411.68</v>
      </c>
      <c r="X33" s="149">
        <v>195009.52</v>
      </c>
      <c r="Y33" s="149">
        <v>190317.68</v>
      </c>
      <c r="Z33" s="149">
        <v>184179.68</v>
      </c>
      <c r="AA33" s="149">
        <v>178733.68</v>
      </c>
      <c r="AB33" s="149">
        <v>178733.68</v>
      </c>
      <c r="AC33" s="231">
        <v>4492182</v>
      </c>
      <c r="AD33" s="238">
        <v>178733.68</v>
      </c>
      <c r="AE33" s="238">
        <v>4492181.3899999997</v>
      </c>
      <c r="AF33" s="238">
        <v>529802.68999999994</v>
      </c>
      <c r="AG33">
        <v>362474.69</v>
      </c>
      <c r="AH33">
        <v>222434.69</v>
      </c>
    </row>
    <row r="34" spans="1:35" x14ac:dyDescent="0.3">
      <c r="A34" s="12" t="s">
        <v>33</v>
      </c>
      <c r="B34" s="21"/>
      <c r="C34" s="134"/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49">
        <v>0</v>
      </c>
      <c r="K34" s="149">
        <v>0</v>
      </c>
      <c r="L34" s="149">
        <v>0</v>
      </c>
      <c r="M34" s="149">
        <v>0</v>
      </c>
      <c r="N34" s="149">
        <v>0</v>
      </c>
      <c r="O34" s="149">
        <v>0</v>
      </c>
      <c r="Q34" s="149">
        <v>0</v>
      </c>
      <c r="R34" s="149">
        <v>0</v>
      </c>
      <c r="S34" s="149">
        <v>0</v>
      </c>
      <c r="T34" s="149">
        <v>0</v>
      </c>
      <c r="U34" s="149">
        <v>0</v>
      </c>
      <c r="V34" s="149">
        <v>0</v>
      </c>
      <c r="W34" s="149">
        <v>0</v>
      </c>
      <c r="X34" s="149">
        <v>0</v>
      </c>
      <c r="Y34" s="149">
        <v>0</v>
      </c>
      <c r="Z34" s="149">
        <v>0</v>
      </c>
      <c r="AA34" s="149">
        <v>0</v>
      </c>
      <c r="AB34" s="149">
        <v>0</v>
      </c>
      <c r="AC34" s="231"/>
      <c r="AD34" s="238">
        <v>0</v>
      </c>
      <c r="AE34" s="238">
        <v>0</v>
      </c>
      <c r="AF34" s="238">
        <v>0</v>
      </c>
      <c r="AG34">
        <v>0</v>
      </c>
      <c r="AH34">
        <v>0</v>
      </c>
    </row>
    <row r="35" spans="1:35" x14ac:dyDescent="0.3">
      <c r="A35" s="12" t="s">
        <v>34</v>
      </c>
      <c r="B35" s="21"/>
      <c r="C35" s="134"/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49">
        <v>0</v>
      </c>
      <c r="K35" s="149">
        <v>0</v>
      </c>
      <c r="L35" s="149">
        <v>0</v>
      </c>
      <c r="M35" s="149">
        <v>0</v>
      </c>
      <c r="N35" s="149">
        <v>0</v>
      </c>
      <c r="O35" s="149">
        <v>0</v>
      </c>
      <c r="Q35" s="149">
        <v>0</v>
      </c>
      <c r="R35" s="149">
        <v>0</v>
      </c>
      <c r="S35" s="149">
        <v>0</v>
      </c>
      <c r="T35" s="149">
        <v>0</v>
      </c>
      <c r="U35" s="149">
        <v>0</v>
      </c>
      <c r="V35" s="149">
        <v>0</v>
      </c>
      <c r="W35" s="149">
        <v>0</v>
      </c>
      <c r="X35" s="149">
        <v>0</v>
      </c>
      <c r="Y35" s="149">
        <v>0</v>
      </c>
      <c r="Z35" s="149">
        <v>0</v>
      </c>
      <c r="AA35" s="149">
        <v>0</v>
      </c>
      <c r="AB35" s="149">
        <v>0</v>
      </c>
      <c r="AC35" s="231"/>
      <c r="AD35" s="238">
        <v>0</v>
      </c>
      <c r="AE35" s="238">
        <v>0</v>
      </c>
      <c r="AF35" s="238">
        <v>0</v>
      </c>
      <c r="AG35">
        <v>0</v>
      </c>
      <c r="AH35">
        <v>0</v>
      </c>
    </row>
    <row r="36" spans="1:35" x14ac:dyDescent="0.3">
      <c r="A36" s="12" t="s">
        <v>35</v>
      </c>
      <c r="B36" s="21">
        <v>1214920</v>
      </c>
      <c r="C36" s="142">
        <v>3786965</v>
      </c>
      <c r="D36" s="13">
        <v>3553292.62</v>
      </c>
      <c r="E36" s="13">
        <v>4331685.6100000003</v>
      </c>
      <c r="F36" s="13">
        <v>5115811.3499999996</v>
      </c>
      <c r="G36" s="13">
        <v>2766231.62</v>
      </c>
      <c r="H36" s="13">
        <v>2183007.38</v>
      </c>
      <c r="I36" s="13">
        <v>2274820.4300000002</v>
      </c>
      <c r="J36" s="149">
        <v>2360998.2400000002</v>
      </c>
      <c r="K36" s="149">
        <v>2245091.77</v>
      </c>
      <c r="L36" s="149">
        <v>2262577.66</v>
      </c>
      <c r="M36" s="149">
        <v>2873146.86</v>
      </c>
      <c r="N36" s="149">
        <v>2835491.53</v>
      </c>
      <c r="O36" s="149">
        <v>3479721.86</v>
      </c>
      <c r="P36" s="166">
        <v>3897607</v>
      </c>
      <c r="Q36" s="149">
        <v>4250814.0199999996</v>
      </c>
      <c r="R36" s="149">
        <v>4300142.66</v>
      </c>
      <c r="S36" s="149">
        <v>4402849.53</v>
      </c>
      <c r="T36" s="149">
        <v>3569501.62</v>
      </c>
      <c r="U36" s="149">
        <v>3392247.91</v>
      </c>
      <c r="V36" s="149">
        <v>3001895.79</v>
      </c>
      <c r="W36" s="149">
        <v>2588665.34</v>
      </c>
      <c r="X36" s="149">
        <v>2945164.63</v>
      </c>
      <c r="Y36" s="149">
        <v>2768203.38</v>
      </c>
      <c r="Z36" s="149">
        <v>2691983.55</v>
      </c>
      <c r="AA36" s="149">
        <v>3301131.63</v>
      </c>
      <c r="AB36" s="149">
        <v>4289497.67</v>
      </c>
      <c r="AC36" s="231">
        <v>4525108</v>
      </c>
      <c r="AD36" s="238">
        <v>3780541.56</v>
      </c>
      <c r="AE36" s="238">
        <v>4394961.9800000004</v>
      </c>
      <c r="AF36" s="238">
        <v>5324401.7300000004</v>
      </c>
      <c r="AG36">
        <v>2574064.7200000002</v>
      </c>
      <c r="AH36">
        <v>2104728.34</v>
      </c>
    </row>
    <row r="37" spans="1:35" x14ac:dyDescent="0.3">
      <c r="A37" s="12" t="s">
        <v>36</v>
      </c>
      <c r="B37" s="21">
        <v>2291669</v>
      </c>
      <c r="C37" s="142"/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49">
        <v>0</v>
      </c>
      <c r="K37" s="149">
        <v>0</v>
      </c>
      <c r="L37" s="149">
        <v>0</v>
      </c>
      <c r="M37" s="149">
        <v>0</v>
      </c>
      <c r="N37" s="149">
        <v>0</v>
      </c>
      <c r="O37" s="149">
        <v>0</v>
      </c>
      <c r="Q37" s="149">
        <v>0</v>
      </c>
      <c r="R37" s="149">
        <v>0</v>
      </c>
      <c r="S37" s="149">
        <v>0</v>
      </c>
      <c r="T37" s="149">
        <v>0</v>
      </c>
      <c r="U37" s="149">
        <v>0</v>
      </c>
      <c r="V37" s="149">
        <v>0</v>
      </c>
      <c r="W37" s="149">
        <v>0</v>
      </c>
      <c r="X37" s="149">
        <v>0</v>
      </c>
      <c r="Y37" s="149">
        <v>0</v>
      </c>
      <c r="Z37" s="149">
        <v>0</v>
      </c>
      <c r="AA37" s="149">
        <v>0</v>
      </c>
      <c r="AB37" s="149">
        <v>0</v>
      </c>
      <c r="AC37" s="231"/>
      <c r="AD37" s="238">
        <v>0</v>
      </c>
      <c r="AE37" s="238">
        <v>0</v>
      </c>
      <c r="AF37" s="238">
        <v>0</v>
      </c>
      <c r="AG37">
        <v>0</v>
      </c>
      <c r="AH37">
        <v>0</v>
      </c>
    </row>
    <row r="38" spans="1:35" x14ac:dyDescent="0.3">
      <c r="A38" s="11" t="s">
        <v>37</v>
      </c>
      <c r="B38" s="57">
        <f t="shared" ref="B38:AI38" si="7">SUM(B31:B37)</f>
        <v>135756157</v>
      </c>
      <c r="C38" s="57">
        <f t="shared" si="7"/>
        <v>151507655</v>
      </c>
      <c r="D38" s="57">
        <f t="shared" si="7"/>
        <v>149810740.37</v>
      </c>
      <c r="E38" s="57">
        <f t="shared" si="7"/>
        <v>149499659.41</v>
      </c>
      <c r="F38" s="57">
        <f t="shared" si="7"/>
        <v>149297411.76999998</v>
      </c>
      <c r="G38" s="57">
        <f t="shared" si="7"/>
        <v>145715589.78</v>
      </c>
      <c r="H38" s="57">
        <f t="shared" si="7"/>
        <v>143443618.71000001</v>
      </c>
      <c r="I38" s="57">
        <f t="shared" si="7"/>
        <v>143976943.43000001</v>
      </c>
      <c r="J38" s="57">
        <f t="shared" si="7"/>
        <v>144011707.17000002</v>
      </c>
      <c r="K38" s="57">
        <f t="shared" si="7"/>
        <v>142851337.02000001</v>
      </c>
      <c r="L38" s="57">
        <f t="shared" si="7"/>
        <v>143198197.38999999</v>
      </c>
      <c r="M38" s="57">
        <f t="shared" si="7"/>
        <v>147856762.18000001</v>
      </c>
      <c r="N38" s="57">
        <f t="shared" si="7"/>
        <v>150576301.02000001</v>
      </c>
      <c r="O38" s="57">
        <f t="shared" si="7"/>
        <v>148172605.34</v>
      </c>
      <c r="P38" s="57">
        <f t="shared" si="7"/>
        <v>153440755</v>
      </c>
      <c r="Q38" s="57">
        <f t="shared" si="7"/>
        <v>149336664.17000002</v>
      </c>
      <c r="R38" s="57">
        <f t="shared" si="7"/>
        <v>152474900.32999998</v>
      </c>
      <c r="S38" s="57">
        <f t="shared" si="7"/>
        <v>153861397.90000001</v>
      </c>
      <c r="T38" s="57">
        <f t="shared" si="7"/>
        <v>151830168.80000001</v>
      </c>
      <c r="U38" s="57">
        <f t="shared" si="7"/>
        <v>156066445.83000001</v>
      </c>
      <c r="V38" s="57">
        <f t="shared" si="7"/>
        <v>153234976.79999998</v>
      </c>
      <c r="W38" s="57">
        <f t="shared" si="7"/>
        <v>171704582.30000001</v>
      </c>
      <c r="X38" s="57">
        <f t="shared" si="7"/>
        <v>167362690.12</v>
      </c>
      <c r="Y38" s="57">
        <f t="shared" si="7"/>
        <v>164041173.84999999</v>
      </c>
      <c r="Z38" s="57">
        <f t="shared" si="7"/>
        <v>165050343.23000002</v>
      </c>
      <c r="AA38" s="57">
        <f t="shared" si="7"/>
        <v>167184711.37</v>
      </c>
      <c r="AB38" s="57">
        <f t="shared" si="7"/>
        <v>173978934.38999999</v>
      </c>
      <c r="AC38" s="57">
        <f t="shared" si="7"/>
        <v>178846838</v>
      </c>
      <c r="AD38" s="237">
        <f t="shared" si="7"/>
        <v>175921082.71000001</v>
      </c>
      <c r="AE38" s="237">
        <f t="shared" si="7"/>
        <v>176075880.54999998</v>
      </c>
      <c r="AF38" s="237">
        <f t="shared" si="7"/>
        <v>173292825.46999997</v>
      </c>
      <c r="AG38" s="57">
        <f t="shared" si="7"/>
        <v>164900803.44999999</v>
      </c>
      <c r="AH38" s="57">
        <f t="shared" si="7"/>
        <v>162205203.44</v>
      </c>
      <c r="AI38" s="57">
        <f t="shared" si="7"/>
        <v>0</v>
      </c>
    </row>
    <row r="39" spans="1:35" x14ac:dyDescent="0.3">
      <c r="A39" s="12" t="s">
        <v>38</v>
      </c>
      <c r="B39" s="21">
        <v>10494697</v>
      </c>
      <c r="C39" s="142">
        <v>20354392</v>
      </c>
      <c r="D39" s="13">
        <v>20409827.32</v>
      </c>
      <c r="E39" s="13">
        <v>20503312.02</v>
      </c>
      <c r="F39" s="13">
        <v>20818309.120000001</v>
      </c>
      <c r="G39" s="13">
        <v>21386718.420000002</v>
      </c>
      <c r="H39" s="13">
        <v>21646521.52</v>
      </c>
      <c r="I39" s="13">
        <v>21819582.52</v>
      </c>
      <c r="J39" s="149">
        <v>22004383.52</v>
      </c>
      <c r="K39" s="149">
        <v>22196118.530000001</v>
      </c>
      <c r="L39" s="149">
        <v>22378767.030000001</v>
      </c>
      <c r="M39" s="149">
        <v>22474919.030000001</v>
      </c>
      <c r="N39" s="149">
        <v>22686914.329999998</v>
      </c>
      <c r="O39" s="149">
        <v>22976845.93</v>
      </c>
      <c r="P39" s="166">
        <v>22976846</v>
      </c>
      <c r="Q39" s="149">
        <v>23140804.129999999</v>
      </c>
      <c r="R39" s="149">
        <v>23269757.129999999</v>
      </c>
      <c r="S39" s="149">
        <v>23443263.579999998</v>
      </c>
      <c r="T39" s="149">
        <v>23613531.780000001</v>
      </c>
      <c r="U39" s="149">
        <v>23856890.780000001</v>
      </c>
      <c r="V39" s="149">
        <v>24046290.879999999</v>
      </c>
      <c r="W39" s="149">
        <v>26611792.829999998</v>
      </c>
      <c r="X39" s="149">
        <v>26858915.379999999</v>
      </c>
      <c r="Y39" s="149">
        <v>27115705.489999998</v>
      </c>
      <c r="Z39" s="149">
        <v>27303775.59</v>
      </c>
      <c r="AA39" s="149">
        <v>27562238.34</v>
      </c>
      <c r="AB39" s="149">
        <v>27792648.890000001</v>
      </c>
      <c r="AC39" s="231">
        <v>27792649</v>
      </c>
      <c r="AD39" s="238">
        <v>28258881.059999999</v>
      </c>
      <c r="AE39" s="238">
        <v>28590363.859999999</v>
      </c>
      <c r="AF39" s="238">
        <v>28888313.859999999</v>
      </c>
      <c r="AG39">
        <v>29099239.609999999</v>
      </c>
      <c r="AH39">
        <v>29296146.66</v>
      </c>
    </row>
    <row r="40" spans="1:35" x14ac:dyDescent="0.3">
      <c r="A40" s="12" t="s">
        <v>39</v>
      </c>
      <c r="B40" s="21">
        <v>340425</v>
      </c>
      <c r="C40" s="134"/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49">
        <v>0</v>
      </c>
      <c r="K40" s="149">
        <v>0</v>
      </c>
      <c r="L40" s="149">
        <v>0</v>
      </c>
      <c r="M40" s="149">
        <v>0</v>
      </c>
      <c r="N40" s="149">
        <v>0</v>
      </c>
      <c r="O40" s="149">
        <v>0</v>
      </c>
      <c r="Q40" s="149">
        <v>0</v>
      </c>
      <c r="R40" s="149">
        <v>0</v>
      </c>
      <c r="S40" s="149">
        <v>0</v>
      </c>
      <c r="T40" s="149">
        <v>0</v>
      </c>
      <c r="U40" s="149">
        <v>0</v>
      </c>
      <c r="V40" s="149">
        <v>0</v>
      </c>
      <c r="W40" s="149">
        <v>0</v>
      </c>
      <c r="X40" s="149">
        <v>0</v>
      </c>
      <c r="Y40" s="149">
        <v>0</v>
      </c>
      <c r="Z40" s="149">
        <v>0</v>
      </c>
      <c r="AA40" s="149">
        <v>0</v>
      </c>
      <c r="AB40" s="149">
        <v>0</v>
      </c>
      <c r="AC40" s="231"/>
      <c r="AD40" s="238">
        <v>0</v>
      </c>
      <c r="AE40" s="238">
        <v>0</v>
      </c>
      <c r="AF40" s="238">
        <v>0</v>
      </c>
      <c r="AG40">
        <v>0</v>
      </c>
      <c r="AH40">
        <v>0</v>
      </c>
    </row>
    <row r="41" spans="1:35" x14ac:dyDescent="0.3">
      <c r="A41" s="12" t="s">
        <v>40</v>
      </c>
      <c r="B41" s="21">
        <v>351220</v>
      </c>
      <c r="C41" s="142">
        <v>3557811</v>
      </c>
      <c r="D41" s="13">
        <v>15121446.84</v>
      </c>
      <c r="E41" s="13">
        <v>14903354.25</v>
      </c>
      <c r="F41" s="13">
        <v>14903354.25</v>
      </c>
      <c r="G41" s="13">
        <v>14903354.25</v>
      </c>
      <c r="H41" s="13">
        <v>14903354.25</v>
      </c>
      <c r="I41" s="13">
        <v>14903354.25</v>
      </c>
      <c r="J41" s="149">
        <v>14903354.25</v>
      </c>
      <c r="K41" s="149">
        <v>14903354.25</v>
      </c>
      <c r="L41" s="149">
        <v>14903354.25</v>
      </c>
      <c r="M41" s="149">
        <v>14903354.25</v>
      </c>
      <c r="N41" s="149">
        <v>14903354.25</v>
      </c>
      <c r="O41" s="149">
        <v>14903354.25</v>
      </c>
      <c r="P41" s="166">
        <v>14862025</v>
      </c>
      <c r="Q41" s="149">
        <v>21838345.859999999</v>
      </c>
      <c r="R41" s="149">
        <v>21838345.859999999</v>
      </c>
      <c r="S41" s="149">
        <v>18140370.859999999</v>
      </c>
      <c r="T41" s="149">
        <v>16019589.4</v>
      </c>
      <c r="U41" s="149">
        <v>16066589.33</v>
      </c>
      <c r="V41" s="149">
        <v>16063848.859999999</v>
      </c>
      <c r="W41" s="149">
        <v>16070380.32</v>
      </c>
      <c r="X41" s="149">
        <v>16063848.859999999</v>
      </c>
      <c r="Y41" s="149">
        <v>16063848.859999999</v>
      </c>
      <c r="Z41" s="149">
        <v>16016356.859999999</v>
      </c>
      <c r="AA41" s="149">
        <v>16016356.859999999</v>
      </c>
      <c r="AB41" s="149">
        <v>16016356.859999999</v>
      </c>
      <c r="AC41" s="231">
        <v>16015500</v>
      </c>
      <c r="AD41" s="238">
        <v>20349705.5</v>
      </c>
      <c r="AE41" s="238">
        <v>16006369.640000001</v>
      </c>
      <c r="AF41" s="238">
        <v>16006369.640000001</v>
      </c>
      <c r="AG41">
        <v>16006369.640000001</v>
      </c>
      <c r="AH41">
        <v>16006369.640000001</v>
      </c>
    </row>
    <row r="42" spans="1:35" x14ac:dyDescent="0.3">
      <c r="A42" s="12" t="s">
        <v>41</v>
      </c>
      <c r="B42" s="21">
        <v>3541956</v>
      </c>
      <c r="C42" s="142">
        <f>14862025-C41</f>
        <v>11304214</v>
      </c>
      <c r="D42" s="13">
        <v>1999765.2</v>
      </c>
      <c r="E42" s="13">
        <v>796449.7</v>
      </c>
      <c r="F42" s="13">
        <v>110660.8</v>
      </c>
      <c r="G42" s="13">
        <v>1019263.6</v>
      </c>
      <c r="H42" s="13">
        <v>3675568.41</v>
      </c>
      <c r="I42" s="13">
        <v>1223616.2</v>
      </c>
      <c r="J42" s="149">
        <v>1519756.4</v>
      </c>
      <c r="K42" s="149">
        <v>788796.1</v>
      </c>
      <c r="L42" s="149">
        <v>1622544.4</v>
      </c>
      <c r="M42" s="149">
        <v>3226500.4</v>
      </c>
      <c r="N42" s="149">
        <v>3837707.9</v>
      </c>
      <c r="O42" s="149">
        <v>7270515.7000000002</v>
      </c>
      <c r="P42" s="166">
        <f>4851449-970290-180000-250000-2297685</f>
        <v>1153474</v>
      </c>
      <c r="Q42" s="149">
        <v>118618.9</v>
      </c>
      <c r="R42" s="149">
        <v>280801.46000000002</v>
      </c>
      <c r="S42" s="149">
        <v>-208201.4</v>
      </c>
      <c r="T42" s="149">
        <v>695700.1</v>
      </c>
      <c r="U42" s="149">
        <v>1921498.5</v>
      </c>
      <c r="V42" s="149">
        <v>1509917.9</v>
      </c>
      <c r="W42" s="149">
        <v>2936258.1</v>
      </c>
      <c r="X42" s="149">
        <v>3514391</v>
      </c>
      <c r="Y42" s="149">
        <v>4450016</v>
      </c>
      <c r="Z42" s="149">
        <v>5319856.8</v>
      </c>
      <c r="AA42" s="149">
        <v>6051563.5</v>
      </c>
      <c r="AB42" s="149">
        <v>5243957.17</v>
      </c>
      <c r="AC42" s="231">
        <f>4001194+856-800239-180000-250000-2781799</f>
        <v>-9988</v>
      </c>
      <c r="AD42" s="238">
        <v>2347310.2799999998</v>
      </c>
      <c r="AE42" s="238">
        <v>3393614.9</v>
      </c>
      <c r="AF42" s="238">
        <v>3356802.4</v>
      </c>
      <c r="AG42">
        <v>3528907.5</v>
      </c>
      <c r="AH42">
        <v>3585005</v>
      </c>
    </row>
    <row r="43" spans="1:35" x14ac:dyDescent="0.3">
      <c r="A43" s="12" t="s">
        <v>42</v>
      </c>
      <c r="B43" s="21">
        <v>531274</v>
      </c>
      <c r="C43" s="142">
        <v>6683483</v>
      </c>
      <c r="D43" s="13">
        <v>5972263.04</v>
      </c>
      <c r="E43" s="13">
        <v>6683825.04</v>
      </c>
      <c r="F43" s="13">
        <v>6683325.04</v>
      </c>
      <c r="G43" s="13">
        <v>6683825.04</v>
      </c>
      <c r="H43" s="13">
        <v>6683825</v>
      </c>
      <c r="I43" s="13">
        <v>6683825.04</v>
      </c>
      <c r="J43" s="149">
        <v>6683825.04</v>
      </c>
      <c r="K43" s="149">
        <v>6683825.04</v>
      </c>
      <c r="L43" s="149">
        <v>6683825.04</v>
      </c>
      <c r="M43" s="149">
        <v>6683825.04</v>
      </c>
      <c r="N43" s="149">
        <v>6683825.04</v>
      </c>
      <c r="O43" s="149">
        <v>6683825.04</v>
      </c>
      <c r="P43" s="166">
        <v>7653773</v>
      </c>
      <c r="Q43" s="149">
        <v>6683483.04</v>
      </c>
      <c r="R43" s="149">
        <v>6683483.04</v>
      </c>
      <c r="S43" s="149">
        <v>7653773.0300000003</v>
      </c>
      <c r="T43" s="149">
        <v>7653773.04</v>
      </c>
      <c r="U43" s="149">
        <v>7653773.04</v>
      </c>
      <c r="V43" s="149">
        <v>7653773.04</v>
      </c>
      <c r="W43" s="149">
        <v>7653773.04</v>
      </c>
      <c r="X43" s="149">
        <v>7653773.04</v>
      </c>
      <c r="Y43" s="149">
        <v>7653773.04</v>
      </c>
      <c r="Z43" s="149">
        <v>7653773.04</v>
      </c>
      <c r="AA43" s="149">
        <v>7653773.04</v>
      </c>
      <c r="AB43" s="149">
        <v>7653773.04</v>
      </c>
      <c r="AC43" s="231">
        <v>8454012</v>
      </c>
      <c r="AD43" s="238">
        <v>7653773.04</v>
      </c>
      <c r="AE43" s="238">
        <v>8454012.0399999991</v>
      </c>
      <c r="AF43" s="238">
        <v>8454012.0399999991</v>
      </c>
      <c r="AG43">
        <v>8454012.0399999991</v>
      </c>
      <c r="AH43">
        <v>8454012.0399999991</v>
      </c>
    </row>
    <row r="44" spans="1:35" x14ac:dyDescent="0.3">
      <c r="A44" s="12" t="s">
        <v>43</v>
      </c>
      <c r="B44" s="21"/>
      <c r="C44" s="142">
        <v>226780</v>
      </c>
      <c r="D44" s="13">
        <v>226779.85</v>
      </c>
      <c r="E44" s="13">
        <v>226779.85</v>
      </c>
      <c r="F44" s="13">
        <v>226779.85</v>
      </c>
      <c r="G44" s="13">
        <v>226779.85</v>
      </c>
      <c r="H44" s="13">
        <v>226779.85</v>
      </c>
      <c r="I44" s="13">
        <v>226779.85</v>
      </c>
      <c r="J44" s="149">
        <v>226779.85</v>
      </c>
      <c r="K44" s="149">
        <v>226779.85</v>
      </c>
      <c r="L44" s="149">
        <v>226779.85</v>
      </c>
      <c r="M44" s="149">
        <v>226779.85</v>
      </c>
      <c r="N44" s="149">
        <v>226779.85</v>
      </c>
      <c r="O44" s="149">
        <v>226779.85</v>
      </c>
      <c r="P44" s="166">
        <v>226780</v>
      </c>
      <c r="Q44" s="149">
        <v>226779.85</v>
      </c>
      <c r="R44" s="149">
        <v>226779.85</v>
      </c>
      <c r="S44" s="149">
        <v>226779.85</v>
      </c>
      <c r="T44" s="149">
        <v>226779.76</v>
      </c>
      <c r="U44" s="149">
        <v>226779.85</v>
      </c>
      <c r="V44" s="149">
        <v>226779.85</v>
      </c>
      <c r="W44" s="149">
        <v>226779.85</v>
      </c>
      <c r="X44" s="149">
        <v>226779.85</v>
      </c>
      <c r="Y44" s="149">
        <v>226779.85</v>
      </c>
      <c r="Z44" s="149">
        <v>226779.85</v>
      </c>
      <c r="AA44" s="149">
        <v>226779.85</v>
      </c>
      <c r="AB44" s="149">
        <v>226779.85</v>
      </c>
      <c r="AC44" s="231">
        <v>226780</v>
      </c>
      <c r="AD44" s="238">
        <v>226779.85</v>
      </c>
      <c r="AE44" s="238">
        <v>226779.85</v>
      </c>
      <c r="AF44" s="238">
        <v>226779.85</v>
      </c>
      <c r="AG44">
        <v>226779.85</v>
      </c>
      <c r="AH44">
        <v>226779.85</v>
      </c>
    </row>
    <row r="45" spans="1:35" x14ac:dyDescent="0.3">
      <c r="A45" s="12" t="s">
        <v>44</v>
      </c>
      <c r="B45" s="21"/>
      <c r="C45" s="142">
        <v>2700329</v>
      </c>
      <c r="D45" s="13">
        <v>3597420</v>
      </c>
      <c r="E45" s="13">
        <v>2700329.4</v>
      </c>
      <c r="F45" s="13">
        <v>2700329.4</v>
      </c>
      <c r="G45" s="13">
        <v>2700329.4</v>
      </c>
      <c r="H45" s="13">
        <v>2700329.4</v>
      </c>
      <c r="I45" s="13">
        <v>2700329.4</v>
      </c>
      <c r="J45" s="149">
        <v>2700329.4</v>
      </c>
      <c r="K45" s="149">
        <v>2700329.35</v>
      </c>
      <c r="L45" s="149">
        <v>2700329.4</v>
      </c>
      <c r="M45" s="149">
        <v>2700329.45</v>
      </c>
      <c r="N45" s="149">
        <v>2700329.4</v>
      </c>
      <c r="O45" s="149">
        <v>2700329.43</v>
      </c>
      <c r="P45" s="166">
        <v>2838541</v>
      </c>
      <c r="Q45" s="149">
        <v>2700329.4</v>
      </c>
      <c r="R45" s="149">
        <v>2700329.4</v>
      </c>
      <c r="S45" s="149">
        <v>2700329.4</v>
      </c>
      <c r="T45" s="149">
        <v>2700329.4</v>
      </c>
      <c r="U45" s="149">
        <v>2700329.44</v>
      </c>
      <c r="V45" s="149">
        <v>2700329.4</v>
      </c>
      <c r="W45" s="149">
        <v>2700329.4</v>
      </c>
      <c r="X45" s="149">
        <v>2700329.4</v>
      </c>
      <c r="Y45" s="149">
        <v>2700329.4</v>
      </c>
      <c r="Z45" s="149">
        <v>2700329.4</v>
      </c>
      <c r="AA45" s="149">
        <v>2700329.4</v>
      </c>
      <c r="AB45" s="149">
        <v>2700329.4</v>
      </c>
      <c r="AC45" s="231">
        <v>2838541</v>
      </c>
      <c r="AD45" s="238">
        <v>2838541.4</v>
      </c>
      <c r="AE45" s="238">
        <v>2838541.4</v>
      </c>
      <c r="AF45" s="238">
        <v>2838541.39</v>
      </c>
      <c r="AG45">
        <v>2838541.4</v>
      </c>
      <c r="AH45">
        <v>2838541.4</v>
      </c>
    </row>
    <row r="46" spans="1:35" x14ac:dyDescent="0.3">
      <c r="A46" s="12" t="s">
        <v>45</v>
      </c>
      <c r="B46" s="21"/>
      <c r="C46" s="142"/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50">
        <v>0</v>
      </c>
      <c r="K46" s="150">
        <v>0</v>
      </c>
      <c r="L46" s="150">
        <v>3682.6</v>
      </c>
      <c r="M46" s="150">
        <v>0</v>
      </c>
      <c r="N46" s="150">
        <v>0</v>
      </c>
      <c r="O46" s="150">
        <v>0</v>
      </c>
      <c r="Q46" s="150">
        <v>0</v>
      </c>
      <c r="R46" s="150">
        <v>0</v>
      </c>
      <c r="S46" s="150">
        <v>0</v>
      </c>
      <c r="T46" s="150">
        <v>0</v>
      </c>
      <c r="U46" s="150">
        <v>0</v>
      </c>
      <c r="V46" s="150">
        <v>0</v>
      </c>
      <c r="W46" s="150">
        <v>0</v>
      </c>
      <c r="X46" s="150">
        <v>0</v>
      </c>
      <c r="Y46" s="150">
        <v>0</v>
      </c>
      <c r="Z46" s="150">
        <v>0</v>
      </c>
      <c r="AA46" s="150">
        <v>0</v>
      </c>
      <c r="AB46" s="150">
        <v>0</v>
      </c>
      <c r="AC46" s="231"/>
      <c r="AD46" s="238">
        <v>0</v>
      </c>
      <c r="AE46" s="238">
        <v>0</v>
      </c>
      <c r="AF46" s="238">
        <v>0</v>
      </c>
      <c r="AG46">
        <v>0</v>
      </c>
      <c r="AH46">
        <v>0</v>
      </c>
    </row>
    <row r="47" spans="1:35" x14ac:dyDescent="0.3">
      <c r="A47" s="12" t="s">
        <v>46</v>
      </c>
      <c r="B47" s="21"/>
      <c r="C47" s="142"/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Q47" s="150">
        <v>0</v>
      </c>
      <c r="R47" s="150">
        <v>0</v>
      </c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50">
        <v>0</v>
      </c>
      <c r="Y47" s="150">
        <v>0</v>
      </c>
      <c r="Z47" s="150">
        <v>0</v>
      </c>
      <c r="AA47" s="150">
        <v>0</v>
      </c>
      <c r="AB47" s="150">
        <v>0</v>
      </c>
      <c r="AC47" s="231"/>
      <c r="AD47" s="238">
        <v>0</v>
      </c>
      <c r="AE47" s="238">
        <v>0</v>
      </c>
      <c r="AF47" s="238">
        <v>0</v>
      </c>
      <c r="AG47">
        <v>0</v>
      </c>
      <c r="AH47">
        <v>0</v>
      </c>
    </row>
    <row r="48" spans="1:35" x14ac:dyDescent="0.3">
      <c r="A48" s="11" t="s">
        <v>47</v>
      </c>
      <c r="B48" s="57">
        <f t="shared" ref="B48:AC48" si="8">SUM(B39:B47)</f>
        <v>15259572</v>
      </c>
      <c r="C48" s="57">
        <f t="shared" si="8"/>
        <v>44827009</v>
      </c>
      <c r="D48" s="57">
        <f t="shared" si="8"/>
        <v>47327502.25</v>
      </c>
      <c r="E48" s="57">
        <f t="shared" si="8"/>
        <v>45814050.259999998</v>
      </c>
      <c r="F48" s="57">
        <f t="shared" si="8"/>
        <v>45442758.460000001</v>
      </c>
      <c r="G48" s="57">
        <f t="shared" si="8"/>
        <v>46920270.560000002</v>
      </c>
      <c r="H48" s="57">
        <f t="shared" si="8"/>
        <v>49836378.429999992</v>
      </c>
      <c r="I48" s="57">
        <f t="shared" si="8"/>
        <v>47557487.259999998</v>
      </c>
      <c r="J48" s="57">
        <f t="shared" si="8"/>
        <v>48038428.459999993</v>
      </c>
      <c r="K48" s="57">
        <f t="shared" si="8"/>
        <v>47499203.120000005</v>
      </c>
      <c r="L48" s="57">
        <f t="shared" si="8"/>
        <v>48519282.57</v>
      </c>
      <c r="M48" s="57">
        <f t="shared" si="8"/>
        <v>50215708.020000003</v>
      </c>
      <c r="N48" s="57">
        <f t="shared" si="8"/>
        <v>51038910.769999996</v>
      </c>
      <c r="O48" s="57">
        <f t="shared" si="8"/>
        <v>54761650.200000003</v>
      </c>
      <c r="P48" s="57">
        <f t="shared" si="8"/>
        <v>49711439</v>
      </c>
      <c r="Q48" s="57">
        <f t="shared" si="8"/>
        <v>54708361.179999992</v>
      </c>
      <c r="R48" s="57">
        <f t="shared" si="8"/>
        <v>54999496.739999995</v>
      </c>
      <c r="S48" s="57">
        <f t="shared" si="8"/>
        <v>51956315.32</v>
      </c>
      <c r="T48" s="57">
        <f t="shared" si="8"/>
        <v>50909703.479999997</v>
      </c>
      <c r="U48" s="57">
        <f t="shared" si="8"/>
        <v>52425860.939999998</v>
      </c>
      <c r="V48" s="57">
        <f t="shared" si="8"/>
        <v>52200939.929999992</v>
      </c>
      <c r="W48" s="57">
        <f t="shared" si="8"/>
        <v>56199313.539999999</v>
      </c>
      <c r="X48" s="57">
        <f t="shared" si="8"/>
        <v>57018037.529999994</v>
      </c>
      <c r="Y48" s="57">
        <f t="shared" si="8"/>
        <v>58210452.639999993</v>
      </c>
      <c r="Z48" s="57">
        <f t="shared" si="8"/>
        <v>59220871.539999999</v>
      </c>
      <c r="AA48" s="57">
        <f t="shared" si="8"/>
        <v>60211040.990000002</v>
      </c>
      <c r="AB48" s="57">
        <f t="shared" si="8"/>
        <v>59633845.210000001</v>
      </c>
      <c r="AC48" s="57">
        <f t="shared" si="8"/>
        <v>55317494</v>
      </c>
      <c r="AD48" s="237">
        <f t="shared" ref="AD48:AI48" si="9">SUM(AD39:AD47)</f>
        <v>61674991.130000003</v>
      </c>
      <c r="AE48" s="237">
        <f t="shared" si="9"/>
        <v>59509681.689999998</v>
      </c>
      <c r="AF48" s="237">
        <f t="shared" si="9"/>
        <v>59770819.18</v>
      </c>
      <c r="AG48" s="57">
        <f t="shared" si="9"/>
        <v>60153850.039999999</v>
      </c>
      <c r="AH48" s="57">
        <f t="shared" si="9"/>
        <v>60406854.589999996</v>
      </c>
      <c r="AI48" s="57">
        <f t="shared" si="9"/>
        <v>0</v>
      </c>
    </row>
    <row r="49" spans="1:35" x14ac:dyDescent="0.3">
      <c r="A49" s="11" t="s">
        <v>48</v>
      </c>
      <c r="B49" s="57">
        <f>B48+B38</f>
        <v>151015729</v>
      </c>
      <c r="C49" s="57">
        <f t="shared" ref="C49:AC49" si="10">C48+C38</f>
        <v>196334664</v>
      </c>
      <c r="D49" s="57">
        <f t="shared" si="10"/>
        <v>197138242.62</v>
      </c>
      <c r="E49" s="57">
        <f t="shared" si="10"/>
        <v>195313709.66999999</v>
      </c>
      <c r="F49" s="57">
        <f t="shared" si="10"/>
        <v>194740170.22999999</v>
      </c>
      <c r="G49" s="57">
        <f t="shared" si="10"/>
        <v>192635860.34</v>
      </c>
      <c r="H49" s="57">
        <f t="shared" si="10"/>
        <v>193279997.13999999</v>
      </c>
      <c r="I49" s="57">
        <f t="shared" si="10"/>
        <v>191534430.69</v>
      </c>
      <c r="J49" s="57">
        <f t="shared" si="10"/>
        <v>192050135.63</v>
      </c>
      <c r="K49" s="57">
        <f t="shared" si="10"/>
        <v>190350540.14000002</v>
      </c>
      <c r="L49" s="57">
        <f t="shared" si="10"/>
        <v>191717479.95999998</v>
      </c>
      <c r="M49" s="57">
        <f t="shared" si="10"/>
        <v>198072470.20000002</v>
      </c>
      <c r="N49" s="57">
        <f t="shared" si="10"/>
        <v>201615211.79000002</v>
      </c>
      <c r="O49" s="57">
        <f t="shared" si="10"/>
        <v>202934255.54000002</v>
      </c>
      <c r="P49" s="57">
        <f t="shared" si="10"/>
        <v>203152194</v>
      </c>
      <c r="Q49" s="57">
        <f t="shared" si="10"/>
        <v>204045025.35000002</v>
      </c>
      <c r="R49" s="57">
        <f t="shared" si="10"/>
        <v>207474397.06999999</v>
      </c>
      <c r="S49" s="57">
        <f t="shared" si="10"/>
        <v>205817713.22</v>
      </c>
      <c r="T49" s="57">
        <f t="shared" si="10"/>
        <v>202739872.28</v>
      </c>
      <c r="U49" s="57">
        <f t="shared" si="10"/>
        <v>208492306.77000001</v>
      </c>
      <c r="V49" s="57">
        <f t="shared" si="10"/>
        <v>205435916.72999996</v>
      </c>
      <c r="W49" s="57">
        <f t="shared" si="10"/>
        <v>227903895.84</v>
      </c>
      <c r="X49" s="57">
        <f t="shared" si="10"/>
        <v>224380727.65000001</v>
      </c>
      <c r="Y49" s="57">
        <f t="shared" si="10"/>
        <v>222251626.48999998</v>
      </c>
      <c r="Z49" s="57">
        <f t="shared" si="10"/>
        <v>224271214.77000001</v>
      </c>
      <c r="AA49" s="57">
        <f t="shared" si="10"/>
        <v>227395752.36000001</v>
      </c>
      <c r="AB49" s="57">
        <f t="shared" si="10"/>
        <v>233612779.59999999</v>
      </c>
      <c r="AC49" s="57">
        <f t="shared" si="10"/>
        <v>234164332</v>
      </c>
      <c r="AD49" s="237">
        <f t="shared" ref="AD49:AI49" si="11">AD48+AD38</f>
        <v>237596073.84</v>
      </c>
      <c r="AE49" s="237">
        <f t="shared" si="11"/>
        <v>235585562.23999998</v>
      </c>
      <c r="AF49" s="237">
        <f t="shared" si="11"/>
        <v>233063644.64999998</v>
      </c>
      <c r="AG49" s="57">
        <f t="shared" si="11"/>
        <v>225054653.48999998</v>
      </c>
      <c r="AH49" s="57">
        <f t="shared" si="11"/>
        <v>222612058.03</v>
      </c>
      <c r="AI49" s="57">
        <f t="shared" si="11"/>
        <v>0</v>
      </c>
    </row>
    <row r="50" spans="1:35" x14ac:dyDescent="0.3">
      <c r="AD50" s="238"/>
      <c r="AE50" s="238"/>
      <c r="AF50" s="238"/>
    </row>
    <row r="51" spans="1:35" x14ac:dyDescent="0.3">
      <c r="B51" s="15">
        <f t="shared" ref="B51:P51" si="12">B49-B27</f>
        <v>0</v>
      </c>
      <c r="C51" s="15">
        <f t="shared" si="12"/>
        <v>1</v>
      </c>
      <c r="D51" s="15">
        <f t="shared" si="12"/>
        <v>0</v>
      </c>
      <c r="E51" s="15">
        <f t="shared" si="12"/>
        <v>0</v>
      </c>
      <c r="F51" s="15">
        <f t="shared" si="12"/>
        <v>0</v>
      </c>
      <c r="G51" s="15">
        <f t="shared" si="12"/>
        <v>0</v>
      </c>
      <c r="H51" s="15">
        <f t="shared" si="12"/>
        <v>40</v>
      </c>
      <c r="I51" s="15">
        <f t="shared" si="12"/>
        <v>0</v>
      </c>
      <c r="J51" s="15">
        <f t="shared" si="12"/>
        <v>9.9999904632568359E-3</v>
      </c>
      <c r="K51" s="15">
        <f t="shared" si="12"/>
        <v>0</v>
      </c>
      <c r="L51" s="15">
        <f t="shared" si="12"/>
        <v>0</v>
      </c>
      <c r="M51" s="15">
        <f t="shared" si="12"/>
        <v>0</v>
      </c>
      <c r="N51" s="15">
        <f t="shared" si="12"/>
        <v>0</v>
      </c>
      <c r="O51" s="15">
        <f t="shared" si="12"/>
        <v>0</v>
      </c>
      <c r="P51" s="15">
        <f t="shared" si="12"/>
        <v>-1</v>
      </c>
      <c r="AD51" s="238"/>
      <c r="AE51" s="238"/>
      <c r="AF51" s="238"/>
    </row>
  </sheetData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1"/>
  <sheetViews>
    <sheetView zoomScale="80" zoomScaleNormal="80" workbookViewId="0">
      <pane xSplit="1" ySplit="2" topLeftCell="AF11" activePane="bottomRight" state="frozen"/>
      <selection pane="topRight" activeCell="B1" sqref="B1"/>
      <selection pane="bottomLeft" activeCell="A3" sqref="A3"/>
      <selection pane="bottomRight" activeCell="AJ14" sqref="AJ14"/>
    </sheetView>
  </sheetViews>
  <sheetFormatPr defaultRowHeight="14.4" x14ac:dyDescent="0.3"/>
  <cols>
    <col min="1" max="1" width="41" customWidth="1"/>
    <col min="2" max="2" width="15.33203125" bestFit="1" customWidth="1"/>
    <col min="3" max="8" width="15.33203125" customWidth="1"/>
    <col min="9" max="9" width="14" customWidth="1"/>
    <col min="10" max="10" width="16" customWidth="1"/>
    <col min="11" max="15" width="15.33203125" customWidth="1"/>
    <col min="16" max="16" width="14.5546875" style="166" bestFit="1" customWidth="1"/>
    <col min="17" max="27" width="0" hidden="1" customWidth="1"/>
    <col min="28" max="28" width="14.5546875" bestFit="1" customWidth="1"/>
    <col min="29" max="29" width="17.109375" style="166" bestFit="1" customWidth="1"/>
    <col min="30" max="34" width="13.109375" bestFit="1" customWidth="1"/>
  </cols>
  <sheetData>
    <row r="1" spans="1:39" ht="15" customHeight="1" x14ac:dyDescent="0.3">
      <c r="A1" s="243"/>
      <c r="B1" s="243"/>
      <c r="C1" s="243"/>
      <c r="D1" s="243"/>
      <c r="E1" s="243"/>
      <c r="F1" s="243"/>
      <c r="G1" s="243"/>
      <c r="H1" s="243"/>
    </row>
    <row r="2" spans="1:39" x14ac:dyDescent="0.3">
      <c r="A2" s="151"/>
      <c r="B2" s="152" t="s">
        <v>0</v>
      </c>
      <c r="C2" s="152" t="s">
        <v>1</v>
      </c>
      <c r="D2" s="153">
        <v>44197</v>
      </c>
      <c r="E2" s="153">
        <v>44229</v>
      </c>
      <c r="F2" s="153">
        <v>44258</v>
      </c>
      <c r="G2" s="153">
        <v>44290</v>
      </c>
      <c r="H2" s="153">
        <v>44321</v>
      </c>
      <c r="I2" s="153">
        <v>44348</v>
      </c>
      <c r="J2" s="153">
        <v>44378</v>
      </c>
      <c r="K2" s="153">
        <v>44409</v>
      </c>
      <c r="L2" s="153">
        <v>44440</v>
      </c>
      <c r="M2" s="153">
        <v>44472</v>
      </c>
      <c r="N2" s="153">
        <v>44501</v>
      </c>
      <c r="O2" s="153">
        <v>44531</v>
      </c>
      <c r="P2" s="153" t="s">
        <v>2</v>
      </c>
      <c r="Q2" s="153">
        <v>44564</v>
      </c>
      <c r="R2" s="153">
        <v>44596</v>
      </c>
      <c r="S2" s="153">
        <v>44625</v>
      </c>
      <c r="T2" s="153">
        <v>44657</v>
      </c>
      <c r="U2" s="153">
        <v>44688</v>
      </c>
      <c r="V2" s="153">
        <v>44720</v>
      </c>
      <c r="W2" s="153">
        <v>44751</v>
      </c>
      <c r="X2" s="153">
        <v>44783</v>
      </c>
      <c r="Y2" s="153">
        <v>44815</v>
      </c>
      <c r="Z2" s="153">
        <v>44846</v>
      </c>
      <c r="AA2" s="153">
        <v>44878</v>
      </c>
      <c r="AB2" s="153">
        <v>44909</v>
      </c>
      <c r="AC2" s="169" t="s">
        <v>337</v>
      </c>
      <c r="AD2" s="153">
        <v>44927</v>
      </c>
      <c r="AE2" s="153">
        <v>44958</v>
      </c>
      <c r="AF2" s="153">
        <v>44986</v>
      </c>
      <c r="AG2" s="153">
        <v>45017</v>
      </c>
      <c r="AH2" s="153">
        <v>45047</v>
      </c>
      <c r="AI2" s="153">
        <v>45078</v>
      </c>
      <c r="AJ2" s="153">
        <v>45108</v>
      </c>
      <c r="AK2" s="153">
        <v>45139</v>
      </c>
      <c r="AL2" s="153">
        <v>45170</v>
      </c>
      <c r="AM2" s="153">
        <v>45200</v>
      </c>
    </row>
    <row r="3" spans="1:39" x14ac:dyDescent="0.3">
      <c r="A3" s="154" t="s">
        <v>49</v>
      </c>
      <c r="B3" s="155">
        <f t="shared" ref="B3:G3" si="0">B4+B7</f>
        <v>14599.247546899</v>
      </c>
      <c r="C3" s="155">
        <f t="shared" si="0"/>
        <v>24912213</v>
      </c>
      <c r="D3" s="155">
        <f t="shared" si="0"/>
        <v>3346469.5700000003</v>
      </c>
      <c r="E3" s="155">
        <f t="shared" si="0"/>
        <v>4855477.21</v>
      </c>
      <c r="F3" s="155">
        <f t="shared" si="0"/>
        <v>6639.17</v>
      </c>
      <c r="G3" s="155">
        <f t="shared" si="0"/>
        <v>8837677.3599999994</v>
      </c>
      <c r="H3" s="155">
        <f t="shared" ref="H3:I3" si="1">H4+H7</f>
        <v>10209982.84</v>
      </c>
      <c r="I3" s="155">
        <f t="shared" si="1"/>
        <v>12571336.939999999</v>
      </c>
      <c r="J3" s="155">
        <f>J4+J7</f>
        <v>14363844.58</v>
      </c>
      <c r="K3" s="155">
        <f>K4+K7</f>
        <v>15910038.65</v>
      </c>
      <c r="L3" s="155">
        <f t="shared" ref="L3:AC3" si="2">L4+L7</f>
        <v>17803347.489999998</v>
      </c>
      <c r="M3" s="155">
        <f t="shared" si="2"/>
        <v>20120585.670000002</v>
      </c>
      <c r="N3" s="155">
        <f t="shared" si="2"/>
        <v>22075669.82</v>
      </c>
      <c r="O3" s="155">
        <f t="shared" si="2"/>
        <v>25805377.469999999</v>
      </c>
      <c r="P3" s="155">
        <f t="shared" si="2"/>
        <v>27183255</v>
      </c>
      <c r="Q3" s="155">
        <f t="shared" si="2"/>
        <v>1775197.85</v>
      </c>
      <c r="R3" s="155">
        <f t="shared" si="2"/>
        <v>3699741.86</v>
      </c>
      <c r="S3" s="155">
        <f t="shared" si="2"/>
        <v>6211566.1600000001</v>
      </c>
      <c r="T3" s="155">
        <f t="shared" si="2"/>
        <v>9047921</v>
      </c>
      <c r="U3" s="155">
        <f t="shared" si="2"/>
        <v>11083045.5</v>
      </c>
      <c r="V3" s="155">
        <f t="shared" si="2"/>
        <v>13174869.84</v>
      </c>
      <c r="W3" s="155">
        <f t="shared" si="2"/>
        <v>15360290.77</v>
      </c>
      <c r="X3" s="155">
        <f t="shared" si="2"/>
        <v>18210698.210000001</v>
      </c>
      <c r="Y3" s="155">
        <f t="shared" si="2"/>
        <v>20426461.469999999</v>
      </c>
      <c r="Z3" s="155">
        <f t="shared" si="2"/>
        <v>22112704.700000003</v>
      </c>
      <c r="AA3" s="155">
        <f t="shared" si="2"/>
        <v>23947758.079999998</v>
      </c>
      <c r="AB3" s="155">
        <f t="shared" si="2"/>
        <v>27450781.489999998</v>
      </c>
      <c r="AC3" s="155">
        <f t="shared" si="2"/>
        <v>27884267</v>
      </c>
      <c r="AD3" s="241">
        <f t="shared" ref="AD3:AM3" si="3">AD4+AD7</f>
        <v>3379459.5799999996</v>
      </c>
      <c r="AE3" s="241">
        <f t="shared" si="3"/>
        <v>5679180.4000000004</v>
      </c>
      <c r="AF3" s="241">
        <f t="shared" si="3"/>
        <v>7943528.8999999994</v>
      </c>
      <c r="AG3" s="155">
        <f t="shared" si="3"/>
        <v>9907619.7200000007</v>
      </c>
      <c r="AH3" s="155">
        <f t="shared" si="3"/>
        <v>11775407.07</v>
      </c>
      <c r="AI3" s="155">
        <f t="shared" si="3"/>
        <v>0</v>
      </c>
      <c r="AJ3" s="155">
        <f t="shared" si="3"/>
        <v>0</v>
      </c>
      <c r="AK3" s="155">
        <f t="shared" si="3"/>
        <v>0</v>
      </c>
      <c r="AL3" s="155">
        <f t="shared" si="3"/>
        <v>0</v>
      </c>
      <c r="AM3" s="155">
        <f t="shared" si="3"/>
        <v>0</v>
      </c>
    </row>
    <row r="4" spans="1:39" x14ac:dyDescent="0.3">
      <c r="A4" s="154" t="s">
        <v>50</v>
      </c>
      <c r="B4" s="155">
        <f t="shared" ref="B4:G4" si="4">SUM(B5:B6)</f>
        <v>12855.805909999999</v>
      </c>
      <c r="C4" s="155">
        <f t="shared" si="4"/>
        <v>14548967</v>
      </c>
      <c r="D4" s="155">
        <f t="shared" si="4"/>
        <v>2222474.85</v>
      </c>
      <c r="E4" s="155">
        <f t="shared" si="4"/>
        <v>3827277.3</v>
      </c>
      <c r="F4" s="155">
        <f t="shared" si="4"/>
        <v>4832.3</v>
      </c>
      <c r="G4" s="155">
        <f t="shared" si="4"/>
        <v>5984742.0499999998</v>
      </c>
      <c r="H4" s="155">
        <f t="shared" ref="H4:J4" si="5">SUM(H5:H6)</f>
        <v>6784203.7199999997</v>
      </c>
      <c r="I4" s="155">
        <f t="shared" si="5"/>
        <v>8447529.5399999991</v>
      </c>
      <c r="J4" s="155">
        <f t="shared" si="5"/>
        <v>9529475.1500000004</v>
      </c>
      <c r="K4" s="155">
        <f t="shared" ref="K4:AC4" si="6">SUM(K5:K6)</f>
        <v>10401477.310000001</v>
      </c>
      <c r="L4" s="155">
        <f t="shared" si="6"/>
        <v>11575183.449999999</v>
      </c>
      <c r="M4" s="155">
        <f t="shared" si="6"/>
        <v>13113739.27</v>
      </c>
      <c r="N4" s="155">
        <f t="shared" si="6"/>
        <v>14635985.59</v>
      </c>
      <c r="O4" s="155">
        <f t="shared" si="6"/>
        <v>17238221.009999998</v>
      </c>
      <c r="P4" s="155">
        <f t="shared" si="6"/>
        <v>17238221</v>
      </c>
      <c r="Q4" s="155">
        <f t="shared" si="6"/>
        <v>1361670.09</v>
      </c>
      <c r="R4" s="155">
        <f t="shared" si="6"/>
        <v>2599038.86</v>
      </c>
      <c r="S4" s="155">
        <f t="shared" si="6"/>
        <v>4653829.9000000004</v>
      </c>
      <c r="T4" s="155">
        <f t="shared" si="6"/>
        <v>6527317.2599999998</v>
      </c>
      <c r="U4" s="155">
        <f t="shared" si="6"/>
        <v>7737308.4900000002</v>
      </c>
      <c r="V4" s="155">
        <f t="shared" si="6"/>
        <v>8713553.6699999999</v>
      </c>
      <c r="W4" s="155">
        <f t="shared" si="6"/>
        <v>10186671.890000001</v>
      </c>
      <c r="X4" s="155">
        <f t="shared" si="6"/>
        <v>11924573.27</v>
      </c>
      <c r="Y4" s="155">
        <f t="shared" si="6"/>
        <v>13366145.609999999</v>
      </c>
      <c r="Z4" s="155">
        <f t="shared" si="6"/>
        <v>14322911.800000001</v>
      </c>
      <c r="AA4" s="155">
        <f t="shared" si="6"/>
        <v>15591613.74</v>
      </c>
      <c r="AB4" s="155">
        <f t="shared" si="6"/>
        <v>16903943.969999999</v>
      </c>
      <c r="AC4" s="155">
        <f t="shared" si="6"/>
        <v>17150242</v>
      </c>
      <c r="AD4" s="241">
        <f t="shared" ref="AD4:AM4" si="7">SUM(AD5:AD6)</f>
        <v>2907982.51</v>
      </c>
      <c r="AE4" s="241">
        <f t="shared" si="7"/>
        <v>4812807.66</v>
      </c>
      <c r="AF4" s="241">
        <f t="shared" si="7"/>
        <v>6207975.8099999996</v>
      </c>
      <c r="AG4" s="155">
        <f t="shared" si="7"/>
        <v>7263814.2400000002</v>
      </c>
      <c r="AH4" s="155">
        <f t="shared" si="7"/>
        <v>8532869.9199999999</v>
      </c>
      <c r="AI4" s="155">
        <f t="shared" si="7"/>
        <v>0</v>
      </c>
      <c r="AJ4" s="155">
        <f t="shared" si="7"/>
        <v>0</v>
      </c>
      <c r="AK4" s="155">
        <f t="shared" si="7"/>
        <v>0</v>
      </c>
      <c r="AL4" s="155">
        <f t="shared" si="7"/>
        <v>0</v>
      </c>
      <c r="AM4" s="155">
        <f t="shared" si="7"/>
        <v>0</v>
      </c>
    </row>
    <row r="5" spans="1:39" x14ac:dyDescent="0.3">
      <c r="A5" s="156" t="s">
        <v>51</v>
      </c>
      <c r="B5" s="157">
        <v>11945.43491</v>
      </c>
      <c r="C5" s="163">
        <v>14548967</v>
      </c>
      <c r="D5" s="158">
        <v>2067244.85</v>
      </c>
      <c r="E5" s="158">
        <v>3579327.3</v>
      </c>
      <c r="F5" s="158">
        <v>4523.8</v>
      </c>
      <c r="G5" s="158">
        <v>5617072.0499999998</v>
      </c>
      <c r="H5" s="158">
        <v>6370913.7199999997</v>
      </c>
      <c r="I5" s="158">
        <v>7966759.54</v>
      </c>
      <c r="J5" s="158">
        <v>9001525.1500000004</v>
      </c>
      <c r="K5" s="158">
        <v>9823827.3100000005</v>
      </c>
      <c r="L5" s="158">
        <v>10936923.449999999</v>
      </c>
      <c r="M5" s="158">
        <v>12398964.27</v>
      </c>
      <c r="N5" s="158">
        <v>13806660.59</v>
      </c>
      <c r="O5" s="158">
        <v>16279831.01</v>
      </c>
      <c r="P5" s="170">
        <v>16279831</v>
      </c>
      <c r="Q5" s="230">
        <v>1287910.0900000001</v>
      </c>
      <c r="R5" s="230">
        <v>2464378.86</v>
      </c>
      <c r="S5" s="230">
        <v>4375359.9000000004</v>
      </c>
      <c r="T5" s="230">
        <v>6146687.2599999998</v>
      </c>
      <c r="U5" s="230">
        <v>7291788.4900000002</v>
      </c>
      <c r="V5" s="230">
        <v>8210233.6699999999</v>
      </c>
      <c r="W5" s="230">
        <v>9625651.8900000006</v>
      </c>
      <c r="X5" s="230">
        <v>11155163.27</v>
      </c>
      <c r="Y5" s="230">
        <v>12513315.609999999</v>
      </c>
      <c r="Z5" s="230">
        <v>13427121.800000001</v>
      </c>
      <c r="AA5" s="230">
        <v>14627893.74</v>
      </c>
      <c r="AB5" s="230">
        <v>15893298.970000001</v>
      </c>
      <c r="AC5" s="233">
        <v>16139597</v>
      </c>
      <c r="AD5" s="238">
        <v>2789027.51</v>
      </c>
      <c r="AE5" s="238">
        <v>4593922.66</v>
      </c>
      <c r="AF5" s="238">
        <v>5902480.8099999996</v>
      </c>
      <c r="AG5">
        <v>6908719.2400000002</v>
      </c>
      <c r="AH5">
        <v>8115358.9199999999</v>
      </c>
    </row>
    <row r="6" spans="1:39" x14ac:dyDescent="0.3">
      <c r="A6" s="156" t="s">
        <v>52</v>
      </c>
      <c r="B6" s="157">
        <v>910.37099999999998</v>
      </c>
      <c r="C6" s="164"/>
      <c r="D6" s="158">
        <v>155230</v>
      </c>
      <c r="E6" s="158">
        <v>247950</v>
      </c>
      <c r="F6" s="158">
        <v>308.5</v>
      </c>
      <c r="G6" s="158">
        <v>367670</v>
      </c>
      <c r="H6" s="158">
        <v>413290</v>
      </c>
      <c r="I6" s="158">
        <v>480770</v>
      </c>
      <c r="J6" s="158">
        <v>527950</v>
      </c>
      <c r="K6" s="158">
        <v>577650</v>
      </c>
      <c r="L6" s="158">
        <v>638260</v>
      </c>
      <c r="M6" s="158">
        <v>714775</v>
      </c>
      <c r="N6" s="158">
        <v>829325</v>
      </c>
      <c r="O6" s="158">
        <v>958390</v>
      </c>
      <c r="P6" s="170">
        <f>121000+837390</f>
        <v>958390</v>
      </c>
      <c r="Q6" s="230">
        <v>73760</v>
      </c>
      <c r="R6" s="230">
        <v>134660</v>
      </c>
      <c r="S6" s="230">
        <v>278470</v>
      </c>
      <c r="T6" s="230">
        <v>380630</v>
      </c>
      <c r="U6" s="230">
        <v>445520</v>
      </c>
      <c r="V6" s="230">
        <v>503320</v>
      </c>
      <c r="W6" s="230">
        <v>561020</v>
      </c>
      <c r="X6" s="230">
        <v>769410</v>
      </c>
      <c r="Y6" s="230">
        <v>852830</v>
      </c>
      <c r="Z6" s="230">
        <v>895790</v>
      </c>
      <c r="AA6" s="230">
        <v>963720</v>
      </c>
      <c r="AB6" s="230">
        <v>1010645</v>
      </c>
      <c r="AC6" s="166">
        <f>118800+891845</f>
        <v>1010645</v>
      </c>
      <c r="AD6" s="238">
        <v>118955</v>
      </c>
      <c r="AE6" s="238">
        <v>218885</v>
      </c>
      <c r="AF6" s="238">
        <v>305495</v>
      </c>
      <c r="AG6">
        <v>355095</v>
      </c>
      <c r="AH6">
        <v>417511</v>
      </c>
    </row>
    <row r="7" spans="1:39" x14ac:dyDescent="0.3">
      <c r="A7" s="154" t="s">
        <v>53</v>
      </c>
      <c r="B7" s="155">
        <f t="shared" ref="B7:I7" si="8">SUM(B8:B11)</f>
        <v>1743.4416368990005</v>
      </c>
      <c r="C7" s="155">
        <f t="shared" si="8"/>
        <v>10363246</v>
      </c>
      <c r="D7" s="155">
        <f t="shared" si="8"/>
        <v>1123994.72</v>
      </c>
      <c r="E7" s="155">
        <f t="shared" si="8"/>
        <v>1028199.91</v>
      </c>
      <c r="F7" s="155">
        <f t="shared" si="8"/>
        <v>1806.87</v>
      </c>
      <c r="G7" s="155">
        <f t="shared" si="8"/>
        <v>2852935.31</v>
      </c>
      <c r="H7" s="155">
        <f t="shared" si="8"/>
        <v>3425779.12</v>
      </c>
      <c r="I7" s="155">
        <f t="shared" si="8"/>
        <v>4123807.4</v>
      </c>
      <c r="J7" s="155">
        <f>SUM(J8:J11)</f>
        <v>4834369.43</v>
      </c>
      <c r="K7" s="155">
        <f>SUM(K8:K11)</f>
        <v>5508561.3399999999</v>
      </c>
      <c r="L7" s="155">
        <f t="shared" ref="L7:AM7" si="9">SUM(L8:L11)</f>
        <v>6228164.04</v>
      </c>
      <c r="M7" s="155">
        <f t="shared" si="9"/>
        <v>7006846.4000000004</v>
      </c>
      <c r="N7" s="155">
        <f t="shared" si="9"/>
        <v>7439684.2300000004</v>
      </c>
      <c r="O7" s="155">
        <f t="shared" si="9"/>
        <v>8567156.4600000009</v>
      </c>
      <c r="P7" s="155">
        <f t="shared" si="9"/>
        <v>9945034</v>
      </c>
      <c r="Q7" s="155">
        <f t="shared" si="9"/>
        <v>413527.76</v>
      </c>
      <c r="R7" s="155">
        <f t="shared" si="9"/>
        <v>1100703</v>
      </c>
      <c r="S7" s="155">
        <f t="shared" si="9"/>
        <v>1557736.26</v>
      </c>
      <c r="T7" s="155">
        <f t="shared" si="9"/>
        <v>2520603.7400000002</v>
      </c>
      <c r="U7" s="155">
        <f t="shared" si="9"/>
        <v>3345737.01</v>
      </c>
      <c r="V7" s="155">
        <f t="shared" si="9"/>
        <v>4461316.17</v>
      </c>
      <c r="W7" s="155">
        <f t="shared" si="9"/>
        <v>5173618.88</v>
      </c>
      <c r="X7" s="155">
        <f t="shared" si="9"/>
        <v>6286124.9399999995</v>
      </c>
      <c r="Y7" s="155">
        <f t="shared" si="9"/>
        <v>7060315.8599999994</v>
      </c>
      <c r="Z7" s="155">
        <f t="shared" si="9"/>
        <v>7789792.9000000004</v>
      </c>
      <c r="AA7" s="155">
        <f t="shared" si="9"/>
        <v>8356144.3399999999</v>
      </c>
      <c r="AB7" s="155">
        <f t="shared" si="9"/>
        <v>10546837.52</v>
      </c>
      <c r="AC7" s="155">
        <f t="shared" si="9"/>
        <v>10734025</v>
      </c>
      <c r="AD7" s="241">
        <f t="shared" si="9"/>
        <v>471477.07</v>
      </c>
      <c r="AE7" s="241">
        <f t="shared" si="9"/>
        <v>866372.74</v>
      </c>
      <c r="AF7" s="241">
        <f t="shared" si="9"/>
        <v>1735553.09</v>
      </c>
      <c r="AG7" s="155">
        <f t="shared" si="9"/>
        <v>2643805.48</v>
      </c>
      <c r="AH7" s="155">
        <f t="shared" si="9"/>
        <v>3242537.1500000004</v>
      </c>
      <c r="AI7" s="155">
        <f t="shared" si="9"/>
        <v>0</v>
      </c>
      <c r="AJ7" s="155">
        <f t="shared" si="9"/>
        <v>0</v>
      </c>
      <c r="AK7" s="155">
        <f t="shared" si="9"/>
        <v>0</v>
      </c>
      <c r="AL7" s="155">
        <f t="shared" si="9"/>
        <v>0</v>
      </c>
      <c r="AM7" s="155">
        <f t="shared" si="9"/>
        <v>0</v>
      </c>
    </row>
    <row r="8" spans="1:39" x14ac:dyDescent="0.3">
      <c r="A8" s="156" t="s">
        <v>54</v>
      </c>
      <c r="B8" s="157"/>
      <c r="C8" s="157"/>
      <c r="D8" s="158">
        <v>0</v>
      </c>
      <c r="E8" s="158">
        <v>0</v>
      </c>
      <c r="F8" s="158">
        <v>0</v>
      </c>
      <c r="G8" s="158">
        <v>0</v>
      </c>
      <c r="H8" s="158">
        <v>0</v>
      </c>
      <c r="I8" s="158">
        <v>0</v>
      </c>
      <c r="J8" s="158">
        <v>0</v>
      </c>
      <c r="K8" s="158">
        <v>0</v>
      </c>
      <c r="L8" s="158">
        <v>0</v>
      </c>
      <c r="M8" s="158">
        <v>0</v>
      </c>
      <c r="N8" s="158">
        <v>0</v>
      </c>
      <c r="O8" s="158">
        <v>0</v>
      </c>
      <c r="P8" s="170"/>
      <c r="Q8" s="230">
        <v>0</v>
      </c>
      <c r="R8" s="230">
        <v>0</v>
      </c>
      <c r="S8" s="230">
        <v>0</v>
      </c>
      <c r="T8" s="230">
        <v>0</v>
      </c>
      <c r="U8" s="230">
        <v>0</v>
      </c>
      <c r="V8" s="230">
        <v>0</v>
      </c>
      <c r="W8" s="230">
        <v>0</v>
      </c>
      <c r="X8" s="230">
        <v>0</v>
      </c>
      <c r="Y8" s="230">
        <v>0</v>
      </c>
      <c r="Z8" s="230">
        <v>0</v>
      </c>
      <c r="AA8" s="230">
        <v>0</v>
      </c>
      <c r="AB8" s="230">
        <v>0</v>
      </c>
      <c r="AD8" s="238">
        <v>0</v>
      </c>
      <c r="AE8" s="238">
        <v>0</v>
      </c>
      <c r="AF8" s="238">
        <v>0</v>
      </c>
      <c r="AG8">
        <v>0</v>
      </c>
      <c r="AH8">
        <v>0</v>
      </c>
    </row>
    <row r="9" spans="1:39" x14ac:dyDescent="0.3">
      <c r="A9" s="156" t="s">
        <v>55</v>
      </c>
      <c r="B9" s="157"/>
      <c r="C9" s="163">
        <v>3397666</v>
      </c>
      <c r="D9" s="158">
        <v>0</v>
      </c>
      <c r="E9" s="158">
        <v>0</v>
      </c>
      <c r="F9" s="158">
        <v>0</v>
      </c>
      <c r="G9" s="158">
        <v>0</v>
      </c>
      <c r="H9" s="158">
        <v>0</v>
      </c>
      <c r="I9" s="158">
        <v>0</v>
      </c>
      <c r="J9" s="158">
        <v>0</v>
      </c>
      <c r="K9" s="158">
        <v>0</v>
      </c>
      <c r="L9" s="158">
        <v>0</v>
      </c>
      <c r="M9" s="158">
        <v>0</v>
      </c>
      <c r="N9" s="158">
        <v>0</v>
      </c>
      <c r="O9" s="158">
        <v>0</v>
      </c>
      <c r="P9" s="170">
        <v>3595000</v>
      </c>
      <c r="Q9" s="230">
        <v>0</v>
      </c>
      <c r="R9" s="230">
        <v>0</v>
      </c>
      <c r="S9" s="230">
        <v>0</v>
      </c>
      <c r="T9" s="230">
        <v>0</v>
      </c>
      <c r="U9" s="230">
        <v>0</v>
      </c>
      <c r="V9" s="230">
        <v>0</v>
      </c>
      <c r="W9" s="230">
        <v>5142.59</v>
      </c>
      <c r="X9" s="230">
        <v>5142.59</v>
      </c>
      <c r="Y9" s="230">
        <v>5142.59</v>
      </c>
      <c r="Z9" s="230">
        <v>0</v>
      </c>
      <c r="AA9" s="230">
        <v>0</v>
      </c>
      <c r="AB9" s="230">
        <v>0</v>
      </c>
      <c r="AC9" s="233">
        <v>3717486</v>
      </c>
      <c r="AD9" s="238">
        <v>0</v>
      </c>
      <c r="AE9" s="238">
        <v>0</v>
      </c>
      <c r="AF9" s="238">
        <v>0</v>
      </c>
      <c r="AG9">
        <v>0</v>
      </c>
      <c r="AH9">
        <v>230063</v>
      </c>
    </row>
    <row r="10" spans="1:39" x14ac:dyDescent="0.3">
      <c r="A10" s="156" t="s">
        <v>56</v>
      </c>
      <c r="B10" s="157"/>
      <c r="C10" s="163"/>
      <c r="D10" s="158">
        <v>0</v>
      </c>
      <c r="E10" s="158">
        <v>0</v>
      </c>
      <c r="F10" s="158">
        <v>0</v>
      </c>
      <c r="G10" s="158">
        <v>368484.5</v>
      </c>
      <c r="H10" s="158">
        <v>370322.75</v>
      </c>
      <c r="I10" s="158">
        <v>370857.75</v>
      </c>
      <c r="J10" s="158">
        <v>370857.75</v>
      </c>
      <c r="K10" s="158">
        <v>370857.75</v>
      </c>
      <c r="L10" s="158">
        <v>370857.75</v>
      </c>
      <c r="M10" s="158">
        <v>374615.75</v>
      </c>
      <c r="N10" s="158">
        <v>374615.75</v>
      </c>
      <c r="O10" s="158">
        <v>374615.75</v>
      </c>
      <c r="P10" s="170"/>
      <c r="Q10" s="230">
        <v>0</v>
      </c>
      <c r="R10" s="230">
        <v>0</v>
      </c>
      <c r="S10" s="230">
        <v>0</v>
      </c>
      <c r="T10" s="230">
        <v>2614</v>
      </c>
      <c r="U10" s="230">
        <v>2614</v>
      </c>
      <c r="V10" s="230">
        <v>357856</v>
      </c>
      <c r="W10" s="230">
        <v>357856</v>
      </c>
      <c r="X10" s="230">
        <v>357856</v>
      </c>
      <c r="Y10" s="230">
        <v>360919.75</v>
      </c>
      <c r="Z10" s="230">
        <v>360919.75</v>
      </c>
      <c r="AA10" s="230">
        <v>360919.75</v>
      </c>
      <c r="AB10" s="230">
        <v>424759.75</v>
      </c>
      <c r="AD10" s="238">
        <v>0</v>
      </c>
      <c r="AE10" s="238">
        <v>0</v>
      </c>
      <c r="AF10" s="238">
        <v>483609</v>
      </c>
      <c r="AG10">
        <v>483609</v>
      </c>
      <c r="AH10">
        <v>485978.3</v>
      </c>
    </row>
    <row r="11" spans="1:39" s="23" customFormat="1" x14ac:dyDescent="0.3">
      <c r="A11" s="154" t="s">
        <v>57</v>
      </c>
      <c r="B11" s="159">
        <v>1743.4416368990005</v>
      </c>
      <c r="C11" s="163">
        <v>6965580</v>
      </c>
      <c r="D11" s="160">
        <v>1123994.72</v>
      </c>
      <c r="E11" s="160">
        <v>1028199.91</v>
      </c>
      <c r="F11" s="160">
        <v>1806.87</v>
      </c>
      <c r="G11" s="160">
        <v>2484450.81</v>
      </c>
      <c r="H11" s="160">
        <v>3055456.37</v>
      </c>
      <c r="I11" s="160">
        <v>3752949.65</v>
      </c>
      <c r="J11" s="160">
        <v>4463511.68</v>
      </c>
      <c r="K11" s="160">
        <v>5137703.59</v>
      </c>
      <c r="L11" s="160">
        <v>5857306.29</v>
      </c>
      <c r="M11" s="160">
        <v>6632230.6500000004</v>
      </c>
      <c r="N11" s="160">
        <v>7065068.4800000004</v>
      </c>
      <c r="O11" s="160">
        <v>8192540.71</v>
      </c>
      <c r="P11" s="171">
        <f>7308424-P6</f>
        <v>6350034</v>
      </c>
      <c r="Q11" s="229">
        <v>413527.76</v>
      </c>
      <c r="R11" s="229">
        <v>1100703</v>
      </c>
      <c r="S11" s="229">
        <v>1557736.26</v>
      </c>
      <c r="T11" s="229">
        <v>2517989.7400000002</v>
      </c>
      <c r="U11" s="229">
        <v>3343123.01</v>
      </c>
      <c r="V11" s="229">
        <v>4103460.17</v>
      </c>
      <c r="W11" s="229">
        <v>4810620.29</v>
      </c>
      <c r="X11" s="229">
        <v>5923126.3499999996</v>
      </c>
      <c r="Y11" s="229">
        <v>6694253.5199999996</v>
      </c>
      <c r="Z11" s="229">
        <v>7428873.1500000004</v>
      </c>
      <c r="AA11" s="229">
        <v>7995224.5899999999</v>
      </c>
      <c r="AB11" s="229">
        <v>10122077.77</v>
      </c>
      <c r="AC11" s="166">
        <f>8027184-AC6</f>
        <v>7016539</v>
      </c>
      <c r="AD11" s="239">
        <v>471477.07</v>
      </c>
      <c r="AE11" s="239">
        <v>866372.74</v>
      </c>
      <c r="AF11" s="239">
        <v>1251944.0900000001</v>
      </c>
      <c r="AG11" s="23">
        <v>2160196.48</v>
      </c>
      <c r="AH11" s="23">
        <v>2526495.85</v>
      </c>
    </row>
    <row r="12" spans="1:39" x14ac:dyDescent="0.3">
      <c r="A12" s="154" t="s">
        <v>58</v>
      </c>
      <c r="B12" s="155">
        <f t="shared" ref="B12:AM12" si="10">SUM(B13:B18)</f>
        <v>549.0847</v>
      </c>
      <c r="C12" s="155">
        <f t="shared" si="10"/>
        <v>1954946</v>
      </c>
      <c r="D12" s="155">
        <f t="shared" si="10"/>
        <v>45833.4</v>
      </c>
      <c r="E12" s="155">
        <f t="shared" si="10"/>
        <v>53043.4</v>
      </c>
      <c r="F12" s="155">
        <f t="shared" si="10"/>
        <v>257.5</v>
      </c>
      <c r="G12" s="155">
        <f t="shared" si="10"/>
        <v>281147.59999999998</v>
      </c>
      <c r="H12" s="155">
        <f t="shared" si="10"/>
        <v>282552.2</v>
      </c>
      <c r="I12" s="155">
        <f t="shared" si="10"/>
        <v>311174.2</v>
      </c>
      <c r="J12" s="155">
        <f t="shared" si="10"/>
        <v>327199.7</v>
      </c>
      <c r="K12" s="155">
        <f t="shared" si="10"/>
        <v>331532.09999999998</v>
      </c>
      <c r="L12" s="155">
        <f t="shared" si="10"/>
        <v>345948</v>
      </c>
      <c r="M12" s="155">
        <f t="shared" si="10"/>
        <v>354114.1</v>
      </c>
      <c r="N12" s="155">
        <f t="shared" si="10"/>
        <v>417849.2</v>
      </c>
      <c r="O12" s="155">
        <f t="shared" si="10"/>
        <v>434016.7</v>
      </c>
      <c r="P12" s="155">
        <f t="shared" si="10"/>
        <v>2259165</v>
      </c>
      <c r="Q12" s="155">
        <f t="shared" si="10"/>
        <v>7360</v>
      </c>
      <c r="R12" s="155">
        <f t="shared" si="10"/>
        <v>51660</v>
      </c>
      <c r="S12" s="155">
        <f t="shared" si="10"/>
        <v>81802.100000000006</v>
      </c>
      <c r="T12" s="155">
        <f t="shared" si="10"/>
        <v>99013.8</v>
      </c>
      <c r="U12" s="155">
        <f t="shared" si="10"/>
        <v>111644.6</v>
      </c>
      <c r="V12" s="155">
        <f t="shared" si="10"/>
        <v>111644.6</v>
      </c>
      <c r="W12" s="155">
        <f t="shared" si="10"/>
        <v>185085.5</v>
      </c>
      <c r="X12" s="155">
        <f t="shared" si="10"/>
        <v>208645</v>
      </c>
      <c r="Y12" s="155">
        <f t="shared" si="10"/>
        <v>239248.5</v>
      </c>
      <c r="Z12" s="155">
        <f t="shared" si="10"/>
        <v>259386.2</v>
      </c>
      <c r="AA12" s="155">
        <f t="shared" si="10"/>
        <v>279645.8</v>
      </c>
      <c r="AB12" s="155">
        <f t="shared" si="10"/>
        <v>882513.8</v>
      </c>
      <c r="AC12" s="155">
        <f t="shared" si="10"/>
        <v>1848962</v>
      </c>
      <c r="AD12" s="241">
        <f t="shared" si="10"/>
        <v>35720</v>
      </c>
      <c r="AE12" s="241">
        <f t="shared" si="10"/>
        <v>65228.3</v>
      </c>
      <c r="AF12" s="241">
        <f t="shared" si="10"/>
        <v>65778.3</v>
      </c>
      <c r="AG12" s="155">
        <f t="shared" si="10"/>
        <v>121915</v>
      </c>
      <c r="AH12" s="155">
        <f t="shared" si="10"/>
        <v>147545.20000000001</v>
      </c>
      <c r="AI12" s="155">
        <f t="shared" si="10"/>
        <v>0</v>
      </c>
      <c r="AJ12" s="155">
        <f t="shared" si="10"/>
        <v>0</v>
      </c>
      <c r="AK12" s="155">
        <f t="shared" si="10"/>
        <v>0</v>
      </c>
      <c r="AL12" s="155">
        <f t="shared" si="10"/>
        <v>0</v>
      </c>
      <c r="AM12" s="155">
        <f t="shared" si="10"/>
        <v>0</v>
      </c>
    </row>
    <row r="13" spans="1:39" x14ac:dyDescent="0.3">
      <c r="A13" s="156" t="s">
        <v>59</v>
      </c>
      <c r="B13" s="157">
        <v>185.36</v>
      </c>
      <c r="C13" s="163">
        <v>1954946</v>
      </c>
      <c r="D13" s="158">
        <v>0</v>
      </c>
      <c r="E13" s="158">
        <v>0</v>
      </c>
      <c r="F13" s="158">
        <v>0</v>
      </c>
      <c r="G13" s="158">
        <v>0</v>
      </c>
      <c r="H13" s="158">
        <v>0</v>
      </c>
      <c r="I13" s="158">
        <v>0</v>
      </c>
      <c r="J13" s="158">
        <v>0</v>
      </c>
      <c r="K13" s="158">
        <v>0</v>
      </c>
      <c r="L13" s="158">
        <v>0</v>
      </c>
      <c r="M13" s="158">
        <v>0</v>
      </c>
      <c r="N13" s="158">
        <v>0</v>
      </c>
      <c r="O13" s="158">
        <v>0</v>
      </c>
      <c r="P13" s="170">
        <v>2076522</v>
      </c>
      <c r="Q13" s="230">
        <v>0</v>
      </c>
      <c r="R13" s="230">
        <v>0</v>
      </c>
      <c r="S13" s="230">
        <v>0</v>
      </c>
      <c r="T13" s="230">
        <v>0</v>
      </c>
      <c r="U13" s="230">
        <v>0</v>
      </c>
      <c r="V13" s="230">
        <v>0</v>
      </c>
      <c r="W13" s="230">
        <v>0</v>
      </c>
      <c r="X13" s="230">
        <v>0</v>
      </c>
      <c r="Y13" s="230">
        <v>0</v>
      </c>
      <c r="Z13" s="230">
        <v>0</v>
      </c>
      <c r="AA13" s="230">
        <v>0</v>
      </c>
      <c r="AB13" s="230">
        <v>0</v>
      </c>
      <c r="AC13" s="233">
        <v>1101649</v>
      </c>
      <c r="AD13" s="238">
        <v>0</v>
      </c>
      <c r="AE13" s="238">
        <v>0</v>
      </c>
      <c r="AF13" s="238">
        <v>0</v>
      </c>
      <c r="AG13">
        <v>0</v>
      </c>
      <c r="AH13">
        <v>0</v>
      </c>
    </row>
    <row r="14" spans="1:39" x14ac:dyDescent="0.3">
      <c r="A14" s="156" t="s">
        <v>60</v>
      </c>
      <c r="B14" s="157">
        <v>363.72469999999998</v>
      </c>
      <c r="C14" s="163"/>
      <c r="D14" s="158">
        <v>0</v>
      </c>
      <c r="E14" s="158">
        <v>0</v>
      </c>
      <c r="F14" s="158">
        <v>0</v>
      </c>
      <c r="G14" s="158">
        <v>0</v>
      </c>
      <c r="H14" s="158">
        <v>0</v>
      </c>
      <c r="I14" s="158">
        <v>0</v>
      </c>
      <c r="J14" s="158">
        <v>0</v>
      </c>
      <c r="K14" s="158">
        <v>0</v>
      </c>
      <c r="L14" s="158">
        <v>0</v>
      </c>
      <c r="M14" s="158">
        <v>0</v>
      </c>
      <c r="N14" s="158">
        <v>0</v>
      </c>
      <c r="O14" s="158">
        <v>0</v>
      </c>
      <c r="P14" s="170"/>
      <c r="Q14" s="230">
        <v>0</v>
      </c>
      <c r="R14" s="230">
        <v>0</v>
      </c>
      <c r="S14" s="230">
        <v>0</v>
      </c>
      <c r="T14" s="230">
        <v>0</v>
      </c>
      <c r="U14" s="230">
        <v>0</v>
      </c>
      <c r="V14" s="230">
        <v>0</v>
      </c>
      <c r="W14" s="230">
        <v>0</v>
      </c>
      <c r="X14" s="230">
        <v>0</v>
      </c>
      <c r="Y14" s="230">
        <v>0</v>
      </c>
      <c r="Z14" s="230">
        <v>0</v>
      </c>
      <c r="AA14" s="230">
        <v>0</v>
      </c>
      <c r="AB14" s="230">
        <v>0</v>
      </c>
      <c r="AD14" s="238">
        <v>0</v>
      </c>
      <c r="AE14" s="238">
        <v>0</v>
      </c>
      <c r="AF14" s="238">
        <v>0</v>
      </c>
      <c r="AG14">
        <v>0</v>
      </c>
      <c r="AH14">
        <v>0</v>
      </c>
    </row>
    <row r="15" spans="1:39" x14ac:dyDescent="0.3">
      <c r="A15" s="156" t="s">
        <v>61</v>
      </c>
      <c r="B15" s="157"/>
      <c r="C15" s="165"/>
      <c r="D15" s="158">
        <v>0</v>
      </c>
      <c r="E15" s="158">
        <v>0</v>
      </c>
      <c r="F15" s="158">
        <v>0</v>
      </c>
      <c r="G15" s="158">
        <v>0</v>
      </c>
      <c r="H15" s="158">
        <v>0</v>
      </c>
      <c r="I15" s="158">
        <v>0</v>
      </c>
      <c r="J15" s="158">
        <v>0</v>
      </c>
      <c r="K15" s="158">
        <v>0</v>
      </c>
      <c r="L15" s="158">
        <v>0</v>
      </c>
      <c r="M15" s="158">
        <v>0</v>
      </c>
      <c r="N15" s="158">
        <v>0</v>
      </c>
      <c r="O15" s="158">
        <v>0</v>
      </c>
      <c r="P15" s="170"/>
      <c r="Q15" s="230">
        <v>0</v>
      </c>
      <c r="R15" s="230">
        <v>0</v>
      </c>
      <c r="S15" s="230">
        <v>0</v>
      </c>
      <c r="T15" s="230">
        <v>0</v>
      </c>
      <c r="U15" s="230">
        <v>0</v>
      </c>
      <c r="V15" s="230">
        <v>0</v>
      </c>
      <c r="W15" s="230">
        <v>0</v>
      </c>
      <c r="X15" s="230">
        <v>0</v>
      </c>
      <c r="Y15" s="230">
        <v>0</v>
      </c>
      <c r="Z15" s="230">
        <v>0</v>
      </c>
      <c r="AA15" s="230">
        <v>0</v>
      </c>
      <c r="AB15" s="230">
        <v>0</v>
      </c>
      <c r="AD15" s="238">
        <v>0</v>
      </c>
      <c r="AE15" s="238">
        <v>0</v>
      </c>
      <c r="AF15" s="238">
        <v>0</v>
      </c>
      <c r="AG15">
        <v>0</v>
      </c>
      <c r="AH15">
        <v>0</v>
      </c>
    </row>
    <row r="16" spans="1:39" x14ac:dyDescent="0.3">
      <c r="A16" s="156" t="s">
        <v>62</v>
      </c>
      <c r="B16" s="157"/>
      <c r="C16" s="163"/>
      <c r="D16" s="158">
        <v>0</v>
      </c>
      <c r="E16" s="158">
        <v>0</v>
      </c>
      <c r="F16" s="158">
        <v>0</v>
      </c>
      <c r="G16" s="158">
        <v>0</v>
      </c>
      <c r="H16" s="158">
        <v>0</v>
      </c>
      <c r="I16" s="158">
        <v>0</v>
      </c>
      <c r="J16" s="158">
        <v>0</v>
      </c>
      <c r="K16" s="158">
        <v>0</v>
      </c>
      <c r="L16" s="158">
        <v>0</v>
      </c>
      <c r="M16" s="158">
        <v>0</v>
      </c>
      <c r="N16" s="158">
        <v>0</v>
      </c>
      <c r="O16" s="158">
        <v>0</v>
      </c>
      <c r="P16" s="170">
        <v>182643</v>
      </c>
      <c r="Q16" s="230">
        <v>0</v>
      </c>
      <c r="R16" s="230">
        <v>0</v>
      </c>
      <c r="S16" s="230">
        <v>0</v>
      </c>
      <c r="T16" s="230">
        <v>0</v>
      </c>
      <c r="U16" s="230">
        <v>0</v>
      </c>
      <c r="V16" s="230">
        <v>0</v>
      </c>
      <c r="W16" s="230">
        <v>0</v>
      </c>
      <c r="X16" s="230">
        <v>0</v>
      </c>
      <c r="Y16" s="230">
        <v>0</v>
      </c>
      <c r="Z16" s="230">
        <v>0</v>
      </c>
      <c r="AA16" s="230">
        <v>0</v>
      </c>
      <c r="AB16" s="230">
        <v>0</v>
      </c>
      <c r="AC16" s="233">
        <v>213780</v>
      </c>
      <c r="AD16" s="238">
        <v>0</v>
      </c>
      <c r="AE16" s="238">
        <v>0</v>
      </c>
      <c r="AF16" s="238">
        <v>0</v>
      </c>
      <c r="AG16">
        <v>0</v>
      </c>
      <c r="AH16">
        <v>0</v>
      </c>
    </row>
    <row r="17" spans="1:40" x14ac:dyDescent="0.3">
      <c r="A17" s="156" t="s">
        <v>63</v>
      </c>
      <c r="B17" s="157"/>
      <c r="C17" s="157"/>
      <c r="D17" s="158">
        <v>45833.4</v>
      </c>
      <c r="E17" s="158">
        <v>53043.4</v>
      </c>
      <c r="F17" s="158">
        <v>257.5</v>
      </c>
      <c r="G17" s="158">
        <v>281147.59999999998</v>
      </c>
      <c r="H17" s="158">
        <v>282552.2</v>
      </c>
      <c r="I17" s="158">
        <v>311174.2</v>
      </c>
      <c r="J17" s="158">
        <v>327199.7</v>
      </c>
      <c r="K17" s="158">
        <v>331532.09999999998</v>
      </c>
      <c r="L17" s="158">
        <v>345948</v>
      </c>
      <c r="M17" s="158">
        <v>354114.1</v>
      </c>
      <c r="N17" s="158">
        <v>417849.2</v>
      </c>
      <c r="O17" s="158">
        <v>434016.7</v>
      </c>
      <c r="P17" s="170"/>
      <c r="Q17" s="230">
        <v>7360</v>
      </c>
      <c r="R17" s="230">
        <v>51660</v>
      </c>
      <c r="S17" s="230">
        <v>81802.100000000006</v>
      </c>
      <c r="T17" s="230">
        <v>99013.8</v>
      </c>
      <c r="U17" s="230">
        <v>111644.6</v>
      </c>
      <c r="V17" s="230">
        <v>111644.6</v>
      </c>
      <c r="W17" s="230">
        <v>185085.5</v>
      </c>
      <c r="X17" s="230">
        <v>208645</v>
      </c>
      <c r="Y17" s="230">
        <v>239248.5</v>
      </c>
      <c r="Z17" s="230">
        <v>259386.2</v>
      </c>
      <c r="AA17" s="230">
        <v>279645.8</v>
      </c>
      <c r="AB17" s="230">
        <v>348980.4</v>
      </c>
      <c r="AD17" s="238">
        <v>35720</v>
      </c>
      <c r="AE17" s="238">
        <v>65228.3</v>
      </c>
      <c r="AF17" s="238">
        <v>65778.3</v>
      </c>
      <c r="AG17">
        <v>121915</v>
      </c>
      <c r="AH17">
        <v>147545.20000000001</v>
      </c>
    </row>
    <row r="18" spans="1:40" x14ac:dyDescent="0.3">
      <c r="A18" s="156" t="s">
        <v>64</v>
      </c>
      <c r="B18" s="157"/>
      <c r="C18" s="165"/>
      <c r="D18" s="158">
        <v>0</v>
      </c>
      <c r="E18" s="158">
        <v>0</v>
      </c>
      <c r="F18" s="158">
        <v>0</v>
      </c>
      <c r="G18" s="158">
        <v>0</v>
      </c>
      <c r="H18" s="158">
        <v>0</v>
      </c>
      <c r="I18" s="158">
        <v>0</v>
      </c>
      <c r="J18" s="158">
        <v>0</v>
      </c>
      <c r="K18" s="158">
        <v>0</v>
      </c>
      <c r="L18" s="158">
        <v>0</v>
      </c>
      <c r="M18" s="158">
        <v>0</v>
      </c>
      <c r="N18" s="158">
        <v>0</v>
      </c>
      <c r="O18" s="158">
        <v>0</v>
      </c>
      <c r="P18" s="170"/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Z18" s="230">
        <v>0</v>
      </c>
      <c r="AA18" s="230">
        <v>0</v>
      </c>
      <c r="AB18" s="230">
        <v>533533.4</v>
      </c>
      <c r="AC18" s="166">
        <v>533533</v>
      </c>
      <c r="AD18" s="238">
        <v>0</v>
      </c>
      <c r="AE18" s="238">
        <v>0</v>
      </c>
      <c r="AF18" s="238">
        <v>0</v>
      </c>
      <c r="AG18">
        <v>0</v>
      </c>
      <c r="AH18">
        <v>0</v>
      </c>
    </row>
    <row r="19" spans="1:40" x14ac:dyDescent="0.3">
      <c r="A19" s="154" t="s">
        <v>65</v>
      </c>
      <c r="B19" s="155">
        <f t="shared" ref="B19:AC19" si="11">B3-B12</f>
        <v>14050.162846899</v>
      </c>
      <c r="C19" s="155">
        <f t="shared" si="11"/>
        <v>22957267</v>
      </c>
      <c r="D19" s="155">
        <f t="shared" si="11"/>
        <v>3300636.1700000004</v>
      </c>
      <c r="E19" s="155">
        <f t="shared" si="11"/>
        <v>4802433.8099999996</v>
      </c>
      <c r="F19" s="155">
        <f t="shared" si="11"/>
        <v>6381.67</v>
      </c>
      <c r="G19" s="155">
        <f t="shared" si="11"/>
        <v>8556529.7599999998</v>
      </c>
      <c r="H19" s="155">
        <f t="shared" si="11"/>
        <v>9927430.6400000006</v>
      </c>
      <c r="I19" s="155">
        <f t="shared" si="11"/>
        <v>12260162.74</v>
      </c>
      <c r="J19" s="155">
        <f t="shared" si="11"/>
        <v>14036644.880000001</v>
      </c>
      <c r="K19" s="155">
        <f t="shared" si="11"/>
        <v>15578506.550000001</v>
      </c>
      <c r="L19" s="155">
        <f t="shared" si="11"/>
        <v>17457399.489999998</v>
      </c>
      <c r="M19" s="155">
        <f t="shared" si="11"/>
        <v>19766471.57</v>
      </c>
      <c r="N19" s="155">
        <f t="shared" si="11"/>
        <v>21657820.620000001</v>
      </c>
      <c r="O19" s="155">
        <f t="shared" si="11"/>
        <v>25371360.77</v>
      </c>
      <c r="P19" s="155">
        <f t="shared" si="11"/>
        <v>24924090</v>
      </c>
      <c r="Q19" s="155">
        <f t="shared" si="11"/>
        <v>1767837.85</v>
      </c>
      <c r="R19" s="155">
        <f t="shared" si="11"/>
        <v>3648081.86</v>
      </c>
      <c r="S19" s="155">
        <f t="shared" si="11"/>
        <v>6129764.0600000005</v>
      </c>
      <c r="T19" s="155">
        <f t="shared" si="11"/>
        <v>8948907.1999999993</v>
      </c>
      <c r="U19" s="155">
        <f t="shared" si="11"/>
        <v>10971400.9</v>
      </c>
      <c r="V19" s="155">
        <f t="shared" si="11"/>
        <v>13063225.24</v>
      </c>
      <c r="W19" s="155">
        <f t="shared" si="11"/>
        <v>15175205.27</v>
      </c>
      <c r="X19" s="155">
        <f t="shared" si="11"/>
        <v>18002053.210000001</v>
      </c>
      <c r="Y19" s="155">
        <f t="shared" si="11"/>
        <v>20187212.969999999</v>
      </c>
      <c r="Z19" s="155">
        <f t="shared" si="11"/>
        <v>21853318.500000004</v>
      </c>
      <c r="AA19" s="155">
        <f t="shared" si="11"/>
        <v>23668112.279999997</v>
      </c>
      <c r="AB19" s="155">
        <f t="shared" si="11"/>
        <v>26568267.689999998</v>
      </c>
      <c r="AC19" s="155">
        <f t="shared" si="11"/>
        <v>26035305</v>
      </c>
      <c r="AD19" s="241">
        <f t="shared" ref="AD19:AM19" si="12">AD3-AD12</f>
        <v>3343739.5799999996</v>
      </c>
      <c r="AE19" s="241">
        <f t="shared" si="12"/>
        <v>5613952.1000000006</v>
      </c>
      <c r="AF19" s="241">
        <f t="shared" si="12"/>
        <v>7877750.5999999996</v>
      </c>
      <c r="AG19" s="155">
        <f t="shared" si="12"/>
        <v>9785704.7200000007</v>
      </c>
      <c r="AH19" s="155">
        <f t="shared" si="12"/>
        <v>11627861.870000001</v>
      </c>
      <c r="AI19" s="155">
        <f t="shared" si="12"/>
        <v>0</v>
      </c>
      <c r="AJ19" s="155">
        <f t="shared" si="12"/>
        <v>0</v>
      </c>
      <c r="AK19" s="155">
        <f t="shared" si="12"/>
        <v>0</v>
      </c>
      <c r="AL19" s="155">
        <f t="shared" si="12"/>
        <v>0</v>
      </c>
      <c r="AM19" s="155">
        <f t="shared" si="12"/>
        <v>0</v>
      </c>
    </row>
    <row r="20" spans="1:40" x14ac:dyDescent="0.3">
      <c r="A20" s="154" t="s">
        <v>66</v>
      </c>
      <c r="B20" s="155">
        <f t="shared" ref="B20:AB20" si="13">B21-B22</f>
        <v>0</v>
      </c>
      <c r="C20" s="155">
        <f t="shared" si="13"/>
        <v>712970</v>
      </c>
      <c r="D20" s="155">
        <f t="shared" si="13"/>
        <v>866110.6</v>
      </c>
      <c r="E20" s="155">
        <f t="shared" si="13"/>
        <v>1550668.6</v>
      </c>
      <c r="F20" s="155">
        <f t="shared" si="13"/>
        <v>0</v>
      </c>
      <c r="G20" s="155">
        <f t="shared" si="13"/>
        <v>2364259.2000000002</v>
      </c>
      <c r="H20" s="155">
        <f t="shared" si="13"/>
        <v>1956021.8</v>
      </c>
      <c r="I20" s="155">
        <f t="shared" si="13"/>
        <v>2142031.4</v>
      </c>
      <c r="J20" s="155">
        <f t="shared" si="13"/>
        <v>2161922.5</v>
      </c>
      <c r="K20" s="155">
        <f t="shared" si="13"/>
        <v>3004453.6</v>
      </c>
      <c r="L20" s="155">
        <f t="shared" si="13"/>
        <v>2751411.3</v>
      </c>
      <c r="M20" s="155">
        <f t="shared" si="13"/>
        <v>2359715</v>
      </c>
      <c r="N20" s="155">
        <f t="shared" si="13"/>
        <v>2270611.4</v>
      </c>
      <c r="O20" s="155">
        <f t="shared" si="13"/>
        <v>-1056159.8999999999</v>
      </c>
      <c r="P20" s="155">
        <f t="shared" si="13"/>
        <v>0</v>
      </c>
      <c r="Q20" s="155">
        <f t="shared" si="13"/>
        <v>0</v>
      </c>
      <c r="R20" s="155">
        <f t="shared" si="13"/>
        <v>1489093.9</v>
      </c>
      <c r="S20" s="155">
        <f t="shared" si="13"/>
        <v>2215685.7000000002</v>
      </c>
      <c r="T20" s="155">
        <f t="shared" si="13"/>
        <v>2208906.2000000002</v>
      </c>
      <c r="U20" s="155">
        <f t="shared" si="13"/>
        <v>1515575.1</v>
      </c>
      <c r="V20" s="155">
        <f t="shared" si="13"/>
        <v>1506607.5</v>
      </c>
      <c r="W20" s="155">
        <f t="shared" si="13"/>
        <v>528282.69999999995</v>
      </c>
      <c r="X20" s="155">
        <f t="shared" si="13"/>
        <v>1169780.3999999999</v>
      </c>
      <c r="Y20" s="155">
        <f t="shared" si="13"/>
        <v>793604.4</v>
      </c>
      <c r="Z20" s="155">
        <f t="shared" si="13"/>
        <v>800724.4</v>
      </c>
      <c r="AA20" s="155">
        <f t="shared" si="13"/>
        <v>581820</v>
      </c>
      <c r="AB20" s="155">
        <f t="shared" si="13"/>
        <v>0</v>
      </c>
      <c r="AC20" s="155">
        <f>AC21-AC22</f>
        <v>0</v>
      </c>
      <c r="AD20" s="241">
        <f>AD21-AD22</f>
        <v>0</v>
      </c>
      <c r="AE20" s="241">
        <f>AE21-AE22</f>
        <v>400463</v>
      </c>
      <c r="AF20" s="241">
        <f>AF21-AF22</f>
        <v>691228.9</v>
      </c>
      <c r="AG20" s="155">
        <f t="shared" ref="AG20:AM20" si="14">AG21-AG22</f>
        <v>865119.5</v>
      </c>
      <c r="AH20" s="155">
        <f t="shared" si="14"/>
        <v>643275</v>
      </c>
      <c r="AI20" s="155">
        <f t="shared" si="14"/>
        <v>0</v>
      </c>
      <c r="AJ20" s="155">
        <f t="shared" si="14"/>
        <v>0</v>
      </c>
      <c r="AK20" s="155">
        <f t="shared" si="14"/>
        <v>0</v>
      </c>
      <c r="AL20" s="155">
        <f t="shared" si="14"/>
        <v>0</v>
      </c>
      <c r="AM20" s="155">
        <f t="shared" si="14"/>
        <v>0</v>
      </c>
    </row>
    <row r="21" spans="1:40" x14ac:dyDescent="0.3">
      <c r="A21" s="156" t="s">
        <v>67</v>
      </c>
      <c r="B21" s="157"/>
      <c r="C21" s="165">
        <v>712970</v>
      </c>
      <c r="D21" s="158">
        <v>866110.6</v>
      </c>
      <c r="E21" s="158">
        <v>1550668.6</v>
      </c>
      <c r="F21" s="158">
        <v>0</v>
      </c>
      <c r="G21" s="158">
        <v>2364259.2000000002</v>
      </c>
      <c r="H21" s="158">
        <v>1956021.8</v>
      </c>
      <c r="I21" s="158">
        <v>2142031.4</v>
      </c>
      <c r="J21" s="158">
        <v>2161922.5</v>
      </c>
      <c r="K21" s="158">
        <v>3004453.6</v>
      </c>
      <c r="L21" s="158">
        <v>2751411.3</v>
      </c>
      <c r="M21" s="158">
        <v>2359715</v>
      </c>
      <c r="N21" s="158">
        <v>2270611.4</v>
      </c>
      <c r="O21" s="158">
        <v>-1056159.8999999999</v>
      </c>
      <c r="P21" s="170"/>
      <c r="Q21" s="230">
        <v>0</v>
      </c>
      <c r="R21" s="230">
        <v>1489093.9</v>
      </c>
      <c r="S21" s="230">
        <v>2215685.7000000002</v>
      </c>
      <c r="T21" s="230">
        <v>2208906.2000000002</v>
      </c>
      <c r="U21" s="230">
        <v>1515575.1</v>
      </c>
      <c r="V21" s="230">
        <v>1506607.5</v>
      </c>
      <c r="W21" s="230">
        <v>528282.69999999995</v>
      </c>
      <c r="X21" s="230">
        <v>1169780.3999999999</v>
      </c>
      <c r="Y21" s="230">
        <v>793604.4</v>
      </c>
      <c r="Z21" s="230">
        <v>800724.4</v>
      </c>
      <c r="AA21" s="230">
        <v>581820</v>
      </c>
      <c r="AB21" s="230">
        <v>0</v>
      </c>
      <c r="AC21" s="166">
        <v>0</v>
      </c>
      <c r="AD21" s="238">
        <v>0</v>
      </c>
      <c r="AE21" s="238">
        <v>400463</v>
      </c>
      <c r="AF21" s="238">
        <v>691228.9</v>
      </c>
      <c r="AG21">
        <v>865119.5</v>
      </c>
      <c r="AH21">
        <v>643275</v>
      </c>
    </row>
    <row r="22" spans="1:40" x14ac:dyDescent="0.3">
      <c r="A22" s="156" t="s">
        <v>68</v>
      </c>
      <c r="B22" s="157"/>
      <c r="C22" s="157"/>
      <c r="D22" s="158">
        <v>0</v>
      </c>
      <c r="E22" s="158">
        <v>0</v>
      </c>
      <c r="F22" s="158">
        <v>0</v>
      </c>
      <c r="G22" s="158">
        <v>0</v>
      </c>
      <c r="H22" s="158">
        <v>0</v>
      </c>
      <c r="I22" s="158">
        <v>0</v>
      </c>
      <c r="J22" s="158">
        <v>0</v>
      </c>
      <c r="K22" s="158">
        <v>0</v>
      </c>
      <c r="L22" s="158">
        <v>0</v>
      </c>
      <c r="M22" s="158">
        <v>0</v>
      </c>
      <c r="N22" s="158">
        <v>0</v>
      </c>
      <c r="O22" s="158">
        <v>0</v>
      </c>
      <c r="P22" s="170"/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Z22" s="230">
        <v>0</v>
      </c>
      <c r="AA22" s="230">
        <v>0</v>
      </c>
      <c r="AB22" s="230">
        <v>0</v>
      </c>
      <c r="AC22" s="166">
        <v>0</v>
      </c>
      <c r="AD22" s="238">
        <v>0</v>
      </c>
      <c r="AE22" s="238">
        <v>0</v>
      </c>
      <c r="AF22" s="238">
        <v>0</v>
      </c>
      <c r="AG22">
        <v>0</v>
      </c>
      <c r="AH22">
        <v>0</v>
      </c>
    </row>
    <row r="23" spans="1:40" x14ac:dyDescent="0.3">
      <c r="A23" s="154" t="s">
        <v>69</v>
      </c>
      <c r="B23" s="155">
        <f t="shared" ref="B23:AM23" si="15">SUM(B24:B28)</f>
        <v>11019.3799</v>
      </c>
      <c r="C23" s="155">
        <f t="shared" si="15"/>
        <v>18075183</v>
      </c>
      <c r="D23" s="155">
        <f t="shared" si="15"/>
        <v>434760.35</v>
      </c>
      <c r="E23" s="155">
        <f t="shared" si="15"/>
        <v>2455315.54</v>
      </c>
      <c r="F23" s="155">
        <f t="shared" si="15"/>
        <v>595087.12</v>
      </c>
      <c r="G23" s="155">
        <f t="shared" si="15"/>
        <v>5005006.91</v>
      </c>
      <c r="H23" s="155">
        <f t="shared" si="15"/>
        <v>6083862.5899999999</v>
      </c>
      <c r="I23" s="155">
        <f t="shared" si="15"/>
        <v>8558515.1199999992</v>
      </c>
      <c r="J23" s="155">
        <f t="shared" si="15"/>
        <v>10018966</v>
      </c>
      <c r="K23" s="155">
        <f t="shared" si="15"/>
        <v>11449496.899999999</v>
      </c>
      <c r="L23" s="155">
        <f t="shared" si="15"/>
        <v>12571763.109999999</v>
      </c>
      <c r="M23" s="155">
        <f t="shared" si="15"/>
        <v>13668576.129999999</v>
      </c>
      <c r="N23" s="155">
        <f t="shared" si="15"/>
        <v>15037821.33</v>
      </c>
      <c r="O23" s="155">
        <f t="shared" si="15"/>
        <v>18575324.91</v>
      </c>
      <c r="P23" s="155">
        <f t="shared" si="15"/>
        <v>19443229</v>
      </c>
      <c r="Q23" s="155">
        <f t="shared" si="15"/>
        <v>1649218.9700000002</v>
      </c>
      <c r="R23" s="155">
        <f t="shared" si="15"/>
        <v>3368047.75</v>
      </c>
      <c r="S23" s="155">
        <f t="shared" si="15"/>
        <v>4074787.7300000004</v>
      </c>
      <c r="T23" s="155">
        <f t="shared" si="15"/>
        <v>5963808.9500000002</v>
      </c>
      <c r="U23" s="155">
        <f t="shared" si="15"/>
        <v>7406835.3200000003</v>
      </c>
      <c r="V23" s="155">
        <f t="shared" si="15"/>
        <v>9839207.8300000001</v>
      </c>
      <c r="W23" s="155">
        <f t="shared" si="15"/>
        <v>11503172.450000001</v>
      </c>
      <c r="X23" s="155">
        <f t="shared" si="15"/>
        <v>13110389.77</v>
      </c>
      <c r="Y23" s="155">
        <f t="shared" si="15"/>
        <v>14656100.530000001</v>
      </c>
      <c r="Z23" s="155">
        <f t="shared" si="15"/>
        <v>15492737.330000002</v>
      </c>
      <c r="AA23" s="155">
        <f t="shared" si="15"/>
        <v>16786808.780000001</v>
      </c>
      <c r="AB23" s="155">
        <f t="shared" si="15"/>
        <v>20996390.550000001</v>
      </c>
      <c r="AC23" s="155">
        <f t="shared" si="15"/>
        <v>21338796</v>
      </c>
      <c r="AD23" s="241">
        <f t="shared" si="15"/>
        <v>996429.3</v>
      </c>
      <c r="AE23" s="241">
        <f t="shared" si="15"/>
        <v>1819974.2999999998</v>
      </c>
      <c r="AF23" s="241">
        <f t="shared" si="15"/>
        <v>3829819.34</v>
      </c>
      <c r="AG23" s="155">
        <f t="shared" si="15"/>
        <v>5241777.7699999996</v>
      </c>
      <c r="AH23" s="155">
        <f t="shared" si="15"/>
        <v>7249681.8199999994</v>
      </c>
      <c r="AI23" s="155">
        <f t="shared" si="15"/>
        <v>0</v>
      </c>
      <c r="AJ23" s="155">
        <f t="shared" si="15"/>
        <v>0</v>
      </c>
      <c r="AK23" s="155">
        <f t="shared" si="15"/>
        <v>0</v>
      </c>
      <c r="AL23" s="155">
        <f t="shared" si="15"/>
        <v>0</v>
      </c>
      <c r="AM23" s="155">
        <f t="shared" si="15"/>
        <v>0</v>
      </c>
    </row>
    <row r="24" spans="1:40" x14ac:dyDescent="0.3">
      <c r="A24" s="156" t="s">
        <v>70</v>
      </c>
      <c r="B24" s="157">
        <v>3512.444</v>
      </c>
      <c r="C24" s="165">
        <v>8022789</v>
      </c>
      <c r="D24" s="158">
        <v>48173</v>
      </c>
      <c r="E24" s="158">
        <v>1332960.3999999999</v>
      </c>
      <c r="F24" s="158">
        <v>2064.8000000000002</v>
      </c>
      <c r="G24" s="158">
        <v>2732782.8</v>
      </c>
      <c r="H24" s="158">
        <v>3476048.8</v>
      </c>
      <c r="I24" s="158">
        <v>4185253.7</v>
      </c>
      <c r="J24" s="158">
        <v>4864209.7</v>
      </c>
      <c r="K24" s="158">
        <v>5565565.5999999996</v>
      </c>
      <c r="L24" s="158">
        <v>6249851.5999999996</v>
      </c>
      <c r="M24" s="158">
        <v>7002132.5</v>
      </c>
      <c r="N24" s="158">
        <v>7715009.5</v>
      </c>
      <c r="O24" s="158">
        <v>9075535.8000000007</v>
      </c>
      <c r="P24" s="170">
        <v>9075536</v>
      </c>
      <c r="Q24" s="230">
        <v>725226</v>
      </c>
      <c r="R24" s="230">
        <v>1502435.9</v>
      </c>
      <c r="S24" s="230">
        <v>1611600</v>
      </c>
      <c r="T24" s="230">
        <v>3032756.4</v>
      </c>
      <c r="U24" s="230">
        <v>3756318.5</v>
      </c>
      <c r="V24" s="230">
        <v>4502580.5999999996</v>
      </c>
      <c r="W24" s="230">
        <v>5289042.7</v>
      </c>
      <c r="X24" s="230">
        <v>5977948.7999999998</v>
      </c>
      <c r="Y24" s="230">
        <v>7021615.7999999998</v>
      </c>
      <c r="Z24" s="230">
        <v>7681884.9000000004</v>
      </c>
      <c r="AA24" s="230">
        <v>8382421.5999999996</v>
      </c>
      <c r="AB24" s="230">
        <v>9613066</v>
      </c>
      <c r="AC24" s="166">
        <v>9613066</v>
      </c>
      <c r="AD24" s="238">
        <v>625132.1</v>
      </c>
      <c r="AE24" s="238">
        <v>864412.1</v>
      </c>
      <c r="AF24" s="238">
        <v>2120981.6</v>
      </c>
      <c r="AG24">
        <v>2834167</v>
      </c>
      <c r="AH24">
        <v>3622442.1</v>
      </c>
    </row>
    <row r="25" spans="1:40" x14ac:dyDescent="0.3">
      <c r="A25" s="156" t="s">
        <v>71</v>
      </c>
      <c r="B25" s="157">
        <v>401.87299999999999</v>
      </c>
      <c r="C25" s="163">
        <v>3550465</v>
      </c>
      <c r="D25" s="158">
        <v>69820</v>
      </c>
      <c r="E25" s="158">
        <v>615843.93999999994</v>
      </c>
      <c r="F25" s="158">
        <v>843.95</v>
      </c>
      <c r="G25" s="158">
        <v>1172859.51</v>
      </c>
      <c r="H25" s="158">
        <v>1241669.51</v>
      </c>
      <c r="I25" s="158">
        <v>1491930.39</v>
      </c>
      <c r="J25" s="158">
        <v>1812486.27</v>
      </c>
      <c r="K25" s="158">
        <v>1996316.27</v>
      </c>
      <c r="L25" s="158">
        <v>2134266.0299999998</v>
      </c>
      <c r="M25" s="158">
        <v>2277604.6</v>
      </c>
      <c r="N25" s="158">
        <v>2674672.7999999998</v>
      </c>
      <c r="O25" s="158">
        <v>3066223.68</v>
      </c>
      <c r="P25" s="170">
        <f>3524875-P26</f>
        <v>3029675</v>
      </c>
      <c r="Q25" s="230">
        <v>200085.17</v>
      </c>
      <c r="R25" s="230">
        <v>471976.05</v>
      </c>
      <c r="S25" s="230">
        <v>885891.93</v>
      </c>
      <c r="T25" s="230">
        <v>1034007.3</v>
      </c>
      <c r="U25" s="230">
        <v>1496013.17</v>
      </c>
      <c r="V25" s="230">
        <v>1883758.58</v>
      </c>
      <c r="W25" s="230">
        <v>2049084.1</v>
      </c>
      <c r="X25" s="230">
        <v>2166244.6</v>
      </c>
      <c r="Y25" s="230">
        <v>2334455.36</v>
      </c>
      <c r="Z25" s="230">
        <v>2544920.9700000002</v>
      </c>
      <c r="AA25" s="230">
        <v>2903900.72</v>
      </c>
      <c r="AB25" s="230">
        <v>3576200.55</v>
      </c>
      <c r="AC25" s="166">
        <f>4379341-AC26</f>
        <v>3576201</v>
      </c>
      <c r="AD25" s="238">
        <v>191297.2</v>
      </c>
      <c r="AE25" s="238">
        <v>620297.19999999995</v>
      </c>
      <c r="AF25" s="238">
        <v>1210487.74</v>
      </c>
      <c r="AG25">
        <v>1709848.77</v>
      </c>
      <c r="AH25">
        <v>1889717.65</v>
      </c>
    </row>
    <row r="26" spans="1:40" x14ac:dyDescent="0.3">
      <c r="A26" s="156" t="s">
        <v>72</v>
      </c>
      <c r="B26" s="157">
        <v>919.3528</v>
      </c>
      <c r="C26" s="163"/>
      <c r="D26" s="158">
        <v>0</v>
      </c>
      <c r="E26" s="158">
        <v>0</v>
      </c>
      <c r="F26" s="158">
        <v>11.9</v>
      </c>
      <c r="G26" s="158">
        <v>28130</v>
      </c>
      <c r="H26" s="158">
        <v>30130</v>
      </c>
      <c r="I26" s="158">
        <v>32430</v>
      </c>
      <c r="J26" s="158">
        <v>32830</v>
      </c>
      <c r="K26" s="158">
        <v>32830</v>
      </c>
      <c r="L26" s="158">
        <v>32830</v>
      </c>
      <c r="M26" s="158">
        <v>37530</v>
      </c>
      <c r="N26" s="158">
        <v>40130</v>
      </c>
      <c r="O26" s="158">
        <v>376380</v>
      </c>
      <c r="P26" s="170">
        <v>495200</v>
      </c>
      <c r="Q26" s="230">
        <v>0</v>
      </c>
      <c r="R26" s="230">
        <v>0</v>
      </c>
      <c r="S26" s="230">
        <v>0</v>
      </c>
      <c r="T26" s="230">
        <v>3340</v>
      </c>
      <c r="U26" s="230">
        <v>3340</v>
      </c>
      <c r="V26" s="230">
        <v>55440</v>
      </c>
      <c r="W26" s="230">
        <v>92640</v>
      </c>
      <c r="X26" s="230">
        <v>94940</v>
      </c>
      <c r="Y26" s="230">
        <v>94940</v>
      </c>
      <c r="Z26" s="230">
        <v>95440</v>
      </c>
      <c r="AA26" s="230">
        <v>141040</v>
      </c>
      <c r="AB26" s="230">
        <v>803140</v>
      </c>
      <c r="AC26" s="166">
        <v>803140</v>
      </c>
      <c r="AD26" s="238">
        <v>0</v>
      </c>
      <c r="AE26" s="238">
        <v>0</v>
      </c>
      <c r="AF26" s="238">
        <v>0</v>
      </c>
      <c r="AG26">
        <v>9100</v>
      </c>
      <c r="AH26">
        <v>10700</v>
      </c>
    </row>
    <row r="27" spans="1:40" x14ac:dyDescent="0.3">
      <c r="A27" s="156" t="s">
        <v>73</v>
      </c>
      <c r="B27" s="157">
        <v>1276.981</v>
      </c>
      <c r="C27" s="163"/>
      <c r="D27" s="158">
        <v>358.75</v>
      </c>
      <c r="E27" s="158">
        <v>0</v>
      </c>
      <c r="F27" s="158">
        <v>591372.19999999995</v>
      </c>
      <c r="G27" s="158">
        <v>0</v>
      </c>
      <c r="H27" s="158">
        <v>0</v>
      </c>
      <c r="I27" s="158">
        <v>1144298.75</v>
      </c>
      <c r="J27" s="158">
        <v>1144298.75</v>
      </c>
      <c r="K27" s="158">
        <v>1144298.75</v>
      </c>
      <c r="L27" s="158">
        <v>1144298</v>
      </c>
      <c r="M27" s="158">
        <v>1144298.75</v>
      </c>
      <c r="N27" s="158">
        <v>1144298.75</v>
      </c>
      <c r="O27" s="158">
        <v>2297535.15</v>
      </c>
      <c r="P27" s="170"/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881245</v>
      </c>
      <c r="W27" s="230">
        <v>881245</v>
      </c>
      <c r="X27" s="230">
        <v>1181136.1200000001</v>
      </c>
      <c r="Y27" s="230">
        <v>1181136.1200000001</v>
      </c>
      <c r="Z27" s="230">
        <v>1181136.1200000001</v>
      </c>
      <c r="AA27" s="230">
        <v>1181136.1200000001</v>
      </c>
      <c r="AB27" s="230">
        <v>1792658.56</v>
      </c>
      <c r="AC27" s="166">
        <f>1392855+400660</f>
        <v>1793515</v>
      </c>
      <c r="AD27" s="238">
        <v>0</v>
      </c>
      <c r="AE27" s="238">
        <v>0</v>
      </c>
      <c r="AF27" s="238">
        <v>856</v>
      </c>
      <c r="AG27">
        <v>856</v>
      </c>
      <c r="AH27">
        <v>624965.43000000005</v>
      </c>
    </row>
    <row r="28" spans="1:40" x14ac:dyDescent="0.3">
      <c r="A28" s="156" t="s">
        <v>74</v>
      </c>
      <c r="B28" s="157">
        <v>4908.7290999999996</v>
      </c>
      <c r="C28" s="163">
        <v>6501929</v>
      </c>
      <c r="D28" s="158">
        <v>316408.59999999998</v>
      </c>
      <c r="E28" s="158">
        <v>506511.2</v>
      </c>
      <c r="F28" s="158">
        <v>794.27</v>
      </c>
      <c r="G28" s="158">
        <v>1071234.6000000001</v>
      </c>
      <c r="H28" s="158">
        <v>1336014.28</v>
      </c>
      <c r="I28" s="158">
        <v>1704602.28</v>
      </c>
      <c r="J28" s="158">
        <v>2165141.2799999998</v>
      </c>
      <c r="K28" s="158">
        <v>2710486.28</v>
      </c>
      <c r="L28" s="158">
        <v>3010517.48</v>
      </c>
      <c r="M28" s="158">
        <v>3207010.28</v>
      </c>
      <c r="N28" s="158">
        <v>3463710.28</v>
      </c>
      <c r="O28" s="158">
        <v>3759650.28</v>
      </c>
      <c r="P28" s="170">
        <f>7025461-P16</f>
        <v>6842818</v>
      </c>
      <c r="Q28" s="230">
        <v>723907.8</v>
      </c>
      <c r="R28" s="230">
        <v>1393635.8</v>
      </c>
      <c r="S28" s="230">
        <v>1577295.8</v>
      </c>
      <c r="T28" s="230">
        <v>1893705.25</v>
      </c>
      <c r="U28" s="230">
        <v>2151163.65</v>
      </c>
      <c r="V28" s="230">
        <v>2516183.65</v>
      </c>
      <c r="W28" s="230">
        <v>3191160.65</v>
      </c>
      <c r="X28" s="230">
        <v>3690120.25</v>
      </c>
      <c r="Y28" s="230">
        <v>4023953.25</v>
      </c>
      <c r="Z28" s="230">
        <v>3989355.34</v>
      </c>
      <c r="AA28" s="230">
        <v>4178310.34</v>
      </c>
      <c r="AB28" s="230">
        <v>5211325.4400000004</v>
      </c>
      <c r="AC28" s="166">
        <f>7606719-AC36-AC27-AC16</f>
        <v>5552874</v>
      </c>
      <c r="AD28" s="238">
        <v>180000</v>
      </c>
      <c r="AE28" s="238">
        <v>335265</v>
      </c>
      <c r="AF28" s="238">
        <v>497494</v>
      </c>
      <c r="AG28">
        <v>687806</v>
      </c>
      <c r="AH28">
        <v>1101856.6399999999</v>
      </c>
    </row>
    <row r="29" spans="1:40" x14ac:dyDescent="0.3">
      <c r="A29" s="154" t="s">
        <v>75</v>
      </c>
      <c r="B29" s="155">
        <f t="shared" ref="B29:AC29" si="16">B19-B20-B23</f>
        <v>3030.7829468990003</v>
      </c>
      <c r="C29" s="155">
        <f t="shared" si="16"/>
        <v>4169114</v>
      </c>
      <c r="D29" s="155">
        <f t="shared" si="16"/>
        <v>1999765.2200000002</v>
      </c>
      <c r="E29" s="155">
        <f t="shared" si="16"/>
        <v>796449.66999999946</v>
      </c>
      <c r="F29" s="155">
        <f t="shared" si="16"/>
        <v>-588705.44999999995</v>
      </c>
      <c r="G29" s="155">
        <f t="shared" si="16"/>
        <v>1187263.6499999994</v>
      </c>
      <c r="H29" s="155">
        <f t="shared" si="16"/>
        <v>1887546.2500000009</v>
      </c>
      <c r="I29" s="155">
        <f t="shared" si="16"/>
        <v>1559616.2200000007</v>
      </c>
      <c r="J29" s="155">
        <f t="shared" si="16"/>
        <v>1855756.3800000008</v>
      </c>
      <c r="K29" s="155">
        <f t="shared" si="16"/>
        <v>1124556.0500000026</v>
      </c>
      <c r="L29" s="155">
        <f t="shared" si="16"/>
        <v>2134225.0799999982</v>
      </c>
      <c r="M29" s="155">
        <f t="shared" si="16"/>
        <v>3738180.4400000013</v>
      </c>
      <c r="N29" s="155">
        <f t="shared" si="16"/>
        <v>4349387.8900000025</v>
      </c>
      <c r="O29" s="155">
        <f t="shared" si="16"/>
        <v>7852195.7599999979</v>
      </c>
      <c r="P29" s="155">
        <f t="shared" si="16"/>
        <v>5480861</v>
      </c>
      <c r="Q29" s="155">
        <f t="shared" si="16"/>
        <v>118618.87999999989</v>
      </c>
      <c r="R29" s="155">
        <f t="shared" si="16"/>
        <v>-1209059.79</v>
      </c>
      <c r="S29" s="155">
        <f t="shared" si="16"/>
        <v>-160709.37000000011</v>
      </c>
      <c r="T29" s="155">
        <f t="shared" si="16"/>
        <v>776192.04999999888</v>
      </c>
      <c r="U29" s="155">
        <f t="shared" si="16"/>
        <v>2048990.4800000004</v>
      </c>
      <c r="V29" s="155">
        <f t="shared" si="16"/>
        <v>1717409.9100000001</v>
      </c>
      <c r="W29" s="155">
        <f t="shared" si="16"/>
        <v>3143750.1199999992</v>
      </c>
      <c r="X29" s="155">
        <f t="shared" si="16"/>
        <v>3721883.0400000028</v>
      </c>
      <c r="Y29" s="155">
        <f t="shared" si="16"/>
        <v>4737508.0399999991</v>
      </c>
      <c r="Z29" s="155">
        <f t="shared" si="16"/>
        <v>5559856.7700000033</v>
      </c>
      <c r="AA29" s="155">
        <f t="shared" si="16"/>
        <v>6299483.4999999963</v>
      </c>
      <c r="AB29" s="155">
        <f t="shared" si="16"/>
        <v>5571877.1399999969</v>
      </c>
      <c r="AC29" s="155">
        <f t="shared" si="16"/>
        <v>4696509</v>
      </c>
      <c r="AD29" s="241">
        <f t="shared" ref="AD29:AN29" si="17">AD19-AD20-AD23</f>
        <v>2347310.2799999993</v>
      </c>
      <c r="AE29" s="241">
        <f t="shared" si="17"/>
        <v>3393514.8000000007</v>
      </c>
      <c r="AF29" s="241">
        <f t="shared" si="17"/>
        <v>3356702.3599999994</v>
      </c>
      <c r="AG29" s="155">
        <f t="shared" si="17"/>
        <v>3678807.4500000011</v>
      </c>
      <c r="AH29" s="155">
        <f t="shared" si="17"/>
        <v>3734905.0500000017</v>
      </c>
      <c r="AI29" s="155">
        <f t="shared" si="17"/>
        <v>0</v>
      </c>
      <c r="AJ29" s="155">
        <f t="shared" si="17"/>
        <v>0</v>
      </c>
      <c r="AK29" s="155">
        <f t="shared" si="17"/>
        <v>0</v>
      </c>
      <c r="AL29" s="155">
        <f t="shared" si="17"/>
        <v>0</v>
      </c>
      <c r="AM29" s="155">
        <f t="shared" si="17"/>
        <v>0</v>
      </c>
      <c r="AN29" s="155">
        <f t="shared" si="17"/>
        <v>0</v>
      </c>
    </row>
    <row r="30" spans="1:40" x14ac:dyDescent="0.3">
      <c r="A30" s="154" t="s">
        <v>76</v>
      </c>
      <c r="B30" s="155">
        <f t="shared" ref="B30:AC30" si="18">B31-B32</f>
        <v>0</v>
      </c>
      <c r="C30" s="155">
        <f t="shared" si="18"/>
        <v>0</v>
      </c>
      <c r="D30" s="155">
        <f t="shared" si="18"/>
        <v>0</v>
      </c>
      <c r="E30" s="155">
        <f t="shared" si="18"/>
        <v>0</v>
      </c>
      <c r="F30" s="155">
        <f t="shared" si="18"/>
        <v>26490</v>
      </c>
      <c r="G30" s="155">
        <f t="shared" si="18"/>
        <v>0</v>
      </c>
      <c r="H30" s="155">
        <f t="shared" si="18"/>
        <v>0</v>
      </c>
      <c r="I30" s="155">
        <f t="shared" si="18"/>
        <v>0</v>
      </c>
      <c r="J30" s="155">
        <f t="shared" si="18"/>
        <v>0</v>
      </c>
      <c r="K30" s="155">
        <f t="shared" si="18"/>
        <v>240</v>
      </c>
      <c r="L30" s="155">
        <f t="shared" si="18"/>
        <v>240</v>
      </c>
      <c r="M30" s="155">
        <f t="shared" si="18"/>
        <v>240</v>
      </c>
      <c r="N30" s="155">
        <f t="shared" si="18"/>
        <v>240</v>
      </c>
      <c r="O30" s="155">
        <f t="shared" si="18"/>
        <v>240</v>
      </c>
      <c r="P30" s="155">
        <f t="shared" si="18"/>
        <v>0</v>
      </c>
      <c r="Q30" s="155">
        <f t="shared" si="18"/>
        <v>0</v>
      </c>
      <c r="R30" s="155">
        <f t="shared" si="18"/>
        <v>0</v>
      </c>
      <c r="S30" s="155">
        <f t="shared" si="18"/>
        <v>0</v>
      </c>
      <c r="T30" s="155">
        <f t="shared" si="18"/>
        <v>0</v>
      </c>
      <c r="U30" s="155">
        <f t="shared" si="18"/>
        <v>0</v>
      </c>
      <c r="V30" s="155">
        <f t="shared" si="18"/>
        <v>0</v>
      </c>
      <c r="W30" s="155">
        <f t="shared" si="18"/>
        <v>0</v>
      </c>
      <c r="X30" s="155">
        <f t="shared" si="18"/>
        <v>0</v>
      </c>
      <c r="Y30" s="155">
        <f t="shared" si="18"/>
        <v>0</v>
      </c>
      <c r="Z30" s="155">
        <f t="shared" si="18"/>
        <v>0</v>
      </c>
      <c r="AA30" s="155">
        <f t="shared" si="18"/>
        <v>0</v>
      </c>
      <c r="AB30" s="155">
        <f t="shared" si="18"/>
        <v>0</v>
      </c>
      <c r="AC30" s="155">
        <f t="shared" si="18"/>
        <v>0</v>
      </c>
      <c r="AD30" s="241">
        <f t="shared" ref="AD30:AN30" si="19">AD31-AD32</f>
        <v>0</v>
      </c>
      <c r="AE30" s="241">
        <f t="shared" si="19"/>
        <v>100</v>
      </c>
      <c r="AF30" s="241">
        <f t="shared" si="19"/>
        <v>100</v>
      </c>
      <c r="AG30" s="155">
        <f t="shared" si="19"/>
        <v>100</v>
      </c>
      <c r="AH30" s="155">
        <f t="shared" si="19"/>
        <v>100</v>
      </c>
      <c r="AI30" s="155">
        <f t="shared" si="19"/>
        <v>0</v>
      </c>
      <c r="AJ30" s="155">
        <f t="shared" si="19"/>
        <v>0</v>
      </c>
      <c r="AK30" s="155">
        <f t="shared" si="19"/>
        <v>0</v>
      </c>
      <c r="AL30" s="155">
        <f t="shared" si="19"/>
        <v>0</v>
      </c>
      <c r="AM30" s="155">
        <f t="shared" si="19"/>
        <v>0</v>
      </c>
      <c r="AN30" s="155">
        <f t="shared" si="19"/>
        <v>0</v>
      </c>
    </row>
    <row r="31" spans="1:40" x14ac:dyDescent="0.3">
      <c r="A31" s="156" t="s">
        <v>77</v>
      </c>
      <c r="B31" s="157"/>
      <c r="C31" s="157"/>
      <c r="D31" s="158">
        <v>0</v>
      </c>
      <c r="E31" s="158">
        <v>0</v>
      </c>
      <c r="F31" s="158">
        <v>29190</v>
      </c>
      <c r="G31" s="158">
        <v>0</v>
      </c>
      <c r="H31" s="158">
        <v>0</v>
      </c>
      <c r="I31" s="158">
        <v>0</v>
      </c>
      <c r="J31" s="158">
        <v>0</v>
      </c>
      <c r="K31" s="158">
        <v>240</v>
      </c>
      <c r="L31" s="158">
        <v>240</v>
      </c>
      <c r="M31" s="158">
        <v>240</v>
      </c>
      <c r="N31" s="158">
        <v>240</v>
      </c>
      <c r="O31" s="158">
        <v>240</v>
      </c>
      <c r="P31" s="170"/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Z31" s="230">
        <v>0</v>
      </c>
      <c r="AA31" s="230">
        <v>0</v>
      </c>
      <c r="AB31" s="230">
        <v>0</v>
      </c>
      <c r="AD31" s="238">
        <v>0</v>
      </c>
      <c r="AE31" s="238">
        <v>100</v>
      </c>
      <c r="AF31" s="238">
        <v>100</v>
      </c>
      <c r="AG31">
        <v>100</v>
      </c>
      <c r="AH31">
        <v>100</v>
      </c>
    </row>
    <row r="32" spans="1:40" x14ac:dyDescent="0.3">
      <c r="A32" s="156" t="s">
        <v>78</v>
      </c>
      <c r="B32" s="157"/>
      <c r="C32" s="157"/>
      <c r="D32" s="158">
        <v>0</v>
      </c>
      <c r="E32" s="158">
        <v>0</v>
      </c>
      <c r="F32" s="158">
        <v>2700</v>
      </c>
      <c r="G32" s="158">
        <v>0</v>
      </c>
      <c r="H32" s="158">
        <v>0</v>
      </c>
      <c r="I32" s="158">
        <v>0</v>
      </c>
      <c r="J32" s="158">
        <v>0</v>
      </c>
      <c r="K32" s="158">
        <v>0</v>
      </c>
      <c r="L32" s="158">
        <v>0</v>
      </c>
      <c r="M32" s="158">
        <v>0</v>
      </c>
      <c r="N32" s="158">
        <v>0</v>
      </c>
      <c r="O32" s="158">
        <v>0</v>
      </c>
      <c r="P32" s="170"/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Z32" s="230">
        <v>0</v>
      </c>
      <c r="AA32" s="230">
        <v>0</v>
      </c>
      <c r="AB32" s="230">
        <v>0</v>
      </c>
      <c r="AD32" s="238">
        <v>0</v>
      </c>
      <c r="AE32" s="238">
        <v>0</v>
      </c>
      <c r="AF32" s="238">
        <v>0</v>
      </c>
      <c r="AG32">
        <v>0</v>
      </c>
      <c r="AH32">
        <v>0</v>
      </c>
    </row>
    <row r="33" spans="1:39" x14ac:dyDescent="0.3">
      <c r="A33" s="161" t="s">
        <v>79</v>
      </c>
      <c r="B33" s="162">
        <f t="shared" ref="B33:AM33" si="20">B29+B30</f>
        <v>3030.7829468990003</v>
      </c>
      <c r="C33" s="162">
        <f t="shared" si="20"/>
        <v>4169114</v>
      </c>
      <c r="D33" s="162">
        <f t="shared" si="20"/>
        <v>1999765.2200000002</v>
      </c>
      <c r="E33" s="162">
        <f t="shared" si="20"/>
        <v>796449.66999999946</v>
      </c>
      <c r="F33" s="162">
        <f t="shared" si="20"/>
        <v>-562215.44999999995</v>
      </c>
      <c r="G33" s="162">
        <f t="shared" si="20"/>
        <v>1187263.6499999994</v>
      </c>
      <c r="H33" s="162">
        <f t="shared" si="20"/>
        <v>1887546.2500000009</v>
      </c>
      <c r="I33" s="162">
        <f t="shared" si="20"/>
        <v>1559616.2200000007</v>
      </c>
      <c r="J33" s="162">
        <f t="shared" si="20"/>
        <v>1855756.3800000008</v>
      </c>
      <c r="K33" s="162">
        <f t="shared" si="20"/>
        <v>1124796.0500000026</v>
      </c>
      <c r="L33" s="162">
        <f t="shared" si="20"/>
        <v>2134465.0799999982</v>
      </c>
      <c r="M33" s="162">
        <f t="shared" si="20"/>
        <v>3738420.4400000013</v>
      </c>
      <c r="N33" s="162">
        <f t="shared" si="20"/>
        <v>4349627.8900000025</v>
      </c>
      <c r="O33" s="162">
        <f t="shared" si="20"/>
        <v>7852435.7599999979</v>
      </c>
      <c r="P33" s="162">
        <f t="shared" si="20"/>
        <v>5480861</v>
      </c>
      <c r="Q33" s="162">
        <f t="shared" si="20"/>
        <v>118618.87999999989</v>
      </c>
      <c r="R33" s="162">
        <f t="shared" si="20"/>
        <v>-1209059.79</v>
      </c>
      <c r="S33" s="162">
        <f t="shared" si="20"/>
        <v>-160709.37000000011</v>
      </c>
      <c r="T33" s="162">
        <f t="shared" si="20"/>
        <v>776192.04999999888</v>
      </c>
      <c r="U33" s="162">
        <f t="shared" si="20"/>
        <v>2048990.4800000004</v>
      </c>
      <c r="V33" s="162">
        <f t="shared" si="20"/>
        <v>1717409.9100000001</v>
      </c>
      <c r="W33" s="162">
        <f t="shared" si="20"/>
        <v>3143750.1199999992</v>
      </c>
      <c r="X33" s="162">
        <f t="shared" si="20"/>
        <v>3721883.0400000028</v>
      </c>
      <c r="Y33" s="162">
        <f t="shared" si="20"/>
        <v>4737508.0399999991</v>
      </c>
      <c r="Z33" s="162">
        <f t="shared" si="20"/>
        <v>5559856.7700000033</v>
      </c>
      <c r="AA33" s="162">
        <f t="shared" si="20"/>
        <v>6299483.4999999963</v>
      </c>
      <c r="AB33" s="162">
        <f t="shared" si="20"/>
        <v>5571877.1399999969</v>
      </c>
      <c r="AC33" s="162">
        <f t="shared" si="20"/>
        <v>4696509</v>
      </c>
      <c r="AD33" s="242">
        <f t="shared" si="20"/>
        <v>2347310.2799999993</v>
      </c>
      <c r="AE33" s="242">
        <f t="shared" si="20"/>
        <v>3393614.8000000007</v>
      </c>
      <c r="AF33" s="242">
        <f t="shared" si="20"/>
        <v>3356802.3599999994</v>
      </c>
      <c r="AG33" s="162">
        <f t="shared" si="20"/>
        <v>3678907.4500000011</v>
      </c>
      <c r="AH33" s="162">
        <f t="shared" si="20"/>
        <v>3735005.0500000017</v>
      </c>
      <c r="AI33" s="162">
        <f t="shared" si="20"/>
        <v>0</v>
      </c>
      <c r="AJ33" s="162">
        <f t="shared" si="20"/>
        <v>0</v>
      </c>
      <c r="AK33" s="162">
        <f t="shared" si="20"/>
        <v>0</v>
      </c>
      <c r="AL33" s="162">
        <f t="shared" si="20"/>
        <v>0</v>
      </c>
      <c r="AM33" s="162">
        <f t="shared" si="20"/>
        <v>0</v>
      </c>
    </row>
    <row r="34" spans="1:39" x14ac:dyDescent="0.3">
      <c r="A34" s="156" t="s">
        <v>80</v>
      </c>
      <c r="B34" s="157">
        <v>20</v>
      </c>
      <c r="C34" s="165">
        <v>611603</v>
      </c>
      <c r="D34" s="158">
        <v>0</v>
      </c>
      <c r="E34" s="158">
        <v>0</v>
      </c>
      <c r="F34" s="158">
        <v>20000</v>
      </c>
      <c r="G34" s="158">
        <v>168000</v>
      </c>
      <c r="H34" s="158">
        <v>168000</v>
      </c>
      <c r="I34" s="158">
        <v>336000</v>
      </c>
      <c r="J34" s="158">
        <v>336000</v>
      </c>
      <c r="K34" s="158">
        <v>336000</v>
      </c>
      <c r="L34" s="158">
        <v>511920.8</v>
      </c>
      <c r="M34" s="158">
        <v>511920</v>
      </c>
      <c r="N34" s="158">
        <v>511920</v>
      </c>
      <c r="O34" s="158">
        <v>581920</v>
      </c>
      <c r="P34" s="170">
        <v>629412</v>
      </c>
      <c r="Q34" s="230">
        <v>0</v>
      </c>
      <c r="R34" s="230">
        <v>0</v>
      </c>
      <c r="S34" s="230">
        <v>47492</v>
      </c>
      <c r="T34" s="230">
        <v>80492</v>
      </c>
      <c r="U34" s="230">
        <v>127492</v>
      </c>
      <c r="V34" s="230">
        <v>207492</v>
      </c>
      <c r="W34" s="230">
        <v>207492</v>
      </c>
      <c r="X34" s="230">
        <v>207492</v>
      </c>
      <c r="Y34" s="230">
        <v>287492</v>
      </c>
      <c r="Z34" s="230">
        <v>240000</v>
      </c>
      <c r="AA34" s="230">
        <v>247920</v>
      </c>
      <c r="AB34" s="230">
        <v>327920</v>
      </c>
      <c r="AC34" s="166">
        <v>648765</v>
      </c>
      <c r="AD34" s="238">
        <v>0</v>
      </c>
      <c r="AE34" s="238">
        <v>0</v>
      </c>
      <c r="AF34" s="238">
        <v>0</v>
      </c>
      <c r="AG34" s="230">
        <v>150000</v>
      </c>
      <c r="AH34" s="230">
        <v>150000</v>
      </c>
    </row>
    <row r="35" spans="1:39" x14ac:dyDescent="0.3">
      <c r="A35" s="154" t="s">
        <v>81</v>
      </c>
      <c r="B35" s="155">
        <f t="shared" ref="B35:AM35" si="21">B33-B34</f>
        <v>3010.7829468990003</v>
      </c>
      <c r="C35" s="155">
        <f t="shared" si="21"/>
        <v>3557511</v>
      </c>
      <c r="D35" s="155">
        <f t="shared" si="21"/>
        <v>1999765.2200000002</v>
      </c>
      <c r="E35" s="155">
        <f t="shared" si="21"/>
        <v>796449.66999999946</v>
      </c>
      <c r="F35" s="155">
        <f t="shared" si="21"/>
        <v>-582215.44999999995</v>
      </c>
      <c r="G35" s="155">
        <f t="shared" si="21"/>
        <v>1019263.6499999994</v>
      </c>
      <c r="H35" s="155">
        <f t="shared" si="21"/>
        <v>1719546.2500000009</v>
      </c>
      <c r="I35" s="155">
        <f t="shared" si="21"/>
        <v>1223616.2200000007</v>
      </c>
      <c r="J35" s="155">
        <f t="shared" si="21"/>
        <v>1519756.3800000008</v>
      </c>
      <c r="K35" s="155">
        <f t="shared" si="21"/>
        <v>788796.05000000261</v>
      </c>
      <c r="L35" s="155">
        <f t="shared" si="21"/>
        <v>1622544.2799999982</v>
      </c>
      <c r="M35" s="155">
        <f t="shared" si="21"/>
        <v>3226500.4400000013</v>
      </c>
      <c r="N35" s="155">
        <f t="shared" si="21"/>
        <v>3837707.8900000025</v>
      </c>
      <c r="O35" s="155">
        <f t="shared" si="21"/>
        <v>7270515.7599999979</v>
      </c>
      <c r="P35" s="155">
        <f t="shared" si="21"/>
        <v>4851449</v>
      </c>
      <c r="Q35" s="155">
        <f t="shared" si="21"/>
        <v>118618.87999999989</v>
      </c>
      <c r="R35" s="155">
        <f t="shared" si="21"/>
        <v>-1209059.79</v>
      </c>
      <c r="S35" s="155">
        <f t="shared" si="21"/>
        <v>-208201.37000000011</v>
      </c>
      <c r="T35" s="155">
        <f t="shared" si="21"/>
        <v>695700.04999999888</v>
      </c>
      <c r="U35" s="155">
        <f t="shared" si="21"/>
        <v>1921498.4800000004</v>
      </c>
      <c r="V35" s="155">
        <f t="shared" si="21"/>
        <v>1509917.9100000001</v>
      </c>
      <c r="W35" s="155">
        <f t="shared" si="21"/>
        <v>2936258.1199999992</v>
      </c>
      <c r="X35" s="155">
        <f t="shared" si="21"/>
        <v>3514391.0400000028</v>
      </c>
      <c r="Y35" s="155">
        <f t="shared" si="21"/>
        <v>4450016.0399999991</v>
      </c>
      <c r="Z35" s="155">
        <f t="shared" si="21"/>
        <v>5319856.7700000033</v>
      </c>
      <c r="AA35" s="155">
        <f t="shared" si="21"/>
        <v>6051563.4999999963</v>
      </c>
      <c r="AB35" s="155">
        <f t="shared" si="21"/>
        <v>5243957.1399999969</v>
      </c>
      <c r="AC35" s="155">
        <f t="shared" si="21"/>
        <v>4047744</v>
      </c>
      <c r="AD35" s="241">
        <f t="shared" si="21"/>
        <v>2347310.2799999993</v>
      </c>
      <c r="AE35" s="241">
        <f t="shared" si="21"/>
        <v>3393614.8000000007</v>
      </c>
      <c r="AF35" s="241">
        <f t="shared" si="21"/>
        <v>3356802.3599999994</v>
      </c>
      <c r="AG35" s="155">
        <f t="shared" si="21"/>
        <v>3528907.4500000011</v>
      </c>
      <c r="AH35" s="155">
        <f t="shared" si="21"/>
        <v>3585005.0500000017</v>
      </c>
      <c r="AI35" s="155">
        <f t="shared" si="21"/>
        <v>0</v>
      </c>
      <c r="AJ35" s="155">
        <f t="shared" si="21"/>
        <v>0</v>
      </c>
      <c r="AK35" s="155">
        <f t="shared" si="21"/>
        <v>0</v>
      </c>
      <c r="AL35" s="155">
        <f t="shared" si="21"/>
        <v>0</v>
      </c>
      <c r="AM35" s="155">
        <f t="shared" si="21"/>
        <v>0</v>
      </c>
    </row>
    <row r="36" spans="1:39" x14ac:dyDescent="0.3">
      <c r="A36" s="156" t="s">
        <v>82</v>
      </c>
      <c r="B36" s="157"/>
      <c r="C36" s="157"/>
      <c r="D36" s="158">
        <v>0</v>
      </c>
      <c r="E36" s="158">
        <v>0</v>
      </c>
      <c r="F36" s="158">
        <v>0</v>
      </c>
      <c r="G36" s="158">
        <v>0</v>
      </c>
      <c r="H36" s="158">
        <v>0</v>
      </c>
      <c r="I36" s="158">
        <v>0</v>
      </c>
      <c r="J36" s="158">
        <v>0</v>
      </c>
      <c r="K36" s="158">
        <v>0</v>
      </c>
      <c r="L36" s="158">
        <v>0</v>
      </c>
      <c r="M36" s="158">
        <v>0</v>
      </c>
      <c r="N36" s="158">
        <v>0</v>
      </c>
      <c r="O36" s="158">
        <v>0</v>
      </c>
      <c r="P36" s="170"/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0</v>
      </c>
      <c r="AA36" s="230">
        <v>0</v>
      </c>
      <c r="AB36" s="230">
        <v>0</v>
      </c>
      <c r="AC36" s="233">
        <v>46550</v>
      </c>
      <c r="AD36" s="238">
        <v>0</v>
      </c>
      <c r="AE36" s="238">
        <v>0</v>
      </c>
      <c r="AF36" s="238">
        <v>0</v>
      </c>
      <c r="AG36" s="230">
        <v>0</v>
      </c>
      <c r="AH36" s="230">
        <v>0</v>
      </c>
    </row>
    <row r="37" spans="1:39" x14ac:dyDescent="0.3">
      <c r="A37" s="154" t="s">
        <v>83</v>
      </c>
      <c r="B37" s="155">
        <f t="shared" ref="B37:AM37" si="22">B35-B36</f>
        <v>3010.7829468990003</v>
      </c>
      <c r="C37" s="155">
        <f t="shared" si="22"/>
        <v>3557511</v>
      </c>
      <c r="D37" s="155">
        <f t="shared" si="22"/>
        <v>1999765.2200000002</v>
      </c>
      <c r="E37" s="155">
        <f t="shared" si="22"/>
        <v>796449.66999999946</v>
      </c>
      <c r="F37" s="155">
        <f t="shared" si="22"/>
        <v>-582215.44999999995</v>
      </c>
      <c r="G37" s="155">
        <f t="shared" si="22"/>
        <v>1019263.6499999994</v>
      </c>
      <c r="H37" s="155">
        <f t="shared" si="22"/>
        <v>1719546.2500000009</v>
      </c>
      <c r="I37" s="155">
        <f t="shared" si="22"/>
        <v>1223616.2200000007</v>
      </c>
      <c r="J37" s="155">
        <f t="shared" si="22"/>
        <v>1519756.3800000008</v>
      </c>
      <c r="K37" s="155">
        <f t="shared" si="22"/>
        <v>788796.05000000261</v>
      </c>
      <c r="L37" s="155">
        <f t="shared" si="22"/>
        <v>1622544.2799999982</v>
      </c>
      <c r="M37" s="155">
        <f t="shared" si="22"/>
        <v>3226500.4400000013</v>
      </c>
      <c r="N37" s="155">
        <f t="shared" si="22"/>
        <v>3837707.8900000025</v>
      </c>
      <c r="O37" s="155">
        <f t="shared" si="22"/>
        <v>7270515.7599999979</v>
      </c>
      <c r="P37" s="155">
        <f t="shared" si="22"/>
        <v>4851449</v>
      </c>
      <c r="Q37" s="155">
        <f t="shared" si="22"/>
        <v>118618.87999999989</v>
      </c>
      <c r="R37" s="155">
        <f t="shared" si="22"/>
        <v>-1209059.79</v>
      </c>
      <c r="S37" s="155">
        <f t="shared" si="22"/>
        <v>-208201.37000000011</v>
      </c>
      <c r="T37" s="155">
        <f t="shared" si="22"/>
        <v>695700.04999999888</v>
      </c>
      <c r="U37" s="155">
        <f t="shared" si="22"/>
        <v>1921498.4800000004</v>
      </c>
      <c r="V37" s="155">
        <f t="shared" si="22"/>
        <v>1509917.9100000001</v>
      </c>
      <c r="W37" s="155">
        <f t="shared" si="22"/>
        <v>2936258.1199999992</v>
      </c>
      <c r="X37" s="155">
        <f t="shared" si="22"/>
        <v>3514391.0400000028</v>
      </c>
      <c r="Y37" s="155">
        <f t="shared" si="22"/>
        <v>4450016.0399999991</v>
      </c>
      <c r="Z37" s="155">
        <f t="shared" si="22"/>
        <v>5319856.7700000033</v>
      </c>
      <c r="AA37" s="155">
        <f t="shared" si="22"/>
        <v>6051563.4999999963</v>
      </c>
      <c r="AB37" s="155">
        <f t="shared" si="22"/>
        <v>5243957.1399999969</v>
      </c>
      <c r="AC37" s="155">
        <f t="shared" si="22"/>
        <v>4001194</v>
      </c>
      <c r="AD37" s="241">
        <f t="shared" si="22"/>
        <v>2347310.2799999993</v>
      </c>
      <c r="AE37" s="241">
        <f t="shared" si="22"/>
        <v>3393614.8000000007</v>
      </c>
      <c r="AF37" s="241">
        <f t="shared" si="22"/>
        <v>3356802.3599999994</v>
      </c>
      <c r="AG37" s="155">
        <f t="shared" si="22"/>
        <v>3528907.4500000011</v>
      </c>
      <c r="AH37" s="155">
        <f t="shared" si="22"/>
        <v>3585005.0500000017</v>
      </c>
      <c r="AI37" s="155">
        <f t="shared" si="22"/>
        <v>0</v>
      </c>
      <c r="AJ37" s="155">
        <f t="shared" si="22"/>
        <v>0</v>
      </c>
      <c r="AK37" s="155">
        <f t="shared" si="22"/>
        <v>0</v>
      </c>
      <c r="AL37" s="155">
        <f t="shared" si="22"/>
        <v>0</v>
      </c>
      <c r="AM37" s="155">
        <f t="shared" si="22"/>
        <v>0</v>
      </c>
    </row>
    <row r="38" spans="1:39" x14ac:dyDescent="0.3">
      <c r="AD38" s="238"/>
      <c r="AE38" s="238"/>
      <c r="AF38" s="238"/>
    </row>
    <row r="39" spans="1:39" s="23" customFormat="1" x14ac:dyDescent="0.3">
      <c r="A39" s="23" t="s">
        <v>84</v>
      </c>
      <c r="B39" s="58">
        <f>B12+B23</f>
        <v>11568.464599999999</v>
      </c>
      <c r="C39" s="58">
        <f>C12+C23</f>
        <v>20030129</v>
      </c>
      <c r="D39" s="58">
        <f t="shared" ref="D39:AB39" si="23">D12+D23</f>
        <v>480593.75</v>
      </c>
      <c r="E39" s="58">
        <f t="shared" si="23"/>
        <v>2508358.94</v>
      </c>
      <c r="F39" s="58">
        <f t="shared" si="23"/>
        <v>595344.62</v>
      </c>
      <c r="G39" s="58">
        <f t="shared" si="23"/>
        <v>5286154.51</v>
      </c>
      <c r="H39" s="58">
        <f t="shared" si="23"/>
        <v>6366414.79</v>
      </c>
      <c r="I39" s="58">
        <f t="shared" si="23"/>
        <v>8869689.3199999984</v>
      </c>
      <c r="J39" s="58">
        <f t="shared" si="23"/>
        <v>10346165.699999999</v>
      </c>
      <c r="K39" s="58">
        <f t="shared" si="23"/>
        <v>11781028.999999998</v>
      </c>
      <c r="L39" s="58">
        <f t="shared" si="23"/>
        <v>12917711.109999999</v>
      </c>
      <c r="M39" s="58">
        <f t="shared" si="23"/>
        <v>14022690.229999999</v>
      </c>
      <c r="N39" s="58">
        <f t="shared" si="23"/>
        <v>15455670.529999999</v>
      </c>
      <c r="O39" s="58">
        <f t="shared" si="23"/>
        <v>19009341.609999999</v>
      </c>
      <c r="P39" s="58">
        <f t="shared" si="23"/>
        <v>21702394</v>
      </c>
      <c r="Q39" s="58">
        <f t="shared" si="23"/>
        <v>1656578.9700000002</v>
      </c>
      <c r="R39" s="58">
        <f t="shared" si="23"/>
        <v>3419707.75</v>
      </c>
      <c r="S39" s="58">
        <f t="shared" si="23"/>
        <v>4156589.8300000005</v>
      </c>
      <c r="T39" s="58">
        <f t="shared" si="23"/>
        <v>6062822.75</v>
      </c>
      <c r="U39" s="58">
        <f t="shared" si="23"/>
        <v>7518479.9199999999</v>
      </c>
      <c r="V39" s="58">
        <f t="shared" si="23"/>
        <v>9950852.4299999997</v>
      </c>
      <c r="W39" s="58">
        <f t="shared" si="23"/>
        <v>11688257.950000001</v>
      </c>
      <c r="X39" s="58">
        <f t="shared" si="23"/>
        <v>13319034.77</v>
      </c>
      <c r="Y39" s="58">
        <f t="shared" si="23"/>
        <v>14895349.030000001</v>
      </c>
      <c r="Z39" s="58">
        <f t="shared" si="23"/>
        <v>15752123.530000001</v>
      </c>
      <c r="AA39" s="58">
        <f t="shared" si="23"/>
        <v>17066454.580000002</v>
      </c>
      <c r="AB39" s="58">
        <f t="shared" si="23"/>
        <v>21878904.350000001</v>
      </c>
      <c r="AC39" s="168">
        <f>AC12+AC23</f>
        <v>23187758</v>
      </c>
      <c r="AD39" s="239">
        <f t="shared" ref="AD39:AM39" si="24">AD12+AD23</f>
        <v>1032149.3</v>
      </c>
      <c r="AE39" s="239">
        <f t="shared" si="24"/>
        <v>1885202.5999999999</v>
      </c>
      <c r="AF39" s="239">
        <f t="shared" si="24"/>
        <v>3895597.6399999997</v>
      </c>
      <c r="AG39" s="168">
        <f t="shared" si="24"/>
        <v>5363692.7699999996</v>
      </c>
      <c r="AH39" s="168">
        <f t="shared" si="24"/>
        <v>7397227.0199999996</v>
      </c>
      <c r="AI39" s="168">
        <f t="shared" si="24"/>
        <v>0</v>
      </c>
      <c r="AJ39" s="168">
        <f t="shared" si="24"/>
        <v>0</v>
      </c>
      <c r="AK39" s="168">
        <f t="shared" si="24"/>
        <v>0</v>
      </c>
      <c r="AL39" s="168">
        <f t="shared" si="24"/>
        <v>0</v>
      </c>
      <c r="AM39" s="168">
        <f t="shared" si="24"/>
        <v>0</v>
      </c>
    </row>
    <row r="41" spans="1:39" x14ac:dyDescent="0.3">
      <c r="F41" s="36"/>
      <c r="G41" s="36"/>
      <c r="H41" s="36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91"/>
  <sheetViews>
    <sheetView topLeftCell="A37" workbookViewId="0">
      <selection activeCell="H74" sqref="H74"/>
    </sheetView>
  </sheetViews>
  <sheetFormatPr defaultRowHeight="14.4" x14ac:dyDescent="0.3"/>
  <cols>
    <col min="2" max="2" width="19.44140625" customWidth="1"/>
    <col min="3" max="3" width="10.33203125" bestFit="1" customWidth="1"/>
    <col min="4" max="4" width="19.5546875" customWidth="1"/>
    <col min="5" max="5" width="12" customWidth="1"/>
    <col min="6" max="6" width="16.6640625" customWidth="1"/>
    <col min="8" max="8" width="14.33203125" bestFit="1" customWidth="1"/>
    <col min="9" max="9" width="13.33203125" bestFit="1" customWidth="1"/>
    <col min="10" max="11" width="11.6640625" bestFit="1" customWidth="1"/>
    <col min="12" max="12" width="12.6640625" bestFit="1" customWidth="1"/>
  </cols>
  <sheetData>
    <row r="1" spans="2:9" x14ac:dyDescent="0.3">
      <c r="D1" s="5">
        <v>44256</v>
      </c>
    </row>
    <row r="2" spans="2:9" ht="41.4" x14ac:dyDescent="0.3"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</row>
    <row r="3" spans="2:9" x14ac:dyDescent="0.3">
      <c r="B3" s="6" t="s">
        <v>90</v>
      </c>
      <c r="C3" s="13">
        <v>873</v>
      </c>
      <c r="D3" s="13">
        <v>91882522.200000003</v>
      </c>
      <c r="E3" s="9">
        <v>0.01</v>
      </c>
      <c r="F3" s="8">
        <f>D3*E3</f>
        <v>918825.22200000007</v>
      </c>
    </row>
    <row r="4" spans="2:9" x14ac:dyDescent="0.3">
      <c r="B4" s="6" t="s">
        <v>91</v>
      </c>
      <c r="C4" s="13">
        <v>43</v>
      </c>
      <c r="D4" s="13">
        <v>1343521.23</v>
      </c>
      <c r="E4" s="9">
        <v>0.05</v>
      </c>
      <c r="F4" s="8">
        <f>D4*E4</f>
        <v>67176.061499999996</v>
      </c>
      <c r="H4" t="s">
        <v>92</v>
      </c>
      <c r="I4" s="148">
        <f>D5+D6+D7</f>
        <v>32492430.899999999</v>
      </c>
    </row>
    <row r="5" spans="2:9" x14ac:dyDescent="0.3">
      <c r="B5" s="6" t="s">
        <v>93</v>
      </c>
      <c r="C5" s="13">
        <v>126</v>
      </c>
      <c r="D5" s="13">
        <v>7742521.0199999996</v>
      </c>
      <c r="E5" s="9">
        <v>0.25</v>
      </c>
      <c r="F5" s="8">
        <f>D5*E5</f>
        <v>1935630.2549999999</v>
      </c>
      <c r="H5" t="s">
        <v>94</v>
      </c>
      <c r="I5" s="147">
        <f>I4/D8</f>
        <v>0.25845390721740868</v>
      </c>
    </row>
    <row r="6" spans="2:9" x14ac:dyDescent="0.3">
      <c r="B6" s="6" t="s">
        <v>95</v>
      </c>
      <c r="C6" s="13">
        <v>89</v>
      </c>
      <c r="D6" s="13">
        <v>4186717.84</v>
      </c>
      <c r="E6" s="9">
        <v>0.5</v>
      </c>
      <c r="F6" s="8">
        <f>D6*E6</f>
        <v>2093358.92</v>
      </c>
    </row>
    <row r="7" spans="2:9" x14ac:dyDescent="0.3">
      <c r="B7" s="6" t="s">
        <v>96</v>
      </c>
      <c r="C7" s="13">
        <v>385</v>
      </c>
      <c r="D7" s="13">
        <v>20563192.039999999</v>
      </c>
      <c r="E7" s="9">
        <v>1</v>
      </c>
      <c r="F7" s="8">
        <f>D7*E7</f>
        <v>20563192.039999999</v>
      </c>
    </row>
    <row r="8" spans="2:9" x14ac:dyDescent="0.3">
      <c r="B8" s="7" t="s">
        <v>97</v>
      </c>
      <c r="C8" s="8">
        <f>SUM(C3:C7)</f>
        <v>1516</v>
      </c>
      <c r="D8" s="8">
        <f>SUM(D3:D7)</f>
        <v>125718474.33000001</v>
      </c>
      <c r="E8" s="8">
        <f>SUM(E3:E7)</f>
        <v>1.81</v>
      </c>
      <c r="F8" s="8">
        <f>SUM(F3:F7)</f>
        <v>25578182.498499997</v>
      </c>
    </row>
    <row r="10" spans="2:9" x14ac:dyDescent="0.3">
      <c r="D10" s="5">
        <v>44348</v>
      </c>
    </row>
    <row r="11" spans="2:9" ht="41.4" x14ac:dyDescent="0.3"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</row>
    <row r="12" spans="2:9" x14ac:dyDescent="0.3">
      <c r="B12" s="6" t="s">
        <v>90</v>
      </c>
      <c r="C12" s="13">
        <v>894</v>
      </c>
      <c r="D12" s="13">
        <v>93520897.329999998</v>
      </c>
      <c r="E12" s="9">
        <v>0.01</v>
      </c>
      <c r="F12" s="8">
        <f>D12*E12</f>
        <v>935208.97329999995</v>
      </c>
    </row>
    <row r="13" spans="2:9" x14ac:dyDescent="0.3">
      <c r="B13" s="6" t="s">
        <v>91</v>
      </c>
      <c r="C13" s="13">
        <v>31</v>
      </c>
      <c r="D13" s="13">
        <v>500814.14</v>
      </c>
      <c r="E13" s="9">
        <v>0.05</v>
      </c>
      <c r="F13" s="8">
        <f>D13*E13</f>
        <v>25040.707000000002</v>
      </c>
      <c r="H13" t="s">
        <v>92</v>
      </c>
      <c r="I13" s="146">
        <f>D14+D15+D16</f>
        <v>31901372.609999999</v>
      </c>
    </row>
    <row r="14" spans="2:9" x14ac:dyDescent="0.3">
      <c r="B14" s="6" t="s">
        <v>93</v>
      </c>
      <c r="C14" s="13">
        <v>140</v>
      </c>
      <c r="D14" s="13">
        <v>6989924.0300000003</v>
      </c>
      <c r="E14" s="9">
        <v>0.25</v>
      </c>
      <c r="F14" s="8">
        <f>D14*E14</f>
        <v>1747481.0075000001</v>
      </c>
      <c r="H14" t="s">
        <v>94</v>
      </c>
      <c r="I14" s="147">
        <f>I13/D17</f>
        <v>0.25334014682909756</v>
      </c>
    </row>
    <row r="15" spans="2:9" x14ac:dyDescent="0.3">
      <c r="B15" s="6" t="s">
        <v>95</v>
      </c>
      <c r="C15" s="13">
        <v>89</v>
      </c>
      <c r="D15" s="13">
        <v>4909925.96</v>
      </c>
      <c r="E15" s="9">
        <v>0.5</v>
      </c>
      <c r="F15" s="8">
        <f>D15*E15</f>
        <v>2454962.98</v>
      </c>
    </row>
    <row r="16" spans="2:9" x14ac:dyDescent="0.3">
      <c r="B16" s="6" t="s">
        <v>96</v>
      </c>
      <c r="C16" s="13">
        <v>395</v>
      </c>
      <c r="D16" s="13">
        <v>20001522.620000001</v>
      </c>
      <c r="E16" s="9">
        <v>1</v>
      </c>
      <c r="F16" s="8">
        <f>D16*E16</f>
        <v>20001522.620000001</v>
      </c>
    </row>
    <row r="17" spans="2:9" x14ac:dyDescent="0.3">
      <c r="B17" s="7" t="s">
        <v>97</v>
      </c>
      <c r="C17" s="8">
        <f>SUM(C12:C16)</f>
        <v>1549</v>
      </c>
      <c r="D17" s="8">
        <f>SUM(D12:D16)</f>
        <v>125923084.08</v>
      </c>
      <c r="E17" s="8">
        <v>1.81</v>
      </c>
      <c r="F17" s="8">
        <f>SUM(F12:F16)</f>
        <v>25164216.287799999</v>
      </c>
    </row>
    <row r="19" spans="2:9" x14ac:dyDescent="0.3">
      <c r="D19" s="5">
        <v>44440</v>
      </c>
    </row>
    <row r="20" spans="2:9" ht="41.4" x14ac:dyDescent="0.3"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</row>
    <row r="21" spans="2:9" x14ac:dyDescent="0.3">
      <c r="B21" s="6" t="s">
        <v>90</v>
      </c>
      <c r="C21" s="13">
        <v>913</v>
      </c>
      <c r="D21" s="13">
        <v>90842702.239999995</v>
      </c>
      <c r="E21" s="9">
        <v>0.01</v>
      </c>
      <c r="F21" s="8">
        <f>D21*E21</f>
        <v>908427.02240000002</v>
      </c>
    </row>
    <row r="22" spans="2:9" x14ac:dyDescent="0.3">
      <c r="B22" s="6" t="s">
        <v>91</v>
      </c>
      <c r="C22" s="13">
        <v>40</v>
      </c>
      <c r="D22" s="13">
        <v>1213493.8899999999</v>
      </c>
      <c r="E22" s="9">
        <v>0.05</v>
      </c>
      <c r="F22" s="8">
        <f>D22*E22</f>
        <v>60674.694499999998</v>
      </c>
      <c r="H22" t="s">
        <v>92</v>
      </c>
      <c r="I22" s="146">
        <f>D23+D24+D25</f>
        <v>30927100.579999998</v>
      </c>
    </row>
    <row r="23" spans="2:9" x14ac:dyDescent="0.3">
      <c r="B23" s="6" t="s">
        <v>93</v>
      </c>
      <c r="C23" s="13">
        <v>101</v>
      </c>
      <c r="D23" s="13">
        <v>4066892.86</v>
      </c>
      <c r="E23" s="9">
        <v>0.25</v>
      </c>
      <c r="F23" s="8">
        <f>D23*E23</f>
        <v>1016723.215</v>
      </c>
      <c r="H23" t="s">
        <v>94</v>
      </c>
      <c r="I23" s="147">
        <f>I22/D26</f>
        <v>0.25147399205704707</v>
      </c>
    </row>
    <row r="24" spans="2:9" x14ac:dyDescent="0.3">
      <c r="B24" s="6" t="s">
        <v>95</v>
      </c>
      <c r="C24" s="13">
        <v>88</v>
      </c>
      <c r="D24" s="13">
        <v>6144872.9900000002</v>
      </c>
      <c r="E24" s="9">
        <v>0.5</v>
      </c>
      <c r="F24" s="8">
        <f>D24*E24</f>
        <v>3072436.4950000001</v>
      </c>
    </row>
    <row r="25" spans="2:9" x14ac:dyDescent="0.3">
      <c r="B25" s="6" t="s">
        <v>96</v>
      </c>
      <c r="C25" s="13">
        <v>411</v>
      </c>
      <c r="D25" s="13">
        <v>20715334.73</v>
      </c>
      <c r="E25" s="9">
        <v>1</v>
      </c>
      <c r="F25" s="8">
        <f>D25*E25</f>
        <v>20715334.73</v>
      </c>
    </row>
    <row r="26" spans="2:9" x14ac:dyDescent="0.3">
      <c r="B26" s="7" t="s">
        <v>97</v>
      </c>
      <c r="C26" s="8">
        <f>SUM(C21:C25)</f>
        <v>1553</v>
      </c>
      <c r="D26" s="8">
        <f>SUM(D21:D25)</f>
        <v>122983296.70999999</v>
      </c>
      <c r="E26" s="8">
        <v>1.81</v>
      </c>
      <c r="F26" s="8">
        <f>SUM(F21:F25)</f>
        <v>25773596.1569</v>
      </c>
    </row>
    <row r="28" spans="2:9" x14ac:dyDescent="0.3">
      <c r="D28" s="5">
        <v>44531</v>
      </c>
    </row>
    <row r="29" spans="2:9" ht="41.4" x14ac:dyDescent="0.3"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</row>
    <row r="30" spans="2:9" x14ac:dyDescent="0.3">
      <c r="B30" s="6" t="s">
        <v>90</v>
      </c>
      <c r="C30" s="13">
        <v>854</v>
      </c>
      <c r="D30" s="13">
        <v>95533116.680000007</v>
      </c>
      <c r="E30" s="9">
        <v>0.01</v>
      </c>
      <c r="F30" s="8">
        <f>D30*E30</f>
        <v>955331.16680000012</v>
      </c>
    </row>
    <row r="31" spans="2:9" x14ac:dyDescent="0.3">
      <c r="B31" s="6" t="s">
        <v>91</v>
      </c>
      <c r="C31" s="13">
        <v>52</v>
      </c>
      <c r="D31" s="13">
        <v>2068944.89</v>
      </c>
      <c r="E31" s="9">
        <v>0.05</v>
      </c>
      <c r="F31" s="8">
        <f>D31*E31</f>
        <v>103447.2445</v>
      </c>
      <c r="H31" t="s">
        <v>92</v>
      </c>
      <c r="I31" s="146">
        <f>D32+D33+D34</f>
        <v>25363826.710000001</v>
      </c>
    </row>
    <row r="32" spans="2:9" x14ac:dyDescent="0.3">
      <c r="B32" s="6" t="s">
        <v>93</v>
      </c>
      <c r="C32" s="13">
        <v>95</v>
      </c>
      <c r="D32" s="13">
        <v>3139897.01</v>
      </c>
      <c r="E32" s="9">
        <v>0.25</v>
      </c>
      <c r="F32" s="8">
        <f>D32*E32</f>
        <v>784974.25249999994</v>
      </c>
      <c r="H32" t="s">
        <v>94</v>
      </c>
      <c r="I32" s="147">
        <f>I31/D35</f>
        <v>0.2062671775463874</v>
      </c>
    </row>
    <row r="33" spans="2:8" x14ac:dyDescent="0.3">
      <c r="B33" s="6" t="s">
        <v>95</v>
      </c>
      <c r="C33" s="13">
        <v>71</v>
      </c>
      <c r="D33" s="13">
        <v>4203313.95</v>
      </c>
      <c r="E33" s="9">
        <v>0.5</v>
      </c>
      <c r="F33" s="8">
        <f>D33*E33</f>
        <v>2101656.9750000001</v>
      </c>
    </row>
    <row r="34" spans="2:8" x14ac:dyDescent="0.3">
      <c r="B34" s="6" t="s">
        <v>96</v>
      </c>
      <c r="C34" s="13">
        <v>354</v>
      </c>
      <c r="D34" s="13">
        <v>18020615.75</v>
      </c>
      <c r="E34" s="9">
        <v>1</v>
      </c>
      <c r="F34" s="8">
        <f>D34*E34</f>
        <v>18020615.75</v>
      </c>
    </row>
    <row r="35" spans="2:8" x14ac:dyDescent="0.3">
      <c r="B35" s="7" t="s">
        <v>97</v>
      </c>
      <c r="C35" s="8">
        <f>SUM(C30:C34)</f>
        <v>1426</v>
      </c>
      <c r="D35" s="8">
        <f>SUM(D30:D34)</f>
        <v>122965888.28000002</v>
      </c>
      <c r="E35" s="8">
        <v>1.81</v>
      </c>
      <c r="F35" s="8">
        <f>SUM(F30:F34)</f>
        <v>21966025.388799999</v>
      </c>
    </row>
    <row r="38" spans="2:8" x14ac:dyDescent="0.3">
      <c r="D38" s="5" t="s">
        <v>2</v>
      </c>
    </row>
    <row r="39" spans="2:8" ht="49.5" customHeight="1" x14ac:dyDescent="0.3"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</row>
    <row r="40" spans="2:8" x14ac:dyDescent="0.3">
      <c r="B40" s="6" t="s">
        <v>90</v>
      </c>
      <c r="C40" s="19">
        <v>854</v>
      </c>
      <c r="D40" s="24">
        <v>95533117</v>
      </c>
      <c r="E40" s="9">
        <v>0.01</v>
      </c>
      <c r="F40" s="8">
        <f>D40*E40</f>
        <v>955331.17</v>
      </c>
    </row>
    <row r="41" spans="2:8" x14ac:dyDescent="0.3">
      <c r="B41" s="6" t="s">
        <v>91</v>
      </c>
      <c r="C41" s="19">
        <v>52</v>
      </c>
      <c r="D41" s="24">
        <v>2068945</v>
      </c>
      <c r="E41" s="9">
        <v>0.05</v>
      </c>
      <c r="F41" s="8">
        <f>D41*E41</f>
        <v>103447.25</v>
      </c>
      <c r="H41" s="99"/>
    </row>
    <row r="42" spans="2:8" x14ac:dyDescent="0.3">
      <c r="B42" s="6" t="s">
        <v>93</v>
      </c>
      <c r="C42" s="19">
        <v>95</v>
      </c>
      <c r="D42" s="24">
        <v>3139897</v>
      </c>
      <c r="E42" s="9">
        <v>0.25</v>
      </c>
      <c r="F42" s="8">
        <f>D42*E42</f>
        <v>784974.25</v>
      </c>
    </row>
    <row r="43" spans="2:8" x14ac:dyDescent="0.3">
      <c r="B43" s="6" t="s">
        <v>95</v>
      </c>
      <c r="C43" s="19">
        <v>71</v>
      </c>
      <c r="D43" s="24">
        <v>4203314</v>
      </c>
      <c r="E43" s="9">
        <v>0.5</v>
      </c>
      <c r="F43" s="8">
        <f>D43*E43</f>
        <v>2101657</v>
      </c>
    </row>
    <row r="44" spans="2:8" x14ac:dyDescent="0.3">
      <c r="B44" s="6" t="s">
        <v>96</v>
      </c>
      <c r="C44" s="19">
        <v>354</v>
      </c>
      <c r="D44" s="24">
        <v>18020616</v>
      </c>
      <c r="E44" s="9">
        <v>1</v>
      </c>
      <c r="F44" s="8">
        <f>D44*E44</f>
        <v>18020616</v>
      </c>
    </row>
    <row r="45" spans="2:8" x14ac:dyDescent="0.3">
      <c r="B45" s="7" t="s">
        <v>97</v>
      </c>
      <c r="C45" s="8">
        <f>SUM(C40:C44)</f>
        <v>1426</v>
      </c>
      <c r="D45" s="8">
        <f>SUM(D40:D44)</f>
        <v>122965889</v>
      </c>
      <c r="E45" s="8">
        <v>1.81</v>
      </c>
      <c r="F45" s="8">
        <f>SUM(F40:F44)</f>
        <v>21966025.670000002</v>
      </c>
    </row>
    <row r="47" spans="2:8" x14ac:dyDescent="0.3">
      <c r="D47" s="5">
        <v>44621</v>
      </c>
    </row>
    <row r="48" spans="2:8" ht="41.4" x14ac:dyDescent="0.3"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</row>
    <row r="49" spans="2:12" x14ac:dyDescent="0.3">
      <c r="B49" s="6" t="s">
        <v>90</v>
      </c>
      <c r="C49" s="235">
        <v>827</v>
      </c>
      <c r="D49" s="235">
        <v>95309548.659999996</v>
      </c>
      <c r="E49" s="9">
        <v>0.01</v>
      </c>
      <c r="F49" s="8">
        <f>D49*E49</f>
        <v>953095.48659999995</v>
      </c>
    </row>
    <row r="50" spans="2:12" x14ac:dyDescent="0.3">
      <c r="B50" s="6" t="s">
        <v>91</v>
      </c>
      <c r="C50" s="235">
        <v>63</v>
      </c>
      <c r="D50" s="235">
        <v>1185259.45</v>
      </c>
      <c r="E50" s="9">
        <v>0.05</v>
      </c>
      <c r="F50" s="8">
        <f>D50*E50</f>
        <v>59262.972500000003</v>
      </c>
      <c r="H50" s="234"/>
      <c r="I50" s="234"/>
      <c r="J50" s="234"/>
      <c r="K50" s="234"/>
      <c r="L50" s="234"/>
    </row>
    <row r="51" spans="2:12" x14ac:dyDescent="0.3">
      <c r="B51" s="6" t="s">
        <v>93</v>
      </c>
      <c r="C51" s="235">
        <v>143</v>
      </c>
      <c r="D51" s="235">
        <v>8549164.1999999993</v>
      </c>
      <c r="E51" s="9">
        <v>0.25</v>
      </c>
      <c r="F51" s="8">
        <f>D51*E51</f>
        <v>2137291.0499999998</v>
      </c>
      <c r="H51" s="234"/>
      <c r="I51" s="234"/>
      <c r="J51" s="234"/>
      <c r="K51" s="234"/>
      <c r="L51" s="234"/>
    </row>
    <row r="52" spans="2:12" x14ac:dyDescent="0.3">
      <c r="B52" s="6" t="s">
        <v>95</v>
      </c>
      <c r="C52" s="235">
        <v>71</v>
      </c>
      <c r="D52" s="235">
        <v>2697519.76</v>
      </c>
      <c r="E52" s="9">
        <v>0.5</v>
      </c>
      <c r="F52" s="8">
        <f>D52*E52</f>
        <v>1348759.88</v>
      </c>
    </row>
    <row r="53" spans="2:12" x14ac:dyDescent="0.3">
      <c r="B53" s="6" t="s">
        <v>96</v>
      </c>
      <c r="C53" s="235">
        <v>374</v>
      </c>
      <c r="D53" s="235">
        <v>19683301.190000001</v>
      </c>
      <c r="E53" s="9">
        <v>1</v>
      </c>
      <c r="F53" s="8">
        <f>D53*E53</f>
        <v>19683301.190000001</v>
      </c>
    </row>
    <row r="54" spans="2:12" x14ac:dyDescent="0.3">
      <c r="B54" s="7" t="s">
        <v>97</v>
      </c>
      <c r="C54" s="8">
        <f>SUM(C49:C53)</f>
        <v>1478</v>
      </c>
      <c r="D54" s="8">
        <f>SUM(D49:D53)</f>
        <v>127424793.26000001</v>
      </c>
      <c r="E54" s="8">
        <f>SUM(E49:E53)</f>
        <v>1.81</v>
      </c>
      <c r="F54" s="8">
        <f>SUM(F49:F53)</f>
        <v>24181710.579100002</v>
      </c>
    </row>
    <row r="56" spans="2:12" x14ac:dyDescent="0.3">
      <c r="D56" s="5">
        <v>44713</v>
      </c>
    </row>
    <row r="57" spans="2:12" ht="41.4" x14ac:dyDescent="0.3"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</row>
    <row r="58" spans="2:12" x14ac:dyDescent="0.3">
      <c r="B58" s="6" t="s">
        <v>90</v>
      </c>
      <c r="C58" s="235">
        <v>897</v>
      </c>
      <c r="D58" s="235">
        <v>98409706.640000001</v>
      </c>
      <c r="E58" s="9">
        <v>0.01</v>
      </c>
      <c r="F58" s="8">
        <f>D58*E58</f>
        <v>984097.06640000001</v>
      </c>
    </row>
    <row r="59" spans="2:12" x14ac:dyDescent="0.3">
      <c r="B59" s="6" t="s">
        <v>91</v>
      </c>
      <c r="C59" s="235">
        <v>25</v>
      </c>
      <c r="D59" s="235">
        <v>565955.27</v>
      </c>
      <c r="E59" s="9">
        <v>0.05</v>
      </c>
      <c r="F59" s="8">
        <f>D59*E59</f>
        <v>28297.763500000001</v>
      </c>
    </row>
    <row r="60" spans="2:12" x14ac:dyDescent="0.3">
      <c r="B60" s="6" t="s">
        <v>93</v>
      </c>
      <c r="C60" s="235">
        <v>153</v>
      </c>
      <c r="D60" s="235">
        <v>7029852.5700000003</v>
      </c>
      <c r="E60" s="9">
        <v>0.25</v>
      </c>
      <c r="F60" s="8">
        <f>D60*E60</f>
        <v>1757463.1425000001</v>
      </c>
    </row>
    <row r="61" spans="2:12" x14ac:dyDescent="0.3">
      <c r="B61" s="6" t="s">
        <v>95</v>
      </c>
      <c r="C61" s="235">
        <v>84</v>
      </c>
      <c r="D61" s="235">
        <v>3387977.11</v>
      </c>
      <c r="E61" s="9">
        <v>0.5</v>
      </c>
      <c r="F61" s="8">
        <f>D61*E61</f>
        <v>1693988.5549999999</v>
      </c>
    </row>
    <row r="62" spans="2:12" x14ac:dyDescent="0.3">
      <c r="B62" s="6" t="s">
        <v>96</v>
      </c>
      <c r="C62" s="235">
        <v>368</v>
      </c>
      <c r="D62" s="235">
        <v>19008785.800000001</v>
      </c>
      <c r="E62" s="9">
        <v>1</v>
      </c>
      <c r="F62" s="8">
        <f>D62*E62</f>
        <v>19008785.800000001</v>
      </c>
    </row>
    <row r="63" spans="2:12" x14ac:dyDescent="0.3">
      <c r="B63" s="7" t="s">
        <v>97</v>
      </c>
      <c r="C63" s="8">
        <f>SUM(C58:C62)</f>
        <v>1527</v>
      </c>
      <c r="D63" s="8">
        <f>SUM(D58:D62)</f>
        <v>128402277.38999999</v>
      </c>
      <c r="E63" s="8">
        <v>1.81</v>
      </c>
      <c r="F63" s="8">
        <f>SUM(F58:F62)</f>
        <v>23472632.327399999</v>
      </c>
    </row>
    <row r="65" spans="2:6" x14ac:dyDescent="0.3">
      <c r="D65" s="5">
        <v>44805</v>
      </c>
    </row>
    <row r="66" spans="2:6" ht="41.4" x14ac:dyDescent="0.3"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</row>
    <row r="67" spans="2:6" x14ac:dyDescent="0.3">
      <c r="B67" s="6" t="s">
        <v>90</v>
      </c>
      <c r="C67" s="235">
        <v>895</v>
      </c>
      <c r="D67" s="235">
        <v>103521634.18000001</v>
      </c>
      <c r="E67" s="9">
        <v>0.01</v>
      </c>
      <c r="F67" s="8">
        <f>D67*E67</f>
        <v>1035216.3418000001</v>
      </c>
    </row>
    <row r="68" spans="2:6" x14ac:dyDescent="0.3">
      <c r="B68" s="6" t="s">
        <v>91</v>
      </c>
      <c r="C68" s="235">
        <v>34</v>
      </c>
      <c r="D68" s="235">
        <v>1155860.8700000001</v>
      </c>
      <c r="E68" s="9">
        <v>0.05</v>
      </c>
      <c r="F68" s="8">
        <f>D68*E68</f>
        <v>57793.043500000007</v>
      </c>
    </row>
    <row r="69" spans="2:6" x14ac:dyDescent="0.3">
      <c r="B69" s="6" t="s">
        <v>93</v>
      </c>
      <c r="C69" s="235">
        <v>86</v>
      </c>
      <c r="D69" s="235">
        <v>2680978.56</v>
      </c>
      <c r="E69" s="9">
        <v>0.25</v>
      </c>
      <c r="F69" s="8">
        <f>D69*E69</f>
        <v>670244.64</v>
      </c>
    </row>
    <row r="70" spans="2:6" x14ac:dyDescent="0.3">
      <c r="B70" s="6" t="s">
        <v>95</v>
      </c>
      <c r="C70" s="235">
        <v>97</v>
      </c>
      <c r="D70" s="235">
        <v>4967751.6100000003</v>
      </c>
      <c r="E70" s="9">
        <v>0.5</v>
      </c>
      <c r="F70" s="8">
        <f>D70*E70</f>
        <v>2483875.8050000002</v>
      </c>
    </row>
    <row r="71" spans="2:6" x14ac:dyDescent="0.3">
      <c r="B71" s="6" t="s">
        <v>96</v>
      </c>
      <c r="C71" s="235">
        <v>379</v>
      </c>
      <c r="D71" s="235">
        <v>18512499.399999999</v>
      </c>
      <c r="E71" s="9">
        <v>1</v>
      </c>
      <c r="F71" s="8">
        <f>D71*E71</f>
        <v>18512499.399999999</v>
      </c>
    </row>
    <row r="72" spans="2:6" x14ac:dyDescent="0.3">
      <c r="B72" s="7" t="s">
        <v>97</v>
      </c>
      <c r="C72" s="8">
        <f>SUM(C67:C71)</f>
        <v>1491</v>
      </c>
      <c r="D72" s="8">
        <f>SUM(D67:D71)</f>
        <v>130838724.62</v>
      </c>
      <c r="E72" s="8">
        <v>1.81</v>
      </c>
      <c r="F72" s="8">
        <f>SUM(F67:F71)</f>
        <v>22759629.230299998</v>
      </c>
    </row>
    <row r="74" spans="2:6" x14ac:dyDescent="0.3">
      <c r="D74" s="5">
        <v>44896</v>
      </c>
    </row>
    <row r="75" spans="2:6" ht="41.4" x14ac:dyDescent="0.3"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</row>
    <row r="76" spans="2:6" x14ac:dyDescent="0.3">
      <c r="B76" s="6" t="s">
        <v>90</v>
      </c>
      <c r="C76" s="13">
        <v>854</v>
      </c>
      <c r="D76" s="13">
        <v>97060405.159999996</v>
      </c>
      <c r="E76" s="9">
        <v>0.01</v>
      </c>
      <c r="F76" s="8">
        <f>D76*E76</f>
        <v>970604.05160000001</v>
      </c>
    </row>
    <row r="77" spans="2:6" x14ac:dyDescent="0.3">
      <c r="B77" s="6" t="s">
        <v>91</v>
      </c>
      <c r="C77" s="13">
        <v>52</v>
      </c>
      <c r="D77" s="13">
        <v>1808779.05</v>
      </c>
      <c r="E77" s="9">
        <v>0.05</v>
      </c>
      <c r="F77" s="8">
        <f>D77*E77</f>
        <v>90438.952500000014</v>
      </c>
    </row>
    <row r="78" spans="2:6" x14ac:dyDescent="0.3">
      <c r="B78" s="6" t="s">
        <v>93</v>
      </c>
      <c r="C78" s="13">
        <v>95</v>
      </c>
      <c r="D78" s="13">
        <v>4471730.8499999996</v>
      </c>
      <c r="E78" s="9">
        <v>0.25</v>
      </c>
      <c r="F78" s="8">
        <f>D78*E78</f>
        <v>1117932.7124999999</v>
      </c>
    </row>
    <row r="79" spans="2:6" x14ac:dyDescent="0.3">
      <c r="B79" s="6" t="s">
        <v>95</v>
      </c>
      <c r="C79" s="13">
        <v>71</v>
      </c>
      <c r="D79" s="13">
        <v>3215892.46</v>
      </c>
      <c r="E79" s="9">
        <v>0.5</v>
      </c>
      <c r="F79" s="8">
        <f>D79*E79</f>
        <v>1607946.23</v>
      </c>
    </row>
    <row r="80" spans="2:6" x14ac:dyDescent="0.3">
      <c r="B80" s="6" t="s">
        <v>96</v>
      </c>
      <c r="C80" s="13">
        <v>354</v>
      </c>
      <c r="D80" s="13">
        <v>17087908.02</v>
      </c>
      <c r="E80" s="9">
        <v>1</v>
      </c>
      <c r="F80" s="8">
        <f>D80*E80</f>
        <v>17087908.02</v>
      </c>
    </row>
    <row r="81" spans="2:6" x14ac:dyDescent="0.3">
      <c r="B81" s="7" t="s">
        <v>97</v>
      </c>
      <c r="C81" s="8">
        <f>SUM(C76:C80)</f>
        <v>1426</v>
      </c>
      <c r="D81" s="8">
        <f>SUM(D76:D80)</f>
        <v>123644715.53999998</v>
      </c>
      <c r="E81" s="8">
        <v>1.81</v>
      </c>
      <c r="F81" s="8">
        <f>SUM(F76:F80)</f>
        <v>20874829.966600001</v>
      </c>
    </row>
    <row r="84" spans="2:6" x14ac:dyDescent="0.3">
      <c r="D84" s="5" t="s">
        <v>337</v>
      </c>
    </row>
    <row r="85" spans="2:6" ht="41.4" x14ac:dyDescent="0.3"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</row>
    <row r="86" spans="2:6" x14ac:dyDescent="0.3">
      <c r="B86" s="6" t="s">
        <v>90</v>
      </c>
      <c r="C86" s="13">
        <v>854</v>
      </c>
      <c r="D86" s="13">
        <v>97060405.159999996</v>
      </c>
      <c r="E86" s="9">
        <v>0.01</v>
      </c>
      <c r="F86" s="8">
        <f>D86*E86</f>
        <v>970604.05160000001</v>
      </c>
    </row>
    <row r="87" spans="2:6" x14ac:dyDescent="0.3">
      <c r="B87" s="6" t="s">
        <v>91</v>
      </c>
      <c r="C87" s="13">
        <v>52</v>
      </c>
      <c r="D87" s="13">
        <v>1808779.05</v>
      </c>
      <c r="E87" s="9">
        <v>0.05</v>
      </c>
      <c r="F87" s="8">
        <f>D87*E87</f>
        <v>90438.952500000014</v>
      </c>
    </row>
    <row r="88" spans="2:6" x14ac:dyDescent="0.3">
      <c r="B88" s="6" t="s">
        <v>93</v>
      </c>
      <c r="C88" s="13">
        <v>95</v>
      </c>
      <c r="D88" s="13">
        <v>4471730.8499999996</v>
      </c>
      <c r="E88" s="9">
        <v>0.25</v>
      </c>
      <c r="F88" s="8">
        <f>D88*E88</f>
        <v>1117932.7124999999</v>
      </c>
    </row>
    <row r="89" spans="2:6" x14ac:dyDescent="0.3">
      <c r="B89" s="6" t="s">
        <v>95</v>
      </c>
      <c r="C89" s="13">
        <v>71</v>
      </c>
      <c r="D89" s="13">
        <v>3215892.46</v>
      </c>
      <c r="E89" s="9">
        <v>0.5</v>
      </c>
      <c r="F89" s="8">
        <f>D89*E89</f>
        <v>1607946.23</v>
      </c>
    </row>
    <row r="90" spans="2:6" x14ac:dyDescent="0.3">
      <c r="B90" s="6" t="s">
        <v>96</v>
      </c>
      <c r="C90" s="13">
        <v>354</v>
      </c>
      <c r="D90" s="13">
        <v>17087908.02</v>
      </c>
      <c r="E90" s="9">
        <v>1</v>
      </c>
      <c r="F90" s="8">
        <f>D90*E90</f>
        <v>17087908.02</v>
      </c>
    </row>
    <row r="91" spans="2:6" x14ac:dyDescent="0.3">
      <c r="B91" s="7" t="s">
        <v>97</v>
      </c>
      <c r="C91" s="8">
        <f>SUM(C86:C90)</f>
        <v>1426</v>
      </c>
      <c r="D91" s="8">
        <f>SUM(D86:D90)</f>
        <v>123644715.53999998</v>
      </c>
      <c r="E91" s="8">
        <v>1.81</v>
      </c>
      <c r="F91" s="8">
        <f>SUM(F86:F90)</f>
        <v>20874829.966600001</v>
      </c>
    </row>
  </sheetData>
  <dataValidations count="2">
    <dataValidation type="decimal" showErrorMessage="1" errorTitle="Error Msg" error="Enter a NO" sqref="C3:C7" xr:uid="{00000000-0002-0000-0200-000000000000}">
      <formula1>0</formula1>
      <formula2>999999999999</formula2>
    </dataValidation>
    <dataValidation type="decimal" showErrorMessage="1" errorTitle="Error Msg" error="Enter a number" sqref="D3:D7" xr:uid="{00000000-0002-0000-0200-000001000000}">
      <formula1>0</formula1>
      <formula2>999999999999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Y41"/>
  <sheetViews>
    <sheetView tabSelected="1" workbookViewId="0">
      <pane xSplit="3" topLeftCell="AF1" activePane="topRight" state="frozen"/>
      <selection pane="topRight" activeCell="AQ14" sqref="AQ14"/>
    </sheetView>
  </sheetViews>
  <sheetFormatPr defaultRowHeight="14.4" x14ac:dyDescent="0.3"/>
  <cols>
    <col min="1" max="1" width="20.44140625" customWidth="1"/>
    <col min="2" max="2" width="25.33203125" customWidth="1"/>
    <col min="3" max="3" width="10.5546875" bestFit="1" customWidth="1"/>
    <col min="4" max="10" width="12.5546875" customWidth="1"/>
    <col min="11" max="12" width="8" customWidth="1"/>
    <col min="13" max="13" width="11.6640625" customWidth="1"/>
    <col min="14" max="14" width="11.5546875" customWidth="1"/>
    <col min="15" max="15" width="8" customWidth="1"/>
    <col min="16" max="16" width="10.88671875" customWidth="1"/>
    <col min="17" max="17" width="9.6640625" customWidth="1"/>
    <col min="18" max="18" width="12.44140625" customWidth="1"/>
    <col min="19" max="20" width="9.5546875" bestFit="1" customWidth="1"/>
    <col min="21" max="21" width="13.77734375" bestFit="1" customWidth="1"/>
    <col min="22" max="22" width="9.5546875" bestFit="1" customWidth="1"/>
    <col min="24" max="24" width="13.77734375" bestFit="1" customWidth="1"/>
    <col min="27" max="27" width="13.77734375" bestFit="1" customWidth="1"/>
    <col min="30" max="30" width="13.77734375" bestFit="1" customWidth="1"/>
    <col min="31" max="31" width="12.109375" bestFit="1" customWidth="1"/>
  </cols>
  <sheetData>
    <row r="1" spans="1:51" ht="18.600000000000001" thickBot="1" x14ac:dyDescent="0.4">
      <c r="A1" s="247" t="s">
        <v>338</v>
      </c>
      <c r="B1" s="247"/>
    </row>
    <row r="2" spans="1:51" x14ac:dyDescent="0.3">
      <c r="A2" s="43"/>
      <c r="B2" s="44"/>
      <c r="C2" s="44"/>
      <c r="D2" s="45" t="s">
        <v>0</v>
      </c>
      <c r="E2" s="45" t="s">
        <v>98</v>
      </c>
      <c r="F2" s="138">
        <v>44198</v>
      </c>
      <c r="G2" s="138">
        <v>44230</v>
      </c>
      <c r="H2" s="138">
        <v>44259</v>
      </c>
      <c r="I2" s="138">
        <v>44291</v>
      </c>
      <c r="J2" s="138">
        <v>44322</v>
      </c>
      <c r="K2" s="138">
        <v>44354</v>
      </c>
      <c r="L2" s="138">
        <v>44385</v>
      </c>
      <c r="M2" s="138">
        <v>44417</v>
      </c>
      <c r="N2" s="138">
        <v>44449</v>
      </c>
      <c r="O2" s="138">
        <v>44480</v>
      </c>
      <c r="P2" s="138">
        <v>44512</v>
      </c>
      <c r="Q2" s="138">
        <v>44543</v>
      </c>
      <c r="R2" s="138" t="s">
        <v>2</v>
      </c>
      <c r="S2" s="138">
        <v>44590</v>
      </c>
      <c r="T2" s="138">
        <v>44595</v>
      </c>
      <c r="U2" s="138">
        <v>44651</v>
      </c>
      <c r="V2" s="138">
        <v>44652</v>
      </c>
      <c r="W2" s="138">
        <v>44683</v>
      </c>
      <c r="X2" s="138">
        <v>44715</v>
      </c>
      <c r="Y2" s="138">
        <v>44746</v>
      </c>
      <c r="Z2" s="138">
        <v>44778</v>
      </c>
      <c r="AA2" s="138">
        <v>44810</v>
      </c>
      <c r="AB2" s="138">
        <v>44841</v>
      </c>
      <c r="AC2" s="138">
        <v>44873</v>
      </c>
      <c r="AD2" s="138">
        <v>44904</v>
      </c>
      <c r="AE2" s="138" t="s">
        <v>337</v>
      </c>
      <c r="AF2" s="138">
        <v>44927</v>
      </c>
      <c r="AG2" s="138">
        <v>44958</v>
      </c>
      <c r="AH2" s="138">
        <v>44986</v>
      </c>
      <c r="AI2" s="138">
        <v>45017</v>
      </c>
      <c r="AJ2" s="138">
        <v>45047</v>
      </c>
      <c r="AK2" s="138">
        <v>45078</v>
      </c>
      <c r="AL2" s="138">
        <v>45108</v>
      </c>
      <c r="AM2" s="138">
        <v>45139</v>
      </c>
      <c r="AN2" s="138">
        <v>45170</v>
      </c>
      <c r="AO2" s="138">
        <v>45200</v>
      </c>
      <c r="AP2" s="138">
        <v>45231</v>
      </c>
      <c r="AQ2" s="138">
        <v>45261</v>
      </c>
      <c r="AR2" s="138">
        <v>45292</v>
      </c>
    </row>
    <row r="3" spans="1:51" ht="15" x14ac:dyDescent="0.3">
      <c r="A3" s="248" t="s">
        <v>99</v>
      </c>
      <c r="B3" s="3" t="s">
        <v>100</v>
      </c>
      <c r="C3" s="16" t="s">
        <v>101</v>
      </c>
      <c r="D3" s="59">
        <f>(('Evolutive SFP'!B39+'Evolutive SFP'!B40+'Evolutive SFP'!B41+'Evolutive SFP'!B42+'Evolutive SFP'!B43+'Evolutive SFP'!B44)-'Evolutive SFP'!B10)/1000000</f>
        <v>15.259572</v>
      </c>
      <c r="E3" s="59">
        <f>(('Evolutive SFP'!C39+'Evolutive SFP'!C40+'Evolutive SFP'!C41+'Evolutive SFP'!C42+'Evolutive SFP'!C43+'Evolutive SFP'!C44)-'Evolutive SFP'!C10)/1000000</f>
        <v>42.12668</v>
      </c>
      <c r="F3" s="59">
        <f>(('Evolutive SFP'!D39+'Evolutive SFP'!D40+'Evolutive SFP'!D41+'Evolutive SFP'!D42+'Evolutive SFP'!D43+'Evolutive SFP'!D44)-'Evolutive SFP'!D10)/1000000</f>
        <v>43.730082250000002</v>
      </c>
      <c r="G3" s="59">
        <f>(('Evolutive SFP'!E39+'Evolutive SFP'!E40+'Evolutive SFP'!E41+'Evolutive SFP'!E42+'Evolutive SFP'!E43+'Evolutive SFP'!E44)-'Evolutive SFP'!E10)/1000000</f>
        <v>43.113720860000001</v>
      </c>
      <c r="H3" s="59">
        <f>(('Evolutive SFP'!F39+'Evolutive SFP'!F40+'Evolutive SFP'!F41+'Evolutive SFP'!F42+'Evolutive SFP'!F43+'Evolutive SFP'!F44)-'Evolutive SFP'!F10)/1000000</f>
        <v>42.742429059999999</v>
      </c>
      <c r="I3" s="59">
        <f>(('Evolutive SFP'!G39+'Evolutive SFP'!G40+'Evolutive SFP'!G41+'Evolutive SFP'!G42+'Evolutive SFP'!G43+'Evolutive SFP'!G44)-'Evolutive SFP'!G10)/1000000</f>
        <v>44.219941160000005</v>
      </c>
      <c r="J3" s="59">
        <f>(('Evolutive SFP'!H39+'Evolutive SFP'!H40+'Evolutive SFP'!H41+'Evolutive SFP'!H42+'Evolutive SFP'!H43+'Evolutive SFP'!H44)-'Evolutive SFP'!H10)/1000000</f>
        <v>47.136049029999995</v>
      </c>
      <c r="K3" s="59">
        <f>(('Evolutive SFP'!I39+'Evolutive SFP'!I40+'Evolutive SFP'!I41+'Evolutive SFP'!I42+'Evolutive SFP'!I43+'Evolutive SFP'!I44)-'Evolutive SFP'!I10)/1000000</f>
        <v>44.857157860000001</v>
      </c>
      <c r="L3" s="59">
        <f>(('Evolutive SFP'!J39+'Evolutive SFP'!J40+'Evolutive SFP'!J41+'Evolutive SFP'!J42+'Evolutive SFP'!J43+'Evolutive SFP'!J44)-'Evolutive SFP'!J10)/1000000</f>
        <v>45.338099059999998</v>
      </c>
      <c r="M3" s="59">
        <f>(('Evolutive SFP'!K39+'Evolutive SFP'!K40+'Evolutive SFP'!K41+'Evolutive SFP'!K42+'Evolutive SFP'!K43+'Evolutive SFP'!K44)-'Evolutive SFP'!K10)/1000000</f>
        <v>44.79887377</v>
      </c>
      <c r="N3" s="59">
        <f>(('Evolutive SFP'!L39+'Evolutive SFP'!L40+'Evolutive SFP'!L41+'Evolutive SFP'!L42+'Evolutive SFP'!L43+'Evolutive SFP'!L44)-'Evolutive SFP'!L10)/1000000</f>
        <v>45.815270570000003</v>
      </c>
      <c r="O3" s="59">
        <f>(('Evolutive SFP'!M39+'Evolutive SFP'!M40+'Evolutive SFP'!M41+'Evolutive SFP'!M42+'Evolutive SFP'!M43+'Evolutive SFP'!M44)-'Evolutive SFP'!M10)/1000000</f>
        <v>47.515378570000003</v>
      </c>
      <c r="P3" s="59">
        <f>(('Evolutive SFP'!N39+'Evolutive SFP'!N40+'Evolutive SFP'!N41+'Evolutive SFP'!N42+'Evolutive SFP'!N43+'Evolutive SFP'!N44)-'Evolutive SFP'!N10)/1000000</f>
        <v>48.33858137</v>
      </c>
      <c r="Q3" s="59">
        <f>(('Evolutive SFP'!O39+'Evolutive SFP'!O40+'Evolutive SFP'!O41+'Evolutive SFP'!O42+'Evolutive SFP'!O43+'Evolutive SFP'!O44)-'Evolutive SFP'!O10)/1000000</f>
        <v>52.061320770000002</v>
      </c>
      <c r="R3" s="59">
        <f>(('Evolutive SFP'!P39+'Evolutive SFP'!P40+'Evolutive SFP'!P41+'Evolutive SFP'!P42+'Evolutive SFP'!P43+'Evolutive SFP'!P44)-'Evolutive SFP'!P10)/1000000</f>
        <v>46.872897999999999</v>
      </c>
      <c r="S3" s="59">
        <f>(('Evolutive SFP'!Q39+'Evolutive SFP'!Q40+'Evolutive SFP'!Q41+'Evolutive SFP'!Q42+'Evolutive SFP'!Q43+'Evolutive SFP'!Q44)-'Evolutive SFP'!Q10)/1000000</f>
        <v>52.008031779999996</v>
      </c>
      <c r="T3" s="59">
        <f>(('Evolutive SFP'!R39+'Evolutive SFP'!R40+'Evolutive SFP'!R41+'Evolutive SFP'!R42+'Evolutive SFP'!R43+'Evolutive SFP'!R44)-'Evolutive SFP'!R10)/1000000</f>
        <v>52.299167339999997</v>
      </c>
      <c r="U3" s="59">
        <f>(('Evolutive SFP'!S39+'Evolutive SFP'!S40+'Evolutive SFP'!S41+'Evolutive SFP'!S42+'Evolutive SFP'!S43+'Evolutive SFP'!S44)-'Evolutive SFP'!S10)/1000000</f>
        <v>49.255985920000001</v>
      </c>
      <c r="V3" s="59">
        <f>(('Evolutive SFP'!T39+'Evolutive SFP'!T40+'Evolutive SFP'!T41+'Evolutive SFP'!T42+'Evolutive SFP'!T43+'Evolutive SFP'!T44)-'Evolutive SFP'!T10)/1000000</f>
        <v>48.209374079999996</v>
      </c>
      <c r="W3" s="59">
        <f>(('Evolutive SFP'!U39+'Evolutive SFP'!U40+'Evolutive SFP'!U41+'Evolutive SFP'!U42+'Evolutive SFP'!U43+'Evolutive SFP'!U44)-'Evolutive SFP'!U10)/1000000</f>
        <v>49.725531500000002</v>
      </c>
      <c r="X3" s="59">
        <f>(('Evolutive SFP'!V39+'Evolutive SFP'!V40+'Evolutive SFP'!V41+'Evolutive SFP'!V42+'Evolutive SFP'!V43+'Evolutive SFP'!V44)-'Evolutive SFP'!V10)/1000000</f>
        <v>49.500610529999996</v>
      </c>
      <c r="Y3" s="59">
        <f>(('Evolutive SFP'!W39+'Evolutive SFP'!W40+'Evolutive SFP'!W41+'Evolutive SFP'!W42+'Evolutive SFP'!W43+'Evolutive SFP'!W44)-'Evolutive SFP'!W10)/1000000</f>
        <v>53.498984139999997</v>
      </c>
      <c r="Z3" s="59">
        <f>(('Evolutive SFP'!X39+'Evolutive SFP'!X40+'Evolutive SFP'!X41+'Evolutive SFP'!X42+'Evolutive SFP'!X43+'Evolutive SFP'!X44)-'Evolutive SFP'!X10)/1000000</f>
        <v>54.317708129999993</v>
      </c>
      <c r="AA3" s="59">
        <f>(('Evolutive SFP'!Y39+'Evolutive SFP'!Y40+'Evolutive SFP'!Y41+'Evolutive SFP'!Y42+'Evolutive SFP'!Y43+'Evolutive SFP'!Y44)-'Evolutive SFP'!Y10)/1000000</f>
        <v>55.510123239999992</v>
      </c>
      <c r="AB3" s="59">
        <f>(('Evolutive SFP'!Z39+'Evolutive SFP'!Z40+'Evolutive SFP'!Z41+'Evolutive SFP'!Z42+'Evolutive SFP'!Z43+'Evolutive SFP'!Z44)-'Evolutive SFP'!Z10)/1000000</f>
        <v>56.520542140000003</v>
      </c>
      <c r="AC3" s="59">
        <f>(('Evolutive SFP'!AA39+'Evolutive SFP'!AA40+'Evolutive SFP'!AA41+'Evolutive SFP'!AA42+'Evolutive SFP'!AA43+'Evolutive SFP'!AA44)-'Evolutive SFP'!AA10)/1000000</f>
        <v>57.510711590000007</v>
      </c>
      <c r="AD3" s="59">
        <f>(('Evolutive SFP'!AB39+'Evolutive SFP'!AB40+'Evolutive SFP'!AB41+'Evolutive SFP'!AB42+'Evolutive SFP'!AB43+'Evolutive SFP'!AB44)-'Evolutive SFP'!AB10)/1000000</f>
        <v>56.933515810000003</v>
      </c>
      <c r="AE3" s="59">
        <f>(('Evolutive SFP'!AC39+'Evolutive SFP'!AC40+'Evolutive SFP'!AC41+'Evolutive SFP'!AC42+'Evolutive SFP'!AC43+'Evolutive SFP'!AC44)-'Evolutive SFP'!AC10)/1000000</f>
        <v>52.478952999999997</v>
      </c>
      <c r="AF3" s="59">
        <f>(('Evolutive SFP'!AD39+'Evolutive SFP'!AD40+'Evolutive SFP'!AD41+'Evolutive SFP'!AD42+'Evolutive SFP'!AD43+'Evolutive SFP'!AD44)-'Evolutive SFP'!AD10)/1000000</f>
        <v>58.836449730000005</v>
      </c>
      <c r="AG3" s="59">
        <f>(('Evolutive SFP'!AE39+'Evolutive SFP'!AE40+'Evolutive SFP'!AE41+'Evolutive SFP'!AE42+'Evolutive SFP'!AE43+'Evolutive SFP'!AE44)-'Evolutive SFP'!AE10)/1000000</f>
        <v>56.671140289999997</v>
      </c>
      <c r="AH3" s="59">
        <f>(('Evolutive SFP'!AF39+'Evolutive SFP'!AF40+'Evolutive SFP'!AF41+'Evolutive SFP'!AF42+'Evolutive SFP'!AF43+'Evolutive SFP'!AF44)-'Evolutive SFP'!AF10)/1000000</f>
        <v>56.932277790000001</v>
      </c>
      <c r="AI3" s="59">
        <f>(('Evolutive SFP'!AG39+'Evolutive SFP'!AG40+'Evolutive SFP'!AG41+'Evolutive SFP'!AG42+'Evolutive SFP'!AG43+'Evolutive SFP'!AG44)-'Evolutive SFP'!AG10)/1000000</f>
        <v>57.315308639999998</v>
      </c>
      <c r="AJ3" s="59">
        <f>(('Evolutive SFP'!AH39+'Evolutive SFP'!AH40+'Evolutive SFP'!AH41+'Evolutive SFP'!AH42+'Evolutive SFP'!AH43+'Evolutive SFP'!AH44)-'Evolutive SFP'!AH10)/1000000</f>
        <v>57.568313189999998</v>
      </c>
      <c r="AK3" s="59">
        <f>(('Evolutive SFP'!AI39+'Evolutive SFP'!AI40+'Evolutive SFP'!AI41+'Evolutive SFP'!AI42+'Evolutive SFP'!AI43+'Evolutive SFP'!AI44)-'Evolutive SFP'!AI10)/1000000</f>
        <v>0</v>
      </c>
      <c r="AL3" s="59">
        <f>(('Evolutive SFP'!AJ39+'Evolutive SFP'!AJ40+'Evolutive SFP'!AJ41+'Evolutive SFP'!AJ42+'Evolutive SFP'!AJ43+'Evolutive SFP'!AJ44)-'Evolutive SFP'!AJ10)/1000000</f>
        <v>0</v>
      </c>
      <c r="AM3" s="59">
        <f>(('Evolutive SFP'!AK39+'Evolutive SFP'!AK40+'Evolutive SFP'!AK41+'Evolutive SFP'!AK42+'Evolutive SFP'!AK43+'Evolutive SFP'!AK44)-'Evolutive SFP'!AK10)/1000000</f>
        <v>0</v>
      </c>
      <c r="AN3" s="59">
        <f>(('Evolutive SFP'!AL39+'Evolutive SFP'!AL40+'Evolutive SFP'!AL41+'Evolutive SFP'!AL42+'Evolutive SFP'!AL43+'Evolutive SFP'!AL44)-'Evolutive SFP'!AL10)/1000000</f>
        <v>0</v>
      </c>
      <c r="AO3" s="59">
        <f>(('Evolutive SFP'!AM39+'Evolutive SFP'!AM40+'Evolutive SFP'!AM41+'Evolutive SFP'!AM42+'Evolutive SFP'!AM43+'Evolutive SFP'!AM44)-'Evolutive SFP'!AM10)/1000000</f>
        <v>0</v>
      </c>
      <c r="AP3" s="59">
        <f>(('Evolutive SFP'!AN39+'Evolutive SFP'!AN40+'Evolutive SFP'!AN41+'Evolutive SFP'!AN42+'Evolutive SFP'!AN43+'Evolutive SFP'!AN44)-'Evolutive SFP'!AN10)/1000000</f>
        <v>0</v>
      </c>
      <c r="AQ3" s="59">
        <f>(('Evolutive SFP'!AO39+'Evolutive SFP'!AO40+'Evolutive SFP'!AO41+'Evolutive SFP'!AO42+'Evolutive SFP'!AO43+'Evolutive SFP'!AO44)-'Evolutive SFP'!AO10)/1000000</f>
        <v>0</v>
      </c>
      <c r="AR3" s="59">
        <f>(('Evolutive SFP'!AP39+'Evolutive SFP'!AP40+'Evolutive SFP'!AP41+'Evolutive SFP'!AP42+'Evolutive SFP'!AP43+'Evolutive SFP'!AP44)-'Evolutive SFP'!AP10)/1000000</f>
        <v>0</v>
      </c>
      <c r="AS3" s="59">
        <f>(('Evolutive SFP'!AQ39+'Evolutive SFP'!AQ40+'Evolutive SFP'!AQ41+'Evolutive SFP'!AQ42+'Evolutive SFP'!AQ43+'Evolutive SFP'!AQ44)-'Evolutive SFP'!AQ10)/1000000</f>
        <v>0</v>
      </c>
      <c r="AT3" s="59">
        <f>(('Evolutive SFP'!AR39+'Evolutive SFP'!AR40+'Evolutive SFP'!AR41+'Evolutive SFP'!AR42+'Evolutive SFP'!AR43+'Evolutive SFP'!AR44)-'Evolutive SFP'!AR10)/1000000</f>
        <v>0</v>
      </c>
      <c r="AU3" s="59">
        <f>(('Evolutive SFP'!AS39+'Evolutive SFP'!AS40+'Evolutive SFP'!AS41+'Evolutive SFP'!AS42+'Evolutive SFP'!AS43+'Evolutive SFP'!AS44)-'Evolutive SFP'!AS10)/1000000</f>
        <v>0</v>
      </c>
      <c r="AV3" s="59">
        <f>(('Evolutive SFP'!AT39+'Evolutive SFP'!AT40+'Evolutive SFP'!AT41+'Evolutive SFP'!AT42+'Evolutive SFP'!AT43+'Evolutive SFP'!AT44)-'Evolutive SFP'!AT10)/1000000</f>
        <v>0</v>
      </c>
      <c r="AW3" s="59">
        <f>(('Evolutive SFP'!AU39+'Evolutive SFP'!AU40+'Evolutive SFP'!AU41+'Evolutive SFP'!AU42+'Evolutive SFP'!AU43+'Evolutive SFP'!AU44)-'Evolutive SFP'!AU10)/1000000</f>
        <v>0</v>
      </c>
      <c r="AX3" s="59">
        <f>(('Evolutive SFP'!AV39+'Evolutive SFP'!AV40+'Evolutive SFP'!AV41+'Evolutive SFP'!AV42+'Evolutive SFP'!AV43+'Evolutive SFP'!AV44)-'Evolutive SFP'!AV10)/1000000</f>
        <v>0</v>
      </c>
      <c r="AY3" s="59">
        <f>(('Evolutive SFP'!AW39+'Evolutive SFP'!AW40+'Evolutive SFP'!AW41+'Evolutive SFP'!AW42+'Evolutive SFP'!AW43+'Evolutive SFP'!AW44)-'Evolutive SFP'!AW10)/1000000</f>
        <v>0</v>
      </c>
    </row>
    <row r="4" spans="1:51" ht="15" x14ac:dyDescent="0.3">
      <c r="A4" s="248"/>
      <c r="B4" s="3" t="s">
        <v>102</v>
      </c>
      <c r="C4" s="16" t="s">
        <v>103</v>
      </c>
      <c r="D4" s="38">
        <f>D3/(('Evolutive SFP'!B27)/1000000)</f>
        <v>0.10104624267317215</v>
      </c>
      <c r="E4" s="38">
        <f>E3/(('Evolutive SFP'!C27)/1000000)</f>
        <v>0.21456567758491021</v>
      </c>
      <c r="F4" s="38">
        <f>F3/(('Evolutive SFP'!D27)/1000000)</f>
        <v>0.22182445003475704</v>
      </c>
      <c r="G4" s="38">
        <f>G3/(('Evolutive SFP'!E27)/1000000)</f>
        <v>0.22074088364224145</v>
      </c>
      <c r="H4" s="38">
        <f>H3/(('Evolutive SFP'!F27)/1000000)</f>
        <v>0.21948439815739396</v>
      </c>
      <c r="I4" s="38">
        <f>I3/(('Evolutive SFP'!G27)/1000000)</f>
        <v>0.22955196961745514</v>
      </c>
      <c r="J4" s="38">
        <f>J3/(('Evolutive SFP'!H27)/1000000)</f>
        <v>0.24387447993822542</v>
      </c>
      <c r="K4" s="38">
        <f>K3/(('Evolutive SFP'!I27)/1000000)</f>
        <v>0.23419892547988758</v>
      </c>
      <c r="L4" s="38">
        <f>L3/(('Evolutive SFP'!J27)/1000000)</f>
        <v>0.23607428817289788</v>
      </c>
      <c r="M4" s="38">
        <f>M3/(('Evolutive SFP'!K27)/1000000)</f>
        <v>0.23534933884112488</v>
      </c>
      <c r="N4" s="38">
        <f>N3/(('Evolutive SFP'!L27)/1000000)</f>
        <v>0.23897283951134196</v>
      </c>
      <c r="O4" s="38">
        <f>O3/(('Evolutive SFP'!M27)/1000000)</f>
        <v>0.23988885745718339</v>
      </c>
      <c r="P4" s="38">
        <f>P3/(('Evolutive SFP'!N27)/1000000)</f>
        <v>0.23975661826722125</v>
      </c>
      <c r="Q4" s="38">
        <f>Q3/(('Evolutive SFP'!O27)/1000000)</f>
        <v>0.25654279328774188</v>
      </c>
      <c r="R4" s="38">
        <f>R3/(('Evolutive SFP'!P27)/1000000)</f>
        <v>0.23072799188805221</v>
      </c>
      <c r="S4" s="38">
        <f>S3/(('Evolutive SFP'!Q27)/1000000)</f>
        <v>0.25488507593258014</v>
      </c>
      <c r="T4" s="38">
        <f>T3/(('Evolutive SFP'!R27)/1000000)</f>
        <v>0.25207528291963049</v>
      </c>
      <c r="U4" s="38">
        <f>U3/(('Evolutive SFP'!S27)/1000000)</f>
        <v>0.23931849766181171</v>
      </c>
      <c r="V4" s="38">
        <f>V3/(('Evolutive SFP'!T27)/1000000)</f>
        <v>0.23778930872275081</v>
      </c>
      <c r="W4" s="38">
        <f>W3/(('Evolutive SFP'!U27)/1000000)</f>
        <v>0.23850055798392186</v>
      </c>
      <c r="X4" s="38">
        <f>X3/(('Evolutive SFP'!V27)/1000000)</f>
        <v>0.24095402263596186</v>
      </c>
      <c r="Y4" s="38">
        <f>Y3/(('Evolutive SFP'!W27)/1000000)</f>
        <v>0.23474361393786344</v>
      </c>
      <c r="Z4" s="38">
        <f>Z3/(('Evolutive SFP'!X27)/1000000)</f>
        <v>0.24207831349369452</v>
      </c>
      <c r="AA4" s="38">
        <f>AA3/(('Evolutive SFP'!Y27)/1000000)</f>
        <v>0.24976250620374027</v>
      </c>
      <c r="AB4" s="38">
        <f>AB3/(('Evolutive SFP'!Z27)/1000000)</f>
        <v>0.25201870956985856</v>
      </c>
      <c r="AC4" s="38">
        <f>AC3/(('Evolutive SFP'!AA27)/1000000)</f>
        <v>0.25291022806332952</v>
      </c>
      <c r="AD4" s="38">
        <f>AD3/(('Evolutive SFP'!AB27)/1000000)</f>
        <v>0.24370890970726672</v>
      </c>
      <c r="AE4" s="38">
        <f>AE3/(('Evolutive SFP'!AC27)/1000000)</f>
        <v>0.22411164320325111</v>
      </c>
      <c r="AF4" s="38">
        <f>AF3/(('Evolutive SFP'!AD27)/1000000)</f>
        <v>0.24763224736458045</v>
      </c>
      <c r="AG4" s="38">
        <f>AG3/(('Evolutive SFP'!AE27)/1000000)</f>
        <v>0.24055438606321275</v>
      </c>
      <c r="AH4" s="38">
        <f>AH3/(('Evolutive SFP'!AF27)/1000000)</f>
        <v>0.24427781465229048</v>
      </c>
      <c r="AI4" s="38">
        <f>AI3/(('Evolutive SFP'!AG27)/1000000)</f>
        <v>0.25467284391231981</v>
      </c>
      <c r="AJ4" s="38">
        <f>AJ3/(('Evolutive SFP'!AH27)/1000000)</f>
        <v>0.25860375084552645</v>
      </c>
      <c r="AK4" s="38" t="e">
        <f>AK3/(('Evolutive SFP'!AI27)/1000000)</f>
        <v>#DIV/0!</v>
      </c>
      <c r="AL4" s="38" t="e">
        <f>AL3/(('Evolutive SFP'!AJ27)/1000000)</f>
        <v>#DIV/0!</v>
      </c>
      <c r="AM4" s="38" t="e">
        <f>AM3/(('Evolutive SFP'!AK27)/1000000)</f>
        <v>#DIV/0!</v>
      </c>
      <c r="AN4" s="38" t="e">
        <f>AN3/(('Evolutive SFP'!AL27)/1000000)</f>
        <v>#DIV/0!</v>
      </c>
      <c r="AO4" s="38" t="e">
        <f>AO3/(('Evolutive SFP'!AM27)/1000000)</f>
        <v>#DIV/0!</v>
      </c>
      <c r="AP4" s="38" t="e">
        <f>AP3/(('Evolutive SFP'!AN27)/1000000)</f>
        <v>#DIV/0!</v>
      </c>
      <c r="AQ4" s="38" t="e">
        <f>AQ3/(('Evolutive SFP'!AO27)/1000000)</f>
        <v>#DIV/0!</v>
      </c>
      <c r="AR4" s="38" t="e">
        <f>AR3/(('Evolutive SFP'!AP27)/1000000)</f>
        <v>#DIV/0!</v>
      </c>
      <c r="AS4" s="38" t="e">
        <f>AS3/(('Evolutive SFP'!AQ27)/1000000)</f>
        <v>#DIV/0!</v>
      </c>
      <c r="AT4" s="38" t="e">
        <f>AT3/(('Evolutive SFP'!AR27)/1000000)</f>
        <v>#DIV/0!</v>
      </c>
      <c r="AU4" s="38" t="e">
        <f>AU3/(('Evolutive SFP'!AS27)/1000000)</f>
        <v>#DIV/0!</v>
      </c>
      <c r="AV4" s="38" t="e">
        <f>AV3/(('Evolutive SFP'!AT27)/1000000)</f>
        <v>#DIV/0!</v>
      </c>
      <c r="AW4" s="38" t="e">
        <f>AW3/(('Evolutive SFP'!AU27)/1000000)</f>
        <v>#DIV/0!</v>
      </c>
      <c r="AX4" s="38" t="e">
        <f>AX3/(('Evolutive SFP'!AV27)/1000000)</f>
        <v>#DIV/0!</v>
      </c>
      <c r="AY4" s="38" t="e">
        <f>AY3/(('Evolutive SFP'!AW27)/1000000)</f>
        <v>#DIV/0!</v>
      </c>
    </row>
    <row r="5" spans="1:51" ht="15" x14ac:dyDescent="0.3">
      <c r="A5" s="248"/>
      <c r="B5" s="3" t="s">
        <v>104</v>
      </c>
      <c r="C5" s="16" t="s">
        <v>105</v>
      </c>
      <c r="D5" s="38">
        <f>D3/('Evolutive SFP'!B31/1000000)</f>
        <v>0.11865530316137229</v>
      </c>
      <c r="E5" s="38">
        <f>E3/('Evolutive SFP'!C31/1000000)</f>
        <v>0.29475712669994875</v>
      </c>
      <c r="F5" s="38">
        <f>F3/('Evolutive SFP'!D31/1000000)</f>
        <v>0.30914105420382842</v>
      </c>
      <c r="G5" s="38">
        <f>G3/('Evolutive SFP'!E31/1000000)</f>
        <v>0.30636369033483218</v>
      </c>
      <c r="H5" s="38">
        <f>H3/('Evolutive SFP'!F31/1000000)</f>
        <v>0.29749945864805261</v>
      </c>
      <c r="I5" s="38">
        <f>I3/('Evolutive SFP'!G31/1000000)</f>
        <v>0.3104459825369692</v>
      </c>
      <c r="J5" s="38">
        <f>J3/('Evolutive SFP'!H31/1000000)</f>
        <v>0.33410248387969588</v>
      </c>
      <c r="K5" s="38">
        <f>K3/('Evolutive SFP'!I31/1000000)</f>
        <v>0.3169576935853971</v>
      </c>
      <c r="L5" s="38">
        <f>L3/('Evolutive SFP'!J31/1000000)</f>
        <v>0.32047241602368359</v>
      </c>
      <c r="M5" s="38">
        <f>M3/('Evolutive SFP'!K31/1000000)</f>
        <v>0.319016131365917</v>
      </c>
      <c r="N5" s="38">
        <f>N3/('Evolutive SFP'!L31/1000000)</f>
        <v>0.32549053087033647</v>
      </c>
      <c r="O5" s="38">
        <f>O3/('Evolutive SFP'!M31/1000000)</f>
        <v>0.32813216724757938</v>
      </c>
      <c r="P5" s="38">
        <f>P3/('Evolutive SFP'!N31/1000000)</f>
        <v>0.32758015969346271</v>
      </c>
      <c r="Q5" s="38">
        <f>Q3/('Evolutive SFP'!O31/1000000)</f>
        <v>0.36024886508925708</v>
      </c>
      <c r="R5" s="38">
        <f>R3/('Evolutive SFP'!P31/1000000)</f>
        <v>0.32434974008369771</v>
      </c>
      <c r="S5" s="38">
        <f>S3/('Evolutive SFP'!Q31/1000000)</f>
        <v>0.358904184355123</v>
      </c>
      <c r="T5" s="38">
        <f>T3/('Evolutive SFP'!R31/1000000)</f>
        <v>0.35338050723252851</v>
      </c>
      <c r="U5" s="38">
        <f>U3/('Evolutive SFP'!S31/1000000)</f>
        <v>0.3357934558633951</v>
      </c>
      <c r="V5" s="38">
        <f>V3/('Evolutive SFP'!T31/1000000)</f>
        <v>0.32579799603896259</v>
      </c>
      <c r="W5" s="38">
        <f>W3/('Evolutive SFP'!U31/1000000)</f>
        <v>0.32630777671341094</v>
      </c>
      <c r="X5" s="38">
        <f>X3/('Evolutive SFP'!V31/1000000)</f>
        <v>0.33001548800985109</v>
      </c>
      <c r="Y5" s="38">
        <f>Y3/('Evolutive SFP'!W31/1000000)</f>
        <v>0.31678415023184708</v>
      </c>
      <c r="Z5" s="38">
        <f>Z3/('Evolutive SFP'!X31/1000000)</f>
        <v>0.33075676504629059</v>
      </c>
      <c r="AA5" s="38">
        <f>AA3/('Evolutive SFP'!Y31/1000000)</f>
        <v>0.34460646307065324</v>
      </c>
      <c r="AB5" s="38">
        <f>AB3/('Evolutive SFP'!Z31/1000000)</f>
        <v>0.34851751456366237</v>
      </c>
      <c r="AC5" s="38">
        <f>AC3/('Evolutive SFP'!AA31/1000000)</f>
        <v>0.35130732519012642</v>
      </c>
      <c r="AD5" s="38">
        <f>AD3/('Evolutive SFP'!AB31/1000000)</f>
        <v>0.33586974031111899</v>
      </c>
      <c r="AE5" s="38">
        <f>AE3/('Evolutive SFP'!AC31/1000000)</f>
        <v>0.30959444601496361</v>
      </c>
      <c r="AF5" s="38">
        <f>AF3/('Evolutive SFP'!AD31/1000000)</f>
        <v>0.34214835605437827</v>
      </c>
      <c r="AG5" s="38">
        <f>AG3/('Evolutive SFP'!AE31/1000000)</f>
        <v>0.3396168034700992</v>
      </c>
      <c r="AH5" s="38">
        <f>AH3/('Evolutive SFP'!AF31/1000000)</f>
        <v>0.34067158496937894</v>
      </c>
      <c r="AI5" s="38">
        <f>AI3/('Evolutive SFP'!AG31/1000000)</f>
        <v>0.35387890232002606</v>
      </c>
      <c r="AJ5" s="38">
        <f>AJ3/('Evolutive SFP'!AH31/1000000)</f>
        <v>0.36007914447249945</v>
      </c>
      <c r="AK5" s="38" t="e">
        <f>AK3/('Evolutive SFP'!AI31/1000000)</f>
        <v>#DIV/0!</v>
      </c>
      <c r="AL5" s="38" t="e">
        <f>AL3/('Evolutive SFP'!AJ31/1000000)</f>
        <v>#DIV/0!</v>
      </c>
      <c r="AM5" s="38" t="e">
        <f>AM3/('Evolutive SFP'!AK31/1000000)</f>
        <v>#DIV/0!</v>
      </c>
      <c r="AN5" s="38" t="e">
        <f>AN3/('Evolutive SFP'!AL31/1000000)</f>
        <v>#DIV/0!</v>
      </c>
      <c r="AO5" s="38" t="e">
        <f>AO3/('Evolutive SFP'!AM31/1000000)</f>
        <v>#DIV/0!</v>
      </c>
      <c r="AP5" s="38" t="e">
        <f>AP3/('Evolutive SFP'!AN31/1000000)</f>
        <v>#DIV/0!</v>
      </c>
      <c r="AQ5" s="38" t="e">
        <f>AQ3/('Evolutive SFP'!AO31/1000000)</f>
        <v>#DIV/0!</v>
      </c>
      <c r="AR5" s="38" t="e">
        <f>AR3/('Evolutive SFP'!AP31/1000000)</f>
        <v>#DIV/0!</v>
      </c>
      <c r="AS5" s="38" t="e">
        <f>AS3/('Evolutive SFP'!AQ31/1000000)</f>
        <v>#DIV/0!</v>
      </c>
      <c r="AT5" s="38" t="e">
        <f>AT3/('Evolutive SFP'!AR31/1000000)</f>
        <v>#DIV/0!</v>
      </c>
      <c r="AU5" s="38" t="e">
        <f>AU3/('Evolutive SFP'!AS31/1000000)</f>
        <v>#DIV/0!</v>
      </c>
      <c r="AV5" s="38" t="e">
        <f>AV3/('Evolutive SFP'!AT31/1000000)</f>
        <v>#DIV/0!</v>
      </c>
      <c r="AW5" s="38" t="e">
        <f>AW3/('Evolutive SFP'!AU31/1000000)</f>
        <v>#DIV/0!</v>
      </c>
      <c r="AX5" s="38" t="e">
        <f>AX3/('Evolutive SFP'!AV31/1000000)</f>
        <v>#DIV/0!</v>
      </c>
      <c r="AY5" s="38" t="e">
        <f>AY3/('Evolutive SFP'!AW31/1000000)</f>
        <v>#DIV/0!</v>
      </c>
    </row>
    <row r="6" spans="1:51" ht="15" x14ac:dyDescent="0.3">
      <c r="A6" s="248"/>
      <c r="B6" s="3" t="s">
        <v>106</v>
      </c>
      <c r="C6" s="16" t="s">
        <v>105</v>
      </c>
      <c r="D6" s="38">
        <f>((D3*1000000)-'Evolutive SFP'!B39)/'Evolutive SFP'!B27</f>
        <v>3.1552176925888298E-2</v>
      </c>
      <c r="E6" s="38">
        <f>((E3*1000000)-'Evolutive SFP'!C39)/'Evolutive SFP'!C27</f>
        <v>0.11089375491479057</v>
      </c>
      <c r="F6" s="38">
        <f>((F3*1000000)-'Evolutive SFP'!D39)/'Evolutive SFP'!D27</f>
        <v>0.11829391710136976</v>
      </c>
      <c r="G6" s="38">
        <f>((G3*1000000)-'Evolutive SFP'!E39)/'Evolutive SFP'!E27</f>
        <v>0.1157645762716929</v>
      </c>
      <c r="H6" s="38">
        <f>((H3*1000000)-'Evolutive SFP'!F39)/'Evolutive SFP'!F27</f>
        <v>0.11258139455309235</v>
      </c>
      <c r="I6" s="38">
        <f>((I3*1000000)-'Evolutive SFP'!G39)/'Evolutive SFP'!G27</f>
        <v>0.11853048907768075</v>
      </c>
      <c r="J6" s="38">
        <f>((J3*1000000)-'Evolutive SFP'!H39)/'Evolutive SFP'!H27</f>
        <v>0.13187879326534083</v>
      </c>
      <c r="K6" s="38">
        <f>((K3*1000000)-'Evolutive SFP'!I39)/'Evolutive SFP'!I27</f>
        <v>0.12027902898193014</v>
      </c>
      <c r="L6" s="38">
        <f>((L3*1000000)-'Evolutive SFP'!J39)/'Evolutive SFP'!J27</f>
        <v>0.12149804250161661</v>
      </c>
      <c r="M6" s="38">
        <f>((M3*1000000)-'Evolutive SFP'!K39)/'Evolutive SFP'!K27</f>
        <v>0.11874279538884425</v>
      </c>
      <c r="N6" s="38">
        <f>((N3*1000000)-'Evolutive SFP'!L39)/'Evolutive SFP'!L27</f>
        <v>0.1222450010551453</v>
      </c>
      <c r="O6" s="38">
        <f>((O3*1000000)-'Evolutive SFP'!M39)/'Evolutive SFP'!M27</f>
        <v>0.12642069599432906</v>
      </c>
      <c r="P6" s="38">
        <f>((P3*1000000)-'Evolutive SFP'!N39)/'Evolutive SFP'!N27</f>
        <v>0.12723081166473921</v>
      </c>
      <c r="Q6" s="38">
        <f>((Q3*1000000)-'Evolutive SFP'!O39)/'Evolutive SFP'!O27</f>
        <v>0.14331969121037438</v>
      </c>
      <c r="R6" s="38">
        <f>((R3*1000000)-'Evolutive SFP'!P39)/'Evolutive SFP'!P27</f>
        <v>0.11762635397564865</v>
      </c>
      <c r="S6" s="38">
        <f>((S3*1000000)-'Evolutive SFP'!Q39)/'Evolutive SFP'!Q27</f>
        <v>0.14147479263698695</v>
      </c>
      <c r="T6" s="38">
        <f>((T3*1000000)-'Evolutive SFP'!R39)/'Evolutive SFP'!R27</f>
        <v>0.13991803624909793</v>
      </c>
      <c r="U6" s="38">
        <f>((U3*1000000)-'Evolutive SFP'!S39)/'Evolutive SFP'!S27</f>
        <v>0.12541545592049505</v>
      </c>
      <c r="V6" s="38">
        <f>((V3*1000000)-'Evolutive SFP'!T39)/'Evolutive SFP'!T27</f>
        <v>0.12131724274754975</v>
      </c>
      <c r="W6" s="38">
        <f>((W3*1000000)-'Evolutive SFP'!U39)/'Evolutive SFP'!U27</f>
        <v>0.12407479739066442</v>
      </c>
      <c r="X6" s="38">
        <f>((X3*1000000)-'Evolutive SFP'!V39)/'Evolutive SFP'!V27</f>
        <v>0.12390394072840759</v>
      </c>
      <c r="Y6" s="38">
        <f>((Y3*1000000)-'Evolutive SFP'!W39)/'Evolutive SFP'!W27</f>
        <v>0.11797600567949994</v>
      </c>
      <c r="Z6" s="38">
        <f>((Z3*1000000)-'Evolutive SFP'!X39)/'Evolutive SFP'!X27</f>
        <v>0.12237589670727675</v>
      </c>
      <c r="AA6" s="38">
        <f>((AA3*1000000)-'Evolutive SFP'!Y39)/'Evolutive SFP'!Y27</f>
        <v>0.12775797504131009</v>
      </c>
      <c r="AB6" s="38">
        <f>((AB3*1000000)-'Evolutive SFP'!Z39)/'Evolutive SFP'!Z27</f>
        <v>0.13027426002914855</v>
      </c>
      <c r="AC6" s="38">
        <f>((AC3*1000000)-'Evolutive SFP'!AA39)/'Evolutive SFP'!AA27</f>
        <v>0.13170199064487048</v>
      </c>
      <c r="AD6" s="38">
        <f>((AD3*1000000)-'Evolutive SFP'!AB39)/'Evolutive SFP'!AB27</f>
        <v>0.12474003763790668</v>
      </c>
      <c r="AE6" s="38">
        <f>((AE3*1000000)-'Evolutive SFP'!AC39)/'Evolutive SFP'!AC27</f>
        <v>0.10542299031870912</v>
      </c>
      <c r="AF6" s="38">
        <f>((AF3*1000000)-'Evolutive SFP'!AD39)/'Evolutive SFP'!AD27</f>
        <v>0.12869559743058423</v>
      </c>
      <c r="AG6" s="38">
        <f>((AG3*1000000)-'Evolutive SFP'!AE39)/'Evolutive SFP'!AE27</f>
        <v>0.11919565937318791</v>
      </c>
      <c r="AH6" s="38">
        <f>((AH3*1000000)-'Evolutive SFP'!AF39)/'Evolutive SFP'!AF27</f>
        <v>0.12032749239854469</v>
      </c>
      <c r="AI6" s="38">
        <f>((AI3*1000000)-'Evolutive SFP'!AG39)/'Evolutive SFP'!AG27</f>
        <v>0.1253742972759892</v>
      </c>
      <c r="AJ6" s="38">
        <f>((AJ3*1000000)-'Evolutive SFP'!AH39)/'Evolutive SFP'!AH27</f>
        <v>0.12700195479163998</v>
      </c>
      <c r="AK6" s="38" t="e">
        <f>((AK3*1000000)-'Evolutive SFP'!AI39)/'Evolutive SFP'!AI27</f>
        <v>#DIV/0!</v>
      </c>
      <c r="AL6" s="38" t="e">
        <f>((AL3*1000000)-'Evolutive SFP'!AJ39)/'Evolutive SFP'!AJ27</f>
        <v>#DIV/0!</v>
      </c>
      <c r="AM6" s="38" t="e">
        <f>((AM3*1000000)-'Evolutive SFP'!AK39)/'Evolutive SFP'!AK27</f>
        <v>#DIV/0!</v>
      </c>
      <c r="AN6" s="38" t="e">
        <f>((AN3*1000000)-'Evolutive SFP'!AL39)/'Evolutive SFP'!AL27</f>
        <v>#DIV/0!</v>
      </c>
      <c r="AO6" s="38" t="e">
        <f>((AO3*1000000)-'Evolutive SFP'!AM39)/'Evolutive SFP'!AM27</f>
        <v>#DIV/0!</v>
      </c>
      <c r="AP6" s="38" t="e">
        <f>((AP3*1000000)-'Evolutive SFP'!AN39)/'Evolutive SFP'!AN27</f>
        <v>#DIV/0!</v>
      </c>
      <c r="AQ6" s="38" t="e">
        <f>((AQ3*1000000)-'Evolutive SFP'!AO39)/'Evolutive SFP'!AO27</f>
        <v>#DIV/0!</v>
      </c>
      <c r="AR6" s="38" t="e">
        <f>((AR3*1000000)-'Evolutive SFP'!AP39)/'Evolutive SFP'!AP27</f>
        <v>#DIV/0!</v>
      </c>
      <c r="AS6" s="38" t="e">
        <f>((AS3*1000000)-'Evolutive SFP'!AQ39)/'Evolutive SFP'!AQ27</f>
        <v>#DIV/0!</v>
      </c>
      <c r="AT6" s="38" t="e">
        <f>((AT3*1000000)-'Evolutive SFP'!AR39)/'Evolutive SFP'!AR27</f>
        <v>#DIV/0!</v>
      </c>
      <c r="AU6" s="38" t="e">
        <f>((AU3*1000000)-'Evolutive SFP'!AS39)/'Evolutive SFP'!AS27</f>
        <v>#DIV/0!</v>
      </c>
      <c r="AV6" s="38" t="e">
        <f>((AV3*1000000)-'Evolutive SFP'!AT39)/'Evolutive SFP'!AT27</f>
        <v>#DIV/0!</v>
      </c>
      <c r="AW6" s="38" t="e">
        <f>((AW3*1000000)-'Evolutive SFP'!AU39)/'Evolutive SFP'!AU27</f>
        <v>#DIV/0!</v>
      </c>
      <c r="AX6" s="38" t="e">
        <f>((AX3*1000000)-'Evolutive SFP'!AV39)/'Evolutive SFP'!AV27</f>
        <v>#DIV/0!</v>
      </c>
      <c r="AY6" s="38" t="e">
        <f>((AY3*1000000)-'Evolutive SFP'!AW39)/'Evolutive SFP'!AW27</f>
        <v>#DIV/0!</v>
      </c>
    </row>
    <row r="7" spans="1:51" ht="15" x14ac:dyDescent="0.3">
      <c r="A7" s="248" t="s">
        <v>107</v>
      </c>
      <c r="B7" s="3" t="s">
        <v>108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</row>
    <row r="8" spans="1:51" ht="15" x14ac:dyDescent="0.3">
      <c r="A8" s="248"/>
      <c r="B8" s="3" t="s">
        <v>109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236">
        <f>('FORM 4'!D42+'FORM 4'!D43+'FORM 4'!D44)/'Evolutive SFP'!P15</f>
        <v>0.20625666339855564</v>
      </c>
      <c r="S8" s="16"/>
      <c r="T8" s="16"/>
      <c r="U8" s="236">
        <f>('FORM 4'!D51+'FORM 4'!D52+'FORM 4'!D53)/'Evolutive SFP'!S15</f>
        <v>0.24271935295149802</v>
      </c>
      <c r="V8" s="16"/>
      <c r="W8" s="16"/>
      <c r="X8" s="236">
        <f>('FORM 4'!D60+'FORM 4'!D61+'FORM 4'!D62)/'Evolutive SFP'!V15</f>
        <v>0.22916399371050902</v>
      </c>
      <c r="Y8" s="16"/>
      <c r="Z8" s="16"/>
      <c r="AA8" s="236">
        <f>('FORM 4'!D69+'FORM 4'!D70+'FORM 4'!D71)/'Evolutive SFP'!Y15</f>
        <v>0.19994868686540554</v>
      </c>
      <c r="AB8" s="16"/>
      <c r="AC8" s="16"/>
      <c r="AD8" s="236">
        <f>('FORM 4'!D78+'FORM 4'!D79+'FORM 4'!D80)/'Evolutive SFP'!AB15</f>
        <v>0.20087112404068327</v>
      </c>
      <c r="AE8" s="236">
        <f>('FORM 4'!D88+'FORM 4'!D89+'FORM 4'!D90)/'Evolutive SFP'!AC15</f>
        <v>0.20047404828675799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</row>
    <row r="9" spans="1:51" ht="15" x14ac:dyDescent="0.3">
      <c r="A9" s="246" t="s">
        <v>110</v>
      </c>
      <c r="B9" s="3" t="s">
        <v>111</v>
      </c>
      <c r="C9" s="16"/>
      <c r="D9" s="16"/>
      <c r="E9" s="46">
        <f>'Evolutitve SCI'!C33/(('Evolutive SFP'!B27+'Evolutive SFP'!C27)/2)</f>
        <v>2.4005235612343859E-2</v>
      </c>
      <c r="F9" s="46">
        <f>'Evolutitve SCI'!D33/(('Evolutive SFP'!C27+'Evolutive SFP'!D27)/2)</f>
        <v>1.0164690841159424E-2</v>
      </c>
      <c r="G9" s="46">
        <f>'Evolutitve SCI'!E33/(('Evolutive SFP'!D27+'Evolutive SFP'!E27)/2)</f>
        <v>4.0588391284723064E-3</v>
      </c>
      <c r="H9" s="46">
        <f>'Evolutitve SCI'!F33/(('Evolutive SFP'!E27+'Evolutive SFP'!F27)/2)</f>
        <v>-2.8827578904952198E-3</v>
      </c>
      <c r="I9" s="46">
        <f>'Evolutitve SCI'!G33/(('Evolutive SFP'!F27+'Evolutive SFP'!G27)/2)</f>
        <v>6.1297734310148929E-3</v>
      </c>
      <c r="J9" s="46">
        <f>'Evolutitve SCI'!H33/(('Evolutive SFP'!G27+'Evolutive SFP'!H27)/2)</f>
        <v>9.7821657703772297E-3</v>
      </c>
      <c r="K9" s="46">
        <f>'Evolutitve SCI'!I33/(('Evolutive SFP'!H27+'Evolutive SFP'!I27)/2)</f>
        <v>8.1058103299869056E-3</v>
      </c>
      <c r="L9" s="46">
        <f>'Evolutitve SCI'!J33/(('Evolutive SFP'!I27+'Evolutive SFP'!J27)/2)</f>
        <v>9.6758657307408017E-3</v>
      </c>
      <c r="M9" s="46">
        <f>'Evolutitve SCI'!K33/(('Evolutive SFP'!J27+'Evolutive SFP'!K27)/2)</f>
        <v>5.8828141334454145E-3</v>
      </c>
      <c r="N9" s="46">
        <f>'Evolutitve SCI'!L33/(('Evolutive SFP'!K27+'Evolutive SFP'!L27)/2)</f>
        <v>1.1173220304810317E-2</v>
      </c>
      <c r="O9" s="46">
        <f>'Evolutitve SCI'!M33/(('Evolutive SFP'!L27+'Evolutive SFP'!M27)/2)</f>
        <v>1.9181717940472628E-2</v>
      </c>
      <c r="P9" s="46">
        <f>'Evolutitve SCI'!N33/(('Evolutive SFP'!M27+'Evolutive SFP'!N27)/2)</f>
        <v>2.1765133558000558E-2</v>
      </c>
      <c r="Q9" s="46">
        <f>'Evolutitve SCI'!O33/(('Evolutive SFP'!N27+'Evolutive SFP'!O27)/2)</f>
        <v>3.882064565218963E-2</v>
      </c>
      <c r="R9" s="46">
        <f>'Evolutitve SCI'!P33/(('Evolutive SFP'!O27+'Evolutive SFP'!P27)/2)</f>
        <v>2.6993567466788104E-2</v>
      </c>
      <c r="S9" s="46">
        <f>'Evolutitve SCI'!Q33/(('Evolutive SFP'!P27+'Evolutive SFP'!Q27)/2)</f>
        <v>5.826114426716512E-4</v>
      </c>
      <c r="T9" s="46">
        <f>'Evolutitve SCI'!R33/(('Evolutive SFP'!Q27+'Evolutive SFP'!R27)/2)</f>
        <v>-5.8760764334764449E-3</v>
      </c>
      <c r="U9" s="46">
        <f>'Evolutitve SCI'!S33/(('Evolutive SFP'!R27+'Evolutive SFP'!S27)/2)</f>
        <v>-7.7770354671050025E-4</v>
      </c>
      <c r="V9" s="46">
        <f>'Evolutitve SCI'!T33/(('Evolutive SFP'!S27+'Evolutive SFP'!T27)/2)</f>
        <v>3.7996702425685297E-3</v>
      </c>
      <c r="W9" s="46">
        <f>'Evolutitve SCI'!U33/(('Evolutive SFP'!T27+'Evolutive SFP'!U27)/2)</f>
        <v>9.9651271684693347E-3</v>
      </c>
      <c r="X9" s="46">
        <f>'Evolutitve SCI'!V33/(('Evolutive SFP'!U27+'Evolutive SFP'!V27)/2)</f>
        <v>8.298104900788434E-3</v>
      </c>
      <c r="Y9" s="46">
        <f>'Evolutitve SCI'!W33/(('Evolutive SFP'!V27+'Evolutive SFP'!W27)/2)</f>
        <v>1.4509398992700078E-2</v>
      </c>
      <c r="Z9" s="46">
        <f>'Evolutitve SCI'!X33/(('Evolutive SFP'!W27+'Evolutive SFP'!X27)/2)</f>
        <v>1.645814536554676E-2</v>
      </c>
      <c r="AA9" s="46">
        <f>'Evolutitve SCI'!Y33/(('Evolutive SFP'!X27+'Evolutive SFP'!Y27)/2)</f>
        <v>2.1214352234388261E-2</v>
      </c>
      <c r="AB9" s="46">
        <f>'Evolutitve SCI'!Z33/(('Evolutive SFP'!Y27+'Evolutive SFP'!Z27)/2)</f>
        <v>2.4902899723163889E-2</v>
      </c>
      <c r="AC9" s="46">
        <f>'Evolutitve SCI'!AA33/(('Evolutive SFP'!Z27+'Evolutive SFP'!AA27)/2)</f>
        <v>2.7894373325675872E-2</v>
      </c>
      <c r="AD9" s="46">
        <f>'Evolutitve SCI'!AB33/(('Evolutive SFP'!AA27+'Evolutive SFP'!AB27)/2)</f>
        <v>2.4172555402872446E-2</v>
      </c>
      <c r="AE9" s="46">
        <f>'Evolutitve SCI'!AC33/(('Evolutive SFP'!AB27+'Evolutive SFP'!AC27)/2)</f>
        <v>2.0080114625429045E-2</v>
      </c>
      <c r="AF9" s="46">
        <f>'Evolutitve SCI'!AD33/(('Evolutive SFP'!AC27+'Evolutive SFP'!AD27)/2)</f>
        <v>9.9512814382805258E-3</v>
      </c>
      <c r="AG9" s="46">
        <f>'Evolutitve SCI'!AE33/(('Evolutive SFP'!AD27+'Evolutive SFP'!AE27)/2)</f>
        <v>1.4343814473080049E-2</v>
      </c>
      <c r="AH9" s="46">
        <f>'Evolutitve SCI'!AF33/(('Evolutive SFP'!AE27+'Evolutive SFP'!AF27)/2)</f>
        <v>1.4325437067422151E-2</v>
      </c>
      <c r="AI9" s="46">
        <f>'Evolutitve SCI'!AG33/(('Evolutive SFP'!AF27+'Evolutive SFP'!AG27)/2)</f>
        <v>1.6060949605971576E-2</v>
      </c>
      <c r="AJ9" s="46">
        <f>'Evolutitve SCI'!AH33/(('Evolutive SFP'!AG27+'Evolutive SFP'!AH27)/2)</f>
        <v>1.6686543599894792E-2</v>
      </c>
      <c r="AK9" s="46">
        <f>'Evolutitve SCI'!AI33/(('Evolutive SFP'!AH27+'Evolutive SFP'!AI27)/2)</f>
        <v>0</v>
      </c>
      <c r="AL9" s="46" t="e">
        <f>'Evolutitve SCI'!AJ33/(('Evolutive SFP'!AI27+'Evolutive SFP'!AJ27)/2)</f>
        <v>#DIV/0!</v>
      </c>
      <c r="AM9" s="46" t="e">
        <f>'Evolutitve SCI'!AK33/(('Evolutive SFP'!AJ27+'Evolutive SFP'!AK27)/2)</f>
        <v>#DIV/0!</v>
      </c>
      <c r="AN9" s="46" t="e">
        <f>'Evolutitve SCI'!AL33/(('Evolutive SFP'!AK27+'Evolutive SFP'!AL27)/2)</f>
        <v>#DIV/0!</v>
      </c>
      <c r="AO9" s="46" t="e">
        <f>'Evolutitve SCI'!AM33/(('Evolutive SFP'!AL27+'Evolutive SFP'!AM27)/2)</f>
        <v>#DIV/0!</v>
      </c>
      <c r="AP9" s="46" t="e">
        <f>'Evolutitve SCI'!AN33/(('Evolutive SFP'!AM27+'Evolutive SFP'!AN27)/2)</f>
        <v>#DIV/0!</v>
      </c>
      <c r="AQ9" s="46" t="e">
        <f>'Evolutitve SCI'!AO33/(('Evolutive SFP'!AN27+'Evolutive SFP'!AO27)/2)</f>
        <v>#DIV/0!</v>
      </c>
      <c r="AR9" s="46" t="e">
        <f>'Evolutitve SCI'!AP33/(('Evolutive SFP'!AO27+'Evolutive SFP'!AP27)/2)</f>
        <v>#DIV/0!</v>
      </c>
      <c r="AS9" s="46" t="e">
        <f>'Evolutitve SCI'!AQ33/(('Evolutive SFP'!AP27+'Evolutive SFP'!AQ27)/2)</f>
        <v>#DIV/0!</v>
      </c>
      <c r="AT9" s="46" t="e">
        <f>'Evolutitve SCI'!AR33/(('Evolutive SFP'!AQ27+'Evolutive SFP'!AR27)/2)</f>
        <v>#DIV/0!</v>
      </c>
      <c r="AU9" s="46" t="e">
        <f>'Evolutitve SCI'!AS33/(('Evolutive SFP'!AR27+'Evolutive SFP'!AS27)/2)</f>
        <v>#DIV/0!</v>
      </c>
      <c r="AV9" s="46" t="e">
        <f>'Evolutitve SCI'!AT33/(('Evolutive SFP'!AS27+'Evolutive SFP'!AT27)/2)</f>
        <v>#DIV/0!</v>
      </c>
      <c r="AW9" s="46" t="e">
        <f>'Evolutitve SCI'!AU33/(('Evolutive SFP'!AT27+'Evolutive SFP'!AU27)/2)</f>
        <v>#DIV/0!</v>
      </c>
      <c r="AX9" s="46" t="e">
        <f>'Evolutitve SCI'!AV33/(('Evolutive SFP'!AU27+'Evolutive SFP'!AV27)/2)</f>
        <v>#DIV/0!</v>
      </c>
      <c r="AY9" s="46" t="e">
        <f>'Evolutitve SCI'!AW33/(('Evolutive SFP'!AV27+'Evolutive SFP'!AW27)/2)</f>
        <v>#DIV/0!</v>
      </c>
    </row>
    <row r="10" spans="1:51" ht="15" x14ac:dyDescent="0.3">
      <c r="A10" s="246"/>
      <c r="B10" s="3" t="s">
        <v>112</v>
      </c>
      <c r="C10" s="16"/>
      <c r="D10" s="18">
        <f>'Evolutitve SCI'!B23/'Evolutitve SCI'!B19</f>
        <v>0.78428841146364925</v>
      </c>
      <c r="E10" s="18">
        <f>'Evolutitve SCI'!C23/'Evolutitve SCI'!C19</f>
        <v>0.78734036590679546</v>
      </c>
      <c r="F10" s="18">
        <f>'Evolutitve SCI'!D23/'Evolutitve SCI'!D19</f>
        <v>0.13172016775178219</v>
      </c>
      <c r="G10" s="18">
        <f>'Evolutitve SCI'!E23/'Evolutitve SCI'!E19</f>
        <v>0.51126483719303983</v>
      </c>
      <c r="H10" s="18">
        <f>'Evolutitve SCI'!F23/'Evolutitve SCI'!F19</f>
        <v>93.249434709096519</v>
      </c>
      <c r="I10" s="18">
        <f>'Evolutitve SCI'!G23/'Evolutitve SCI'!G19</f>
        <v>0.58493420234419902</v>
      </c>
      <c r="J10" s="18">
        <f>'Evolutitve SCI'!H23/'Evolutitve SCI'!H19</f>
        <v>0.61283355287184349</v>
      </c>
      <c r="K10" s="18">
        <f>'Evolutitve SCI'!I23/'Evolutitve SCI'!I19</f>
        <v>0.69807516437583594</v>
      </c>
      <c r="L10" s="18">
        <f>'Evolutitve SCI'!J23/'Evolutitve SCI'!J19</f>
        <v>0.71377213612317303</v>
      </c>
      <c r="M10" s="18">
        <f>'Evolutitve SCI'!K23/'Evolutitve SCI'!K19</f>
        <v>0.73495471874998175</v>
      </c>
      <c r="N10" s="18">
        <f>'Evolutitve SCI'!L23/'Evolutitve SCI'!L19</f>
        <v>0.72013950973633822</v>
      </c>
      <c r="O10" s="18">
        <f>'Evolutitve SCI'!M23/'Evolutitve SCI'!M19</f>
        <v>0.69150308802432359</v>
      </c>
      <c r="P10" s="18">
        <f>'Evolutitve SCI'!N23/'Evolutitve SCI'!N19</f>
        <v>0.69433677533155225</v>
      </c>
      <c r="Q10" s="18">
        <f>'Evolutitve SCI'!O23/'Evolutitve SCI'!O19</f>
        <v>0.7321375104154495</v>
      </c>
      <c r="R10" s="18">
        <f>'Evolutitve SCI'!P23/'Evolutitve SCI'!P19</f>
        <v>0.78009784910903468</v>
      </c>
      <c r="S10" s="18">
        <f>'Evolutitve SCI'!Q23/'Evolutitve SCI'!Q19</f>
        <v>0.93290171946482536</v>
      </c>
      <c r="T10" s="18">
        <f>'Evolutitve SCI'!R23/'Evolutitve SCI'!R19</f>
        <v>0.92323798622216224</v>
      </c>
      <c r="U10" s="18">
        <f>'Evolutitve SCI'!S23/'Evolutitve SCI'!S19</f>
        <v>0.66475441633882404</v>
      </c>
      <c r="V10" s="18">
        <f>'Evolutitve SCI'!T23/'Evolutitve SCI'!T19</f>
        <v>0.66642874003654895</v>
      </c>
      <c r="W10" s="18">
        <f>'Evolutitve SCI'!U23/'Evolutitve SCI'!U19</f>
        <v>0.67510388030757318</v>
      </c>
      <c r="X10" s="18">
        <f>'Evolutitve SCI'!V23/'Evolutitve SCI'!V19</f>
        <v>0.75319897262982505</v>
      </c>
      <c r="Y10" s="18">
        <f>'Evolutitve SCI'!W23/'Evolutitve SCI'!W19</f>
        <v>0.75802417465421223</v>
      </c>
      <c r="Z10" s="18">
        <f>'Evolutitve SCI'!X23/'Evolutitve SCI'!X19</f>
        <v>0.72827191526782509</v>
      </c>
      <c r="AA10" s="18">
        <f>'Evolutitve SCI'!Y23/'Evolutitve SCI'!Y19</f>
        <v>0.72600911040965765</v>
      </c>
      <c r="AB10" s="18">
        <f>'Evolutitve SCI'!Z23/'Evolutitve SCI'!Z19</f>
        <v>0.70894209179260348</v>
      </c>
      <c r="AC10" s="18">
        <f>'Evolutitve SCI'!AA23/'Evolutitve SCI'!AA19</f>
        <v>0.7092584563317782</v>
      </c>
      <c r="AD10" s="18">
        <f>'Evolutitve SCI'!AB23/'Evolutitve SCI'!AB19</f>
        <v>0.79028075127016317</v>
      </c>
      <c r="AE10" s="18">
        <f>'Evolutitve SCI'!AC23/'Evolutitve SCI'!AC19</f>
        <v>0.81960998728457379</v>
      </c>
      <c r="AF10" s="18">
        <f>'Evolutitve SCI'!AD23/'Evolutitve SCI'!AD19</f>
        <v>0.29799847630478454</v>
      </c>
      <c r="AG10" s="18">
        <f>'Evolutitve SCI'!AE23/'Evolutitve SCI'!AE19</f>
        <v>0.32418771439107924</v>
      </c>
      <c r="AH10" s="18">
        <f>'Evolutitve SCI'!AF23/'Evolutitve SCI'!AF19</f>
        <v>0.48615645943399122</v>
      </c>
      <c r="AI10" s="18">
        <f>'Evolutitve SCI'!AG23/'Evolutitve SCI'!AG19</f>
        <v>0.53565664609589803</v>
      </c>
      <c r="AJ10" s="18">
        <f>'Evolutitve SCI'!AH23/'Evolutitve SCI'!AH19</f>
        <v>0.6234750550919641</v>
      </c>
      <c r="AK10" s="18" t="e">
        <f>'Evolutitve SCI'!AI23/'Evolutitve SCI'!AI19</f>
        <v>#DIV/0!</v>
      </c>
      <c r="AL10" s="18" t="e">
        <f>'Evolutitve SCI'!AJ23/'Evolutitve SCI'!AJ19</f>
        <v>#DIV/0!</v>
      </c>
      <c r="AM10" s="18" t="e">
        <f>'Evolutitve SCI'!AK23/'Evolutitve SCI'!AK19</f>
        <v>#DIV/0!</v>
      </c>
      <c r="AN10" s="18" t="e">
        <f>'Evolutitve SCI'!AL23/'Evolutitve SCI'!AL19</f>
        <v>#DIV/0!</v>
      </c>
      <c r="AO10" s="18" t="e">
        <f>'Evolutitve SCI'!AM23/'Evolutitve SCI'!AM19</f>
        <v>#DIV/0!</v>
      </c>
      <c r="AP10" s="18" t="e">
        <f>'Evolutitve SCI'!AN23/'Evolutitve SCI'!AN19</f>
        <v>#DIV/0!</v>
      </c>
      <c r="AQ10" s="18" t="e">
        <f>'Evolutitve SCI'!AO23/'Evolutitve SCI'!AO19</f>
        <v>#DIV/0!</v>
      </c>
      <c r="AR10" s="18" t="e">
        <f>'Evolutitve SCI'!AP23/'Evolutitve SCI'!AP19</f>
        <v>#DIV/0!</v>
      </c>
      <c r="AS10" s="18" t="e">
        <f>'Evolutitve SCI'!AQ23/'Evolutitve SCI'!AQ19</f>
        <v>#DIV/0!</v>
      </c>
      <c r="AT10" s="18" t="e">
        <f>'Evolutitve SCI'!AR23/'Evolutitve SCI'!AR19</f>
        <v>#DIV/0!</v>
      </c>
      <c r="AU10" s="18" t="e">
        <f>'Evolutitve SCI'!AS23/'Evolutitve SCI'!AS19</f>
        <v>#DIV/0!</v>
      </c>
      <c r="AV10" s="18" t="e">
        <f>'Evolutitve SCI'!AT23/'Evolutitve SCI'!AT19</f>
        <v>#DIV/0!</v>
      </c>
      <c r="AW10" s="18" t="e">
        <f>'Evolutitve SCI'!AU23/'Evolutitve SCI'!AU19</f>
        <v>#DIV/0!</v>
      </c>
      <c r="AX10" s="18" t="e">
        <f>'Evolutitve SCI'!AV23/'Evolutitve SCI'!AV19</f>
        <v>#DIV/0!</v>
      </c>
      <c r="AY10" s="18" t="e">
        <f>'Evolutitve SCI'!AW23/'Evolutitve SCI'!AW19</f>
        <v>#DIV/0!</v>
      </c>
    </row>
    <row r="11" spans="1:51" ht="18.75" customHeight="1" x14ac:dyDescent="0.3">
      <c r="A11" s="246"/>
      <c r="B11" s="3" t="s">
        <v>113</v>
      </c>
      <c r="C11" s="16"/>
      <c r="D11" s="18">
        <f>('Evolutitve SCI'!B23+'Evolutitve SCI'!B12)/(('Evolutive SFP'!B27+'Evolutive SFP'!C27)/2)</f>
        <v>6.6609768501427221E-5</v>
      </c>
      <c r="E11" s="18">
        <f>('Evolutitve SCI'!C23+'Evolutitve SCI'!C12)/(('Evolutive SFP'!C27+'Evolutive SFP'!D27)/2)</f>
        <v>0.10181198610581983</v>
      </c>
      <c r="F11" s="18">
        <f>('Evolutitve SCI'!D23+'Evolutitve SCI'!D12)/(('Evolutive SFP'!D27+'Evolutive SFP'!E27)/2)</f>
        <v>2.449185166213E-3</v>
      </c>
      <c r="G11" s="18">
        <f>('Evolutitve SCI'!E23+'Evolutitve SCI'!E12)/(('Evolutive SFP'!E27+'Evolutive SFP'!F27)/2)</f>
        <v>1.286160230295917E-2</v>
      </c>
      <c r="H11" s="18">
        <f>('Evolutitve SCI'!F23+'Evolutitve SCI'!F12)/(('Evolutive SFP'!F27+'Evolutive SFP'!G27)/2)</f>
        <v>3.0737297768475094E-3</v>
      </c>
      <c r="I11" s="18">
        <f>('Evolutitve SCI'!G23+'Evolutitve SCI'!G12)/(('Evolutive SFP'!G27+'Evolutive SFP'!H27)/2)</f>
        <v>2.7395376248209646E-2</v>
      </c>
      <c r="J11" s="18">
        <f>('Evolutitve SCI'!H23+'Evolutitve SCI'!H12)/(('Evolutive SFP'!H27+'Evolutive SFP'!I27)/2)</f>
        <v>3.3088236777739713E-2</v>
      </c>
      <c r="K11" s="18">
        <f>('Evolutitve SCI'!I23+'Evolutitve SCI'!I12)/(('Evolutive SFP'!I27+'Evolutive SFP'!J27)/2)</f>
        <v>4.6246330530576231E-2</v>
      </c>
      <c r="L11" s="18">
        <f>('Evolutitve SCI'!J23+'Evolutitve SCI'!J12)/(('Evolutive SFP'!J27+'Evolutive SFP'!K27)/2)</f>
        <v>5.4111649669224944E-2</v>
      </c>
      <c r="M11" s="18">
        <f>('Evolutitve SCI'!K23+'Evolutitve SCI'!K12)/(('Evolutive SFP'!K27+'Evolutive SFP'!L27)/2)</f>
        <v>6.1669798989805569E-2</v>
      </c>
      <c r="N11" s="18">
        <f>('Evolutitve SCI'!L23+'Evolutitve SCI'!L12)/(('Evolutive SFP'!L27+'Evolutive SFP'!M27)/2)</f>
        <v>6.6280370259405461E-2</v>
      </c>
      <c r="O11" s="18">
        <f>('Evolutitve SCI'!M23+'Evolutitve SCI'!M12)/(('Evolutive SFP'!M27+'Evolutive SFP'!N27)/2)</f>
        <v>7.0168238161269325E-2</v>
      </c>
      <c r="P11" s="18">
        <f>('Evolutitve SCI'!N23+'Evolutitve SCI'!N12)/(('Evolutive SFP'!N27+'Evolutive SFP'!O27)/2)</f>
        <v>7.6409298630431582E-2</v>
      </c>
      <c r="Q11" s="18">
        <f>('Evolutitve SCI'!O23+'Evolutitve SCI'!O12)/(('Evolutive SFP'!O27+'Evolutive SFP'!P27)/2)</f>
        <v>9.3622141712544321E-2</v>
      </c>
      <c r="R11" s="18">
        <f>('Evolutitve SCI'!P23+'Evolutitve SCI'!P12)/(('Evolutive SFP'!P27+'Evolutive SFP'!Q27)/2)</f>
        <v>0.10659401840388814</v>
      </c>
      <c r="S11" s="18">
        <f>('Evolutitve SCI'!Q23+'Evolutitve SCI'!Q12)/(('Evolutive SFP'!Q27+'Evolutive SFP'!R27)/2)</f>
        <v>8.0510366206204605E-3</v>
      </c>
      <c r="T11" s="18">
        <f>('Evolutitve SCI'!R23+'Evolutitve SCI'!R12)/(('Evolutive SFP'!R27+'Evolutive SFP'!S27)/2)</f>
        <v>1.6548623430534155E-2</v>
      </c>
      <c r="U11" s="18">
        <f>('Evolutitve SCI'!S23+'Evolutitve SCI'!S12)/(('Evolutive SFP'!S27+'Evolutive SFP'!T27)/2)</f>
        <v>2.0347632635008318E-2</v>
      </c>
      <c r="V11" s="18">
        <f>('Evolutitve SCI'!T23+'Evolutitve SCI'!T12)/(('Evolutive SFP'!T27+'Evolutive SFP'!U27)/2)</f>
        <v>2.9486130020300996E-2</v>
      </c>
      <c r="W11" s="18">
        <f>('Evolutitve SCI'!U23+'Evolutitve SCI'!U12)/(('Evolutive SFP'!U27+'Evolutive SFP'!V27)/2)</f>
        <v>3.6327457240904956E-2</v>
      </c>
      <c r="X11" s="18">
        <f>('Evolutitve SCI'!V23+'Evolutitve SCI'!V12)/(('Evolutive SFP'!V27+'Evolutive SFP'!W27)/2)</f>
        <v>4.5926324521094304E-2</v>
      </c>
      <c r="Y11" s="18">
        <f>('Evolutitve SCI'!W23+'Evolutitve SCI'!W12)/(('Evolutive SFP'!W27+'Evolutive SFP'!X27)/2)</f>
        <v>5.1685409332773519E-2</v>
      </c>
      <c r="Z11" s="18">
        <f>('Evolutitve SCI'!X23+'Evolutitve SCI'!X12)/(('Evolutive SFP'!X27+'Evolutive SFP'!Y27)/2)</f>
        <v>5.9642050767441966E-2</v>
      </c>
      <c r="AA11" s="18">
        <f>('Evolutitve SCI'!Y23+'Evolutitve SCI'!Y12)/(('Evolutive SFP'!Y27+'Evolutive SFP'!Z27)/2)</f>
        <v>6.6717075381712815E-2</v>
      </c>
      <c r="AB11" s="18">
        <f>('Evolutitve SCI'!Z23+'Evolutitve SCI'!Z12)/(('Evolutive SFP'!Z27+'Evolutive SFP'!AA27)/2)</f>
        <v>6.9751054101178864E-2</v>
      </c>
      <c r="AC11" s="18">
        <f>('Evolutitve SCI'!AA23+'Evolutitve SCI'!AA12)/(('Evolutive SFP'!AA27+'Evolutive SFP'!AB27)/2)</f>
        <v>7.4039647411474771E-2</v>
      </c>
      <c r="AD11" s="18">
        <f>('Evolutitve SCI'!AB23+'Evolutitve SCI'!AB12)/(('Evolutive SFP'!AB27+'Evolutive SFP'!AC27)/2)</f>
        <v>9.3544142516664652E-2</v>
      </c>
      <c r="AE11" s="18">
        <f>('Evolutitve SCI'!AC23+'Evolutitve SCI'!AC12)/(('Evolutive SFP'!AC27+'Evolutive SFP'!AD27)/2)</f>
        <v>9.8303112181974017E-2</v>
      </c>
      <c r="AF11" s="18">
        <f>('Evolutitve SCI'!AD23+'Evolutitve SCI'!AD12)/(('Evolutive SFP'!AD27+'Evolutive SFP'!AE27)/2)</f>
        <v>4.3625923801721509E-3</v>
      </c>
      <c r="AG11" s="18">
        <f>('Evolutitve SCI'!AE23+'Evolutitve SCI'!AE12)/(('Evolutive SFP'!AE27+'Evolutive SFP'!AF27)/2)</f>
        <v>8.0452610280101859E-3</v>
      </c>
      <c r="AH11" s="18">
        <f>('Evolutitve SCI'!AF23+'Evolutitve SCI'!AF12)/(('Evolutive SFP'!AF27+'Evolutive SFP'!AG27)/2)</f>
        <v>1.7006950631819177E-2</v>
      </c>
      <c r="AI11" s="18">
        <f>('Evolutitve SCI'!AG23+'Evolutitve SCI'!AG12)/(('Evolutive SFP'!AG27+'Evolutive SFP'!AH27)/2)</f>
        <v>2.3962884136674838E-2</v>
      </c>
      <c r="AJ11" s="18">
        <f>('Evolutitve SCI'!AH23+'Evolutitve SCI'!AH12)/(('Evolutive SFP'!AH27+'Evolutive SFP'!AI27)/2)</f>
        <v>6.6458457690581368E-2</v>
      </c>
      <c r="AK11" s="18" t="e">
        <f>('Evolutitve SCI'!AI23+'Evolutitve SCI'!AI12)/(('Evolutive SFP'!AI27+'Evolutive SFP'!AJ27)/2)</f>
        <v>#DIV/0!</v>
      </c>
      <c r="AL11" s="18" t="e">
        <f>('Evolutitve SCI'!AJ23+'Evolutitve SCI'!AJ12)/(('Evolutive SFP'!AJ27+'Evolutive SFP'!AK27)/2)</f>
        <v>#DIV/0!</v>
      </c>
      <c r="AM11" s="18" t="e">
        <f>('Evolutitve SCI'!AK23+'Evolutitve SCI'!AK12)/(('Evolutive SFP'!AK27+'Evolutive SFP'!AL27)/2)</f>
        <v>#DIV/0!</v>
      </c>
      <c r="AN11" s="18" t="e">
        <f>('Evolutitve SCI'!AL23+'Evolutitve SCI'!AL12)/(('Evolutive SFP'!AL27+'Evolutive SFP'!AM27)/2)</f>
        <v>#DIV/0!</v>
      </c>
      <c r="AO11" s="18" t="e">
        <f>('Evolutitve SCI'!AM23+'Evolutitve SCI'!AM12)/(('Evolutive SFP'!AM27+'Evolutive SFP'!AN27)/2)</f>
        <v>#DIV/0!</v>
      </c>
      <c r="AP11" s="18" t="e">
        <f>('Evolutitve SCI'!AN23+'Evolutitve SCI'!AN12)/(('Evolutive SFP'!AN27+'Evolutive SFP'!AO27)/2)</f>
        <v>#DIV/0!</v>
      </c>
      <c r="AQ11" s="18" t="e">
        <f>('Evolutitve SCI'!AO23+'Evolutitve SCI'!AO12)/(('Evolutive SFP'!AO27+'Evolutive SFP'!AP27)/2)</f>
        <v>#DIV/0!</v>
      </c>
      <c r="AR11" s="18" t="e">
        <f>('Evolutitve SCI'!AP23+'Evolutitve SCI'!AP12)/(('Evolutive SFP'!AP27+'Evolutive SFP'!AQ27)/2)</f>
        <v>#DIV/0!</v>
      </c>
      <c r="AS11" s="18" t="e">
        <f>('Evolutitve SCI'!AQ23+'Evolutitve SCI'!AQ12)/(('Evolutive SFP'!AQ27+'Evolutive SFP'!AR27)/2)</f>
        <v>#DIV/0!</v>
      </c>
      <c r="AT11" s="18" t="e">
        <f>('Evolutitve SCI'!AR23+'Evolutitve SCI'!AR12)/(('Evolutive SFP'!AR27+'Evolutive SFP'!AS27)/2)</f>
        <v>#DIV/0!</v>
      </c>
      <c r="AU11" s="18" t="e">
        <f>('Evolutitve SCI'!AS23+'Evolutitve SCI'!AS12)/(('Evolutive SFP'!AS27+'Evolutive SFP'!AT27)/2)</f>
        <v>#DIV/0!</v>
      </c>
      <c r="AV11" s="18" t="e">
        <f>('Evolutitve SCI'!AT23+'Evolutitve SCI'!AT12)/(('Evolutive SFP'!AT27+'Evolutive SFP'!AU27)/2)</f>
        <v>#DIV/0!</v>
      </c>
      <c r="AW11" s="18" t="e">
        <f>('Evolutitve SCI'!AU23+'Evolutitve SCI'!AU12)/(('Evolutive SFP'!AU27+'Evolutive SFP'!AV27)/2)</f>
        <v>#DIV/0!</v>
      </c>
      <c r="AX11" s="18" t="e">
        <f>('Evolutitve SCI'!AV23+'Evolutitve SCI'!AV12)/(('Evolutive SFP'!AV27+'Evolutive SFP'!AW27)/2)</f>
        <v>#DIV/0!</v>
      </c>
      <c r="AY11" s="18" t="e">
        <f>('Evolutitve SCI'!AW23+'Evolutitve SCI'!AW12)/(('Evolutive SFP'!AW27+'Evolutive SFP'!AX27)/2)</f>
        <v>#DIV/0!</v>
      </c>
    </row>
    <row r="12" spans="1:51" ht="15" x14ac:dyDescent="0.3">
      <c r="A12" s="246" t="s">
        <v>114</v>
      </c>
      <c r="B12" s="3" t="s">
        <v>115</v>
      </c>
      <c r="C12" s="16" t="s">
        <v>116</v>
      </c>
      <c r="D12" s="18">
        <f>('Evolutive SFP'!B4)/('Evolutive SFP'!B28+'Evolutive SFP'!B29+'Evolutive SFP'!B32+'Evolutive SFP'!B33+'Evolutive SFP'!B34+'Evolutive SFP'!B35+'Evolutive SFP'!B36)</f>
        <v>0.9080663241381759</v>
      </c>
      <c r="E12" s="18">
        <f>('Evolutive SFP'!C4)/('Evolutive SFP'!C28+'Evolutive SFP'!C29+'Evolutive SFP'!C32+'Evolutive SFP'!C33+'Evolutive SFP'!C34+'Evolutive SFP'!C35+'Evolutive SFP'!C36)</f>
        <v>1.5066816593701833</v>
      </c>
      <c r="F12" s="18">
        <f>('Evolutive SFP'!D4)/('Evolutive SFP'!D28+'Evolutive SFP'!D29+'Evolutive SFP'!D32+'Evolutive SFP'!D33+'Evolutive SFP'!D34+'Evolutive SFP'!D35+'Evolutive SFP'!D36)</f>
        <v>1.4908280858751373</v>
      </c>
      <c r="G12" s="18">
        <f>('Evolutive SFP'!E4)/('Evolutive SFP'!E28+'Evolutive SFP'!E29+'Evolutive SFP'!E32+'Evolutive SFP'!E33+'Evolutive SFP'!E34+'Evolutive SFP'!E35+'Evolutive SFP'!E36)</f>
        <v>1.4547455321854597</v>
      </c>
      <c r="H12" s="18">
        <f>('Evolutive SFP'!F4)/('Evolutive SFP'!F28+'Evolutive SFP'!F29+'Evolutive SFP'!F32+'Evolutive SFP'!F33+'Evolutive SFP'!F34+'Evolutive SFP'!F35+'Evolutive SFP'!F36)</f>
        <v>1.4930332033253222</v>
      </c>
      <c r="I12" s="18">
        <f>('Evolutive SFP'!G4)/('Evolutive SFP'!G28+'Evolutive SFP'!G29+'Evolutive SFP'!G32+'Evolutive SFP'!G33+'Evolutive SFP'!G34+'Evolutive SFP'!G35+'Evolutive SFP'!G36)</f>
        <v>1.5606635976005405</v>
      </c>
      <c r="J12" s="18">
        <f>('Evolutive SFP'!H4)/('Evolutive SFP'!H28+'Evolutive SFP'!H29+'Evolutive SFP'!H32+'Evolutive SFP'!H33+'Evolutive SFP'!H34+'Evolutive SFP'!H35+'Evolutive SFP'!H36)</f>
        <v>1.6483800488041684</v>
      </c>
      <c r="K12" s="18">
        <f>('Evolutive SFP'!I4)/('Evolutive SFP'!I28+'Evolutive SFP'!I29+'Evolutive SFP'!I32+'Evolutive SFP'!I33+'Evolutive SFP'!I34+'Evolutive SFP'!I35+'Evolutive SFP'!I36)</f>
        <v>1.672703748949478</v>
      </c>
      <c r="L12" s="18">
        <f>('Evolutive SFP'!J4)/('Evolutive SFP'!J28+'Evolutive SFP'!J29+'Evolutive SFP'!J32+'Evolutive SFP'!J33+'Evolutive SFP'!J34+'Evolutive SFP'!J35+'Evolutive SFP'!J36)</f>
        <v>1.7866025830637893</v>
      </c>
      <c r="M12" s="18">
        <f>('Evolutive SFP'!K4)/('Evolutive SFP'!K28+'Evolutive SFP'!K29+'Evolutive SFP'!K32+'Evolutive SFP'!K33+'Evolutive SFP'!K34+'Evolutive SFP'!K35+'Evolutive SFP'!K36)</f>
        <v>1.8657275402553806</v>
      </c>
      <c r="N12" s="18">
        <f>('Evolutive SFP'!L4)/('Evolutive SFP'!L28+'Evolutive SFP'!L29+'Evolutive SFP'!L32+'Evolutive SFP'!L33+'Evolutive SFP'!L34+'Evolutive SFP'!L35+'Evolutive SFP'!L36)</f>
        <v>1.8527898314251945</v>
      </c>
      <c r="O12" s="18">
        <f>('Evolutive SFP'!M4)/('Evolutive SFP'!M28+'Evolutive SFP'!M29+'Evolutive SFP'!M32+'Evolutive SFP'!M33+'Evolutive SFP'!M34+'Evolutive SFP'!M35+'Evolutive SFP'!M36)</f>
        <v>1.8911887951729698</v>
      </c>
      <c r="P12" s="18">
        <f>('Evolutive SFP'!N4)/('Evolutive SFP'!N28+'Evolutive SFP'!N29+'Evolutive SFP'!N32+'Evolutive SFP'!N33+'Evolutive SFP'!N34+'Evolutive SFP'!N35+'Evolutive SFP'!N36)</f>
        <v>1.8821100226636451</v>
      </c>
      <c r="Q12" s="18">
        <f>('Evolutive SFP'!O4)/('Evolutive SFP'!O28+'Evolutive SFP'!O29+'Evolutive SFP'!O32+'Evolutive SFP'!O33+'Evolutive SFP'!O34+'Evolutive SFP'!O35+'Evolutive SFP'!O36)</f>
        <v>1.8945316012513176</v>
      </c>
      <c r="R12" s="18">
        <f>('Evolutive SFP'!P4)/('Evolutive SFP'!P28+'Evolutive SFP'!P29+'Evolutive SFP'!P32+'Evolutive SFP'!P33+'Evolutive SFP'!P34+'Evolutive SFP'!P35+'Evolutive SFP'!P36)</f>
        <v>1.6949852991935341</v>
      </c>
      <c r="S12" s="18">
        <f>('Evolutive SFP'!Q4)/('Evolutive SFP'!Q28+'Evolutive SFP'!Q29+'Evolutive SFP'!Q32+'Evolutive SFP'!Q33+'Evolutive SFP'!Q34+'Evolutive SFP'!Q35+'Evolutive SFP'!Q36)</f>
        <v>1.8997806246024125</v>
      </c>
      <c r="T12" s="18">
        <f>('Evolutive SFP'!R4)/('Evolutive SFP'!R28+'Evolutive SFP'!R29+'Evolutive SFP'!R32+'Evolutive SFP'!R33+'Evolutive SFP'!R34+'Evolutive SFP'!R35+'Evolutive SFP'!R36)</f>
        <v>1.9031654070537876</v>
      </c>
      <c r="U12" s="18">
        <f>('Evolutive SFP'!S4)/('Evolutive SFP'!S28+'Evolutive SFP'!S29+'Evolutive SFP'!S32+'Evolutive SFP'!S33+'Evolutive SFP'!S34+'Evolutive SFP'!S35+'Evolutive SFP'!S36)</f>
        <v>1.7744039759546584</v>
      </c>
      <c r="V12" s="18">
        <f>('Evolutive SFP'!T4)/('Evolutive SFP'!T28+'Evolutive SFP'!T29+'Evolutive SFP'!T32+'Evolutive SFP'!T33+'Evolutive SFP'!T34+'Evolutive SFP'!T35+'Evolutive SFP'!T36)</f>
        <v>1.7340990290525355</v>
      </c>
      <c r="W12" s="18">
        <f>('Evolutive SFP'!U4)/('Evolutive SFP'!U28+'Evolutive SFP'!U29+'Evolutive SFP'!U32+'Evolutive SFP'!U33+'Evolutive SFP'!U34+'Evolutive SFP'!U35+'Evolutive SFP'!U36)</f>
        <v>1.7448372443103584</v>
      </c>
      <c r="X12" s="18">
        <f>('Evolutive SFP'!V4)/('Evolutive SFP'!V28+'Evolutive SFP'!V29+'Evolutive SFP'!V32+'Evolutive SFP'!V33+'Evolutive SFP'!V34+'Evolutive SFP'!V35+'Evolutive SFP'!V36)</f>
        <v>1.8133415464380256</v>
      </c>
      <c r="Y12" s="18">
        <f>('Evolutive SFP'!W4)/('Evolutive SFP'!W28+'Evolutive SFP'!W29+'Evolutive SFP'!W32+'Evolutive SFP'!W33+'Evolutive SFP'!W34+'Evolutive SFP'!W35+'Evolutive SFP'!W36)</f>
        <v>1.8487899020989265</v>
      </c>
      <c r="Z12" s="18">
        <f>('Evolutive SFP'!X4)/('Evolutive SFP'!X28+'Evolutive SFP'!X29+'Evolutive SFP'!X32+'Evolutive SFP'!X33+'Evolutive SFP'!X34+'Evolutive SFP'!X35+'Evolutive SFP'!X36)</f>
        <v>1.7085917119959153</v>
      </c>
      <c r="AA12" s="18">
        <f>('Evolutive SFP'!Y4)/('Evolutive SFP'!Y28+'Evolutive SFP'!Y29+'Evolutive SFP'!Y32+'Evolutive SFP'!Y33+'Evolutive SFP'!Y34+'Evolutive SFP'!Y35+'Evolutive SFP'!Y36)</f>
        <v>1.753051149496994</v>
      </c>
      <c r="AB12" s="18">
        <f>('Evolutive SFP'!Z4)/('Evolutive SFP'!Z28+'Evolutive SFP'!Z29+'Evolutive SFP'!Z32+'Evolutive SFP'!Z33+'Evolutive SFP'!Z34+'Evolutive SFP'!Z35+'Evolutive SFP'!Z36)</f>
        <v>1.7836550042549375</v>
      </c>
      <c r="AC12" s="18">
        <f>('Evolutive SFP'!AA4)/('Evolutive SFP'!AA28+'Evolutive SFP'!AA29+'Evolutive SFP'!AA32+'Evolutive SFP'!AA33+'Evolutive SFP'!AA34+'Evolutive SFP'!AA35+'Evolutive SFP'!AA36)</f>
        <v>1.8335233317025394</v>
      </c>
      <c r="AD12" s="18">
        <f>('Evolutive SFP'!AB4)/('Evolutive SFP'!AB28+'Evolutive SFP'!AB29+'Evolutive SFP'!AB32+'Evolutive SFP'!AB33+'Evolutive SFP'!AB34+'Evolutive SFP'!AB35+'Evolutive SFP'!AB36)</f>
        <v>1.7834397927500198</v>
      </c>
      <c r="AE12" s="18">
        <f>('Evolutive SFP'!AC4)/('Evolutive SFP'!AC28+'Evolutive SFP'!AC29+'Evolutive SFP'!AC32+'Evolutive SFP'!AC33+'Evolutive SFP'!AC34+'Evolutive SFP'!AC35+'Evolutive SFP'!AC36)</f>
        <v>1.6598332571293839</v>
      </c>
      <c r="AF12" s="18">
        <f>('Evolutive SFP'!AD4)/('Evolutive SFP'!AD28+'Evolutive SFP'!AD29+'Evolutive SFP'!AD32+'Evolutive SFP'!AD33+'Evolutive SFP'!AD34+'Evolutive SFP'!AD35+'Evolutive SFP'!AD36)</f>
        <v>1.7831323621626911</v>
      </c>
      <c r="AG12" s="18">
        <f>('Evolutive SFP'!AE4)/('Evolutive SFP'!AE28+'Evolutive SFP'!AE29+'Evolutive SFP'!AE32+'Evolutive SFP'!AE33+'Evolutive SFP'!AE34+'Evolutive SFP'!AE35+'Evolutive SFP'!AE36)</f>
        <v>1.724995898267415</v>
      </c>
      <c r="AH12" s="18">
        <f>('Evolutive SFP'!AF4)/('Evolutive SFP'!AF28+'Evolutive SFP'!AF29+'Evolutive SFP'!AF32+'Evolutive SFP'!AF33+'Evolutive SFP'!AF34+'Evolutive SFP'!AF35+'Evolutive SFP'!AF36)</f>
        <v>1.7575423081416108</v>
      </c>
      <c r="AI12" s="18">
        <f>('Evolutive SFP'!AG4)/('Evolutive SFP'!AG28+'Evolutive SFP'!AG29+'Evolutive SFP'!AG32+'Evolutive SFP'!AG33+'Evolutive SFP'!AG34+'Evolutive SFP'!AG35+'Evolutive SFP'!AG36)</f>
        <v>1.8511758164262122</v>
      </c>
      <c r="AJ12" s="18">
        <f>('Evolutive SFP'!AH4)/('Evolutive SFP'!AH28+'Evolutive SFP'!AH29+'Evolutive SFP'!AH32+'Evolutive SFP'!AH33+'Evolutive SFP'!AH34+'Evolutive SFP'!AH35+'Evolutive SFP'!AH36)</f>
        <v>1.9437953429911969</v>
      </c>
      <c r="AK12" s="18" t="e">
        <f>('Evolutive SFP'!AI4)/('Evolutive SFP'!AI28+'Evolutive SFP'!AI29+'Evolutive SFP'!AI32+'Evolutive SFP'!AI33+'Evolutive SFP'!AI34+'Evolutive SFP'!AI35+'Evolutive SFP'!AI36)</f>
        <v>#DIV/0!</v>
      </c>
      <c r="AL12" s="18" t="e">
        <f>('Evolutive SFP'!AJ4)/('Evolutive SFP'!AJ28+'Evolutive SFP'!AJ29+'Evolutive SFP'!AJ32+'Evolutive SFP'!AJ33+'Evolutive SFP'!AJ34+'Evolutive SFP'!AJ35+'Evolutive SFP'!AJ36)</f>
        <v>#DIV/0!</v>
      </c>
      <c r="AM12" s="18" t="e">
        <f>('Evolutive SFP'!AK4)/('Evolutive SFP'!AK28+'Evolutive SFP'!AK29+'Evolutive SFP'!AK32+'Evolutive SFP'!AK33+'Evolutive SFP'!AK34+'Evolutive SFP'!AK35+'Evolutive SFP'!AK36)</f>
        <v>#DIV/0!</v>
      </c>
      <c r="AN12" s="18" t="e">
        <f>('Evolutive SFP'!AL4)/('Evolutive SFP'!AL28+'Evolutive SFP'!AL29+'Evolutive SFP'!AL32+'Evolutive SFP'!AL33+'Evolutive SFP'!AL34+'Evolutive SFP'!AL35+'Evolutive SFP'!AL36)</f>
        <v>#DIV/0!</v>
      </c>
      <c r="AO12" s="18" t="e">
        <f>('Evolutive SFP'!AM4)/('Evolutive SFP'!AM28+'Evolutive SFP'!AM29+'Evolutive SFP'!AM32+'Evolutive SFP'!AM33+'Evolutive SFP'!AM34+'Evolutive SFP'!AM35+'Evolutive SFP'!AM36)</f>
        <v>#DIV/0!</v>
      </c>
      <c r="AP12" s="18" t="e">
        <f>('Evolutive SFP'!AN4)/('Evolutive SFP'!AN28+'Evolutive SFP'!AN29+'Evolutive SFP'!AN32+'Evolutive SFP'!AN33+'Evolutive SFP'!AN34+'Evolutive SFP'!AN35+'Evolutive SFP'!AN36)</f>
        <v>#DIV/0!</v>
      </c>
      <c r="AQ12" s="18" t="e">
        <f>('Evolutive SFP'!AO4)/('Evolutive SFP'!AO28+'Evolutive SFP'!AO29+'Evolutive SFP'!AO32+'Evolutive SFP'!AO33+'Evolutive SFP'!AO34+'Evolutive SFP'!AO35+'Evolutive SFP'!AO36)</f>
        <v>#DIV/0!</v>
      </c>
      <c r="AR12" s="18" t="e">
        <f>('Evolutive SFP'!AP4)/('Evolutive SFP'!AP28+'Evolutive SFP'!AP29+'Evolutive SFP'!AP32+'Evolutive SFP'!AP33+'Evolutive SFP'!AP34+'Evolutive SFP'!AP35+'Evolutive SFP'!AP36)</f>
        <v>#DIV/0!</v>
      </c>
      <c r="AS12" s="18" t="e">
        <f>('Evolutive SFP'!AQ4)/('Evolutive SFP'!AQ28+'Evolutive SFP'!AQ29+'Evolutive SFP'!AQ32+'Evolutive SFP'!AQ33+'Evolutive SFP'!AQ34+'Evolutive SFP'!AQ35+'Evolutive SFP'!AQ36)</f>
        <v>#DIV/0!</v>
      </c>
      <c r="AT12" s="18" t="e">
        <f>('Evolutive SFP'!AR4)/('Evolutive SFP'!AR28+'Evolutive SFP'!AR29+'Evolutive SFP'!AR32+'Evolutive SFP'!AR33+'Evolutive SFP'!AR34+'Evolutive SFP'!AR35+'Evolutive SFP'!AR36)</f>
        <v>#DIV/0!</v>
      </c>
      <c r="AU12" s="18" t="e">
        <f>('Evolutive SFP'!AS4)/('Evolutive SFP'!AS28+'Evolutive SFP'!AS29+'Evolutive SFP'!AS32+'Evolutive SFP'!AS33+'Evolutive SFP'!AS34+'Evolutive SFP'!AS35+'Evolutive SFP'!AS36)</f>
        <v>#DIV/0!</v>
      </c>
      <c r="AV12" s="18" t="e">
        <f>('Evolutive SFP'!AT4)/('Evolutive SFP'!AT28+'Evolutive SFP'!AT29+'Evolutive SFP'!AT32+'Evolutive SFP'!AT33+'Evolutive SFP'!AT34+'Evolutive SFP'!AT35+'Evolutive SFP'!AT36)</f>
        <v>#DIV/0!</v>
      </c>
      <c r="AW12" s="18" t="e">
        <f>('Evolutive SFP'!AU4)/('Evolutive SFP'!AU28+'Evolutive SFP'!AU29+'Evolutive SFP'!AU32+'Evolutive SFP'!AU33+'Evolutive SFP'!AU34+'Evolutive SFP'!AU35+'Evolutive SFP'!AU36)</f>
        <v>#DIV/0!</v>
      </c>
      <c r="AX12" s="18" t="e">
        <f>('Evolutive SFP'!AV4)/('Evolutive SFP'!AV28+'Evolutive SFP'!AV29+'Evolutive SFP'!AV32+'Evolutive SFP'!AV33+'Evolutive SFP'!AV34+'Evolutive SFP'!AV35+'Evolutive SFP'!AV36)</f>
        <v>#DIV/0!</v>
      </c>
      <c r="AY12" s="18" t="e">
        <f>('Evolutive SFP'!AW4)/('Evolutive SFP'!AW28+'Evolutive SFP'!AW29+'Evolutive SFP'!AW32+'Evolutive SFP'!AW33+'Evolutive SFP'!AW34+'Evolutive SFP'!AW35+'Evolutive SFP'!AW36)</f>
        <v>#DIV/0!</v>
      </c>
    </row>
    <row r="13" spans="1:51" ht="15" x14ac:dyDescent="0.3">
      <c r="A13" s="246"/>
      <c r="B13" s="3" t="s">
        <v>117</v>
      </c>
      <c r="C13" s="39"/>
      <c r="D13" s="18">
        <f>'Evolutive SFP'!B4/('Evolutive SFP'!B31+'Evolutive SFP'!B36)</f>
        <v>0.14915539337983874</v>
      </c>
      <c r="E13" s="18">
        <f>'Evolutive SFP'!C4/('Evolutive SFP'!C31+'Evolutive SFP'!C36)</f>
        <v>0.55211955350222841</v>
      </c>
      <c r="F13" s="18">
        <f>'Evolutive SFP'!D4/('Evolutive SFP'!D31+'Evolutive SFP'!D36)</f>
        <v>0.53195438019539965</v>
      </c>
      <c r="G13" s="18">
        <f>'Evolutive SFP'!E4/('Evolutive SFP'!E31+'Evolutive SFP'!E36)</f>
        <v>0.50796337101501632</v>
      </c>
      <c r="H13" s="18">
        <f>'Evolutive SFP'!F4/('Evolutive SFP'!F31+'Evolutive SFP'!F36)</f>
        <v>0.4981676153935492</v>
      </c>
      <c r="I13" s="18">
        <f>'Evolutive SFP'!G4/('Evolutive SFP'!G31+'Evolutive SFP'!G36)</f>
        <v>0.49026421768514228</v>
      </c>
      <c r="J13" s="18">
        <f>'Evolutive SFP'!H4/('Evolutive SFP'!H31+'Evolutive SFP'!H36)</f>
        <v>0.49072735487244296</v>
      </c>
      <c r="K13" s="18">
        <f>'Evolutive SFP'!I4/('Evolutive SFP'!I31+'Evolutive SFP'!I36)</f>
        <v>0.49630355267039838</v>
      </c>
      <c r="L13" s="18">
        <f>'Evolutive SFP'!J4/('Evolutive SFP'!J31+'Evolutive SFP'!J36)</f>
        <v>0.52122479999604632</v>
      </c>
      <c r="M13" s="18">
        <f>'Evolutive SFP'!K4/('Evolutive SFP'!K31+'Evolutive SFP'!K36)</f>
        <v>0.52320619838636107</v>
      </c>
      <c r="N13" s="18">
        <f>'Evolutive SFP'!L4/('Evolutive SFP'!L31+'Evolutive SFP'!L36)</f>
        <v>0.52094544910786</v>
      </c>
      <c r="O13" s="18">
        <f>'Evolutive SFP'!M4/('Evolutive SFP'!M31+'Evolutive SFP'!M36)</f>
        <v>0.56120001874352177</v>
      </c>
      <c r="P13" s="18">
        <f>'Evolutive SFP'!N4/('Evolutive SFP'!N31+'Evolutive SFP'!N36)</f>
        <v>0.55804809161017921</v>
      </c>
      <c r="Q13" s="18">
        <f>'Evolutive SFP'!O4/('Evolutive SFP'!O31+'Evolutive SFP'!O36)</f>
        <v>0.56769502811495864</v>
      </c>
      <c r="R13" s="18">
        <f>'Evolutive SFP'!P4/('Evolutive SFP'!P31+'Evolutive SFP'!P36)</f>
        <v>0.5666428438674691</v>
      </c>
      <c r="S13" s="18">
        <f>'Evolutive SFP'!Q4/('Evolutive SFP'!Q31+'Evolutive SFP'!Q36)</f>
        <v>0.57439233753624208</v>
      </c>
      <c r="T13" s="18">
        <f>'Evolutive SFP'!R4/('Evolutive SFP'!R31+'Evolutive SFP'!R36)</f>
        <v>0.58949495305140009</v>
      </c>
      <c r="U13" s="18">
        <f>'Evolutive SFP'!S4/('Evolutive SFP'!S31+'Evolutive SFP'!S36)</f>
        <v>0.5571019334226186</v>
      </c>
      <c r="V13" s="18">
        <f>'Evolutive SFP'!T4/('Evolutive SFP'!T31+'Evolutive SFP'!T36)</f>
        <v>0.51965259800934938</v>
      </c>
      <c r="W13" s="18">
        <f>'Evolutive SFP'!U4/('Evolutive SFP'!U31+'Evolutive SFP'!U36)</f>
        <v>0.54745230259314082</v>
      </c>
      <c r="X13" s="18">
        <f>'Evolutive SFP'!V4/('Evolutive SFP'!V31+'Evolutive SFP'!V36)</f>
        <v>0.5379789702494806</v>
      </c>
      <c r="Y13" s="18">
        <f>'Evolutive SFP'!W4/('Evolutive SFP'!W31+'Evolutive SFP'!W36)</f>
        <v>0.68256672251977479</v>
      </c>
      <c r="Z13" s="18">
        <f>'Evolutive SFP'!X4/('Evolutive SFP'!X31+'Evolutive SFP'!X36)</f>
        <v>0.60143990524445912</v>
      </c>
      <c r="AA13" s="18">
        <f>'Evolutive SFP'!Y4/('Evolutive SFP'!Y31+'Evolutive SFP'!Y36)</f>
        <v>0.5895195188957798</v>
      </c>
      <c r="AB13" s="18">
        <f>'Evolutive SFP'!Z4/('Evolutive SFP'!Z31+'Evolutive SFP'!Z36)</f>
        <v>0.59833196925264409</v>
      </c>
      <c r="AC13" s="18">
        <f>'Evolutive SFP'!AA4/('Evolutive SFP'!AA31+'Evolutive SFP'!AA36)</f>
        <v>0.62134669845541379</v>
      </c>
      <c r="AD13" s="18">
        <f>'Evolutive SFP'!AB4/('Evolutive SFP'!AB31+'Evolutive SFP'!AB36)</f>
        <v>0.65480294340909806</v>
      </c>
      <c r="AE13" s="18">
        <f>'Evolutive SFP'!AC4/('Evolutive SFP'!AC31+'Evolutive SFP'!AC36)</f>
        <v>0.65504817336902421</v>
      </c>
      <c r="AF13" s="18">
        <f>'Evolutive SFP'!AD4/('Evolutive SFP'!AD31+'Evolutive SFP'!AD36)</f>
        <v>0.65805863582862567</v>
      </c>
      <c r="AG13" s="18">
        <f>'Evolutive SFP'!AE4/('Evolutive SFP'!AE31+'Evolutive SFP'!AE36)</f>
        <v>0.64775462493358171</v>
      </c>
      <c r="AH13" s="18">
        <f>'Evolutive SFP'!AF4/('Evolutive SFP'!AF31+'Evolutive SFP'!AF36)</f>
        <v>0.6224449856999984</v>
      </c>
      <c r="AI13" s="18">
        <f>'Evolutive SFP'!AG4/('Evolutive SFP'!AG31+'Evolutive SFP'!AG36)</f>
        <v>0.59349943249119519</v>
      </c>
      <c r="AJ13" s="18">
        <f>'Evolutive SFP'!AH4/('Evolutive SFP'!AH31+'Evolutive SFP'!AH36)</f>
        <v>0.59287478044048814</v>
      </c>
      <c r="AK13" s="18" t="e">
        <f>'Evolutive SFP'!AI4/('Evolutive SFP'!AI31+'Evolutive SFP'!AI36)</f>
        <v>#DIV/0!</v>
      </c>
      <c r="AL13" s="18" t="e">
        <f>'Evolutive SFP'!AJ4/('Evolutive SFP'!AJ31+'Evolutive SFP'!AJ36)</f>
        <v>#DIV/0!</v>
      </c>
      <c r="AM13" s="18" t="e">
        <f>'Evolutive SFP'!AK4/('Evolutive SFP'!AK31+'Evolutive SFP'!AK36)</f>
        <v>#DIV/0!</v>
      </c>
      <c r="AN13" s="18" t="e">
        <f>'Evolutive SFP'!AL4/('Evolutive SFP'!AL31+'Evolutive SFP'!AL36)</f>
        <v>#DIV/0!</v>
      </c>
      <c r="AO13" s="18" t="e">
        <f>'Evolutive SFP'!AM4/('Evolutive SFP'!AM31+'Evolutive SFP'!AM36)</f>
        <v>#DIV/0!</v>
      </c>
      <c r="AP13" s="18" t="e">
        <f>'Evolutive SFP'!AN4/('Evolutive SFP'!AN31+'Evolutive SFP'!AN36)</f>
        <v>#DIV/0!</v>
      </c>
      <c r="AQ13" s="18" t="e">
        <f>'Evolutive SFP'!AO4/('Evolutive SFP'!AO31+'Evolutive SFP'!AO36)</f>
        <v>#DIV/0!</v>
      </c>
      <c r="AR13" s="18" t="e">
        <f>'Evolutive SFP'!AP4/('Evolutive SFP'!AP31+'Evolutive SFP'!AP36)</f>
        <v>#DIV/0!</v>
      </c>
      <c r="AS13" s="18" t="e">
        <f>'Evolutive SFP'!AQ4/('Evolutive SFP'!AQ31+'Evolutive SFP'!AQ36)</f>
        <v>#DIV/0!</v>
      </c>
      <c r="AT13" s="18" t="e">
        <f>'Evolutive SFP'!AR4/('Evolutive SFP'!AR31+'Evolutive SFP'!AR36)</f>
        <v>#DIV/0!</v>
      </c>
      <c r="AU13" s="18" t="e">
        <f>'Evolutive SFP'!AS4/('Evolutive SFP'!AS31+'Evolutive SFP'!AS36)</f>
        <v>#DIV/0!</v>
      </c>
      <c r="AV13" s="18" t="e">
        <f>'Evolutive SFP'!AT4/('Evolutive SFP'!AT31+'Evolutive SFP'!AT36)</f>
        <v>#DIV/0!</v>
      </c>
      <c r="AW13" s="18" t="e">
        <f>'Evolutive SFP'!AU4/('Evolutive SFP'!AU31+'Evolutive SFP'!AU36)</f>
        <v>#DIV/0!</v>
      </c>
      <c r="AX13" s="18" t="e">
        <f>'Evolutive SFP'!AV4/('Evolutive SFP'!AV31+'Evolutive SFP'!AV36)</f>
        <v>#DIV/0!</v>
      </c>
      <c r="AY13" s="18" t="e">
        <f>'Evolutive SFP'!AW4/('Evolutive SFP'!AW31+'Evolutive SFP'!AW36)</f>
        <v>#DIV/0!</v>
      </c>
    </row>
    <row r="14" spans="1:51" ht="15" x14ac:dyDescent="0.3">
      <c r="A14" s="246"/>
      <c r="B14" s="3" t="s">
        <v>118</v>
      </c>
      <c r="C14" s="16" t="s">
        <v>119</v>
      </c>
      <c r="D14" s="18">
        <f>'Evolutive SFP'!B37/'Evolutive SFP'!B27</f>
        <v>1.5175035177958185E-2</v>
      </c>
      <c r="E14" s="18">
        <f>'Evolutive SFP'!C37/'Evolutive SFP'!C27</f>
        <v>0</v>
      </c>
      <c r="F14" s="18">
        <f>'Evolutive SFP'!D37/'Evolutive SFP'!D27</f>
        <v>0</v>
      </c>
      <c r="G14" s="18">
        <f>'Evolutive SFP'!E37/'Evolutive SFP'!E27</f>
        <v>0</v>
      </c>
      <c r="H14" s="18">
        <f>'Evolutive SFP'!F37/'Evolutive SFP'!F27</f>
        <v>0</v>
      </c>
      <c r="I14" s="18">
        <f>'Evolutive SFP'!G37/'Evolutive SFP'!G27</f>
        <v>0</v>
      </c>
      <c r="J14" s="18">
        <f>'Evolutive SFP'!H37/'Evolutive SFP'!H27</f>
        <v>0</v>
      </c>
      <c r="K14" s="18">
        <f>'Evolutive SFP'!I37/'Evolutive SFP'!I27</f>
        <v>0</v>
      </c>
      <c r="L14" s="18">
        <f>'Evolutive SFP'!J37/'Evolutive SFP'!J27</f>
        <v>0</v>
      </c>
      <c r="M14" s="18">
        <f>'Evolutive SFP'!K37/'Evolutive SFP'!K27</f>
        <v>0</v>
      </c>
      <c r="N14" s="18">
        <f>'Evolutive SFP'!L37/'Evolutive SFP'!L27</f>
        <v>0</v>
      </c>
      <c r="O14" s="18">
        <f>'Evolutive SFP'!M37/'Evolutive SFP'!M27</f>
        <v>0</v>
      </c>
      <c r="P14" s="18">
        <f>'Evolutive SFP'!N37/'Evolutive SFP'!N27</f>
        <v>0</v>
      </c>
      <c r="Q14" s="18">
        <f>'Evolutive SFP'!O37/'Evolutive SFP'!O27</f>
        <v>0</v>
      </c>
      <c r="R14" s="18">
        <f>'Evolutive SFP'!P37/'Evolutive SFP'!P27</f>
        <v>0</v>
      </c>
      <c r="S14" s="18">
        <f>'Evolutive SFP'!Q37/'Evolutive SFP'!Q27</f>
        <v>0</v>
      </c>
      <c r="T14" s="18">
        <f>'Evolutive SFP'!R37/'Evolutive SFP'!R27</f>
        <v>0</v>
      </c>
      <c r="U14" s="18">
        <f>'Evolutive SFP'!S37/'Evolutive SFP'!S27</f>
        <v>0</v>
      </c>
      <c r="V14" s="18">
        <f>'Evolutive SFP'!T37/'Evolutive SFP'!T27</f>
        <v>0</v>
      </c>
      <c r="W14" s="18">
        <f>'Evolutive SFP'!U37/'Evolutive SFP'!U27</f>
        <v>0</v>
      </c>
      <c r="X14" s="18">
        <f>'Evolutive SFP'!V37/'Evolutive SFP'!V27</f>
        <v>0</v>
      </c>
      <c r="Y14" s="18">
        <f>'Evolutive SFP'!W37/'Evolutive SFP'!W27</f>
        <v>0</v>
      </c>
      <c r="Z14" s="18">
        <f>'Evolutive SFP'!X37/'Evolutive SFP'!X27</f>
        <v>0</v>
      </c>
      <c r="AA14" s="18">
        <f>'Evolutive SFP'!Y37/'Evolutive SFP'!Y27</f>
        <v>0</v>
      </c>
      <c r="AB14" s="18">
        <f>'Evolutive SFP'!Z37/'Evolutive SFP'!Z27</f>
        <v>0</v>
      </c>
      <c r="AC14" s="18">
        <f>'Evolutive SFP'!AA37/'Evolutive SFP'!AA27</f>
        <v>0</v>
      </c>
      <c r="AD14" s="18">
        <f>'Evolutive SFP'!AB37/'Evolutive SFP'!AB27</f>
        <v>0</v>
      </c>
      <c r="AE14" s="18">
        <f>'Evolutive SFP'!AC37/'Evolutive SFP'!AC27</f>
        <v>0</v>
      </c>
      <c r="AF14" s="18">
        <f>'Evolutive SFP'!AD37/'Evolutive SFP'!AD27</f>
        <v>0</v>
      </c>
      <c r="AG14" s="18">
        <f>'Evolutive SFP'!AE37/'Evolutive SFP'!AE27</f>
        <v>0</v>
      </c>
      <c r="AH14" s="18">
        <f>'Evolutive SFP'!AF37/'Evolutive SFP'!AF27</f>
        <v>0</v>
      </c>
      <c r="AI14" s="18">
        <f>'Evolutive SFP'!AG37/'Evolutive SFP'!AG27</f>
        <v>0</v>
      </c>
      <c r="AJ14" s="18">
        <f>'Evolutive SFP'!AH37/'Evolutive SFP'!AH27</f>
        <v>0</v>
      </c>
      <c r="AK14" s="18" t="e">
        <f>'Evolutive SFP'!AI37/'Evolutive SFP'!AI27</f>
        <v>#DIV/0!</v>
      </c>
      <c r="AL14" s="18" t="e">
        <f>'Evolutive SFP'!AJ37/'Evolutive SFP'!AJ27</f>
        <v>#DIV/0!</v>
      </c>
      <c r="AM14" s="18" t="e">
        <f>'Evolutive SFP'!AK37/'Evolutive SFP'!AK27</f>
        <v>#DIV/0!</v>
      </c>
      <c r="AN14" s="18" t="e">
        <f>'Evolutive SFP'!AL37/'Evolutive SFP'!AL27</f>
        <v>#DIV/0!</v>
      </c>
      <c r="AO14" s="18" t="e">
        <f>'Evolutive SFP'!AM37/'Evolutive SFP'!AM27</f>
        <v>#DIV/0!</v>
      </c>
      <c r="AP14" s="18" t="e">
        <f>'Evolutive SFP'!AN37/'Evolutive SFP'!AN27</f>
        <v>#DIV/0!</v>
      </c>
      <c r="AQ14" s="18" t="e">
        <f>'Evolutive SFP'!AO37/'Evolutive SFP'!AO27</f>
        <v>#DIV/0!</v>
      </c>
      <c r="AR14" s="18" t="e">
        <f>'Evolutive SFP'!AP37/'Evolutive SFP'!AP27</f>
        <v>#DIV/0!</v>
      </c>
      <c r="AS14" s="18" t="e">
        <f>'Evolutive SFP'!AQ37/'Evolutive SFP'!AQ27</f>
        <v>#DIV/0!</v>
      </c>
      <c r="AT14" s="18" t="e">
        <f>'Evolutive SFP'!AR37/'Evolutive SFP'!AR27</f>
        <v>#DIV/0!</v>
      </c>
      <c r="AU14" s="18" t="e">
        <f>'Evolutive SFP'!AS37/'Evolutive SFP'!AS27</f>
        <v>#DIV/0!</v>
      </c>
      <c r="AV14" s="18" t="e">
        <f>'Evolutive SFP'!AT37/'Evolutive SFP'!AT27</f>
        <v>#DIV/0!</v>
      </c>
      <c r="AW14" s="18" t="e">
        <f>'Evolutive SFP'!AU37/'Evolutive SFP'!AU27</f>
        <v>#DIV/0!</v>
      </c>
      <c r="AX14" s="18" t="e">
        <f>'Evolutive SFP'!AV37/'Evolutive SFP'!AV27</f>
        <v>#DIV/0!</v>
      </c>
      <c r="AY14" s="18" t="e">
        <f>'Evolutive SFP'!AW37/'Evolutive SFP'!AW27</f>
        <v>#DIV/0!</v>
      </c>
    </row>
    <row r="15" spans="1:51" ht="15" x14ac:dyDescent="0.3">
      <c r="A15" s="246"/>
      <c r="B15" s="3" t="s">
        <v>120</v>
      </c>
      <c r="C15" s="16"/>
      <c r="D15" s="18">
        <f>'Evolutive SFP'!B4/'Evolutive SFP'!B27</f>
        <v>0.12821991542351194</v>
      </c>
      <c r="E15" s="18">
        <f>'Evolutive SFP'!C4/'Evolutive SFP'!C27</f>
        <v>0.41255969151000094</v>
      </c>
      <c r="F15" s="18">
        <f>'Evolutive SFP'!D4/'Evolutive SFP'!D27</f>
        <v>0.39129250121546005</v>
      </c>
      <c r="G15" s="18">
        <f>'Evolutive SFP'!E4/'Evolutive SFP'!E27</f>
        <v>0.37726295852194286</v>
      </c>
      <c r="H15" s="18">
        <f>'Evolutive SFP'!F4/'Evolutive SFP'!F27</f>
        <v>0.38061697544198553</v>
      </c>
      <c r="I15" s="18">
        <f>'Evolutive SFP'!G4/'Evolutive SFP'!G27</f>
        <v>0.36955447316170253</v>
      </c>
      <c r="J15" s="18">
        <f>'Evolutive SFP'!H4/'Evolutive SFP'!H27</f>
        <v>0.36374364129787085</v>
      </c>
      <c r="K15" s="18">
        <f>'Evolutive SFP'!I4/'Evolutive SFP'!I27</f>
        <v>0.37261145942741519</v>
      </c>
      <c r="L15" s="18">
        <f>'Evolutive SFP'!J4/'Evolutive SFP'!J27</f>
        <v>0.39036521441640004</v>
      </c>
      <c r="M15" s="18">
        <f>'Evolutive SFP'!K4/'Evolutive SFP'!K27</f>
        <v>0.3921584426558381</v>
      </c>
      <c r="N15" s="18">
        <f>'Evolutive SFP'!L4/'Evolutive SFP'!L27</f>
        <v>0.38862245683359126</v>
      </c>
      <c r="O15" s="18">
        <f>'Evolutive SFP'!M4/'Evolutive SFP'!M27</f>
        <v>0.41841918221303631</v>
      </c>
      <c r="P15" s="18">
        <f>'Evolutive SFP'!N4/'Evolutive SFP'!N27</f>
        <v>0.41628490938183682</v>
      </c>
      <c r="Q15" s="18">
        <f>'Evolutive SFP'!O4/'Evolutive SFP'!O27</f>
        <v>0.41400501002867801</v>
      </c>
      <c r="R15" s="18">
        <f>'Evolutive SFP'!P4/'Evolutive SFP'!P27</f>
        <v>0.41395595061131385</v>
      </c>
      <c r="S15" s="18">
        <f>'Evolutive SFP'!Q4/'Evolutive SFP'!Q27</f>
        <v>0.41988571126906915</v>
      </c>
      <c r="T15" s="18">
        <f>'Evolutive SFP'!R4/'Evolutive SFP'!R27</f>
        <v>0.43271966140337614</v>
      </c>
      <c r="U15" s="18">
        <f>'Evolutive SFP'!S4/'Evolutive SFP'!S27</f>
        <v>0.40896157858885768</v>
      </c>
      <c r="V15" s="18">
        <f>'Evolutive SFP'!T4/'Evolutive SFP'!T27</f>
        <v>0.38842661285314684</v>
      </c>
      <c r="W15" s="18">
        <f>'Evolutive SFP'!U4/'Evolutive SFP'!U27</f>
        <v>0.40904383960833668</v>
      </c>
      <c r="X15" s="18">
        <f>'Evolutive SFP'!V4/'Evolutive SFP'!V27</f>
        <v>0.40065540495616919</v>
      </c>
      <c r="Y15" s="18">
        <f>'Evolutive SFP'!W4/'Evolutive SFP'!W27</f>
        <v>0.51354906390967459</v>
      </c>
      <c r="Z15" s="18">
        <f>'Evolutive SFP'!X4/'Evolutive SFP'!X27</f>
        <v>0.44808355438096825</v>
      </c>
      <c r="AA15" s="18">
        <f>'Evolutive SFP'!Y4/'Evolutive SFP'!Y27</f>
        <v>0.43461224300352252</v>
      </c>
      <c r="AB15" s="18">
        <f>'Evolutive SFP'!Z4/'Evolutive SFP'!Z27</f>
        <v>0.4398455521862869</v>
      </c>
      <c r="AC15" s="18">
        <f>'Evolutive SFP'!AA4/'Evolutive SFP'!AA27</f>
        <v>0.4563348777760784</v>
      </c>
      <c r="AD15" s="18">
        <f>'Evolutive SFP'!AB4/'Evolutive SFP'!AB27</f>
        <v>0.48715178675096754</v>
      </c>
      <c r="AE15" s="18">
        <f>'Evolutive SFP'!AC4/'Evolutive SFP'!AC27</f>
        <v>0.48683985948312514</v>
      </c>
      <c r="AF15" s="18">
        <f>'Evolutive SFP'!AD4/'Evolutive SFP'!AD27</f>
        <v>0.48674529250798665</v>
      </c>
      <c r="AG15" s="18">
        <f>'Evolutive SFP'!AE4/'Evolutive SFP'!AE27</f>
        <v>0.4708960306616114</v>
      </c>
      <c r="AH15" s="18">
        <f>'Evolutive SFP'!AF4/'Evolutive SFP'!AF27</f>
        <v>0.46054273849183963</v>
      </c>
      <c r="AI15" s="18">
        <f>'Evolutive SFP'!AG4/'Evolutive SFP'!AG27</f>
        <v>0.43390654907892878</v>
      </c>
      <c r="AJ15" s="18">
        <f>'Evolutive SFP'!AH4/'Evolutive SFP'!AH27</f>
        <v>0.43139973355377725</v>
      </c>
      <c r="AK15" s="18" t="e">
        <f>'Evolutive SFP'!AI4/'Evolutive SFP'!AI27</f>
        <v>#DIV/0!</v>
      </c>
      <c r="AL15" s="18" t="e">
        <f>'Evolutive SFP'!AJ4/'Evolutive SFP'!AJ27</f>
        <v>#DIV/0!</v>
      </c>
      <c r="AM15" s="18" t="e">
        <f>'Evolutive SFP'!AK4/'Evolutive SFP'!AK27</f>
        <v>#DIV/0!</v>
      </c>
      <c r="AN15" s="18" t="e">
        <f>'Evolutive SFP'!AL4/'Evolutive SFP'!AL27</f>
        <v>#DIV/0!</v>
      </c>
      <c r="AO15" s="18" t="e">
        <f>'Evolutive SFP'!AM4/'Evolutive SFP'!AM27</f>
        <v>#DIV/0!</v>
      </c>
      <c r="AP15" s="18" t="e">
        <f>'Evolutive SFP'!AN4/'Evolutive SFP'!AN27</f>
        <v>#DIV/0!</v>
      </c>
      <c r="AQ15" s="18" t="e">
        <f>'Evolutive SFP'!AO4/'Evolutive SFP'!AO27</f>
        <v>#DIV/0!</v>
      </c>
      <c r="AR15" s="18" t="e">
        <f>'Evolutive SFP'!AP4/'Evolutive SFP'!AP27</f>
        <v>#DIV/0!</v>
      </c>
      <c r="AS15" s="18" t="e">
        <f>'Evolutive SFP'!AQ4/'Evolutive SFP'!AQ27</f>
        <v>#DIV/0!</v>
      </c>
      <c r="AT15" s="18" t="e">
        <f>'Evolutive SFP'!AR4/'Evolutive SFP'!AR27</f>
        <v>#DIV/0!</v>
      </c>
      <c r="AU15" s="18" t="e">
        <f>'Evolutive SFP'!AS4/'Evolutive SFP'!AS27</f>
        <v>#DIV/0!</v>
      </c>
      <c r="AV15" s="18" t="e">
        <f>'Evolutive SFP'!AT4/'Evolutive SFP'!AT27</f>
        <v>#DIV/0!</v>
      </c>
      <c r="AW15" s="18" t="e">
        <f>'Evolutive SFP'!AU4/'Evolutive SFP'!AU27</f>
        <v>#DIV/0!</v>
      </c>
      <c r="AX15" s="18" t="e">
        <f>'Evolutive SFP'!AV4/'Evolutive SFP'!AV27</f>
        <v>#DIV/0!</v>
      </c>
      <c r="AY15" s="18" t="e">
        <f>'Evolutive SFP'!AW4/'Evolutive SFP'!AW27</f>
        <v>#DIV/0!</v>
      </c>
    </row>
    <row r="16" spans="1:51" ht="15" x14ac:dyDescent="0.3">
      <c r="A16" s="246" t="s">
        <v>121</v>
      </c>
      <c r="B16" s="3" t="s">
        <v>122</v>
      </c>
      <c r="C16" s="16" t="s">
        <v>123</v>
      </c>
      <c r="D16" s="18">
        <f>('Evolutive SFP'!B7+'Evolutive SFP'!B21)/'Evolutive SFP'!B27</f>
        <v>0.12101374552845419</v>
      </c>
      <c r="E16" s="18">
        <f>('Evolutive SFP'!C7+'Evolutive SFP'!C21)/'Evolutive SFP'!C27</f>
        <v>8.8097907601776868E-2</v>
      </c>
      <c r="F16" s="18">
        <f>('Evolutive SFP'!D7+'Evolutive SFP'!D21)/'Evolutive SFP'!D27</f>
        <v>8.2446443947101877E-2</v>
      </c>
      <c r="G16" s="18">
        <f>('Evolutive SFP'!E7+'Evolutive SFP'!E21)/'Evolutive SFP'!E27</f>
        <v>8.5679840745815264E-2</v>
      </c>
      <c r="H16" s="18">
        <f>('Evolutive SFP'!F7+'Evolutive SFP'!F21)/'Evolutive SFP'!F27</f>
        <v>8.8070651677790712E-2</v>
      </c>
      <c r="I16" s="18">
        <f>('Evolutive SFP'!G7+'Evolutive SFP'!G21)/'Evolutive SFP'!G27</f>
        <v>8.8441050487329032E-2</v>
      </c>
      <c r="J16" s="18">
        <f>('Evolutive SFP'!H7+'Evolutive SFP'!H21)/'Evolutive SFP'!H27</f>
        <v>8.7767817838000181E-2</v>
      </c>
      <c r="K16" s="18">
        <f>('Evolutive SFP'!I7+'Evolutive SFP'!I21)/'Evolutive SFP'!I27</f>
        <v>8.3953932888576679E-2</v>
      </c>
      <c r="L16" s="18">
        <f>('Evolutive SFP'!J7+'Evolutive SFP'!J21)/'Evolutive SFP'!J27</f>
        <v>8.4551272133071981E-2</v>
      </c>
      <c r="M16" s="18">
        <f>('Evolutive SFP'!K7+'Evolutive SFP'!K21)/'Evolutive SFP'!K27</f>
        <v>8.4696273034699676E-2</v>
      </c>
      <c r="N16" s="18">
        <f>('Evolutive SFP'!L7+'Evolutive SFP'!L21)/'Evolutive SFP'!L27</f>
        <v>8.6966985083877998E-2</v>
      </c>
      <c r="O16" s="18">
        <f>('Evolutive SFP'!M7+'Evolutive SFP'!M21)/'Evolutive SFP'!M27</f>
        <v>8.4076718501994024E-2</v>
      </c>
      <c r="P16" s="18">
        <f>('Evolutive SFP'!N7+'Evolutive SFP'!N21)/'Evolutive SFP'!N27</f>
        <v>7.9283334516690632E-2</v>
      </c>
      <c r="Q16" s="18">
        <f>('Evolutive SFP'!O7+'Evolutive SFP'!O21)/'Evolutive SFP'!O27</f>
        <v>7.1895223461295774E-2</v>
      </c>
      <c r="R16" s="18">
        <f>('Evolutive SFP'!P7+'Evolutive SFP'!P21)/'Evolutive SFP'!P27</f>
        <v>7.181546820106964E-2</v>
      </c>
      <c r="S16" s="18">
        <f>('Evolutive SFP'!Q7+'Evolutive SFP'!Q21)/'Evolutive SFP'!Q27</f>
        <v>7.5091301558163681E-2</v>
      </c>
      <c r="T16" s="18">
        <f>('Evolutive SFP'!R7+'Evolutive SFP'!R21)/'Evolutive SFP'!R27</f>
        <v>7.2231598508724862E-2</v>
      </c>
      <c r="U16" s="18">
        <f>('Evolutive SFP'!S7+'Evolutive SFP'!S21)/'Evolutive SFP'!S27</f>
        <v>7.3242012527302544E-2</v>
      </c>
      <c r="V16" s="18">
        <f>('Evolutive SFP'!T7+'Evolutive SFP'!T21)/'Evolutive SFP'!T27</f>
        <v>7.3507146682118843E-2</v>
      </c>
      <c r="W16" s="18">
        <f>('Evolutive SFP'!U7+'Evolutive SFP'!U21)/'Evolutive SFP'!U27</f>
        <v>7.1393172153927167E-2</v>
      </c>
      <c r="X16" s="18">
        <f>('Evolutive SFP'!V7+'Evolutive SFP'!V21)/'Evolutive SFP'!V27</f>
        <v>7.2376200747513775E-2</v>
      </c>
      <c r="Y16" s="18">
        <f>('Evolutive SFP'!W7+'Evolutive SFP'!W21)/'Evolutive SFP'!W27</f>
        <v>6.0898844922527409E-2</v>
      </c>
      <c r="Z16" s="18">
        <f>('Evolutive SFP'!X7+'Evolutive SFP'!X21)/'Evolutive SFP'!X27</f>
        <v>6.3552661448907644E-2</v>
      </c>
      <c r="AA16" s="18">
        <f>('Evolutive SFP'!Y7+'Evolutive SFP'!Y21)/'Evolutive SFP'!Y27</f>
        <v>6.4143245271779517E-2</v>
      </c>
      <c r="AB16" s="18">
        <f>('Evolutive SFP'!Z7+'Evolutive SFP'!Z21)/'Evolutive SFP'!Z27</f>
        <v>6.9419456553826919E-2</v>
      </c>
      <c r="AC16" s="18">
        <f>('Evolutive SFP'!AA7+'Evolutive SFP'!AA21)/'Evolutive SFP'!AA27</f>
        <v>6.3970979312623424E-2</v>
      </c>
      <c r="AD16" s="18">
        <f>('Evolutive SFP'!AB7+'Evolutive SFP'!AB21)/'Evolutive SFP'!AB27</f>
        <v>5.9819966758359634E-2</v>
      </c>
      <c r="AE16" s="18">
        <f>('Evolutive SFP'!AC7+'Evolutive SFP'!AC21)/'Evolutive SFP'!AC27</f>
        <v>5.9758751216469431E-2</v>
      </c>
      <c r="AF16" s="18">
        <f>('Evolutive SFP'!AD7+'Evolutive SFP'!AD21)/'Evolutive SFP'!AD27</f>
        <v>6.0927516419098743E-2</v>
      </c>
      <c r="AG16" s="18">
        <f>('Evolutive SFP'!AE7+'Evolutive SFP'!AE21)/'Evolutive SFP'!AE27</f>
        <v>6.0921919932337518E-2</v>
      </c>
      <c r="AH16" s="18">
        <f>('Evolutive SFP'!AF7+'Evolutive SFP'!AF21)/'Evolutive SFP'!AF27</f>
        <v>5.7762214952987501E-2</v>
      </c>
      <c r="AI16" s="18">
        <f>('Evolutive SFP'!AG7+'Evolutive SFP'!AG21)/'Evolutive SFP'!AG27</f>
        <v>6.6962764272144343E-2</v>
      </c>
      <c r="AJ16" s="18">
        <f>('Evolutive SFP'!AH7+'Evolutive SFP'!AH21)/'Evolutive SFP'!AH27</f>
        <v>6.2888145834909592E-2</v>
      </c>
      <c r="AK16" s="18" t="e">
        <f>('Evolutive SFP'!AI7+'Evolutive SFP'!AI21)/'Evolutive SFP'!AI27</f>
        <v>#DIV/0!</v>
      </c>
      <c r="AL16" s="18" t="e">
        <f>('Evolutive SFP'!AJ7+'Evolutive SFP'!AJ21)/'Evolutive SFP'!AJ27</f>
        <v>#DIV/0!</v>
      </c>
      <c r="AM16" s="18" t="e">
        <f>('Evolutive SFP'!AK7+'Evolutive SFP'!AK21)/'Evolutive SFP'!AK27</f>
        <v>#DIV/0!</v>
      </c>
      <c r="AN16" s="18" t="e">
        <f>('Evolutive SFP'!AL7+'Evolutive SFP'!AL21)/'Evolutive SFP'!AL27</f>
        <v>#DIV/0!</v>
      </c>
      <c r="AO16" s="18" t="e">
        <f>('Evolutive SFP'!AM7+'Evolutive SFP'!AM21)/'Evolutive SFP'!AM27</f>
        <v>#DIV/0!</v>
      </c>
      <c r="AP16" s="18" t="e">
        <f>('Evolutive SFP'!AN7+'Evolutive SFP'!AN21)/'Evolutive SFP'!AN27</f>
        <v>#DIV/0!</v>
      </c>
      <c r="AQ16" s="18" t="e">
        <f>('Evolutive SFP'!AO7+'Evolutive SFP'!AO21)/'Evolutive SFP'!AO27</f>
        <v>#DIV/0!</v>
      </c>
      <c r="AR16" s="18" t="e">
        <f>('Evolutive SFP'!AP7+'Evolutive SFP'!AP21)/'Evolutive SFP'!AP27</f>
        <v>#DIV/0!</v>
      </c>
      <c r="AS16" s="18" t="e">
        <f>('Evolutive SFP'!AQ7+'Evolutive SFP'!AQ21)/'Evolutive SFP'!AQ27</f>
        <v>#DIV/0!</v>
      </c>
      <c r="AT16" s="18" t="e">
        <f>('Evolutive SFP'!AR7+'Evolutive SFP'!AR21)/'Evolutive SFP'!AR27</f>
        <v>#DIV/0!</v>
      </c>
      <c r="AU16" s="18" t="e">
        <f>('Evolutive SFP'!AS7+'Evolutive SFP'!AS21)/'Evolutive SFP'!AS27</f>
        <v>#DIV/0!</v>
      </c>
      <c r="AV16" s="18" t="e">
        <f>('Evolutive SFP'!AT7+'Evolutive SFP'!AT21)/'Evolutive SFP'!AT27</f>
        <v>#DIV/0!</v>
      </c>
      <c r="AW16" s="18" t="e">
        <f>('Evolutive SFP'!AU7+'Evolutive SFP'!AU21)/'Evolutive SFP'!AU27</f>
        <v>#DIV/0!</v>
      </c>
      <c r="AX16" s="18" t="e">
        <f>('Evolutive SFP'!AV7+'Evolutive SFP'!AV21)/'Evolutive SFP'!AV27</f>
        <v>#DIV/0!</v>
      </c>
      <c r="AY16" s="18" t="e">
        <f>('Evolutive SFP'!AW7+'Evolutive SFP'!AW21)/'Evolutive SFP'!AW27</f>
        <v>#DIV/0!</v>
      </c>
    </row>
    <row r="17" spans="1:51" ht="15" x14ac:dyDescent="0.3">
      <c r="A17" s="246"/>
      <c r="B17" s="3" t="s">
        <v>124</v>
      </c>
      <c r="C17" s="16" t="s">
        <v>125</v>
      </c>
      <c r="D17" s="18">
        <f>'Evolutive SFP'!B21/'Evolutive SFP'!B27</f>
        <v>3.2278670786670176E-2</v>
      </c>
      <c r="E17" s="18">
        <f>'Evolutive SFP'!C21/'Evolutive SFP'!C27</f>
        <v>7.6213230875079863E-2</v>
      </c>
      <c r="F17" s="18">
        <f>'Evolutive SFP'!D21/'Evolutive SFP'!D27</f>
        <v>7.9234899288968819E-2</v>
      </c>
      <c r="G17" s="18">
        <f>'Evolutive SFP'!E21/'Evolutive SFP'!E27</f>
        <v>8.5452443856600266E-2</v>
      </c>
      <c r="H17" s="18">
        <f>'Evolutive SFP'!F21/'Evolutive SFP'!F27</f>
        <v>8.5784763412035142E-2</v>
      </c>
      <c r="I17" s="18">
        <f>'Evolutive SFP'!G21/'Evolutive SFP'!G27</f>
        <v>8.6718950202291298E-2</v>
      </c>
      <c r="J17" s="18">
        <f>'Evolutive SFP'!H21/'Evolutive SFP'!H27</f>
        <v>8.6579276235450031E-2</v>
      </c>
      <c r="K17" s="18">
        <f>'Evolutive SFP'!I21/'Evolutive SFP'!I27</f>
        <v>8.1634238886827692E-2</v>
      </c>
      <c r="L17" s="18">
        <f>'Evolutive SFP'!J21/'Evolutive SFP'!J27</f>
        <v>8.1706997807326001E-2</v>
      </c>
      <c r="M17" s="18">
        <f>'Evolutive SFP'!K21/'Evolutive SFP'!K27</f>
        <v>8.2734412197712617E-2</v>
      </c>
      <c r="N17" s="18">
        <f>'Evolutive SFP'!L21/'Evolutive SFP'!L27</f>
        <v>8.2113539950997391E-2</v>
      </c>
      <c r="O17" s="18">
        <f>'Evolutive SFP'!M21/'Evolutive SFP'!M27</f>
        <v>7.9473134424513286E-2</v>
      </c>
      <c r="P17" s="18">
        <f>'Evolutive SFP'!N21/'Evolutive SFP'!N27</f>
        <v>7.6680885696774642E-2</v>
      </c>
      <c r="Q17" s="18">
        <f>'Evolutive SFP'!O21/'Evolutive SFP'!O27</f>
        <v>7.1895223461295774E-2</v>
      </c>
      <c r="R17" s="18">
        <f>'Evolutive SFP'!P21/'Evolutive SFP'!P27</f>
        <v>6.5572523102691557E-2</v>
      </c>
      <c r="S17" s="18">
        <f>'Evolutive SFP'!Q21/'Evolutive SFP'!Q27</f>
        <v>7.1235287089541396E-2</v>
      </c>
      <c r="T17" s="18">
        <f>'Evolutive SFP'!R21/'Evolutive SFP'!R27</f>
        <v>7.0001648324346674E-2</v>
      </c>
      <c r="U17" s="18">
        <f>'Evolutive SFP'!S21/'Evolutive SFP'!S27</f>
        <v>7.0527602959439786E-2</v>
      </c>
      <c r="V17" s="18">
        <f>'Evolutive SFP'!T21/'Evolutive SFP'!T27</f>
        <v>7.15364264409213E-2</v>
      </c>
      <c r="W17" s="18">
        <f>'Evolutive SFP'!U21/'Evolutive SFP'!U27</f>
        <v>6.9789642627205523E-2</v>
      </c>
      <c r="X17" s="18">
        <f>'Evolutive SFP'!V21/'Evolutive SFP'!V27</f>
        <v>6.6970468450665468E-2</v>
      </c>
      <c r="Y17" s="18">
        <f>'Evolutive SFP'!W21/'Evolutive SFP'!W27</f>
        <v>5.984798368508662E-2</v>
      </c>
      <c r="Z17" s="18">
        <f>'Evolutive SFP'!X21/'Evolutive SFP'!X27</f>
        <v>6.0951331218307508E-2</v>
      </c>
      <c r="AA17" s="18">
        <f>'Evolutive SFP'!Y21/'Evolutive SFP'!Y27</f>
        <v>6.4143245271779517E-2</v>
      </c>
      <c r="AB17" s="18">
        <f>'Evolutive SFP'!Z21/'Evolutive SFP'!Z27</f>
        <v>6.3585933195326752E-2</v>
      </c>
      <c r="AC17" s="18">
        <f>'Evolutive SFP'!AA21/'Evolutive SFP'!AA27</f>
        <v>6.262000258235606E-2</v>
      </c>
      <c r="AD17" s="18">
        <f>'Evolutive SFP'!AB21/'Evolutive SFP'!AB27</f>
        <v>5.7957841018728223E-2</v>
      </c>
      <c r="AE17" s="18">
        <f>'Evolutive SFP'!AC21/'Evolutive SFP'!AC27</f>
        <v>5.2438533006122098E-2</v>
      </c>
      <c r="AF17" s="18">
        <f>'Evolutive SFP'!AD21/'Evolutive SFP'!AD27</f>
        <v>5.6775442884986684E-2</v>
      </c>
      <c r="AG17" s="18">
        <f>'Evolutive SFP'!AE21/'Evolutive SFP'!AE27</f>
        <v>5.7221199218765839E-2</v>
      </c>
      <c r="AH17" s="18">
        <f>'Evolutive SFP'!AF21/'Evolutive SFP'!AF27</f>
        <v>5.7762214952987501E-2</v>
      </c>
      <c r="AI17" s="18">
        <f>'Evolutive SFP'!AG21/'Evolutive SFP'!AG27</f>
        <v>6.3804467569643225E-2</v>
      </c>
      <c r="AJ17" s="18">
        <f>'Evolutive SFP'!AH21/'Evolutive SFP'!AH27</f>
        <v>6.1612938586424686E-2</v>
      </c>
      <c r="AK17" s="18" t="e">
        <f>'Evolutive SFP'!AI21/'Evolutive SFP'!AI27</f>
        <v>#DIV/0!</v>
      </c>
      <c r="AL17" s="18" t="e">
        <f>'Evolutive SFP'!AJ21/'Evolutive SFP'!AJ27</f>
        <v>#DIV/0!</v>
      </c>
      <c r="AM17" s="18" t="e">
        <f>'Evolutive SFP'!AK21/'Evolutive SFP'!AK27</f>
        <v>#DIV/0!</v>
      </c>
      <c r="AN17" s="18" t="e">
        <f>'Evolutive SFP'!AL21/'Evolutive SFP'!AL27</f>
        <v>#DIV/0!</v>
      </c>
      <c r="AO17" s="18" t="e">
        <f>'Evolutive SFP'!AM21/'Evolutive SFP'!AM27</f>
        <v>#DIV/0!</v>
      </c>
      <c r="AP17" s="18" t="e">
        <f>'Evolutive SFP'!AN21/'Evolutive SFP'!AN27</f>
        <v>#DIV/0!</v>
      </c>
      <c r="AQ17" s="18" t="e">
        <f>'Evolutive SFP'!AO21/'Evolutive SFP'!AO27</f>
        <v>#DIV/0!</v>
      </c>
      <c r="AR17" s="18" t="e">
        <f>'Evolutive SFP'!AP21/'Evolutive SFP'!AP27</f>
        <v>#DIV/0!</v>
      </c>
      <c r="AS17" s="18" t="e">
        <f>'Evolutive SFP'!AQ21/'Evolutive SFP'!AQ27</f>
        <v>#DIV/0!</v>
      </c>
      <c r="AT17" s="18" t="e">
        <f>'Evolutive SFP'!AR21/'Evolutive SFP'!AR27</f>
        <v>#DIV/0!</v>
      </c>
      <c r="AU17" s="18" t="e">
        <f>'Evolutive SFP'!AS21/'Evolutive SFP'!AS27</f>
        <v>#DIV/0!</v>
      </c>
      <c r="AV17" s="18" t="e">
        <f>'Evolutive SFP'!AT21/'Evolutive SFP'!AT27</f>
        <v>#DIV/0!</v>
      </c>
      <c r="AW17" s="18" t="e">
        <f>'Evolutive SFP'!AU21/'Evolutive SFP'!AU27</f>
        <v>#DIV/0!</v>
      </c>
      <c r="AX17" s="18" t="e">
        <f>'Evolutive SFP'!AV21/'Evolutive SFP'!AV27</f>
        <v>#DIV/0!</v>
      </c>
      <c r="AY17" s="18" t="e">
        <f>'Evolutive SFP'!AW21/'Evolutive SFP'!AW27</f>
        <v>#DIV/0!</v>
      </c>
    </row>
    <row r="18" spans="1:51" ht="15" x14ac:dyDescent="0.3">
      <c r="A18" s="246"/>
      <c r="B18" s="3" t="s">
        <v>126</v>
      </c>
      <c r="C18" s="16" t="s">
        <v>125</v>
      </c>
      <c r="D18" s="18">
        <f>'Evolutive SFP'!B13/'Evolutive SFP'!B31</f>
        <v>3.6721969312762956E-3</v>
      </c>
      <c r="E18" s="18">
        <f>'Evolutive SFP'!C13/'Evolutive SFP'!C31</f>
        <v>1.081619307073607E-3</v>
      </c>
      <c r="F18" s="18">
        <f>'Evolutive SFP'!D13/'Evolutive SFP'!D31</f>
        <v>2.9828283442472864E-2</v>
      </c>
      <c r="G18" s="18">
        <f>'Evolutive SFP'!E13/'Evolutive SFP'!E31</f>
        <v>2.3608223041658757E-2</v>
      </c>
      <c r="H18" s="18">
        <f>'Evolutive SFP'!F13/'Evolutive SFP'!F31</f>
        <v>2.3124294575489007E-2</v>
      </c>
      <c r="I18" s="18">
        <f>'Evolutive SFP'!G13/'Evolutive SFP'!G31</f>
        <v>2.3324341774873053E-2</v>
      </c>
      <c r="J18" s="18">
        <f>'Evolutive SFP'!H13/'Evolutive SFP'!H31</f>
        <v>2.3548759828761257E-2</v>
      </c>
      <c r="K18" s="18">
        <f>'Evolutive SFP'!I13/'Evolutive SFP'!I31</f>
        <v>2.3475294948963443E-2</v>
      </c>
      <c r="L18" s="18">
        <f>'Evolutive SFP'!J13/'Evolutive SFP'!J31</f>
        <v>2.3483826350631537E-2</v>
      </c>
      <c r="M18" s="18">
        <f>'Evolutive SFP'!K13/'Evolutive SFP'!K31</f>
        <v>2.3658492099768377E-2</v>
      </c>
      <c r="N18" s="18">
        <f>'Evolutive SFP'!L13/'Evolutive SFP'!L31</f>
        <v>2.3603130948776769E-2</v>
      </c>
      <c r="O18" s="18">
        <f>'Evolutive SFP'!M13/'Evolutive SFP'!M31</f>
        <v>2.294331003348624E-2</v>
      </c>
      <c r="P18" s="18">
        <f>'Evolutive SFP'!N13/'Evolutive SFP'!N31</f>
        <v>2.2514650127078172E-2</v>
      </c>
      <c r="Q18" s="18">
        <f>'Evolutive SFP'!O13/'Evolutive SFP'!O31</f>
        <v>2.2989469645813724E-2</v>
      </c>
      <c r="R18" s="18">
        <f>'Evolutive SFP'!P13/'Evolutive SFP'!P31</f>
        <v>1.1292028996278021E-3</v>
      </c>
      <c r="S18" s="18">
        <f>'Evolutive SFP'!Q13/'Evolutive SFP'!Q31</f>
        <v>2.2927125917249738E-2</v>
      </c>
      <c r="T18" s="18">
        <f>'Evolutive SFP'!R13/'Evolutive SFP'!R31</f>
        <v>2.2448603445413422E-2</v>
      </c>
      <c r="U18" s="18">
        <f>'Evolutive SFP'!S13/'Evolutive SFP'!S31</f>
        <v>2.2649296887761027E-2</v>
      </c>
      <c r="V18" s="18">
        <f>'Evolutive SFP'!T13/'Evolutive SFP'!T31</f>
        <v>2.2452175519291965E-2</v>
      </c>
      <c r="W18" s="18">
        <f>'Evolutive SFP'!U13/'Evolutive SFP'!U31</f>
        <v>2.1801657027107089E-2</v>
      </c>
      <c r="X18" s="18">
        <f>'Evolutive SFP'!V13/'Evolutive SFP'!V31</f>
        <v>2.2149568993024775E-2</v>
      </c>
      <c r="Y18" s="18">
        <f>'Evolutive SFP'!W13/'Evolutive SFP'!W31</f>
        <v>1.9672494003956806E-2</v>
      </c>
      <c r="Z18" s="18">
        <f>'Evolutive SFP'!X13/'Evolutive SFP'!X31</f>
        <v>2.0230599807683606E-2</v>
      </c>
      <c r="AA18" s="18">
        <f>'Evolutive SFP'!Y13/'Evolutive SFP'!Y31</f>
        <v>2.0624942180032496E-2</v>
      </c>
      <c r="AB18" s="18">
        <f>'Evolutive SFP'!Z13/'Evolutive SFP'!Z31</f>
        <v>2.0486124239999241E-2</v>
      </c>
      <c r="AC18" s="18">
        <f>'Evolutive SFP'!AA13/'Evolutive SFP'!AA31</f>
        <v>2.0294575756067267E-2</v>
      </c>
      <c r="AD18" s="18">
        <f>'Evolutive SFP'!AB13/'Evolutive SFP'!AB31</f>
        <v>1.959947272011503E-2</v>
      </c>
      <c r="AE18" s="18">
        <f>'Evolutive SFP'!AC13/'Evolutive SFP'!AC31</f>
        <v>9.6269393318406781E-4</v>
      </c>
      <c r="AF18" s="18">
        <f>'Evolutive SFP'!AD13/'Evolutive SFP'!AD31</f>
        <v>0</v>
      </c>
      <c r="AG18" s="18">
        <f>'Evolutive SFP'!AE13/'Evolutive SFP'!AE31</f>
        <v>0</v>
      </c>
      <c r="AH18" s="18">
        <f>'Evolutive SFP'!AF13/'Evolutive SFP'!AF31</f>
        <v>0</v>
      </c>
      <c r="AI18" s="18">
        <f>'Evolutive SFP'!AG13/'Evolutive SFP'!AG31</f>
        <v>0</v>
      </c>
      <c r="AJ18" s="18">
        <f>'Evolutive SFP'!AH13/'Evolutive SFP'!AH31</f>
        <v>0</v>
      </c>
      <c r="AK18" s="18" t="e">
        <f>'Evolutive SFP'!AI13/'Evolutive SFP'!AI31</f>
        <v>#DIV/0!</v>
      </c>
      <c r="AL18" s="18" t="e">
        <f>'Evolutive SFP'!AJ13/'Evolutive SFP'!AJ31</f>
        <v>#DIV/0!</v>
      </c>
      <c r="AM18" s="18" t="e">
        <f>'Evolutive SFP'!AK13/'Evolutive SFP'!AK31</f>
        <v>#DIV/0!</v>
      </c>
      <c r="AN18" s="18" t="e">
        <f>'Evolutive SFP'!AL13/'Evolutive SFP'!AL31</f>
        <v>#DIV/0!</v>
      </c>
      <c r="AO18" s="18" t="e">
        <f>'Evolutive SFP'!AM13/'Evolutive SFP'!AM31</f>
        <v>#DIV/0!</v>
      </c>
      <c r="AP18" s="18" t="e">
        <f>'Evolutive SFP'!AN13/'Evolutive SFP'!AN31</f>
        <v>#DIV/0!</v>
      </c>
      <c r="AQ18" s="18" t="e">
        <f>'Evolutive SFP'!AO13/'Evolutive SFP'!AO31</f>
        <v>#DIV/0!</v>
      </c>
      <c r="AR18" s="18" t="e">
        <f>'Evolutive SFP'!AP13/'Evolutive SFP'!AP31</f>
        <v>#DIV/0!</v>
      </c>
      <c r="AS18" s="18" t="e">
        <f>'Evolutive SFP'!AQ13/'Evolutive SFP'!AQ31</f>
        <v>#DIV/0!</v>
      </c>
      <c r="AT18" s="18" t="e">
        <f>'Evolutive SFP'!AR13/'Evolutive SFP'!AR31</f>
        <v>#DIV/0!</v>
      </c>
      <c r="AU18" s="18" t="e">
        <f>'Evolutive SFP'!AS13/'Evolutive SFP'!AS31</f>
        <v>#DIV/0!</v>
      </c>
      <c r="AV18" s="18" t="e">
        <f>'Evolutive SFP'!AT13/'Evolutive SFP'!AT31</f>
        <v>#DIV/0!</v>
      </c>
      <c r="AW18" s="18" t="e">
        <f>'Evolutive SFP'!AU13/'Evolutive SFP'!AU31</f>
        <v>#DIV/0!</v>
      </c>
      <c r="AX18" s="18" t="e">
        <f>'Evolutive SFP'!AV13/'Evolutive SFP'!AV31</f>
        <v>#DIV/0!</v>
      </c>
      <c r="AY18" s="18" t="e">
        <f>'Evolutive SFP'!AW13/'Evolutive SFP'!AW31</f>
        <v>#DIV/0!</v>
      </c>
    </row>
    <row r="19" spans="1:51" x14ac:dyDescent="0.3">
      <c r="A19" s="246"/>
      <c r="B19" s="40" t="s">
        <v>127</v>
      </c>
      <c r="C19" s="17" t="s">
        <v>128</v>
      </c>
      <c r="D19" s="18">
        <f>'Evolutive SFP'!B13/(CAELS!D3*1000000)</f>
        <v>3.0948443377048846E-2</v>
      </c>
      <c r="E19" s="18">
        <f>'Evolutive SFP'!C13/(CAELS!E3*1000000)</f>
        <v>3.6695272449668477E-3</v>
      </c>
      <c r="F19" s="18">
        <f>'Evolutive SFP'!D13/(CAELS!F3*1000000)</f>
        <v>9.6487616370765014E-2</v>
      </c>
      <c r="G19" s="18">
        <f>'Evolutive SFP'!E13/(CAELS!G3*1000000)</f>
        <v>7.7059468163008377E-2</v>
      </c>
      <c r="H19" s="18">
        <f>'Evolutive SFP'!F13/(CAELS!H3*1000000)</f>
        <v>7.7728862703059481E-2</v>
      </c>
      <c r="I19" s="18">
        <f>'Evolutive SFP'!G13/(CAELS!I3*1000000)</f>
        <v>7.5131723671429673E-2</v>
      </c>
      <c r="J19" s="18">
        <f>'Evolutive SFP'!H13/(CAELS!J3*1000000)</f>
        <v>7.0483641891272875E-2</v>
      </c>
      <c r="K19" s="18">
        <f>'Evolutive SFP'!I13/(CAELS!K3*1000000)</f>
        <v>7.4064442744433828E-2</v>
      </c>
      <c r="L19" s="18">
        <f>'Evolutive SFP'!J13/(CAELS!L3*1000000)</f>
        <v>7.3278775883463348E-2</v>
      </c>
      <c r="M19" s="18">
        <f>'Evolutive SFP'!K13/(CAELS!M3*1000000)</f>
        <v>7.4160801833032322E-2</v>
      </c>
      <c r="N19" s="18">
        <f>'Evolutive SFP'!L13/(CAELS!N3*1000000)</f>
        <v>7.2515568688477139E-2</v>
      </c>
      <c r="O19" s="18">
        <f>'Evolutive SFP'!M13/(CAELS!O3*1000000)</f>
        <v>6.9920941387545385E-2</v>
      </c>
      <c r="P19" s="18">
        <f>'Evolutive SFP'!N13/(CAELS!P3*1000000)</f>
        <v>6.873020071834185E-2</v>
      </c>
      <c r="Q19" s="18">
        <f>'Evolutive SFP'!O13/(CAELS!Q3*1000000)</f>
        <v>6.3815522750134787E-2</v>
      </c>
      <c r="R19" s="18">
        <f>'Evolutive SFP'!P13/(CAELS!R3*1000000)</f>
        <v>3.4814361168793106E-3</v>
      </c>
      <c r="S19" s="18">
        <f>'Evolutive SFP'!Q13/(CAELS!S3*1000000)</f>
        <v>6.3880910049697717E-2</v>
      </c>
      <c r="T19" s="18">
        <f>'Evolutive SFP'!R13/(CAELS!T3*1000000)</f>
        <v>6.3525302007226947E-2</v>
      </c>
      <c r="U19" s="18">
        <f>'Evolutive SFP'!S13/(CAELS!U3*1000000)</f>
        <v>6.7450084247547226E-2</v>
      </c>
      <c r="V19" s="18">
        <f>'Evolutive SFP'!T13/(CAELS!V3*1000000)</f>
        <v>6.8914406448979143E-2</v>
      </c>
      <c r="W19" s="18">
        <f>'Evolutive SFP'!U13/(CAELS!W3*1000000)</f>
        <v>6.6813170212167566E-2</v>
      </c>
      <c r="X19" s="18">
        <f>'Evolutive SFP'!V13/(CAELS!X3*1000000)</f>
        <v>6.7116756024382718E-2</v>
      </c>
      <c r="Y19" s="18">
        <f>'Evolutive SFP'!W13/(CAELS!Y3*1000000)</f>
        <v>6.2100625897978032E-2</v>
      </c>
      <c r="Z19" s="18">
        <f>'Evolutive SFP'!X13/(CAELS!Z3*1000000)</f>
        <v>6.1164583602250015E-2</v>
      </c>
      <c r="AA19" s="18">
        <f>'Evolutive SFP'!Y13/(CAELS!AA3*1000000)</f>
        <v>5.9850712015821497E-2</v>
      </c>
      <c r="AB19" s="18">
        <f>'Evolutive SFP'!Z13/(CAELS!AB3*1000000)</f>
        <v>5.8780759600123675E-2</v>
      </c>
      <c r="AC19" s="18">
        <f>'Evolutive SFP'!AA13/(CAELS!AC3*1000000)</f>
        <v>5.7768723567275193E-2</v>
      </c>
      <c r="AD19" s="18">
        <f>'Evolutive SFP'!AB13/(CAELS!AD3*1000000)</f>
        <v>5.8354386739215849E-2</v>
      </c>
      <c r="AE19" s="18">
        <f>'Evolutive SFP'!AC13/(CAELS!AE3*1000000)</f>
        <v>3.1095323109818903E-3</v>
      </c>
      <c r="AF19" s="18">
        <f>'Evolutive SFP'!AD13/(CAELS!AF3*1000000)</f>
        <v>0</v>
      </c>
      <c r="AG19" s="18">
        <f>'Evolutive SFP'!AE13/(CAELS!AG3*1000000)</f>
        <v>0</v>
      </c>
      <c r="AH19" s="18">
        <f>'Evolutive SFP'!AF13/(CAELS!AH3*1000000)</f>
        <v>0</v>
      </c>
      <c r="AI19" s="18">
        <f>'Evolutive SFP'!AG13/(CAELS!AI3*1000000)</f>
        <v>0</v>
      </c>
      <c r="AJ19" s="18">
        <f>'Evolutive SFP'!AH13/(CAELS!AJ3*1000000)</f>
        <v>0</v>
      </c>
      <c r="AK19" s="18" t="e">
        <f>'Evolutive SFP'!AI13/(CAELS!AK3*1000000)</f>
        <v>#DIV/0!</v>
      </c>
      <c r="AL19" s="18" t="e">
        <f>'Evolutive SFP'!AJ13/(CAELS!AL3*1000000)</f>
        <v>#DIV/0!</v>
      </c>
      <c r="AM19" s="18" t="e">
        <f>'Evolutive SFP'!AK13/(CAELS!AM3*1000000)</f>
        <v>#DIV/0!</v>
      </c>
      <c r="AN19" s="18" t="e">
        <f>'Evolutive SFP'!AL13/(CAELS!AN3*1000000)</f>
        <v>#DIV/0!</v>
      </c>
      <c r="AO19" s="18" t="e">
        <f>'Evolutive SFP'!AM13/(CAELS!AO3*1000000)</f>
        <v>#DIV/0!</v>
      </c>
      <c r="AP19" s="18" t="e">
        <f>'Evolutive SFP'!AN13/(CAELS!AP3*1000000)</f>
        <v>#DIV/0!</v>
      </c>
      <c r="AQ19" s="18" t="e">
        <f>'Evolutive SFP'!AO13/(CAELS!AQ3*1000000)</f>
        <v>#DIV/0!</v>
      </c>
      <c r="AR19" s="18" t="e">
        <f>'Evolutive SFP'!AP13/(CAELS!AR3*1000000)</f>
        <v>#DIV/0!</v>
      </c>
      <c r="AS19" s="18" t="e">
        <f>'Evolutive SFP'!AQ13/(CAELS!AS3*1000000)</f>
        <v>#DIV/0!</v>
      </c>
      <c r="AT19" s="18" t="e">
        <f>'Evolutive SFP'!AR13/(CAELS!AT3*1000000)</f>
        <v>#DIV/0!</v>
      </c>
      <c r="AU19" s="18" t="e">
        <f>'Evolutive SFP'!AS13/(CAELS!AU3*1000000)</f>
        <v>#DIV/0!</v>
      </c>
      <c r="AV19" s="18" t="e">
        <f>'Evolutive SFP'!AT13/(CAELS!AV3*1000000)</f>
        <v>#DIV/0!</v>
      </c>
      <c r="AW19" s="18" t="e">
        <f>'Evolutive SFP'!AU13/(CAELS!AW3*1000000)</f>
        <v>#DIV/0!</v>
      </c>
      <c r="AX19" s="18" t="e">
        <f>'Evolutive SFP'!AV13/(CAELS!AX3*1000000)</f>
        <v>#DIV/0!</v>
      </c>
      <c r="AY19" s="18" t="e">
        <f>'Evolutive SFP'!AW13/(CAELS!AY3*1000000)</f>
        <v>#DIV/0!</v>
      </c>
    </row>
    <row r="20" spans="1:51" x14ac:dyDescent="0.3">
      <c r="A20" s="246"/>
      <c r="B20" s="4" t="s">
        <v>129</v>
      </c>
      <c r="C20" s="17"/>
      <c r="D20" s="18">
        <f>'Evolutive SFP'!B15/'Evolutive SFP'!B27</f>
        <v>0.74763911512819969</v>
      </c>
      <c r="E20" s="18">
        <f>'Evolutive SFP'!C15/'Evolutive SFP'!C27</f>
        <v>0.59968059231598858</v>
      </c>
      <c r="F20" s="18">
        <f>'Evolutive SFP'!D15/'Evolutive SFP'!D27</f>
        <v>0.62603309220876324</v>
      </c>
      <c r="G20" s="18">
        <f>'Evolutive SFP'!E15/'Evolutive SFP'!E27</f>
        <v>0.64585925592798143</v>
      </c>
      <c r="H20" s="18">
        <f>'Evolutive SFP'!F15/'Evolutive SFP'!F27</f>
        <v>0.64559727914129184</v>
      </c>
      <c r="I20" s="18">
        <f>'Evolutive SFP'!G15/'Evolutive SFP'!G27</f>
        <v>0.65654246300131025</v>
      </c>
      <c r="J20" s="18">
        <f>'Evolutive SFP'!H15/'Evolutive SFP'!H27</f>
        <v>0.65041253112935171</v>
      </c>
      <c r="K20" s="18">
        <f>'Evolutive SFP'!I15/'Evolutive SFP'!I27</f>
        <v>0.65747100213964149</v>
      </c>
      <c r="L20" s="18">
        <f>'Evolutive SFP'!J15/'Evolutive SFP'!J27</f>
        <v>0.63891726237980151</v>
      </c>
      <c r="M20" s="18">
        <f>'Evolutive SFP'!K15/'Evolutive SFP'!K27</f>
        <v>0.64242163662924723</v>
      </c>
      <c r="N20" s="18">
        <f>'Evolutive SFP'!L15/'Evolutive SFP'!L27</f>
        <v>0.64151660268881405</v>
      </c>
      <c r="O20" s="18">
        <f>'Evolutive SFP'!M15/'Evolutive SFP'!M27</f>
        <v>0.60887535535970716</v>
      </c>
      <c r="P20" s="18">
        <f>'Evolutive SFP'!N15/'Evolutive SFP'!N27</f>
        <v>0.61340406882995935</v>
      </c>
      <c r="Q20" s="18">
        <f>'Evolutive SFP'!O15/'Evolutive SFP'!O27</f>
        <v>0.60597042950080537</v>
      </c>
      <c r="R20" s="18">
        <f>'Evolutive SFP'!P15/'Evolutive SFP'!P27</f>
        <v>0.60532035107964255</v>
      </c>
      <c r="S20" s="18">
        <f>'Evolutive SFP'!Q15/'Evolutive SFP'!Q27</f>
        <v>0.59639352873838636</v>
      </c>
      <c r="T20" s="18">
        <f>'Evolutive SFP'!R15/'Evolutive SFP'!R27</f>
        <v>0.58490900590040695</v>
      </c>
      <c r="U20" s="18">
        <f>'Evolutive SFP'!S15/'Evolutive SFP'!S27</f>
        <v>0.61914526683030457</v>
      </c>
      <c r="V20" s="18">
        <f>'Evolutive SFP'!T15/'Evolutive SFP'!T27</f>
        <v>0.64092025938806108</v>
      </c>
      <c r="W20" s="18">
        <f>'Evolutive SFP'!U15/'Evolutive SFP'!U27</f>
        <v>0.61625374792240351</v>
      </c>
      <c r="X20" s="18">
        <f>'Evolutive SFP'!V15/'Evolutive SFP'!V27</f>
        <v>0.62505402727977988</v>
      </c>
      <c r="Y20" s="18">
        <f>'Evolutive SFP'!W15/'Evolutive SFP'!W27</f>
        <v>0.50967521297463048</v>
      </c>
      <c r="Z20" s="18">
        <f>'Evolutive SFP'!X15/'Evolutive SFP'!X27</f>
        <v>0.57666675683409574</v>
      </c>
      <c r="AA20" s="18">
        <f>'Evolutive SFP'!Y15/'Evolutive SFP'!Y27</f>
        <v>0.58870082930928291</v>
      </c>
      <c r="AB20" s="18">
        <f>'Evolutive SFP'!Z15/'Evolutive SFP'!Z27</f>
        <v>0.57743550211207517</v>
      </c>
      <c r="AC20" s="18">
        <f>'Evolutive SFP'!AA15/'Evolutive SFP'!AA27</f>
        <v>0.56424068465831911</v>
      </c>
      <c r="AD20" s="18">
        <f>'Evolutive SFP'!AB15/'Evolutive SFP'!AB27</f>
        <v>0.52796954336653923</v>
      </c>
      <c r="AE20" s="18">
        <f>'Evolutive SFP'!AC15/'Evolutive SFP'!AC27</f>
        <v>0.52776923997019853</v>
      </c>
      <c r="AF20" s="18">
        <f>'Evolutive SFP'!AD15/'Evolutive SFP'!AD27</f>
        <v>0.52545186278655553</v>
      </c>
      <c r="AG20" s="18">
        <f>'Evolutive SFP'!AE15/'Evolutive SFP'!AE27</f>
        <v>0.54380111485561977</v>
      </c>
      <c r="AH20" s="18">
        <f>'Evolutive SFP'!AF15/'Evolutive SFP'!AF27</f>
        <v>0.55937994669131241</v>
      </c>
      <c r="AI20" s="18">
        <f>'Evolutive SFP'!AG15/'Evolutive SFP'!AG27</f>
        <v>0.58035280859368465</v>
      </c>
      <c r="AJ20" s="18">
        <f>'Evolutive SFP'!AH15/'Evolutive SFP'!AH27</f>
        <v>0.58682889546079808</v>
      </c>
      <c r="AK20" s="18" t="e">
        <f>'Evolutive SFP'!AI15/'Evolutive SFP'!AI27</f>
        <v>#DIV/0!</v>
      </c>
      <c r="AL20" s="18" t="e">
        <f>'Evolutive SFP'!AJ15/'Evolutive SFP'!AJ27</f>
        <v>#DIV/0!</v>
      </c>
      <c r="AM20" s="18" t="e">
        <f>'Evolutive SFP'!AK15/'Evolutive SFP'!AK27</f>
        <v>#DIV/0!</v>
      </c>
      <c r="AN20" s="18" t="e">
        <f>'Evolutive SFP'!AL15/'Evolutive SFP'!AL27</f>
        <v>#DIV/0!</v>
      </c>
      <c r="AO20" s="18" t="e">
        <f>'Evolutive SFP'!AM15/'Evolutive SFP'!AM27</f>
        <v>#DIV/0!</v>
      </c>
      <c r="AP20" s="18" t="e">
        <f>'Evolutive SFP'!AN15/'Evolutive SFP'!AN27</f>
        <v>#DIV/0!</v>
      </c>
      <c r="AQ20" s="18" t="e">
        <f>'Evolutive SFP'!AO15/'Evolutive SFP'!AO27</f>
        <v>#DIV/0!</v>
      </c>
      <c r="AR20" s="18" t="e">
        <f>'Evolutive SFP'!AP15/'Evolutive SFP'!AP27</f>
        <v>#DIV/0!</v>
      </c>
      <c r="AS20" s="18" t="e">
        <f>'Evolutive SFP'!AQ15/'Evolutive SFP'!AQ27</f>
        <v>#DIV/0!</v>
      </c>
      <c r="AT20" s="18" t="e">
        <f>'Evolutive SFP'!AR15/'Evolutive SFP'!AR27</f>
        <v>#DIV/0!</v>
      </c>
      <c r="AU20" s="18" t="e">
        <f>'Evolutive SFP'!AS15/'Evolutive SFP'!AS27</f>
        <v>#DIV/0!</v>
      </c>
      <c r="AV20" s="18" t="e">
        <f>'Evolutive SFP'!AT15/'Evolutive SFP'!AT27</f>
        <v>#DIV/0!</v>
      </c>
      <c r="AW20" s="18" t="e">
        <f>'Evolutive SFP'!AU15/'Evolutive SFP'!AU27</f>
        <v>#DIV/0!</v>
      </c>
      <c r="AX20" s="18" t="e">
        <f>'Evolutive SFP'!AV15/'Evolutive SFP'!AV27</f>
        <v>#DIV/0!</v>
      </c>
      <c r="AY20" s="18" t="e">
        <f>'Evolutive SFP'!AW15/'Evolutive SFP'!AW27</f>
        <v>#DIV/0!</v>
      </c>
    </row>
    <row r="21" spans="1:51" x14ac:dyDescent="0.3">
      <c r="A21" s="245" t="s">
        <v>130</v>
      </c>
      <c r="B21" s="41" t="s">
        <v>131</v>
      </c>
      <c r="C21" s="2"/>
      <c r="D21" s="18">
        <f>'Evolutive SFP'!B31/'Evolutive SFP'!B27</f>
        <v>0.85159482956904442</v>
      </c>
      <c r="E21" s="18">
        <f>'Evolutive SFP'!C31/'Evolutive SFP'!C27</f>
        <v>0.72794059294562774</v>
      </c>
      <c r="F21" s="18">
        <f>'Evolutive SFP'!D31/'Evolutive SFP'!D27</f>
        <v>0.71755092705512924</v>
      </c>
      <c r="G21" s="18">
        <f>'Evolutive SFP'!E31/'Evolutive SFP'!E27</f>
        <v>0.72051907783519786</v>
      </c>
      <c r="H21" s="18">
        <f>'Evolutive SFP'!F31/'Evolutive SFP'!F27</f>
        <v>0.73776402536936392</v>
      </c>
      <c r="I21" s="18">
        <f>'Evolutive SFP'!G31/'Evolutive SFP'!G27</f>
        <v>0.73942644624212239</v>
      </c>
      <c r="J21" s="18">
        <f>'Evolutive SFP'!H31/'Evolutive SFP'!H27</f>
        <v>0.7299391405483836</v>
      </c>
      <c r="K21" s="18">
        <f>'Evolutive SFP'!I31/'Evolutive SFP'!I27</f>
        <v>0.73889648435616206</v>
      </c>
      <c r="L21" s="18">
        <f>'Evolutive SFP'!J31/'Evolutive SFP'!J27</f>
        <v>0.73664464200080004</v>
      </c>
      <c r="M21" s="18">
        <f>'Evolutive SFP'!K31/'Evolutive SFP'!K27</f>
        <v>0.73773491589105611</v>
      </c>
      <c r="N21" s="18">
        <f>'Evolutive SFP'!L31/'Evolutive SFP'!L27</f>
        <v>0.73419290838460682</v>
      </c>
      <c r="O21" s="18">
        <f>'Evolutive SFP'!M31/'Evolutive SFP'!M27</f>
        <v>0.73107388242184901</v>
      </c>
      <c r="P21" s="18">
        <f>'Evolutive SFP'!N31/'Evolutive SFP'!N27</f>
        <v>0.73190213501201207</v>
      </c>
      <c r="Q21" s="18">
        <f>'Evolutive SFP'!O31/'Evolutive SFP'!O27</f>
        <v>0.71212658289479835</v>
      </c>
      <c r="R21" s="18">
        <f>'Evolutive SFP'!P31/'Evolutive SFP'!P27</f>
        <v>0.71135556275924072</v>
      </c>
      <c r="S21" s="18">
        <f>'Evolutive SFP'!Q31/'Evolutive SFP'!Q27</f>
        <v>0.71017582698445336</v>
      </c>
      <c r="T21" s="18">
        <f>'Evolutive SFP'!R31/'Evolutive SFP'!R27</f>
        <v>0.71332537522722483</v>
      </c>
      <c r="U21" s="18">
        <f>'Evolutive SFP'!S31/'Evolutive SFP'!S27</f>
        <v>0.71269553793558571</v>
      </c>
      <c r="V21" s="18">
        <f>'Evolutive SFP'!T31/'Evolutive SFP'!T27</f>
        <v>0.72986731537266203</v>
      </c>
      <c r="W21" s="18">
        <f>'Evolutive SFP'!U31/'Evolutive SFP'!U27</f>
        <v>0.730906754310645</v>
      </c>
      <c r="X21" s="18">
        <f>'Evolutive SFP'!V31/'Evolutive SFP'!V27</f>
        <v>0.73012943752739667</v>
      </c>
      <c r="Y21" s="18">
        <f>'Evolutive SFP'!W31/'Evolutive SFP'!W27</f>
        <v>0.74102070373804985</v>
      </c>
      <c r="Z21" s="18">
        <f>'Evolutive SFP'!X31/'Evolutive SFP'!X27</f>
        <v>0.73189225157591198</v>
      </c>
      <c r="AA21" s="18">
        <f>'Evolutive SFP'!Y31/'Evolutive SFP'!Y27</f>
        <v>0.72477603576614436</v>
      </c>
      <c r="AB21" s="18">
        <f>'Evolutive SFP'!Z31/'Evolutive SFP'!Z27</f>
        <v>0.7231163400364008</v>
      </c>
      <c r="AC21" s="18">
        <f>'Evolutive SFP'!AA31/'Evolutive SFP'!AA27</f>
        <v>0.71991162702472911</v>
      </c>
      <c r="AD21" s="18">
        <f>'Evolutive SFP'!AB31/'Evolutive SFP'!AB27</f>
        <v>0.72560543704091085</v>
      </c>
      <c r="AE21" s="18">
        <f>'Evolutive SFP'!AC31/'Evolutive SFP'!AC27</f>
        <v>0.72388780253641616</v>
      </c>
      <c r="AF21" s="18">
        <f>'Evolutive SFP'!AD31/'Evolutive SFP'!AD27</f>
        <v>0.72375694046948391</v>
      </c>
      <c r="AG21" s="18">
        <f>'Evolutive SFP'!AE31/'Evolutive SFP'!AE27</f>
        <v>0.70831120134605419</v>
      </c>
      <c r="AH21" s="18">
        <f>'Evolutive SFP'!AF31/'Evolutive SFP'!AF27</f>
        <v>0.71704781211572788</v>
      </c>
      <c r="AI21" s="18">
        <f>'Evolutive SFP'!AG31/'Evolutive SFP'!AG27</f>
        <v>0.71966099771048098</v>
      </c>
      <c r="AJ21" s="18">
        <f>'Evolutive SFP'!AH31/'Evolutive SFP'!AH27</f>
        <v>0.71818586223417613</v>
      </c>
      <c r="AK21" s="18" t="e">
        <f>'Evolutive SFP'!AI31/'Evolutive SFP'!AI27</f>
        <v>#DIV/0!</v>
      </c>
      <c r="AL21" s="18" t="e">
        <f>'Evolutive SFP'!AJ31/'Evolutive SFP'!AJ27</f>
        <v>#DIV/0!</v>
      </c>
      <c r="AM21" s="18" t="e">
        <f>'Evolutive SFP'!AK31/'Evolutive SFP'!AK27</f>
        <v>#DIV/0!</v>
      </c>
      <c r="AN21" s="18" t="e">
        <f>'Evolutive SFP'!AL31/'Evolutive SFP'!AL27</f>
        <v>#DIV/0!</v>
      </c>
      <c r="AO21" s="18" t="e">
        <f>'Evolutive SFP'!AM31/'Evolutive SFP'!AM27</f>
        <v>#DIV/0!</v>
      </c>
      <c r="AP21" s="18" t="e">
        <f>'Evolutive SFP'!AN31/'Evolutive SFP'!AN27</f>
        <v>#DIV/0!</v>
      </c>
      <c r="AQ21" s="18" t="e">
        <f>'Evolutive SFP'!AO31/'Evolutive SFP'!AO27</f>
        <v>#DIV/0!</v>
      </c>
      <c r="AR21" s="18" t="e">
        <f>'Evolutive SFP'!AP31/'Evolutive SFP'!AP27</f>
        <v>#DIV/0!</v>
      </c>
      <c r="AS21" s="18" t="e">
        <f>'Evolutive SFP'!AQ31/'Evolutive SFP'!AQ27</f>
        <v>#DIV/0!</v>
      </c>
      <c r="AT21" s="18" t="e">
        <f>'Evolutive SFP'!AR31/'Evolutive SFP'!AR27</f>
        <v>#DIV/0!</v>
      </c>
      <c r="AU21" s="18" t="e">
        <f>'Evolutive SFP'!AS31/'Evolutive SFP'!AS27</f>
        <v>#DIV/0!</v>
      </c>
      <c r="AV21" s="18" t="e">
        <f>'Evolutive SFP'!AT31/'Evolutive SFP'!AT27</f>
        <v>#DIV/0!</v>
      </c>
      <c r="AW21" s="18" t="e">
        <f>'Evolutive SFP'!AU31/'Evolutive SFP'!AU27</f>
        <v>#DIV/0!</v>
      </c>
      <c r="AX21" s="18" t="e">
        <f>'Evolutive SFP'!AV31/'Evolutive SFP'!AV27</f>
        <v>#DIV/0!</v>
      </c>
      <c r="AY21" s="18" t="e">
        <f>'Evolutive SFP'!AW31/'Evolutive SFP'!AW27</f>
        <v>#DIV/0!</v>
      </c>
    </row>
    <row r="22" spans="1:51" x14ac:dyDescent="0.3">
      <c r="A22" s="245"/>
      <c r="B22" s="41" t="s">
        <v>132</v>
      </c>
      <c r="C22" s="2"/>
      <c r="D22" s="18">
        <f>'Evolutive SFP'!B30/'Evolutive SFP'!B27</f>
        <v>0.74257767546849374</v>
      </c>
      <c r="E22" s="18">
        <f>'Evolutive SFP'!C30/'Evolutive SFP'!C27</f>
        <v>0.49786054335193985</v>
      </c>
      <c r="F22" s="18">
        <f>'Evolutive SFP'!D30/'Evolutive SFP'!D27</f>
        <v>0.49746079231838902</v>
      </c>
      <c r="G22" s="18">
        <f>'Evolutive SFP'!E30/'Evolutive SFP'!E27</f>
        <v>0.50610090355159032</v>
      </c>
      <c r="H22" s="18">
        <f>'Evolutive SFP'!F30/'Evolutive SFP'!F27</f>
        <v>0.51172060798911834</v>
      </c>
      <c r="I22" s="18">
        <f>'Evolutive SFP'!G30/'Evolutive SFP'!G27</f>
        <v>0.51963707324961927</v>
      </c>
      <c r="J22" s="18">
        <f>'Evolutive SFP'!H30/'Evolutive SFP'!H27</f>
        <v>0.5214873084175603</v>
      </c>
      <c r="K22" s="18">
        <f>'Evolutive SFP'!I30/'Evolutive SFP'!I27</f>
        <v>0.52894268907699538</v>
      </c>
      <c r="L22" s="18">
        <f>'Evolutive SFP'!J30/'Evolutive SFP'!J27</f>
        <v>0.53136933770211103</v>
      </c>
      <c r="M22" s="18">
        <f>'Evolutive SFP'!K30/'Evolutive SFP'!K27</f>
        <v>0.54027394639574777</v>
      </c>
      <c r="N22" s="18">
        <f>'Evolutive SFP'!L30/'Evolutive SFP'!L27</f>
        <v>0.53717312449280541</v>
      </c>
      <c r="O22" s="18">
        <f>'Evolutive SFP'!M30/'Evolutive SFP'!M27</f>
        <v>0.5252314565722016</v>
      </c>
      <c r="P22" s="18">
        <f>'Evolutive SFP'!N30/'Evolutive SFP'!N27</f>
        <v>0.52566999979342177</v>
      </c>
      <c r="Q22" s="18">
        <f>'Evolutive SFP'!O30/'Evolutive SFP'!O27</f>
        <v>0.51162446652351912</v>
      </c>
      <c r="R22" s="18">
        <f>'Evolutive SFP'!P30/'Evolutive SFP'!P27</f>
        <v>0.51107560024148402</v>
      </c>
      <c r="S22" s="18">
        <f>'Evolutive SFP'!Q30/'Evolutive SFP'!Q27</f>
        <v>0.51086293763446566</v>
      </c>
      <c r="T22" s="18">
        <f>'Evolutive SFP'!R30/'Evolutive SFP'!R27</f>
        <v>0.50754108187369318</v>
      </c>
      <c r="U22" s="18">
        <f>'Evolutive SFP'!S30/'Evolutive SFP'!S27</f>
        <v>0.51708321623533782</v>
      </c>
      <c r="V22" s="18">
        <f>'Evolutive SFP'!T30/'Evolutive SFP'!T27</f>
        <v>0.52489818042811276</v>
      </c>
      <c r="W22" s="18">
        <f>'Evolutive SFP'!U30/'Evolutive SFP'!U27</f>
        <v>0.51411680133716819</v>
      </c>
      <c r="X22" s="18">
        <f>'Evolutive SFP'!V30/'Evolutive SFP'!V27</f>
        <v>0.52495291824621537</v>
      </c>
      <c r="Y22" s="18">
        <f>'Evolutive SFP'!W30/'Evolutive SFP'!W27</f>
        <v>0.47563205811146436</v>
      </c>
      <c r="Z22" s="18">
        <f>'Evolutive SFP'!X30/'Evolutive SFP'!X27</f>
        <v>0.48363395188410246</v>
      </c>
      <c r="AA22" s="18">
        <f>'Evolutive SFP'!Y30/'Evolutive SFP'!Y27</f>
        <v>0.49017001382845538</v>
      </c>
      <c r="AB22" s="18">
        <f>'Evolutive SFP'!Z30/'Evolutive SFP'!Z27</f>
        <v>0.48934294150298724</v>
      </c>
      <c r="AC22" s="18">
        <f>'Evolutive SFP'!AA30/'Evolutive SFP'!AA27</f>
        <v>0.48633061054245624</v>
      </c>
      <c r="AD22" s="18">
        <f>'Evolutive SFP'!AB30/'Evolutive SFP'!AB27</f>
        <v>0.47157917353079598</v>
      </c>
      <c r="AE22" s="18">
        <f>'Evolutive SFP'!AC30/'Evolutive SFP'!AC27</f>
        <v>0.47045987119191096</v>
      </c>
      <c r="AF22" s="18">
        <f>'Evolutive SFP'!AD30/'Evolutive SFP'!AD27</f>
        <v>0.46744878429595521</v>
      </c>
      <c r="AG22" s="18">
        <f>'Evolutive SFP'!AE30/'Evolutive SFP'!AE27</f>
        <v>0.47441288191566211</v>
      </c>
      <c r="AH22" s="18">
        <f>'Evolutive SFP'!AF30/'Evolutive SFP'!AF27</f>
        <v>0.48150500666256518</v>
      </c>
      <c r="AI22" s="18">
        <f>'Evolutive SFP'!AG30/'Evolutive SFP'!AG27</f>
        <v>0.49831937563105394</v>
      </c>
      <c r="AJ22" s="18">
        <f>'Evolutive SFP'!AH30/'Evolutive SFP'!AH27</f>
        <v>0.50670837369824206</v>
      </c>
      <c r="AK22" s="18" t="e">
        <f>'Evolutive SFP'!AI30/'Evolutive SFP'!AI27</f>
        <v>#DIV/0!</v>
      </c>
      <c r="AL22" s="18" t="e">
        <f>'Evolutive SFP'!AJ30/'Evolutive SFP'!AJ27</f>
        <v>#DIV/0!</v>
      </c>
      <c r="AM22" s="18" t="e">
        <f>'Evolutive SFP'!AK30/'Evolutive SFP'!AK27</f>
        <v>#DIV/0!</v>
      </c>
      <c r="AN22" s="18" t="e">
        <f>'Evolutive SFP'!AL30/'Evolutive SFP'!AL27</f>
        <v>#DIV/0!</v>
      </c>
      <c r="AO22" s="18" t="e">
        <f>'Evolutive SFP'!AM30/'Evolutive SFP'!AM27</f>
        <v>#DIV/0!</v>
      </c>
      <c r="AP22" s="18" t="e">
        <f>'Evolutive SFP'!AN30/'Evolutive SFP'!AN27</f>
        <v>#DIV/0!</v>
      </c>
      <c r="AQ22" s="18" t="e">
        <f>'Evolutive SFP'!AO30/'Evolutive SFP'!AO27</f>
        <v>#DIV/0!</v>
      </c>
      <c r="AR22" s="18" t="e">
        <f>'Evolutive SFP'!AP30/'Evolutive SFP'!AP27</f>
        <v>#DIV/0!</v>
      </c>
      <c r="AS22" s="18" t="e">
        <f>'Evolutive SFP'!AQ30/'Evolutive SFP'!AQ27</f>
        <v>#DIV/0!</v>
      </c>
      <c r="AT22" s="18" t="e">
        <f>'Evolutive SFP'!AR30/'Evolutive SFP'!AR27</f>
        <v>#DIV/0!</v>
      </c>
      <c r="AU22" s="18" t="e">
        <f>'Evolutive SFP'!AS30/'Evolutive SFP'!AS27</f>
        <v>#DIV/0!</v>
      </c>
      <c r="AV22" s="18" t="e">
        <f>'Evolutive SFP'!AT30/'Evolutive SFP'!AT27</f>
        <v>#DIV/0!</v>
      </c>
      <c r="AW22" s="18" t="e">
        <f>'Evolutive SFP'!AU30/'Evolutive SFP'!AU27</f>
        <v>#DIV/0!</v>
      </c>
      <c r="AX22" s="18" t="e">
        <f>'Evolutive SFP'!AV30/'Evolutive SFP'!AV27</f>
        <v>#DIV/0!</v>
      </c>
      <c r="AY22" s="18" t="e">
        <f>'Evolutive SFP'!AW30/'Evolutive SFP'!AW27</f>
        <v>#DIV/0!</v>
      </c>
    </row>
    <row r="23" spans="1:51" x14ac:dyDescent="0.3">
      <c r="A23" s="245"/>
      <c r="B23" s="41" t="s">
        <v>133</v>
      </c>
      <c r="C23" s="2"/>
      <c r="D23" s="18">
        <f>('Evolutive SFP'!B28+'Evolutive SFP'!B29)/'Evolutive SFP'!B27</f>
        <v>0.10901715410055068</v>
      </c>
      <c r="E23" s="18">
        <f>('Evolutive SFP'!C28+'Evolutive SFP'!C29)/'Evolutive SFP'!C27</f>
        <v>0.23008004959368789</v>
      </c>
      <c r="F23" s="18">
        <f>('Evolutive SFP'!D28+'Evolutive SFP'!D29)/'Evolutive SFP'!D27</f>
        <v>0.2200901347367403</v>
      </c>
      <c r="G23" s="18">
        <f>('Evolutive SFP'!E28+'Evolutive SFP'!E29)/'Evolutive SFP'!E27</f>
        <v>0.2144181742836076</v>
      </c>
      <c r="H23" s="18">
        <f>('Evolutive SFP'!F28+'Evolutive SFP'!F29)/'Evolutive SFP'!F27</f>
        <v>0.22604341738024572</v>
      </c>
      <c r="I23" s="18">
        <f>('Evolutive SFP'!G28+'Evolutive SFP'!G29)/'Evolutive SFP'!G27</f>
        <v>0.21978937299250317</v>
      </c>
      <c r="J23" s="18">
        <f>('Evolutive SFP'!H28+'Evolutive SFP'!H29)/'Evolutive SFP'!H27</f>
        <v>0.2084518321308233</v>
      </c>
      <c r="K23" s="18">
        <f>('Evolutive SFP'!I28+'Evolutive SFP'!I29)/'Evolutive SFP'!I27</f>
        <v>0.20995379527916669</v>
      </c>
      <c r="L23" s="18">
        <f>('Evolutive SFP'!J28+'Evolutive SFP'!J29)/'Evolutive SFP'!J27</f>
        <v>0.20527530429868904</v>
      </c>
      <c r="M23" s="18">
        <f>('Evolutive SFP'!K28+'Evolutive SFP'!K29)/'Evolutive SFP'!K27</f>
        <v>0.19746096949530834</v>
      </c>
      <c r="N23" s="18">
        <f>('Evolutive SFP'!L28+'Evolutive SFP'!L29)/'Evolutive SFP'!L27</f>
        <v>0.19701978389180155</v>
      </c>
      <c r="O23" s="18">
        <f>('Evolutive SFP'!M28+'Evolutive SFP'!M29)/'Evolutive SFP'!M27</f>
        <v>0.20584242584964743</v>
      </c>
      <c r="P23" s="18">
        <f>('Evolutive SFP'!N28+'Evolutive SFP'!N29)/'Evolutive SFP'!N27</f>
        <v>0.20623213521859027</v>
      </c>
      <c r="Q23" s="18">
        <f>('Evolutive SFP'!O28+'Evolutive SFP'!O29)/'Evolutive SFP'!O27</f>
        <v>0.20050211637127924</v>
      </c>
      <c r="R23" s="18">
        <f>('Evolutive SFP'!P28+'Evolutive SFP'!P29)/'Evolutive SFP'!P27</f>
        <v>0.2002799625177567</v>
      </c>
      <c r="S23" s="18">
        <f>('Evolutive SFP'!Q28+'Evolutive SFP'!Q29)/'Evolutive SFP'!Q27</f>
        <v>0.19931288934998778</v>
      </c>
      <c r="T23" s="18">
        <f>('Evolutive SFP'!R28+'Evolutive SFP'!R29)/'Evolutive SFP'!R27</f>
        <v>0.20578429335353171</v>
      </c>
      <c r="U23" s="18">
        <f>('Evolutive SFP'!S28+'Evolutive SFP'!S29)/'Evolutive SFP'!S27</f>
        <v>0.19561232170024787</v>
      </c>
      <c r="V23" s="18">
        <f>('Evolutive SFP'!T28+'Evolutive SFP'!T29)/'Evolutive SFP'!T27</f>
        <v>0.20496913494454924</v>
      </c>
      <c r="W23" s="18">
        <f>('Evolutive SFP'!U28+'Evolutive SFP'!U29)/'Evolutive SFP'!U27</f>
        <v>0.21678995297347683</v>
      </c>
      <c r="X23" s="18">
        <f>('Evolutive SFP'!V28+'Evolutive SFP'!V29)/'Evolutive SFP'!V27</f>
        <v>0.2051765192811813</v>
      </c>
      <c r="Y23" s="18">
        <f>('Evolutive SFP'!W28+'Evolutive SFP'!W29)/'Evolutive SFP'!W27</f>
        <v>0.26538864562658543</v>
      </c>
      <c r="Z23" s="18">
        <f>('Evolutive SFP'!X28+'Evolutive SFP'!X29)/'Evolutive SFP'!X27</f>
        <v>0.24825829969180954</v>
      </c>
      <c r="AA23" s="18">
        <f>('Evolutive SFP'!Y28+'Evolutive SFP'!Y29)/'Evolutive SFP'!Y27</f>
        <v>0.23460602193768898</v>
      </c>
      <c r="AB23" s="18">
        <f>('Evolutive SFP'!Z28+'Evolutive SFP'!Z29)/'Evolutive SFP'!Z27</f>
        <v>0.23377339853341356</v>
      </c>
      <c r="AC23" s="18">
        <f>('Evolutive SFP'!AA28+'Evolutive SFP'!AA29)/'Evolutive SFP'!AA27</f>
        <v>0.23358101648227284</v>
      </c>
      <c r="AD23" s="18">
        <f>('Evolutive SFP'!AB28+'Evolutive SFP'!AB29)/'Evolutive SFP'!AB27</f>
        <v>0.25402626351011487</v>
      </c>
      <c r="AE23" s="18">
        <f>('Evolutive SFP'!AC28+'Evolutive SFP'!AC29)/'Evolutive SFP'!AC27</f>
        <v>0.25342793134450525</v>
      </c>
      <c r="AF23" s="18">
        <f>('Evolutive SFP'!AD28+'Evolutive SFP'!AD29)/'Evolutive SFP'!AD27</f>
        <v>0.25630815617352881</v>
      </c>
      <c r="AG23" s="18">
        <f>('Evolutive SFP'!AE28+'Evolutive SFP'!AE29)/'Evolutive SFP'!AE27</f>
        <v>0.23389831943039194</v>
      </c>
      <c r="AH23" s="18">
        <f>('Evolutive SFP'!AF28+'Evolutive SFP'!AF29)/'Evolutive SFP'!AF27</f>
        <v>0.2355428054531627</v>
      </c>
      <c r="AI23" s="18">
        <f>('Evolutive SFP'!AG28+'Evolutive SFP'!AG29)/'Evolutive SFP'!AG27</f>
        <v>0.22134162207942709</v>
      </c>
      <c r="AJ23" s="18">
        <f>('Evolutive SFP'!AH28+'Evolutive SFP'!AH29)/'Evolutive SFP'!AH27</f>
        <v>0.21147748853593401</v>
      </c>
      <c r="AK23" s="18" t="e">
        <f>('Evolutive SFP'!AI28+'Evolutive SFP'!AI29)/'Evolutive SFP'!AI27</f>
        <v>#DIV/0!</v>
      </c>
      <c r="AL23" s="18" t="e">
        <f>('Evolutive SFP'!AJ28+'Evolutive SFP'!AJ29)/'Evolutive SFP'!AJ27</f>
        <v>#DIV/0!</v>
      </c>
      <c r="AM23" s="18" t="e">
        <f>('Evolutive SFP'!AK28+'Evolutive SFP'!AK29)/'Evolutive SFP'!AK27</f>
        <v>#DIV/0!</v>
      </c>
      <c r="AN23" s="18" t="e">
        <f>('Evolutive SFP'!AL28+'Evolutive SFP'!AL29)/'Evolutive SFP'!AL27</f>
        <v>#DIV/0!</v>
      </c>
      <c r="AO23" s="18" t="e">
        <f>('Evolutive SFP'!AM28+'Evolutive SFP'!AM29)/'Evolutive SFP'!AM27</f>
        <v>#DIV/0!</v>
      </c>
      <c r="AP23" s="18" t="e">
        <f>('Evolutive SFP'!AN28+'Evolutive SFP'!AN29)/'Evolutive SFP'!AN27</f>
        <v>#DIV/0!</v>
      </c>
      <c r="AQ23" s="18" t="e">
        <f>('Evolutive SFP'!AO28+'Evolutive SFP'!AO29)/'Evolutive SFP'!AO27</f>
        <v>#DIV/0!</v>
      </c>
      <c r="AR23" s="18" t="e">
        <f>('Evolutive SFP'!AP28+'Evolutive SFP'!AP29)/'Evolutive SFP'!AP27</f>
        <v>#DIV/0!</v>
      </c>
      <c r="AS23" s="18" t="e">
        <f>('Evolutive SFP'!AQ28+'Evolutive SFP'!AQ29)/'Evolutive SFP'!AQ27</f>
        <v>#DIV/0!</v>
      </c>
      <c r="AT23" s="18" t="e">
        <f>('Evolutive SFP'!AR28+'Evolutive SFP'!AR29)/'Evolutive SFP'!AR27</f>
        <v>#DIV/0!</v>
      </c>
      <c r="AU23" s="18" t="e">
        <f>('Evolutive SFP'!AS28+'Evolutive SFP'!AS29)/'Evolutive SFP'!AS27</f>
        <v>#DIV/0!</v>
      </c>
      <c r="AV23" s="18" t="e">
        <f>('Evolutive SFP'!AT28+'Evolutive SFP'!AT29)/'Evolutive SFP'!AT27</f>
        <v>#DIV/0!</v>
      </c>
      <c r="AW23" s="18" t="e">
        <f>('Evolutive SFP'!AU28+'Evolutive SFP'!AU29)/'Evolutive SFP'!AU27</f>
        <v>#DIV/0!</v>
      </c>
      <c r="AX23" s="18" t="e">
        <f>('Evolutive SFP'!AV28+'Evolutive SFP'!AV29)/'Evolutive SFP'!AV27</f>
        <v>#DIV/0!</v>
      </c>
      <c r="AY23" s="18" t="e">
        <f>('Evolutive SFP'!AW28+'Evolutive SFP'!AW29)/'Evolutive SFP'!AW27</f>
        <v>#DIV/0!</v>
      </c>
    </row>
    <row r="24" spans="1:51" x14ac:dyDescent="0.3">
      <c r="A24" s="244" t="s">
        <v>134</v>
      </c>
      <c r="B24" s="41" t="s">
        <v>26</v>
      </c>
      <c r="C24" s="2"/>
      <c r="D24" s="18" t="e">
        <f>(Financials!C4-Financials!B4)/Financials!B4</f>
        <v>#VALUE!</v>
      </c>
      <c r="E24" s="18">
        <f>(Financials!D4-Financials!C4)/Financials!C4</f>
        <v>0.30009413125436757</v>
      </c>
      <c r="F24" s="18">
        <f>(Financials!E4-Financials!D4)/Financials!D4</f>
        <v>4.0929075269811365E-3</v>
      </c>
      <c r="G24" s="18">
        <f>(Financials!F4-Financials!E4)/Financials!E4</f>
        <v>-9.2550939165919402E-3</v>
      </c>
      <c r="H24" s="18">
        <f>(Financials!G4-Financials!F4)/Financials!F4</f>
        <v>-2.9365037455335E-3</v>
      </c>
      <c r="I24" s="18">
        <f>(Financials!H4-Financials!G4)/Financials!G4</f>
        <v>-1.0805730977408138E-2</v>
      </c>
      <c r="J24" s="18">
        <f>(Financials!I4-Financials!H4)/Financials!H4</f>
        <v>3.3435975984076318E-3</v>
      </c>
      <c r="K24" s="18">
        <f>(Financials!J4-Financials!I4)/Financials!I4</f>
        <v>-9.0310784202815055E-3</v>
      </c>
      <c r="L24" s="18">
        <f>(Financials!K4-Financials!J4)/Financials!J4</f>
        <v>2.6924920399021088E-3</v>
      </c>
      <c r="M24" s="18">
        <f>(Financials!L4-Financials!K4)/Financials!K4</f>
        <v>-8.8497489184955515E-3</v>
      </c>
      <c r="N24" s="18">
        <f>(Financials!M4-Financials!L4)/Financials!L4</f>
        <v>7.1811712170328423E-3</v>
      </c>
      <c r="O24" s="18">
        <f>(Financials!N4-Financials!M4)/Financials!M4</f>
        <v>3.3147682941200178E-2</v>
      </c>
      <c r="P24" s="18">
        <f>(Financials!O4-Financials!N4)/Financials!N4</f>
        <v>1.7886087786065454E-2</v>
      </c>
      <c r="Q24" s="18">
        <f>(Financials!P4-Financials!O4)/Financials!O4</f>
        <v>6.5423820865950846E-3</v>
      </c>
      <c r="R24" s="18">
        <f>(Financials!Q4-Financials!P4)/Financials!P4</f>
        <v>1.0739412102706864E-3</v>
      </c>
      <c r="S24" s="18">
        <f>(Financials!R4-Financials!Q4)/Financials!Q4</f>
        <v>4.3948840917027452E-3</v>
      </c>
      <c r="T24" s="18">
        <f>(Financials!S4-Financials!R4)/Financials!R4</f>
        <v>1.6806936185371692E-2</v>
      </c>
      <c r="U24" s="18">
        <f>(Financials!T4-Financials!S4)/Financials!S4</f>
        <v>-7.9850038047877478E-3</v>
      </c>
      <c r="V24" s="18">
        <f>(Financials!U4-Financials!T4)/Financials!T4</f>
        <v>-1.4954208225557545E-2</v>
      </c>
      <c r="W24" s="18">
        <f>(Financials!V4-Financials!U4)/Financials!U4</f>
        <v>2.8373473975831336E-2</v>
      </c>
      <c r="X24" s="18">
        <f>(Financials!W4-Financials!V4)/Financials!V4</f>
        <v>-1.4659485941472525E-2</v>
      </c>
      <c r="Y24" s="18">
        <f>(Financials!X4-Financials!W4)/Financials!W4</f>
        <v>0.1093673368689916</v>
      </c>
      <c r="Z24" s="18">
        <f>(Financials!Y4-Financials!X4)/Financials!X4</f>
        <v>-1.5459008179805047E-2</v>
      </c>
      <c r="AA24" s="18">
        <f>(Financials!Z4-Financials!Y4)/Financials!Y4</f>
        <v>-9.4887880180203003E-3</v>
      </c>
      <c r="AB24" s="18">
        <f>(Financials!AA4-Financials!Z4)/Financials!Z4</f>
        <v>9.0869448826772503E-3</v>
      </c>
      <c r="AC24" s="18">
        <f>(Financials!AB4-Financials!AA4)/Financials!AA4</f>
        <v>1.3931959985165079E-2</v>
      </c>
      <c r="AD24" s="18">
        <f>(Financials!AC4-Financials!AB4)/Financials!AB4</f>
        <v>2.7340120364946686E-2</v>
      </c>
      <c r="AE24" s="18">
        <f>(Financials!AD4-Financials!AC4)/Financials!AC4</f>
        <v>2.3609641601986062E-3</v>
      </c>
      <c r="AF24" s="18">
        <f>(Financials!AE4-Financials!AD4)/Financials!AD4</f>
        <v>1.46552757430849E-2</v>
      </c>
      <c r="AG24" s="18">
        <f>(Financials!AF4-Financials!AE4)/Financials!AE4</f>
        <v>-8.4618889845540814E-3</v>
      </c>
      <c r="AH24" s="18">
        <f>(Financials!AG4-Financials!AF4)/Financials!AF4</f>
        <v>-1.0704890257369848E-2</v>
      </c>
      <c r="AI24" s="18">
        <f>(Financials!AH4-Financials!AG4)/Financials!AG4</f>
        <v>-3.4363965997474266E-2</v>
      </c>
      <c r="AJ24" s="18">
        <f>(Financials!AI4-Financials!AH4)/Financials!AH4</f>
        <v>-1.0853343497332045E-2</v>
      </c>
      <c r="AK24" s="18">
        <f>(Financials!AJ4-Financials!AI4)/Financials!AI4</f>
        <v>-1</v>
      </c>
      <c r="AL24" s="18" t="e">
        <f>(Financials!AK4-Financials!AJ4)/Financials!AJ4</f>
        <v>#DIV/0!</v>
      </c>
      <c r="AM24" s="18" t="e">
        <f>(Financials!AL4-Financials!AK4)/Financials!AK4</f>
        <v>#DIV/0!</v>
      </c>
      <c r="AN24" s="18" t="e">
        <f>(Financials!AM4-Financials!AL4)/Financials!AL4</f>
        <v>#DIV/0!</v>
      </c>
      <c r="AO24" s="18" t="e">
        <f>(Financials!AN4-Financials!AM4)/Financials!AM4</f>
        <v>#DIV/0!</v>
      </c>
      <c r="AP24" s="18" t="e">
        <f>(Financials!AO4-Financials!AN4)/Financials!AN4</f>
        <v>#DIV/0!</v>
      </c>
      <c r="AQ24" s="18" t="e">
        <f>(Financials!AP4-Financials!AO4)/Financials!AO4</f>
        <v>#DIV/0!</v>
      </c>
      <c r="AR24" s="18" t="e">
        <f>(Financials!AQ4-Financials!AP4)/Financials!AP4</f>
        <v>#DIV/0!</v>
      </c>
      <c r="AS24" s="18" t="e">
        <f>(Financials!AR4-Financials!AQ4)/Financials!AQ4</f>
        <v>#DIV/0!</v>
      </c>
      <c r="AT24" s="18" t="e">
        <f>(Financials!AS4-Financials!AR4)/Financials!AR4</f>
        <v>#DIV/0!</v>
      </c>
      <c r="AU24" s="18" t="e">
        <f>(Financials!AT4-Financials!AS4)/Financials!AS4</f>
        <v>#DIV/0!</v>
      </c>
      <c r="AV24" s="18" t="e">
        <f>(Financials!AU4-Financials!AT4)/Financials!AT4</f>
        <v>#DIV/0!</v>
      </c>
      <c r="AW24" s="18" t="e">
        <f>(Financials!AV4-Financials!AU4)/Financials!AU4</f>
        <v>#DIV/0!</v>
      </c>
      <c r="AX24" s="18" t="e">
        <f>(Financials!AW4-Financials!AV4)/Financials!AV4</f>
        <v>#DIV/0!</v>
      </c>
      <c r="AY24" s="18" t="e">
        <f>(Financials!AX4-Financials!AW4)/Financials!AW4</f>
        <v>#DIV/0!</v>
      </c>
    </row>
    <row r="25" spans="1:51" x14ac:dyDescent="0.3">
      <c r="A25" s="244"/>
      <c r="B25" s="41" t="s">
        <v>135</v>
      </c>
      <c r="C25" s="2" t="e">
        <f>IF(CAELS!D16&lt;6%,"1",IF)</f>
        <v>#NAME?</v>
      </c>
      <c r="D25" s="18">
        <f>Financials!D5/Financials!C5-1</f>
        <v>0.11131639123427162</v>
      </c>
      <c r="E25" s="18">
        <f>Financials!E5/Financials!D5-1</f>
        <v>-1.0238193023422881E-2</v>
      </c>
      <c r="F25" s="18">
        <f>Financials!F5/Financials!E5-1</f>
        <v>-5.1568757205550098E-3</v>
      </c>
      <c r="G25" s="18">
        <f>Financials!G5/Financials!F5-1</f>
        <v>2.0927274758154146E-2</v>
      </c>
      <c r="H25" s="18">
        <f>Financials!H5/Financials!G5-1</f>
        <v>-8.5767564767702531E-3</v>
      </c>
      <c r="I25" s="18">
        <f>Financials!I5/Financials!H5-1</f>
        <v>-9.5299308974270414E-3</v>
      </c>
      <c r="J25" s="18">
        <f>Financials!J5/Financials!I5-1</f>
        <v>3.1294550274034716E-3</v>
      </c>
      <c r="K25" s="18">
        <f>Financials!K5/Financials!J5-1</f>
        <v>-3.6328839860733098E-4</v>
      </c>
      <c r="L25" s="18">
        <f>Financials!L5/Financials!K5-1</f>
        <v>-7.3827929692337202E-3</v>
      </c>
      <c r="M25" s="18">
        <f>Financials!M5/Financials!L5-1</f>
        <v>2.3455003114525308E-3</v>
      </c>
      <c r="N25" s="18">
        <f>Financials!N5/Financials!M5-1</f>
        <v>2.8758626046675451E-2</v>
      </c>
      <c r="O25" s="18">
        <f>Financials!O5/Financials!N5-1</f>
        <v>1.9039277373288588E-2</v>
      </c>
      <c r="P25" s="18">
        <f>Financials!P5/Financials!O5-1</f>
        <v>-2.0653783060281095E-2</v>
      </c>
      <c r="Q25" s="18">
        <f>Financials!Q5/Financials!P5-1</f>
        <v>-9.9225077745401791E-6</v>
      </c>
      <c r="R25" s="18">
        <f>Financials!R5/Financials!Q5-1</f>
        <v>2.729162139406327E-3</v>
      </c>
      <c r="S25" s="18">
        <f>Financials!S5/Financials!R5-1</f>
        <v>2.1316358186820095E-2</v>
      </c>
      <c r="T25" s="18">
        <f>Financials!T5/Financials!S5-1</f>
        <v>-8.8609126959722229E-3</v>
      </c>
      <c r="U25" s="18">
        <f>Financials!U5/Financials!T5-1</f>
        <v>8.7796110581661591E-3</v>
      </c>
      <c r="V25" s="18">
        <f>Financials!V5/Financials!U5-1</f>
        <v>2.9838029805535182E-2</v>
      </c>
      <c r="W25" s="18">
        <f>Financials!W5/Financials!V5-1</f>
        <v>-1.57073921405535E-2</v>
      </c>
      <c r="X25" s="18">
        <f>Financials!X5/Financials!W5-1</f>
        <v>0.12591565607135236</v>
      </c>
      <c r="Y25" s="18">
        <f>Financials!Y5/Financials!X5-1</f>
        <v>-2.7587326997562833E-2</v>
      </c>
      <c r="Z25" s="18">
        <f>Financials!Z5/Financials!Y5-1</f>
        <v>-1.9119565678640482E-2</v>
      </c>
      <c r="AA25" s="18">
        <f>Financials!AA5/Financials!Z5-1</f>
        <v>6.7761934081320696E-3</v>
      </c>
      <c r="AB25" s="18">
        <f>Financials!AB5/Financials!AA5-1</f>
        <v>9.4384078895912715E-3</v>
      </c>
      <c r="AC25" s="18">
        <f>Financials!AC5/Financials!AB5-1</f>
        <v>3.5465394701095665E-2</v>
      </c>
      <c r="AD25" s="18">
        <f>Financials!AD5/Financials!AC5-1</f>
        <v>-1.1798900978687854E-5</v>
      </c>
      <c r="AE25" s="18">
        <f>Financials!AE5/Financials!AD5-1</f>
        <v>1.4471849684319693E-2</v>
      </c>
      <c r="AF25" s="18">
        <f>Financials!AF5/Financials!AE5-1</f>
        <v>-2.9622361703127931E-2</v>
      </c>
      <c r="AG25" s="18">
        <f>Financials!AG5/Financials!AF5-1</f>
        <v>1.4974952106814321E-3</v>
      </c>
      <c r="AH25" s="18">
        <f>Financials!AH5/Financials!AG5-1</f>
        <v>-3.0844833617187817E-2</v>
      </c>
      <c r="AI25" s="18">
        <f>Financials!AI5/Financials!AH5-1</f>
        <v>-1.2880861077022354E-2</v>
      </c>
      <c r="AJ25" s="18">
        <f>Financials!AJ5/Financials!AI5-1</f>
        <v>-1</v>
      </c>
      <c r="AK25" s="18" t="e">
        <f>Financials!AK5/Financials!AJ5-1</f>
        <v>#DIV/0!</v>
      </c>
      <c r="AL25" s="18" t="e">
        <f>Financials!AL5/Financials!AK5-1</f>
        <v>#DIV/0!</v>
      </c>
      <c r="AM25" s="18" t="e">
        <f>Financials!AM5/Financials!AL5-1</f>
        <v>#DIV/0!</v>
      </c>
      <c r="AN25" s="18" t="e">
        <f>Financials!AN5/Financials!AM5-1</f>
        <v>#DIV/0!</v>
      </c>
      <c r="AO25" s="18" t="e">
        <f>Financials!AO5/Financials!AN5-1</f>
        <v>#DIV/0!</v>
      </c>
      <c r="AP25" s="18" t="e">
        <f>Financials!AP5/Financials!AO5-1</f>
        <v>#DIV/0!</v>
      </c>
      <c r="AQ25" s="18" t="e">
        <f>Financials!AQ5/Financials!AP5-1</f>
        <v>#DIV/0!</v>
      </c>
      <c r="AR25" s="18" t="e">
        <f>Financials!AR5/Financials!AQ5-1</f>
        <v>#DIV/0!</v>
      </c>
      <c r="AS25" s="18" t="e">
        <f>Financials!AS5/Financials!AR5-1</f>
        <v>#DIV/0!</v>
      </c>
      <c r="AT25" s="18" t="e">
        <f>Financials!AT5/Financials!AS5-1</f>
        <v>#DIV/0!</v>
      </c>
      <c r="AU25" s="18" t="e">
        <f>Financials!AU5/Financials!AT5-1</f>
        <v>#DIV/0!</v>
      </c>
      <c r="AV25" s="18" t="e">
        <f>Financials!AV5/Financials!AU5-1</f>
        <v>#DIV/0!</v>
      </c>
      <c r="AW25" s="18" t="e">
        <f>Financials!AW5/Financials!AV5-1</f>
        <v>#DIV/0!</v>
      </c>
      <c r="AX25" s="18" t="e">
        <f>Financials!AX5/Financials!AW5-1</f>
        <v>#DIV/0!</v>
      </c>
      <c r="AY25" s="18" t="e">
        <f>Financials!AY5/Financials!AX5-1</f>
        <v>#DIV/0!</v>
      </c>
    </row>
    <row r="26" spans="1:51" x14ac:dyDescent="0.3">
      <c r="A26" s="244"/>
      <c r="B26" s="42" t="s">
        <v>136</v>
      </c>
      <c r="C26" s="2"/>
      <c r="D26" s="18">
        <f>Financials!D6/Financials!C6-1</f>
        <v>-0.12835304375854484</v>
      </c>
      <c r="E26" s="18">
        <f>Financials!E6/Financials!D6-1</f>
        <v>3.2866834087519337E-3</v>
      </c>
      <c r="F26" s="18">
        <f>Financials!F6/Financials!E6-1</f>
        <v>7.9525862151310633E-3</v>
      </c>
      <c r="G26" s="18">
        <f>Financials!G6/Financials!F6-1</f>
        <v>8.1348105221896727E-3</v>
      </c>
      <c r="H26" s="18">
        <f>Financials!H6/Financials!G6-1</f>
        <v>4.4973894057571684E-3</v>
      </c>
      <c r="I26" s="18">
        <f>Financials!I6/Financials!H6-1</f>
        <v>6.9161325566922116E-3</v>
      </c>
      <c r="J26" s="18">
        <f>Financials!J6/Financials!I6-1</f>
        <v>5.1361897237229837E-3</v>
      </c>
      <c r="K26" s="18">
        <f>Financials!K6/Financials!J6-1</f>
        <v>7.2925789821534082E-3</v>
      </c>
      <c r="L26" s="18">
        <f>Financials!L6/Financials!K6-1</f>
        <v>7.7598002524210674E-3</v>
      </c>
      <c r="M26" s="18">
        <f>Financials!M6/Financials!L6-1</f>
        <v>1.4006047899903784E-3</v>
      </c>
      <c r="N26" s="18">
        <f>Financials!N6/Financials!M6-1</f>
        <v>1.0180214949807365E-2</v>
      </c>
      <c r="O26" s="18">
        <f>Financials!O6/Financials!N6-1</f>
        <v>1.8735974132717548E-2</v>
      </c>
      <c r="P26" s="18">
        <f>Financials!P6/Financials!O6-1</f>
        <v>-2.035172357041426E-2</v>
      </c>
      <c r="Q26" s="18">
        <f>Financials!Q6/Financials!P6-1</f>
        <v>-2.2152419898446851E-9</v>
      </c>
      <c r="R26" s="18">
        <f>Financials!R6/Financials!Q6-1</f>
        <v>3.9769474216173606E-3</v>
      </c>
      <c r="S26" s="18">
        <f>Financials!S6/Financials!R6-1</f>
        <v>1.0195209771627578E-2</v>
      </c>
      <c r="T26" s="18">
        <f>Financials!T6/Financials!S6-1</f>
        <v>1.0665585715011527E-2</v>
      </c>
      <c r="U26" s="18">
        <f>Financials!U6/Financials!T6-1</f>
        <v>-6.6667208450943427E-5</v>
      </c>
      <c r="V26" s="18">
        <f>Financials!V6/Financials!U6-1</f>
        <v>7.2507406850390588E-3</v>
      </c>
      <c r="W26" s="18">
        <f>Financials!W6/Financials!V6-1</f>
        <v>6.1086838164274848E-3</v>
      </c>
      <c r="X26" s="18">
        <f>Financials!X6/Financials!W6-1</f>
        <v>5.1390349432287596E-3</v>
      </c>
      <c r="Y26" s="18">
        <f>Financials!Y6/Financials!X6-1</f>
        <v>1.1046197275188518E-3</v>
      </c>
      <c r="Z26" s="18">
        <f>Financials!Z6/Financials!Y6-1</f>
        <v>3.8974571222747389E-3</v>
      </c>
      <c r="AA26" s="18">
        <f>Financials!AA6/Financials!Z6-1</f>
        <v>7.3842950620872649E-3</v>
      </c>
      <c r="AB26" s="18">
        <f>Financials!AB6/Financials!AA6-1</f>
        <v>7.6903278374649275E-3</v>
      </c>
      <c r="AC26" s="18">
        <f>Financials!AC6/Financials!AB6-1</f>
        <v>-3.8212804323655147E-3</v>
      </c>
      <c r="AD26" s="18">
        <f>Financials!AD6/Financials!AC6-1</f>
        <v>-1.8159080531821026E-5</v>
      </c>
      <c r="AE26" s="18">
        <f>Financials!AE6/Financials!AD6-1</f>
        <v>8.1611720122778397E-3</v>
      </c>
      <c r="AF26" s="18">
        <f>Financials!AF6/Financials!AE6-1</f>
        <v>6.3101425850040638E-3</v>
      </c>
      <c r="AG26" s="18">
        <f>Financials!AG6/Financials!AF6-1</f>
        <v>4.084346285838425E-3</v>
      </c>
      <c r="AH26" s="18">
        <f>Financials!AH6/Financials!AG6-1</f>
        <v>-6.4352625059316271E-4</v>
      </c>
      <c r="AI26" s="18">
        <f>Financials!AI6/Financials!AH6-1</f>
        <v>5.7985263583368862E-3</v>
      </c>
      <c r="AJ26" s="18">
        <f>Financials!AJ6/Financials!AI6-1</f>
        <v>-1</v>
      </c>
      <c r="AK26" s="18" t="e">
        <f>Financials!AK6/Financials!AJ6-1</f>
        <v>#DIV/0!</v>
      </c>
      <c r="AL26" s="18" t="e">
        <f>Financials!AL6/Financials!AK6-1</f>
        <v>#DIV/0!</v>
      </c>
      <c r="AM26" s="18" t="e">
        <f>Financials!AM6/Financials!AL6-1</f>
        <v>#DIV/0!</v>
      </c>
      <c r="AN26" s="18" t="e">
        <f>Financials!AN6/Financials!AM6-1</f>
        <v>#DIV/0!</v>
      </c>
      <c r="AO26" s="18" t="e">
        <f>Financials!AO6/Financials!AN6-1</f>
        <v>#DIV/0!</v>
      </c>
      <c r="AP26" s="18" t="e">
        <f>Financials!AP6/Financials!AO6-1</f>
        <v>#DIV/0!</v>
      </c>
      <c r="AQ26" s="18" t="e">
        <f>Financials!AQ6/Financials!AP6-1</f>
        <v>#DIV/0!</v>
      </c>
      <c r="AR26" s="18" t="e">
        <f>Financials!AR6/Financials!AQ6-1</f>
        <v>#DIV/0!</v>
      </c>
      <c r="AS26" s="18" t="e">
        <f>Financials!AS6/Financials!AR6-1</f>
        <v>#DIV/0!</v>
      </c>
      <c r="AT26" s="18" t="e">
        <f>Financials!AT6/Financials!AS6-1</f>
        <v>#DIV/0!</v>
      </c>
      <c r="AU26" s="18" t="e">
        <f>Financials!AU6/Financials!AT6-1</f>
        <v>#DIV/0!</v>
      </c>
      <c r="AV26" s="18" t="e">
        <f>Financials!AV6/Financials!AU6-1</f>
        <v>#DIV/0!</v>
      </c>
      <c r="AW26" s="18" t="e">
        <f>Financials!AW6/Financials!AV6-1</f>
        <v>#DIV/0!</v>
      </c>
      <c r="AX26" s="18" t="e">
        <f>Financials!AX6/Financials!AW6-1</f>
        <v>#DIV/0!</v>
      </c>
      <c r="AY26" s="18" t="e">
        <f>Financials!AY6/Financials!AX6-1</f>
        <v>#DIV/0!</v>
      </c>
    </row>
    <row r="27" spans="1:51" x14ac:dyDescent="0.3">
      <c r="A27" s="244"/>
      <c r="B27" s="42" t="s">
        <v>137</v>
      </c>
      <c r="C27" s="2"/>
      <c r="D27" s="18">
        <f>Financials!D7/Financials!C7-1</f>
        <v>1.7438408630587845</v>
      </c>
      <c r="E27" s="18">
        <f>Financials!E7/Financials!D7-1</f>
        <v>-3.9504104349422198E-2</v>
      </c>
      <c r="F27" s="18">
        <f>Financials!F7/Financials!E7-1</f>
        <v>-3.4787660077130966E-2</v>
      </c>
      <c r="G27" s="18">
        <f>Financials!G7/Financials!F7-1</f>
        <v>5.1121906020658914E-2</v>
      </c>
      <c r="H27" s="18">
        <f>Financials!H7/Financials!G7-1</f>
        <v>-3.8174211503258171E-2</v>
      </c>
      <c r="I27" s="18">
        <f>Financials!I7/Financials!H7-1</f>
        <v>-4.8412540021880446E-2</v>
      </c>
      <c r="J27" s="18">
        <f>Financials!J7/Financials!I7-1</f>
        <v>-1.8908255083656123E-3</v>
      </c>
      <c r="K27" s="18">
        <f>Financials!K7/Financials!J7-1</f>
        <v>-1.965093725588074E-2</v>
      </c>
      <c r="L27" s="18">
        <f>Financials!L7/Financials!K7-1</f>
        <v>-4.6580443942267014E-2</v>
      </c>
      <c r="M27" s="18">
        <f>Financials!M7/Financials!L7-1</f>
        <v>4.930833674379409E-3</v>
      </c>
      <c r="N27" s="18">
        <f>Financials!N7/Financials!M7-1</f>
        <v>7.941253978001428E-2</v>
      </c>
      <c r="O27" s="18">
        <f>Financials!O7/Financials!N7-1</f>
        <v>1.9813191702031441E-2</v>
      </c>
      <c r="P27" s="18">
        <f>Financials!P7/Financials!O7-1</f>
        <v>-2.1423709685962078E-2</v>
      </c>
      <c r="Q27" s="18">
        <f>Financials!Q7/Financials!P7-1</f>
        <v>-3.5236277357686419E-5</v>
      </c>
      <c r="R27" s="18">
        <f>Financials!R7/Financials!Q7-1</f>
        <v>-4.5494376945098836E-4</v>
      </c>
      <c r="S27" s="18">
        <f>Financials!S7/Financials!R7-1</f>
        <v>4.9821200837903312E-2</v>
      </c>
      <c r="T27" s="18">
        <f>Financials!T7/Financials!S7-1</f>
        <v>-5.702056554027235E-2</v>
      </c>
      <c r="U27" s="18">
        <f>Financials!U7/Financials!T7-1</f>
        <v>3.2163935614287986E-2</v>
      </c>
      <c r="V27" s="18">
        <f>Financials!V7/Financials!U7-1</f>
        <v>8.7681016572101145E-2</v>
      </c>
      <c r="W27" s="18">
        <f>Financials!W7/Financials!V7-1</f>
        <v>-6.7444158696815193E-2</v>
      </c>
      <c r="X27" s="18">
        <f>Financials!X7/Financials!W7-1</f>
        <v>0.43492781759572963</v>
      </c>
      <c r="Y27" s="18">
        <f>Financials!Y7/Financials!X7-1</f>
        <v>-7.9009307165006981E-2</v>
      </c>
      <c r="Z27" s="18">
        <f>Financials!Z7/Financials!Y7-1</f>
        <v>-6.3959209354732316E-2</v>
      </c>
      <c r="AA27" s="18">
        <f>Financials!AA7/Financials!Z7-1</f>
        <v>5.5056667879433974E-3</v>
      </c>
      <c r="AB27" s="18">
        <f>Financials!AB7/Financials!AA7-1</f>
        <v>1.3097552343394048E-2</v>
      </c>
      <c r="AC27" s="18">
        <f>Financials!AC7/Financials!AB7-1</f>
        <v>0.11726276416022441</v>
      </c>
      <c r="AD27" s="18">
        <f>Financials!AD7/Financials!AC7-1</f>
        <v>8.2569731052473117E-9</v>
      </c>
      <c r="AE27" s="18">
        <f>Financials!AE7/Financials!AD7-1</f>
        <v>2.6186898570097927E-2</v>
      </c>
      <c r="AF27" s="18">
        <f>Financials!AF7/Financials!AE7-1</f>
        <v>-9.5155217531659231E-2</v>
      </c>
      <c r="AG27" s="18">
        <f>Financials!AG7/Financials!AF7-1</f>
        <v>-3.7493807679082058E-3</v>
      </c>
      <c r="AH27" s="18">
        <f>Financials!AH7/Financials!AG7-1</f>
        <v>-9.2583423665789644E-2</v>
      </c>
      <c r="AI27" s="18">
        <f>Financials!AI7/Financials!AH7-1</f>
        <v>-5.4934861569611915E-2</v>
      </c>
      <c r="AJ27" s="18">
        <f>Financials!AJ7/Financials!AI7-1</f>
        <v>-1</v>
      </c>
      <c r="AK27" s="18" t="e">
        <f>Financials!AK7/Financials!AJ7-1</f>
        <v>#DIV/0!</v>
      </c>
      <c r="AL27" s="18" t="e">
        <f>Financials!AL7/Financials!AK7-1</f>
        <v>#DIV/0!</v>
      </c>
      <c r="AM27" s="18" t="e">
        <f>Financials!AM7/Financials!AL7-1</f>
        <v>#DIV/0!</v>
      </c>
      <c r="AN27" s="18" t="e">
        <f>Financials!AN7/Financials!AM7-1</f>
        <v>#DIV/0!</v>
      </c>
      <c r="AO27" s="18" t="e">
        <f>Financials!AO7/Financials!AN7-1</f>
        <v>#DIV/0!</v>
      </c>
      <c r="AP27" s="18" t="e">
        <f>Financials!AP7/Financials!AO7-1</f>
        <v>#DIV/0!</v>
      </c>
      <c r="AQ27" s="18" t="e">
        <f>Financials!AQ7/Financials!AP7-1</f>
        <v>#DIV/0!</v>
      </c>
      <c r="AR27" s="18" t="e">
        <f>Financials!AR7/Financials!AQ7-1</f>
        <v>#DIV/0!</v>
      </c>
      <c r="AS27" s="18" t="e">
        <f>Financials!AS7/Financials!AR7-1</f>
        <v>#DIV/0!</v>
      </c>
      <c r="AT27" s="18" t="e">
        <f>Financials!AT7/Financials!AS7-1</f>
        <v>#DIV/0!</v>
      </c>
      <c r="AU27" s="18" t="e">
        <f>Financials!AU7/Financials!AT7-1</f>
        <v>#DIV/0!</v>
      </c>
      <c r="AV27" s="18" t="e">
        <f>Financials!AV7/Financials!AU7-1</f>
        <v>#DIV/0!</v>
      </c>
      <c r="AW27" s="18" t="e">
        <f>Financials!AW7/Financials!AV7-1</f>
        <v>#DIV/0!</v>
      </c>
      <c r="AX27" s="18" t="e">
        <f>Financials!AX7/Financials!AW7-1</f>
        <v>#DIV/0!</v>
      </c>
      <c r="AY27" s="18" t="e">
        <f>Financials!AY7/Financials!AX7-1</f>
        <v>#DIV/0!</v>
      </c>
    </row>
    <row r="28" spans="1:51" x14ac:dyDescent="0.3">
      <c r="A28" s="244"/>
      <c r="B28" s="41" t="s">
        <v>138</v>
      </c>
      <c r="C28" s="2"/>
      <c r="D28" s="18">
        <f>Financials!D31/Financials!C31-1</f>
        <v>4.2804212515650031E-2</v>
      </c>
      <c r="E28" s="18">
        <f>Financials!E31/Financials!D31-1</f>
        <v>4.8216993877265857E-2</v>
      </c>
      <c r="F28" s="18">
        <f>Financials!F31/Financials!E31-1</f>
        <v>2.2121315663751639E-2</v>
      </c>
      <c r="G28" s="18">
        <f>Financials!G31/Financials!F31-1</f>
        <v>-3.340937820723755E-3</v>
      </c>
      <c r="H28" s="18">
        <f>Financials!H31/Financials!G31-1</f>
        <v>5.9646512678974695E-3</v>
      </c>
      <c r="I28" s="18">
        <f>Financials!I31/Financials!H31-1</f>
        <v>-6.0243081259654385E-3</v>
      </c>
      <c r="J28" s="18">
        <f>Financials!J31/Financials!I31-1</f>
        <v>1.7232122341792611E-3</v>
      </c>
      <c r="K28" s="18">
        <f>Financials!K31/Financials!J31-1</f>
        <v>-2.5603349899758876E-2</v>
      </c>
      <c r="L28" s="18">
        <f>Financials!L31/Financials!K31-1</f>
        <v>-3.4134246528397805E-3</v>
      </c>
      <c r="M28" s="18">
        <f>Financials!M31/Financials!L31-1</f>
        <v>5.7622695298180648E-3</v>
      </c>
      <c r="N28" s="18">
        <f>Financials!N31/Financials!M31-1</f>
        <v>-1.9420292548493978E-2</v>
      </c>
      <c r="O28" s="18">
        <f>Financials!O31/Financials!N31-1</f>
        <v>2.5456954953477329E-2</v>
      </c>
      <c r="P28" s="18">
        <f>Financials!P31/Financials!O31-1</f>
        <v>-5.6555693424055198E-3</v>
      </c>
      <c r="Q28" s="18">
        <f>Financials!Q31/Financials!P31-1</f>
        <v>8.1319173617089291E-11</v>
      </c>
      <c r="R28" s="18">
        <f>Financials!R31/Financials!Q31-1</f>
        <v>-1.0417197931909095E-2</v>
      </c>
      <c r="S28" s="18">
        <f>Financials!S31/Financials!R31-1</f>
        <v>-2.7733273784189549E-3</v>
      </c>
      <c r="T28" s="18">
        <f>Financials!T31/Financials!S31-1</f>
        <v>5.0080240384482888E-2</v>
      </c>
      <c r="U28" s="18">
        <f>Financials!U31/Financials!T31-1</f>
        <v>1.9689301034793161E-2</v>
      </c>
      <c r="V28" s="18">
        <f>Financials!V31/Financials!U31-1</f>
        <v>-1.1204594770228171E-2</v>
      </c>
      <c r="W28" s="18">
        <f>Financials!W31/Financials!V31-1</f>
        <v>-5.8854225132931592E-4</v>
      </c>
      <c r="X28" s="18">
        <f>Financials!X31/Financials!W31-1</f>
        <v>-9.5410942080505712E-2</v>
      </c>
      <c r="Y28" s="18">
        <f>Financials!Y31/Financials!X31-1</f>
        <v>0.11394873886369683</v>
      </c>
      <c r="Z28" s="18">
        <f>Financials!Z31/Financials!Y31-1</f>
        <v>1.1181527326524554E-2</v>
      </c>
      <c r="AA28" s="18">
        <f>Financials!AA31/Financials!Z31-1</f>
        <v>-1.0222853980476621E-2</v>
      </c>
      <c r="AB28" s="18">
        <f>Financials!AB31/Financials!AA31-1</f>
        <v>-9.2371161689654979E-3</v>
      </c>
      <c r="AC28" s="18">
        <f>Financials!AC31/Financials!AB31-1</f>
        <v>-3.8700489030378926E-2</v>
      </c>
      <c r="AD28" s="18">
        <f>Financials!AD31/Financials!AC31-1</f>
        <v>1.980684070175931E-3</v>
      </c>
      <c r="AE28" s="18">
        <f>Financials!AE31/Financials!AD31-1</f>
        <v>1.020003506743894E-2</v>
      </c>
      <c r="AF28" s="18">
        <f>Financials!AF31/Financials!AE31-1</f>
        <v>2.6163514451301273E-2</v>
      </c>
      <c r="AG28" s="18">
        <f>Financials!AG31/Financials!AF31-1</f>
        <v>1.7636467878031414E-2</v>
      </c>
      <c r="AH28" s="18">
        <f>Financials!AH31/Financials!AG31-1</f>
        <v>1.8406768555261355E-3</v>
      </c>
      <c r="AI28" s="18">
        <f>Financials!AI31/Financials!AH31-1</f>
        <v>1.8442452406985943E-4</v>
      </c>
      <c r="AJ28" s="18">
        <f>Financials!AJ31/Financials!AI31-1</f>
        <v>-1</v>
      </c>
      <c r="AK28" s="18" t="e">
        <f>Financials!AK31/Financials!AJ31-1</f>
        <v>#DIV/0!</v>
      </c>
      <c r="AL28" s="18" t="e">
        <f>Financials!AL31/Financials!AK31-1</f>
        <v>#DIV/0!</v>
      </c>
      <c r="AM28" s="18" t="e">
        <f>Financials!AM31/Financials!AL31-1</f>
        <v>#DIV/0!</v>
      </c>
      <c r="AN28" s="18" t="e">
        <f>Financials!AN31/Financials!AM31-1</f>
        <v>#DIV/0!</v>
      </c>
      <c r="AO28" s="18" t="e">
        <f>Financials!AO31/Financials!AN31-1</f>
        <v>#DIV/0!</v>
      </c>
      <c r="AP28" s="18" t="e">
        <f>Financials!AP31/Financials!AO31-1</f>
        <v>#DIV/0!</v>
      </c>
      <c r="AQ28" s="18" t="e">
        <f>Financials!AQ31/Financials!AP31-1</f>
        <v>#DIV/0!</v>
      </c>
      <c r="AR28" s="18" t="e">
        <f>Financials!AR31/Financials!AQ31-1</f>
        <v>#DIV/0!</v>
      </c>
      <c r="AS28" s="18" t="e">
        <f>Financials!AS31/Financials!AR31-1</f>
        <v>#DIV/0!</v>
      </c>
      <c r="AT28" s="18" t="e">
        <f>Financials!AT31/Financials!AS31-1</f>
        <v>#DIV/0!</v>
      </c>
      <c r="AU28" s="18" t="e">
        <f>Financials!AU31/Financials!AT31-1</f>
        <v>#DIV/0!</v>
      </c>
      <c r="AV28" s="18" t="e">
        <f>Financials!AV31/Financials!AU31-1</f>
        <v>#DIV/0!</v>
      </c>
      <c r="AW28" s="18" t="e">
        <f>Financials!AW31/Financials!AV31-1</f>
        <v>#DIV/0!</v>
      </c>
      <c r="AX28" s="18" t="e">
        <f>Financials!AX31/Financials!AW31-1</f>
        <v>#DIV/0!</v>
      </c>
      <c r="AY28" s="18" t="e">
        <f>Financials!AY31/Financials!AX31-1</f>
        <v>#DIV/0!</v>
      </c>
    </row>
    <row r="29" spans="1:51" x14ac:dyDescent="0.3">
      <c r="A29" s="244"/>
      <c r="B29" s="41" t="s">
        <v>139</v>
      </c>
      <c r="C29" s="2"/>
      <c r="D29" s="18">
        <f>Financials!D11/Financials!C11-1</f>
        <v>1.6860014894558253</v>
      </c>
      <c r="E29" s="18">
        <f>Financials!E11/Financials!D11-1</f>
        <v>1.8201842524912193E-2</v>
      </c>
      <c r="F29" s="18">
        <f>Financials!F11/Financials!E11-1</f>
        <v>7.1051592888862203E-3</v>
      </c>
      <c r="G29" s="18">
        <f>Financials!G11/Financials!F11-1</f>
        <v>-9.3309558273334536E-3</v>
      </c>
      <c r="H29" s="18">
        <f>Financials!H11/Financials!G11-1</f>
        <v>3.748117775989912E-2</v>
      </c>
      <c r="I29" s="18">
        <f>Financials!I11/Financials!H11-1</f>
        <v>7.1302628754680297E-2</v>
      </c>
      <c r="J29" s="18">
        <f>Financials!J11/Financials!I11-1</f>
        <v>-5.2013175807173795E-2</v>
      </c>
      <c r="K29" s="18">
        <f>Financials!K11/Financials!J11-1</f>
        <v>1.1579224318938541E-2</v>
      </c>
      <c r="L29" s="18">
        <f>Financials!L11/Financials!K11-1</f>
        <v>-1.2833875919889715E-2</v>
      </c>
      <c r="M29" s="18">
        <f>Financials!M11/Financials!L11-1</f>
        <v>2.4505334156698755E-2</v>
      </c>
      <c r="N29" s="18">
        <f>Financials!N11/Financials!M11-1</f>
        <v>4.000918724631819E-2</v>
      </c>
      <c r="O29" s="18">
        <f>Financials!O11/Financials!N11-1</f>
        <v>1.8627414047300617E-2</v>
      </c>
      <c r="P29" s="18">
        <f>Financials!P11/Financials!O11-1</f>
        <v>8.2697659018836189E-2</v>
      </c>
      <c r="Q29" s="18">
        <f>Financials!Q11/Financials!P11-1</f>
        <v>-4.1635802018809565E-2</v>
      </c>
      <c r="R29" s="18">
        <f>Financials!R11/Financials!Q11-1</f>
        <v>4.2303800496483301E-2</v>
      </c>
      <c r="S29" s="18">
        <f>Financials!S11/Financials!R11-1</f>
        <v>5.9798974226266122E-3</v>
      </c>
      <c r="T29" s="18">
        <f>Financials!T11/Financials!S11-1</f>
        <v>-6.213510281149992E-2</v>
      </c>
      <c r="U29" s="18">
        <f>Financials!U11/Financials!T11-1</f>
        <v>-2.2785288919393909E-2</v>
      </c>
      <c r="V29" s="18">
        <f>Financials!V11/Financials!U11-1</f>
        <v>3.3777165033122891E-2</v>
      </c>
      <c r="W29" s="18">
        <f>Financials!W11/Financials!V11-1</f>
        <v>-4.8470992560255555E-3</v>
      </c>
      <c r="X29" s="18">
        <f>Financials!X11/Financials!W11-1</f>
        <v>8.6585570811389623E-2</v>
      </c>
      <c r="Y29" s="18">
        <f>Financials!Y11/Financials!X11-1</f>
        <v>1.6316835934775842E-2</v>
      </c>
      <c r="Z29" s="18">
        <f>Financials!Z11/Financials!Y11-1</f>
        <v>2.3382795066884121E-2</v>
      </c>
      <c r="AA29" s="18">
        <f>Financials!AA11/Financials!Z11-1</f>
        <v>1.9361207887938825E-2</v>
      </c>
      <c r="AB29" s="18">
        <f>Financials!AB11/Financials!AA11-1</f>
        <v>1.8612829858098312E-2</v>
      </c>
      <c r="AC29" s="18">
        <f>Financials!AC11/Financials!AB11-1</f>
        <v>-1.0651650055012452E-2</v>
      </c>
      <c r="AD29" s="18">
        <f>Financials!AD11/Financials!AC11-1</f>
        <v>-2.4163374834174522E-2</v>
      </c>
      <c r="AE29" s="18">
        <f>Financials!AE11/Financials!AD11-1</f>
        <v>0.12464084881636461</v>
      </c>
      <c r="AF29" s="18">
        <f>Financials!AF11/Financials!AE11-1</f>
        <v>-3.6802177050732854E-2</v>
      </c>
      <c r="AG29" s="18">
        <f>Financials!AG11/Financials!AF11-1</f>
        <v>4.6079450433447189E-3</v>
      </c>
      <c r="AH29" s="18">
        <f>Financials!AH11/Financials!AG11-1</f>
        <v>6.7278328721160907E-3</v>
      </c>
      <c r="AI29" s="18">
        <f>Financials!AI11/Financials!AH11-1</f>
        <v>4.4142578309946945E-3</v>
      </c>
      <c r="AJ29" s="18">
        <f>Financials!AJ11/Financials!AI11-1</f>
        <v>-1</v>
      </c>
      <c r="AK29" s="18" t="e">
        <f>Financials!AK11/Financials!AJ11-1</f>
        <v>#DIV/0!</v>
      </c>
      <c r="AL29" s="18" t="e">
        <f>Financials!AL11/Financials!AK11-1</f>
        <v>#DIV/0!</v>
      </c>
      <c r="AM29" s="18" t="e">
        <f>Financials!AM11/Financials!AL11-1</f>
        <v>#DIV/0!</v>
      </c>
      <c r="AN29" s="18" t="e">
        <f>Financials!AN11/Financials!AM11-1</f>
        <v>#DIV/0!</v>
      </c>
      <c r="AO29" s="18" t="e">
        <f>Financials!AO11/Financials!AN11-1</f>
        <v>#DIV/0!</v>
      </c>
      <c r="AP29" s="18" t="e">
        <f>Financials!AP11/Financials!AO11-1</f>
        <v>#DIV/0!</v>
      </c>
      <c r="AQ29" s="18" t="e">
        <f>Financials!AQ11/Financials!AP11-1</f>
        <v>#DIV/0!</v>
      </c>
      <c r="AR29" s="18" t="e">
        <f>Financials!AR11/Financials!AQ11-1</f>
        <v>#DIV/0!</v>
      </c>
      <c r="AS29" s="18" t="e">
        <f>Financials!AS11/Financials!AR11-1</f>
        <v>#DIV/0!</v>
      </c>
      <c r="AT29" s="18" t="e">
        <f>Financials!AT11/Financials!AS11-1</f>
        <v>#DIV/0!</v>
      </c>
      <c r="AU29" s="18" t="e">
        <f>Financials!AU11/Financials!AT11-1</f>
        <v>#DIV/0!</v>
      </c>
      <c r="AV29" s="18" t="e">
        <f>Financials!AV11/Financials!AU11-1</f>
        <v>#DIV/0!</v>
      </c>
      <c r="AW29" s="18" t="e">
        <f>Financials!AW11/Financials!AV11-1</f>
        <v>#DIV/0!</v>
      </c>
      <c r="AX29" s="18" t="e">
        <f>Financials!AX11/Financials!AW11-1</f>
        <v>#DIV/0!</v>
      </c>
      <c r="AY29" s="18" t="e">
        <f>Financials!AY11/Financials!AX11-1</f>
        <v>#DIV/0!</v>
      </c>
    </row>
    <row r="30" spans="1:51" x14ac:dyDescent="0.3">
      <c r="A30" s="244"/>
      <c r="B30" s="41" t="s">
        <v>140</v>
      </c>
      <c r="C30" s="2"/>
      <c r="D30" s="18">
        <f>Financials!D37/Financials!C37-1</f>
        <v>1705.4039033499064</v>
      </c>
      <c r="E30" s="18">
        <f>Financials!E37/Financials!D37-1</f>
        <v>-0.8656695184004729</v>
      </c>
      <c r="F30" s="18">
        <f>Financials!F37/Financials!E37-1</f>
        <v>0.45092525374435111</v>
      </c>
      <c r="G30" s="18">
        <f>Financials!G37/Financials!F37-1</f>
        <v>-0.99863264315476008</v>
      </c>
      <c r="H30" s="18">
        <f>Financials!H37/Financials!G37-1</f>
        <v>1330.1418987614416</v>
      </c>
      <c r="I30" s="18">
        <f>Financials!I37/Financials!H37-1</f>
        <v>0.15527897479163011</v>
      </c>
      <c r="J30" s="18">
        <f>Financials!J37/Financials!I37-1</f>
        <v>0.23127894894679368</v>
      </c>
      <c r="K30" s="18">
        <f>Financials!K37/Financials!J37-1</f>
        <v>0.14258687429628303</v>
      </c>
      <c r="L30" s="18">
        <f>Financials!L37/Financials!K37-1</f>
        <v>0.10764486216683911</v>
      </c>
      <c r="M30" s="18">
        <f>Financials!M37/Financials!L37-1</f>
        <v>0.11900089507324974</v>
      </c>
      <c r="N30" s="18">
        <f>Financials!N37/Financials!M37-1</f>
        <v>0.13015744265518481</v>
      </c>
      <c r="O30" s="18">
        <f>Financials!O37/Financials!N37-1</f>
        <v>9.716835195881246E-2</v>
      </c>
      <c r="P30" s="18">
        <f>Financials!P37/Financials!O37-1</f>
        <v>0.16895105246686448</v>
      </c>
      <c r="Q30" s="18">
        <f>Financials!Q37/Financials!P37-1</f>
        <v>5.3394976748619483E-2</v>
      </c>
      <c r="R30" s="18">
        <f>Financials!R37/Financials!Q37-1</f>
        <v>-0.93469516987571943</v>
      </c>
      <c r="S30" s="18">
        <f>Financials!S37/Financials!R37-1</f>
        <v>1.084129304235018</v>
      </c>
      <c r="T30" s="18">
        <f>Financials!T37/Financials!S37-1</f>
        <v>0.67891879894561091</v>
      </c>
      <c r="U30" s="18">
        <f>Financials!U37/Financials!T37-1</f>
        <v>0.45662474920817719</v>
      </c>
      <c r="V30" s="18">
        <f>Financials!V37/Financials!U37-1</f>
        <v>0.22492730650499704</v>
      </c>
      <c r="W30" s="18">
        <f>Financials!W37/Financials!V37-1</f>
        <v>0.1887409322645115</v>
      </c>
      <c r="X30" s="18">
        <f>Financials!X37/Financials!W37-1</f>
        <v>0.16587799018437965</v>
      </c>
      <c r="Y30" s="18">
        <f>Financials!Y37/Financials!X37-1</f>
        <v>0.18556988814086117</v>
      </c>
      <c r="Z30" s="18">
        <f>Financials!Z37/Financials!Y37-1</f>
        <v>0.12167371258633342</v>
      </c>
      <c r="AA30" s="18">
        <f>Financials!AA37/Financials!Z37-1</f>
        <v>8.2551901242247094E-2</v>
      </c>
      <c r="AB30" s="18">
        <f>Financials!AB37/Financials!AA37-1</f>
        <v>8.2986382936683256E-2</v>
      </c>
      <c r="AC30" s="18">
        <f>Financials!AC37/Financials!AB37-1</f>
        <v>0.14627771828568625</v>
      </c>
      <c r="AD30" s="18">
        <f>Financials!AD37/Financials!AC37-1</f>
        <v>1.5791372284170269E-2</v>
      </c>
      <c r="AE30" s="18">
        <f>Financials!AE37/Financials!AD37-1</f>
        <v>-0.87880407327902865</v>
      </c>
      <c r="AF30" s="18">
        <f>Financials!AF37/Financials!AE37-1</f>
        <v>0.6804995785746315</v>
      </c>
      <c r="AG30" s="18">
        <f>Financials!AG37/Financials!AF37-1</f>
        <v>0.39871043716096755</v>
      </c>
      <c r="AH30" s="18">
        <f>Financials!AH37/Financials!AG37-1</f>
        <v>0.24725670979808489</v>
      </c>
      <c r="AI30" s="18">
        <f>Financials!AI37/Financials!AH37-1</f>
        <v>0.18852029072427889</v>
      </c>
      <c r="AJ30" s="18">
        <f>Financials!AJ37/Financials!AI37-1</f>
        <v>-1</v>
      </c>
      <c r="AK30" s="18" t="e">
        <f>Financials!AK37/Financials!AJ37-1</f>
        <v>#DIV/0!</v>
      </c>
      <c r="AL30" s="18" t="e">
        <f>Financials!AL37/Financials!AK37-1</f>
        <v>#DIV/0!</v>
      </c>
      <c r="AM30" s="18" t="e">
        <f>Financials!AM37/Financials!AL37-1</f>
        <v>#DIV/0!</v>
      </c>
      <c r="AN30" s="18" t="e">
        <f>Financials!AN37/Financials!AM37-1</f>
        <v>#DIV/0!</v>
      </c>
      <c r="AO30" s="18" t="e">
        <f>Financials!AO37/Financials!AN37-1</f>
        <v>#DIV/0!</v>
      </c>
      <c r="AP30" s="18" t="e">
        <f>Financials!AP37/Financials!AO37-1</f>
        <v>#DIV/0!</v>
      </c>
      <c r="AQ30" s="18" t="e">
        <f>Financials!AQ37/Financials!AP37-1</f>
        <v>#DIV/0!</v>
      </c>
      <c r="AR30" s="18" t="e">
        <f>Financials!AR37/Financials!AQ37-1</f>
        <v>#DIV/0!</v>
      </c>
      <c r="AS30" s="18" t="e">
        <f>Financials!AS37/Financials!AR37-1</f>
        <v>#DIV/0!</v>
      </c>
      <c r="AT30" s="18" t="e">
        <f>Financials!AT37/Financials!AS37-1</f>
        <v>#DIV/0!</v>
      </c>
      <c r="AU30" s="18" t="e">
        <f>Financials!AU37/Financials!AT37-1</f>
        <v>#DIV/0!</v>
      </c>
      <c r="AV30" s="18" t="e">
        <f>Financials!AV37/Financials!AU37-1</f>
        <v>#DIV/0!</v>
      </c>
      <c r="AW30" s="18" t="e">
        <f>Financials!AW37/Financials!AV37-1</f>
        <v>#DIV/0!</v>
      </c>
      <c r="AX30" s="18" t="e">
        <f>Financials!AX37/Financials!AW37-1</f>
        <v>#DIV/0!</v>
      </c>
      <c r="AY30" s="18" t="e">
        <f>Financials!AY37/Financials!AX37-1</f>
        <v>#DIV/0!</v>
      </c>
    </row>
    <row r="31" spans="1:51" x14ac:dyDescent="0.3">
      <c r="A31" s="244"/>
      <c r="B31" s="41" t="s">
        <v>141</v>
      </c>
      <c r="C31" s="2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spans="1:51" x14ac:dyDescent="0.3">
      <c r="A32" s="244"/>
      <c r="B32" s="41" t="s">
        <v>142</v>
      </c>
      <c r="C32" s="2"/>
      <c r="D32" s="18">
        <f>'Evolutitve SCI'!E39/'Evolutitve SCI'!B39-1</f>
        <v>215.82729962280388</v>
      </c>
      <c r="E32" s="18">
        <f>'Evolutitve SCI'!F39/'Evolutitve SCI'!C39-1</f>
        <v>-0.97027754439324876</v>
      </c>
      <c r="F32" s="18">
        <f>'Evolutitve SCI'!G39/'Evolutitve SCI'!D39-1</f>
        <v>9.999216094674555</v>
      </c>
      <c r="G32" s="18">
        <f>'Evolutitve SCI'!H39/'Evolutitve SCI'!E39-1</f>
        <v>1.5380796537835213</v>
      </c>
      <c r="H32" s="18">
        <f>'Evolutitve SCI'!I39/'Evolutitve SCI'!F39-1</f>
        <v>13.898411813984309</v>
      </c>
      <c r="I32" s="18">
        <f>'Evolutitve SCI'!J39/'Evolutitve SCI'!G39-1</f>
        <v>0.95721969163553644</v>
      </c>
      <c r="J32" s="18">
        <f>'Evolutitve SCI'!K39/'Evolutitve SCI'!H39-1</f>
        <v>0.85049661208141258</v>
      </c>
      <c r="K32" s="18">
        <f>'Evolutitve SCI'!L39/'Evolutitve SCI'!I39-1</f>
        <v>0.45638822781224553</v>
      </c>
      <c r="L32" s="18">
        <f>'Evolutitve SCI'!M39/'Evolutitve SCI'!J39-1</f>
        <v>0.3553514061735934</v>
      </c>
      <c r="M32" s="18">
        <f>'Evolutitve SCI'!N39/'Evolutitve SCI'!K39-1</f>
        <v>0.3119117633952011</v>
      </c>
      <c r="N32" s="18">
        <f>'Evolutitve SCI'!O39/'Evolutitve SCI'!L39-1</f>
        <v>0.47157197185531419</v>
      </c>
      <c r="O32" s="18">
        <f>'Evolutitve SCI'!P39/'Evolutitve SCI'!M39-1</f>
        <v>0.5476626555987183</v>
      </c>
      <c r="P32" s="18">
        <f>'Evolutitve SCI'!Q39/'Evolutitve SCI'!N39-1</f>
        <v>-0.89281739884500499</v>
      </c>
      <c r="Q32" s="18">
        <f>'Evolutitve SCI'!R39/'Evolutitve SCI'!O39-1</f>
        <v>-0.82010382999266851</v>
      </c>
      <c r="R32" s="18">
        <f>'Evolutitve SCI'!S39/'Evolutitve SCI'!P39-1</f>
        <v>-0.8084732112964127</v>
      </c>
      <c r="S32" s="18">
        <f>'Evolutitve SCI'!T39/'Evolutitve SCI'!Q39-1</f>
        <v>2.6598452955128358</v>
      </c>
      <c r="T32" s="18">
        <f>'Evolutitve SCI'!U39/'Evolutitve SCI'!R39-1</f>
        <v>1.1985738167245432</v>
      </c>
      <c r="U32" s="18">
        <f>'Evolutitve SCI'!V39/'Evolutitve SCI'!S39-1</f>
        <v>1.3939943167305491</v>
      </c>
      <c r="V32" s="18">
        <f>'Evolutitve SCI'!W39/'Evolutitve SCI'!T39-1</f>
        <v>0.92785744066161269</v>
      </c>
      <c r="W32" s="18">
        <f>'Evolutitve SCI'!X39/'Evolutitve SCI'!U39-1</f>
        <v>0.77150632996569857</v>
      </c>
      <c r="X32" s="18">
        <f>'Evolutitve SCI'!Y39/'Evolutitve SCI'!V39-1</f>
        <v>0.4968917622668434</v>
      </c>
      <c r="Y32" s="18">
        <f>'Evolutitve SCI'!Z39/'Evolutitve SCI'!W39-1</f>
        <v>0.34768787593364148</v>
      </c>
      <c r="Z32" s="18">
        <f>'Evolutitve SCI'!AA39/'Evolutitve SCI'!X39-1</f>
        <v>0.28135821211614731</v>
      </c>
      <c r="AA32" s="18">
        <f>'Evolutitve SCI'!AB39/'Evolutitve SCI'!Y39-1</f>
        <v>0.46884133469680767</v>
      </c>
      <c r="AB32" s="18">
        <f>'Evolutitve SCI'!AC39/'Evolutitve SCI'!Z39-1</f>
        <v>0.47204013197578054</v>
      </c>
      <c r="AC32" s="18">
        <f>'Evolutitve SCI'!AD39/'Evolutitve SCI'!AA39-1</f>
        <v>-0.9395217503927521</v>
      </c>
      <c r="AD32" s="18">
        <f>'Evolutitve SCI'!AE39/'Evolutitve SCI'!AB39-1</f>
        <v>-0.91383468889291064</v>
      </c>
      <c r="AE32" s="18">
        <f>'Evolutitve SCI'!AF39/'Evolutitve SCI'!AC39-1</f>
        <v>-0.83199765841958506</v>
      </c>
      <c r="AF32" s="18">
        <f>'Evolutitve SCI'!AG39/'Evolutitve SCI'!AD39-1</f>
        <v>4.196624916569724</v>
      </c>
      <c r="AG32" s="18">
        <f>'Evolutitve SCI'!AH39/'Evolutitve SCI'!AE39-1</f>
        <v>2.9238366316702513</v>
      </c>
      <c r="AH32" s="18">
        <f>'Evolutitve SCI'!AI39/'Evolutitve SCI'!AF39-1</f>
        <v>-1</v>
      </c>
      <c r="AI32" s="18">
        <f>'Evolutitve SCI'!AJ39/'Evolutitve SCI'!AG39-1</f>
        <v>-1</v>
      </c>
      <c r="AJ32" s="18">
        <f>'Evolutitve SCI'!AK39/'Evolutitve SCI'!AH39-1</f>
        <v>-1</v>
      </c>
      <c r="AK32" s="18" t="e">
        <f>'Evolutitve SCI'!AL39/'Evolutitve SCI'!AI39-1</f>
        <v>#DIV/0!</v>
      </c>
      <c r="AL32" s="18" t="e">
        <f>'Evolutitve SCI'!AM39/'Evolutitve SCI'!AJ39-1</f>
        <v>#DIV/0!</v>
      </c>
      <c r="AM32" s="18" t="e">
        <f>'Evolutitve SCI'!AN39/'Evolutitve SCI'!AK39-1</f>
        <v>#DIV/0!</v>
      </c>
      <c r="AN32" s="18" t="e">
        <f>'Evolutitve SCI'!AO39/'Evolutitve SCI'!AL39-1</f>
        <v>#DIV/0!</v>
      </c>
      <c r="AO32" s="18" t="e">
        <f>'Evolutitve SCI'!AP39/'Evolutitve SCI'!AM39-1</f>
        <v>#DIV/0!</v>
      </c>
      <c r="AP32" s="18" t="e">
        <f>'Evolutitve SCI'!AQ39/'Evolutitve SCI'!AN39-1</f>
        <v>#DIV/0!</v>
      </c>
      <c r="AQ32" s="18" t="e">
        <f>'Evolutitve SCI'!AR39/'Evolutitve SCI'!AO39-1</f>
        <v>#DIV/0!</v>
      </c>
      <c r="AR32" s="18" t="e">
        <f>'Evolutitve SCI'!AS39/'Evolutitve SCI'!AP39-1</f>
        <v>#DIV/0!</v>
      </c>
      <c r="AS32" s="18" t="e">
        <f>'Evolutitve SCI'!AT39/'Evolutitve SCI'!AQ39-1</f>
        <v>#DIV/0!</v>
      </c>
      <c r="AT32" s="18" t="e">
        <f>'Evolutitve SCI'!AU39/'Evolutitve SCI'!AR39-1</f>
        <v>#DIV/0!</v>
      </c>
      <c r="AU32" s="18" t="e">
        <f>'Evolutitve SCI'!AV39/'Evolutitve SCI'!AS39-1</f>
        <v>#DIV/0!</v>
      </c>
      <c r="AV32" s="18" t="e">
        <f>'Evolutitve SCI'!AW39/'Evolutitve SCI'!AT39-1</f>
        <v>#DIV/0!</v>
      </c>
      <c r="AW32" s="18" t="e">
        <f>'Evolutitve SCI'!AX39/'Evolutitve SCI'!AU39-1</f>
        <v>#DIV/0!</v>
      </c>
      <c r="AX32" s="18" t="e">
        <f>'Evolutitve SCI'!AY39/'Evolutitve SCI'!AV39-1</f>
        <v>#DIV/0!</v>
      </c>
      <c r="AY32" s="18" t="e">
        <f>'Evolutitve SCI'!AZ39/'Evolutitve SCI'!AW39-1</f>
        <v>#DIV/0!</v>
      </c>
    </row>
    <row r="33" spans="1:51" x14ac:dyDescent="0.3">
      <c r="A33" s="47" t="s">
        <v>143</v>
      </c>
      <c r="B33" s="41" t="s">
        <v>144</v>
      </c>
      <c r="C33" s="2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spans="1:51" x14ac:dyDescent="0.3">
      <c r="A34" s="48"/>
      <c r="B34" s="41" t="s">
        <v>145</v>
      </c>
      <c r="C34" s="2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1:51" x14ac:dyDescent="0.3">
      <c r="A35" s="48"/>
      <c r="B35" s="41" t="s">
        <v>146</v>
      </c>
      <c r="C35" s="2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spans="1:51" x14ac:dyDescent="0.3">
      <c r="A36" s="48"/>
      <c r="B36" s="41" t="s">
        <v>147</v>
      </c>
      <c r="C36" s="2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spans="1:51" x14ac:dyDescent="0.3">
      <c r="A37" s="48"/>
      <c r="B37" s="41" t="s">
        <v>148</v>
      </c>
      <c r="C37" s="2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spans="1:51" x14ac:dyDescent="0.3">
      <c r="A38" s="48"/>
      <c r="B38" s="41" t="s">
        <v>149</v>
      </c>
      <c r="C38" s="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 spans="1:51" x14ac:dyDescent="0.3">
      <c r="A39" s="48"/>
      <c r="B39" s="41" t="s">
        <v>150</v>
      </c>
      <c r="C39" s="2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</row>
    <row r="40" spans="1:51" x14ac:dyDescent="0.3">
      <c r="A40" s="4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ht="15" thickBot="1" x14ac:dyDescent="0.35">
      <c r="A41" s="50" t="s">
        <v>151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  <pageSetup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Y47"/>
  <sheetViews>
    <sheetView topLeftCell="A22" workbookViewId="0">
      <selection activeCell="AK7" sqref="AK7"/>
    </sheetView>
  </sheetViews>
  <sheetFormatPr defaultRowHeight="14.4" x14ac:dyDescent="0.3"/>
  <cols>
    <col min="2" max="2" width="35.5546875" bestFit="1" customWidth="1"/>
    <col min="3" max="16" width="14.33203125" hidden="1" customWidth="1"/>
    <col min="17" max="17" width="14.33203125" bestFit="1" customWidth="1"/>
    <col min="18" max="21" width="14.33203125" hidden="1" customWidth="1"/>
    <col min="22" max="28" width="12" hidden="1" customWidth="1"/>
    <col min="29" max="29" width="12" bestFit="1" customWidth="1"/>
    <col min="30" max="30" width="12.21875" bestFit="1" customWidth="1"/>
    <col min="31" max="35" width="12" bestFit="1" customWidth="1"/>
  </cols>
  <sheetData>
    <row r="1" spans="1:51" x14ac:dyDescent="0.3">
      <c r="A1" s="25"/>
      <c r="B1" s="52" t="s">
        <v>152</v>
      </c>
      <c r="C1" s="107"/>
      <c r="D1" s="107"/>
      <c r="E1" s="107"/>
    </row>
    <row r="2" spans="1:51" x14ac:dyDescent="0.3">
      <c r="A2" s="25"/>
      <c r="B2" s="26" t="s">
        <v>153</v>
      </c>
      <c r="C2" s="54" t="s">
        <v>0</v>
      </c>
      <c r="D2" s="53" t="s">
        <v>1</v>
      </c>
      <c r="E2" s="139">
        <v>44197</v>
      </c>
      <c r="F2" s="139">
        <v>44229</v>
      </c>
      <c r="G2" s="139">
        <v>44258</v>
      </c>
      <c r="H2" s="139">
        <v>44290</v>
      </c>
      <c r="I2" s="139">
        <v>44321</v>
      </c>
      <c r="J2" s="139">
        <v>44353</v>
      </c>
      <c r="K2" s="139">
        <v>44384</v>
      </c>
      <c r="L2" s="139">
        <v>44416</v>
      </c>
      <c r="M2" s="139">
        <v>44448</v>
      </c>
      <c r="N2" s="139">
        <v>44479</v>
      </c>
      <c r="O2" s="139">
        <v>44511</v>
      </c>
      <c r="P2" s="139">
        <v>44542</v>
      </c>
      <c r="Q2" s="139" t="s">
        <v>2</v>
      </c>
      <c r="R2" s="139">
        <v>44582</v>
      </c>
      <c r="S2" s="139">
        <v>44614</v>
      </c>
      <c r="T2" s="139">
        <v>44643</v>
      </c>
      <c r="U2" s="139">
        <v>44675</v>
      </c>
      <c r="V2" s="139">
        <v>44706</v>
      </c>
      <c r="W2" s="139">
        <v>44738</v>
      </c>
      <c r="X2" s="139">
        <v>44769</v>
      </c>
      <c r="Y2" s="139">
        <v>44801</v>
      </c>
      <c r="Z2" s="139">
        <v>44833</v>
      </c>
      <c r="AA2" s="139">
        <v>44864</v>
      </c>
      <c r="AB2" s="139">
        <v>44868</v>
      </c>
      <c r="AC2" s="139">
        <v>44896</v>
      </c>
      <c r="AD2" s="139" t="s">
        <v>337</v>
      </c>
      <c r="AE2" s="139">
        <v>44564</v>
      </c>
      <c r="AF2" s="139">
        <v>44595</v>
      </c>
      <c r="AG2" s="139">
        <v>44623</v>
      </c>
      <c r="AH2" s="139">
        <v>44654</v>
      </c>
      <c r="AI2" s="139">
        <v>44684</v>
      </c>
      <c r="AJ2" s="139">
        <v>44715</v>
      </c>
      <c r="AK2" s="139">
        <v>44745</v>
      </c>
      <c r="AL2" s="139">
        <v>44776</v>
      </c>
      <c r="AM2" s="139">
        <v>44807</v>
      </c>
      <c r="AN2" s="139">
        <v>44837</v>
      </c>
    </row>
    <row r="3" spans="1:51" x14ac:dyDescent="0.3">
      <c r="A3" s="27">
        <v>1</v>
      </c>
      <c r="B3" s="27" t="s">
        <v>141</v>
      </c>
      <c r="C3" s="27"/>
      <c r="D3" s="27"/>
      <c r="E3" s="27"/>
      <c r="F3" s="60"/>
      <c r="G3" s="60"/>
      <c r="H3" s="60"/>
      <c r="I3" s="60"/>
      <c r="J3" s="60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51" x14ac:dyDescent="0.3">
      <c r="A4" s="27">
        <v>2</v>
      </c>
      <c r="B4" s="27" t="s">
        <v>26</v>
      </c>
      <c r="C4" s="55">
        <f>'Evolutive SFP'!B27</f>
        <v>151015729</v>
      </c>
      <c r="D4" s="55">
        <f>'Evolutive SFP'!C27</f>
        <v>196334663</v>
      </c>
      <c r="E4" s="55">
        <f>'Evolutive SFP'!D27</f>
        <v>197138242.62</v>
      </c>
      <c r="F4" s="55">
        <f>'Evolutive SFP'!E27</f>
        <v>195313709.67000002</v>
      </c>
      <c r="G4" s="55">
        <f>'Evolutive SFP'!F27</f>
        <v>194740170.23000002</v>
      </c>
      <c r="H4" s="55">
        <f>'Evolutive SFP'!G27</f>
        <v>192635860.33999997</v>
      </c>
      <c r="I4" s="55">
        <f>'Evolutive SFP'!H27</f>
        <v>193279957.13999999</v>
      </c>
      <c r="J4" s="55">
        <f>'Evolutive SFP'!I27</f>
        <v>191534430.69</v>
      </c>
      <c r="K4" s="55">
        <f>'Evolutive SFP'!J27</f>
        <v>192050135.62</v>
      </c>
      <c r="L4" s="55">
        <f>'Evolutive SFP'!K27</f>
        <v>190350540.13999999</v>
      </c>
      <c r="M4" s="55">
        <f>'Evolutive SFP'!L27</f>
        <v>191717479.96000001</v>
      </c>
      <c r="N4" s="55">
        <f>'Evolutive SFP'!M27</f>
        <v>198072470.19999999</v>
      </c>
      <c r="O4" s="55">
        <f>'Evolutive SFP'!N27</f>
        <v>201615211.79000002</v>
      </c>
      <c r="P4" s="55">
        <f>'Evolutive SFP'!O27</f>
        <v>202934255.53999999</v>
      </c>
      <c r="Q4" s="55">
        <f>'Evolutive SFP'!P27</f>
        <v>203152195</v>
      </c>
      <c r="R4" s="55">
        <f>'Evolutive SFP'!Q27</f>
        <v>204045025.34999999</v>
      </c>
      <c r="S4" s="55">
        <f>'Evolutive SFP'!R27</f>
        <v>207474397.06999999</v>
      </c>
      <c r="T4" s="55">
        <f>'Evolutive SFP'!S27</f>
        <v>205817713.22</v>
      </c>
      <c r="U4" s="55">
        <f>'Evolutive SFP'!T27</f>
        <v>202739872.28000003</v>
      </c>
      <c r="V4" s="55">
        <f>'Evolutive SFP'!U27</f>
        <v>208492306.76999998</v>
      </c>
      <c r="W4" s="55">
        <f>'Evolutive SFP'!V27</f>
        <v>205435916.72999999</v>
      </c>
      <c r="X4" s="55">
        <f>'Evolutive SFP'!W27</f>
        <v>227903895.84</v>
      </c>
      <c r="Y4" s="55">
        <f>'Evolutive SFP'!X27</f>
        <v>224380727.65000001</v>
      </c>
      <c r="Z4" s="55">
        <f>'Evolutive SFP'!Y27</f>
        <v>222251626.49000001</v>
      </c>
      <c r="AA4" s="55">
        <f>'Evolutive SFP'!Z27</f>
        <v>224271214.77000001</v>
      </c>
      <c r="AB4" s="55">
        <f>'Evolutive SFP'!AA27</f>
        <v>227395752.36000001</v>
      </c>
      <c r="AC4" s="55">
        <f>'Evolutive SFP'!AB27</f>
        <v>233612779.60000002</v>
      </c>
      <c r="AD4" s="55">
        <f>'Evolutive SFP'!AC27</f>
        <v>234164331</v>
      </c>
      <c r="AE4" s="55">
        <f>'Evolutive SFP'!AD27</f>
        <v>237596073.84</v>
      </c>
      <c r="AF4" s="55">
        <f>'Evolutive SFP'!AE27</f>
        <v>235585562.24000001</v>
      </c>
      <c r="AG4" s="55">
        <f>'Evolutive SFP'!AF27</f>
        <v>233063644.65000004</v>
      </c>
      <c r="AH4" s="55">
        <f>'Evolutive SFP'!AG27</f>
        <v>225054653.49000001</v>
      </c>
      <c r="AI4" s="55">
        <f>'Evolutive SFP'!AH27</f>
        <v>222612058.03</v>
      </c>
      <c r="AJ4" s="55">
        <f>'Evolutive SFP'!AI27</f>
        <v>0</v>
      </c>
      <c r="AK4" s="55">
        <f>'Evolutive SFP'!AJ27</f>
        <v>0</v>
      </c>
      <c r="AL4" s="55">
        <f>'Evolutive SFP'!AK27</f>
        <v>0</v>
      </c>
      <c r="AM4" s="55">
        <f>'Evolutive SFP'!AL27</f>
        <v>0</v>
      </c>
      <c r="AN4" s="55">
        <f>'Evolutive SFP'!AM27</f>
        <v>0</v>
      </c>
      <c r="AO4" s="55">
        <f>'Evolutive SFP'!AN27</f>
        <v>0</v>
      </c>
      <c r="AP4" s="55">
        <f>'Evolutive SFP'!AO27</f>
        <v>0</v>
      </c>
      <c r="AQ4" s="55">
        <f>'Evolutive SFP'!AP27</f>
        <v>0</v>
      </c>
      <c r="AR4" s="55">
        <f>'Evolutive SFP'!AQ27</f>
        <v>0</v>
      </c>
      <c r="AS4" s="55">
        <f>'Evolutive SFP'!AR27</f>
        <v>0</v>
      </c>
      <c r="AT4" s="55">
        <f>'Evolutive SFP'!AS27</f>
        <v>0</v>
      </c>
      <c r="AU4" s="55">
        <f>'Evolutive SFP'!AT27</f>
        <v>0</v>
      </c>
      <c r="AV4" s="55">
        <f>'Evolutive SFP'!AU27</f>
        <v>0</v>
      </c>
      <c r="AW4" s="55">
        <f>'Evolutive SFP'!AV27</f>
        <v>0</v>
      </c>
      <c r="AX4" s="55">
        <f>'Evolutive SFP'!AW27</f>
        <v>0</v>
      </c>
      <c r="AY4" s="55">
        <f>'Evolutive SFP'!AX27</f>
        <v>0</v>
      </c>
    </row>
    <row r="5" spans="1:51" x14ac:dyDescent="0.3">
      <c r="A5" s="27">
        <v>3</v>
      </c>
      <c r="B5" s="27" t="s">
        <v>135</v>
      </c>
      <c r="C5" s="55">
        <f>'Evolutive SFP'!B31</f>
        <v>128604214</v>
      </c>
      <c r="D5" s="55">
        <f>'Evolutive SFP'!C31</f>
        <v>142919971</v>
      </c>
      <c r="E5" s="55">
        <f>'Evolutive SFP'!D31</f>
        <v>141456728.75</v>
      </c>
      <c r="F5" s="55">
        <f>'Evolutive SFP'!E31</f>
        <v>140727253.97999999</v>
      </c>
      <c r="G5" s="55">
        <f>'Evolutive SFP'!F31</f>
        <v>143672291.88999999</v>
      </c>
      <c r="H5" s="55">
        <f>'Evolutive SFP'!G31</f>
        <v>142440049.63</v>
      </c>
      <c r="I5" s="55">
        <f>'Evolutive SFP'!H31</f>
        <v>141082605.80000001</v>
      </c>
      <c r="J5" s="55">
        <f>'Evolutive SFP'!I31</f>
        <v>141524117.47</v>
      </c>
      <c r="K5" s="55">
        <f>'Evolutive SFP'!J31</f>
        <v>141472703.40000001</v>
      </c>
      <c r="L5" s="55">
        <f>'Evolutive SFP'!K31</f>
        <v>140428239.72</v>
      </c>
      <c r="M5" s="55">
        <f>'Evolutive SFP'!L31</f>
        <v>140757614.19999999</v>
      </c>
      <c r="N5" s="55">
        <f>'Evolutive SFP'!M31</f>
        <v>144805609.78999999</v>
      </c>
      <c r="O5" s="55">
        <f>'Evolutive SFP'!N31</f>
        <v>147562603.96000001</v>
      </c>
      <c r="P5" s="55">
        <f>'Evolutive SFP'!O31</f>
        <v>144514877.94999999</v>
      </c>
      <c r="Q5" s="55">
        <f>'Evolutive SFP'!P31</f>
        <v>144513444</v>
      </c>
      <c r="R5" s="55">
        <f>'Evolutive SFP'!Q31</f>
        <v>144907844.62</v>
      </c>
      <c r="S5" s="55">
        <f>'Evolutive SFP'!R31</f>
        <v>147996752.13999999</v>
      </c>
      <c r="T5" s="55">
        <f>'Evolutive SFP'!S31</f>
        <v>146685365.84</v>
      </c>
      <c r="U5" s="55">
        <f>'Evolutive SFP'!T31</f>
        <v>147973206.30000001</v>
      </c>
      <c r="V5" s="55">
        <f>'Evolutive SFP'!U31</f>
        <v>152388435.24000001</v>
      </c>
      <c r="W5" s="55">
        <f>'Evolutive SFP'!V31</f>
        <v>149994810.32999998</v>
      </c>
      <c r="X5" s="55">
        <f>'Evolutive SFP'!W31</f>
        <v>168881505.28</v>
      </c>
      <c r="Y5" s="55">
        <f>'Evolutive SFP'!X31</f>
        <v>164222515.97</v>
      </c>
      <c r="Z5" s="55">
        <f>'Evolutive SFP'!Y31</f>
        <v>161082652.78999999</v>
      </c>
      <c r="AA5" s="55">
        <f>'Evolutive SFP'!Z31</f>
        <v>162174180</v>
      </c>
      <c r="AB5" s="55">
        <f>'Evolutive SFP'!AA31</f>
        <v>163704846.06</v>
      </c>
      <c r="AC5" s="55">
        <f>'Evolutive SFP'!AB31</f>
        <v>169510703.03999999</v>
      </c>
      <c r="AD5" s="55">
        <f>'Evolutive SFP'!AC31</f>
        <v>169508703</v>
      </c>
      <c r="AE5" s="55">
        <f>'Evolutive SFP'!AD31</f>
        <v>171961807.47</v>
      </c>
      <c r="AF5" s="55">
        <f>'Evolutive SFP'!AE31</f>
        <v>166867892.61000001</v>
      </c>
      <c r="AG5" s="55">
        <f>'Evolutive SFP'!AF31</f>
        <v>167117776.47999999</v>
      </c>
      <c r="AH5" s="55">
        <f>'Evolutive SFP'!AG31</f>
        <v>161963056.47</v>
      </c>
      <c r="AI5" s="55">
        <f>'Evolutive SFP'!AH31</f>
        <v>159876832.84</v>
      </c>
      <c r="AJ5" s="55">
        <f>'Evolutive SFP'!AI31</f>
        <v>0</v>
      </c>
      <c r="AK5" s="55">
        <f>'Evolutive SFP'!AJ31</f>
        <v>0</v>
      </c>
      <c r="AL5" s="55">
        <f>'Evolutive SFP'!AK31</f>
        <v>0</v>
      </c>
      <c r="AM5" s="55">
        <f>'Evolutive SFP'!AL31</f>
        <v>0</v>
      </c>
      <c r="AN5" s="55">
        <f>'Evolutive SFP'!AM31</f>
        <v>0</v>
      </c>
      <c r="AO5" s="55">
        <f>'Evolutive SFP'!AN31</f>
        <v>0</v>
      </c>
      <c r="AP5" s="55">
        <f>'Evolutive SFP'!AO31</f>
        <v>0</v>
      </c>
      <c r="AQ5" s="55">
        <f>'Evolutive SFP'!AP31</f>
        <v>0</v>
      </c>
      <c r="AR5" s="55">
        <f>'Evolutive SFP'!AQ31</f>
        <v>0</v>
      </c>
      <c r="AS5" s="55">
        <f>'Evolutive SFP'!AR31</f>
        <v>0</v>
      </c>
      <c r="AT5" s="55">
        <f>'Evolutive SFP'!AS31</f>
        <v>0</v>
      </c>
      <c r="AU5" s="55">
        <f>'Evolutive SFP'!AT31</f>
        <v>0</v>
      </c>
      <c r="AV5" s="55">
        <f>'Evolutive SFP'!AU31</f>
        <v>0</v>
      </c>
      <c r="AW5" s="55">
        <f>'Evolutive SFP'!AV31</f>
        <v>0</v>
      </c>
      <c r="AX5" s="55">
        <f>'Evolutive SFP'!AW31</f>
        <v>0</v>
      </c>
      <c r="AY5" s="55">
        <f>'Evolutive SFP'!AX31</f>
        <v>0</v>
      </c>
    </row>
    <row r="6" spans="1:51" x14ac:dyDescent="0.3">
      <c r="A6" s="27">
        <v>3.1</v>
      </c>
      <c r="B6" s="28" t="s">
        <v>154</v>
      </c>
      <c r="C6" s="55">
        <f>'Evolutive SFP'!B30</f>
        <v>112140909</v>
      </c>
      <c r="D6" s="55">
        <f>'Evolutive SFP'!C30</f>
        <v>97747282</v>
      </c>
      <c r="E6" s="55">
        <f>'Evolutive SFP'!D30</f>
        <v>98068546.370000005</v>
      </c>
      <c r="F6" s="55">
        <f>'Evolutive SFP'!E30</f>
        <v>98848444.939999998</v>
      </c>
      <c r="G6" s="55">
        <f>'Evolutive SFP'!F30</f>
        <v>99652558.310000002</v>
      </c>
      <c r="H6" s="55">
        <f>'Evolutive SFP'!G30</f>
        <v>100100734.67</v>
      </c>
      <c r="I6" s="55">
        <f>'Evolutive SFP'!H30</f>
        <v>100793044.62</v>
      </c>
      <c r="J6" s="55">
        <f>'Evolutive SFP'!I30</f>
        <v>101310736.81999999</v>
      </c>
      <c r="K6" s="55">
        <f>'Evolutive SFP'!J30</f>
        <v>102049553.37</v>
      </c>
      <c r="L6" s="55">
        <f>'Evolutive SFP'!K30</f>
        <v>102841437.52</v>
      </c>
      <c r="M6" s="55">
        <f>'Evolutive SFP'!L30</f>
        <v>102985477.73</v>
      </c>
      <c r="N6" s="55">
        <f>'Evolutive SFP'!M30</f>
        <v>104033892.03</v>
      </c>
      <c r="O6" s="55">
        <f>'Evolutive SFP'!N30</f>
        <v>105983068.34</v>
      </c>
      <c r="P6" s="55">
        <f>'Evolutive SFP'!O30</f>
        <v>103826130.23</v>
      </c>
      <c r="Q6" s="55">
        <f>'Evolutive SFP'!P30</f>
        <v>103826130</v>
      </c>
      <c r="R6" s="55">
        <f>'Evolutive SFP'!Q30</f>
        <v>104239041.06</v>
      </c>
      <c r="S6" s="55">
        <f>'Evolutive SFP'!R30</f>
        <v>105301779.95</v>
      </c>
      <c r="T6" s="55">
        <f>'Evolutive SFP'!S30</f>
        <v>106424885.11</v>
      </c>
      <c r="U6" s="55">
        <f>'Evolutive SFP'!T30</f>
        <v>106417790.06</v>
      </c>
      <c r="V6" s="55">
        <f>'Evolutive SFP'!U30</f>
        <v>107189397.86</v>
      </c>
      <c r="W6" s="55">
        <f>'Evolutive SFP'!V30</f>
        <v>107844184</v>
      </c>
      <c r="X6" s="55">
        <f>'Evolutive SFP'!W30</f>
        <v>108398399.03</v>
      </c>
      <c r="Y6" s="55">
        <f>'Evolutive SFP'!X30</f>
        <v>108518138.04000001</v>
      </c>
      <c r="Z6" s="55">
        <f>'Evolutive SFP'!Y30</f>
        <v>108941082.83</v>
      </c>
      <c r="AA6" s="55">
        <f>'Evolutive SFP'!Z30</f>
        <v>109745535.93000001</v>
      </c>
      <c r="AB6" s="55">
        <f>'Evolutive SFP'!AA30</f>
        <v>110589515.08</v>
      </c>
      <c r="AC6" s="55">
        <f>'Evolutive SFP'!AB30</f>
        <v>110166921.53</v>
      </c>
      <c r="AD6" s="55">
        <f>'Evolutive SFP'!AC30</f>
        <v>110164921</v>
      </c>
      <c r="AE6" s="55">
        <f>'Evolutive SFP'!AD30</f>
        <v>111063995.87</v>
      </c>
      <c r="AF6" s="55">
        <f>'Evolutive SFP'!AE30</f>
        <v>111764825.52</v>
      </c>
      <c r="AG6" s="55">
        <f>'Evolutive SFP'!AF30</f>
        <v>112221311.77</v>
      </c>
      <c r="AH6" s="55">
        <f>'Evolutive SFP'!AG30</f>
        <v>112149094.41</v>
      </c>
      <c r="AI6" s="55">
        <f>'Evolutive SFP'!AH30</f>
        <v>112799393.89</v>
      </c>
      <c r="AJ6" s="55">
        <f>'Evolutive SFP'!AI30</f>
        <v>0</v>
      </c>
      <c r="AK6" s="55">
        <f>'Evolutive SFP'!AJ30</f>
        <v>0</v>
      </c>
      <c r="AL6" s="55">
        <f>'Evolutive SFP'!AK30</f>
        <v>0</v>
      </c>
      <c r="AM6" s="55">
        <f>'Evolutive SFP'!AL30</f>
        <v>0</v>
      </c>
      <c r="AN6" s="55">
        <f>'Evolutive SFP'!AM30</f>
        <v>0</v>
      </c>
      <c r="AO6" s="55">
        <f>'Evolutive SFP'!AN30</f>
        <v>0</v>
      </c>
      <c r="AP6" s="55">
        <f>'Evolutive SFP'!AO30</f>
        <v>0</v>
      </c>
      <c r="AQ6" s="55">
        <f>'Evolutive SFP'!AP30</f>
        <v>0</v>
      </c>
      <c r="AR6" s="55">
        <f>'Evolutive SFP'!AQ30</f>
        <v>0</v>
      </c>
      <c r="AS6" s="55">
        <f>'Evolutive SFP'!AR30</f>
        <v>0</v>
      </c>
      <c r="AT6" s="55">
        <f>'Evolutive SFP'!AS30</f>
        <v>0</v>
      </c>
      <c r="AU6" s="55">
        <f>'Evolutive SFP'!AT30</f>
        <v>0</v>
      </c>
      <c r="AV6" s="55">
        <f>'Evolutive SFP'!AU30</f>
        <v>0</v>
      </c>
      <c r="AW6" s="55">
        <f>'Evolutive SFP'!AV30</f>
        <v>0</v>
      </c>
      <c r="AX6" s="55">
        <f>'Evolutive SFP'!AW30</f>
        <v>0</v>
      </c>
      <c r="AY6" s="55">
        <f>'Evolutive SFP'!AX30</f>
        <v>0</v>
      </c>
    </row>
    <row r="7" spans="1:51" x14ac:dyDescent="0.3">
      <c r="A7" s="27">
        <v>3.2</v>
      </c>
      <c r="B7" s="28" t="s">
        <v>155</v>
      </c>
      <c r="C7" s="55">
        <f>('Evolutive SFP'!B28+'Evolutive SFP'!B29)</f>
        <v>16463305</v>
      </c>
      <c r="D7" s="55">
        <f>('Evolutive SFP'!C28+'Evolutive SFP'!C29)</f>
        <v>45172689</v>
      </c>
      <c r="E7" s="55">
        <f>('Evolutive SFP'!D28+'Evolutive SFP'!D29)</f>
        <v>43388182.380000003</v>
      </c>
      <c r="F7" s="55">
        <f>('Evolutive SFP'!E28+'Evolutive SFP'!E29)</f>
        <v>41878809.039999999</v>
      </c>
      <c r="G7" s="55">
        <f>('Evolutive SFP'!F28+'Evolutive SFP'!F29)</f>
        <v>44019733.579999998</v>
      </c>
      <c r="H7" s="55">
        <f>('Evolutive SFP'!G28+'Evolutive SFP'!G29)</f>
        <v>42339314.960000001</v>
      </c>
      <c r="I7" s="55">
        <f>('Evolutive SFP'!H28+'Evolutive SFP'!H29)</f>
        <v>40289561.18</v>
      </c>
      <c r="J7" s="55">
        <f>('Evolutive SFP'!I28+'Evolutive SFP'!I29)</f>
        <v>40213380.649999999</v>
      </c>
      <c r="K7" s="55">
        <f>('Evolutive SFP'!J28+'Evolutive SFP'!J29)</f>
        <v>39423150.030000001</v>
      </c>
      <c r="L7" s="55">
        <f>('Evolutive SFP'!K28+'Evolutive SFP'!K29)</f>
        <v>37586802.200000003</v>
      </c>
      <c r="M7" s="55">
        <f>('Evolutive SFP'!L28+'Evolutive SFP'!L29)</f>
        <v>37772136.469999999</v>
      </c>
      <c r="N7" s="55">
        <f>('Evolutive SFP'!M28+'Evolutive SFP'!M29)</f>
        <v>40771717.759999998</v>
      </c>
      <c r="O7" s="55">
        <f>('Evolutive SFP'!N28+'Evolutive SFP'!N29)</f>
        <v>41579535.619999997</v>
      </c>
      <c r="P7" s="55">
        <f>('Evolutive SFP'!O28+'Evolutive SFP'!O29)</f>
        <v>40688747.719999999</v>
      </c>
      <c r="Q7" s="55">
        <f>('Evolutive SFP'!P28+'Evolutive SFP'!P29)</f>
        <v>40687314</v>
      </c>
      <c r="R7" s="55">
        <f>('Evolutive SFP'!Q28+'Evolutive SFP'!Q29)</f>
        <v>40668803.560000002</v>
      </c>
      <c r="S7" s="55">
        <f>('Evolutive SFP'!R28+'Evolutive SFP'!R29)</f>
        <v>42694972.189999998</v>
      </c>
      <c r="T7" s="55">
        <f>('Evolutive SFP'!S28+'Evolutive SFP'!S29)</f>
        <v>40260480.729999997</v>
      </c>
      <c r="U7" s="55">
        <f>('Evolutive SFP'!T28+'Evolutive SFP'!T29)</f>
        <v>41555416.240000002</v>
      </c>
      <c r="V7" s="55">
        <f>('Evolutive SFP'!U28+'Evolutive SFP'!U29)</f>
        <v>45199037.380000003</v>
      </c>
      <c r="W7" s="55">
        <f>('Evolutive SFP'!V28+'Evolutive SFP'!V29)</f>
        <v>42150626.329999998</v>
      </c>
      <c r="X7" s="55">
        <f>('Evolutive SFP'!W28+'Evolutive SFP'!W29)</f>
        <v>60483106.25</v>
      </c>
      <c r="Y7" s="55">
        <f>('Evolutive SFP'!X28+'Evolutive SFP'!X29)</f>
        <v>55704377.93</v>
      </c>
      <c r="Z7" s="55">
        <f>('Evolutive SFP'!Y28+'Evolutive SFP'!Y29)</f>
        <v>52141569.960000001</v>
      </c>
      <c r="AA7" s="55">
        <f>('Evolutive SFP'!Z28+'Evolutive SFP'!Z29)</f>
        <v>52428644.07</v>
      </c>
      <c r="AB7" s="55">
        <f>('Evolutive SFP'!AA28+'Evolutive SFP'!AA29)</f>
        <v>53115330.979999997</v>
      </c>
      <c r="AC7" s="55">
        <f>('Evolutive SFP'!AB28+'Evolutive SFP'!AB29)</f>
        <v>59343781.509999998</v>
      </c>
      <c r="AD7" s="55">
        <f>('Evolutive SFP'!AC28+'Evolutive SFP'!AC29)</f>
        <v>59343782</v>
      </c>
      <c r="AE7" s="55">
        <f>('Evolutive SFP'!AD28+'Evolutive SFP'!AD29)</f>
        <v>60897811.600000001</v>
      </c>
      <c r="AF7" s="55">
        <f>('Evolutive SFP'!AE28+'Evolutive SFP'!AE29)</f>
        <v>55103067.090000004</v>
      </c>
      <c r="AG7" s="55">
        <f>('Evolutive SFP'!AF28+'Evolutive SFP'!AF29)</f>
        <v>54896464.710000001</v>
      </c>
      <c r="AH7" s="55">
        <f>('Evolutive SFP'!AG28+'Evolutive SFP'!AG29)</f>
        <v>49813962.060000002</v>
      </c>
      <c r="AI7" s="55">
        <f>('Evolutive SFP'!AH28+'Evolutive SFP'!AH29)</f>
        <v>47077438.950000003</v>
      </c>
      <c r="AJ7" s="55">
        <f>('Evolutive SFP'!AI28+'Evolutive SFP'!AI29)</f>
        <v>0</v>
      </c>
      <c r="AK7" s="55">
        <f>('Evolutive SFP'!AJ28+'Evolutive SFP'!AJ29)</f>
        <v>0</v>
      </c>
      <c r="AL7" s="55">
        <f>('Evolutive SFP'!AK28+'Evolutive SFP'!AK29)</f>
        <v>0</v>
      </c>
      <c r="AM7" s="55">
        <f>('Evolutive SFP'!AL28+'Evolutive SFP'!AL29)</f>
        <v>0</v>
      </c>
      <c r="AN7" s="55">
        <f>('Evolutive SFP'!AM28+'Evolutive SFP'!AM29)</f>
        <v>0</v>
      </c>
      <c r="AO7" s="55">
        <f>('Evolutive SFP'!AN28+'Evolutive SFP'!AN29)</f>
        <v>0</v>
      </c>
      <c r="AP7" s="55">
        <f>('Evolutive SFP'!AO28+'Evolutive SFP'!AO29)</f>
        <v>0</v>
      </c>
      <c r="AQ7" s="55">
        <f>('Evolutive SFP'!AP28+'Evolutive SFP'!AP29)</f>
        <v>0</v>
      </c>
      <c r="AR7" s="55">
        <f>('Evolutive SFP'!AQ28+'Evolutive SFP'!AQ29)</f>
        <v>0</v>
      </c>
      <c r="AS7" s="55">
        <f>('Evolutive SFP'!AR28+'Evolutive SFP'!AR29)</f>
        <v>0</v>
      </c>
      <c r="AT7" s="55">
        <f>('Evolutive SFP'!AS28+'Evolutive SFP'!AS29)</f>
        <v>0</v>
      </c>
      <c r="AU7" s="55">
        <f>('Evolutive SFP'!AT28+'Evolutive SFP'!AT29)</f>
        <v>0</v>
      </c>
      <c r="AV7" s="55">
        <f>('Evolutive SFP'!AU28+'Evolutive SFP'!AU29)</f>
        <v>0</v>
      </c>
      <c r="AW7" s="55">
        <f>('Evolutive SFP'!AV28+'Evolutive SFP'!AV29)</f>
        <v>0</v>
      </c>
      <c r="AX7" s="55">
        <f>('Evolutive SFP'!AW28+'Evolutive SFP'!AW29)</f>
        <v>0</v>
      </c>
      <c r="AY7" s="55">
        <f>('Evolutive SFP'!AX28+'Evolutive SFP'!AX29)</f>
        <v>0</v>
      </c>
    </row>
    <row r="8" spans="1:51" x14ac:dyDescent="0.3">
      <c r="A8" s="27">
        <v>4</v>
      </c>
      <c r="B8" s="27" t="s">
        <v>156</v>
      </c>
      <c r="C8" s="55">
        <f>'Evolutive SFP'!B37</f>
        <v>2291669</v>
      </c>
      <c r="D8" s="55">
        <f>'Evolutive SFP'!C37</f>
        <v>0</v>
      </c>
      <c r="E8" s="55">
        <f>'Evolutive SFP'!D37</f>
        <v>0</v>
      </c>
      <c r="F8" s="55">
        <f>'Evolutive SFP'!E37</f>
        <v>0</v>
      </c>
      <c r="G8" s="55">
        <f>'Evolutive SFP'!F37</f>
        <v>0</v>
      </c>
      <c r="H8" s="55">
        <f>'Evolutive SFP'!G37</f>
        <v>0</v>
      </c>
      <c r="I8" s="55">
        <f>'Evolutive SFP'!H37</f>
        <v>0</v>
      </c>
      <c r="J8" s="55">
        <f>'Evolutive SFP'!I37</f>
        <v>0</v>
      </c>
      <c r="K8" s="55">
        <f>'Evolutive SFP'!J37</f>
        <v>0</v>
      </c>
      <c r="L8" s="55">
        <f>'Evolutive SFP'!K37</f>
        <v>0</v>
      </c>
      <c r="M8" s="55">
        <f>'Evolutive SFP'!L37</f>
        <v>0</v>
      </c>
      <c r="N8" s="55">
        <f>'Evolutive SFP'!M37</f>
        <v>0</v>
      </c>
      <c r="O8" s="55">
        <f>'Evolutive SFP'!N37</f>
        <v>0</v>
      </c>
      <c r="P8" s="55">
        <f>'Evolutive SFP'!O37</f>
        <v>0</v>
      </c>
      <c r="Q8" s="55">
        <f>'Evolutive SFP'!P37</f>
        <v>0</v>
      </c>
      <c r="R8" s="55">
        <f>'Evolutive SFP'!Q37</f>
        <v>0</v>
      </c>
      <c r="S8" s="55">
        <f>'Evolutive SFP'!R37</f>
        <v>0</v>
      </c>
      <c r="T8" s="55">
        <f>'Evolutive SFP'!S37</f>
        <v>0</v>
      </c>
      <c r="U8" s="55">
        <f>'Evolutive SFP'!T37</f>
        <v>0</v>
      </c>
      <c r="V8" s="55">
        <f>'Evolutive SFP'!U37</f>
        <v>0</v>
      </c>
      <c r="W8" s="55">
        <f>'Evolutive SFP'!V37</f>
        <v>0</v>
      </c>
      <c r="X8" s="55">
        <f>'Evolutive SFP'!W37</f>
        <v>0</v>
      </c>
      <c r="Y8" s="55">
        <f>'Evolutive SFP'!X37</f>
        <v>0</v>
      </c>
      <c r="Z8" s="55">
        <f>'Evolutive SFP'!Y37</f>
        <v>0</v>
      </c>
      <c r="AA8" s="55">
        <f>'Evolutive SFP'!Z37</f>
        <v>0</v>
      </c>
      <c r="AB8" s="55">
        <f>'Evolutive SFP'!AA37</f>
        <v>0</v>
      </c>
      <c r="AC8" s="55">
        <f>'Evolutive SFP'!AB37</f>
        <v>0</v>
      </c>
      <c r="AD8" s="55">
        <f>'Evolutive SFP'!AC37</f>
        <v>0</v>
      </c>
      <c r="AE8" s="55">
        <f>'Evolutive SFP'!AD37</f>
        <v>0</v>
      </c>
      <c r="AF8" s="55">
        <f>'Evolutive SFP'!AE37</f>
        <v>0</v>
      </c>
      <c r="AG8" s="55">
        <f>'Evolutive SFP'!AF37</f>
        <v>0</v>
      </c>
      <c r="AH8" s="55">
        <f>'Evolutive SFP'!AG37</f>
        <v>0</v>
      </c>
      <c r="AI8" s="55">
        <f>'Evolutive SFP'!AH37</f>
        <v>0</v>
      </c>
      <c r="AJ8" s="55">
        <f>'Evolutive SFP'!AI37</f>
        <v>0</v>
      </c>
      <c r="AK8" s="55">
        <f>'Evolutive SFP'!AJ37</f>
        <v>0</v>
      </c>
      <c r="AL8" s="55">
        <f>'Evolutive SFP'!AK37</f>
        <v>0</v>
      </c>
      <c r="AM8" s="55">
        <f>'Evolutive SFP'!AL37</f>
        <v>0</v>
      </c>
      <c r="AN8" s="55">
        <f>'Evolutive SFP'!AM37</f>
        <v>0</v>
      </c>
      <c r="AO8" s="55">
        <f>'Evolutive SFP'!AN37</f>
        <v>0</v>
      </c>
      <c r="AP8" s="55">
        <f>'Evolutive SFP'!AO37</f>
        <v>0</v>
      </c>
      <c r="AQ8" s="55">
        <f>'Evolutive SFP'!AP37</f>
        <v>0</v>
      </c>
      <c r="AR8" s="55">
        <f>'Evolutive SFP'!AQ37</f>
        <v>0</v>
      </c>
      <c r="AS8" s="55">
        <f>'Evolutive SFP'!AR37</f>
        <v>0</v>
      </c>
      <c r="AT8" s="55">
        <f>'Evolutive SFP'!AS37</f>
        <v>0</v>
      </c>
      <c r="AU8" s="55">
        <f>'Evolutive SFP'!AT37</f>
        <v>0</v>
      </c>
      <c r="AV8" s="55">
        <f>'Evolutive SFP'!AU37</f>
        <v>0</v>
      </c>
      <c r="AW8" s="55">
        <f>'Evolutive SFP'!AV37</f>
        <v>0</v>
      </c>
      <c r="AX8" s="55">
        <f>'Evolutive SFP'!AW37</f>
        <v>0</v>
      </c>
      <c r="AY8" s="55">
        <f>'Evolutive SFP'!AX37</f>
        <v>0</v>
      </c>
    </row>
    <row r="9" spans="1:51" x14ac:dyDescent="0.3">
      <c r="A9" s="27"/>
      <c r="B9" s="27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</row>
    <row r="10" spans="1:51" x14ac:dyDescent="0.3">
      <c r="A10" s="29">
        <v>5</v>
      </c>
      <c r="B10" s="25" t="s">
        <v>157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</row>
    <row r="11" spans="1:51" s="23" customFormat="1" x14ac:dyDescent="0.3">
      <c r="A11" s="37">
        <v>5.0999999999999996</v>
      </c>
      <c r="B11" s="25" t="s">
        <v>100</v>
      </c>
      <c r="C11" s="56">
        <f t="shared" ref="C11:D11" si="0">C14-C22-C25</f>
        <v>14446887</v>
      </c>
      <c r="D11" s="56">
        <f t="shared" si="0"/>
        <v>38804360</v>
      </c>
      <c r="E11" s="56">
        <f t="shared" ref="E11:V11" si="1">E14-E22-E25</f>
        <v>39510670.850000001</v>
      </c>
      <c r="F11" s="56">
        <f t="shared" si="1"/>
        <v>39791400.460000001</v>
      </c>
      <c r="G11" s="56">
        <f t="shared" si="1"/>
        <v>39420108.660000004</v>
      </c>
      <c r="H11" s="56">
        <f t="shared" si="1"/>
        <v>40897620.760000005</v>
      </c>
      <c r="I11" s="56">
        <f t="shared" si="1"/>
        <v>43813728.629999995</v>
      </c>
      <c r="J11" s="56">
        <f t="shared" si="1"/>
        <v>41534837.460000001</v>
      </c>
      <c r="K11" s="56">
        <f t="shared" si="1"/>
        <v>42015778.659999996</v>
      </c>
      <c r="L11" s="56">
        <f t="shared" si="1"/>
        <v>41476553.370000005</v>
      </c>
      <c r="M11" s="56">
        <f t="shared" si="1"/>
        <v>42492950.170000002</v>
      </c>
      <c r="N11" s="56">
        <f t="shared" si="1"/>
        <v>44193058.57</v>
      </c>
      <c r="O11" s="56">
        <f t="shared" si="1"/>
        <v>45016260.969999999</v>
      </c>
      <c r="P11" s="56">
        <f t="shared" si="1"/>
        <v>48739000.370000005</v>
      </c>
      <c r="Q11" s="56">
        <f t="shared" si="1"/>
        <v>46709713</v>
      </c>
      <c r="R11" s="56">
        <f t="shared" si="1"/>
        <v>48685711.379999995</v>
      </c>
      <c r="S11" s="56">
        <f t="shared" si="1"/>
        <v>48976846.939999998</v>
      </c>
      <c r="T11" s="56">
        <f t="shared" si="1"/>
        <v>45933665.520000003</v>
      </c>
      <c r="U11" s="56">
        <f t="shared" si="1"/>
        <v>44887053.68</v>
      </c>
      <c r="V11" s="56">
        <f t="shared" si="1"/>
        <v>46403211.100000001</v>
      </c>
      <c r="W11" s="56">
        <f t="shared" ref="W11:AY11" si="2">W14-W22-W25</f>
        <v>46178290.129999995</v>
      </c>
      <c r="X11" s="56">
        <f t="shared" si="2"/>
        <v>50176663.740000002</v>
      </c>
      <c r="Y11" s="56">
        <f t="shared" si="2"/>
        <v>50995388.129999995</v>
      </c>
      <c r="Z11" s="56">
        <f t="shared" si="2"/>
        <v>52187802.839999996</v>
      </c>
      <c r="AA11" s="56">
        <f t="shared" si="2"/>
        <v>53198221.740000002</v>
      </c>
      <c r="AB11" s="56">
        <f t="shared" si="2"/>
        <v>54188391.190000005</v>
      </c>
      <c r="AC11" s="56">
        <f t="shared" si="2"/>
        <v>53611195.410000004</v>
      </c>
      <c r="AD11" s="56">
        <f t="shared" si="2"/>
        <v>52315768</v>
      </c>
      <c r="AE11" s="56">
        <f t="shared" si="2"/>
        <v>58836449.730000004</v>
      </c>
      <c r="AF11" s="56">
        <f t="shared" si="2"/>
        <v>56671140.289999999</v>
      </c>
      <c r="AG11" s="56">
        <f t="shared" si="2"/>
        <v>56932277.789999999</v>
      </c>
      <c r="AH11" s="56">
        <f t="shared" si="2"/>
        <v>57315308.640000001</v>
      </c>
      <c r="AI11" s="56">
        <f t="shared" si="2"/>
        <v>57568313.189999998</v>
      </c>
      <c r="AJ11" s="56">
        <f t="shared" si="2"/>
        <v>0</v>
      </c>
      <c r="AK11" s="56">
        <f t="shared" si="2"/>
        <v>0</v>
      </c>
      <c r="AL11" s="56">
        <f t="shared" si="2"/>
        <v>0</v>
      </c>
      <c r="AM11" s="56">
        <f t="shared" si="2"/>
        <v>0</v>
      </c>
      <c r="AN11" s="56">
        <f t="shared" si="2"/>
        <v>0</v>
      </c>
      <c r="AO11" s="56">
        <f t="shared" si="2"/>
        <v>0</v>
      </c>
      <c r="AP11" s="56">
        <f t="shared" si="2"/>
        <v>0</v>
      </c>
      <c r="AQ11" s="56">
        <f t="shared" si="2"/>
        <v>0</v>
      </c>
      <c r="AR11" s="56">
        <f t="shared" si="2"/>
        <v>0</v>
      </c>
      <c r="AS11" s="56">
        <f t="shared" si="2"/>
        <v>0</v>
      </c>
      <c r="AT11" s="56">
        <f t="shared" si="2"/>
        <v>0</v>
      </c>
      <c r="AU11" s="56">
        <f t="shared" si="2"/>
        <v>0</v>
      </c>
      <c r="AV11" s="56">
        <f t="shared" si="2"/>
        <v>0</v>
      </c>
      <c r="AW11" s="56">
        <f t="shared" si="2"/>
        <v>0</v>
      </c>
      <c r="AX11" s="56">
        <f t="shared" si="2"/>
        <v>0</v>
      </c>
      <c r="AY11" s="56">
        <f t="shared" si="2"/>
        <v>0</v>
      </c>
    </row>
    <row r="12" spans="1:51" s="23" customFormat="1" x14ac:dyDescent="0.3">
      <c r="A12" s="37">
        <v>5.2</v>
      </c>
      <c r="B12" s="25" t="s">
        <v>158</v>
      </c>
      <c r="C12" s="56">
        <f>C11-C15</f>
        <v>3952190</v>
      </c>
      <c r="D12" s="56">
        <f>D11-D15</f>
        <v>18449968</v>
      </c>
      <c r="E12" s="56">
        <f t="shared" ref="E12:V12" si="3">E11-E15</f>
        <v>19100843.530000001</v>
      </c>
      <c r="F12" s="56">
        <f t="shared" si="3"/>
        <v>19288088.440000001</v>
      </c>
      <c r="G12" s="56">
        <f t="shared" si="3"/>
        <v>18601799.540000003</v>
      </c>
      <c r="H12" s="56">
        <f t="shared" si="3"/>
        <v>19510902.340000004</v>
      </c>
      <c r="I12" s="56">
        <f t="shared" si="3"/>
        <v>22167207.109999996</v>
      </c>
      <c r="J12" s="56">
        <f t="shared" si="3"/>
        <v>19715254.940000001</v>
      </c>
      <c r="K12" s="56">
        <f t="shared" si="3"/>
        <v>20011395.139999997</v>
      </c>
      <c r="L12" s="56">
        <f t="shared" si="3"/>
        <v>19280434.840000004</v>
      </c>
      <c r="M12" s="56">
        <f t="shared" si="3"/>
        <v>20114183.140000001</v>
      </c>
      <c r="N12" s="56">
        <f t="shared" si="3"/>
        <v>21718139.539999999</v>
      </c>
      <c r="O12" s="56">
        <f t="shared" si="3"/>
        <v>22329346.640000001</v>
      </c>
      <c r="P12" s="56">
        <f t="shared" si="3"/>
        <v>25762154.440000005</v>
      </c>
      <c r="Q12" s="56">
        <f t="shared" si="3"/>
        <v>23732867</v>
      </c>
      <c r="R12" s="56">
        <f t="shared" si="3"/>
        <v>25544907.249999996</v>
      </c>
      <c r="S12" s="56">
        <f t="shared" si="3"/>
        <v>25707089.809999999</v>
      </c>
      <c r="T12" s="56">
        <f t="shared" si="3"/>
        <v>22490401.940000005</v>
      </c>
      <c r="U12" s="56">
        <f t="shared" si="3"/>
        <v>21273521.899999999</v>
      </c>
      <c r="V12" s="56">
        <f t="shared" si="3"/>
        <v>22546320.32</v>
      </c>
      <c r="W12" s="56">
        <f t="shared" ref="W12" si="4">W11-W15</f>
        <v>22131999.249999996</v>
      </c>
      <c r="X12" s="56">
        <f t="shared" ref="X12" si="5">X11-X15</f>
        <v>23564870.910000004</v>
      </c>
      <c r="Y12" s="56">
        <f t="shared" ref="Y12" si="6">Y11-Y15</f>
        <v>24136472.749999996</v>
      </c>
      <c r="Z12" s="56">
        <f t="shared" ref="Z12" si="7">Z11-Z15</f>
        <v>25072097.349999998</v>
      </c>
      <c r="AA12" s="56">
        <f t="shared" ref="AA12" si="8">AA11-AA15</f>
        <v>25894446.150000002</v>
      </c>
      <c r="AB12" s="56">
        <f t="shared" ref="AB12" si="9">AB11-AB15</f>
        <v>26626152.850000005</v>
      </c>
      <c r="AC12" s="56">
        <f t="shared" ref="AC12" si="10">AC11-AC15</f>
        <v>25818546.520000003</v>
      </c>
      <c r="AD12" s="56">
        <f t="shared" ref="AD12" si="11">AD11-AD15</f>
        <v>24523119</v>
      </c>
      <c r="AE12" s="56">
        <f t="shared" ref="AE12" si="12">AE11-AE15</f>
        <v>30577568.670000006</v>
      </c>
      <c r="AF12" s="56">
        <f t="shared" ref="AF12" si="13">AF11-AF15</f>
        <v>28080776.43</v>
      </c>
      <c r="AG12" s="56">
        <f t="shared" ref="AG12" si="14">AG11-AG15</f>
        <v>28043963.93</v>
      </c>
      <c r="AH12" s="56">
        <f t="shared" ref="AH12" si="15">AH11-AH15</f>
        <v>28216069.030000001</v>
      </c>
      <c r="AI12" s="56">
        <f t="shared" ref="AI12" si="16">AI11-AI15</f>
        <v>28272166.529999997</v>
      </c>
      <c r="AJ12" s="56">
        <f t="shared" ref="AJ12" si="17">AJ11-AJ15</f>
        <v>0</v>
      </c>
      <c r="AK12" s="56">
        <f t="shared" ref="AK12" si="18">AK11-AK15</f>
        <v>0</v>
      </c>
      <c r="AL12" s="56">
        <f t="shared" ref="AL12" si="19">AL11-AL15</f>
        <v>0</v>
      </c>
      <c r="AM12" s="56">
        <f t="shared" ref="AM12:AN12" si="20">AM11-AM15</f>
        <v>0</v>
      </c>
      <c r="AN12" s="56">
        <f t="shared" si="20"/>
        <v>0</v>
      </c>
      <c r="AO12" s="56">
        <f t="shared" ref="AO12" si="21">AO11-AO15</f>
        <v>0</v>
      </c>
      <c r="AP12" s="56">
        <f t="shared" ref="AP12" si="22">AP11-AP15</f>
        <v>0</v>
      </c>
      <c r="AQ12" s="56">
        <f t="shared" ref="AQ12" si="23">AQ11-AQ15</f>
        <v>0</v>
      </c>
      <c r="AR12" s="56">
        <f t="shared" ref="AR12" si="24">AR11-AR15</f>
        <v>0</v>
      </c>
      <c r="AS12" s="56">
        <f t="shared" ref="AS12" si="25">AS11-AS15</f>
        <v>0</v>
      </c>
      <c r="AT12" s="56">
        <f t="shared" ref="AT12" si="26">AT11-AT15</f>
        <v>0</v>
      </c>
      <c r="AU12" s="56">
        <f t="shared" ref="AU12" si="27">AU11-AU15</f>
        <v>0</v>
      </c>
      <c r="AV12" s="56">
        <f t="shared" ref="AV12" si="28">AV11-AV15</f>
        <v>0</v>
      </c>
      <c r="AW12" s="56">
        <f t="shared" ref="AW12" si="29">AW11-AW15</f>
        <v>0</v>
      </c>
      <c r="AX12" s="56">
        <f t="shared" ref="AX12" si="30">AX11-AX15</f>
        <v>0</v>
      </c>
      <c r="AY12" s="56">
        <f t="shared" ref="AY12" si="31">AY11-AY15</f>
        <v>0</v>
      </c>
    </row>
    <row r="13" spans="1:51" x14ac:dyDescent="0.3">
      <c r="A13" s="29"/>
      <c r="B13" s="2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</row>
    <row r="14" spans="1:51" s="23" customFormat="1" x14ac:dyDescent="0.3">
      <c r="A14" s="37">
        <v>5.3</v>
      </c>
      <c r="B14" s="25" t="s">
        <v>159</v>
      </c>
      <c r="C14" s="56">
        <f>C15+C16+C17+C18+C19+C20+C21</f>
        <v>14919147</v>
      </c>
      <c r="D14" s="56">
        <f>D15+D16+D17+D18+D19+D20+D21</f>
        <v>42126680</v>
      </c>
      <c r="E14" s="56">
        <f t="shared" ref="E14:V14" si="32">E15+E16+E17+E18+E19+E20+E21</f>
        <v>43730082.25</v>
      </c>
      <c r="F14" s="56">
        <f t="shared" si="32"/>
        <v>43113720.859999999</v>
      </c>
      <c r="G14" s="56">
        <f t="shared" si="32"/>
        <v>42742429.060000002</v>
      </c>
      <c r="H14" s="56">
        <f t="shared" si="32"/>
        <v>44219941.160000004</v>
      </c>
      <c r="I14" s="56">
        <f t="shared" si="32"/>
        <v>47136049.029999994</v>
      </c>
      <c r="J14" s="56">
        <f t="shared" si="32"/>
        <v>44857157.859999999</v>
      </c>
      <c r="K14" s="56">
        <f t="shared" si="32"/>
        <v>45338099.059999995</v>
      </c>
      <c r="L14" s="56">
        <f t="shared" si="32"/>
        <v>44798873.770000003</v>
      </c>
      <c r="M14" s="56">
        <f t="shared" si="32"/>
        <v>45818953.170000002</v>
      </c>
      <c r="N14" s="56">
        <f t="shared" si="32"/>
        <v>47515378.57</v>
      </c>
      <c r="O14" s="56">
        <f t="shared" si="32"/>
        <v>48338581.369999997</v>
      </c>
      <c r="P14" s="56">
        <f t="shared" si="32"/>
        <v>52061320.770000003</v>
      </c>
      <c r="Q14" s="56">
        <f t="shared" si="32"/>
        <v>46872898</v>
      </c>
      <c r="R14" s="56">
        <f t="shared" si="32"/>
        <v>52008031.779999994</v>
      </c>
      <c r="S14" s="56">
        <f t="shared" si="32"/>
        <v>52299167.339999996</v>
      </c>
      <c r="T14" s="56">
        <f t="shared" si="32"/>
        <v>49255985.920000002</v>
      </c>
      <c r="U14" s="56">
        <f t="shared" si="32"/>
        <v>48209374.079999998</v>
      </c>
      <c r="V14" s="56">
        <f t="shared" si="32"/>
        <v>49725531.5</v>
      </c>
      <c r="W14" s="56">
        <f t="shared" ref="W14" si="33">W15+W16+W17+W18+W19+W20+W21</f>
        <v>49500610.529999994</v>
      </c>
      <c r="X14" s="56">
        <f t="shared" ref="X14" si="34">X15+X16+X17+X18+X19+X20+X21</f>
        <v>53498984.140000001</v>
      </c>
      <c r="Y14" s="56">
        <f t="shared" ref="Y14" si="35">Y15+Y16+Y17+Y18+Y19+Y20+Y21</f>
        <v>54317708.129999995</v>
      </c>
      <c r="Z14" s="56">
        <f t="shared" ref="Z14" si="36">Z15+Z16+Z17+Z18+Z19+Z20+Z21</f>
        <v>55510123.239999995</v>
      </c>
      <c r="AA14" s="56">
        <f t="shared" ref="AA14" si="37">AA15+AA16+AA17+AA18+AA19+AA20+AA21</f>
        <v>56520542.140000001</v>
      </c>
      <c r="AB14" s="56">
        <f t="shared" ref="AB14" si="38">AB15+AB16+AB17+AB18+AB19+AB20+AB21</f>
        <v>57510711.590000004</v>
      </c>
      <c r="AC14" s="56">
        <f t="shared" ref="AC14" si="39">AC15+AC16+AC17+AC18+AC19+AC20+AC21</f>
        <v>56933515.810000002</v>
      </c>
      <c r="AD14" s="56">
        <f t="shared" ref="AD14" si="40">AD15+AD16+AD17+AD18+AD19+AD20+AD21</f>
        <v>52478953</v>
      </c>
      <c r="AE14" s="56">
        <f t="shared" ref="AE14" si="41">AE15+AE16+AE17+AE18+AE19+AE20+AE21</f>
        <v>58836449.730000004</v>
      </c>
      <c r="AF14" s="56">
        <f t="shared" ref="AF14" si="42">AF15+AF16+AF17+AF18+AF19+AF20+AF21</f>
        <v>56671140.289999999</v>
      </c>
      <c r="AG14" s="56">
        <f t="shared" ref="AG14" si="43">AG15+AG16+AG17+AG18+AG19+AG20+AG21</f>
        <v>56932277.789999999</v>
      </c>
      <c r="AH14" s="56">
        <f t="shared" ref="AH14" si="44">AH15+AH16+AH17+AH18+AH19+AH20+AH21</f>
        <v>57315308.640000001</v>
      </c>
      <c r="AI14" s="56">
        <f t="shared" ref="AI14" si="45">AI15+AI16+AI17+AI18+AI19+AI20+AI21</f>
        <v>57568313.189999998</v>
      </c>
      <c r="AJ14" s="56">
        <f t="shared" ref="AJ14" si="46">AJ15+AJ16+AJ17+AJ18+AJ19+AJ20+AJ21</f>
        <v>0</v>
      </c>
      <c r="AK14" s="56">
        <f t="shared" ref="AK14" si="47">AK15+AK16+AK17+AK18+AK19+AK20+AK21</f>
        <v>0</v>
      </c>
      <c r="AL14" s="56">
        <f t="shared" ref="AL14" si="48">AL15+AL16+AL17+AL18+AL19+AL20+AL21</f>
        <v>0</v>
      </c>
      <c r="AM14" s="56">
        <f t="shared" ref="AM14:AN14" si="49">AM15+AM16+AM17+AM18+AM19+AM20+AM21</f>
        <v>0</v>
      </c>
      <c r="AN14" s="56">
        <f t="shared" si="49"/>
        <v>0</v>
      </c>
      <c r="AO14" s="56">
        <f t="shared" ref="AO14" si="50">AO15+AO16+AO17+AO18+AO19+AO20+AO21</f>
        <v>0</v>
      </c>
      <c r="AP14" s="56">
        <f t="shared" ref="AP14" si="51">AP15+AP16+AP17+AP18+AP19+AP20+AP21</f>
        <v>0</v>
      </c>
      <c r="AQ14" s="56">
        <f t="shared" ref="AQ14" si="52">AQ15+AQ16+AQ17+AQ18+AQ19+AQ20+AQ21</f>
        <v>0</v>
      </c>
      <c r="AR14" s="56">
        <f t="shared" ref="AR14" si="53">AR15+AR16+AR17+AR18+AR19+AR20+AR21</f>
        <v>0</v>
      </c>
      <c r="AS14" s="56">
        <f t="shared" ref="AS14" si="54">AS15+AS16+AS17+AS18+AS19+AS20+AS21</f>
        <v>0</v>
      </c>
      <c r="AT14" s="56">
        <f t="shared" ref="AT14" si="55">AT15+AT16+AT17+AT18+AT19+AT20+AT21</f>
        <v>0</v>
      </c>
      <c r="AU14" s="56">
        <f t="shared" ref="AU14" si="56">AU15+AU16+AU17+AU18+AU19+AU20+AU21</f>
        <v>0</v>
      </c>
      <c r="AV14" s="56">
        <f t="shared" ref="AV14" si="57">AV15+AV16+AV17+AV18+AV19+AV20+AV21</f>
        <v>0</v>
      </c>
      <c r="AW14" s="56">
        <f t="shared" ref="AW14" si="58">AW15+AW16+AW17+AW18+AW19+AW20+AW21</f>
        <v>0</v>
      </c>
      <c r="AX14" s="56">
        <f t="shared" ref="AX14" si="59">AX15+AX16+AX17+AX18+AX19+AX20+AX21</f>
        <v>0</v>
      </c>
      <c r="AY14" s="56">
        <f t="shared" ref="AY14" si="60">AY15+AY16+AY17+AY18+AY19+AY20+AY21</f>
        <v>0</v>
      </c>
    </row>
    <row r="15" spans="1:51" x14ac:dyDescent="0.3">
      <c r="A15" s="29" t="s">
        <v>160</v>
      </c>
      <c r="B15" s="30" t="s">
        <v>161</v>
      </c>
      <c r="C15" s="55">
        <f>'Evolutive SFP'!B39</f>
        <v>10494697</v>
      </c>
      <c r="D15" s="55">
        <f>'Evolutive SFP'!C39</f>
        <v>20354392</v>
      </c>
      <c r="E15" s="55">
        <f>'Evolutive SFP'!D39</f>
        <v>20409827.32</v>
      </c>
      <c r="F15" s="55">
        <f>'Evolutive SFP'!E39</f>
        <v>20503312.02</v>
      </c>
      <c r="G15" s="55">
        <f>'Evolutive SFP'!F39</f>
        <v>20818309.120000001</v>
      </c>
      <c r="H15" s="55">
        <f>'Evolutive SFP'!G39</f>
        <v>21386718.420000002</v>
      </c>
      <c r="I15" s="55">
        <f>'Evolutive SFP'!H39</f>
        <v>21646521.52</v>
      </c>
      <c r="J15" s="55">
        <f>'Evolutive SFP'!I39</f>
        <v>21819582.52</v>
      </c>
      <c r="K15" s="55">
        <f>'Evolutive SFP'!J39</f>
        <v>22004383.52</v>
      </c>
      <c r="L15" s="55">
        <f>'Evolutive SFP'!K39</f>
        <v>22196118.530000001</v>
      </c>
      <c r="M15" s="55">
        <f>'Evolutive SFP'!L39</f>
        <v>22378767.030000001</v>
      </c>
      <c r="N15" s="55">
        <f>'Evolutive SFP'!M39</f>
        <v>22474919.030000001</v>
      </c>
      <c r="O15" s="55">
        <f>'Evolutive SFP'!N39</f>
        <v>22686914.329999998</v>
      </c>
      <c r="P15" s="55">
        <f>'Evolutive SFP'!O39</f>
        <v>22976845.93</v>
      </c>
      <c r="Q15" s="55">
        <f>'Evolutive SFP'!P39</f>
        <v>22976846</v>
      </c>
      <c r="R15" s="55">
        <f>'Evolutive SFP'!Q39</f>
        <v>23140804.129999999</v>
      </c>
      <c r="S15" s="55">
        <f>'Evolutive SFP'!R39</f>
        <v>23269757.129999999</v>
      </c>
      <c r="T15" s="55">
        <f>'Evolutive SFP'!S39</f>
        <v>23443263.579999998</v>
      </c>
      <c r="U15" s="55">
        <f>'Evolutive SFP'!T39</f>
        <v>23613531.780000001</v>
      </c>
      <c r="V15" s="55">
        <f>'Evolutive SFP'!U39</f>
        <v>23856890.780000001</v>
      </c>
      <c r="W15" s="55">
        <f>'Evolutive SFP'!V39</f>
        <v>24046290.879999999</v>
      </c>
      <c r="X15" s="55">
        <f>'Evolutive SFP'!W39</f>
        <v>26611792.829999998</v>
      </c>
      <c r="Y15" s="55">
        <f>'Evolutive SFP'!X39</f>
        <v>26858915.379999999</v>
      </c>
      <c r="Z15" s="55">
        <f>'Evolutive SFP'!Y39</f>
        <v>27115705.489999998</v>
      </c>
      <c r="AA15" s="55">
        <f>'Evolutive SFP'!Z39</f>
        <v>27303775.59</v>
      </c>
      <c r="AB15" s="55">
        <f>'Evolutive SFP'!AA39</f>
        <v>27562238.34</v>
      </c>
      <c r="AC15" s="55">
        <f>'Evolutive SFP'!AB39</f>
        <v>27792648.890000001</v>
      </c>
      <c r="AD15" s="55">
        <f>'Evolutive SFP'!AC39</f>
        <v>27792649</v>
      </c>
      <c r="AE15" s="55">
        <f>'Evolutive SFP'!AD39</f>
        <v>28258881.059999999</v>
      </c>
      <c r="AF15" s="55">
        <f>'Evolutive SFP'!AE39</f>
        <v>28590363.859999999</v>
      </c>
      <c r="AG15" s="55">
        <f>'Evolutive SFP'!AF39</f>
        <v>28888313.859999999</v>
      </c>
      <c r="AH15" s="55">
        <f>'Evolutive SFP'!AG39</f>
        <v>29099239.609999999</v>
      </c>
      <c r="AI15" s="55">
        <f>'Evolutive SFP'!AH39</f>
        <v>29296146.66</v>
      </c>
      <c r="AJ15" s="55">
        <f>'Evolutive SFP'!AI39</f>
        <v>0</v>
      </c>
      <c r="AK15" s="55">
        <f>'Evolutive SFP'!AJ39</f>
        <v>0</v>
      </c>
      <c r="AL15" s="55">
        <f>'Evolutive SFP'!AK39</f>
        <v>0</v>
      </c>
      <c r="AM15" s="55">
        <f>'Evolutive SFP'!AL39</f>
        <v>0</v>
      </c>
      <c r="AN15" s="55">
        <f>'Evolutive SFP'!AM39</f>
        <v>0</v>
      </c>
      <c r="AO15" s="55">
        <f>'Evolutive SFP'!AN39</f>
        <v>0</v>
      </c>
      <c r="AP15" s="55">
        <f>'Evolutive SFP'!AO39</f>
        <v>0</v>
      </c>
      <c r="AQ15" s="55">
        <f>'Evolutive SFP'!AP39</f>
        <v>0</v>
      </c>
      <c r="AR15" s="55">
        <f>'Evolutive SFP'!AQ39</f>
        <v>0</v>
      </c>
      <c r="AS15" s="55">
        <f>'Evolutive SFP'!AR39</f>
        <v>0</v>
      </c>
      <c r="AT15" s="55">
        <f>'Evolutive SFP'!AS39</f>
        <v>0</v>
      </c>
      <c r="AU15" s="55">
        <f>'Evolutive SFP'!AT39</f>
        <v>0</v>
      </c>
      <c r="AV15" s="55">
        <f>'Evolutive SFP'!AU39</f>
        <v>0</v>
      </c>
      <c r="AW15" s="55">
        <f>'Evolutive SFP'!AV39</f>
        <v>0</v>
      </c>
      <c r="AX15" s="55">
        <f>'Evolutive SFP'!AW39</f>
        <v>0</v>
      </c>
      <c r="AY15" s="55">
        <f>'Evolutive SFP'!AX39</f>
        <v>0</v>
      </c>
    </row>
    <row r="16" spans="1:51" x14ac:dyDescent="0.3">
      <c r="A16" s="29" t="s">
        <v>162</v>
      </c>
      <c r="B16" s="31" t="s">
        <v>163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</row>
    <row r="17" spans="1:51" x14ac:dyDescent="0.3">
      <c r="A17" s="29" t="s">
        <v>164</v>
      </c>
      <c r="B17" s="28" t="s">
        <v>165</v>
      </c>
      <c r="C17" s="55">
        <f>'Evolutive SFP'!B41</f>
        <v>351220</v>
      </c>
      <c r="D17" s="55">
        <f>'Evolutive SFP'!C41</f>
        <v>3557811</v>
      </c>
      <c r="E17" s="55">
        <f>'Evolutive SFP'!D41</f>
        <v>15121446.84</v>
      </c>
      <c r="F17" s="55">
        <f>'Evolutive SFP'!E41</f>
        <v>14903354.25</v>
      </c>
      <c r="G17" s="55">
        <f>'Evolutive SFP'!F41</f>
        <v>14903354.25</v>
      </c>
      <c r="H17" s="55">
        <f>'Evolutive SFP'!G41</f>
        <v>14903354.25</v>
      </c>
      <c r="I17" s="55">
        <f>'Evolutive SFP'!H41</f>
        <v>14903354.25</v>
      </c>
      <c r="J17" s="55">
        <f>'Evolutive SFP'!I41</f>
        <v>14903354.25</v>
      </c>
      <c r="K17" s="55">
        <f>'Evolutive SFP'!J41</f>
        <v>14903354.25</v>
      </c>
      <c r="L17" s="55">
        <f>'Evolutive SFP'!K41</f>
        <v>14903354.25</v>
      </c>
      <c r="M17" s="55">
        <f>'Evolutive SFP'!L41</f>
        <v>14903354.25</v>
      </c>
      <c r="N17" s="55">
        <f>'Evolutive SFP'!M41</f>
        <v>14903354.25</v>
      </c>
      <c r="O17" s="55">
        <f>'Evolutive SFP'!N41</f>
        <v>14903354.25</v>
      </c>
      <c r="P17" s="55">
        <f>'Evolutive SFP'!O41</f>
        <v>14903354.25</v>
      </c>
      <c r="Q17" s="55">
        <f>'Evolutive SFP'!P41</f>
        <v>14862025</v>
      </c>
      <c r="R17" s="55">
        <f>'Evolutive SFP'!Q41</f>
        <v>21838345.859999999</v>
      </c>
      <c r="S17" s="55">
        <f>'Evolutive SFP'!R41</f>
        <v>21838345.859999999</v>
      </c>
      <c r="T17" s="55">
        <f>'Evolutive SFP'!S41</f>
        <v>18140370.859999999</v>
      </c>
      <c r="U17" s="55">
        <f>'Evolutive SFP'!T41</f>
        <v>16019589.4</v>
      </c>
      <c r="V17" s="55">
        <f>'Evolutive SFP'!U41</f>
        <v>16066589.33</v>
      </c>
      <c r="W17" s="55">
        <f>'Evolutive SFP'!V41</f>
        <v>16063848.859999999</v>
      </c>
      <c r="X17" s="55">
        <f>'Evolutive SFP'!W41</f>
        <v>16070380.32</v>
      </c>
      <c r="Y17" s="55">
        <f>'Evolutive SFP'!X41</f>
        <v>16063848.859999999</v>
      </c>
      <c r="Z17" s="55">
        <f>'Evolutive SFP'!Y41</f>
        <v>16063848.859999999</v>
      </c>
      <c r="AA17" s="55">
        <f>'Evolutive SFP'!Z41</f>
        <v>16016356.859999999</v>
      </c>
      <c r="AB17" s="55">
        <f>'Evolutive SFP'!AA41</f>
        <v>16016356.859999999</v>
      </c>
      <c r="AC17" s="55">
        <f>'Evolutive SFP'!AB41</f>
        <v>16016356.859999999</v>
      </c>
      <c r="AD17" s="55">
        <f>'Evolutive SFP'!AC41</f>
        <v>16015500</v>
      </c>
      <c r="AE17" s="55">
        <f>'Evolutive SFP'!AD41</f>
        <v>20349705.5</v>
      </c>
      <c r="AF17" s="55">
        <f>'Evolutive SFP'!AE41</f>
        <v>16006369.640000001</v>
      </c>
      <c r="AG17" s="55">
        <f>'Evolutive SFP'!AF41</f>
        <v>16006369.640000001</v>
      </c>
      <c r="AH17" s="55">
        <f>'Evolutive SFP'!AG41</f>
        <v>16006369.640000001</v>
      </c>
      <c r="AI17" s="55">
        <f>'Evolutive SFP'!AH41</f>
        <v>16006369.640000001</v>
      </c>
      <c r="AJ17" s="55">
        <f>'Evolutive SFP'!AI41</f>
        <v>0</v>
      </c>
      <c r="AK17" s="55">
        <f>'Evolutive SFP'!AJ41</f>
        <v>0</v>
      </c>
      <c r="AL17" s="55">
        <f>'Evolutive SFP'!AK41</f>
        <v>0</v>
      </c>
      <c r="AM17" s="55">
        <f>'Evolutive SFP'!AL41</f>
        <v>0</v>
      </c>
      <c r="AN17" s="55">
        <f>'Evolutive SFP'!AM41</f>
        <v>0</v>
      </c>
      <c r="AO17" s="55">
        <f>'Evolutive SFP'!AN41</f>
        <v>0</v>
      </c>
      <c r="AP17" s="55">
        <f>'Evolutive SFP'!AO41</f>
        <v>0</v>
      </c>
      <c r="AQ17" s="55">
        <f>'Evolutive SFP'!AP41</f>
        <v>0</v>
      </c>
      <c r="AR17" s="55">
        <f>'Evolutive SFP'!AQ41</f>
        <v>0</v>
      </c>
      <c r="AS17" s="55">
        <f>'Evolutive SFP'!AR41</f>
        <v>0</v>
      </c>
      <c r="AT17" s="55">
        <f>'Evolutive SFP'!AS41</f>
        <v>0</v>
      </c>
      <c r="AU17" s="55">
        <f>'Evolutive SFP'!AT41</f>
        <v>0</v>
      </c>
      <c r="AV17" s="55">
        <f>'Evolutive SFP'!AU41</f>
        <v>0</v>
      </c>
      <c r="AW17" s="55">
        <f>'Evolutive SFP'!AV41</f>
        <v>0</v>
      </c>
      <c r="AX17" s="55">
        <f>'Evolutive SFP'!AW41</f>
        <v>0</v>
      </c>
      <c r="AY17" s="55">
        <f>'Evolutive SFP'!AX41</f>
        <v>0</v>
      </c>
    </row>
    <row r="18" spans="1:51" x14ac:dyDescent="0.3">
      <c r="A18" s="29" t="s">
        <v>166</v>
      </c>
      <c r="B18" s="28" t="s">
        <v>167</v>
      </c>
      <c r="C18" s="55">
        <f>'Evolutive SFP'!B42</f>
        <v>3541956</v>
      </c>
      <c r="D18" s="55">
        <f>'Evolutive SFP'!C42</f>
        <v>11304214</v>
      </c>
      <c r="E18" s="55">
        <f>'Evolutive SFP'!D42</f>
        <v>1999765.2</v>
      </c>
      <c r="F18" s="55">
        <f>'Evolutive SFP'!E42</f>
        <v>796449.7</v>
      </c>
      <c r="G18" s="55">
        <f>'Evolutive SFP'!F42</f>
        <v>110660.8</v>
      </c>
      <c r="H18" s="55">
        <f>'Evolutive SFP'!G42</f>
        <v>1019263.6</v>
      </c>
      <c r="I18" s="55">
        <f>'Evolutive SFP'!H42</f>
        <v>3675568.41</v>
      </c>
      <c r="J18" s="55">
        <f>'Evolutive SFP'!I42</f>
        <v>1223616.2</v>
      </c>
      <c r="K18" s="55">
        <f>'Evolutive SFP'!J42</f>
        <v>1519756.4</v>
      </c>
      <c r="L18" s="55">
        <f>'Evolutive SFP'!K42</f>
        <v>788796.1</v>
      </c>
      <c r="M18" s="55">
        <f>'Evolutive SFP'!L42</f>
        <v>1622544.4</v>
      </c>
      <c r="N18" s="55">
        <f>'Evolutive SFP'!M42</f>
        <v>3226500.4</v>
      </c>
      <c r="O18" s="55">
        <f>'Evolutive SFP'!N42</f>
        <v>3837707.9</v>
      </c>
      <c r="P18" s="55">
        <f>'Evolutive SFP'!O42</f>
        <v>7270515.7000000002</v>
      </c>
      <c r="Q18" s="55">
        <f>'Evolutive SFP'!P42</f>
        <v>1153474</v>
      </c>
      <c r="R18" s="55">
        <f>'Evolutive SFP'!Q42</f>
        <v>118618.9</v>
      </c>
      <c r="S18" s="55">
        <f>'Evolutive SFP'!R42</f>
        <v>280801.46000000002</v>
      </c>
      <c r="T18" s="55">
        <f>'Evolutive SFP'!S42</f>
        <v>-208201.4</v>
      </c>
      <c r="U18" s="55">
        <f>'Evolutive SFP'!T42</f>
        <v>695700.1</v>
      </c>
      <c r="V18" s="55">
        <f>'Evolutive SFP'!U42</f>
        <v>1921498.5</v>
      </c>
      <c r="W18" s="55">
        <f>'Evolutive SFP'!V42</f>
        <v>1509917.9</v>
      </c>
      <c r="X18" s="55">
        <f>'Evolutive SFP'!W42</f>
        <v>2936258.1</v>
      </c>
      <c r="Y18" s="55">
        <f>'Evolutive SFP'!X42</f>
        <v>3514391</v>
      </c>
      <c r="Z18" s="55">
        <f>'Evolutive SFP'!Y42</f>
        <v>4450016</v>
      </c>
      <c r="AA18" s="55">
        <f>'Evolutive SFP'!Z42</f>
        <v>5319856.8</v>
      </c>
      <c r="AB18" s="55">
        <f>'Evolutive SFP'!AA42</f>
        <v>6051563.5</v>
      </c>
      <c r="AC18" s="55">
        <f>'Evolutive SFP'!AB42</f>
        <v>5243957.17</v>
      </c>
      <c r="AD18" s="55">
        <f>'Evolutive SFP'!AC42</f>
        <v>-9988</v>
      </c>
      <c r="AE18" s="55">
        <f>'Evolutive SFP'!AD42</f>
        <v>2347310.2799999998</v>
      </c>
      <c r="AF18" s="55">
        <f>'Evolutive SFP'!AE42</f>
        <v>3393614.9</v>
      </c>
      <c r="AG18" s="55">
        <f>'Evolutive SFP'!AF42</f>
        <v>3356802.4</v>
      </c>
      <c r="AH18" s="55">
        <f>'Evolutive SFP'!AG42</f>
        <v>3528907.5</v>
      </c>
      <c r="AI18" s="55">
        <f>'Evolutive SFP'!AH42</f>
        <v>3585005</v>
      </c>
      <c r="AJ18" s="55">
        <f>'Evolutive SFP'!AI42</f>
        <v>0</v>
      </c>
      <c r="AK18" s="55">
        <f>'Evolutive SFP'!AJ42</f>
        <v>0</v>
      </c>
      <c r="AL18" s="55">
        <f>'Evolutive SFP'!AK42</f>
        <v>0</v>
      </c>
      <c r="AM18" s="55">
        <f>'Evolutive SFP'!AL42</f>
        <v>0</v>
      </c>
      <c r="AN18" s="55">
        <f>'Evolutive SFP'!AM42</f>
        <v>0</v>
      </c>
      <c r="AO18" s="55">
        <f>'Evolutive SFP'!AN42</f>
        <v>0</v>
      </c>
      <c r="AP18" s="55">
        <f>'Evolutive SFP'!AO42</f>
        <v>0</v>
      </c>
      <c r="AQ18" s="55">
        <f>'Evolutive SFP'!AP42</f>
        <v>0</v>
      </c>
      <c r="AR18" s="55">
        <f>'Evolutive SFP'!AQ42</f>
        <v>0</v>
      </c>
      <c r="AS18" s="55">
        <f>'Evolutive SFP'!AR42</f>
        <v>0</v>
      </c>
      <c r="AT18" s="55">
        <f>'Evolutive SFP'!AS42</f>
        <v>0</v>
      </c>
      <c r="AU18" s="55">
        <f>'Evolutive SFP'!AT42</f>
        <v>0</v>
      </c>
      <c r="AV18" s="55">
        <f>'Evolutive SFP'!AU42</f>
        <v>0</v>
      </c>
      <c r="AW18" s="55">
        <f>'Evolutive SFP'!AV42</f>
        <v>0</v>
      </c>
      <c r="AX18" s="55">
        <f>'Evolutive SFP'!AW42</f>
        <v>0</v>
      </c>
      <c r="AY18" s="55">
        <f>'Evolutive SFP'!AX42</f>
        <v>0</v>
      </c>
    </row>
    <row r="19" spans="1:51" x14ac:dyDescent="0.3">
      <c r="A19" s="29" t="s">
        <v>168</v>
      </c>
      <c r="B19" s="28" t="s">
        <v>42</v>
      </c>
      <c r="C19" s="55">
        <f>'Evolutive SFP'!B43</f>
        <v>531274</v>
      </c>
      <c r="D19" s="55">
        <f>'Evolutive SFP'!C43</f>
        <v>6683483</v>
      </c>
      <c r="E19" s="55">
        <f>'Evolutive SFP'!D43</f>
        <v>5972263.04</v>
      </c>
      <c r="F19" s="55">
        <f>'Evolutive SFP'!E43</f>
        <v>6683825.04</v>
      </c>
      <c r="G19" s="55">
        <f>'Evolutive SFP'!F43</f>
        <v>6683325.04</v>
      </c>
      <c r="H19" s="55">
        <f>'Evolutive SFP'!G43</f>
        <v>6683825.04</v>
      </c>
      <c r="I19" s="55">
        <f>'Evolutive SFP'!H43</f>
        <v>6683825</v>
      </c>
      <c r="J19" s="55">
        <f>'Evolutive SFP'!I43</f>
        <v>6683825.04</v>
      </c>
      <c r="K19" s="55">
        <f>'Evolutive SFP'!J43</f>
        <v>6683825.04</v>
      </c>
      <c r="L19" s="55">
        <f>'Evolutive SFP'!K43</f>
        <v>6683825.04</v>
      </c>
      <c r="M19" s="55">
        <f>'Evolutive SFP'!L43</f>
        <v>6683825.04</v>
      </c>
      <c r="N19" s="55">
        <f>'Evolutive SFP'!M43</f>
        <v>6683825.04</v>
      </c>
      <c r="O19" s="55">
        <f>'Evolutive SFP'!N43</f>
        <v>6683825.04</v>
      </c>
      <c r="P19" s="55">
        <f>'Evolutive SFP'!O43</f>
        <v>6683825.04</v>
      </c>
      <c r="Q19" s="55">
        <f>'Evolutive SFP'!P43</f>
        <v>7653773</v>
      </c>
      <c r="R19" s="55">
        <f>'Evolutive SFP'!Q43</f>
        <v>6683483.04</v>
      </c>
      <c r="S19" s="55">
        <f>'Evolutive SFP'!R43</f>
        <v>6683483.04</v>
      </c>
      <c r="T19" s="55">
        <f>'Evolutive SFP'!S43</f>
        <v>7653773.0300000003</v>
      </c>
      <c r="U19" s="55">
        <f>'Evolutive SFP'!T43</f>
        <v>7653773.04</v>
      </c>
      <c r="V19" s="55">
        <f>'Evolutive SFP'!U43</f>
        <v>7653773.04</v>
      </c>
      <c r="W19" s="55">
        <f>'Evolutive SFP'!V43</f>
        <v>7653773.04</v>
      </c>
      <c r="X19" s="55">
        <f>'Evolutive SFP'!W43</f>
        <v>7653773.04</v>
      </c>
      <c r="Y19" s="55">
        <f>'Evolutive SFP'!X43</f>
        <v>7653773.04</v>
      </c>
      <c r="Z19" s="55">
        <f>'Evolutive SFP'!Y43</f>
        <v>7653773.04</v>
      </c>
      <c r="AA19" s="55">
        <f>'Evolutive SFP'!Z43</f>
        <v>7653773.04</v>
      </c>
      <c r="AB19" s="55">
        <f>'Evolutive SFP'!AA43</f>
        <v>7653773.04</v>
      </c>
      <c r="AC19" s="55">
        <f>'Evolutive SFP'!AB43</f>
        <v>7653773.04</v>
      </c>
      <c r="AD19" s="55">
        <f>'Evolutive SFP'!AC43</f>
        <v>8454012</v>
      </c>
      <c r="AE19" s="55">
        <f>'Evolutive SFP'!AD43</f>
        <v>7653773.04</v>
      </c>
      <c r="AF19" s="55">
        <f>'Evolutive SFP'!AE43</f>
        <v>8454012.0399999991</v>
      </c>
      <c r="AG19" s="55">
        <f>'Evolutive SFP'!AF43</f>
        <v>8454012.0399999991</v>
      </c>
      <c r="AH19" s="55">
        <f>'Evolutive SFP'!AG43</f>
        <v>8454012.0399999991</v>
      </c>
      <c r="AI19" s="55">
        <f>'Evolutive SFP'!AH43</f>
        <v>8454012.0399999991</v>
      </c>
      <c r="AJ19" s="55">
        <f>'Evolutive SFP'!AI43</f>
        <v>0</v>
      </c>
      <c r="AK19" s="55">
        <f>'Evolutive SFP'!AJ43</f>
        <v>0</v>
      </c>
      <c r="AL19" s="55">
        <f>'Evolutive SFP'!AK43</f>
        <v>0</v>
      </c>
      <c r="AM19" s="55">
        <f>'Evolutive SFP'!AL43</f>
        <v>0</v>
      </c>
      <c r="AN19" s="55">
        <f>'Evolutive SFP'!AM43</f>
        <v>0</v>
      </c>
      <c r="AO19" s="55">
        <f>'Evolutive SFP'!AN43</f>
        <v>0</v>
      </c>
      <c r="AP19" s="55">
        <f>'Evolutive SFP'!AO43</f>
        <v>0</v>
      </c>
      <c r="AQ19" s="55">
        <f>'Evolutive SFP'!AP43</f>
        <v>0</v>
      </c>
      <c r="AR19" s="55">
        <f>'Evolutive SFP'!AQ43</f>
        <v>0</v>
      </c>
      <c r="AS19" s="55">
        <f>'Evolutive SFP'!AR43</f>
        <v>0</v>
      </c>
      <c r="AT19" s="55">
        <f>'Evolutive SFP'!AS43</f>
        <v>0</v>
      </c>
      <c r="AU19" s="55">
        <f>'Evolutive SFP'!AT43</f>
        <v>0</v>
      </c>
      <c r="AV19" s="55">
        <f>'Evolutive SFP'!AU43</f>
        <v>0</v>
      </c>
      <c r="AW19" s="55">
        <f>'Evolutive SFP'!AV43</f>
        <v>0</v>
      </c>
      <c r="AX19" s="55">
        <f>'Evolutive SFP'!AW43</f>
        <v>0</v>
      </c>
      <c r="AY19" s="55">
        <f>'Evolutive SFP'!AX43</f>
        <v>0</v>
      </c>
    </row>
    <row r="20" spans="1:51" x14ac:dyDescent="0.3">
      <c r="A20" s="29" t="s">
        <v>169</v>
      </c>
      <c r="B20" s="28" t="s">
        <v>170</v>
      </c>
      <c r="C20" s="55">
        <f>('Evolutive SFP'!B44)</f>
        <v>0</v>
      </c>
      <c r="D20" s="55">
        <f>('Evolutive SFP'!C44)</f>
        <v>226780</v>
      </c>
      <c r="E20" s="55">
        <f>('Evolutive SFP'!D44)</f>
        <v>226779.85</v>
      </c>
      <c r="F20" s="55">
        <f>('Evolutive SFP'!E44)</f>
        <v>226779.85</v>
      </c>
      <c r="G20" s="55">
        <f>('Evolutive SFP'!F44)</f>
        <v>226779.85</v>
      </c>
      <c r="H20" s="55">
        <f>('Evolutive SFP'!G44)</f>
        <v>226779.85</v>
      </c>
      <c r="I20" s="55">
        <f>('Evolutive SFP'!H44)</f>
        <v>226779.85</v>
      </c>
      <c r="J20" s="55">
        <f>('Evolutive SFP'!I44)</f>
        <v>226779.85</v>
      </c>
      <c r="K20" s="55">
        <f>('Evolutive SFP'!J44)</f>
        <v>226779.85</v>
      </c>
      <c r="L20" s="55">
        <f>('Evolutive SFP'!K44)</f>
        <v>226779.85</v>
      </c>
      <c r="M20" s="55">
        <f>('Evolutive SFP'!L44)</f>
        <v>226779.85</v>
      </c>
      <c r="N20" s="55">
        <f>('Evolutive SFP'!M44)</f>
        <v>226779.85</v>
      </c>
      <c r="O20" s="55">
        <f>('Evolutive SFP'!N44)</f>
        <v>226779.85</v>
      </c>
      <c r="P20" s="55">
        <f>('Evolutive SFP'!O44)</f>
        <v>226779.85</v>
      </c>
      <c r="Q20" s="55">
        <f>('Evolutive SFP'!P44)</f>
        <v>226780</v>
      </c>
      <c r="R20" s="55">
        <f>('Evolutive SFP'!Q44)</f>
        <v>226779.85</v>
      </c>
      <c r="S20" s="55">
        <f>('Evolutive SFP'!R44)</f>
        <v>226779.85</v>
      </c>
      <c r="T20" s="55">
        <f>('Evolutive SFP'!S44)</f>
        <v>226779.85</v>
      </c>
      <c r="U20" s="55">
        <f>('Evolutive SFP'!T44)</f>
        <v>226779.76</v>
      </c>
      <c r="V20" s="55">
        <f>('Evolutive SFP'!U44)</f>
        <v>226779.85</v>
      </c>
      <c r="W20" s="55">
        <f>('Evolutive SFP'!V44)</f>
        <v>226779.85</v>
      </c>
      <c r="X20" s="55">
        <f>('Evolutive SFP'!W44)</f>
        <v>226779.85</v>
      </c>
      <c r="Y20" s="55">
        <f>('Evolutive SFP'!X44)</f>
        <v>226779.85</v>
      </c>
      <c r="Z20" s="55">
        <f>('Evolutive SFP'!Y44)</f>
        <v>226779.85</v>
      </c>
      <c r="AA20" s="55">
        <f>('Evolutive SFP'!Z44)</f>
        <v>226779.85</v>
      </c>
      <c r="AB20" s="55">
        <f>('Evolutive SFP'!AA44)</f>
        <v>226779.85</v>
      </c>
      <c r="AC20" s="55">
        <f>('Evolutive SFP'!AB44)</f>
        <v>226779.85</v>
      </c>
      <c r="AD20" s="55">
        <f>('Evolutive SFP'!AC44)</f>
        <v>226780</v>
      </c>
      <c r="AE20" s="55">
        <f>('Evolutive SFP'!AD44)</f>
        <v>226779.85</v>
      </c>
      <c r="AF20" s="55">
        <f>('Evolutive SFP'!AE44)</f>
        <v>226779.85</v>
      </c>
      <c r="AG20" s="55">
        <f>('Evolutive SFP'!AF44)</f>
        <v>226779.85</v>
      </c>
      <c r="AH20" s="55">
        <f>('Evolutive SFP'!AG44)</f>
        <v>226779.85</v>
      </c>
      <c r="AI20" s="55">
        <f>('Evolutive SFP'!AH44)</f>
        <v>226779.85</v>
      </c>
      <c r="AJ20" s="55">
        <f>('Evolutive SFP'!AI44)</f>
        <v>0</v>
      </c>
      <c r="AK20" s="55">
        <f>('Evolutive SFP'!AJ44)</f>
        <v>0</v>
      </c>
      <c r="AL20" s="55">
        <f>('Evolutive SFP'!AK44)</f>
        <v>0</v>
      </c>
      <c r="AM20" s="55">
        <f>('Evolutive SFP'!AL44)</f>
        <v>0</v>
      </c>
      <c r="AN20" s="55">
        <f>('Evolutive SFP'!AM44)</f>
        <v>0</v>
      </c>
      <c r="AO20" s="55">
        <f>('Evolutive SFP'!AN44)</f>
        <v>0</v>
      </c>
      <c r="AP20" s="55">
        <f>('Evolutive SFP'!AO44)</f>
        <v>0</v>
      </c>
      <c r="AQ20" s="55">
        <f>('Evolutive SFP'!AP44)</f>
        <v>0</v>
      </c>
      <c r="AR20" s="55">
        <f>('Evolutive SFP'!AQ44)</f>
        <v>0</v>
      </c>
      <c r="AS20" s="55">
        <f>('Evolutive SFP'!AR44)</f>
        <v>0</v>
      </c>
      <c r="AT20" s="55">
        <f>('Evolutive SFP'!AS44)</f>
        <v>0</v>
      </c>
      <c r="AU20" s="55">
        <f>('Evolutive SFP'!AT44)</f>
        <v>0</v>
      </c>
      <c r="AV20" s="55">
        <f>('Evolutive SFP'!AU44)</f>
        <v>0</v>
      </c>
      <c r="AW20" s="55">
        <f>('Evolutive SFP'!AV44)</f>
        <v>0</v>
      </c>
      <c r="AX20" s="55">
        <f>('Evolutive SFP'!AW44)</f>
        <v>0</v>
      </c>
      <c r="AY20" s="55">
        <f>('Evolutive SFP'!AX44)</f>
        <v>0</v>
      </c>
    </row>
    <row r="21" spans="1:51" x14ac:dyDescent="0.3">
      <c r="A21" s="29" t="s">
        <v>171</v>
      </c>
      <c r="B21" s="32" t="s">
        <v>172</v>
      </c>
      <c r="C21" s="55">
        <f>C22+C23</f>
        <v>0</v>
      </c>
      <c r="D21" s="55">
        <f>D22+D23</f>
        <v>0</v>
      </c>
      <c r="E21" s="55">
        <f t="shared" ref="E21:V21" si="61">E22+E23</f>
        <v>0</v>
      </c>
      <c r="F21" s="55">
        <f t="shared" si="61"/>
        <v>0</v>
      </c>
      <c r="G21" s="55">
        <f t="shared" si="61"/>
        <v>0</v>
      </c>
      <c r="H21" s="55">
        <f t="shared" si="61"/>
        <v>0</v>
      </c>
      <c r="I21" s="55">
        <f t="shared" si="61"/>
        <v>0</v>
      </c>
      <c r="J21" s="55">
        <f t="shared" si="61"/>
        <v>0</v>
      </c>
      <c r="K21" s="55">
        <f t="shared" si="61"/>
        <v>0</v>
      </c>
      <c r="L21" s="55">
        <f t="shared" si="61"/>
        <v>0</v>
      </c>
      <c r="M21" s="55">
        <f t="shared" si="61"/>
        <v>3682.6</v>
      </c>
      <c r="N21" s="55">
        <f t="shared" si="61"/>
        <v>0</v>
      </c>
      <c r="O21" s="55">
        <f t="shared" si="61"/>
        <v>0</v>
      </c>
      <c r="P21" s="55">
        <f t="shared" si="61"/>
        <v>0</v>
      </c>
      <c r="Q21" s="55">
        <f t="shared" si="61"/>
        <v>0</v>
      </c>
      <c r="R21" s="55">
        <f t="shared" si="61"/>
        <v>0</v>
      </c>
      <c r="S21" s="55">
        <f t="shared" si="61"/>
        <v>0</v>
      </c>
      <c r="T21" s="55">
        <f t="shared" si="61"/>
        <v>0</v>
      </c>
      <c r="U21" s="55">
        <f t="shared" si="61"/>
        <v>0</v>
      </c>
      <c r="V21" s="55">
        <f t="shared" si="61"/>
        <v>0</v>
      </c>
      <c r="W21" s="55">
        <f t="shared" ref="W21" si="62">W22+W23</f>
        <v>0</v>
      </c>
      <c r="X21" s="55">
        <f t="shared" ref="X21" si="63">X22+X23</f>
        <v>0</v>
      </c>
      <c r="Y21" s="55">
        <f t="shared" ref="Y21" si="64">Y22+Y23</f>
        <v>0</v>
      </c>
      <c r="Z21" s="55">
        <f t="shared" ref="Z21" si="65">Z22+Z23</f>
        <v>0</v>
      </c>
      <c r="AA21" s="55">
        <f t="shared" ref="AA21" si="66">AA22+AA23</f>
        <v>0</v>
      </c>
      <c r="AB21" s="55">
        <f t="shared" ref="AB21" si="67">AB22+AB23</f>
        <v>0</v>
      </c>
      <c r="AC21" s="55">
        <f t="shared" ref="AC21" si="68">AC22+AC23</f>
        <v>0</v>
      </c>
      <c r="AD21" s="55">
        <f t="shared" ref="AD21" si="69">AD22+AD23</f>
        <v>0</v>
      </c>
      <c r="AE21" s="55">
        <f t="shared" ref="AE21" si="70">AE22+AE23</f>
        <v>0</v>
      </c>
      <c r="AF21" s="55">
        <f t="shared" ref="AF21" si="71">AF22+AF23</f>
        <v>0</v>
      </c>
      <c r="AG21" s="55">
        <f t="shared" ref="AG21" si="72">AG22+AG23</f>
        <v>0</v>
      </c>
      <c r="AH21" s="55">
        <f t="shared" ref="AH21" si="73">AH22+AH23</f>
        <v>0</v>
      </c>
      <c r="AI21" s="55">
        <f t="shared" ref="AI21" si="74">AI22+AI23</f>
        <v>0</v>
      </c>
      <c r="AJ21" s="55">
        <f t="shared" ref="AJ21" si="75">AJ22+AJ23</f>
        <v>0</v>
      </c>
      <c r="AK21" s="55">
        <f t="shared" ref="AK21" si="76">AK22+AK23</f>
        <v>0</v>
      </c>
      <c r="AL21" s="55">
        <f t="shared" ref="AL21" si="77">AL22+AL23</f>
        <v>0</v>
      </c>
      <c r="AM21" s="55">
        <f t="shared" ref="AM21:AN21" si="78">AM22+AM23</f>
        <v>0</v>
      </c>
      <c r="AN21" s="55">
        <f t="shared" si="78"/>
        <v>0</v>
      </c>
      <c r="AO21" s="55">
        <f t="shared" ref="AO21" si="79">AO22+AO23</f>
        <v>0</v>
      </c>
      <c r="AP21" s="55">
        <f t="shared" ref="AP21" si="80">AP22+AP23</f>
        <v>0</v>
      </c>
      <c r="AQ21" s="55">
        <f t="shared" ref="AQ21" si="81">AQ22+AQ23</f>
        <v>0</v>
      </c>
      <c r="AR21" s="55">
        <f t="shared" ref="AR21" si="82">AR22+AR23</f>
        <v>0</v>
      </c>
      <c r="AS21" s="55">
        <f t="shared" ref="AS21" si="83">AS22+AS23</f>
        <v>0</v>
      </c>
      <c r="AT21" s="55">
        <f t="shared" ref="AT21" si="84">AT22+AT23</f>
        <v>0</v>
      </c>
      <c r="AU21" s="55">
        <f t="shared" ref="AU21" si="85">AU22+AU23</f>
        <v>0</v>
      </c>
      <c r="AV21" s="55">
        <f t="shared" ref="AV21" si="86">AV22+AV23</f>
        <v>0</v>
      </c>
      <c r="AW21" s="55">
        <f t="shared" ref="AW21" si="87">AW22+AW23</f>
        <v>0</v>
      </c>
      <c r="AX21" s="55">
        <f t="shared" ref="AX21" si="88">AX22+AX23</f>
        <v>0</v>
      </c>
      <c r="AY21" s="55">
        <f t="shared" ref="AY21" si="89">AY22+AY23</f>
        <v>0</v>
      </c>
    </row>
    <row r="22" spans="1:51" x14ac:dyDescent="0.3">
      <c r="A22" s="33" t="s">
        <v>173</v>
      </c>
      <c r="B22" s="28" t="s">
        <v>45</v>
      </c>
      <c r="C22" s="55">
        <f>'Evolutive SFP'!B46</f>
        <v>0</v>
      </c>
      <c r="D22" s="55">
        <f>'Evolutive SFP'!C46</f>
        <v>0</v>
      </c>
      <c r="E22" s="55">
        <f>'Evolutive SFP'!D46</f>
        <v>0</v>
      </c>
      <c r="F22" s="55">
        <f>'Evolutive SFP'!E46</f>
        <v>0</v>
      </c>
      <c r="G22" s="55">
        <f>'Evolutive SFP'!F46</f>
        <v>0</v>
      </c>
      <c r="H22" s="55">
        <f>'Evolutive SFP'!G46</f>
        <v>0</v>
      </c>
      <c r="I22" s="55">
        <f>'Evolutive SFP'!H46</f>
        <v>0</v>
      </c>
      <c r="J22" s="55">
        <f>'Evolutive SFP'!I46</f>
        <v>0</v>
      </c>
      <c r="K22" s="55">
        <f>'Evolutive SFP'!J46</f>
        <v>0</v>
      </c>
      <c r="L22" s="55">
        <f>'Evolutive SFP'!K46</f>
        <v>0</v>
      </c>
      <c r="M22" s="55">
        <f>'Evolutive SFP'!L46</f>
        <v>3682.6</v>
      </c>
      <c r="N22" s="55">
        <f>'Evolutive SFP'!M46</f>
        <v>0</v>
      </c>
      <c r="O22" s="55">
        <f>'Evolutive SFP'!N46</f>
        <v>0</v>
      </c>
      <c r="P22" s="55">
        <f>'Evolutive SFP'!O46</f>
        <v>0</v>
      </c>
      <c r="Q22" s="55">
        <f>'Evolutive SFP'!P46</f>
        <v>0</v>
      </c>
      <c r="R22" s="55">
        <f>'Evolutive SFP'!Q46</f>
        <v>0</v>
      </c>
      <c r="S22" s="55">
        <f>'Evolutive SFP'!R46</f>
        <v>0</v>
      </c>
      <c r="T22" s="55">
        <f>'Evolutive SFP'!S46</f>
        <v>0</v>
      </c>
      <c r="U22" s="55">
        <f>'Evolutive SFP'!T46</f>
        <v>0</v>
      </c>
      <c r="V22" s="55">
        <f>'Evolutive SFP'!U46</f>
        <v>0</v>
      </c>
      <c r="W22" s="55">
        <f>'Evolutive SFP'!V46</f>
        <v>0</v>
      </c>
      <c r="X22" s="55">
        <f>'Evolutive SFP'!W46</f>
        <v>0</v>
      </c>
      <c r="Y22" s="55">
        <f>'Evolutive SFP'!X46</f>
        <v>0</v>
      </c>
      <c r="Z22" s="55">
        <f>'Evolutive SFP'!Y46</f>
        <v>0</v>
      </c>
      <c r="AA22" s="55">
        <f>'Evolutive SFP'!Z46</f>
        <v>0</v>
      </c>
      <c r="AB22" s="55">
        <f>'Evolutive SFP'!AA46</f>
        <v>0</v>
      </c>
      <c r="AC22" s="55">
        <f>'Evolutive SFP'!AB46</f>
        <v>0</v>
      </c>
      <c r="AD22" s="55">
        <f>'Evolutive SFP'!AC46</f>
        <v>0</v>
      </c>
      <c r="AE22" s="55">
        <f>'Evolutive SFP'!AD46</f>
        <v>0</v>
      </c>
      <c r="AF22" s="55">
        <f>'Evolutive SFP'!AE46</f>
        <v>0</v>
      </c>
      <c r="AG22" s="55">
        <f>'Evolutive SFP'!AF46</f>
        <v>0</v>
      </c>
      <c r="AH22" s="55">
        <f>'Evolutive SFP'!AG46</f>
        <v>0</v>
      </c>
      <c r="AI22" s="55">
        <f>'Evolutive SFP'!AH46</f>
        <v>0</v>
      </c>
      <c r="AJ22" s="55">
        <f>'Evolutive SFP'!AI46</f>
        <v>0</v>
      </c>
      <c r="AK22" s="55">
        <f>'Evolutive SFP'!AJ46</f>
        <v>0</v>
      </c>
      <c r="AL22" s="55">
        <f>'Evolutive SFP'!AK46</f>
        <v>0</v>
      </c>
      <c r="AM22" s="55">
        <f>'Evolutive SFP'!AL46</f>
        <v>0</v>
      </c>
      <c r="AN22" s="55">
        <f>'Evolutive SFP'!AM46</f>
        <v>0</v>
      </c>
      <c r="AO22" s="55">
        <f>'Evolutive SFP'!AN46</f>
        <v>0</v>
      </c>
      <c r="AP22" s="55">
        <f>'Evolutive SFP'!AO46</f>
        <v>0</v>
      </c>
      <c r="AQ22" s="55">
        <f>'Evolutive SFP'!AP46</f>
        <v>0</v>
      </c>
      <c r="AR22" s="55">
        <f>'Evolutive SFP'!AQ46</f>
        <v>0</v>
      </c>
      <c r="AS22" s="55">
        <f>'Evolutive SFP'!AR46</f>
        <v>0</v>
      </c>
      <c r="AT22" s="55">
        <f>'Evolutive SFP'!AS46</f>
        <v>0</v>
      </c>
      <c r="AU22" s="55">
        <f>'Evolutive SFP'!AT46</f>
        <v>0</v>
      </c>
      <c r="AV22" s="55">
        <f>'Evolutive SFP'!AU46</f>
        <v>0</v>
      </c>
      <c r="AW22" s="55">
        <f>'Evolutive SFP'!AV46</f>
        <v>0</v>
      </c>
      <c r="AX22" s="55">
        <f>'Evolutive SFP'!AW46</f>
        <v>0</v>
      </c>
      <c r="AY22" s="55">
        <f>'Evolutive SFP'!AX46</f>
        <v>0</v>
      </c>
    </row>
    <row r="23" spans="1:51" x14ac:dyDescent="0.3">
      <c r="A23" s="33" t="s">
        <v>174</v>
      </c>
      <c r="B23" s="28" t="s">
        <v>175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</row>
    <row r="24" spans="1:51" x14ac:dyDescent="0.3">
      <c r="A24" s="27"/>
      <c r="B24" s="3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</row>
    <row r="25" spans="1:51" s="23" customFormat="1" x14ac:dyDescent="0.3">
      <c r="A25" s="37">
        <v>6</v>
      </c>
      <c r="B25" s="32" t="s">
        <v>176</v>
      </c>
      <c r="C25" s="56">
        <f>C26+C27+C28</f>
        <v>472260</v>
      </c>
      <c r="D25" s="56">
        <f>D26+D27+D28</f>
        <v>3322320</v>
      </c>
      <c r="E25" s="56">
        <f t="shared" ref="E25:V25" si="90">E26+E27+E28</f>
        <v>4219411.4000000004</v>
      </c>
      <c r="F25" s="56">
        <f t="shared" si="90"/>
        <v>3322320.4</v>
      </c>
      <c r="G25" s="56">
        <f t="shared" si="90"/>
        <v>3322320.4</v>
      </c>
      <c r="H25" s="56">
        <f t="shared" si="90"/>
        <v>3322320.4</v>
      </c>
      <c r="I25" s="56">
        <f t="shared" si="90"/>
        <v>3322320.4</v>
      </c>
      <c r="J25" s="56">
        <f t="shared" si="90"/>
        <v>3322320.4</v>
      </c>
      <c r="K25" s="56">
        <f t="shared" si="90"/>
        <v>3322320.4</v>
      </c>
      <c r="L25" s="56">
        <f t="shared" si="90"/>
        <v>3322320.4</v>
      </c>
      <c r="M25" s="56">
        <f t="shared" si="90"/>
        <v>3322320.4</v>
      </c>
      <c r="N25" s="56">
        <f t="shared" si="90"/>
        <v>3322320</v>
      </c>
      <c r="O25" s="56">
        <f t="shared" si="90"/>
        <v>3322320.4</v>
      </c>
      <c r="P25" s="56">
        <f t="shared" si="90"/>
        <v>3322320.4</v>
      </c>
      <c r="Q25" s="56">
        <f t="shared" si="90"/>
        <v>163185</v>
      </c>
      <c r="R25" s="56">
        <f t="shared" si="90"/>
        <v>3322320.4</v>
      </c>
      <c r="S25" s="56">
        <f t="shared" si="90"/>
        <v>3322320.4</v>
      </c>
      <c r="T25" s="56">
        <f t="shared" si="90"/>
        <v>3322320.4</v>
      </c>
      <c r="U25" s="56">
        <f t="shared" si="90"/>
        <v>3322320.4</v>
      </c>
      <c r="V25" s="56">
        <f t="shared" si="90"/>
        <v>3322320.4</v>
      </c>
      <c r="W25" s="56">
        <f t="shared" ref="W25" si="91">W26+W27+W28</f>
        <v>3322320.4</v>
      </c>
      <c r="X25" s="56">
        <f t="shared" ref="X25" si="92">X26+X27+X28</f>
        <v>3322320.4</v>
      </c>
      <c r="Y25" s="56">
        <f t="shared" ref="Y25" si="93">Y26+Y27+Y28</f>
        <v>3322320</v>
      </c>
      <c r="Z25" s="56">
        <f t="shared" ref="Z25" si="94">Z26+Z27+Z28</f>
        <v>3322320.4</v>
      </c>
      <c r="AA25" s="56">
        <f t="shared" ref="AA25" si="95">AA26+AA27+AA28</f>
        <v>3322320.4</v>
      </c>
      <c r="AB25" s="56">
        <f t="shared" ref="AB25" si="96">AB26+AB27+AB28</f>
        <v>3322320.4</v>
      </c>
      <c r="AC25" s="56">
        <f t="shared" ref="AC25" si="97">AC26+AC27+AC28</f>
        <v>3322320.4</v>
      </c>
      <c r="AD25" s="56">
        <f t="shared" ref="AD25" si="98">AD26+AD27+AD28</f>
        <v>163185</v>
      </c>
      <c r="AE25" s="56">
        <f t="shared" ref="AE25" si="99">AE26+AE27+AE28</f>
        <v>0</v>
      </c>
      <c r="AF25" s="56">
        <f t="shared" ref="AF25" si="100">AF26+AF27+AF28</f>
        <v>0</v>
      </c>
      <c r="AG25" s="56">
        <f t="shared" ref="AG25" si="101">AG26+AG27+AG28</f>
        <v>0</v>
      </c>
      <c r="AH25" s="56">
        <f t="shared" ref="AH25" si="102">AH26+AH27+AH28</f>
        <v>0</v>
      </c>
      <c r="AI25" s="56">
        <f t="shared" ref="AI25" si="103">AI26+AI27+AI28</f>
        <v>0</v>
      </c>
      <c r="AJ25" s="56">
        <f t="shared" ref="AJ25" si="104">AJ26+AJ27+AJ28</f>
        <v>0</v>
      </c>
      <c r="AK25" s="56">
        <f t="shared" ref="AK25" si="105">AK26+AK27+AK28</f>
        <v>0</v>
      </c>
      <c r="AL25" s="56">
        <f t="shared" ref="AL25" si="106">AL26+AL27+AL28</f>
        <v>0</v>
      </c>
      <c r="AM25" s="56">
        <f t="shared" ref="AM25:AN25" si="107">AM26+AM27+AM28</f>
        <v>0</v>
      </c>
      <c r="AN25" s="56">
        <f t="shared" si="107"/>
        <v>0</v>
      </c>
      <c r="AO25" s="56">
        <f t="shared" ref="AO25" si="108">AO26+AO27+AO28</f>
        <v>0</v>
      </c>
      <c r="AP25" s="56">
        <f t="shared" ref="AP25" si="109">AP26+AP27+AP28</f>
        <v>0</v>
      </c>
      <c r="AQ25" s="56">
        <f t="shared" ref="AQ25" si="110">AQ26+AQ27+AQ28</f>
        <v>0</v>
      </c>
      <c r="AR25" s="56">
        <f t="shared" ref="AR25" si="111">AR26+AR27+AR28</f>
        <v>0</v>
      </c>
      <c r="AS25" s="56">
        <f t="shared" ref="AS25" si="112">AS26+AS27+AS28</f>
        <v>0</v>
      </c>
      <c r="AT25" s="56">
        <f t="shared" ref="AT25" si="113">AT26+AT27+AT28</f>
        <v>0</v>
      </c>
      <c r="AU25" s="56">
        <f t="shared" ref="AU25" si="114">AU26+AU27+AU28</f>
        <v>0</v>
      </c>
      <c r="AV25" s="56">
        <f t="shared" ref="AV25" si="115">AV26+AV27+AV28</f>
        <v>0</v>
      </c>
      <c r="AW25" s="56">
        <f t="shared" ref="AW25" si="116">AW26+AW27+AW28</f>
        <v>0</v>
      </c>
      <c r="AX25" s="56">
        <f t="shared" ref="AX25" si="117">AX26+AX27+AX28</f>
        <v>0</v>
      </c>
      <c r="AY25" s="56">
        <f t="shared" ref="AY25" si="118">AY26+AY27+AY28</f>
        <v>0</v>
      </c>
    </row>
    <row r="26" spans="1:51" x14ac:dyDescent="0.3">
      <c r="A26" s="29">
        <v>6.1</v>
      </c>
      <c r="B26" s="28" t="s">
        <v>177</v>
      </c>
      <c r="C26" s="55">
        <f>'Evolutive SFP'!B13</f>
        <v>472260</v>
      </c>
      <c r="D26" s="55">
        <f>'Evolutive SFP'!C13</f>
        <v>154585</v>
      </c>
      <c r="E26" s="55">
        <f>'Evolutive SFP'!D13</f>
        <v>4219411.4000000004</v>
      </c>
      <c r="F26" s="55">
        <f>'Evolutive SFP'!E13</f>
        <v>3322320.4</v>
      </c>
      <c r="G26" s="55">
        <f>'Evolutive SFP'!F13</f>
        <v>3322320.4</v>
      </c>
      <c r="H26" s="55">
        <f>'Evolutive SFP'!G13</f>
        <v>3322320.4</v>
      </c>
      <c r="I26" s="55">
        <f>'Evolutive SFP'!H13</f>
        <v>3322320.4</v>
      </c>
      <c r="J26" s="55">
        <f>'Evolutive SFP'!I13</f>
        <v>3322320.4</v>
      </c>
      <c r="K26" s="55">
        <f>'Evolutive SFP'!J13</f>
        <v>3322320.4</v>
      </c>
      <c r="L26" s="55">
        <f>'Evolutive SFP'!K13</f>
        <v>3322320.4</v>
      </c>
      <c r="M26" s="55">
        <f>'Evolutive SFP'!L13</f>
        <v>3322320.4</v>
      </c>
      <c r="N26" s="55">
        <f>'Evolutive SFP'!M13</f>
        <v>3322320</v>
      </c>
      <c r="O26" s="55">
        <f>'Evolutive SFP'!N13</f>
        <v>3322320.4</v>
      </c>
      <c r="P26" s="55">
        <f>'Evolutive SFP'!O13</f>
        <v>3322320.4</v>
      </c>
      <c r="Q26" s="55">
        <f>'Evolutive SFP'!P13</f>
        <v>163185</v>
      </c>
      <c r="R26" s="55">
        <f>'Evolutive SFP'!Q13</f>
        <v>3322320.4</v>
      </c>
      <c r="S26" s="55">
        <f>'Evolutive SFP'!R13</f>
        <v>3322320.4</v>
      </c>
      <c r="T26" s="55">
        <f>'Evolutive SFP'!S13</f>
        <v>3322320.4</v>
      </c>
      <c r="U26" s="55">
        <f>'Evolutive SFP'!T13</f>
        <v>3322320.4</v>
      </c>
      <c r="V26" s="55">
        <f>'Evolutive SFP'!U13</f>
        <v>3322320.4</v>
      </c>
      <c r="W26" s="55">
        <f>'Evolutive SFP'!V13</f>
        <v>3322320.4</v>
      </c>
      <c r="X26" s="55">
        <f>'Evolutive SFP'!W13</f>
        <v>3322320.4</v>
      </c>
      <c r="Y26" s="55">
        <f>'Evolutive SFP'!X13</f>
        <v>3322320</v>
      </c>
      <c r="Z26" s="55">
        <f>'Evolutive SFP'!Y13</f>
        <v>3322320.4</v>
      </c>
      <c r="AA26" s="55">
        <f>'Evolutive SFP'!Z13</f>
        <v>3322320.4</v>
      </c>
      <c r="AB26" s="55">
        <f>'Evolutive SFP'!AA13</f>
        <v>3322320.4</v>
      </c>
      <c r="AC26" s="55">
        <f>'Evolutive SFP'!AB13</f>
        <v>3322320.4</v>
      </c>
      <c r="AD26" s="55">
        <f>'Evolutive SFP'!AC13</f>
        <v>163185</v>
      </c>
      <c r="AE26" s="55">
        <f>'Evolutive SFP'!AD13</f>
        <v>0</v>
      </c>
      <c r="AF26" s="55">
        <f>'Evolutive SFP'!AE13</f>
        <v>0</v>
      </c>
      <c r="AG26" s="55">
        <f>'Evolutive SFP'!AF13</f>
        <v>0</v>
      </c>
      <c r="AH26" s="55">
        <f>'Evolutive SFP'!AG13</f>
        <v>0</v>
      </c>
      <c r="AI26" s="55">
        <f>'Evolutive SFP'!AH13</f>
        <v>0</v>
      </c>
      <c r="AJ26" s="55">
        <f>'Evolutive SFP'!AI13</f>
        <v>0</v>
      </c>
      <c r="AK26" s="55">
        <f>'Evolutive SFP'!AJ13</f>
        <v>0</v>
      </c>
      <c r="AL26" s="55">
        <f>'Evolutive SFP'!AK13</f>
        <v>0</v>
      </c>
      <c r="AM26" s="55">
        <f>'Evolutive SFP'!AL13</f>
        <v>0</v>
      </c>
      <c r="AN26" s="55">
        <f>'Evolutive SFP'!AM13</f>
        <v>0</v>
      </c>
      <c r="AO26" s="55">
        <f>'Evolutive SFP'!AN13</f>
        <v>0</v>
      </c>
      <c r="AP26" s="55">
        <f>'Evolutive SFP'!AO13</f>
        <v>0</v>
      </c>
      <c r="AQ26" s="55">
        <f>'Evolutive SFP'!AP13</f>
        <v>0</v>
      </c>
      <c r="AR26" s="55">
        <f>'Evolutive SFP'!AQ13</f>
        <v>0</v>
      </c>
      <c r="AS26" s="55">
        <f>'Evolutive SFP'!AR13</f>
        <v>0</v>
      </c>
      <c r="AT26" s="55">
        <f>'Evolutive SFP'!AS13</f>
        <v>0</v>
      </c>
      <c r="AU26" s="55">
        <f>'Evolutive SFP'!AT13</f>
        <v>0</v>
      </c>
      <c r="AV26" s="55">
        <f>'Evolutive SFP'!AU13</f>
        <v>0</v>
      </c>
      <c r="AW26" s="55">
        <f>'Evolutive SFP'!AV13</f>
        <v>0</v>
      </c>
      <c r="AX26" s="55">
        <f>'Evolutive SFP'!AW13</f>
        <v>0</v>
      </c>
      <c r="AY26" s="55">
        <f>'Evolutive SFP'!AX13</f>
        <v>0</v>
      </c>
    </row>
    <row r="27" spans="1:51" x14ac:dyDescent="0.3">
      <c r="A27" s="29">
        <v>6.2</v>
      </c>
      <c r="B27" s="28" t="s">
        <v>178</v>
      </c>
      <c r="C27" s="55">
        <f>'Evolutive SFP'!B10</f>
        <v>0</v>
      </c>
      <c r="D27" s="55">
        <f>'Evolutive SFP'!C10</f>
        <v>0</v>
      </c>
      <c r="E27" s="55">
        <f>'Evolutive SFP'!D10</f>
        <v>0</v>
      </c>
      <c r="F27" s="55">
        <f>'Evolutive SFP'!E10</f>
        <v>0</v>
      </c>
      <c r="G27" s="55">
        <f>'Evolutive SFP'!F10</f>
        <v>0</v>
      </c>
      <c r="H27" s="55">
        <f>'Evolutive SFP'!G10</f>
        <v>0</v>
      </c>
      <c r="I27" s="55">
        <f>'Evolutive SFP'!H10</f>
        <v>0</v>
      </c>
      <c r="J27" s="55">
        <f>'Evolutive SFP'!I10</f>
        <v>0</v>
      </c>
      <c r="K27" s="55">
        <f>'Evolutive SFP'!J10</f>
        <v>0</v>
      </c>
      <c r="L27" s="55">
        <f>'Evolutive SFP'!K10</f>
        <v>0</v>
      </c>
      <c r="M27" s="55">
        <f>'Evolutive SFP'!L10</f>
        <v>0</v>
      </c>
      <c r="N27" s="55">
        <f>'Evolutive SFP'!M10</f>
        <v>0</v>
      </c>
      <c r="O27" s="55">
        <f>'Evolutive SFP'!N10</f>
        <v>0</v>
      </c>
      <c r="P27" s="55">
        <f>'Evolutive SFP'!O10</f>
        <v>0</v>
      </c>
      <c r="Q27" s="55">
        <f>'Evolutive SFP'!P10</f>
        <v>0</v>
      </c>
      <c r="R27" s="55">
        <f>'Evolutive SFP'!Q10</f>
        <v>0</v>
      </c>
      <c r="S27" s="55">
        <f>'Evolutive SFP'!R10</f>
        <v>0</v>
      </c>
      <c r="T27" s="55">
        <f>'Evolutive SFP'!S10</f>
        <v>0</v>
      </c>
      <c r="U27" s="55">
        <f>'Evolutive SFP'!T10</f>
        <v>0</v>
      </c>
      <c r="V27" s="55">
        <f>'Evolutive SFP'!U10</f>
        <v>0</v>
      </c>
      <c r="W27" s="55">
        <f>'Evolutive SFP'!V10</f>
        <v>0</v>
      </c>
      <c r="X27" s="55">
        <f>'Evolutive SFP'!W10</f>
        <v>0</v>
      </c>
      <c r="Y27" s="55">
        <f>'Evolutive SFP'!X10</f>
        <v>0</v>
      </c>
      <c r="Z27" s="55">
        <f>'Evolutive SFP'!Y10</f>
        <v>0</v>
      </c>
      <c r="AA27" s="55">
        <f>'Evolutive SFP'!Z10</f>
        <v>0</v>
      </c>
      <c r="AB27" s="55">
        <f>'Evolutive SFP'!AA10</f>
        <v>0</v>
      </c>
      <c r="AC27" s="55">
        <f>'Evolutive SFP'!AB10</f>
        <v>0</v>
      </c>
      <c r="AD27" s="55">
        <f>'Evolutive SFP'!AC10</f>
        <v>0</v>
      </c>
      <c r="AE27" s="55">
        <f>'Evolutive SFP'!AD10</f>
        <v>0</v>
      </c>
      <c r="AF27" s="55">
        <f>'Evolutive SFP'!AE10</f>
        <v>0</v>
      </c>
      <c r="AG27" s="55">
        <f>'Evolutive SFP'!AF10</f>
        <v>0</v>
      </c>
      <c r="AH27" s="55">
        <f>'Evolutive SFP'!AG10</f>
        <v>0</v>
      </c>
      <c r="AI27" s="55">
        <f>'Evolutive SFP'!AH10</f>
        <v>0</v>
      </c>
      <c r="AJ27" s="55">
        <f>'Evolutive SFP'!AI10</f>
        <v>0</v>
      </c>
      <c r="AK27" s="55">
        <f>'Evolutive SFP'!AJ10</f>
        <v>0</v>
      </c>
      <c r="AL27" s="55">
        <f>'Evolutive SFP'!AK10</f>
        <v>0</v>
      </c>
      <c r="AM27" s="55">
        <f>'Evolutive SFP'!AL10</f>
        <v>0</v>
      </c>
      <c r="AN27" s="55">
        <f>'Evolutive SFP'!AM10</f>
        <v>0</v>
      </c>
      <c r="AO27" s="55">
        <f>'Evolutive SFP'!AN10</f>
        <v>0</v>
      </c>
      <c r="AP27" s="55">
        <f>'Evolutive SFP'!AO10</f>
        <v>0</v>
      </c>
      <c r="AQ27" s="55">
        <f>'Evolutive SFP'!AP10</f>
        <v>0</v>
      </c>
      <c r="AR27" s="55">
        <f>'Evolutive SFP'!AQ10</f>
        <v>0</v>
      </c>
      <c r="AS27" s="55">
        <f>'Evolutive SFP'!AR10</f>
        <v>0</v>
      </c>
      <c r="AT27" s="55">
        <f>'Evolutive SFP'!AS10</f>
        <v>0</v>
      </c>
      <c r="AU27" s="55">
        <f>'Evolutive SFP'!AT10</f>
        <v>0</v>
      </c>
      <c r="AV27" s="55">
        <f>'Evolutive SFP'!AU10</f>
        <v>0</v>
      </c>
      <c r="AW27" s="55">
        <f>'Evolutive SFP'!AV10</f>
        <v>0</v>
      </c>
      <c r="AX27" s="55">
        <f>'Evolutive SFP'!AW10</f>
        <v>0</v>
      </c>
      <c r="AY27" s="55">
        <f>'Evolutive SFP'!AX10</f>
        <v>0</v>
      </c>
    </row>
    <row r="28" spans="1:51" x14ac:dyDescent="0.3">
      <c r="A28" s="29">
        <v>6.3</v>
      </c>
      <c r="B28" s="28" t="s">
        <v>179</v>
      </c>
      <c r="C28" s="55">
        <f>'Evolutive SFP'!B11</f>
        <v>0</v>
      </c>
      <c r="D28" s="55">
        <f>'Evolutive SFP'!C11</f>
        <v>3167735</v>
      </c>
      <c r="E28" s="55">
        <f>'Evolutive SFP'!D11</f>
        <v>0</v>
      </c>
      <c r="F28" s="55">
        <f>'Evolutive SFP'!E11</f>
        <v>0</v>
      </c>
      <c r="G28" s="55">
        <f>'Evolutive SFP'!F11</f>
        <v>0</v>
      </c>
      <c r="H28" s="55">
        <f>'Evolutive SFP'!G11</f>
        <v>0</v>
      </c>
      <c r="I28" s="55">
        <f>'Evolutive SFP'!H11</f>
        <v>0</v>
      </c>
      <c r="J28" s="55">
        <f>'Evolutive SFP'!I11</f>
        <v>0</v>
      </c>
      <c r="K28" s="55">
        <f>'Evolutive SFP'!J11</f>
        <v>0</v>
      </c>
      <c r="L28" s="55">
        <f>'Evolutive SFP'!K11</f>
        <v>0</v>
      </c>
      <c r="M28" s="55">
        <f>'Evolutive SFP'!L11</f>
        <v>0</v>
      </c>
      <c r="N28" s="55">
        <f>'Evolutive SFP'!M11</f>
        <v>0</v>
      </c>
      <c r="O28" s="55">
        <f>'Evolutive SFP'!N11</f>
        <v>0</v>
      </c>
      <c r="P28" s="55">
        <f>'Evolutive SFP'!O11</f>
        <v>0</v>
      </c>
      <c r="Q28" s="55">
        <f>'Evolutive SFP'!P11</f>
        <v>0</v>
      </c>
      <c r="R28" s="55">
        <f>'Evolutive SFP'!Q11</f>
        <v>0</v>
      </c>
      <c r="S28" s="55">
        <f>'Evolutive SFP'!R11</f>
        <v>0</v>
      </c>
      <c r="T28" s="55">
        <f>'Evolutive SFP'!S11</f>
        <v>0</v>
      </c>
      <c r="U28" s="55">
        <f>'Evolutive SFP'!T11</f>
        <v>0</v>
      </c>
      <c r="V28" s="55">
        <f>'Evolutive SFP'!U11</f>
        <v>0</v>
      </c>
      <c r="W28" s="55">
        <f>'Evolutive SFP'!V11</f>
        <v>0</v>
      </c>
      <c r="X28" s="55">
        <f>'Evolutive SFP'!W11</f>
        <v>0</v>
      </c>
      <c r="Y28" s="55">
        <f>'Evolutive SFP'!X11</f>
        <v>0</v>
      </c>
      <c r="Z28" s="55">
        <f>'Evolutive SFP'!Y11</f>
        <v>0</v>
      </c>
      <c r="AA28" s="55">
        <f>'Evolutive SFP'!Z11</f>
        <v>0</v>
      </c>
      <c r="AB28" s="55">
        <f>'Evolutive SFP'!AA11</f>
        <v>0</v>
      </c>
      <c r="AC28" s="55">
        <f>'Evolutive SFP'!AB11</f>
        <v>0</v>
      </c>
      <c r="AD28" s="55">
        <f>'Evolutive SFP'!AC11</f>
        <v>0</v>
      </c>
      <c r="AE28" s="55">
        <f>'Evolutive SFP'!AD11</f>
        <v>0</v>
      </c>
      <c r="AF28" s="55">
        <f>'Evolutive SFP'!AE11</f>
        <v>0</v>
      </c>
      <c r="AG28" s="55">
        <f>'Evolutive SFP'!AF11</f>
        <v>0</v>
      </c>
      <c r="AH28" s="55">
        <f>'Evolutive SFP'!AG11</f>
        <v>0</v>
      </c>
      <c r="AI28" s="55">
        <f>'Evolutive SFP'!AH11</f>
        <v>0</v>
      </c>
      <c r="AJ28" s="55">
        <f>'Evolutive SFP'!AI11</f>
        <v>0</v>
      </c>
      <c r="AK28" s="55">
        <f>'Evolutive SFP'!AJ11</f>
        <v>0</v>
      </c>
      <c r="AL28" s="55">
        <f>'Evolutive SFP'!AK11</f>
        <v>0</v>
      </c>
      <c r="AM28" s="55">
        <f>'Evolutive SFP'!AL11</f>
        <v>0</v>
      </c>
      <c r="AN28" s="55">
        <f>'Evolutive SFP'!AM11</f>
        <v>0</v>
      </c>
      <c r="AO28" s="55">
        <f>'Evolutive SFP'!AN11</f>
        <v>0</v>
      </c>
      <c r="AP28" s="55">
        <f>'Evolutive SFP'!AO11</f>
        <v>0</v>
      </c>
      <c r="AQ28" s="55">
        <f>'Evolutive SFP'!AP11</f>
        <v>0</v>
      </c>
      <c r="AR28" s="55">
        <f>'Evolutive SFP'!AQ11</f>
        <v>0</v>
      </c>
      <c r="AS28" s="55">
        <f>'Evolutive SFP'!AR11</f>
        <v>0</v>
      </c>
      <c r="AT28" s="55">
        <f>'Evolutive SFP'!AS11</f>
        <v>0</v>
      </c>
      <c r="AU28" s="55">
        <f>'Evolutive SFP'!AT11</f>
        <v>0</v>
      </c>
      <c r="AV28" s="55">
        <f>'Evolutive SFP'!AU11</f>
        <v>0</v>
      </c>
      <c r="AW28" s="55">
        <f>'Evolutive SFP'!AV11</f>
        <v>0</v>
      </c>
      <c r="AX28" s="55">
        <f>'Evolutive SFP'!AW11</f>
        <v>0</v>
      </c>
      <c r="AY28" s="55">
        <f>'Evolutive SFP'!AX11</f>
        <v>0</v>
      </c>
    </row>
    <row r="29" spans="1:51" x14ac:dyDescent="0.3">
      <c r="A29" s="27"/>
      <c r="B29" s="28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</row>
    <row r="30" spans="1:51" x14ac:dyDescent="0.3">
      <c r="A30" s="29">
        <v>7</v>
      </c>
      <c r="B30" s="27" t="s">
        <v>180</v>
      </c>
      <c r="C30" s="55">
        <f>'Evolutive SFP'!B14</f>
        <v>112905266</v>
      </c>
      <c r="D30" s="55">
        <f>'Evolutive SFP'!C14</f>
        <v>94715902</v>
      </c>
      <c r="E30" s="55">
        <f>'Evolutive SFP'!D14</f>
        <v>99526768.109999999</v>
      </c>
      <c r="F30" s="55">
        <f>'Evolutive SFP'!E14</f>
        <v>101572313.78</v>
      </c>
      <c r="G30" s="55">
        <f>'Evolutive SFP'!F14</f>
        <v>100145541.54000001</v>
      </c>
      <c r="H30" s="55">
        <f>'Evolutive SFP'!G14</f>
        <v>101087178.20999999</v>
      </c>
      <c r="I30" s="55">
        <f>'Evolutive SFP'!H14</f>
        <v>102689521.27</v>
      </c>
      <c r="J30" s="55">
        <f>'Evolutive SFP'!I14</f>
        <v>100764117.80000001</v>
      </c>
      <c r="K30" s="55">
        <f>'Evolutive SFP'!J14</f>
        <v>97520039.569999993</v>
      </c>
      <c r="L30" s="55">
        <f>'Evolutive SFP'!K14</f>
        <v>96258667.040000007</v>
      </c>
      <c r="M30" s="55">
        <f>'Evolutive SFP'!L14</f>
        <v>97216350.260000005</v>
      </c>
      <c r="N30" s="55">
        <f>'Evolutive SFP'!M14</f>
        <v>95219545.88000001</v>
      </c>
      <c r="O30" s="55">
        <f>'Evolutive SFP'!N14</f>
        <v>98378794.939999998</v>
      </c>
      <c r="P30" s="55">
        <f>'Evolutive SFP'!O14</f>
        <v>101006132.98999999</v>
      </c>
      <c r="Q30" s="55">
        <f>'Evolutive SFP'!P14</f>
        <v>101006133</v>
      </c>
      <c r="R30" s="55">
        <f>'Evolutive SFP'!Q14</f>
        <v>99725107.819999993</v>
      </c>
      <c r="S30" s="55">
        <f>'Evolutive SFP'!R14</f>
        <v>99387618.469999999</v>
      </c>
      <c r="T30" s="55">
        <f>'Evolutive SFP'!S14</f>
        <v>103249352.39</v>
      </c>
      <c r="U30" s="55">
        <f>'Evolutive SFP'!T14</f>
        <v>105765160.47</v>
      </c>
      <c r="V30" s="55">
        <f>'Evolutive SFP'!U14</f>
        <v>105002565.53</v>
      </c>
      <c r="W30" s="55">
        <f>'Evolutive SFP'!V14</f>
        <v>104935914.77</v>
      </c>
      <c r="X30" s="55">
        <f>'Evolutive SFP'!W14</f>
        <v>93662659.060000002</v>
      </c>
      <c r="Y30" s="55">
        <f>'Evolutive SFP'!X14</f>
        <v>106257101.25</v>
      </c>
      <c r="Z30" s="55">
        <f>'Evolutive SFP'!Y14</f>
        <v>108080087.59999999</v>
      </c>
      <c r="AA30" s="55">
        <f>'Evolutive SFP'!Z14</f>
        <v>106735412.22</v>
      </c>
      <c r="AB30" s="55">
        <f>'Evolutive SFP'!AA14</f>
        <v>105758090.13</v>
      </c>
      <c r="AC30" s="55">
        <f>'Evolutive SFP'!AB14</f>
        <v>102510867.5</v>
      </c>
      <c r="AD30" s="55">
        <f>'Evolutive SFP'!AC14</f>
        <v>102709901</v>
      </c>
      <c r="AE30" s="55">
        <f>'Evolutive SFP'!AD14</f>
        <v>104010632.29000001</v>
      </c>
      <c r="AF30" s="55">
        <f>'Evolutive SFP'!AE14</f>
        <v>106836398.94</v>
      </c>
      <c r="AG30" s="55">
        <f>'Evolutive SFP'!AF14</f>
        <v>108805070.76000001</v>
      </c>
      <c r="AH30" s="55">
        <f>'Evolutive SFP'!AG14</f>
        <v>108871151.33</v>
      </c>
      <c r="AI30" s="55">
        <f>'Evolutive SFP'!AH14</f>
        <v>109117083.53999999</v>
      </c>
      <c r="AJ30" s="55">
        <f>'Evolutive SFP'!AI14</f>
        <v>0</v>
      </c>
      <c r="AK30" s="55">
        <f>'Evolutive SFP'!AJ14</f>
        <v>0</v>
      </c>
      <c r="AL30" s="55">
        <f>'Evolutive SFP'!AK14</f>
        <v>0</v>
      </c>
      <c r="AM30" s="55">
        <f>'Evolutive SFP'!AL14</f>
        <v>0</v>
      </c>
      <c r="AN30" s="55">
        <f>'Evolutive SFP'!AM14</f>
        <v>0</v>
      </c>
      <c r="AO30" s="55">
        <f>'Evolutive SFP'!AN14</f>
        <v>0</v>
      </c>
      <c r="AP30" s="55">
        <f>'Evolutive SFP'!AO14</f>
        <v>0</v>
      </c>
      <c r="AQ30" s="55">
        <f>'Evolutive SFP'!AP14</f>
        <v>0</v>
      </c>
      <c r="AR30" s="55">
        <f>'Evolutive SFP'!AQ14</f>
        <v>0</v>
      </c>
      <c r="AS30" s="55">
        <f>'Evolutive SFP'!AR14</f>
        <v>0</v>
      </c>
      <c r="AT30" s="55">
        <f>'Evolutive SFP'!AS14</f>
        <v>0</v>
      </c>
      <c r="AU30" s="55">
        <f>'Evolutive SFP'!AT14</f>
        <v>0</v>
      </c>
      <c r="AV30" s="55">
        <f>'Evolutive SFP'!AU14</f>
        <v>0</v>
      </c>
      <c r="AW30" s="55">
        <f>'Evolutive SFP'!AV14</f>
        <v>0</v>
      </c>
      <c r="AX30" s="55">
        <f>'Evolutive SFP'!AW14</f>
        <v>0</v>
      </c>
      <c r="AY30" s="55">
        <f>'Evolutive SFP'!AX14</f>
        <v>0</v>
      </c>
    </row>
    <row r="31" spans="1:51" x14ac:dyDescent="0.3">
      <c r="A31" s="29">
        <v>7.1</v>
      </c>
      <c r="B31" s="27" t="s">
        <v>181</v>
      </c>
      <c r="C31" s="55">
        <f>'Evolutive SFP'!B15</f>
        <v>112905266</v>
      </c>
      <c r="D31" s="55">
        <f>'Evolutive SFP'!C15</f>
        <v>117738087</v>
      </c>
      <c r="E31" s="55">
        <f>'Evolutive SFP'!D15</f>
        <v>123415063.62</v>
      </c>
      <c r="F31" s="55">
        <f>'Evolutive SFP'!E15</f>
        <v>126145167.2</v>
      </c>
      <c r="G31" s="55">
        <f>'Evolutive SFP'!F15</f>
        <v>125723724.04000001</v>
      </c>
      <c r="H31" s="55">
        <f>'Evolutive SFP'!G15</f>
        <v>126473622.20999999</v>
      </c>
      <c r="I31" s="55">
        <f>'Evolutive SFP'!H15</f>
        <v>125711706.14</v>
      </c>
      <c r="J31" s="55">
        <f>'Evolutive SFP'!I15</f>
        <v>125928334.09</v>
      </c>
      <c r="K31" s="55">
        <f>'Evolutive SFP'!J15</f>
        <v>122704146.89</v>
      </c>
      <c r="L31" s="55">
        <f>'Evolutive SFP'!K15</f>
        <v>122285305.53</v>
      </c>
      <c r="M31" s="55">
        <f>'Evolutive SFP'!L15</f>
        <v>122989946.42</v>
      </c>
      <c r="N31" s="55">
        <f>'Evolutive SFP'!M15</f>
        <v>120601445.68000001</v>
      </c>
      <c r="O31" s="55">
        <f>'Evolutive SFP'!N15</f>
        <v>123671591.25</v>
      </c>
      <c r="P31" s="55">
        <f>'Evolutive SFP'!O15</f>
        <v>122972157.98999999</v>
      </c>
      <c r="Q31" s="55">
        <f>'Evolutive SFP'!P15</f>
        <v>122972158</v>
      </c>
      <c r="R31" s="55">
        <f>'Evolutive SFP'!Q15</f>
        <v>121691132.69</v>
      </c>
      <c r="S31" s="55">
        <f>'Evolutive SFP'!R15</f>
        <v>121353643.34</v>
      </c>
      <c r="T31" s="55">
        <f>'Evolutive SFP'!S15</f>
        <v>127431062.97</v>
      </c>
      <c r="U31" s="55">
        <f>'Evolutive SFP'!T15</f>
        <v>129940091.53</v>
      </c>
      <c r="V31" s="55">
        <f>'Evolutive SFP'!U15</f>
        <v>128484165.45999999</v>
      </c>
      <c r="W31" s="55">
        <f>'Evolutive SFP'!V15</f>
        <v>128408547.09999999</v>
      </c>
      <c r="X31" s="55">
        <f>'Evolutive SFP'!W15</f>
        <v>116156966.65000001</v>
      </c>
      <c r="Y31" s="55">
        <f>'Evolutive SFP'!X15</f>
        <v>129392906.51000001</v>
      </c>
      <c r="Z31" s="55">
        <f>'Evolutive SFP'!Y15</f>
        <v>130839716.83</v>
      </c>
      <c r="AA31" s="55">
        <f>'Evolutive SFP'!Z15</f>
        <v>129502161.51000001</v>
      </c>
      <c r="AB31" s="55">
        <f>'Evolutive SFP'!AA15</f>
        <v>128305935</v>
      </c>
      <c r="AC31" s="55">
        <f>'Evolutive SFP'!AB15</f>
        <v>123340432.56999999</v>
      </c>
      <c r="AD31" s="55">
        <f>'Evolutive SFP'!AC15</f>
        <v>123584731</v>
      </c>
      <c r="AE31" s="55">
        <f>'Evolutive SFP'!AD15</f>
        <v>124845299.59</v>
      </c>
      <c r="AF31" s="55">
        <f>'Evolutive SFP'!AE15</f>
        <v>128111691.39</v>
      </c>
      <c r="AG31" s="55">
        <f>'Evolutive SFP'!AF15</f>
        <v>130371129.12</v>
      </c>
      <c r="AH31" s="55">
        <f>'Evolutive SFP'!AG15</f>
        <v>130611100.23999999</v>
      </c>
      <c r="AI31" s="55">
        <f>'Evolutive SFP'!AH15</f>
        <v>130635188.13</v>
      </c>
      <c r="AJ31" s="55">
        <f>'Evolutive SFP'!AI15</f>
        <v>0</v>
      </c>
      <c r="AK31" s="55">
        <f>'Evolutive SFP'!AJ15</f>
        <v>0</v>
      </c>
      <c r="AL31" s="55">
        <f>'Evolutive SFP'!AK15</f>
        <v>0</v>
      </c>
      <c r="AM31" s="55">
        <f>'Evolutive SFP'!AL15</f>
        <v>0</v>
      </c>
      <c r="AN31" s="55">
        <f>'Evolutive SFP'!AM15</f>
        <v>0</v>
      </c>
      <c r="AO31" s="55">
        <f>'Evolutive SFP'!AN15</f>
        <v>0</v>
      </c>
      <c r="AP31" s="55">
        <f>'Evolutive SFP'!AO15</f>
        <v>0</v>
      </c>
      <c r="AQ31" s="55">
        <f>'Evolutive SFP'!AP15</f>
        <v>0</v>
      </c>
      <c r="AR31" s="55">
        <f>'Evolutive SFP'!AQ15</f>
        <v>0</v>
      </c>
      <c r="AS31" s="55">
        <f>'Evolutive SFP'!AR15</f>
        <v>0</v>
      </c>
      <c r="AT31" s="55">
        <f>'Evolutive SFP'!AS15</f>
        <v>0</v>
      </c>
      <c r="AU31" s="55">
        <f>'Evolutive SFP'!AT15</f>
        <v>0</v>
      </c>
      <c r="AV31" s="55">
        <f>'Evolutive SFP'!AU15</f>
        <v>0</v>
      </c>
      <c r="AW31" s="55">
        <f>'Evolutive SFP'!AV15</f>
        <v>0</v>
      </c>
      <c r="AX31" s="55">
        <f>'Evolutive SFP'!AW15</f>
        <v>0</v>
      </c>
      <c r="AY31" s="55">
        <f>'Evolutive SFP'!AX15</f>
        <v>0</v>
      </c>
    </row>
    <row r="32" spans="1:51" x14ac:dyDescent="0.3">
      <c r="A32" s="29">
        <v>7.2</v>
      </c>
      <c r="B32" s="27" t="s">
        <v>182</v>
      </c>
      <c r="C32" s="55">
        <f>'Evolutive SFP'!B16</f>
        <v>0</v>
      </c>
      <c r="D32" s="55">
        <f>'Evolutive SFP'!C16</f>
        <v>23022185</v>
      </c>
      <c r="E32" s="55">
        <f>'Evolutive SFP'!D16</f>
        <v>23888295.510000002</v>
      </c>
      <c r="F32" s="55">
        <f>'Evolutive SFP'!E16</f>
        <v>24572853.420000002</v>
      </c>
      <c r="G32" s="55">
        <f>'Evolutive SFP'!F16</f>
        <v>25578182.5</v>
      </c>
      <c r="H32" s="55">
        <f>'Evolutive SFP'!G16</f>
        <v>25386444</v>
      </c>
      <c r="I32" s="55">
        <f>'Evolutive SFP'!H16</f>
        <v>23022184.870000001</v>
      </c>
      <c r="J32" s="55">
        <f>'Evolutive SFP'!I16</f>
        <v>25164216.289999999</v>
      </c>
      <c r="K32" s="55">
        <f>'Evolutive SFP'!J16</f>
        <v>25184107.32</v>
      </c>
      <c r="L32" s="55">
        <f>'Evolutive SFP'!K16</f>
        <v>26026638.489999998</v>
      </c>
      <c r="M32" s="55">
        <f>'Evolutive SFP'!L16</f>
        <v>25773596.16</v>
      </c>
      <c r="N32" s="55">
        <f>'Evolutive SFP'!M16</f>
        <v>25381899.800000001</v>
      </c>
      <c r="O32" s="55">
        <f>'Evolutive SFP'!N16</f>
        <v>25292796.309999999</v>
      </c>
      <c r="P32" s="55">
        <f>'Evolutive SFP'!O16</f>
        <v>21966025</v>
      </c>
      <c r="Q32" s="55">
        <f>'Evolutive SFP'!P16</f>
        <v>21966025</v>
      </c>
      <c r="R32" s="55">
        <f>'Evolutive SFP'!Q16</f>
        <v>21966024.870000001</v>
      </c>
      <c r="S32" s="55">
        <f>'Evolutive SFP'!R16</f>
        <v>21966024.870000001</v>
      </c>
      <c r="T32" s="55">
        <f>'Evolutive SFP'!S16</f>
        <v>24181710.579999998</v>
      </c>
      <c r="U32" s="55">
        <f>'Evolutive SFP'!T16</f>
        <v>24174931.059999999</v>
      </c>
      <c r="V32" s="55">
        <f>'Evolutive SFP'!U16</f>
        <v>23481599.93</v>
      </c>
      <c r="W32" s="55">
        <f>'Evolutive SFP'!V16</f>
        <v>23472632.329999998</v>
      </c>
      <c r="X32" s="55">
        <f>'Evolutive SFP'!W16</f>
        <v>22494307.59</v>
      </c>
      <c r="Y32" s="55">
        <f>'Evolutive SFP'!X16</f>
        <v>23135805.260000002</v>
      </c>
      <c r="Z32" s="55">
        <f>'Evolutive SFP'!Y16</f>
        <v>22759629.23</v>
      </c>
      <c r="AA32" s="55">
        <f>'Evolutive SFP'!Z16</f>
        <v>22766749.289999999</v>
      </c>
      <c r="AB32" s="55">
        <f>'Evolutive SFP'!AA16</f>
        <v>22547844.870000001</v>
      </c>
      <c r="AC32" s="55">
        <f>'Evolutive SFP'!AB16</f>
        <v>20829565.07</v>
      </c>
      <c r="AD32" s="55">
        <f>'Evolutive SFP'!AC16</f>
        <v>20874830</v>
      </c>
      <c r="AE32" s="55">
        <f>'Evolutive SFP'!AD16</f>
        <v>20834667.300000001</v>
      </c>
      <c r="AF32" s="55">
        <f>'Evolutive SFP'!AE16</f>
        <v>21275292.449999999</v>
      </c>
      <c r="AG32" s="55">
        <f>'Evolutive SFP'!AF16</f>
        <v>21566058.359999999</v>
      </c>
      <c r="AH32" s="55">
        <f>'Evolutive SFP'!AG16</f>
        <v>21739948.91</v>
      </c>
      <c r="AI32" s="55">
        <f>'Evolutive SFP'!AH16</f>
        <v>21518104.59</v>
      </c>
      <c r="AJ32" s="55">
        <f>'Evolutive SFP'!AI16</f>
        <v>0</v>
      </c>
      <c r="AK32" s="55">
        <f>'Evolutive SFP'!AJ16</f>
        <v>0</v>
      </c>
      <c r="AL32" s="55">
        <f>'Evolutive SFP'!AK16</f>
        <v>0</v>
      </c>
      <c r="AM32" s="55">
        <f>'Evolutive SFP'!AL16</f>
        <v>0</v>
      </c>
      <c r="AN32" s="55">
        <f>'Evolutive SFP'!AM16</f>
        <v>0</v>
      </c>
      <c r="AO32" s="55">
        <f>'Evolutive SFP'!AN16</f>
        <v>0</v>
      </c>
      <c r="AP32" s="55">
        <f>'Evolutive SFP'!AO16</f>
        <v>0</v>
      </c>
      <c r="AQ32" s="55">
        <f>'Evolutive SFP'!AP16</f>
        <v>0</v>
      </c>
      <c r="AR32" s="55">
        <f>'Evolutive SFP'!AQ16</f>
        <v>0</v>
      </c>
      <c r="AS32" s="55">
        <f>'Evolutive SFP'!AR16</f>
        <v>0</v>
      </c>
      <c r="AT32" s="55">
        <f>'Evolutive SFP'!AS16</f>
        <v>0</v>
      </c>
      <c r="AU32" s="55">
        <f>'Evolutive SFP'!AT16</f>
        <v>0</v>
      </c>
      <c r="AV32" s="55">
        <f>'Evolutive SFP'!AU16</f>
        <v>0</v>
      </c>
      <c r="AW32" s="55">
        <f>'Evolutive SFP'!AV16</f>
        <v>0</v>
      </c>
      <c r="AX32" s="55">
        <f>'Evolutive SFP'!AW16</f>
        <v>0</v>
      </c>
      <c r="AY32" s="55">
        <f>'Evolutive SFP'!AX16</f>
        <v>0</v>
      </c>
    </row>
    <row r="33" spans="1:51" x14ac:dyDescent="0.3">
      <c r="A33" s="27"/>
      <c r="B33" s="27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</row>
    <row r="34" spans="1:51" x14ac:dyDescent="0.3">
      <c r="A34" s="29">
        <v>8</v>
      </c>
      <c r="B34" s="27" t="s">
        <v>183</v>
      </c>
      <c r="C34" s="55">
        <f>'Evolutive SFP'!B21+'Evolutive SFP'!B7</f>
        <v>18274979</v>
      </c>
      <c r="D34" s="55">
        <f>'Evolutive SFP'!C21+'Evolutive SFP'!C7</f>
        <v>17296673</v>
      </c>
      <c r="E34" s="55">
        <f>'Evolutive SFP'!D21+'Evolutive SFP'!D7</f>
        <v>16253347.07</v>
      </c>
      <c r="F34" s="55">
        <f>'Evolutive SFP'!E21+'Evolutive SFP'!E7</f>
        <v>16734447.540000001</v>
      </c>
      <c r="G34" s="55">
        <f>'Evolutive SFP'!F21+'Evolutive SFP'!F7</f>
        <v>17150893.699999999</v>
      </c>
      <c r="H34" s="55">
        <f>'Evolutive SFP'!G21+'Evolutive SFP'!G7</f>
        <v>17036917.850000001</v>
      </c>
      <c r="I34" s="55">
        <f>'Evolutive SFP'!H21+'Evolutive SFP'!H7</f>
        <v>16963760.07</v>
      </c>
      <c r="J34" s="55">
        <f>'Evolutive SFP'!I21+'Evolutive SFP'!I7</f>
        <v>16080068.74</v>
      </c>
      <c r="K34" s="55">
        <f>'Evolutive SFP'!J21+'Evolutive SFP'!J7</f>
        <v>16238083.280000001</v>
      </c>
      <c r="L34" s="55">
        <f>'Evolutive SFP'!K21+'Evolutive SFP'!K7</f>
        <v>16121981.32</v>
      </c>
      <c r="M34" s="55">
        <f>'Evolutive SFP'!L21+'Evolutive SFP'!L7</f>
        <v>16673091.220000001</v>
      </c>
      <c r="N34" s="55">
        <f>'Evolutive SFP'!M21+'Evolutive SFP'!M7</f>
        <v>16653283.32</v>
      </c>
      <c r="O34" s="55">
        <f>'Evolutive SFP'!N21+'Evolutive SFP'!N7</f>
        <v>15984726.280000001</v>
      </c>
      <c r="P34" s="55">
        <f>'Evolutive SFP'!O21+'Evolutive SFP'!O7</f>
        <v>14590003.649999999</v>
      </c>
      <c r="Q34" s="55">
        <f>'Evolutive SFP'!P21+'Evolutive SFP'!P7</f>
        <v>14589470</v>
      </c>
      <c r="R34" s="55">
        <f>'Evolutive SFP'!Q21+'Evolutive SFP'!Q7</f>
        <v>15322006.530000001</v>
      </c>
      <c r="S34" s="55">
        <f>'Evolutive SFP'!R21+'Evolutive SFP'!R7</f>
        <v>14986207.350000001</v>
      </c>
      <c r="T34" s="55">
        <f>'Evolutive SFP'!S21+'Evolutive SFP'!S7</f>
        <v>15074503.530000001</v>
      </c>
      <c r="U34" s="55">
        <f>'Evolutive SFP'!T21+'Evolutive SFP'!T7</f>
        <v>14902829.530000001</v>
      </c>
      <c r="V34" s="55">
        <f>'Evolutive SFP'!U21+'Evolutive SFP'!U7</f>
        <v>14884927.150000002</v>
      </c>
      <c r="W34" s="55">
        <f>'Evolutive SFP'!V21+'Evolutive SFP'!V7</f>
        <v>14868671.150000002</v>
      </c>
      <c r="X34" s="55">
        <f>'Evolutive SFP'!W21+'Evolutive SFP'!W7</f>
        <v>13879084.01</v>
      </c>
      <c r="Y34" s="55">
        <f>'Evolutive SFP'!X21+'Evolutive SFP'!X7</f>
        <v>14259992.42</v>
      </c>
      <c r="Z34" s="55">
        <f>'Evolutive SFP'!Y21+'Evolutive SFP'!Y7</f>
        <v>14255940.59</v>
      </c>
      <c r="AA34" s="55">
        <f>'Evolutive SFP'!Z21+'Evolutive SFP'!Z7</f>
        <v>15568785.850000001</v>
      </c>
      <c r="AB34" s="55">
        <f>'Evolutive SFP'!AA21+'Evolutive SFP'!AA7</f>
        <v>14546728.969999999</v>
      </c>
      <c r="AC34" s="55">
        <f>'Evolutive SFP'!AB21+'Evolutive SFP'!AB7</f>
        <v>13974708.709999997</v>
      </c>
      <c r="AD34" s="55">
        <f>'Evolutive SFP'!AC21+'Evolutive SFP'!AC7</f>
        <v>13993368</v>
      </c>
      <c r="AE34" s="55">
        <f>'Evolutive SFP'!AD21+'Evolutive SFP'!AD7</f>
        <v>14476138.689999998</v>
      </c>
      <c r="AF34" s="55">
        <f>'Evolutive SFP'!AE21+'Evolutive SFP'!AE7</f>
        <v>14352324.759999998</v>
      </c>
      <c r="AG34" s="55">
        <f>'Evolutive SFP'!AF21+'Evolutive SFP'!AF7</f>
        <v>13462272.339999998</v>
      </c>
      <c r="AH34" s="55">
        <f>'Evolutive SFP'!AG21+'Evolutive SFP'!AG7</f>
        <v>15070281.709999997</v>
      </c>
      <c r="AI34" s="55">
        <f>'Evolutive SFP'!AH21+'Evolutive SFP'!AH7</f>
        <v>13999659.569999998</v>
      </c>
      <c r="AJ34" s="55">
        <f>'Evolutive SFP'!AI21+'Evolutive SFP'!AI7</f>
        <v>0</v>
      </c>
      <c r="AK34" s="55">
        <f>'Evolutive SFP'!AJ21+'Evolutive SFP'!AJ7</f>
        <v>0</v>
      </c>
      <c r="AL34" s="55">
        <f>'Evolutive SFP'!AK21+'Evolutive SFP'!AK7</f>
        <v>0</v>
      </c>
      <c r="AM34" s="55">
        <f>'Evolutive SFP'!AL21+'Evolutive SFP'!AL7</f>
        <v>0</v>
      </c>
      <c r="AN34" s="55">
        <f>'Evolutive SFP'!AM21+'Evolutive SFP'!AM7</f>
        <v>0</v>
      </c>
      <c r="AO34" s="55">
        <f>'Evolutive SFP'!AN21+'Evolutive SFP'!AN7</f>
        <v>0</v>
      </c>
      <c r="AP34" s="55">
        <f>'Evolutive SFP'!AO21+'Evolutive SFP'!AO7</f>
        <v>0</v>
      </c>
      <c r="AQ34" s="55">
        <f>'Evolutive SFP'!AP21+'Evolutive SFP'!AP7</f>
        <v>0</v>
      </c>
      <c r="AR34" s="55">
        <f>'Evolutive SFP'!AQ21+'Evolutive SFP'!AQ7</f>
        <v>0</v>
      </c>
      <c r="AS34" s="55">
        <f>'Evolutive SFP'!AR21+'Evolutive SFP'!AR7</f>
        <v>0</v>
      </c>
      <c r="AT34" s="55">
        <f>'Evolutive SFP'!AS21+'Evolutive SFP'!AS7</f>
        <v>0</v>
      </c>
      <c r="AU34" s="55">
        <f>'Evolutive SFP'!AT21+'Evolutive SFP'!AT7</f>
        <v>0</v>
      </c>
      <c r="AV34" s="55">
        <f>'Evolutive SFP'!AU21+'Evolutive SFP'!AU7</f>
        <v>0</v>
      </c>
      <c r="AW34" s="55">
        <f>'Evolutive SFP'!AV21+'Evolutive SFP'!AV7</f>
        <v>0</v>
      </c>
      <c r="AX34" s="55">
        <f>'Evolutive SFP'!AW21+'Evolutive SFP'!AW7</f>
        <v>0</v>
      </c>
      <c r="AY34" s="55">
        <f>'Evolutive SFP'!AX21+'Evolutive SFP'!AX7</f>
        <v>0</v>
      </c>
    </row>
    <row r="35" spans="1:51" x14ac:dyDescent="0.3">
      <c r="A35" s="29">
        <v>8.1</v>
      </c>
      <c r="B35" s="27" t="s">
        <v>22</v>
      </c>
      <c r="C35" s="55">
        <f>'Evolutive SFP'!B23</f>
        <v>4123114</v>
      </c>
      <c r="D35" s="55">
        <f>'Evolutive SFP'!C23</f>
        <v>13159426</v>
      </c>
      <c r="E35" s="55">
        <f>'Evolutive SFP'!D23</f>
        <v>13635196.390000001</v>
      </c>
      <c r="F35" s="55">
        <f>'Evolutive SFP'!E23</f>
        <v>13635196.390000001</v>
      </c>
      <c r="G35" s="55">
        <f>'Evolutive SFP'!F23</f>
        <v>13660301.390000001</v>
      </c>
      <c r="H35" s="55">
        <f>'Evolutive SFP'!G23</f>
        <v>13666801.390000001</v>
      </c>
      <c r="I35" s="55">
        <f>'Evolutive SFP'!H23</f>
        <v>13701801.390000001</v>
      </c>
      <c r="J35" s="55">
        <f>'Evolutive SFP'!I23</f>
        <v>12851347.390000001</v>
      </c>
      <c r="K35" s="55">
        <f>'Evolutive SFP'!J23</f>
        <v>12886347.390000001</v>
      </c>
      <c r="L35" s="55">
        <f>'Evolutive SFP'!K23</f>
        <v>12953447.390000001</v>
      </c>
      <c r="M35" s="55">
        <f>'Evolutive SFP'!L23</f>
        <v>12953447.390000001</v>
      </c>
      <c r="N35" s="55">
        <f>'Evolutive SFP'!M23</f>
        <v>12963347.390000001</v>
      </c>
      <c r="O35" s="55">
        <f>'Evolutive SFP'!N23</f>
        <v>12988547.390000001</v>
      </c>
      <c r="P35" s="55">
        <f>'Evolutive SFP'!O23</f>
        <v>12135655.689999999</v>
      </c>
      <c r="Q35" s="55">
        <f>'Evolutive SFP'!P23</f>
        <v>12118019</v>
      </c>
      <c r="R35" s="55">
        <f>'Evolutive SFP'!Q23</f>
        <v>12119458</v>
      </c>
      <c r="S35" s="55">
        <f>'Evolutive SFP'!R23</f>
        <v>12119458</v>
      </c>
      <c r="T35" s="55">
        <f>'Evolutive SFP'!S23</f>
        <v>12123882</v>
      </c>
      <c r="U35" s="55">
        <f>'Evolutive SFP'!T23</f>
        <v>12124282</v>
      </c>
      <c r="V35" s="55">
        <f>'Evolutive SFP'!U23</f>
        <v>12180282</v>
      </c>
      <c r="W35" s="55">
        <f>'Evolutive SFP'!V23</f>
        <v>11499364</v>
      </c>
      <c r="X35" s="55">
        <f>'Evolutive SFP'!W23</f>
        <v>11629864</v>
      </c>
      <c r="Y35" s="55">
        <f>'Evolutive SFP'!X23</f>
        <v>11474348.42</v>
      </c>
      <c r="Z35" s="55">
        <f>'Evolutive SFP'!Y23</f>
        <v>11961238.42</v>
      </c>
      <c r="AA35" s="55">
        <f>'Evolutive SFP'!Z23</f>
        <v>11961238.42</v>
      </c>
      <c r="AB35" s="55">
        <f>'Evolutive SFP'!AA23</f>
        <v>11961238.42</v>
      </c>
      <c r="AC35" s="55">
        <f>'Evolutive SFP'!AB23</f>
        <v>11482673.369999999</v>
      </c>
      <c r="AD35" s="55">
        <f>'Evolutive SFP'!AC23</f>
        <v>11476711</v>
      </c>
      <c r="AE35" s="55">
        <f>'Evolutive SFP'!AD23</f>
        <v>11478269.369999999</v>
      </c>
      <c r="AF35" s="55">
        <f>'Evolutive SFP'!AE23</f>
        <v>11478269.369999999</v>
      </c>
      <c r="AG35" s="55">
        <f>'Evolutive SFP'!AF23</f>
        <v>11477413.369999999</v>
      </c>
      <c r="AH35" s="55">
        <f>'Evolutive SFP'!AG23</f>
        <v>12373033.369999999</v>
      </c>
      <c r="AI35" s="55">
        <f>'Evolutive SFP'!AH23</f>
        <v>11859474.01</v>
      </c>
      <c r="AJ35" s="55">
        <f>'Evolutive SFP'!AI23</f>
        <v>0</v>
      </c>
      <c r="AK35" s="55">
        <f>'Evolutive SFP'!AJ23</f>
        <v>0</v>
      </c>
      <c r="AL35" s="55">
        <f>'Evolutive SFP'!AK23</f>
        <v>0</v>
      </c>
      <c r="AM35" s="55">
        <f>'Evolutive SFP'!AL23</f>
        <v>0</v>
      </c>
      <c r="AN35" s="55">
        <f>'Evolutive SFP'!AM23</f>
        <v>0</v>
      </c>
      <c r="AO35" s="55">
        <f>'Evolutive SFP'!AN23</f>
        <v>0</v>
      </c>
      <c r="AP35" s="55">
        <f>'Evolutive SFP'!AO23</f>
        <v>0</v>
      </c>
      <c r="AQ35" s="55">
        <f>'Evolutive SFP'!AP23</f>
        <v>0</v>
      </c>
      <c r="AR35" s="55">
        <f>'Evolutive SFP'!AQ23</f>
        <v>0</v>
      </c>
      <c r="AS35" s="55">
        <f>'Evolutive SFP'!AR23</f>
        <v>0</v>
      </c>
      <c r="AT35" s="55">
        <f>'Evolutive SFP'!AS23</f>
        <v>0</v>
      </c>
      <c r="AU35" s="55">
        <f>'Evolutive SFP'!AT23</f>
        <v>0</v>
      </c>
      <c r="AV35" s="55">
        <f>'Evolutive SFP'!AU23</f>
        <v>0</v>
      </c>
      <c r="AW35" s="55">
        <f>'Evolutive SFP'!AV23</f>
        <v>0</v>
      </c>
      <c r="AX35" s="55">
        <f>'Evolutive SFP'!AW23</f>
        <v>0</v>
      </c>
      <c r="AY35" s="55">
        <f>'Evolutive SFP'!AX23</f>
        <v>0</v>
      </c>
    </row>
    <row r="36" spans="1:51" x14ac:dyDescent="0.3">
      <c r="A36" s="25"/>
      <c r="B36" s="27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</row>
    <row r="37" spans="1:51" x14ac:dyDescent="0.3">
      <c r="A37" s="29">
        <v>9</v>
      </c>
      <c r="B37" s="27" t="s">
        <v>140</v>
      </c>
      <c r="C37" s="55">
        <f>C38+C39+C40+C41</f>
        <v>14599.247546899</v>
      </c>
      <c r="D37" s="55">
        <f>D38+D39+D40+D41</f>
        <v>24912213</v>
      </c>
      <c r="E37" s="55">
        <f t="shared" ref="E37:V37" si="119">E38+E39+E40+E41</f>
        <v>3346469.5700000003</v>
      </c>
      <c r="F37" s="55">
        <f t="shared" si="119"/>
        <v>4855477.21</v>
      </c>
      <c r="G37" s="55">
        <f t="shared" si="119"/>
        <v>6639.17</v>
      </c>
      <c r="H37" s="55">
        <f t="shared" si="119"/>
        <v>8837677.3599999994</v>
      </c>
      <c r="I37" s="55">
        <f t="shared" si="119"/>
        <v>10209982.84</v>
      </c>
      <c r="J37" s="55">
        <f t="shared" si="119"/>
        <v>12571336.939999999</v>
      </c>
      <c r="K37" s="55">
        <f t="shared" si="119"/>
        <v>14363844.58</v>
      </c>
      <c r="L37" s="55">
        <f t="shared" si="119"/>
        <v>15910038.65</v>
      </c>
      <c r="M37" s="55">
        <f t="shared" si="119"/>
        <v>17803347.489999998</v>
      </c>
      <c r="N37" s="55">
        <f t="shared" si="119"/>
        <v>20120585.670000002</v>
      </c>
      <c r="O37" s="55">
        <f t="shared" si="119"/>
        <v>22075669.82</v>
      </c>
      <c r="P37" s="55">
        <f t="shared" si="119"/>
        <v>25805377.469999999</v>
      </c>
      <c r="Q37" s="55">
        <f t="shared" si="119"/>
        <v>27183255</v>
      </c>
      <c r="R37" s="55">
        <f t="shared" si="119"/>
        <v>1775197.85</v>
      </c>
      <c r="S37" s="55">
        <f t="shared" si="119"/>
        <v>3699741.86</v>
      </c>
      <c r="T37" s="55">
        <f t="shared" si="119"/>
        <v>6211566.1600000001</v>
      </c>
      <c r="U37" s="55">
        <f t="shared" si="119"/>
        <v>9047921</v>
      </c>
      <c r="V37" s="55">
        <f t="shared" si="119"/>
        <v>11083045.5</v>
      </c>
      <c r="W37" s="55">
        <f t="shared" ref="W37" si="120">W38+W39+W40+W41</f>
        <v>13174869.84</v>
      </c>
      <c r="X37" s="55">
        <f t="shared" ref="X37" si="121">X38+X39+X40+X41</f>
        <v>15360290.77</v>
      </c>
      <c r="Y37" s="55">
        <f t="shared" ref="Y37" si="122">Y38+Y39+Y40+Y41</f>
        <v>18210698.210000001</v>
      </c>
      <c r="Z37" s="55">
        <f t="shared" ref="Z37" si="123">Z38+Z39+Z40+Z41</f>
        <v>20426461.469999999</v>
      </c>
      <c r="AA37" s="55">
        <f t="shared" ref="AA37" si="124">AA38+AA39+AA40+AA41</f>
        <v>22112704.700000003</v>
      </c>
      <c r="AB37" s="55">
        <f t="shared" ref="AB37" si="125">AB38+AB39+AB40+AB41</f>
        <v>23947758.079999998</v>
      </c>
      <c r="AC37" s="55">
        <f t="shared" ref="AC37" si="126">AC38+AC39+AC40+AC41</f>
        <v>27450781.490000002</v>
      </c>
      <c r="AD37" s="55">
        <f t="shared" ref="AD37" si="127">AD38+AD39+AD40+AD41</f>
        <v>27884267</v>
      </c>
      <c r="AE37" s="55">
        <f t="shared" ref="AE37" si="128">AE38+AE39+AE40+AE41</f>
        <v>3379459.5799999996</v>
      </c>
      <c r="AF37" s="55">
        <f t="shared" ref="AF37" si="129">AF38+AF39+AF40+AF41</f>
        <v>5679180.4000000004</v>
      </c>
      <c r="AG37" s="55">
        <f t="shared" ref="AG37" si="130">AG38+AG39+AG40+AG41</f>
        <v>7943528.8999999994</v>
      </c>
      <c r="AH37" s="55">
        <f t="shared" ref="AH37" si="131">AH38+AH39+AH40+AH41</f>
        <v>9907619.7200000007</v>
      </c>
      <c r="AI37" s="55">
        <f t="shared" ref="AI37" si="132">AI38+AI39+AI40+AI41</f>
        <v>11775407.07</v>
      </c>
      <c r="AJ37" s="55">
        <f t="shared" ref="AJ37" si="133">AJ38+AJ39+AJ40+AJ41</f>
        <v>0</v>
      </c>
      <c r="AK37" s="55">
        <f t="shared" ref="AK37" si="134">AK38+AK39+AK40+AK41</f>
        <v>0</v>
      </c>
      <c r="AL37" s="55">
        <f t="shared" ref="AL37" si="135">AL38+AL39+AL40+AL41</f>
        <v>0</v>
      </c>
      <c r="AM37" s="55">
        <f t="shared" ref="AM37:AN37" si="136">AM38+AM39+AM40+AM41</f>
        <v>0</v>
      </c>
      <c r="AN37" s="55">
        <f t="shared" si="136"/>
        <v>0</v>
      </c>
      <c r="AO37" s="55">
        <f t="shared" ref="AO37" si="137">AO38+AO39+AO40+AO41</f>
        <v>0</v>
      </c>
      <c r="AP37" s="55">
        <f t="shared" ref="AP37" si="138">AP38+AP39+AP40+AP41</f>
        <v>0</v>
      </c>
      <c r="AQ37" s="55">
        <f t="shared" ref="AQ37" si="139">AQ38+AQ39+AQ40+AQ41</f>
        <v>0</v>
      </c>
      <c r="AR37" s="55">
        <f t="shared" ref="AR37" si="140">AR38+AR39+AR40+AR41</f>
        <v>0</v>
      </c>
      <c r="AS37" s="55">
        <f t="shared" ref="AS37" si="141">AS38+AS39+AS40+AS41</f>
        <v>0</v>
      </c>
      <c r="AT37" s="55">
        <f t="shared" ref="AT37" si="142">AT38+AT39+AT40+AT41</f>
        <v>0</v>
      </c>
      <c r="AU37" s="55">
        <f t="shared" ref="AU37" si="143">AU38+AU39+AU40+AU41</f>
        <v>0</v>
      </c>
      <c r="AV37" s="55">
        <f t="shared" ref="AV37" si="144">AV38+AV39+AV40+AV41</f>
        <v>0</v>
      </c>
      <c r="AW37" s="55">
        <f t="shared" ref="AW37" si="145">AW38+AW39+AW40+AW41</f>
        <v>0</v>
      </c>
      <c r="AX37" s="55">
        <f t="shared" ref="AX37" si="146">AX38+AX39+AX40+AX41</f>
        <v>0</v>
      </c>
      <c r="AY37" s="55">
        <f t="shared" ref="AY37" si="147">AY38+AY39+AY40+AY41</f>
        <v>0</v>
      </c>
    </row>
    <row r="38" spans="1:51" x14ac:dyDescent="0.3">
      <c r="A38" s="27">
        <v>9.1</v>
      </c>
      <c r="B38" s="27" t="s">
        <v>184</v>
      </c>
      <c r="C38" s="55">
        <f>'Evolutitve SCI'!B5</f>
        <v>11945.43491</v>
      </c>
      <c r="D38" s="55">
        <f>'Evolutitve SCI'!C5</f>
        <v>14548967</v>
      </c>
      <c r="E38" s="55">
        <f>'Evolutitve SCI'!D5</f>
        <v>2067244.85</v>
      </c>
      <c r="F38" s="55">
        <f>'Evolutitve SCI'!E5</f>
        <v>3579327.3</v>
      </c>
      <c r="G38" s="55">
        <f>'Evolutitve SCI'!F5</f>
        <v>4523.8</v>
      </c>
      <c r="H38" s="55">
        <f>'Evolutitve SCI'!G5</f>
        <v>5617072.0499999998</v>
      </c>
      <c r="I38" s="55">
        <f>'Evolutitve SCI'!H5</f>
        <v>6370913.7199999997</v>
      </c>
      <c r="J38" s="55">
        <f>'Evolutitve SCI'!I5</f>
        <v>7966759.54</v>
      </c>
      <c r="K38" s="55">
        <f>'Evolutitve SCI'!J5</f>
        <v>9001525.1500000004</v>
      </c>
      <c r="L38" s="55">
        <f>'Evolutitve SCI'!K5</f>
        <v>9823827.3100000005</v>
      </c>
      <c r="M38" s="55">
        <f>'Evolutitve SCI'!L5</f>
        <v>10936923.449999999</v>
      </c>
      <c r="N38" s="55">
        <f>'Evolutitve SCI'!M5</f>
        <v>12398964.27</v>
      </c>
      <c r="O38" s="55">
        <f>'Evolutitve SCI'!N5</f>
        <v>13806660.59</v>
      </c>
      <c r="P38" s="55">
        <f>'Evolutitve SCI'!O5</f>
        <v>16279831.01</v>
      </c>
      <c r="Q38" s="55">
        <f>'Evolutitve SCI'!P5</f>
        <v>16279831</v>
      </c>
      <c r="R38" s="55">
        <f>'Evolutitve SCI'!Q5</f>
        <v>1287910.0900000001</v>
      </c>
      <c r="S38" s="55">
        <f>'Evolutitve SCI'!R5</f>
        <v>2464378.86</v>
      </c>
      <c r="T38" s="55">
        <f>'Evolutitve SCI'!S5</f>
        <v>4375359.9000000004</v>
      </c>
      <c r="U38" s="55">
        <f>'Evolutitve SCI'!T5</f>
        <v>6146687.2599999998</v>
      </c>
      <c r="V38" s="55">
        <f>'Evolutitve SCI'!U5</f>
        <v>7291788.4900000002</v>
      </c>
      <c r="W38" s="55">
        <f>'Evolutitve SCI'!V5</f>
        <v>8210233.6699999999</v>
      </c>
      <c r="X38" s="55">
        <f>'Evolutitve SCI'!W5</f>
        <v>9625651.8900000006</v>
      </c>
      <c r="Y38" s="55">
        <f>'Evolutitve SCI'!X5</f>
        <v>11155163.27</v>
      </c>
      <c r="Z38" s="55">
        <f>'Evolutitve SCI'!Y5</f>
        <v>12513315.609999999</v>
      </c>
      <c r="AA38" s="55">
        <f>'Evolutitve SCI'!Z5</f>
        <v>13427121.800000001</v>
      </c>
      <c r="AB38" s="55">
        <f>'Evolutitve SCI'!AA5</f>
        <v>14627893.74</v>
      </c>
      <c r="AC38" s="55">
        <f>'Evolutitve SCI'!AB5</f>
        <v>15893298.970000001</v>
      </c>
      <c r="AD38" s="55">
        <f>'Evolutitve SCI'!AC5</f>
        <v>16139597</v>
      </c>
      <c r="AE38" s="55">
        <f>'Evolutitve SCI'!AD5</f>
        <v>2789027.51</v>
      </c>
      <c r="AF38" s="55">
        <f>'Evolutitve SCI'!AE5</f>
        <v>4593922.66</v>
      </c>
      <c r="AG38" s="55">
        <f>'Evolutitve SCI'!AF5</f>
        <v>5902480.8099999996</v>
      </c>
      <c r="AH38" s="55">
        <f>'Evolutitve SCI'!AG5</f>
        <v>6908719.2400000002</v>
      </c>
      <c r="AI38" s="55">
        <f>'Evolutitve SCI'!AH5</f>
        <v>8115358.9199999999</v>
      </c>
      <c r="AJ38" s="55">
        <f>'Evolutitve SCI'!AI5</f>
        <v>0</v>
      </c>
      <c r="AK38" s="55">
        <f>'Evolutitve SCI'!AJ5</f>
        <v>0</v>
      </c>
      <c r="AL38" s="55">
        <f>'Evolutitve SCI'!AK5</f>
        <v>0</v>
      </c>
      <c r="AM38" s="55">
        <f>'Evolutitve SCI'!AL5</f>
        <v>0</v>
      </c>
      <c r="AN38" s="55">
        <f>'Evolutitve SCI'!AM5</f>
        <v>0</v>
      </c>
      <c r="AO38" s="55">
        <f>'Evolutitve SCI'!AN5</f>
        <v>0</v>
      </c>
      <c r="AP38" s="55">
        <f>'Evolutitve SCI'!AO5</f>
        <v>0</v>
      </c>
      <c r="AQ38" s="55">
        <f>'Evolutitve SCI'!AP5</f>
        <v>0</v>
      </c>
      <c r="AR38" s="55">
        <f>'Evolutitve SCI'!AQ5</f>
        <v>0</v>
      </c>
      <c r="AS38" s="55">
        <f>'Evolutitve SCI'!AR5</f>
        <v>0</v>
      </c>
      <c r="AT38" s="55">
        <f>'Evolutitve SCI'!AS5</f>
        <v>0</v>
      </c>
      <c r="AU38" s="55">
        <f>'Evolutitve SCI'!AT5</f>
        <v>0</v>
      </c>
      <c r="AV38" s="55">
        <f>'Evolutitve SCI'!AU5</f>
        <v>0</v>
      </c>
      <c r="AW38" s="55">
        <f>'Evolutitve SCI'!AV5</f>
        <v>0</v>
      </c>
      <c r="AX38" s="55">
        <f>'Evolutitve SCI'!AW5</f>
        <v>0</v>
      </c>
      <c r="AY38" s="55">
        <f>'Evolutitve SCI'!AX5</f>
        <v>0</v>
      </c>
    </row>
    <row r="39" spans="1:51" x14ac:dyDescent="0.3">
      <c r="A39" s="27">
        <v>9.1999999999999993</v>
      </c>
      <c r="B39" s="27" t="s">
        <v>185</v>
      </c>
      <c r="C39" s="55">
        <f>'Evolutitve SCI'!B7</f>
        <v>1743.4416368990005</v>
      </c>
      <c r="D39" s="55">
        <f>'Evolutitve SCI'!C7</f>
        <v>10363246</v>
      </c>
      <c r="E39" s="55">
        <f>'Evolutitve SCI'!D7</f>
        <v>1123994.72</v>
      </c>
      <c r="F39" s="55">
        <f>'Evolutitve SCI'!E7</f>
        <v>1028199.91</v>
      </c>
      <c r="G39" s="55">
        <f>'Evolutitve SCI'!F7</f>
        <v>1806.87</v>
      </c>
      <c r="H39" s="55">
        <f>'Evolutitve SCI'!G7</f>
        <v>2852935.31</v>
      </c>
      <c r="I39" s="55">
        <f>'Evolutitve SCI'!H7</f>
        <v>3425779.12</v>
      </c>
      <c r="J39" s="55">
        <f>'Evolutitve SCI'!I7</f>
        <v>4123807.4</v>
      </c>
      <c r="K39" s="55">
        <f>'Evolutitve SCI'!J7</f>
        <v>4834369.43</v>
      </c>
      <c r="L39" s="55">
        <f>'Evolutitve SCI'!K7</f>
        <v>5508561.3399999999</v>
      </c>
      <c r="M39" s="55">
        <f>'Evolutitve SCI'!L7</f>
        <v>6228164.04</v>
      </c>
      <c r="N39" s="55">
        <f>'Evolutitve SCI'!M7</f>
        <v>7006846.4000000004</v>
      </c>
      <c r="O39" s="55">
        <f>'Evolutitve SCI'!N7</f>
        <v>7439684.2300000004</v>
      </c>
      <c r="P39" s="55">
        <f>'Evolutitve SCI'!O7</f>
        <v>8567156.4600000009</v>
      </c>
      <c r="Q39" s="55">
        <f>'Evolutitve SCI'!P7</f>
        <v>9945034</v>
      </c>
      <c r="R39" s="55">
        <f>'Evolutitve SCI'!Q7</f>
        <v>413527.76</v>
      </c>
      <c r="S39" s="55">
        <f>'Evolutitve SCI'!R7</f>
        <v>1100703</v>
      </c>
      <c r="T39" s="55">
        <f>'Evolutitve SCI'!S7</f>
        <v>1557736.26</v>
      </c>
      <c r="U39" s="55">
        <f>'Evolutitve SCI'!T7</f>
        <v>2520603.7400000002</v>
      </c>
      <c r="V39" s="55">
        <f>'Evolutitve SCI'!U7</f>
        <v>3345737.01</v>
      </c>
      <c r="W39" s="55">
        <f>'Evolutitve SCI'!V7</f>
        <v>4461316.17</v>
      </c>
      <c r="X39" s="55">
        <f>'Evolutitve SCI'!W7</f>
        <v>5173618.88</v>
      </c>
      <c r="Y39" s="55">
        <f>'Evolutitve SCI'!X7</f>
        <v>6286124.9399999995</v>
      </c>
      <c r="Z39" s="55">
        <f>'Evolutitve SCI'!Y7</f>
        <v>7060315.8599999994</v>
      </c>
      <c r="AA39" s="55">
        <f>'Evolutitve SCI'!Z7</f>
        <v>7789792.9000000004</v>
      </c>
      <c r="AB39" s="55">
        <f>'Evolutitve SCI'!AA7</f>
        <v>8356144.3399999999</v>
      </c>
      <c r="AC39" s="55">
        <f>'Evolutitve SCI'!AB7</f>
        <v>10546837.52</v>
      </c>
      <c r="AD39" s="55">
        <f>'Evolutitve SCI'!AC7</f>
        <v>10734025</v>
      </c>
      <c r="AE39" s="55">
        <f>'Evolutitve SCI'!AD7</f>
        <v>471477.07</v>
      </c>
      <c r="AF39" s="55">
        <f>'Evolutitve SCI'!AE7</f>
        <v>866372.74</v>
      </c>
      <c r="AG39" s="55">
        <f>'Evolutitve SCI'!AF7</f>
        <v>1735553.09</v>
      </c>
      <c r="AH39" s="55">
        <f>'Evolutitve SCI'!AG7</f>
        <v>2643805.48</v>
      </c>
      <c r="AI39" s="55">
        <f>'Evolutitve SCI'!AH7</f>
        <v>3242537.1500000004</v>
      </c>
      <c r="AJ39" s="55">
        <f>'Evolutitve SCI'!AI7</f>
        <v>0</v>
      </c>
      <c r="AK39" s="55">
        <f>'Evolutitve SCI'!AJ7</f>
        <v>0</v>
      </c>
      <c r="AL39" s="55">
        <f>'Evolutitve SCI'!AK7</f>
        <v>0</v>
      </c>
      <c r="AM39" s="55">
        <f>'Evolutitve SCI'!AL7</f>
        <v>0</v>
      </c>
      <c r="AN39" s="55">
        <f>'Evolutitve SCI'!AM7</f>
        <v>0</v>
      </c>
      <c r="AO39" s="55">
        <f>'Evolutitve SCI'!AN7</f>
        <v>0</v>
      </c>
      <c r="AP39" s="55">
        <f>'Evolutitve SCI'!AO7</f>
        <v>0</v>
      </c>
      <c r="AQ39" s="55">
        <f>'Evolutitve SCI'!AP7</f>
        <v>0</v>
      </c>
      <c r="AR39" s="55">
        <f>'Evolutitve SCI'!AQ7</f>
        <v>0</v>
      </c>
      <c r="AS39" s="55">
        <f>'Evolutitve SCI'!AR7</f>
        <v>0</v>
      </c>
      <c r="AT39" s="55">
        <f>'Evolutitve SCI'!AS7</f>
        <v>0</v>
      </c>
      <c r="AU39" s="55">
        <f>'Evolutitve SCI'!AT7</f>
        <v>0</v>
      </c>
      <c r="AV39" s="55">
        <f>'Evolutitve SCI'!AU7</f>
        <v>0</v>
      </c>
      <c r="AW39" s="55">
        <f>'Evolutitve SCI'!AV7</f>
        <v>0</v>
      </c>
      <c r="AX39" s="55">
        <f>'Evolutitve SCI'!AW7</f>
        <v>0</v>
      </c>
      <c r="AY39" s="55">
        <f>'Evolutitve SCI'!AX7</f>
        <v>0</v>
      </c>
    </row>
    <row r="40" spans="1:51" x14ac:dyDescent="0.3">
      <c r="A40" s="27">
        <v>9.3000000000000007</v>
      </c>
      <c r="B40" s="27" t="s">
        <v>186</v>
      </c>
      <c r="C40" s="55">
        <f>'Evolutitve SCI'!B6</f>
        <v>910.37099999999998</v>
      </c>
      <c r="D40" s="55">
        <f>'Evolutitve SCI'!C6</f>
        <v>0</v>
      </c>
      <c r="E40" s="55">
        <f>'Evolutitve SCI'!D6</f>
        <v>155230</v>
      </c>
      <c r="F40" s="55">
        <f>'Evolutitve SCI'!E6</f>
        <v>247950</v>
      </c>
      <c r="G40" s="55">
        <f>'Evolutitve SCI'!F6</f>
        <v>308.5</v>
      </c>
      <c r="H40" s="55">
        <f>'Evolutitve SCI'!G6</f>
        <v>367670</v>
      </c>
      <c r="I40" s="55">
        <f>'Evolutitve SCI'!H6</f>
        <v>413290</v>
      </c>
      <c r="J40" s="55">
        <f>'Evolutitve SCI'!I6</f>
        <v>480770</v>
      </c>
      <c r="K40" s="55">
        <f>'Evolutitve SCI'!J6</f>
        <v>527950</v>
      </c>
      <c r="L40" s="55">
        <f>'Evolutitve SCI'!K6</f>
        <v>577650</v>
      </c>
      <c r="M40" s="55">
        <f>'Evolutitve SCI'!L6</f>
        <v>638260</v>
      </c>
      <c r="N40" s="55">
        <f>'Evolutitve SCI'!M6</f>
        <v>714775</v>
      </c>
      <c r="O40" s="55">
        <f>'Evolutitve SCI'!N6</f>
        <v>829325</v>
      </c>
      <c r="P40" s="55">
        <f>'Evolutitve SCI'!O6</f>
        <v>958390</v>
      </c>
      <c r="Q40" s="55">
        <f>'Evolutitve SCI'!P6</f>
        <v>958390</v>
      </c>
      <c r="R40" s="55">
        <f>'Evolutitve SCI'!Q6</f>
        <v>73760</v>
      </c>
      <c r="S40" s="55">
        <f>'Evolutitve SCI'!R6</f>
        <v>134660</v>
      </c>
      <c r="T40" s="55">
        <f>'Evolutitve SCI'!S6</f>
        <v>278470</v>
      </c>
      <c r="U40" s="55">
        <f>'Evolutitve SCI'!T6</f>
        <v>380630</v>
      </c>
      <c r="V40" s="55">
        <f>'Evolutitve SCI'!U6</f>
        <v>445520</v>
      </c>
      <c r="W40" s="55">
        <f>'Evolutitve SCI'!V6</f>
        <v>503320</v>
      </c>
      <c r="X40" s="55">
        <f>'Evolutitve SCI'!W6</f>
        <v>561020</v>
      </c>
      <c r="Y40" s="55">
        <f>'Evolutitve SCI'!X6</f>
        <v>769410</v>
      </c>
      <c r="Z40" s="55">
        <f>'Evolutitve SCI'!Y6</f>
        <v>852830</v>
      </c>
      <c r="AA40" s="55">
        <f>'Evolutitve SCI'!Z6</f>
        <v>895790</v>
      </c>
      <c r="AB40" s="55">
        <f>'Evolutitve SCI'!AA6</f>
        <v>963720</v>
      </c>
      <c r="AC40" s="55">
        <f>'Evolutitve SCI'!AB6</f>
        <v>1010645</v>
      </c>
      <c r="AD40" s="55">
        <f>'Evolutitve SCI'!AC6</f>
        <v>1010645</v>
      </c>
      <c r="AE40" s="55">
        <f>'Evolutitve SCI'!AD6</f>
        <v>118955</v>
      </c>
      <c r="AF40" s="55">
        <f>'Evolutitve SCI'!AE6</f>
        <v>218885</v>
      </c>
      <c r="AG40" s="55">
        <f>'Evolutitve SCI'!AF6</f>
        <v>305495</v>
      </c>
      <c r="AH40" s="55">
        <f>'Evolutitve SCI'!AG6</f>
        <v>355095</v>
      </c>
      <c r="AI40" s="55">
        <f>'Evolutitve SCI'!AH6</f>
        <v>417511</v>
      </c>
      <c r="AJ40" s="55">
        <f>'Evolutitve SCI'!AI6</f>
        <v>0</v>
      </c>
      <c r="AK40" s="55">
        <f>'Evolutitve SCI'!AJ6</f>
        <v>0</v>
      </c>
      <c r="AL40" s="55">
        <f>'Evolutitve SCI'!AK6</f>
        <v>0</v>
      </c>
      <c r="AM40" s="55">
        <f>'Evolutitve SCI'!AL6</f>
        <v>0</v>
      </c>
      <c r="AN40" s="55">
        <f>'Evolutitve SCI'!AM6</f>
        <v>0</v>
      </c>
      <c r="AO40" s="55">
        <f>'Evolutitve SCI'!AN6</f>
        <v>0</v>
      </c>
      <c r="AP40" s="55">
        <f>'Evolutitve SCI'!AO6</f>
        <v>0</v>
      </c>
      <c r="AQ40" s="55">
        <f>'Evolutitve SCI'!AP6</f>
        <v>0</v>
      </c>
      <c r="AR40" s="55">
        <f>'Evolutitve SCI'!AQ6</f>
        <v>0</v>
      </c>
      <c r="AS40" s="55">
        <f>'Evolutitve SCI'!AR6</f>
        <v>0</v>
      </c>
      <c r="AT40" s="55">
        <f>'Evolutitve SCI'!AS6</f>
        <v>0</v>
      </c>
      <c r="AU40" s="55">
        <f>'Evolutitve SCI'!AT6</f>
        <v>0</v>
      </c>
      <c r="AV40" s="55">
        <f>'Evolutitve SCI'!AU6</f>
        <v>0</v>
      </c>
      <c r="AW40" s="55">
        <f>'Evolutitve SCI'!AV6</f>
        <v>0</v>
      </c>
      <c r="AX40" s="55">
        <f>'Evolutitve SCI'!AW6</f>
        <v>0</v>
      </c>
      <c r="AY40" s="55">
        <f>'Evolutitve SCI'!AX6</f>
        <v>0</v>
      </c>
    </row>
    <row r="41" spans="1:51" x14ac:dyDescent="0.3">
      <c r="A41" s="27">
        <v>9.4</v>
      </c>
      <c r="B41" s="27" t="s">
        <v>187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</row>
    <row r="42" spans="1:51" x14ac:dyDescent="0.3">
      <c r="A42" s="27"/>
      <c r="B42" s="27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</row>
    <row r="43" spans="1:51" x14ac:dyDescent="0.3">
      <c r="A43" s="29">
        <v>10</v>
      </c>
      <c r="B43" s="35" t="s">
        <v>188</v>
      </c>
      <c r="C43" s="56">
        <f>SUM(C44:C47)</f>
        <v>11568.464599999999</v>
      </c>
      <c r="D43" s="56">
        <f>SUM(D44:D47)</f>
        <v>20030129</v>
      </c>
      <c r="E43" s="56">
        <f t="shared" ref="E43:V43" si="148">SUM(E44:E47)</f>
        <v>434760.35</v>
      </c>
      <c r="F43" s="56">
        <f t="shared" si="148"/>
        <v>2455315.54</v>
      </c>
      <c r="G43" s="56">
        <f t="shared" si="148"/>
        <v>595087.12</v>
      </c>
      <c r="H43" s="56">
        <f t="shared" si="148"/>
        <v>5005006.91</v>
      </c>
      <c r="I43" s="56">
        <f t="shared" si="148"/>
        <v>6083862.5899999999</v>
      </c>
      <c r="J43" s="56">
        <f t="shared" si="148"/>
        <v>8558515.1199999992</v>
      </c>
      <c r="K43" s="56">
        <f t="shared" si="148"/>
        <v>10018966</v>
      </c>
      <c r="L43" s="56">
        <f t="shared" si="148"/>
        <v>11449496.899999999</v>
      </c>
      <c r="M43" s="56">
        <f t="shared" si="148"/>
        <v>12571763.109999999</v>
      </c>
      <c r="N43" s="56">
        <f t="shared" si="148"/>
        <v>13668576.129999999</v>
      </c>
      <c r="O43" s="56">
        <f t="shared" si="148"/>
        <v>15037821.33</v>
      </c>
      <c r="P43" s="56">
        <f t="shared" si="148"/>
        <v>18575324.91</v>
      </c>
      <c r="Q43" s="56">
        <f t="shared" si="148"/>
        <v>21702394</v>
      </c>
      <c r="R43" s="56">
        <f t="shared" si="148"/>
        <v>1649218.9700000002</v>
      </c>
      <c r="S43" s="56">
        <f t="shared" si="148"/>
        <v>3368047.75</v>
      </c>
      <c r="T43" s="56">
        <f t="shared" si="148"/>
        <v>4074787.7300000004</v>
      </c>
      <c r="U43" s="56">
        <f t="shared" si="148"/>
        <v>5963808.9500000002</v>
      </c>
      <c r="V43" s="56">
        <f t="shared" si="148"/>
        <v>7406835.3200000003</v>
      </c>
      <c r="W43" s="56">
        <f t="shared" ref="W43" si="149">SUM(W44:W47)</f>
        <v>9839207.8300000001</v>
      </c>
      <c r="X43" s="56">
        <f t="shared" ref="X43" si="150">SUM(X44:X47)</f>
        <v>11503172.450000001</v>
      </c>
      <c r="Y43" s="56">
        <f t="shared" ref="Y43" si="151">SUM(Y44:Y47)</f>
        <v>13110389.77</v>
      </c>
      <c r="Z43" s="56">
        <f t="shared" ref="Z43" si="152">SUM(Z44:Z47)</f>
        <v>14656100.530000001</v>
      </c>
      <c r="AA43" s="56">
        <f t="shared" ref="AA43" si="153">SUM(AA44:AA47)</f>
        <v>15492737.330000002</v>
      </c>
      <c r="AB43" s="56">
        <f t="shared" ref="AB43" si="154">SUM(AB44:AB47)</f>
        <v>16786808.780000001</v>
      </c>
      <c r="AC43" s="56">
        <f t="shared" ref="AC43" si="155">SUM(AC44:AC47)</f>
        <v>20996390.550000001</v>
      </c>
      <c r="AD43" s="56">
        <f t="shared" ref="AD43" si="156">SUM(AD44:AD47)</f>
        <v>22654225</v>
      </c>
      <c r="AE43" s="56">
        <f t="shared" ref="AE43" si="157">SUM(AE44:AE47)</f>
        <v>996429.3</v>
      </c>
      <c r="AF43" s="56">
        <f t="shared" ref="AF43" si="158">SUM(AF44:AF47)</f>
        <v>1819974.2999999998</v>
      </c>
      <c r="AG43" s="56">
        <f t="shared" ref="AG43" si="159">SUM(AG44:AG47)</f>
        <v>3829819.34</v>
      </c>
      <c r="AH43" s="56">
        <f t="shared" ref="AH43" si="160">SUM(AH44:AH47)</f>
        <v>5241777.7699999996</v>
      </c>
      <c r="AI43" s="56">
        <f t="shared" ref="AI43" si="161">SUM(AI44:AI47)</f>
        <v>7249681.8199999994</v>
      </c>
      <c r="AJ43" s="56">
        <f t="shared" ref="AJ43" si="162">SUM(AJ44:AJ47)</f>
        <v>0</v>
      </c>
      <c r="AK43" s="56">
        <f t="shared" ref="AK43" si="163">SUM(AK44:AK47)</f>
        <v>0</v>
      </c>
      <c r="AL43" s="56">
        <f t="shared" ref="AL43" si="164">SUM(AL44:AL47)</f>
        <v>0</v>
      </c>
      <c r="AM43" s="56">
        <f t="shared" ref="AM43:AN43" si="165">SUM(AM44:AM47)</f>
        <v>0</v>
      </c>
      <c r="AN43" s="56">
        <f t="shared" si="165"/>
        <v>0</v>
      </c>
      <c r="AO43" s="56">
        <f t="shared" ref="AO43" si="166">SUM(AO44:AO47)</f>
        <v>0</v>
      </c>
      <c r="AP43" s="56">
        <f t="shared" ref="AP43" si="167">SUM(AP44:AP47)</f>
        <v>0</v>
      </c>
      <c r="AQ43" s="56">
        <f t="shared" ref="AQ43" si="168">SUM(AQ44:AQ47)</f>
        <v>0</v>
      </c>
      <c r="AR43" s="56">
        <f t="shared" ref="AR43" si="169">SUM(AR44:AR47)</f>
        <v>0</v>
      </c>
      <c r="AS43" s="56">
        <f t="shared" ref="AS43" si="170">SUM(AS44:AS47)</f>
        <v>0</v>
      </c>
      <c r="AT43" s="56">
        <f t="shared" ref="AT43" si="171">SUM(AT44:AT47)</f>
        <v>0</v>
      </c>
      <c r="AU43" s="56">
        <f t="shared" ref="AU43" si="172">SUM(AU44:AU47)</f>
        <v>0</v>
      </c>
      <c r="AV43" s="56">
        <f t="shared" ref="AV43" si="173">SUM(AV44:AV47)</f>
        <v>0</v>
      </c>
      <c r="AW43" s="56">
        <f t="shared" ref="AW43" si="174">SUM(AW44:AW47)</f>
        <v>0</v>
      </c>
      <c r="AX43" s="56">
        <f t="shared" ref="AX43" si="175">SUM(AX44:AX47)</f>
        <v>0</v>
      </c>
      <c r="AY43" s="56">
        <f t="shared" ref="AY43" si="176">SUM(AY44:AY47)</f>
        <v>0</v>
      </c>
    </row>
    <row r="44" spans="1:51" x14ac:dyDescent="0.3">
      <c r="A44" s="27">
        <v>10.1</v>
      </c>
      <c r="B44" s="27" t="s">
        <v>189</v>
      </c>
      <c r="C44" s="55">
        <f>'Evolutitve SCI'!B13+'Evolutitve SCI'!B16</f>
        <v>185.36</v>
      </c>
      <c r="D44" s="55">
        <f>'Evolutitve SCI'!C13+'Evolutitve SCI'!C16</f>
        <v>1954946</v>
      </c>
      <c r="E44" s="55">
        <f>'Evolutitve SCI'!D13+'Evolutitve SCI'!D16</f>
        <v>0</v>
      </c>
      <c r="F44" s="55">
        <f>'Evolutitve SCI'!E13+'Evolutitve SCI'!E16</f>
        <v>0</v>
      </c>
      <c r="G44" s="55">
        <f>'Evolutitve SCI'!F13+'Evolutitve SCI'!F16</f>
        <v>0</v>
      </c>
      <c r="H44" s="55">
        <f>'Evolutitve SCI'!G13+'Evolutitve SCI'!G16</f>
        <v>0</v>
      </c>
      <c r="I44" s="55">
        <f>'Evolutitve SCI'!H13+'Evolutitve SCI'!H16</f>
        <v>0</v>
      </c>
      <c r="J44" s="55">
        <f>'Evolutitve SCI'!I13+'Evolutitve SCI'!I16</f>
        <v>0</v>
      </c>
      <c r="K44" s="55">
        <f>'Evolutitve SCI'!J13+'Evolutitve SCI'!J16</f>
        <v>0</v>
      </c>
      <c r="L44" s="55">
        <f>'Evolutitve SCI'!K13+'Evolutitve SCI'!K16</f>
        <v>0</v>
      </c>
      <c r="M44" s="55">
        <f>'Evolutitve SCI'!L13+'Evolutitve SCI'!L16</f>
        <v>0</v>
      </c>
      <c r="N44" s="55">
        <f>'Evolutitve SCI'!M13+'Evolutitve SCI'!M16</f>
        <v>0</v>
      </c>
      <c r="O44" s="55">
        <f>'Evolutitve SCI'!N13+'Evolutitve SCI'!N16</f>
        <v>0</v>
      </c>
      <c r="P44" s="55">
        <f>'Evolutitve SCI'!O13+'Evolutitve SCI'!O16</f>
        <v>0</v>
      </c>
      <c r="Q44" s="55">
        <f>'Evolutitve SCI'!P13+'Evolutitve SCI'!P16</f>
        <v>2259165</v>
      </c>
      <c r="R44" s="55">
        <f>'Evolutitve SCI'!Q13+'Evolutitve SCI'!Q16</f>
        <v>0</v>
      </c>
      <c r="S44" s="55">
        <f>'Evolutitve SCI'!R13+'Evolutitve SCI'!R16</f>
        <v>0</v>
      </c>
      <c r="T44" s="55">
        <f>'Evolutitve SCI'!S13+'Evolutitve SCI'!S16</f>
        <v>0</v>
      </c>
      <c r="U44" s="55">
        <f>'Evolutitve SCI'!T13+'Evolutitve SCI'!T16</f>
        <v>0</v>
      </c>
      <c r="V44" s="55">
        <f>'Evolutitve SCI'!U13+'Evolutitve SCI'!U16</f>
        <v>0</v>
      </c>
      <c r="W44" s="55">
        <f>'Evolutitve SCI'!V13+'Evolutitve SCI'!V16</f>
        <v>0</v>
      </c>
      <c r="X44" s="55">
        <f>'Evolutitve SCI'!W13+'Evolutitve SCI'!W16</f>
        <v>0</v>
      </c>
      <c r="Y44" s="55">
        <f>'Evolutitve SCI'!X13+'Evolutitve SCI'!X16</f>
        <v>0</v>
      </c>
      <c r="Z44" s="55">
        <f>'Evolutitve SCI'!Y13+'Evolutitve SCI'!Y16</f>
        <v>0</v>
      </c>
      <c r="AA44" s="55">
        <f>'Evolutitve SCI'!Z13+'Evolutitve SCI'!Z16</f>
        <v>0</v>
      </c>
      <c r="AB44" s="55">
        <f>'Evolutitve SCI'!AA13+'Evolutitve SCI'!AA16</f>
        <v>0</v>
      </c>
      <c r="AC44" s="55">
        <f>'Evolutitve SCI'!AB13+'Evolutitve SCI'!AB16</f>
        <v>0</v>
      </c>
      <c r="AD44" s="55">
        <f>'Evolutitve SCI'!AC13+'Evolutitve SCI'!AC16</f>
        <v>1315429</v>
      </c>
      <c r="AE44" s="55">
        <f>'Evolutitve SCI'!AD13+'Evolutitve SCI'!AD16</f>
        <v>0</v>
      </c>
      <c r="AF44" s="55">
        <f>'Evolutitve SCI'!AE13+'Evolutitve SCI'!AE16</f>
        <v>0</v>
      </c>
      <c r="AG44" s="55">
        <f>'Evolutitve SCI'!AF13+'Evolutitve SCI'!AF16</f>
        <v>0</v>
      </c>
      <c r="AH44" s="55">
        <f>'Evolutitve SCI'!AG13+'Evolutitve SCI'!AG16</f>
        <v>0</v>
      </c>
      <c r="AI44" s="55">
        <f>'Evolutitve SCI'!AH13+'Evolutitve SCI'!AH16</f>
        <v>0</v>
      </c>
      <c r="AJ44" s="55">
        <f>'Evolutitve SCI'!AI13+'Evolutitve SCI'!AI16</f>
        <v>0</v>
      </c>
      <c r="AK44" s="55">
        <f>'Evolutitve SCI'!AJ13+'Evolutitve SCI'!AJ16</f>
        <v>0</v>
      </c>
      <c r="AL44" s="55">
        <f>'Evolutitve SCI'!AK13+'Evolutitve SCI'!AK16</f>
        <v>0</v>
      </c>
      <c r="AM44" s="55">
        <f>'Evolutitve SCI'!AL13+'Evolutitve SCI'!AL16</f>
        <v>0</v>
      </c>
      <c r="AN44" s="55">
        <f>'Evolutitve SCI'!AM13+'Evolutitve SCI'!AM16</f>
        <v>0</v>
      </c>
      <c r="AO44" s="55">
        <f>'Evolutitve SCI'!AN13+'Evolutitve SCI'!AN16</f>
        <v>0</v>
      </c>
      <c r="AP44" s="55">
        <f>'Evolutitve SCI'!AO13+'Evolutitve SCI'!AO16</f>
        <v>0</v>
      </c>
      <c r="AQ44" s="55">
        <f>'Evolutitve SCI'!AP13+'Evolutitve SCI'!AP16</f>
        <v>0</v>
      </c>
      <c r="AR44" s="55">
        <f>'Evolutitve SCI'!AQ13+'Evolutitve SCI'!AQ16</f>
        <v>0</v>
      </c>
      <c r="AS44" s="55">
        <f>'Evolutitve SCI'!AR13+'Evolutitve SCI'!AR16</f>
        <v>0</v>
      </c>
      <c r="AT44" s="55">
        <f>'Evolutitve SCI'!AS13+'Evolutitve SCI'!AS16</f>
        <v>0</v>
      </c>
      <c r="AU44" s="55">
        <f>'Evolutitve SCI'!AT13+'Evolutitve SCI'!AT16</f>
        <v>0</v>
      </c>
      <c r="AV44" s="55">
        <f>'Evolutitve SCI'!AU13+'Evolutitve SCI'!AU16</f>
        <v>0</v>
      </c>
      <c r="AW44" s="55">
        <f>'Evolutitve SCI'!AV13+'Evolutitve SCI'!AV16</f>
        <v>0</v>
      </c>
      <c r="AX44" s="55">
        <f>'Evolutitve SCI'!AW13+'Evolutitve SCI'!AW16</f>
        <v>0</v>
      </c>
      <c r="AY44" s="55">
        <f>'Evolutitve SCI'!AX13+'Evolutitve SCI'!AX16</f>
        <v>0</v>
      </c>
    </row>
    <row r="45" spans="1:51" x14ac:dyDescent="0.3">
      <c r="A45" s="27">
        <v>10.199999999999999</v>
      </c>
      <c r="B45" s="27" t="s">
        <v>190</v>
      </c>
      <c r="C45" s="55">
        <f>'Evolutitve SCI'!B15</f>
        <v>0</v>
      </c>
      <c r="D45" s="55">
        <f>'Evolutitve SCI'!C15</f>
        <v>0</v>
      </c>
      <c r="E45" s="55">
        <f>'Evolutitve SCI'!D15</f>
        <v>0</v>
      </c>
      <c r="F45" s="55">
        <f>'Evolutitve SCI'!E15</f>
        <v>0</v>
      </c>
      <c r="G45" s="55">
        <f>'Evolutitve SCI'!F15</f>
        <v>0</v>
      </c>
      <c r="H45" s="55">
        <f>'Evolutitve SCI'!G15</f>
        <v>0</v>
      </c>
      <c r="I45" s="55">
        <f>'Evolutitve SCI'!H15</f>
        <v>0</v>
      </c>
      <c r="J45" s="55">
        <f>'Evolutitve SCI'!I15</f>
        <v>0</v>
      </c>
      <c r="K45" s="55">
        <f>'Evolutitve SCI'!J15</f>
        <v>0</v>
      </c>
      <c r="L45" s="55">
        <f>'Evolutitve SCI'!K15</f>
        <v>0</v>
      </c>
      <c r="M45" s="55">
        <f>'Evolutitve SCI'!L15</f>
        <v>0</v>
      </c>
      <c r="N45" s="55">
        <f>'Evolutitve SCI'!M15</f>
        <v>0</v>
      </c>
      <c r="O45" s="55">
        <f>'Evolutitve SCI'!N15</f>
        <v>0</v>
      </c>
      <c r="P45" s="55">
        <f>'Evolutitve SCI'!O15</f>
        <v>0</v>
      </c>
      <c r="Q45" s="55">
        <f>'Evolutitve SCI'!P15</f>
        <v>0</v>
      </c>
      <c r="R45" s="55">
        <f>'Evolutitve SCI'!Q15</f>
        <v>0</v>
      </c>
      <c r="S45" s="55">
        <f>'Evolutitve SCI'!R15</f>
        <v>0</v>
      </c>
      <c r="T45" s="55">
        <f>'Evolutitve SCI'!S15</f>
        <v>0</v>
      </c>
      <c r="U45" s="55">
        <f>'Evolutitve SCI'!T15</f>
        <v>0</v>
      </c>
      <c r="V45" s="55">
        <f>'Evolutitve SCI'!U15</f>
        <v>0</v>
      </c>
      <c r="W45" s="55">
        <f>'Evolutitve SCI'!V15</f>
        <v>0</v>
      </c>
      <c r="X45" s="55">
        <f>'Evolutitve SCI'!W15</f>
        <v>0</v>
      </c>
      <c r="Y45" s="55">
        <f>'Evolutitve SCI'!X15</f>
        <v>0</v>
      </c>
      <c r="Z45" s="55">
        <f>'Evolutitve SCI'!Y15</f>
        <v>0</v>
      </c>
      <c r="AA45" s="55">
        <f>'Evolutitve SCI'!Z15</f>
        <v>0</v>
      </c>
      <c r="AB45" s="55">
        <f>'Evolutitve SCI'!AA15</f>
        <v>0</v>
      </c>
      <c r="AC45" s="55">
        <f>'Evolutitve SCI'!AB15</f>
        <v>0</v>
      </c>
      <c r="AD45" s="55">
        <f>'Evolutitve SCI'!AC15</f>
        <v>0</v>
      </c>
      <c r="AE45" s="55">
        <f>'Evolutitve SCI'!AD15</f>
        <v>0</v>
      </c>
      <c r="AF45" s="55">
        <f>'Evolutitve SCI'!AE15</f>
        <v>0</v>
      </c>
      <c r="AG45" s="55">
        <f>'Evolutitve SCI'!AF15</f>
        <v>0</v>
      </c>
      <c r="AH45" s="55">
        <f>'Evolutitve SCI'!AG15</f>
        <v>0</v>
      </c>
      <c r="AI45" s="55">
        <f>'Evolutitve SCI'!AH15</f>
        <v>0</v>
      </c>
      <c r="AJ45" s="55">
        <f>'Evolutitve SCI'!AI15</f>
        <v>0</v>
      </c>
      <c r="AK45" s="55">
        <f>'Evolutitve SCI'!AJ15</f>
        <v>0</v>
      </c>
      <c r="AL45" s="55">
        <f>'Evolutitve SCI'!AK15</f>
        <v>0</v>
      </c>
      <c r="AM45" s="55">
        <f>'Evolutitve SCI'!AL15</f>
        <v>0</v>
      </c>
      <c r="AN45" s="55">
        <f>'Evolutitve SCI'!AM15</f>
        <v>0</v>
      </c>
      <c r="AO45" s="55">
        <f>'Evolutitve SCI'!AN15</f>
        <v>0</v>
      </c>
      <c r="AP45" s="55">
        <f>'Evolutitve SCI'!AO15</f>
        <v>0</v>
      </c>
      <c r="AQ45" s="55">
        <f>'Evolutitve SCI'!AP15</f>
        <v>0</v>
      </c>
      <c r="AR45" s="55">
        <f>'Evolutitve SCI'!AQ15</f>
        <v>0</v>
      </c>
      <c r="AS45" s="55">
        <f>'Evolutitve SCI'!AR15</f>
        <v>0</v>
      </c>
      <c r="AT45" s="55">
        <f>'Evolutitve SCI'!AS15</f>
        <v>0</v>
      </c>
      <c r="AU45" s="55">
        <f>'Evolutitve SCI'!AT15</f>
        <v>0</v>
      </c>
      <c r="AV45" s="55">
        <f>'Evolutitve SCI'!AU15</f>
        <v>0</v>
      </c>
      <c r="AW45" s="55">
        <f>'Evolutitve SCI'!AV15</f>
        <v>0</v>
      </c>
      <c r="AX45" s="55">
        <f>'Evolutitve SCI'!AW15</f>
        <v>0</v>
      </c>
      <c r="AY45" s="55">
        <f>'Evolutitve SCI'!AX15</f>
        <v>0</v>
      </c>
    </row>
    <row r="46" spans="1:51" x14ac:dyDescent="0.3">
      <c r="A46" s="27">
        <v>10.3</v>
      </c>
      <c r="B46" s="27" t="s">
        <v>191</v>
      </c>
      <c r="C46" s="55">
        <f>'Evolutitve SCI'!B14</f>
        <v>363.72469999999998</v>
      </c>
      <c r="D46" s="55">
        <f>'Evolutitve SCI'!C14</f>
        <v>0</v>
      </c>
      <c r="E46" s="55">
        <f>'Evolutitve SCI'!D14</f>
        <v>0</v>
      </c>
      <c r="F46" s="55">
        <f>'Evolutitve SCI'!E14</f>
        <v>0</v>
      </c>
      <c r="G46" s="55">
        <f>'Evolutitve SCI'!F14</f>
        <v>0</v>
      </c>
      <c r="H46" s="55">
        <f>'Evolutitve SCI'!G14</f>
        <v>0</v>
      </c>
      <c r="I46" s="55">
        <f>'Evolutitve SCI'!H14</f>
        <v>0</v>
      </c>
      <c r="J46" s="55">
        <f>'Evolutitve SCI'!I14</f>
        <v>0</v>
      </c>
      <c r="K46" s="55">
        <f>'Evolutitve SCI'!J14</f>
        <v>0</v>
      </c>
      <c r="L46" s="55">
        <f>'Evolutitve SCI'!K14</f>
        <v>0</v>
      </c>
      <c r="M46" s="55">
        <f>'Evolutitve SCI'!L14</f>
        <v>0</v>
      </c>
      <c r="N46" s="55">
        <f>'Evolutitve SCI'!M14</f>
        <v>0</v>
      </c>
      <c r="O46" s="55">
        <f>'Evolutitve SCI'!N14</f>
        <v>0</v>
      </c>
      <c r="P46" s="55">
        <f>'Evolutitve SCI'!O14</f>
        <v>0</v>
      </c>
      <c r="Q46" s="55">
        <f>'Evolutitve SCI'!P14</f>
        <v>0</v>
      </c>
      <c r="R46" s="55">
        <f>'Evolutitve SCI'!Q14</f>
        <v>0</v>
      </c>
      <c r="S46" s="55">
        <f>'Evolutitve SCI'!R14</f>
        <v>0</v>
      </c>
      <c r="T46" s="55">
        <f>'Evolutitve SCI'!S14</f>
        <v>0</v>
      </c>
      <c r="U46" s="55">
        <f>'Evolutitve SCI'!T14</f>
        <v>0</v>
      </c>
      <c r="V46" s="55">
        <f>'Evolutitve SCI'!U14</f>
        <v>0</v>
      </c>
      <c r="W46" s="55">
        <f>'Evolutitve SCI'!V14</f>
        <v>0</v>
      </c>
      <c r="X46" s="55">
        <f>'Evolutitve SCI'!W14</f>
        <v>0</v>
      </c>
      <c r="Y46" s="55">
        <f>'Evolutitve SCI'!X14</f>
        <v>0</v>
      </c>
      <c r="Z46" s="55">
        <f>'Evolutitve SCI'!Y14</f>
        <v>0</v>
      </c>
      <c r="AA46" s="55">
        <f>'Evolutitve SCI'!Z14</f>
        <v>0</v>
      </c>
      <c r="AB46" s="55">
        <f>'Evolutitve SCI'!AA14</f>
        <v>0</v>
      </c>
      <c r="AC46" s="55">
        <f>'Evolutitve SCI'!AB14</f>
        <v>0</v>
      </c>
      <c r="AD46" s="55">
        <f>'Evolutitve SCI'!AC14</f>
        <v>0</v>
      </c>
      <c r="AE46" s="55">
        <f>'Evolutitve SCI'!AD14</f>
        <v>0</v>
      </c>
      <c r="AF46" s="55">
        <f>'Evolutitve SCI'!AE14</f>
        <v>0</v>
      </c>
      <c r="AG46" s="55">
        <f>'Evolutitve SCI'!AF14</f>
        <v>0</v>
      </c>
      <c r="AH46" s="55">
        <f>'Evolutitve SCI'!AG14</f>
        <v>0</v>
      </c>
      <c r="AI46" s="55">
        <f>'Evolutitve SCI'!AH14</f>
        <v>0</v>
      </c>
      <c r="AJ46" s="55">
        <f>'Evolutitve SCI'!AI14</f>
        <v>0</v>
      </c>
      <c r="AK46" s="55">
        <f>'Evolutitve SCI'!AJ14</f>
        <v>0</v>
      </c>
      <c r="AL46" s="55">
        <f>'Evolutitve SCI'!AK14</f>
        <v>0</v>
      </c>
      <c r="AM46" s="55">
        <f>'Evolutitve SCI'!AL14</f>
        <v>0</v>
      </c>
      <c r="AN46" s="55">
        <f>'Evolutitve SCI'!AM14</f>
        <v>0</v>
      </c>
      <c r="AO46" s="55">
        <f>'Evolutitve SCI'!AN14</f>
        <v>0</v>
      </c>
      <c r="AP46" s="55">
        <f>'Evolutitve SCI'!AO14</f>
        <v>0</v>
      </c>
      <c r="AQ46" s="55">
        <f>'Evolutitve SCI'!AP14</f>
        <v>0</v>
      </c>
      <c r="AR46" s="55">
        <f>'Evolutitve SCI'!AQ14</f>
        <v>0</v>
      </c>
      <c r="AS46" s="55">
        <f>'Evolutitve SCI'!AR14</f>
        <v>0</v>
      </c>
      <c r="AT46" s="55">
        <f>'Evolutitve SCI'!AS14</f>
        <v>0</v>
      </c>
      <c r="AU46" s="55">
        <f>'Evolutitve SCI'!AT14</f>
        <v>0</v>
      </c>
      <c r="AV46" s="55">
        <f>'Evolutitve SCI'!AU14</f>
        <v>0</v>
      </c>
      <c r="AW46" s="55">
        <f>'Evolutitve SCI'!AV14</f>
        <v>0</v>
      </c>
      <c r="AX46" s="55">
        <f>'Evolutitve SCI'!AW14</f>
        <v>0</v>
      </c>
      <c r="AY46" s="55">
        <f>'Evolutitve SCI'!AX14</f>
        <v>0</v>
      </c>
    </row>
    <row r="47" spans="1:51" x14ac:dyDescent="0.3">
      <c r="A47" s="27">
        <v>10.4</v>
      </c>
      <c r="B47" s="27" t="s">
        <v>192</v>
      </c>
      <c r="C47" s="55">
        <f>'Evolutitve SCI'!B23</f>
        <v>11019.3799</v>
      </c>
      <c r="D47" s="55">
        <f>'Evolutitve SCI'!C23</f>
        <v>18075183</v>
      </c>
      <c r="E47" s="55">
        <f>'Evolutitve SCI'!D23</f>
        <v>434760.35</v>
      </c>
      <c r="F47" s="55">
        <f>'Evolutitve SCI'!E23</f>
        <v>2455315.54</v>
      </c>
      <c r="G47" s="55">
        <f>'Evolutitve SCI'!F23</f>
        <v>595087.12</v>
      </c>
      <c r="H47" s="55">
        <f>'Evolutitve SCI'!G23</f>
        <v>5005006.91</v>
      </c>
      <c r="I47" s="55">
        <f>'Evolutitve SCI'!H23</f>
        <v>6083862.5899999999</v>
      </c>
      <c r="J47" s="55">
        <f>'Evolutitve SCI'!I23</f>
        <v>8558515.1199999992</v>
      </c>
      <c r="K47" s="55">
        <f>'Evolutitve SCI'!J23</f>
        <v>10018966</v>
      </c>
      <c r="L47" s="55">
        <f>'Evolutitve SCI'!K23</f>
        <v>11449496.899999999</v>
      </c>
      <c r="M47" s="55">
        <f>'Evolutitve SCI'!L23</f>
        <v>12571763.109999999</v>
      </c>
      <c r="N47" s="55">
        <f>'Evolutitve SCI'!M23</f>
        <v>13668576.129999999</v>
      </c>
      <c r="O47" s="55">
        <f>'Evolutitve SCI'!N23</f>
        <v>15037821.33</v>
      </c>
      <c r="P47" s="55">
        <f>'Evolutitve SCI'!O23</f>
        <v>18575324.91</v>
      </c>
      <c r="Q47" s="55">
        <f>'Evolutitve SCI'!P23</f>
        <v>19443229</v>
      </c>
      <c r="R47" s="55">
        <f>'Evolutitve SCI'!Q23</f>
        <v>1649218.9700000002</v>
      </c>
      <c r="S47" s="55">
        <f>'Evolutitve SCI'!R23</f>
        <v>3368047.75</v>
      </c>
      <c r="T47" s="55">
        <f>'Evolutitve SCI'!S23</f>
        <v>4074787.7300000004</v>
      </c>
      <c r="U47" s="55">
        <f>'Evolutitve SCI'!T23</f>
        <v>5963808.9500000002</v>
      </c>
      <c r="V47" s="55">
        <f>'Evolutitve SCI'!U23</f>
        <v>7406835.3200000003</v>
      </c>
      <c r="W47" s="55">
        <f>'Evolutitve SCI'!V23</f>
        <v>9839207.8300000001</v>
      </c>
      <c r="X47" s="55">
        <f>'Evolutitve SCI'!W23</f>
        <v>11503172.450000001</v>
      </c>
      <c r="Y47" s="55">
        <f>'Evolutitve SCI'!X23</f>
        <v>13110389.77</v>
      </c>
      <c r="Z47" s="55">
        <f>'Evolutitve SCI'!Y23</f>
        <v>14656100.530000001</v>
      </c>
      <c r="AA47" s="55">
        <f>'Evolutitve SCI'!Z23</f>
        <v>15492737.330000002</v>
      </c>
      <c r="AB47" s="55">
        <f>'Evolutitve SCI'!AA23</f>
        <v>16786808.780000001</v>
      </c>
      <c r="AC47" s="55">
        <f>'Evolutitve SCI'!AB23</f>
        <v>20996390.550000001</v>
      </c>
      <c r="AD47" s="55">
        <f>'Evolutitve SCI'!AC23</f>
        <v>21338796</v>
      </c>
      <c r="AE47" s="55">
        <f>'Evolutitve SCI'!AD23</f>
        <v>996429.3</v>
      </c>
      <c r="AF47" s="55">
        <f>'Evolutitve SCI'!AE23</f>
        <v>1819974.2999999998</v>
      </c>
      <c r="AG47" s="55">
        <f>'Evolutitve SCI'!AF23</f>
        <v>3829819.34</v>
      </c>
      <c r="AH47" s="55">
        <f>'Evolutitve SCI'!AG23</f>
        <v>5241777.7699999996</v>
      </c>
      <c r="AI47" s="55">
        <f>'Evolutitve SCI'!AH23</f>
        <v>7249681.8199999994</v>
      </c>
      <c r="AJ47" s="55">
        <f>'Evolutitve SCI'!AI23</f>
        <v>0</v>
      </c>
      <c r="AK47" s="55">
        <f>'Evolutitve SCI'!AJ23</f>
        <v>0</v>
      </c>
      <c r="AL47" s="55">
        <f>'Evolutitve SCI'!AK23</f>
        <v>0</v>
      </c>
      <c r="AM47" s="55">
        <f>'Evolutitve SCI'!AL23</f>
        <v>0</v>
      </c>
      <c r="AN47" s="55">
        <f>'Evolutitve SCI'!AM23</f>
        <v>0</v>
      </c>
      <c r="AO47" s="55">
        <f>'Evolutitve SCI'!AN23</f>
        <v>0</v>
      </c>
      <c r="AP47" s="55">
        <f>'Evolutitve SCI'!AO23</f>
        <v>0</v>
      </c>
      <c r="AQ47" s="55">
        <f>'Evolutitve SCI'!AP23</f>
        <v>0</v>
      </c>
      <c r="AR47" s="55">
        <f>'Evolutitve SCI'!AQ23</f>
        <v>0</v>
      </c>
      <c r="AS47" s="55">
        <f>'Evolutitve SCI'!AR23</f>
        <v>0</v>
      </c>
      <c r="AT47" s="55">
        <f>'Evolutitve SCI'!AS23</f>
        <v>0</v>
      </c>
      <c r="AU47" s="55">
        <f>'Evolutitve SCI'!AT23</f>
        <v>0</v>
      </c>
      <c r="AV47" s="55">
        <f>'Evolutitve SCI'!AU23</f>
        <v>0</v>
      </c>
      <c r="AW47" s="55">
        <f>'Evolutitve SCI'!AV23</f>
        <v>0</v>
      </c>
      <c r="AX47" s="55">
        <f>'Evolutitve SCI'!AW23</f>
        <v>0</v>
      </c>
      <c r="AY47" s="55">
        <f>'Evolutitve SCI'!AX23</f>
        <v>0</v>
      </c>
    </row>
  </sheetData>
  <pageMargins left="0.7" right="0.7" top="0.75" bottom="0.75" header="0.3" footer="0.3"/>
  <pageSetup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Y30"/>
  <sheetViews>
    <sheetView workbookViewId="0">
      <pane xSplit="2" ySplit="3" topLeftCell="AZ4" activePane="bottomRight" state="frozen"/>
      <selection pane="topRight" activeCell="C1" sqref="C1"/>
      <selection pane="bottomLeft" activeCell="A4" sqref="A4"/>
      <selection pane="bottomRight" activeCell="U1" sqref="U1:BY1048576"/>
    </sheetView>
  </sheetViews>
  <sheetFormatPr defaultRowHeight="14.4" x14ac:dyDescent="0.3"/>
  <cols>
    <col min="1" max="1" width="13.5546875" bestFit="1" customWidth="1"/>
    <col min="2" max="2" width="10.44140625" bestFit="1" customWidth="1"/>
    <col min="3" max="4" width="12.88671875" bestFit="1" customWidth="1"/>
    <col min="5" max="5" width="12.5546875" bestFit="1" customWidth="1"/>
    <col min="6" max="7" width="12.88671875" bestFit="1" customWidth="1"/>
    <col min="8" max="9" width="12.5546875" bestFit="1" customWidth="1"/>
    <col min="10" max="10" width="6.5546875" bestFit="1" customWidth="1"/>
    <col min="11" max="11" width="7" bestFit="1" customWidth="1"/>
    <col min="12" max="12" width="7.33203125" bestFit="1" customWidth="1"/>
    <col min="13" max="13" width="6.88671875" bestFit="1" customWidth="1"/>
    <col min="14" max="14" width="7.5546875" bestFit="1" customWidth="1"/>
    <col min="15" max="15" width="9.33203125" customWidth="1"/>
    <col min="16" max="16" width="10.109375" customWidth="1"/>
    <col min="17" max="17" width="12" customWidth="1"/>
    <col min="18" max="18" width="14.33203125" customWidth="1"/>
    <col min="19" max="19" width="10.6640625" customWidth="1"/>
    <col min="20" max="20" width="10.44140625" customWidth="1"/>
    <col min="21" max="77" width="12.109375" customWidth="1"/>
  </cols>
  <sheetData>
    <row r="2" spans="1:77" ht="26.4" thickBot="1" x14ac:dyDescent="0.55000000000000004">
      <c r="A2" s="249" t="s">
        <v>193</v>
      </c>
      <c r="B2" s="250"/>
      <c r="C2" s="250"/>
      <c r="D2" s="250"/>
      <c r="E2" s="250"/>
      <c r="F2" s="251"/>
    </row>
    <row r="3" spans="1:77" ht="40.200000000000003" x14ac:dyDescent="0.3">
      <c r="A3" s="109" t="s">
        <v>194</v>
      </c>
      <c r="B3" s="110" t="s">
        <v>195</v>
      </c>
      <c r="C3" s="111" t="s">
        <v>0</v>
      </c>
      <c r="D3" s="111" t="s">
        <v>196</v>
      </c>
      <c r="E3" s="140">
        <v>44197.120173611111</v>
      </c>
      <c r="F3" s="140">
        <v>44229</v>
      </c>
      <c r="G3" s="140">
        <v>44258</v>
      </c>
      <c r="H3" s="140">
        <v>44290</v>
      </c>
      <c r="I3" s="140">
        <v>44321</v>
      </c>
      <c r="J3" s="140">
        <v>44353</v>
      </c>
      <c r="K3" s="140">
        <v>44384</v>
      </c>
      <c r="L3" s="140">
        <v>44416</v>
      </c>
      <c r="M3" s="140">
        <v>44448</v>
      </c>
      <c r="N3" s="140">
        <v>44479</v>
      </c>
      <c r="O3" s="140">
        <v>44511</v>
      </c>
      <c r="P3" s="140">
        <v>44542</v>
      </c>
      <c r="Q3" s="112" t="s">
        <v>2</v>
      </c>
      <c r="R3" s="112">
        <v>44562</v>
      </c>
      <c r="S3" s="112">
        <v>44593</v>
      </c>
      <c r="T3" s="112">
        <v>44621</v>
      </c>
      <c r="U3" s="112">
        <v>44652</v>
      </c>
      <c r="V3" s="112">
        <v>44682</v>
      </c>
      <c r="W3" s="112">
        <v>44713</v>
      </c>
      <c r="X3" s="112">
        <v>44743</v>
      </c>
      <c r="Y3" s="112">
        <v>44774</v>
      </c>
      <c r="Z3" s="112">
        <v>44805</v>
      </c>
      <c r="AA3" s="112">
        <v>44835</v>
      </c>
      <c r="AB3" s="112">
        <v>44866</v>
      </c>
      <c r="AC3" s="112">
        <v>44896</v>
      </c>
      <c r="AD3" s="112">
        <v>44927</v>
      </c>
      <c r="AE3" s="112">
        <v>44958</v>
      </c>
      <c r="AF3" s="112">
        <v>44986</v>
      </c>
      <c r="AG3" s="112">
        <v>45017</v>
      </c>
      <c r="AH3" s="112">
        <v>45047</v>
      </c>
      <c r="AI3" s="112">
        <v>45078</v>
      </c>
      <c r="AJ3" s="112">
        <v>45108</v>
      </c>
      <c r="AK3" s="112">
        <v>45139</v>
      </c>
      <c r="AL3" s="112">
        <v>45170</v>
      </c>
      <c r="AM3" s="112">
        <v>45200</v>
      </c>
      <c r="AN3" s="112">
        <v>45231</v>
      </c>
      <c r="AO3" s="112">
        <v>45261</v>
      </c>
      <c r="AP3" s="112">
        <v>45292</v>
      </c>
      <c r="AQ3" s="112">
        <v>45323</v>
      </c>
      <c r="AR3" s="112">
        <v>45352</v>
      </c>
      <c r="AS3" s="112">
        <v>45383</v>
      </c>
      <c r="AT3" s="112">
        <v>45413</v>
      </c>
      <c r="AU3" s="112">
        <v>45444</v>
      </c>
      <c r="AV3" s="112">
        <v>45474</v>
      </c>
      <c r="AW3" s="112">
        <v>45505</v>
      </c>
      <c r="AX3" s="112">
        <v>45536</v>
      </c>
      <c r="AY3" s="112">
        <v>45566</v>
      </c>
      <c r="AZ3" s="112">
        <v>45597</v>
      </c>
      <c r="BA3" s="112">
        <v>45627</v>
      </c>
      <c r="BB3" s="112">
        <v>45658</v>
      </c>
      <c r="BC3" s="112">
        <v>45689</v>
      </c>
      <c r="BD3" s="112">
        <v>45717</v>
      </c>
      <c r="BE3" s="112">
        <v>45748</v>
      </c>
      <c r="BF3" s="112">
        <v>45778</v>
      </c>
      <c r="BG3" s="112">
        <v>45809</v>
      </c>
      <c r="BH3" s="112">
        <v>45839</v>
      </c>
      <c r="BI3" s="112">
        <v>45870</v>
      </c>
      <c r="BJ3" s="112">
        <v>45901</v>
      </c>
      <c r="BK3" s="112">
        <v>45931</v>
      </c>
      <c r="BL3" s="112">
        <v>45962</v>
      </c>
      <c r="BM3" s="112">
        <v>45992</v>
      </c>
      <c r="BN3" s="112">
        <v>46023</v>
      </c>
      <c r="BO3" s="112">
        <v>46054</v>
      </c>
      <c r="BP3" s="112">
        <v>46082</v>
      </c>
      <c r="BQ3" s="112">
        <v>46113</v>
      </c>
      <c r="BR3" s="112">
        <v>46143</v>
      </c>
      <c r="BS3" s="112">
        <v>46174</v>
      </c>
      <c r="BT3" s="112">
        <v>46204</v>
      </c>
      <c r="BU3" s="112">
        <v>46235</v>
      </c>
      <c r="BV3" s="112">
        <v>46266</v>
      </c>
      <c r="BW3" s="112">
        <v>46296</v>
      </c>
      <c r="BX3" s="112">
        <v>46327</v>
      </c>
      <c r="BY3" s="112">
        <v>46357</v>
      </c>
    </row>
    <row r="4" spans="1:77" x14ac:dyDescent="0.3">
      <c r="A4" s="113" t="s">
        <v>197</v>
      </c>
      <c r="B4" s="114"/>
      <c r="C4" s="114"/>
      <c r="D4" s="114"/>
      <c r="E4" s="115"/>
      <c r="F4" s="115"/>
      <c r="G4" s="114"/>
      <c r="H4" s="11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</row>
    <row r="5" spans="1:77" x14ac:dyDescent="0.3">
      <c r="A5" s="48" t="s">
        <v>198</v>
      </c>
      <c r="B5" s="116" t="s">
        <v>199</v>
      </c>
      <c r="C5" s="117" t="str">
        <f>IF(CAELS!D3&gt;10,"1","5")</f>
        <v>1</v>
      </c>
      <c r="D5" s="117" t="str">
        <f>IF(CAELS!E3&gt;10,"1","5")</f>
        <v>1</v>
      </c>
      <c r="E5" s="117" t="str">
        <f>IF(CAELS!F3&gt;10,"1","5")</f>
        <v>1</v>
      </c>
      <c r="F5" s="117" t="str">
        <f>IF(CAELS!G3&gt;10,"1","5")</f>
        <v>1</v>
      </c>
      <c r="G5" s="117" t="str">
        <f>IF(CAELS!H3&gt;10,"1","5")</f>
        <v>1</v>
      </c>
      <c r="H5" s="117" t="str">
        <f>IF(CAELS!I3&gt;10,"1","5")</f>
        <v>1</v>
      </c>
      <c r="I5" s="117" t="str">
        <f>IF(CAELS!J3&gt;10,"1","5")</f>
        <v>1</v>
      </c>
      <c r="J5" s="117" t="str">
        <f>IF(CAELS!K3&gt;10,"1","5")</f>
        <v>1</v>
      </c>
      <c r="K5" s="117" t="str">
        <f>IF(CAELS!L3&gt;10,"1","5")</f>
        <v>1</v>
      </c>
      <c r="L5" s="117" t="str">
        <f>IF(CAELS!M3&gt;10,"1","5")</f>
        <v>1</v>
      </c>
      <c r="M5" s="117" t="str">
        <f>IF(CAELS!N3&gt;10,"1","5")</f>
        <v>1</v>
      </c>
      <c r="N5" s="117" t="str">
        <f>IF(CAELS!O3&gt;10,"1","5")</f>
        <v>1</v>
      </c>
      <c r="O5" s="117" t="str">
        <f>IF(CAELS!P3&gt;10,"1","5")</f>
        <v>1</v>
      </c>
      <c r="P5" s="117" t="str">
        <f>IF(CAELS!Q3&gt;10,"1","5")</f>
        <v>1</v>
      </c>
      <c r="Q5" s="117" t="str">
        <f>IF(CAELS!R3&gt;10,"1","5")</f>
        <v>1</v>
      </c>
      <c r="R5" s="117" t="str">
        <f>IF(CAELS!S3&gt;10,"1","5")</f>
        <v>1</v>
      </c>
      <c r="S5" s="117" t="str">
        <f>IF(CAELS!T3&gt;10,"1","5")</f>
        <v>1</v>
      </c>
      <c r="T5" s="117" t="str">
        <f>IF(CAELS!U3&gt;10,"1","5")</f>
        <v>1</v>
      </c>
      <c r="U5" s="117" t="str">
        <f>IF(CAELS!V3&gt;10,"1","5")</f>
        <v>1</v>
      </c>
      <c r="V5" s="117" t="str">
        <f>IF(CAELS!W3&gt;10,"1","5")</f>
        <v>1</v>
      </c>
      <c r="W5" s="117" t="str">
        <f>IF(CAELS!X3&gt;10,"1","5")</f>
        <v>1</v>
      </c>
      <c r="X5" s="117" t="str">
        <f>IF(CAELS!Y3&gt;10,"1","5")</f>
        <v>1</v>
      </c>
      <c r="Y5" s="117" t="str">
        <f>IF(CAELS!Z3&gt;10,"1","5")</f>
        <v>1</v>
      </c>
      <c r="Z5" s="117" t="str">
        <f>IF(CAELS!AA3&gt;10,"1","5")</f>
        <v>1</v>
      </c>
      <c r="AA5" s="117" t="str">
        <f>IF(CAELS!AB3&gt;10,"1","5")</f>
        <v>1</v>
      </c>
      <c r="AB5" s="117" t="str">
        <f>IF(CAELS!AC3&gt;10,"1","5")</f>
        <v>1</v>
      </c>
      <c r="AC5" s="117" t="str">
        <f>IF(CAELS!AD3&gt;10,"1","5")</f>
        <v>1</v>
      </c>
      <c r="AD5" s="117" t="str">
        <f>IF(CAELS!AE3&gt;10,"1","5")</f>
        <v>1</v>
      </c>
      <c r="AE5" s="117" t="str">
        <f>IF(CAELS!AF3&gt;10,"1","5")</f>
        <v>1</v>
      </c>
      <c r="AF5" s="117" t="str">
        <f>IF(CAELS!AG3&gt;10,"1","5")</f>
        <v>1</v>
      </c>
      <c r="AG5" s="117" t="str">
        <f>IF(CAELS!AH3&gt;10,"1","5")</f>
        <v>1</v>
      </c>
      <c r="AH5" s="117" t="str">
        <f>IF(CAELS!AI3&gt;10,"1","5")</f>
        <v>1</v>
      </c>
      <c r="AI5" s="117" t="str">
        <f>IF(CAELS!AJ3&gt;10,"1","5")</f>
        <v>1</v>
      </c>
      <c r="AJ5" s="117" t="str">
        <f>IF(CAELS!AK3&gt;10,"1","5")</f>
        <v>5</v>
      </c>
      <c r="AK5" s="117" t="str">
        <f>IF(CAELS!AL3&gt;10,"1","5")</f>
        <v>5</v>
      </c>
      <c r="AL5" s="117" t="str">
        <f>IF(CAELS!AM3&gt;10,"1","5")</f>
        <v>5</v>
      </c>
      <c r="AM5" s="117" t="str">
        <f>IF(CAELS!AN3&gt;10,"1","5")</f>
        <v>5</v>
      </c>
      <c r="AN5" s="117" t="str">
        <f>IF(CAELS!AO3&gt;10,"1","5")</f>
        <v>5</v>
      </c>
      <c r="AO5" s="117" t="str">
        <f>IF(CAELS!AP3&gt;10,"1","5")</f>
        <v>5</v>
      </c>
      <c r="AP5" s="117" t="str">
        <f>IF(CAELS!AQ3&gt;10,"1","5")</f>
        <v>5</v>
      </c>
      <c r="AQ5" s="117" t="str">
        <f>IF(CAELS!AR3&gt;10,"1","5")</f>
        <v>5</v>
      </c>
      <c r="AR5" s="117" t="str">
        <f>IF(CAELS!AS3&gt;10,"1","5")</f>
        <v>5</v>
      </c>
      <c r="AS5" s="117" t="str">
        <f>IF(CAELS!AT3&gt;10,"1","5")</f>
        <v>5</v>
      </c>
      <c r="AT5" s="117" t="str">
        <f>IF(CAELS!AU3&gt;10,"1","5")</f>
        <v>5</v>
      </c>
      <c r="AU5" s="117" t="str">
        <f>IF(CAELS!AV3&gt;10,"1","5")</f>
        <v>5</v>
      </c>
      <c r="AV5" s="117" t="str">
        <f>IF(CAELS!AW3&gt;10,"1","5")</f>
        <v>5</v>
      </c>
      <c r="AW5" s="117" t="str">
        <f>IF(CAELS!AX3&gt;10,"1","5")</f>
        <v>5</v>
      </c>
      <c r="AX5" s="117" t="str">
        <f>IF(CAELS!AY3&gt;10,"1","5")</f>
        <v>5</v>
      </c>
      <c r="AY5" s="117" t="str">
        <f>IF(CAELS!AZ3&gt;10,"1","5")</f>
        <v>5</v>
      </c>
      <c r="AZ5" s="117" t="str">
        <f>IF(CAELS!BA3&gt;10,"1","5")</f>
        <v>5</v>
      </c>
      <c r="BA5" s="117" t="str">
        <f>IF(CAELS!BB3&gt;10,"1","5")</f>
        <v>5</v>
      </c>
      <c r="BB5" s="117" t="str">
        <f>IF(CAELS!BC3&gt;10,"1","5")</f>
        <v>5</v>
      </c>
      <c r="BC5" s="117" t="str">
        <f>IF(CAELS!BD3&gt;10,"1","5")</f>
        <v>5</v>
      </c>
      <c r="BD5" s="117" t="str">
        <f>IF(CAELS!BE3&gt;10,"1","5")</f>
        <v>5</v>
      </c>
      <c r="BE5" s="117" t="str">
        <f>IF(CAELS!BF3&gt;10,"1","5")</f>
        <v>5</v>
      </c>
      <c r="BF5" s="117" t="str">
        <f>IF(CAELS!BG3&gt;10,"1","5")</f>
        <v>5</v>
      </c>
      <c r="BG5" s="117" t="str">
        <f>IF(CAELS!BH3&gt;10,"1","5")</f>
        <v>5</v>
      </c>
      <c r="BH5" s="117" t="str">
        <f>IF(CAELS!BI3&gt;10,"1","5")</f>
        <v>5</v>
      </c>
      <c r="BI5" s="117" t="str">
        <f>IF(CAELS!BJ3&gt;10,"1","5")</f>
        <v>5</v>
      </c>
      <c r="BJ5" s="117" t="str">
        <f>IF(CAELS!BK3&gt;10,"1","5")</f>
        <v>5</v>
      </c>
      <c r="BK5" s="117" t="str">
        <f>IF(CAELS!BL3&gt;10,"1","5")</f>
        <v>5</v>
      </c>
      <c r="BL5" s="117" t="str">
        <f>IF(CAELS!BM3&gt;10,"1","5")</f>
        <v>5</v>
      </c>
      <c r="BM5" s="117" t="str">
        <f>IF(CAELS!BN3&gt;10,"1","5")</f>
        <v>5</v>
      </c>
      <c r="BN5" s="117" t="str">
        <f>IF(CAELS!BO3&gt;10,"1","5")</f>
        <v>5</v>
      </c>
      <c r="BO5" s="117" t="str">
        <f>IF(CAELS!BP3&gt;10,"1","5")</f>
        <v>5</v>
      </c>
      <c r="BP5" s="117" t="str">
        <f>IF(CAELS!BQ3&gt;10,"1","5")</f>
        <v>5</v>
      </c>
      <c r="BQ5" s="117" t="str">
        <f>IF(CAELS!BR3&gt;10,"1","5")</f>
        <v>5</v>
      </c>
      <c r="BR5" s="117" t="str">
        <f>IF(CAELS!BS3&gt;10,"1","5")</f>
        <v>5</v>
      </c>
      <c r="BS5" s="117" t="str">
        <f>IF(CAELS!BT3&gt;10,"1","5")</f>
        <v>5</v>
      </c>
      <c r="BT5" s="117" t="str">
        <f>IF(CAELS!BU3&gt;10,"1","5")</f>
        <v>5</v>
      </c>
      <c r="BU5" s="117" t="str">
        <f>IF(CAELS!BV3&gt;10,"1","5")</f>
        <v>5</v>
      </c>
      <c r="BV5" s="117" t="str">
        <f>IF(CAELS!BW3&gt;10,"1","5")</f>
        <v>5</v>
      </c>
      <c r="BW5" s="117" t="str">
        <f>IF(CAELS!BX3&gt;10,"1","5")</f>
        <v>5</v>
      </c>
      <c r="BX5" s="117" t="str">
        <f>IF(CAELS!BY3&gt;10,"1","5")</f>
        <v>5</v>
      </c>
      <c r="BY5" s="117" t="str">
        <f>IF(CAELS!BZ3&gt;10,"1","5")</f>
        <v>5</v>
      </c>
    </row>
    <row r="6" spans="1:77" x14ac:dyDescent="0.3">
      <c r="A6" s="48" t="s">
        <v>102</v>
      </c>
      <c r="B6" s="116" t="s">
        <v>200</v>
      </c>
      <c r="C6" s="118" t="str">
        <f>IF(CAELS!D4&gt;20%,"1",IF(CAELS!D4&gt;15%,"2",IF(CAELS!D4&gt;12%,"3",IF(CAELS!D4&gt;10%,"4","5"))))</f>
        <v>4</v>
      </c>
      <c r="D6" s="118" t="str">
        <f>IF(CAELS!E4&gt;20%,"1",IF(CAELS!E4&gt;15%,"2",IF(CAELS!E4&gt;12%,"3",IF(CAELS!E4&gt;10%,"4","5"))))</f>
        <v>1</v>
      </c>
      <c r="E6" s="118" t="str">
        <f>IF(CAELS!F4&gt;20%,"1",IF(CAELS!F4&gt;15%,"2",IF(CAELS!F4&gt;12%,"3",IF(CAELS!F4&gt;10%,"4","5"))))</f>
        <v>1</v>
      </c>
      <c r="F6" s="118" t="str">
        <f>IF(CAELS!G4&gt;20%,"1",IF(CAELS!G4&gt;15%,"2",IF(CAELS!G4&gt;12%,"3",IF(CAELS!G4&gt;10%,"4","5"))))</f>
        <v>1</v>
      </c>
      <c r="G6" s="118" t="str">
        <f>IF(CAELS!H4&gt;20%,"1",IF(CAELS!H4&gt;15%,"2",IF(CAELS!H4&gt;12%,"3",IF(CAELS!H4&gt;10%,"4","5"))))</f>
        <v>1</v>
      </c>
      <c r="H6" s="118" t="str">
        <f>IF(CAELS!I4&gt;20%,"1",IF(CAELS!I4&gt;15%,"2",IF(CAELS!I4&gt;12%,"3",IF(CAELS!I4&gt;10%,"4","5"))))</f>
        <v>1</v>
      </c>
      <c r="I6" s="118" t="str">
        <f>IF(CAELS!J4&gt;20%,"1",IF(CAELS!J4&gt;15%,"2",IF(CAELS!J4&gt;12%,"3",IF(CAELS!J4&gt;10%,"4","5"))))</f>
        <v>1</v>
      </c>
      <c r="J6" s="118" t="str">
        <f>IF(CAELS!K4&gt;20%,"1",IF(CAELS!K4&gt;15%,"2",IF(CAELS!K4&gt;12%,"3",IF(CAELS!K4&gt;10%,"4","5"))))</f>
        <v>1</v>
      </c>
      <c r="K6" s="118" t="str">
        <f>IF(CAELS!L4&gt;20%,"1",IF(CAELS!L4&gt;15%,"2",IF(CAELS!L4&gt;12%,"3",IF(CAELS!L4&gt;10%,"4","5"))))</f>
        <v>1</v>
      </c>
      <c r="L6" s="118" t="str">
        <f>IF(CAELS!M4&gt;20%,"1",IF(CAELS!M4&gt;15%,"2",IF(CAELS!M4&gt;12%,"3",IF(CAELS!M4&gt;10%,"4","5"))))</f>
        <v>1</v>
      </c>
      <c r="M6" s="118" t="str">
        <f>IF(CAELS!N4&gt;20%,"1",IF(CAELS!N4&gt;15%,"2",IF(CAELS!N4&gt;12%,"3",IF(CAELS!N4&gt;10%,"4","5"))))</f>
        <v>1</v>
      </c>
      <c r="N6" s="118" t="str">
        <f>IF(CAELS!O4&gt;20%,"1",IF(CAELS!O4&gt;15%,"2",IF(CAELS!O4&gt;12%,"3",IF(CAELS!O4&gt;10%,"4","5"))))</f>
        <v>1</v>
      </c>
      <c r="O6" s="118" t="str">
        <f>IF(CAELS!P4&gt;20%,"1",IF(CAELS!P4&gt;15%,"2",IF(CAELS!P4&gt;12%,"3",IF(CAELS!P4&gt;10%,"4","5"))))</f>
        <v>1</v>
      </c>
      <c r="P6" s="118" t="str">
        <f>IF(CAELS!Q4&gt;20%,"1",IF(CAELS!Q4&gt;15%,"2",IF(CAELS!Q4&gt;12%,"3",IF(CAELS!Q4&gt;10%,"4","5"))))</f>
        <v>1</v>
      </c>
      <c r="Q6" s="118" t="str">
        <f>IF(CAELS!R4&gt;20%,"1",IF(CAELS!R4&gt;15%,"2",IF(CAELS!R4&gt;12%,"3",IF(CAELS!R4&gt;10%,"4","5"))))</f>
        <v>1</v>
      </c>
      <c r="R6" s="118" t="str">
        <f>IF(CAELS!S4&gt;20%,"1",IF(CAELS!S4&gt;15%,"2",IF(CAELS!S4&gt;12%,"3",IF(CAELS!S4&gt;10%,"4","5"))))</f>
        <v>1</v>
      </c>
      <c r="S6" s="118" t="str">
        <f>IF(CAELS!T4&gt;20%,"1",IF(CAELS!T4&gt;15%,"2",IF(CAELS!T4&gt;12%,"3",IF(CAELS!T4&gt;10%,"4","5"))))</f>
        <v>1</v>
      </c>
      <c r="T6" s="118" t="str">
        <f>IF(CAELS!U4&gt;20%,"1",IF(CAELS!U4&gt;15%,"2",IF(CAELS!U4&gt;12%,"3",IF(CAELS!U4&gt;10%,"4","5"))))</f>
        <v>1</v>
      </c>
      <c r="U6" s="118" t="str">
        <f>IF(CAELS!V4&gt;20%,"1",IF(CAELS!V4&gt;15%,"2",IF(CAELS!V4&gt;12%,"3",IF(CAELS!V4&gt;10%,"4","5"))))</f>
        <v>1</v>
      </c>
      <c r="V6" s="118" t="str">
        <f>IF(CAELS!W4&gt;20%,"1",IF(CAELS!W4&gt;15%,"2",IF(CAELS!W4&gt;12%,"3",IF(CAELS!W4&gt;10%,"4","5"))))</f>
        <v>1</v>
      </c>
      <c r="W6" s="118" t="str">
        <f>IF(CAELS!X4&gt;20%,"1",IF(CAELS!X4&gt;15%,"2",IF(CAELS!X4&gt;12%,"3",IF(CAELS!X4&gt;10%,"4","5"))))</f>
        <v>1</v>
      </c>
      <c r="X6" s="118" t="str">
        <f>IF(CAELS!Y4&gt;20%,"1",IF(CAELS!Y4&gt;15%,"2",IF(CAELS!Y4&gt;12%,"3",IF(CAELS!Y4&gt;10%,"4","5"))))</f>
        <v>1</v>
      </c>
      <c r="Y6" s="118" t="str">
        <f>IF(CAELS!Z4&gt;20%,"1",IF(CAELS!Z4&gt;15%,"2",IF(CAELS!Z4&gt;12%,"3",IF(CAELS!Z4&gt;10%,"4","5"))))</f>
        <v>1</v>
      </c>
      <c r="Z6" s="118" t="str">
        <f>IF(CAELS!AA4&gt;20%,"1",IF(CAELS!AA4&gt;15%,"2",IF(CAELS!AA4&gt;12%,"3",IF(CAELS!AA4&gt;10%,"4","5"))))</f>
        <v>1</v>
      </c>
      <c r="AA6" s="118" t="str">
        <f>IF(CAELS!AB4&gt;20%,"1",IF(CAELS!AB4&gt;15%,"2",IF(CAELS!AB4&gt;12%,"3",IF(CAELS!AB4&gt;10%,"4","5"))))</f>
        <v>1</v>
      </c>
      <c r="AB6" s="118" t="str">
        <f>IF(CAELS!AC4&gt;20%,"1",IF(CAELS!AC4&gt;15%,"2",IF(CAELS!AC4&gt;12%,"3",IF(CAELS!AC4&gt;10%,"4","5"))))</f>
        <v>1</v>
      </c>
      <c r="AC6" s="118" t="str">
        <f>IF(CAELS!AD4&gt;20%,"1",IF(CAELS!AD4&gt;15%,"2",IF(CAELS!AD4&gt;12%,"3",IF(CAELS!AD4&gt;10%,"4","5"))))</f>
        <v>1</v>
      </c>
      <c r="AD6" s="118" t="str">
        <f>IF(CAELS!AE4&gt;20%,"1",IF(CAELS!AE4&gt;15%,"2",IF(CAELS!AE4&gt;12%,"3",IF(CAELS!AE4&gt;10%,"4","5"))))</f>
        <v>1</v>
      </c>
      <c r="AE6" s="118" t="str">
        <f>IF(CAELS!AF4&gt;20%,"1",IF(CAELS!AF4&gt;15%,"2",IF(CAELS!AF4&gt;12%,"3",IF(CAELS!AF4&gt;10%,"4","5"))))</f>
        <v>1</v>
      </c>
      <c r="AF6" s="118" t="str">
        <f>IF(CAELS!AG4&gt;20%,"1",IF(CAELS!AG4&gt;15%,"2",IF(CAELS!AG4&gt;12%,"3",IF(CAELS!AG4&gt;10%,"4","5"))))</f>
        <v>1</v>
      </c>
      <c r="AG6" s="118" t="str">
        <f>IF(CAELS!AH4&gt;20%,"1",IF(CAELS!AH4&gt;15%,"2",IF(CAELS!AH4&gt;12%,"3",IF(CAELS!AH4&gt;10%,"4","5"))))</f>
        <v>1</v>
      </c>
      <c r="AH6" s="118" t="str">
        <f>IF(CAELS!AI4&gt;20%,"1",IF(CAELS!AI4&gt;15%,"2",IF(CAELS!AI4&gt;12%,"3",IF(CAELS!AI4&gt;10%,"4","5"))))</f>
        <v>1</v>
      </c>
      <c r="AI6" s="118" t="str">
        <f>IF(CAELS!AJ4&gt;20%,"1",IF(CAELS!AJ4&gt;15%,"2",IF(CAELS!AJ4&gt;12%,"3",IF(CAELS!AJ4&gt;10%,"4","5"))))</f>
        <v>1</v>
      </c>
      <c r="AJ6" s="118" t="e">
        <f>IF(CAELS!AK4&gt;20%,"1",IF(CAELS!AK4&gt;15%,"2",IF(CAELS!AK4&gt;12%,"3",IF(CAELS!AK4&gt;10%,"4","5"))))</f>
        <v>#DIV/0!</v>
      </c>
      <c r="AK6" s="118" t="e">
        <f>IF(CAELS!AL4&gt;20%,"1",IF(CAELS!AL4&gt;15%,"2",IF(CAELS!AL4&gt;12%,"3",IF(CAELS!AL4&gt;10%,"4","5"))))</f>
        <v>#DIV/0!</v>
      </c>
      <c r="AL6" s="118" t="e">
        <f>IF(CAELS!AM4&gt;20%,"1",IF(CAELS!AM4&gt;15%,"2",IF(CAELS!AM4&gt;12%,"3",IF(CAELS!AM4&gt;10%,"4","5"))))</f>
        <v>#DIV/0!</v>
      </c>
      <c r="AM6" s="118" t="e">
        <f>IF(CAELS!AN4&gt;20%,"1",IF(CAELS!AN4&gt;15%,"2",IF(CAELS!AN4&gt;12%,"3",IF(CAELS!AN4&gt;10%,"4","5"))))</f>
        <v>#DIV/0!</v>
      </c>
      <c r="AN6" s="118" t="e">
        <f>IF(CAELS!AO4&gt;20%,"1",IF(CAELS!AO4&gt;15%,"2",IF(CAELS!AO4&gt;12%,"3",IF(CAELS!AO4&gt;10%,"4","5"))))</f>
        <v>#DIV/0!</v>
      </c>
      <c r="AO6" s="118" t="e">
        <f>IF(CAELS!AP4&gt;20%,"1",IF(CAELS!AP4&gt;15%,"2",IF(CAELS!AP4&gt;12%,"3",IF(CAELS!AP4&gt;10%,"4","5"))))</f>
        <v>#DIV/0!</v>
      </c>
      <c r="AP6" s="118" t="e">
        <f>IF(CAELS!AQ4&gt;20%,"1",IF(CAELS!AQ4&gt;15%,"2",IF(CAELS!AQ4&gt;12%,"3",IF(CAELS!AQ4&gt;10%,"4","5"))))</f>
        <v>#DIV/0!</v>
      </c>
      <c r="AQ6" s="118" t="e">
        <f>IF(CAELS!AR4&gt;20%,"1",IF(CAELS!AR4&gt;15%,"2",IF(CAELS!AR4&gt;12%,"3",IF(CAELS!AR4&gt;10%,"4","5"))))</f>
        <v>#DIV/0!</v>
      </c>
      <c r="AR6" s="118" t="e">
        <f>IF(CAELS!AS4&gt;20%,"1",IF(CAELS!AS4&gt;15%,"2",IF(CAELS!AS4&gt;12%,"3",IF(CAELS!AS4&gt;10%,"4","5"))))</f>
        <v>#DIV/0!</v>
      </c>
      <c r="AS6" s="118" t="e">
        <f>IF(CAELS!AT4&gt;20%,"1",IF(CAELS!AT4&gt;15%,"2",IF(CAELS!AT4&gt;12%,"3",IF(CAELS!AT4&gt;10%,"4","5"))))</f>
        <v>#DIV/0!</v>
      </c>
      <c r="AT6" s="118" t="e">
        <f>IF(CAELS!AU4&gt;20%,"1",IF(CAELS!AU4&gt;15%,"2",IF(CAELS!AU4&gt;12%,"3",IF(CAELS!AU4&gt;10%,"4","5"))))</f>
        <v>#DIV/0!</v>
      </c>
      <c r="AU6" s="118" t="e">
        <f>IF(CAELS!AV4&gt;20%,"1",IF(CAELS!AV4&gt;15%,"2",IF(CAELS!AV4&gt;12%,"3",IF(CAELS!AV4&gt;10%,"4","5"))))</f>
        <v>#DIV/0!</v>
      </c>
      <c r="AV6" s="118" t="e">
        <f>IF(CAELS!AW4&gt;20%,"1",IF(CAELS!AW4&gt;15%,"2",IF(CAELS!AW4&gt;12%,"3",IF(CAELS!AW4&gt;10%,"4","5"))))</f>
        <v>#DIV/0!</v>
      </c>
      <c r="AW6" s="118" t="e">
        <f>IF(CAELS!AX4&gt;20%,"1",IF(CAELS!AX4&gt;15%,"2",IF(CAELS!AX4&gt;12%,"3",IF(CAELS!AX4&gt;10%,"4","5"))))</f>
        <v>#DIV/0!</v>
      </c>
      <c r="AX6" s="118" t="e">
        <f>IF(CAELS!AY4&gt;20%,"1",IF(CAELS!AY4&gt;15%,"2",IF(CAELS!AY4&gt;12%,"3",IF(CAELS!AY4&gt;10%,"4","5"))))</f>
        <v>#DIV/0!</v>
      </c>
      <c r="AY6" s="118" t="str">
        <f>IF(CAELS!AZ4&gt;20%,"1",IF(CAELS!AZ4&gt;15%,"2",IF(CAELS!AZ4&gt;12%,"3",IF(CAELS!AZ4&gt;10%,"4","5"))))</f>
        <v>5</v>
      </c>
      <c r="AZ6" s="118" t="str">
        <f>IF(CAELS!BA4&gt;20%,"1",IF(CAELS!BA4&gt;15%,"2",IF(CAELS!BA4&gt;12%,"3",IF(CAELS!BA4&gt;10%,"4","5"))))</f>
        <v>5</v>
      </c>
      <c r="BA6" s="118" t="str">
        <f>IF(CAELS!BB4&gt;20%,"1",IF(CAELS!BB4&gt;15%,"2",IF(CAELS!BB4&gt;12%,"3",IF(CAELS!BB4&gt;10%,"4","5"))))</f>
        <v>5</v>
      </c>
      <c r="BB6" s="118" t="str">
        <f>IF(CAELS!BC4&gt;20%,"1",IF(CAELS!BC4&gt;15%,"2",IF(CAELS!BC4&gt;12%,"3",IF(CAELS!BC4&gt;10%,"4","5"))))</f>
        <v>5</v>
      </c>
      <c r="BC6" s="118" t="str">
        <f>IF(CAELS!BD4&gt;20%,"1",IF(CAELS!BD4&gt;15%,"2",IF(CAELS!BD4&gt;12%,"3",IF(CAELS!BD4&gt;10%,"4","5"))))</f>
        <v>5</v>
      </c>
      <c r="BD6" s="118" t="str">
        <f>IF(CAELS!BE4&gt;20%,"1",IF(CAELS!BE4&gt;15%,"2",IF(CAELS!BE4&gt;12%,"3",IF(CAELS!BE4&gt;10%,"4","5"))))</f>
        <v>5</v>
      </c>
      <c r="BE6" s="118" t="str">
        <f>IF(CAELS!BF4&gt;20%,"1",IF(CAELS!BF4&gt;15%,"2",IF(CAELS!BF4&gt;12%,"3",IF(CAELS!BF4&gt;10%,"4","5"))))</f>
        <v>5</v>
      </c>
      <c r="BF6" s="118" t="str">
        <f>IF(CAELS!BG4&gt;20%,"1",IF(CAELS!BG4&gt;15%,"2",IF(CAELS!BG4&gt;12%,"3",IF(CAELS!BG4&gt;10%,"4","5"))))</f>
        <v>5</v>
      </c>
      <c r="BG6" s="118" t="str">
        <f>IF(CAELS!BH4&gt;20%,"1",IF(CAELS!BH4&gt;15%,"2",IF(CAELS!BH4&gt;12%,"3",IF(CAELS!BH4&gt;10%,"4","5"))))</f>
        <v>5</v>
      </c>
      <c r="BH6" s="118" t="str">
        <f>IF(CAELS!BI4&gt;20%,"1",IF(CAELS!BI4&gt;15%,"2",IF(CAELS!BI4&gt;12%,"3",IF(CAELS!BI4&gt;10%,"4","5"))))</f>
        <v>5</v>
      </c>
      <c r="BI6" s="118" t="str">
        <f>IF(CAELS!BJ4&gt;20%,"1",IF(CAELS!BJ4&gt;15%,"2",IF(CAELS!BJ4&gt;12%,"3",IF(CAELS!BJ4&gt;10%,"4","5"))))</f>
        <v>5</v>
      </c>
      <c r="BJ6" s="118" t="str">
        <f>IF(CAELS!BK4&gt;20%,"1",IF(CAELS!BK4&gt;15%,"2",IF(CAELS!BK4&gt;12%,"3",IF(CAELS!BK4&gt;10%,"4","5"))))</f>
        <v>5</v>
      </c>
      <c r="BK6" s="118" t="str">
        <f>IF(CAELS!BL4&gt;20%,"1",IF(CAELS!BL4&gt;15%,"2",IF(CAELS!BL4&gt;12%,"3",IF(CAELS!BL4&gt;10%,"4","5"))))</f>
        <v>5</v>
      </c>
      <c r="BL6" s="118" t="str">
        <f>IF(CAELS!BM4&gt;20%,"1",IF(CAELS!BM4&gt;15%,"2",IF(CAELS!BM4&gt;12%,"3",IF(CAELS!BM4&gt;10%,"4","5"))))</f>
        <v>5</v>
      </c>
      <c r="BM6" s="118" t="str">
        <f>IF(CAELS!BN4&gt;20%,"1",IF(CAELS!BN4&gt;15%,"2",IF(CAELS!BN4&gt;12%,"3",IF(CAELS!BN4&gt;10%,"4","5"))))</f>
        <v>5</v>
      </c>
      <c r="BN6" s="118" t="str">
        <f>IF(CAELS!BO4&gt;20%,"1",IF(CAELS!BO4&gt;15%,"2",IF(CAELS!BO4&gt;12%,"3",IF(CAELS!BO4&gt;10%,"4","5"))))</f>
        <v>5</v>
      </c>
      <c r="BO6" s="118" t="str">
        <f>IF(CAELS!BP4&gt;20%,"1",IF(CAELS!BP4&gt;15%,"2",IF(CAELS!BP4&gt;12%,"3",IF(CAELS!BP4&gt;10%,"4","5"))))</f>
        <v>5</v>
      </c>
      <c r="BP6" s="118" t="str">
        <f>IF(CAELS!BQ4&gt;20%,"1",IF(CAELS!BQ4&gt;15%,"2",IF(CAELS!BQ4&gt;12%,"3",IF(CAELS!BQ4&gt;10%,"4","5"))))</f>
        <v>5</v>
      </c>
      <c r="BQ6" s="118" t="str">
        <f>IF(CAELS!BR4&gt;20%,"1",IF(CAELS!BR4&gt;15%,"2",IF(CAELS!BR4&gt;12%,"3",IF(CAELS!BR4&gt;10%,"4","5"))))</f>
        <v>5</v>
      </c>
      <c r="BR6" s="118" t="str">
        <f>IF(CAELS!BS4&gt;20%,"1",IF(CAELS!BS4&gt;15%,"2",IF(CAELS!BS4&gt;12%,"3",IF(CAELS!BS4&gt;10%,"4","5"))))</f>
        <v>5</v>
      </c>
      <c r="BS6" s="118" t="str">
        <f>IF(CAELS!BT4&gt;20%,"1",IF(CAELS!BT4&gt;15%,"2",IF(CAELS!BT4&gt;12%,"3",IF(CAELS!BT4&gt;10%,"4","5"))))</f>
        <v>5</v>
      </c>
      <c r="BT6" s="118" t="str">
        <f>IF(CAELS!BU4&gt;20%,"1",IF(CAELS!BU4&gt;15%,"2",IF(CAELS!BU4&gt;12%,"3",IF(CAELS!BU4&gt;10%,"4","5"))))</f>
        <v>5</v>
      </c>
      <c r="BU6" s="118" t="str">
        <f>IF(CAELS!BV4&gt;20%,"1",IF(CAELS!BV4&gt;15%,"2",IF(CAELS!BV4&gt;12%,"3",IF(CAELS!BV4&gt;10%,"4","5"))))</f>
        <v>5</v>
      </c>
      <c r="BV6" s="118" t="str">
        <f>IF(CAELS!BW4&gt;20%,"1",IF(CAELS!BW4&gt;15%,"2",IF(CAELS!BW4&gt;12%,"3",IF(CAELS!BW4&gt;10%,"4","5"))))</f>
        <v>5</v>
      </c>
      <c r="BW6" s="118" t="str">
        <f>IF(CAELS!BX4&gt;20%,"1",IF(CAELS!BX4&gt;15%,"2",IF(CAELS!BX4&gt;12%,"3",IF(CAELS!BX4&gt;10%,"4","5"))))</f>
        <v>5</v>
      </c>
      <c r="BX6" s="118" t="str">
        <f>IF(CAELS!BY4&gt;20%,"1",IF(CAELS!BY4&gt;15%,"2",IF(CAELS!BY4&gt;12%,"3",IF(CAELS!BY4&gt;10%,"4","5"))))</f>
        <v>5</v>
      </c>
      <c r="BY6" s="118" t="str">
        <f>IF(CAELS!BZ4&gt;20%,"1",IF(CAELS!BZ4&gt;15%,"2",IF(CAELS!BZ4&gt;12%,"3",IF(CAELS!BZ4&gt;10%,"4","5"))))</f>
        <v>5</v>
      </c>
    </row>
    <row r="7" spans="1:77" x14ac:dyDescent="0.3">
      <c r="A7" s="48" t="s">
        <v>106</v>
      </c>
      <c r="B7" s="116" t="s">
        <v>201</v>
      </c>
      <c r="C7" s="118" t="str">
        <f>IF(CAELS!D6&gt;15%,"1",IF(CAELS!D6&gt;12%,"2",IF(CAELS!D6&gt;10%,"3",IF(CAELS!D6&gt;8,"4","5"))))</f>
        <v>5</v>
      </c>
      <c r="D7" s="118" t="str">
        <f>IF(CAELS!E6&gt;15%,"1",IF(CAELS!E6&gt;12%,"2",IF(CAELS!E6&gt;10%,"3",IF(CAELS!E6&gt;8,"4","5"))))</f>
        <v>3</v>
      </c>
      <c r="E7" s="118" t="str">
        <f>IF(CAELS!F6&gt;15%,"1",IF(CAELS!F6&gt;12%,"2",IF(CAELS!F6&gt;10%,"3",IF(CAELS!F6&gt;8,"4","5"))))</f>
        <v>3</v>
      </c>
      <c r="F7" s="118" t="str">
        <f>IF(CAELS!G6&gt;15%,"1",IF(CAELS!G6&gt;12%,"2",IF(CAELS!G6&gt;10%,"3",IF(CAELS!G6&gt;8,"4","5"))))</f>
        <v>3</v>
      </c>
      <c r="G7" s="118" t="str">
        <f>IF(CAELS!H6&gt;15%,"1",IF(CAELS!H6&gt;12%,"2",IF(CAELS!H6&gt;10%,"3",IF(CAELS!H6&gt;8,"4","5"))))</f>
        <v>3</v>
      </c>
      <c r="H7" s="118" t="str">
        <f>IF(CAELS!I6&gt;15%,"1",IF(CAELS!I6&gt;12%,"2",IF(CAELS!I6&gt;10%,"3",IF(CAELS!I6&gt;8,"4","5"))))</f>
        <v>3</v>
      </c>
      <c r="I7" s="118" t="str">
        <f>IF(CAELS!J6&gt;15%,"1",IF(CAELS!J6&gt;12%,"2",IF(CAELS!J6&gt;10%,"3",IF(CAELS!J6&gt;8,"4","5"))))</f>
        <v>2</v>
      </c>
      <c r="J7" s="118" t="str">
        <f>IF(CAELS!K6&gt;15%,"1",IF(CAELS!K6&gt;12%,"2",IF(CAELS!K6&gt;10%,"3",IF(CAELS!K6&gt;8,"4","5"))))</f>
        <v>2</v>
      </c>
      <c r="K7" s="118" t="str">
        <f>IF(CAELS!L6&gt;15%,"1",IF(CAELS!L6&gt;12%,"2",IF(CAELS!L6&gt;10%,"3",IF(CAELS!L6&gt;8,"4","5"))))</f>
        <v>2</v>
      </c>
      <c r="L7" s="118" t="str">
        <f>IF(CAELS!M6&gt;15%,"1",IF(CAELS!M6&gt;12%,"2",IF(CAELS!M6&gt;10%,"3",IF(CAELS!M6&gt;8,"4","5"))))</f>
        <v>3</v>
      </c>
      <c r="M7" s="118" t="str">
        <f>IF(CAELS!N6&gt;15%,"1",IF(CAELS!N6&gt;12%,"2",IF(CAELS!N6&gt;10%,"3",IF(CAELS!N6&gt;8,"4","5"))))</f>
        <v>2</v>
      </c>
      <c r="N7" s="118" t="str">
        <f>IF(CAELS!O6&gt;15%,"1",IF(CAELS!O6&gt;12%,"2",IF(CAELS!O6&gt;10%,"3",IF(CAELS!O6&gt;8,"4","5"))))</f>
        <v>2</v>
      </c>
      <c r="O7" s="118" t="str">
        <f>IF(CAELS!P6&gt;15%,"1",IF(CAELS!P6&gt;12%,"2",IF(CAELS!P6&gt;10%,"3",IF(CAELS!P6&gt;8,"4","5"))))</f>
        <v>2</v>
      </c>
      <c r="P7" s="118" t="str">
        <f>IF(CAELS!Q6&gt;15%,"1",IF(CAELS!Q6&gt;12%,"2",IF(CAELS!Q6&gt;10%,"3",IF(CAELS!Q6&gt;8,"4","5"))))</f>
        <v>2</v>
      </c>
      <c r="Q7" s="118" t="str">
        <f>IF(CAELS!R6&gt;15%,"1",IF(CAELS!R6&gt;12%,"2",IF(CAELS!R6&gt;10%,"3",IF(CAELS!R6&gt;8,"4","5"))))</f>
        <v>3</v>
      </c>
      <c r="R7" s="118" t="str">
        <f>IF(CAELS!S6&gt;15%,"1",IF(CAELS!S6&gt;12%,"2",IF(CAELS!S6&gt;10%,"3",IF(CAELS!S6&gt;8,"4","5"))))</f>
        <v>2</v>
      </c>
      <c r="S7" s="118" t="str">
        <f>IF(CAELS!T6&gt;15%,"1",IF(CAELS!T6&gt;12%,"2",IF(CAELS!T6&gt;10%,"3",IF(CAELS!T6&gt;8,"4","5"))))</f>
        <v>2</v>
      </c>
      <c r="T7" s="118" t="str">
        <f>IF(CAELS!U6&gt;15%,"1",IF(CAELS!U6&gt;12%,"2",IF(CAELS!U6&gt;10%,"3",IF(CAELS!U6&gt;8,"4","5"))))</f>
        <v>2</v>
      </c>
      <c r="U7" s="118" t="str">
        <f>IF(CAELS!V6&gt;15%,"1",IF(CAELS!V6&gt;12%,"2",IF(CAELS!V6&gt;10%,"3",IF(CAELS!V6&gt;8,"4","5"))))</f>
        <v>2</v>
      </c>
      <c r="V7" s="118" t="str">
        <f>IF(CAELS!W6&gt;15%,"1",IF(CAELS!W6&gt;12%,"2",IF(CAELS!W6&gt;10%,"3",IF(CAELS!W6&gt;8,"4","5"))))</f>
        <v>2</v>
      </c>
      <c r="W7" s="118" t="str">
        <f>IF(CAELS!X6&gt;15%,"1",IF(CAELS!X6&gt;12%,"2",IF(CAELS!X6&gt;10%,"3",IF(CAELS!X6&gt;8,"4","5"))))</f>
        <v>2</v>
      </c>
      <c r="X7" s="118" t="str">
        <f>IF(CAELS!Y6&gt;15%,"1",IF(CAELS!Y6&gt;12%,"2",IF(CAELS!Y6&gt;10%,"3",IF(CAELS!Y6&gt;8,"4","5"))))</f>
        <v>3</v>
      </c>
      <c r="Y7" s="118" t="str">
        <f>IF(CAELS!Z6&gt;15%,"1",IF(CAELS!Z6&gt;12%,"2",IF(CAELS!Z6&gt;10%,"3",IF(CAELS!Z6&gt;8,"4","5"))))</f>
        <v>2</v>
      </c>
      <c r="Z7" s="118" t="str">
        <f>IF(CAELS!AA6&gt;15%,"1",IF(CAELS!AA6&gt;12%,"2",IF(CAELS!AA6&gt;10%,"3",IF(CAELS!AA6&gt;8,"4","5"))))</f>
        <v>2</v>
      </c>
      <c r="AA7" s="118" t="str">
        <f>IF(CAELS!AB6&gt;15%,"1",IF(CAELS!AB6&gt;12%,"2",IF(CAELS!AB6&gt;10%,"3",IF(CAELS!AB6&gt;8,"4","5"))))</f>
        <v>2</v>
      </c>
      <c r="AB7" s="118" t="str">
        <f>IF(CAELS!AC6&gt;15%,"1",IF(CAELS!AC6&gt;12%,"2",IF(CAELS!AC6&gt;10%,"3",IF(CAELS!AC6&gt;8,"4","5"))))</f>
        <v>2</v>
      </c>
      <c r="AC7" s="118" t="str">
        <f>IF(CAELS!AD6&gt;15%,"1",IF(CAELS!AD6&gt;12%,"2",IF(CAELS!AD6&gt;10%,"3",IF(CAELS!AD6&gt;8,"4","5"))))</f>
        <v>2</v>
      </c>
      <c r="AD7" s="118" t="str">
        <f>IF(CAELS!AE6&gt;15%,"1",IF(CAELS!AE6&gt;12%,"2",IF(CAELS!AE6&gt;10%,"3",IF(CAELS!AE6&gt;8,"4","5"))))</f>
        <v>3</v>
      </c>
      <c r="AE7" s="118" t="str">
        <f>IF(CAELS!AF6&gt;15%,"1",IF(CAELS!AF6&gt;12%,"2",IF(CAELS!AF6&gt;10%,"3",IF(CAELS!AF6&gt;8,"4","5"))))</f>
        <v>2</v>
      </c>
      <c r="AF7" s="118" t="str">
        <f>IF(CAELS!AG6&gt;15%,"1",IF(CAELS!AG6&gt;12%,"2",IF(CAELS!AG6&gt;10%,"3",IF(CAELS!AG6&gt;8,"4","5"))))</f>
        <v>3</v>
      </c>
      <c r="AG7" s="118" t="str">
        <f>IF(CAELS!AH6&gt;15%,"1",IF(CAELS!AH6&gt;12%,"2",IF(CAELS!AH6&gt;10%,"3",IF(CAELS!AH6&gt;8,"4","5"))))</f>
        <v>2</v>
      </c>
      <c r="AH7" s="118" t="str">
        <f>IF(CAELS!AI6&gt;15%,"1",IF(CAELS!AI6&gt;12%,"2",IF(CAELS!AI6&gt;10%,"3",IF(CAELS!AI6&gt;8,"4","5"))))</f>
        <v>2</v>
      </c>
      <c r="AI7" s="118" t="str">
        <f>IF(CAELS!AJ6&gt;15%,"1",IF(CAELS!AJ6&gt;12%,"2",IF(CAELS!AJ6&gt;10%,"3",IF(CAELS!AJ6&gt;8,"4","5"))))</f>
        <v>2</v>
      </c>
      <c r="AJ7" s="118" t="e">
        <f>IF(CAELS!AK6&gt;15%,"1",IF(CAELS!AK6&gt;12%,"2",IF(CAELS!AK6&gt;10%,"3",IF(CAELS!AK6&gt;8,"4","5"))))</f>
        <v>#DIV/0!</v>
      </c>
      <c r="AK7" s="118" t="e">
        <f>IF(CAELS!AL6&gt;15%,"1",IF(CAELS!AL6&gt;12%,"2",IF(CAELS!AL6&gt;10%,"3",IF(CAELS!AL6&gt;8,"4","5"))))</f>
        <v>#DIV/0!</v>
      </c>
      <c r="AL7" s="118" t="e">
        <f>IF(CAELS!AM6&gt;15%,"1",IF(CAELS!AM6&gt;12%,"2",IF(CAELS!AM6&gt;10%,"3",IF(CAELS!AM6&gt;8,"4","5"))))</f>
        <v>#DIV/0!</v>
      </c>
      <c r="AM7" s="118" t="e">
        <f>IF(CAELS!AN6&gt;15%,"1",IF(CAELS!AN6&gt;12%,"2",IF(CAELS!AN6&gt;10%,"3",IF(CAELS!AN6&gt;8,"4","5"))))</f>
        <v>#DIV/0!</v>
      </c>
      <c r="AN7" s="118" t="e">
        <f>IF(CAELS!AO6&gt;15%,"1",IF(CAELS!AO6&gt;12%,"2",IF(CAELS!AO6&gt;10%,"3",IF(CAELS!AO6&gt;8,"4","5"))))</f>
        <v>#DIV/0!</v>
      </c>
      <c r="AO7" s="118" t="e">
        <f>IF(CAELS!AP6&gt;15%,"1",IF(CAELS!AP6&gt;12%,"2",IF(CAELS!AP6&gt;10%,"3",IF(CAELS!AP6&gt;8,"4","5"))))</f>
        <v>#DIV/0!</v>
      </c>
      <c r="AP7" s="118" t="e">
        <f>IF(CAELS!AQ6&gt;15%,"1",IF(CAELS!AQ6&gt;12%,"2",IF(CAELS!AQ6&gt;10%,"3",IF(CAELS!AQ6&gt;8,"4","5"))))</f>
        <v>#DIV/0!</v>
      </c>
      <c r="AQ7" s="118" t="e">
        <f>IF(CAELS!AR6&gt;15%,"1",IF(CAELS!AR6&gt;12%,"2",IF(CAELS!AR6&gt;10%,"3",IF(CAELS!AR6&gt;8,"4","5"))))</f>
        <v>#DIV/0!</v>
      </c>
      <c r="AR7" s="118" t="e">
        <f>IF(CAELS!AS6&gt;15%,"1",IF(CAELS!AS6&gt;12%,"2",IF(CAELS!AS6&gt;10%,"3",IF(CAELS!AS6&gt;8,"4","5"))))</f>
        <v>#DIV/0!</v>
      </c>
      <c r="AS7" s="118" t="e">
        <f>IF(CAELS!AT6&gt;15%,"1",IF(CAELS!AT6&gt;12%,"2",IF(CAELS!AT6&gt;10%,"3",IF(CAELS!AT6&gt;8,"4","5"))))</f>
        <v>#DIV/0!</v>
      </c>
      <c r="AT7" s="118" t="e">
        <f>IF(CAELS!AU6&gt;15%,"1",IF(CAELS!AU6&gt;12%,"2",IF(CAELS!AU6&gt;10%,"3",IF(CAELS!AU6&gt;8,"4","5"))))</f>
        <v>#DIV/0!</v>
      </c>
      <c r="AU7" s="118" t="e">
        <f>IF(CAELS!AV6&gt;15%,"1",IF(CAELS!AV6&gt;12%,"2",IF(CAELS!AV6&gt;10%,"3",IF(CAELS!AV6&gt;8,"4","5"))))</f>
        <v>#DIV/0!</v>
      </c>
      <c r="AV7" s="118" t="e">
        <f>IF(CAELS!AW6&gt;15%,"1",IF(CAELS!AW6&gt;12%,"2",IF(CAELS!AW6&gt;10%,"3",IF(CAELS!AW6&gt;8,"4","5"))))</f>
        <v>#DIV/0!</v>
      </c>
      <c r="AW7" s="118" t="e">
        <f>IF(CAELS!AX6&gt;15%,"1",IF(CAELS!AX6&gt;12%,"2",IF(CAELS!AX6&gt;10%,"3",IF(CAELS!AX6&gt;8,"4","5"))))</f>
        <v>#DIV/0!</v>
      </c>
      <c r="AX7" s="118" t="e">
        <f>IF(CAELS!AY6&gt;15%,"1",IF(CAELS!AY6&gt;12%,"2",IF(CAELS!AY6&gt;10%,"3",IF(CAELS!AY6&gt;8,"4","5"))))</f>
        <v>#DIV/0!</v>
      </c>
      <c r="AY7" s="118" t="str">
        <f>IF(CAELS!AZ6&gt;15%,"1",IF(CAELS!AZ6&gt;12%,"2",IF(CAELS!AZ6&gt;10%,"3",IF(CAELS!AZ6&gt;8,"4","5"))))</f>
        <v>5</v>
      </c>
      <c r="AZ7" s="118" t="str">
        <f>IF(CAELS!BA6&gt;15%,"1",IF(CAELS!BA6&gt;12%,"2",IF(CAELS!BA6&gt;10%,"3",IF(CAELS!BA6&gt;8,"4","5"))))</f>
        <v>5</v>
      </c>
      <c r="BA7" s="118" t="str">
        <f>IF(CAELS!BB6&gt;15%,"1",IF(CAELS!BB6&gt;12%,"2",IF(CAELS!BB6&gt;10%,"3",IF(CAELS!BB6&gt;8,"4","5"))))</f>
        <v>5</v>
      </c>
      <c r="BB7" s="118" t="str">
        <f>IF(CAELS!BC6&gt;15%,"1",IF(CAELS!BC6&gt;12%,"2",IF(CAELS!BC6&gt;10%,"3",IF(CAELS!BC6&gt;8,"4","5"))))</f>
        <v>5</v>
      </c>
      <c r="BC7" s="118" t="str">
        <f>IF(CAELS!BD6&gt;15%,"1",IF(CAELS!BD6&gt;12%,"2",IF(CAELS!BD6&gt;10%,"3",IF(CAELS!BD6&gt;8,"4","5"))))</f>
        <v>5</v>
      </c>
      <c r="BD7" s="118" t="str">
        <f>IF(CAELS!BE6&gt;15%,"1",IF(CAELS!BE6&gt;12%,"2",IF(CAELS!BE6&gt;10%,"3",IF(CAELS!BE6&gt;8,"4","5"))))</f>
        <v>5</v>
      </c>
      <c r="BE7" s="118" t="str">
        <f>IF(CAELS!BF6&gt;15%,"1",IF(CAELS!BF6&gt;12%,"2",IF(CAELS!BF6&gt;10%,"3",IF(CAELS!BF6&gt;8,"4","5"))))</f>
        <v>5</v>
      </c>
      <c r="BF7" s="118" t="str">
        <f>IF(CAELS!BG6&gt;15%,"1",IF(CAELS!BG6&gt;12%,"2",IF(CAELS!BG6&gt;10%,"3",IF(CAELS!BG6&gt;8,"4","5"))))</f>
        <v>5</v>
      </c>
      <c r="BG7" s="118" t="str">
        <f>IF(CAELS!BH6&gt;15%,"1",IF(CAELS!BH6&gt;12%,"2",IF(CAELS!BH6&gt;10%,"3",IF(CAELS!BH6&gt;8,"4","5"))))</f>
        <v>5</v>
      </c>
      <c r="BH7" s="118" t="str">
        <f>IF(CAELS!BI6&gt;15%,"1",IF(CAELS!BI6&gt;12%,"2",IF(CAELS!BI6&gt;10%,"3",IF(CAELS!BI6&gt;8,"4","5"))))</f>
        <v>5</v>
      </c>
      <c r="BI7" s="118" t="str">
        <f>IF(CAELS!BJ6&gt;15%,"1",IF(CAELS!BJ6&gt;12%,"2",IF(CAELS!BJ6&gt;10%,"3",IF(CAELS!BJ6&gt;8,"4","5"))))</f>
        <v>5</v>
      </c>
      <c r="BJ7" s="118" t="str">
        <f>IF(CAELS!BK6&gt;15%,"1",IF(CAELS!BK6&gt;12%,"2",IF(CAELS!BK6&gt;10%,"3",IF(CAELS!BK6&gt;8,"4","5"))))</f>
        <v>5</v>
      </c>
      <c r="BK7" s="118" t="str">
        <f>IF(CAELS!BL6&gt;15%,"1",IF(CAELS!BL6&gt;12%,"2",IF(CAELS!BL6&gt;10%,"3",IF(CAELS!BL6&gt;8,"4","5"))))</f>
        <v>5</v>
      </c>
      <c r="BL7" s="118" t="str">
        <f>IF(CAELS!BM6&gt;15%,"1",IF(CAELS!BM6&gt;12%,"2",IF(CAELS!BM6&gt;10%,"3",IF(CAELS!BM6&gt;8,"4","5"))))</f>
        <v>5</v>
      </c>
      <c r="BM7" s="118" t="str">
        <f>IF(CAELS!BN6&gt;15%,"1",IF(CAELS!BN6&gt;12%,"2",IF(CAELS!BN6&gt;10%,"3",IF(CAELS!BN6&gt;8,"4","5"))))</f>
        <v>5</v>
      </c>
      <c r="BN7" s="118" t="str">
        <f>IF(CAELS!BO6&gt;15%,"1",IF(CAELS!BO6&gt;12%,"2",IF(CAELS!BO6&gt;10%,"3",IF(CAELS!BO6&gt;8,"4","5"))))</f>
        <v>5</v>
      </c>
      <c r="BO7" s="118" t="str">
        <f>IF(CAELS!BP6&gt;15%,"1",IF(CAELS!BP6&gt;12%,"2",IF(CAELS!BP6&gt;10%,"3",IF(CAELS!BP6&gt;8,"4","5"))))</f>
        <v>5</v>
      </c>
      <c r="BP7" s="118" t="str">
        <f>IF(CAELS!BQ6&gt;15%,"1",IF(CAELS!BQ6&gt;12%,"2",IF(CAELS!BQ6&gt;10%,"3",IF(CAELS!BQ6&gt;8,"4","5"))))</f>
        <v>5</v>
      </c>
      <c r="BQ7" s="118" t="str">
        <f>IF(CAELS!BR6&gt;15%,"1",IF(CAELS!BR6&gt;12%,"2",IF(CAELS!BR6&gt;10%,"3",IF(CAELS!BR6&gt;8,"4","5"))))</f>
        <v>5</v>
      </c>
      <c r="BR7" s="118" t="str">
        <f>IF(CAELS!BS6&gt;15%,"1",IF(CAELS!BS6&gt;12%,"2",IF(CAELS!BS6&gt;10%,"3",IF(CAELS!BS6&gt;8,"4","5"))))</f>
        <v>5</v>
      </c>
      <c r="BS7" s="118" t="str">
        <f>IF(CAELS!BT6&gt;15%,"1",IF(CAELS!BT6&gt;12%,"2",IF(CAELS!BT6&gt;10%,"3",IF(CAELS!BT6&gt;8,"4","5"))))</f>
        <v>5</v>
      </c>
      <c r="BT7" s="118" t="str">
        <f>IF(CAELS!BU6&gt;15%,"1",IF(CAELS!BU6&gt;12%,"2",IF(CAELS!BU6&gt;10%,"3",IF(CAELS!BU6&gt;8,"4","5"))))</f>
        <v>5</v>
      </c>
      <c r="BU7" s="118" t="str">
        <f>IF(CAELS!BV6&gt;15%,"1",IF(CAELS!BV6&gt;12%,"2",IF(CAELS!BV6&gt;10%,"3",IF(CAELS!BV6&gt;8,"4","5"))))</f>
        <v>5</v>
      </c>
      <c r="BV7" s="118" t="str">
        <f>IF(CAELS!BW6&gt;15%,"1",IF(CAELS!BW6&gt;12%,"2",IF(CAELS!BW6&gt;10%,"3",IF(CAELS!BW6&gt;8,"4","5"))))</f>
        <v>5</v>
      </c>
      <c r="BW7" s="118" t="str">
        <f>IF(CAELS!BX6&gt;15%,"1",IF(CAELS!BX6&gt;12%,"2",IF(CAELS!BX6&gt;10%,"3",IF(CAELS!BX6&gt;8,"4","5"))))</f>
        <v>5</v>
      </c>
      <c r="BX7" s="118" t="str">
        <f>IF(CAELS!BY6&gt;15%,"1",IF(CAELS!BY6&gt;12%,"2",IF(CAELS!BY6&gt;10%,"3",IF(CAELS!BY6&gt;8,"4","5"))))</f>
        <v>5</v>
      </c>
      <c r="BY7" s="118" t="str">
        <f>IF(CAELS!BZ6&gt;15%,"1",IF(CAELS!BZ6&gt;12%,"2",IF(CAELS!BZ6&gt;10%,"3",IF(CAELS!BZ6&gt;8,"4","5"))))</f>
        <v>5</v>
      </c>
    </row>
    <row r="8" spans="1:77" x14ac:dyDescent="0.3">
      <c r="A8" s="48" t="s">
        <v>104</v>
      </c>
      <c r="B8" s="116" t="s">
        <v>201</v>
      </c>
      <c r="C8" s="118" t="str">
        <f>IF(CAELS!D5&gt;20%,"1",IF(CAELS!D5&gt;15%,"2",IF(CAELS!D5&gt;12%,"3",IF(CAELS!D5&gt;10%,"4","5"))))</f>
        <v>4</v>
      </c>
      <c r="D8" s="118" t="str">
        <f>IF(CAELS!E5&gt;20%,"1",IF(CAELS!E5&gt;15%,"2",IF(CAELS!E5&gt;12%,"3",IF(CAELS!E5&gt;10%,"4","5"))))</f>
        <v>1</v>
      </c>
      <c r="E8" s="118" t="str">
        <f>IF(CAELS!F5&gt;20%,"1",IF(CAELS!F5&gt;15%,"2",IF(CAELS!F5&gt;12%,"3",IF(CAELS!F5&gt;10%,"4","5"))))</f>
        <v>1</v>
      </c>
      <c r="F8" s="118" t="str">
        <f>IF(CAELS!G5&gt;20%,"1",IF(CAELS!G5&gt;15%,"2",IF(CAELS!G5&gt;12%,"3",IF(CAELS!G5&gt;10%,"4","5"))))</f>
        <v>1</v>
      </c>
      <c r="G8" s="118" t="str">
        <f>IF(CAELS!H5&gt;20%,"1",IF(CAELS!H5&gt;15%,"2",IF(CAELS!H5&gt;12%,"3",IF(CAELS!H5&gt;10%,"4","5"))))</f>
        <v>1</v>
      </c>
      <c r="H8" s="118" t="str">
        <f>IF(CAELS!I5&gt;20%,"1",IF(CAELS!I5&gt;15%,"2",IF(CAELS!I5&gt;12%,"3",IF(CAELS!I5&gt;10%,"4","5"))))</f>
        <v>1</v>
      </c>
      <c r="I8" s="118" t="str">
        <f>IF(CAELS!J5&gt;20%,"1",IF(CAELS!J5&gt;15%,"2",IF(CAELS!J5&gt;12%,"3",IF(CAELS!J5&gt;10%,"4","5"))))</f>
        <v>1</v>
      </c>
      <c r="J8" s="118" t="str">
        <f>IF(CAELS!K5&gt;20%,"1",IF(CAELS!K5&gt;15%,"2",IF(CAELS!K5&gt;12%,"3",IF(CAELS!K5&gt;10%,"4","5"))))</f>
        <v>1</v>
      </c>
      <c r="K8" s="118" t="str">
        <f>IF(CAELS!L5&gt;20%,"1",IF(CAELS!L5&gt;15%,"2",IF(CAELS!L5&gt;12%,"3",IF(CAELS!L5&gt;10%,"4","5"))))</f>
        <v>1</v>
      </c>
      <c r="L8" s="118" t="str">
        <f>IF(CAELS!M5&gt;20%,"1",IF(CAELS!M5&gt;15%,"2",IF(CAELS!M5&gt;12%,"3",IF(CAELS!M5&gt;10%,"4","5"))))</f>
        <v>1</v>
      </c>
      <c r="M8" s="118" t="str">
        <f>IF(CAELS!N5&gt;20%,"1",IF(CAELS!N5&gt;15%,"2",IF(CAELS!N5&gt;12%,"3",IF(CAELS!N5&gt;10%,"4","5"))))</f>
        <v>1</v>
      </c>
      <c r="N8" s="118" t="str">
        <f>IF(CAELS!O5&gt;20%,"1",IF(CAELS!O5&gt;15%,"2",IF(CAELS!O5&gt;12%,"3",IF(CAELS!O5&gt;10%,"4","5"))))</f>
        <v>1</v>
      </c>
      <c r="O8" s="118" t="str">
        <f>IF(CAELS!P5&gt;20%,"1",IF(CAELS!P5&gt;15%,"2",IF(CAELS!P5&gt;12%,"3",IF(CAELS!P5&gt;10%,"4","5"))))</f>
        <v>1</v>
      </c>
      <c r="P8" s="118" t="str">
        <f>IF(CAELS!Q5&gt;20%,"1",IF(CAELS!Q5&gt;15%,"2",IF(CAELS!Q5&gt;12%,"3",IF(CAELS!Q5&gt;10%,"4","5"))))</f>
        <v>1</v>
      </c>
      <c r="Q8" s="118" t="str">
        <f>IF(CAELS!R5&gt;20%,"1",IF(CAELS!R5&gt;15%,"2",IF(CAELS!R5&gt;12%,"3",IF(CAELS!R5&gt;10%,"4","5"))))</f>
        <v>1</v>
      </c>
      <c r="R8" s="118" t="str">
        <f>IF(CAELS!S5&gt;20%,"1",IF(CAELS!S5&gt;15%,"2",IF(CAELS!S5&gt;12%,"3",IF(CAELS!S5&gt;10%,"4","5"))))</f>
        <v>1</v>
      </c>
      <c r="S8" s="118" t="str">
        <f>IF(CAELS!T5&gt;20%,"1",IF(CAELS!T5&gt;15%,"2",IF(CAELS!T5&gt;12%,"3",IF(CAELS!T5&gt;10%,"4","5"))))</f>
        <v>1</v>
      </c>
      <c r="T8" s="118" t="str">
        <f>IF(CAELS!U5&gt;20%,"1",IF(CAELS!U5&gt;15%,"2",IF(CAELS!U5&gt;12%,"3",IF(CAELS!U5&gt;10%,"4","5"))))</f>
        <v>1</v>
      </c>
      <c r="U8" s="118" t="str">
        <f>IF(CAELS!V5&gt;20%,"1",IF(CAELS!V5&gt;15%,"2",IF(CAELS!V5&gt;12%,"3",IF(CAELS!V5&gt;10%,"4","5"))))</f>
        <v>1</v>
      </c>
      <c r="V8" s="118" t="str">
        <f>IF(CAELS!W5&gt;20%,"1",IF(CAELS!W5&gt;15%,"2",IF(CAELS!W5&gt;12%,"3",IF(CAELS!W5&gt;10%,"4","5"))))</f>
        <v>1</v>
      </c>
      <c r="W8" s="118" t="str">
        <f>IF(CAELS!X5&gt;20%,"1",IF(CAELS!X5&gt;15%,"2",IF(CAELS!X5&gt;12%,"3",IF(CAELS!X5&gt;10%,"4","5"))))</f>
        <v>1</v>
      </c>
      <c r="X8" s="118" t="str">
        <f>IF(CAELS!Y5&gt;20%,"1",IF(CAELS!Y5&gt;15%,"2",IF(CAELS!Y5&gt;12%,"3",IF(CAELS!Y5&gt;10%,"4","5"))))</f>
        <v>1</v>
      </c>
      <c r="Y8" s="118" t="str">
        <f>IF(CAELS!Z5&gt;20%,"1",IF(CAELS!Z5&gt;15%,"2",IF(CAELS!Z5&gt;12%,"3",IF(CAELS!Z5&gt;10%,"4","5"))))</f>
        <v>1</v>
      </c>
      <c r="Z8" s="118" t="str">
        <f>IF(CAELS!AA5&gt;20%,"1",IF(CAELS!AA5&gt;15%,"2",IF(CAELS!AA5&gt;12%,"3",IF(CAELS!AA5&gt;10%,"4","5"))))</f>
        <v>1</v>
      </c>
      <c r="AA8" s="118" t="str">
        <f>IF(CAELS!AB5&gt;20%,"1",IF(CAELS!AB5&gt;15%,"2",IF(CAELS!AB5&gt;12%,"3",IF(CAELS!AB5&gt;10%,"4","5"))))</f>
        <v>1</v>
      </c>
      <c r="AB8" s="118" t="str">
        <f>IF(CAELS!AC5&gt;20%,"1",IF(CAELS!AC5&gt;15%,"2",IF(CAELS!AC5&gt;12%,"3",IF(CAELS!AC5&gt;10%,"4","5"))))</f>
        <v>1</v>
      </c>
      <c r="AC8" s="118" t="str">
        <f>IF(CAELS!AD5&gt;20%,"1",IF(CAELS!AD5&gt;15%,"2",IF(CAELS!AD5&gt;12%,"3",IF(CAELS!AD5&gt;10%,"4","5"))))</f>
        <v>1</v>
      </c>
      <c r="AD8" s="118" t="str">
        <f>IF(CAELS!AE5&gt;20%,"1",IF(CAELS!AE5&gt;15%,"2",IF(CAELS!AE5&gt;12%,"3",IF(CAELS!AE5&gt;10%,"4","5"))))</f>
        <v>1</v>
      </c>
      <c r="AE8" s="118" t="str">
        <f>IF(CAELS!AF5&gt;20%,"1",IF(CAELS!AF5&gt;15%,"2",IF(CAELS!AF5&gt;12%,"3",IF(CAELS!AF5&gt;10%,"4","5"))))</f>
        <v>1</v>
      </c>
      <c r="AF8" s="118" t="str">
        <f>IF(CAELS!AG5&gt;20%,"1",IF(CAELS!AG5&gt;15%,"2",IF(CAELS!AG5&gt;12%,"3",IF(CAELS!AG5&gt;10%,"4","5"))))</f>
        <v>1</v>
      </c>
      <c r="AG8" s="118" t="str">
        <f>IF(CAELS!AH5&gt;20%,"1",IF(CAELS!AH5&gt;15%,"2",IF(CAELS!AH5&gt;12%,"3",IF(CAELS!AH5&gt;10%,"4","5"))))</f>
        <v>1</v>
      </c>
      <c r="AH8" s="118" t="str">
        <f>IF(CAELS!AI5&gt;20%,"1",IF(CAELS!AI5&gt;15%,"2",IF(CAELS!AI5&gt;12%,"3",IF(CAELS!AI5&gt;10%,"4","5"))))</f>
        <v>1</v>
      </c>
      <c r="AI8" s="118" t="str">
        <f>IF(CAELS!AJ5&gt;20%,"1",IF(CAELS!AJ5&gt;15%,"2",IF(CAELS!AJ5&gt;12%,"3",IF(CAELS!AJ5&gt;10%,"4","5"))))</f>
        <v>1</v>
      </c>
      <c r="AJ8" s="118" t="e">
        <f>IF(CAELS!AK5&gt;20%,"1",IF(CAELS!AK5&gt;15%,"2",IF(CAELS!AK5&gt;12%,"3",IF(CAELS!AK5&gt;10%,"4","5"))))</f>
        <v>#DIV/0!</v>
      </c>
      <c r="AK8" s="118" t="e">
        <f>IF(CAELS!AL5&gt;20%,"1",IF(CAELS!AL5&gt;15%,"2",IF(CAELS!AL5&gt;12%,"3",IF(CAELS!AL5&gt;10%,"4","5"))))</f>
        <v>#DIV/0!</v>
      </c>
      <c r="AL8" s="118" t="e">
        <f>IF(CAELS!AM5&gt;20%,"1",IF(CAELS!AM5&gt;15%,"2",IF(CAELS!AM5&gt;12%,"3",IF(CAELS!AM5&gt;10%,"4","5"))))</f>
        <v>#DIV/0!</v>
      </c>
      <c r="AM8" s="118" t="e">
        <f>IF(CAELS!AN5&gt;20%,"1",IF(CAELS!AN5&gt;15%,"2",IF(CAELS!AN5&gt;12%,"3",IF(CAELS!AN5&gt;10%,"4","5"))))</f>
        <v>#DIV/0!</v>
      </c>
      <c r="AN8" s="118" t="e">
        <f>IF(CAELS!AO5&gt;20%,"1",IF(CAELS!AO5&gt;15%,"2",IF(CAELS!AO5&gt;12%,"3",IF(CAELS!AO5&gt;10%,"4","5"))))</f>
        <v>#DIV/0!</v>
      </c>
      <c r="AO8" s="118" t="e">
        <f>IF(CAELS!AP5&gt;20%,"1",IF(CAELS!AP5&gt;15%,"2",IF(CAELS!AP5&gt;12%,"3",IF(CAELS!AP5&gt;10%,"4","5"))))</f>
        <v>#DIV/0!</v>
      </c>
      <c r="AP8" s="118" t="e">
        <f>IF(CAELS!AQ5&gt;20%,"1",IF(CAELS!AQ5&gt;15%,"2",IF(CAELS!AQ5&gt;12%,"3",IF(CAELS!AQ5&gt;10%,"4","5"))))</f>
        <v>#DIV/0!</v>
      </c>
      <c r="AQ8" s="118" t="e">
        <f>IF(CAELS!AR5&gt;20%,"1",IF(CAELS!AR5&gt;15%,"2",IF(CAELS!AR5&gt;12%,"3",IF(CAELS!AR5&gt;10%,"4","5"))))</f>
        <v>#DIV/0!</v>
      </c>
      <c r="AR8" s="118" t="e">
        <f>IF(CAELS!AS5&gt;20%,"1",IF(CAELS!AS5&gt;15%,"2",IF(CAELS!AS5&gt;12%,"3",IF(CAELS!AS5&gt;10%,"4","5"))))</f>
        <v>#DIV/0!</v>
      </c>
      <c r="AS8" s="118" t="e">
        <f>IF(CAELS!AT5&gt;20%,"1",IF(CAELS!AT5&gt;15%,"2",IF(CAELS!AT5&gt;12%,"3",IF(CAELS!AT5&gt;10%,"4","5"))))</f>
        <v>#DIV/0!</v>
      </c>
      <c r="AT8" s="118" t="e">
        <f>IF(CAELS!AU5&gt;20%,"1",IF(CAELS!AU5&gt;15%,"2",IF(CAELS!AU5&gt;12%,"3",IF(CAELS!AU5&gt;10%,"4","5"))))</f>
        <v>#DIV/0!</v>
      </c>
      <c r="AU8" s="118" t="e">
        <f>IF(CAELS!AV5&gt;20%,"1",IF(CAELS!AV5&gt;15%,"2",IF(CAELS!AV5&gt;12%,"3",IF(CAELS!AV5&gt;10%,"4","5"))))</f>
        <v>#DIV/0!</v>
      </c>
      <c r="AV8" s="118" t="e">
        <f>IF(CAELS!AW5&gt;20%,"1",IF(CAELS!AW5&gt;15%,"2",IF(CAELS!AW5&gt;12%,"3",IF(CAELS!AW5&gt;10%,"4","5"))))</f>
        <v>#DIV/0!</v>
      </c>
      <c r="AW8" s="118" t="e">
        <f>IF(CAELS!AX5&gt;20%,"1",IF(CAELS!AX5&gt;15%,"2",IF(CAELS!AX5&gt;12%,"3",IF(CAELS!AX5&gt;10%,"4","5"))))</f>
        <v>#DIV/0!</v>
      </c>
      <c r="AX8" s="118" t="e">
        <f>IF(CAELS!AY5&gt;20%,"1",IF(CAELS!AY5&gt;15%,"2",IF(CAELS!AY5&gt;12%,"3",IF(CAELS!AY5&gt;10%,"4","5"))))</f>
        <v>#DIV/0!</v>
      </c>
      <c r="AY8" s="118" t="str">
        <f>IF(CAELS!AZ5&gt;20%,"1",IF(CAELS!AZ5&gt;15%,"2",IF(CAELS!AZ5&gt;12%,"3",IF(CAELS!AZ5&gt;10%,"4","5"))))</f>
        <v>5</v>
      </c>
      <c r="AZ8" s="118" t="str">
        <f>IF(CAELS!BA5&gt;20%,"1",IF(CAELS!BA5&gt;15%,"2",IF(CAELS!BA5&gt;12%,"3",IF(CAELS!BA5&gt;10%,"4","5"))))</f>
        <v>5</v>
      </c>
      <c r="BA8" s="118" t="str">
        <f>IF(CAELS!BB5&gt;20%,"1",IF(CAELS!BB5&gt;15%,"2",IF(CAELS!BB5&gt;12%,"3",IF(CAELS!BB5&gt;10%,"4","5"))))</f>
        <v>5</v>
      </c>
      <c r="BB8" s="118" t="str">
        <f>IF(CAELS!BC5&gt;20%,"1",IF(CAELS!BC5&gt;15%,"2",IF(CAELS!BC5&gt;12%,"3",IF(CAELS!BC5&gt;10%,"4","5"))))</f>
        <v>5</v>
      </c>
      <c r="BC8" s="118" t="str">
        <f>IF(CAELS!BD5&gt;20%,"1",IF(CAELS!BD5&gt;15%,"2",IF(CAELS!BD5&gt;12%,"3",IF(CAELS!BD5&gt;10%,"4","5"))))</f>
        <v>5</v>
      </c>
      <c r="BD8" s="118" t="str">
        <f>IF(CAELS!BE5&gt;20%,"1",IF(CAELS!BE5&gt;15%,"2",IF(CAELS!BE5&gt;12%,"3",IF(CAELS!BE5&gt;10%,"4","5"))))</f>
        <v>5</v>
      </c>
      <c r="BE8" s="118" t="str">
        <f>IF(CAELS!BF5&gt;20%,"1",IF(CAELS!BF5&gt;15%,"2",IF(CAELS!BF5&gt;12%,"3",IF(CAELS!BF5&gt;10%,"4","5"))))</f>
        <v>5</v>
      </c>
      <c r="BF8" s="118" t="str">
        <f>IF(CAELS!BG5&gt;20%,"1",IF(CAELS!BG5&gt;15%,"2",IF(CAELS!BG5&gt;12%,"3",IF(CAELS!BG5&gt;10%,"4","5"))))</f>
        <v>5</v>
      </c>
      <c r="BG8" s="118" t="str">
        <f>IF(CAELS!BH5&gt;20%,"1",IF(CAELS!BH5&gt;15%,"2",IF(CAELS!BH5&gt;12%,"3",IF(CAELS!BH5&gt;10%,"4","5"))))</f>
        <v>5</v>
      </c>
      <c r="BH8" s="118" t="str">
        <f>IF(CAELS!BI5&gt;20%,"1",IF(CAELS!BI5&gt;15%,"2",IF(CAELS!BI5&gt;12%,"3",IF(CAELS!BI5&gt;10%,"4","5"))))</f>
        <v>5</v>
      </c>
      <c r="BI8" s="118" t="str">
        <f>IF(CAELS!BJ5&gt;20%,"1",IF(CAELS!BJ5&gt;15%,"2",IF(CAELS!BJ5&gt;12%,"3",IF(CAELS!BJ5&gt;10%,"4","5"))))</f>
        <v>5</v>
      </c>
      <c r="BJ8" s="118" t="str">
        <f>IF(CAELS!BK5&gt;20%,"1",IF(CAELS!BK5&gt;15%,"2",IF(CAELS!BK5&gt;12%,"3",IF(CAELS!BK5&gt;10%,"4","5"))))</f>
        <v>5</v>
      </c>
      <c r="BK8" s="118" t="str">
        <f>IF(CAELS!BL5&gt;20%,"1",IF(CAELS!BL5&gt;15%,"2",IF(CAELS!BL5&gt;12%,"3",IF(CAELS!BL5&gt;10%,"4","5"))))</f>
        <v>5</v>
      </c>
      <c r="BL8" s="118" t="str">
        <f>IF(CAELS!BM5&gt;20%,"1",IF(CAELS!BM5&gt;15%,"2",IF(CAELS!BM5&gt;12%,"3",IF(CAELS!BM5&gt;10%,"4","5"))))</f>
        <v>5</v>
      </c>
      <c r="BM8" s="118" t="str">
        <f>IF(CAELS!BN5&gt;20%,"1",IF(CAELS!BN5&gt;15%,"2",IF(CAELS!BN5&gt;12%,"3",IF(CAELS!BN5&gt;10%,"4","5"))))</f>
        <v>5</v>
      </c>
      <c r="BN8" s="118" t="str">
        <f>IF(CAELS!BO5&gt;20%,"1",IF(CAELS!BO5&gt;15%,"2",IF(CAELS!BO5&gt;12%,"3",IF(CAELS!BO5&gt;10%,"4","5"))))</f>
        <v>5</v>
      </c>
      <c r="BO8" s="118" t="str">
        <f>IF(CAELS!BP5&gt;20%,"1",IF(CAELS!BP5&gt;15%,"2",IF(CAELS!BP5&gt;12%,"3",IF(CAELS!BP5&gt;10%,"4","5"))))</f>
        <v>5</v>
      </c>
      <c r="BP8" s="118" t="str">
        <f>IF(CAELS!BQ5&gt;20%,"1",IF(CAELS!BQ5&gt;15%,"2",IF(CAELS!BQ5&gt;12%,"3",IF(CAELS!BQ5&gt;10%,"4","5"))))</f>
        <v>5</v>
      </c>
      <c r="BQ8" s="118" t="str">
        <f>IF(CAELS!BR5&gt;20%,"1",IF(CAELS!BR5&gt;15%,"2",IF(CAELS!BR5&gt;12%,"3",IF(CAELS!BR5&gt;10%,"4","5"))))</f>
        <v>5</v>
      </c>
      <c r="BR8" s="118" t="str">
        <f>IF(CAELS!BS5&gt;20%,"1",IF(CAELS!BS5&gt;15%,"2",IF(CAELS!BS5&gt;12%,"3",IF(CAELS!BS5&gt;10%,"4","5"))))</f>
        <v>5</v>
      </c>
      <c r="BS8" s="118" t="str">
        <f>IF(CAELS!BT5&gt;20%,"1",IF(CAELS!BT5&gt;15%,"2",IF(CAELS!BT5&gt;12%,"3",IF(CAELS!BT5&gt;10%,"4","5"))))</f>
        <v>5</v>
      </c>
      <c r="BT8" s="118" t="str">
        <f>IF(CAELS!BU5&gt;20%,"1",IF(CAELS!BU5&gt;15%,"2",IF(CAELS!BU5&gt;12%,"3",IF(CAELS!BU5&gt;10%,"4","5"))))</f>
        <v>5</v>
      </c>
      <c r="BU8" s="118" t="str">
        <f>IF(CAELS!BV5&gt;20%,"1",IF(CAELS!BV5&gt;15%,"2",IF(CAELS!BV5&gt;12%,"3",IF(CAELS!BV5&gt;10%,"4","5"))))</f>
        <v>5</v>
      </c>
      <c r="BV8" s="118" t="str">
        <f>IF(CAELS!BW5&gt;20%,"1",IF(CAELS!BW5&gt;15%,"2",IF(CAELS!BW5&gt;12%,"3",IF(CAELS!BW5&gt;10%,"4","5"))))</f>
        <v>5</v>
      </c>
      <c r="BW8" s="118" t="str">
        <f>IF(CAELS!BX5&gt;20%,"1",IF(CAELS!BX5&gt;15%,"2",IF(CAELS!BX5&gt;12%,"3",IF(CAELS!BX5&gt;10%,"4","5"))))</f>
        <v>5</v>
      </c>
      <c r="BX8" s="118" t="str">
        <f>IF(CAELS!BY5&gt;20%,"1",IF(CAELS!BY5&gt;15%,"2",IF(CAELS!BY5&gt;12%,"3",IF(CAELS!BY5&gt;10%,"4","5"))))</f>
        <v>5</v>
      </c>
      <c r="BY8" s="118" t="str">
        <f>IF(CAELS!BZ5&gt;20%,"1",IF(CAELS!BZ5&gt;15%,"2",IF(CAELS!BZ5&gt;12%,"3",IF(CAELS!BZ5&gt;10%,"4","5"))))</f>
        <v>5</v>
      </c>
    </row>
    <row r="9" spans="1:77" x14ac:dyDescent="0.3">
      <c r="A9" s="48"/>
      <c r="B9" s="116"/>
      <c r="C9" s="128">
        <f t="shared" ref="C9:K9" si="0">(C5+C6+C7+C8)/4</f>
        <v>3.5</v>
      </c>
      <c r="D9" s="128">
        <f t="shared" si="0"/>
        <v>1.5</v>
      </c>
      <c r="E9" s="129">
        <f t="shared" si="0"/>
        <v>1.5</v>
      </c>
      <c r="F9" s="129">
        <f t="shared" si="0"/>
        <v>1.5</v>
      </c>
      <c r="G9" s="128">
        <f t="shared" si="0"/>
        <v>1.5</v>
      </c>
      <c r="H9" s="128">
        <f t="shared" si="0"/>
        <v>1.5</v>
      </c>
      <c r="I9" s="129">
        <f t="shared" si="0"/>
        <v>1.25</v>
      </c>
      <c r="J9" s="129">
        <f t="shared" si="0"/>
        <v>1.25</v>
      </c>
      <c r="K9" s="129">
        <f t="shared" si="0"/>
        <v>1.25</v>
      </c>
      <c r="L9" s="129">
        <f t="shared" ref="L9:S9" si="1">(L5+L6+L7+L8)/4</f>
        <v>1.5</v>
      </c>
      <c r="M9" s="129">
        <f t="shared" si="1"/>
        <v>1.25</v>
      </c>
      <c r="N9" s="129">
        <f t="shared" si="1"/>
        <v>1.25</v>
      </c>
      <c r="O9" s="129">
        <f t="shared" si="1"/>
        <v>1.25</v>
      </c>
      <c r="P9" s="129">
        <f t="shared" si="1"/>
        <v>1.25</v>
      </c>
      <c r="Q9" s="129">
        <f t="shared" si="1"/>
        <v>1.5</v>
      </c>
      <c r="R9" s="129">
        <f t="shared" si="1"/>
        <v>1.25</v>
      </c>
      <c r="S9" s="129">
        <f t="shared" si="1"/>
        <v>1.25</v>
      </c>
      <c r="T9" s="129">
        <f>(T5+T6+T7+T8)/4</f>
        <v>1.25</v>
      </c>
      <c r="U9" s="129">
        <f>(U5+U6+U7+U8)/4</f>
        <v>1.25</v>
      </c>
      <c r="V9" s="129">
        <f t="shared" ref="V9:BY9" si="2">(V5+V6+V7+V8)/4</f>
        <v>1.25</v>
      </c>
      <c r="W9" s="129">
        <f t="shared" si="2"/>
        <v>1.25</v>
      </c>
      <c r="X9" s="129">
        <f t="shared" si="2"/>
        <v>1.5</v>
      </c>
      <c r="Y9" s="129">
        <f t="shared" si="2"/>
        <v>1.25</v>
      </c>
      <c r="Z9" s="129">
        <f t="shared" si="2"/>
        <v>1.25</v>
      </c>
      <c r="AA9" s="129">
        <f t="shared" si="2"/>
        <v>1.25</v>
      </c>
      <c r="AB9" s="129">
        <f t="shared" si="2"/>
        <v>1.25</v>
      </c>
      <c r="AC9" s="129">
        <f t="shared" si="2"/>
        <v>1.25</v>
      </c>
      <c r="AD9" s="129">
        <f t="shared" si="2"/>
        <v>1.5</v>
      </c>
      <c r="AE9" s="129">
        <f t="shared" si="2"/>
        <v>1.25</v>
      </c>
      <c r="AF9" s="129">
        <f t="shared" si="2"/>
        <v>1.5</v>
      </c>
      <c r="AG9" s="129">
        <f t="shared" si="2"/>
        <v>1.25</v>
      </c>
      <c r="AH9" s="129">
        <f t="shared" si="2"/>
        <v>1.25</v>
      </c>
      <c r="AI9" s="129">
        <f t="shared" si="2"/>
        <v>1.25</v>
      </c>
      <c r="AJ9" s="129" t="e">
        <f t="shared" si="2"/>
        <v>#DIV/0!</v>
      </c>
      <c r="AK9" s="129" t="e">
        <f t="shared" si="2"/>
        <v>#DIV/0!</v>
      </c>
      <c r="AL9" s="129" t="e">
        <f t="shared" si="2"/>
        <v>#DIV/0!</v>
      </c>
      <c r="AM9" s="129" t="e">
        <f t="shared" si="2"/>
        <v>#DIV/0!</v>
      </c>
      <c r="AN9" s="129" t="e">
        <f t="shared" si="2"/>
        <v>#DIV/0!</v>
      </c>
      <c r="AO9" s="129" t="e">
        <f t="shared" si="2"/>
        <v>#DIV/0!</v>
      </c>
      <c r="AP9" s="129" t="e">
        <f t="shared" si="2"/>
        <v>#DIV/0!</v>
      </c>
      <c r="AQ9" s="129" t="e">
        <f t="shared" si="2"/>
        <v>#DIV/0!</v>
      </c>
      <c r="AR9" s="129" t="e">
        <f t="shared" si="2"/>
        <v>#DIV/0!</v>
      </c>
      <c r="AS9" s="129" t="e">
        <f t="shared" si="2"/>
        <v>#DIV/0!</v>
      </c>
      <c r="AT9" s="129" t="e">
        <f t="shared" si="2"/>
        <v>#DIV/0!</v>
      </c>
      <c r="AU9" s="129" t="e">
        <f t="shared" si="2"/>
        <v>#DIV/0!</v>
      </c>
      <c r="AV9" s="129" t="e">
        <f t="shared" si="2"/>
        <v>#DIV/0!</v>
      </c>
      <c r="AW9" s="129" t="e">
        <f t="shared" si="2"/>
        <v>#DIV/0!</v>
      </c>
      <c r="AX9" s="129" t="e">
        <f t="shared" si="2"/>
        <v>#DIV/0!</v>
      </c>
      <c r="AY9" s="129">
        <f t="shared" si="2"/>
        <v>5</v>
      </c>
      <c r="AZ9" s="129">
        <f t="shared" si="2"/>
        <v>5</v>
      </c>
      <c r="BA9" s="129">
        <f t="shared" si="2"/>
        <v>5</v>
      </c>
      <c r="BB9" s="129">
        <f t="shared" si="2"/>
        <v>5</v>
      </c>
      <c r="BC9" s="129">
        <f t="shared" si="2"/>
        <v>5</v>
      </c>
      <c r="BD9" s="129">
        <f t="shared" si="2"/>
        <v>5</v>
      </c>
      <c r="BE9" s="129">
        <f t="shared" si="2"/>
        <v>5</v>
      </c>
      <c r="BF9" s="129">
        <f t="shared" si="2"/>
        <v>5</v>
      </c>
      <c r="BG9" s="129">
        <f t="shared" si="2"/>
        <v>5</v>
      </c>
      <c r="BH9" s="129">
        <f t="shared" si="2"/>
        <v>5</v>
      </c>
      <c r="BI9" s="129">
        <f t="shared" si="2"/>
        <v>5</v>
      </c>
      <c r="BJ9" s="129">
        <f t="shared" si="2"/>
        <v>5</v>
      </c>
      <c r="BK9" s="129">
        <f t="shared" si="2"/>
        <v>5</v>
      </c>
      <c r="BL9" s="129">
        <f t="shared" si="2"/>
        <v>5</v>
      </c>
      <c r="BM9" s="129">
        <f t="shared" si="2"/>
        <v>5</v>
      </c>
      <c r="BN9" s="129">
        <f t="shared" si="2"/>
        <v>5</v>
      </c>
      <c r="BO9" s="129">
        <f t="shared" si="2"/>
        <v>5</v>
      </c>
      <c r="BP9" s="129">
        <f t="shared" si="2"/>
        <v>5</v>
      </c>
      <c r="BQ9" s="129">
        <f t="shared" si="2"/>
        <v>5</v>
      </c>
      <c r="BR9" s="129">
        <f t="shared" si="2"/>
        <v>5</v>
      </c>
      <c r="BS9" s="129">
        <f t="shared" si="2"/>
        <v>5</v>
      </c>
      <c r="BT9" s="129">
        <f t="shared" si="2"/>
        <v>5</v>
      </c>
      <c r="BU9" s="129">
        <f t="shared" si="2"/>
        <v>5</v>
      </c>
      <c r="BV9" s="129">
        <f t="shared" si="2"/>
        <v>5</v>
      </c>
      <c r="BW9" s="129">
        <f t="shared" si="2"/>
        <v>5</v>
      </c>
      <c r="BX9" s="129">
        <f t="shared" si="2"/>
        <v>5</v>
      </c>
      <c r="BY9" s="129">
        <f t="shared" si="2"/>
        <v>5</v>
      </c>
    </row>
    <row r="10" spans="1:77" x14ac:dyDescent="0.3">
      <c r="A10" s="113" t="s">
        <v>202</v>
      </c>
      <c r="B10" s="114"/>
      <c r="C10" s="114"/>
      <c r="D10" s="114"/>
      <c r="E10" s="119"/>
      <c r="F10" s="119"/>
      <c r="G10" s="114"/>
      <c r="H10" s="114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</row>
    <row r="11" spans="1:77" x14ac:dyDescent="0.3">
      <c r="A11" s="48" t="s">
        <v>92</v>
      </c>
      <c r="B11" s="116" t="s">
        <v>203</v>
      </c>
      <c r="C11" s="120"/>
      <c r="D11" s="121"/>
      <c r="E11" s="121"/>
      <c r="F11" s="121"/>
      <c r="G11" s="121"/>
      <c r="H11" s="121"/>
      <c r="I11" s="121"/>
      <c r="J11" s="121"/>
      <c r="K11" s="121"/>
      <c r="L11" s="121" t="str">
        <f>IF(CAELS!M8&lt;4%,"1",IF(CAELS!M8&lt;8%,"2",IF(CAELS!M8&lt;12%,"3",IF(CAELS!M8&lt;15%,"4","5"))))</f>
        <v>1</v>
      </c>
      <c r="M11" s="121"/>
      <c r="N11" s="121"/>
      <c r="O11" s="121" t="str">
        <f>IF(CAELS!P8&lt;4%,"1",IF(CAELS!P8&lt;8%,"2",IF(CAELS!P8&lt;12%,"3",IF(CAELS!P8&lt;15%,"4","5"))))</f>
        <v>1</v>
      </c>
      <c r="P11" s="121"/>
      <c r="Q11" s="121"/>
      <c r="R11" s="121" t="str">
        <f>IF(CAELS!S8&lt;4%,"1",IF(CAELS!S8&lt;8%,"2",IF(CAELS!S8&lt;12%,"3",IF(CAELS!S8&lt;15%,"4","5"))))</f>
        <v>1</v>
      </c>
      <c r="S11" s="121"/>
      <c r="T11" s="121"/>
      <c r="U11" s="121" t="str">
        <f>IF(CAELS!V8&lt;4%,"1",IF(CAELS!V8&lt;8%,"2",IF(CAELS!V8&lt;12%,"3",IF(CAELS!V8&lt;15%,"4","5"))))</f>
        <v>1</v>
      </c>
      <c r="V11" s="121" t="str">
        <f>IF(CAELS!W8&lt;4%,"1",IF(CAELS!W8&lt;8%,"2",IF(CAELS!W8&lt;12%,"3",IF(CAELS!W8&lt;15%,"4","5"))))</f>
        <v>1</v>
      </c>
      <c r="W11" s="121" t="str">
        <f>IF(CAELS!X8&lt;4%,"1",IF(CAELS!X8&lt;8%,"2",IF(CAELS!X8&lt;12%,"3",IF(CAELS!X8&lt;15%,"4","5"))))</f>
        <v>5</v>
      </c>
      <c r="X11" s="121" t="str">
        <f>IF(CAELS!Y8&lt;4%,"1",IF(CAELS!Y8&lt;8%,"2",IF(CAELS!Y8&lt;12%,"3",IF(CAELS!Y8&lt;15%,"4","5"))))</f>
        <v>1</v>
      </c>
      <c r="Y11" s="121" t="str">
        <f>IF(CAELS!Z8&lt;4%,"1",IF(CAELS!Z8&lt;8%,"2",IF(CAELS!Z8&lt;12%,"3",IF(CAELS!Z8&lt;15%,"4","5"))))</f>
        <v>1</v>
      </c>
      <c r="Z11" s="121" t="str">
        <f>IF(CAELS!AA8&lt;4%,"1",IF(CAELS!AA8&lt;8%,"2",IF(CAELS!AA8&lt;12%,"3",IF(CAELS!AA8&lt;15%,"4","5"))))</f>
        <v>5</v>
      </c>
      <c r="AA11" s="121" t="str">
        <f>IF(CAELS!AB8&lt;4%,"1",IF(CAELS!AB8&lt;8%,"2",IF(CAELS!AB8&lt;12%,"3",IF(CAELS!AB8&lt;15%,"4","5"))))</f>
        <v>1</v>
      </c>
      <c r="AB11" s="121" t="str">
        <f>IF(CAELS!AC8&lt;4%,"1",IF(CAELS!AC8&lt;8%,"2",IF(CAELS!AC8&lt;12%,"3",IF(CAELS!AC8&lt;15%,"4","5"))))</f>
        <v>1</v>
      </c>
      <c r="AC11" s="121" t="str">
        <f>IF(CAELS!AD8&lt;4%,"1",IF(CAELS!AD8&lt;8%,"2",IF(CAELS!AD8&lt;12%,"3",IF(CAELS!AD8&lt;15%,"4","5"))))</f>
        <v>5</v>
      </c>
      <c r="AD11" s="121" t="str">
        <f>IF(CAELS!AE8&lt;4%,"1",IF(CAELS!AE8&lt;8%,"2",IF(CAELS!AE8&lt;12%,"3",IF(CAELS!AE8&lt;15%,"4","5"))))</f>
        <v>5</v>
      </c>
      <c r="AE11" s="121" t="str">
        <f>IF(CAELS!AF8&lt;4%,"1",IF(CAELS!AF8&lt;8%,"2",IF(CAELS!AF8&lt;12%,"3",IF(CAELS!AF8&lt;15%,"4","5"))))</f>
        <v>1</v>
      </c>
      <c r="AF11" s="121" t="str">
        <f>IF(CAELS!AG8&lt;4%,"1",IF(CAELS!AG8&lt;8%,"2",IF(CAELS!AG8&lt;12%,"3",IF(CAELS!AG8&lt;15%,"4","5"))))</f>
        <v>1</v>
      </c>
      <c r="AG11" s="121" t="str">
        <f>IF(CAELS!AH8&lt;4%,"1",IF(CAELS!AH8&lt;8%,"2",IF(CAELS!AH8&lt;12%,"3",IF(CAELS!AH8&lt;15%,"4","5"))))</f>
        <v>1</v>
      </c>
      <c r="AH11" s="121" t="str">
        <f>IF(CAELS!AI8&lt;4%,"1",IF(CAELS!AI8&lt;8%,"2",IF(CAELS!AI8&lt;12%,"3",IF(CAELS!AI8&lt;15%,"4","5"))))</f>
        <v>1</v>
      </c>
      <c r="AI11" s="121" t="str">
        <f>IF(CAELS!AJ8&lt;4%,"1",IF(CAELS!AJ8&lt;8%,"2",IF(CAELS!AJ8&lt;12%,"3",IF(CAELS!AJ8&lt;15%,"4","5"))))</f>
        <v>1</v>
      </c>
      <c r="AJ11" s="121" t="str">
        <f>IF(CAELS!AK8&lt;4%,"1",IF(CAELS!AK8&lt;8%,"2",IF(CAELS!AK8&lt;12%,"3",IF(CAELS!AK8&lt;15%,"4","5"))))</f>
        <v>1</v>
      </c>
      <c r="AK11" s="121" t="str">
        <f>IF(CAELS!AL8&lt;4%,"1",IF(CAELS!AL8&lt;8%,"2",IF(CAELS!AL8&lt;12%,"3",IF(CAELS!AL8&lt;15%,"4","5"))))</f>
        <v>1</v>
      </c>
      <c r="AL11" s="121" t="str">
        <f>IF(CAELS!AM8&lt;4%,"1",IF(CAELS!AM8&lt;8%,"2",IF(CAELS!AM8&lt;12%,"3",IF(CAELS!AM8&lt;15%,"4","5"))))</f>
        <v>1</v>
      </c>
      <c r="AM11" s="121" t="str">
        <f>IF(CAELS!AN8&lt;4%,"1",IF(CAELS!AN8&lt;8%,"2",IF(CAELS!AN8&lt;12%,"3",IF(CAELS!AN8&lt;15%,"4","5"))))</f>
        <v>1</v>
      </c>
      <c r="AN11" s="121" t="str">
        <f>IF(CAELS!AO8&lt;4%,"1",IF(CAELS!AO8&lt;8%,"2",IF(CAELS!AO8&lt;12%,"3",IF(CAELS!AO8&lt;15%,"4","5"))))</f>
        <v>1</v>
      </c>
      <c r="AO11" s="121" t="str">
        <f>IF(CAELS!AP8&lt;4%,"1",IF(CAELS!AP8&lt;8%,"2",IF(CAELS!AP8&lt;12%,"3",IF(CAELS!AP8&lt;15%,"4","5"))))</f>
        <v>1</v>
      </c>
      <c r="AP11" s="121" t="str">
        <f>IF(CAELS!AQ8&lt;4%,"1",IF(CAELS!AQ8&lt;8%,"2",IF(CAELS!AQ8&lt;12%,"3",IF(CAELS!AQ8&lt;15%,"4","5"))))</f>
        <v>1</v>
      </c>
      <c r="AQ11" s="121" t="str">
        <f>IF(CAELS!AR8&lt;4%,"1",IF(CAELS!AR8&lt;8%,"2",IF(CAELS!AR8&lt;12%,"3",IF(CAELS!AR8&lt;15%,"4","5"))))</f>
        <v>1</v>
      </c>
      <c r="AR11" s="121" t="str">
        <f>IF(CAELS!AS8&lt;4%,"1",IF(CAELS!AS8&lt;8%,"2",IF(CAELS!AS8&lt;12%,"3",IF(CAELS!AS8&lt;15%,"4","5"))))</f>
        <v>1</v>
      </c>
      <c r="AS11" s="121" t="str">
        <f>IF(CAELS!AT8&lt;4%,"1",IF(CAELS!AT8&lt;8%,"2",IF(CAELS!AT8&lt;12%,"3",IF(CAELS!AT8&lt;15%,"4","5"))))</f>
        <v>1</v>
      </c>
      <c r="AT11" s="121" t="str">
        <f>IF(CAELS!AU8&lt;4%,"1",IF(CAELS!AU8&lt;8%,"2",IF(CAELS!AU8&lt;12%,"3",IF(CAELS!AU8&lt;15%,"4","5"))))</f>
        <v>1</v>
      </c>
      <c r="AU11" s="121" t="str">
        <f>IF(CAELS!AV8&lt;4%,"1",IF(CAELS!AV8&lt;8%,"2",IF(CAELS!AV8&lt;12%,"3",IF(CAELS!AV8&lt;15%,"4","5"))))</f>
        <v>1</v>
      </c>
      <c r="AV11" s="121" t="str">
        <f>IF(CAELS!AW8&lt;4%,"1",IF(CAELS!AW8&lt;8%,"2",IF(CAELS!AW8&lt;12%,"3",IF(CAELS!AW8&lt;15%,"4","5"))))</f>
        <v>1</v>
      </c>
      <c r="AW11" s="121" t="str">
        <f>IF(CAELS!AX8&lt;4%,"1",IF(CAELS!AX8&lt;8%,"2",IF(CAELS!AX8&lt;12%,"3",IF(CAELS!AX8&lt;15%,"4","5"))))</f>
        <v>1</v>
      </c>
      <c r="AX11" s="121" t="str">
        <f>IF(CAELS!AY8&lt;4%,"1",IF(CAELS!AY8&lt;8%,"2",IF(CAELS!AY8&lt;12%,"3",IF(CAELS!AY8&lt;15%,"4","5"))))</f>
        <v>1</v>
      </c>
      <c r="AY11" s="121" t="str">
        <f>IF(CAELS!AZ8&lt;4%,"1",IF(CAELS!AZ8&lt;8%,"2",IF(CAELS!AZ8&lt;12%,"3",IF(CAELS!AZ8&lt;15%,"4","5"))))</f>
        <v>1</v>
      </c>
      <c r="AZ11" s="121" t="str">
        <f>IF(CAELS!BA8&lt;4%,"1",IF(CAELS!BA8&lt;8%,"2",IF(CAELS!BA8&lt;12%,"3",IF(CAELS!BA8&lt;15%,"4","5"))))</f>
        <v>1</v>
      </c>
      <c r="BA11" s="121" t="str">
        <f>IF(CAELS!BB8&lt;4%,"1",IF(CAELS!BB8&lt;8%,"2",IF(CAELS!BB8&lt;12%,"3",IF(CAELS!BB8&lt;15%,"4","5"))))</f>
        <v>1</v>
      </c>
      <c r="BB11" s="121" t="str">
        <f>IF(CAELS!BC8&lt;4%,"1",IF(CAELS!BC8&lt;8%,"2",IF(CAELS!BC8&lt;12%,"3",IF(CAELS!BC8&lt;15%,"4","5"))))</f>
        <v>1</v>
      </c>
      <c r="BC11" s="121" t="str">
        <f>IF(CAELS!BD8&lt;4%,"1",IF(CAELS!BD8&lt;8%,"2",IF(CAELS!BD8&lt;12%,"3",IF(CAELS!BD8&lt;15%,"4","5"))))</f>
        <v>1</v>
      </c>
      <c r="BD11" s="121" t="str">
        <f>IF(CAELS!BE8&lt;4%,"1",IF(CAELS!BE8&lt;8%,"2",IF(CAELS!BE8&lt;12%,"3",IF(CAELS!BE8&lt;15%,"4","5"))))</f>
        <v>1</v>
      </c>
      <c r="BE11" s="121" t="str">
        <f>IF(CAELS!BF8&lt;4%,"1",IF(CAELS!BF8&lt;8%,"2",IF(CAELS!BF8&lt;12%,"3",IF(CAELS!BF8&lt;15%,"4","5"))))</f>
        <v>1</v>
      </c>
      <c r="BF11" s="121" t="str">
        <f>IF(CAELS!BG8&lt;4%,"1",IF(CAELS!BG8&lt;8%,"2",IF(CAELS!BG8&lt;12%,"3",IF(CAELS!BG8&lt;15%,"4","5"))))</f>
        <v>1</v>
      </c>
      <c r="BG11" s="121" t="str">
        <f>IF(CAELS!BH8&lt;4%,"1",IF(CAELS!BH8&lt;8%,"2",IF(CAELS!BH8&lt;12%,"3",IF(CAELS!BH8&lt;15%,"4","5"))))</f>
        <v>1</v>
      </c>
      <c r="BH11" s="121" t="str">
        <f>IF(CAELS!BI8&lt;4%,"1",IF(CAELS!BI8&lt;8%,"2",IF(CAELS!BI8&lt;12%,"3",IF(CAELS!BI8&lt;15%,"4","5"))))</f>
        <v>1</v>
      </c>
      <c r="BI11" s="121" t="str">
        <f>IF(CAELS!BJ8&lt;4%,"1",IF(CAELS!BJ8&lt;8%,"2",IF(CAELS!BJ8&lt;12%,"3",IF(CAELS!BJ8&lt;15%,"4","5"))))</f>
        <v>1</v>
      </c>
      <c r="BJ11" s="121" t="str">
        <f>IF(CAELS!BK8&lt;4%,"1",IF(CAELS!BK8&lt;8%,"2",IF(CAELS!BK8&lt;12%,"3",IF(CAELS!BK8&lt;15%,"4","5"))))</f>
        <v>1</v>
      </c>
      <c r="BK11" s="121" t="str">
        <f>IF(CAELS!BL8&lt;4%,"1",IF(CAELS!BL8&lt;8%,"2",IF(CAELS!BL8&lt;12%,"3",IF(CAELS!BL8&lt;15%,"4","5"))))</f>
        <v>1</v>
      </c>
      <c r="BL11" s="121" t="str">
        <f>IF(CAELS!BM8&lt;4%,"1",IF(CAELS!BM8&lt;8%,"2",IF(CAELS!BM8&lt;12%,"3",IF(CAELS!BM8&lt;15%,"4","5"))))</f>
        <v>1</v>
      </c>
      <c r="BM11" s="121" t="str">
        <f>IF(CAELS!BN8&lt;4%,"1",IF(CAELS!BN8&lt;8%,"2",IF(CAELS!BN8&lt;12%,"3",IF(CAELS!BN8&lt;15%,"4","5"))))</f>
        <v>1</v>
      </c>
      <c r="BN11" s="121" t="str">
        <f>IF(CAELS!BO8&lt;4%,"1",IF(CAELS!BO8&lt;8%,"2",IF(CAELS!BO8&lt;12%,"3",IF(CAELS!BO8&lt;15%,"4","5"))))</f>
        <v>1</v>
      </c>
      <c r="BO11" s="121" t="str">
        <f>IF(CAELS!BP8&lt;4%,"1",IF(CAELS!BP8&lt;8%,"2",IF(CAELS!BP8&lt;12%,"3",IF(CAELS!BP8&lt;15%,"4","5"))))</f>
        <v>1</v>
      </c>
      <c r="BP11" s="121" t="str">
        <f>IF(CAELS!BQ8&lt;4%,"1",IF(CAELS!BQ8&lt;8%,"2",IF(CAELS!BQ8&lt;12%,"3",IF(CAELS!BQ8&lt;15%,"4","5"))))</f>
        <v>1</v>
      </c>
      <c r="BQ11" s="121" t="str">
        <f>IF(CAELS!BR8&lt;4%,"1",IF(CAELS!BR8&lt;8%,"2",IF(CAELS!BR8&lt;12%,"3",IF(CAELS!BR8&lt;15%,"4","5"))))</f>
        <v>1</v>
      </c>
      <c r="BR11" s="121" t="str">
        <f>IF(CAELS!BS8&lt;4%,"1",IF(CAELS!BS8&lt;8%,"2",IF(CAELS!BS8&lt;12%,"3",IF(CAELS!BS8&lt;15%,"4","5"))))</f>
        <v>1</v>
      </c>
      <c r="BS11" s="121" t="str">
        <f>IF(CAELS!BT8&lt;4%,"1",IF(CAELS!BT8&lt;8%,"2",IF(CAELS!BT8&lt;12%,"3",IF(CAELS!BT8&lt;15%,"4","5"))))</f>
        <v>1</v>
      </c>
      <c r="BT11" s="121" t="str">
        <f>IF(CAELS!BU8&lt;4%,"1",IF(CAELS!BU8&lt;8%,"2",IF(CAELS!BU8&lt;12%,"3",IF(CAELS!BU8&lt;15%,"4","5"))))</f>
        <v>1</v>
      </c>
      <c r="BU11" s="121" t="str">
        <f>IF(CAELS!BV8&lt;4%,"1",IF(CAELS!BV8&lt;8%,"2",IF(CAELS!BV8&lt;12%,"3",IF(CAELS!BV8&lt;15%,"4","5"))))</f>
        <v>1</v>
      </c>
      <c r="BV11" s="121" t="str">
        <f>IF(CAELS!BW8&lt;4%,"1",IF(CAELS!BW8&lt;8%,"2",IF(CAELS!BW8&lt;12%,"3",IF(CAELS!BW8&lt;15%,"4","5"))))</f>
        <v>1</v>
      </c>
      <c r="BW11" s="121" t="str">
        <f>IF(CAELS!BX8&lt;4%,"1",IF(CAELS!BX8&lt;8%,"2",IF(CAELS!BX8&lt;12%,"3",IF(CAELS!BX8&lt;15%,"4","5"))))</f>
        <v>1</v>
      </c>
      <c r="BX11" s="121" t="str">
        <f>IF(CAELS!BY8&lt;4%,"1",IF(CAELS!BY8&lt;8%,"2",IF(CAELS!BY8&lt;12%,"3",IF(CAELS!BY8&lt;15%,"4","5"))))</f>
        <v>1</v>
      </c>
      <c r="BY11" s="121" t="str">
        <f>IF(CAELS!BZ8&lt;4%,"1",IF(CAELS!BZ8&lt;8%,"2",IF(CAELS!BZ8&lt;12%,"3",IF(CAELS!BZ8&lt;15%,"4","5"))))</f>
        <v>1</v>
      </c>
    </row>
    <row r="12" spans="1:77" x14ac:dyDescent="0.3">
      <c r="A12" s="48"/>
      <c r="B12" s="116"/>
      <c r="C12" s="120">
        <f t="shared" ref="C12:K12" si="3">C11</f>
        <v>0</v>
      </c>
      <c r="D12" s="120">
        <f t="shared" si="3"/>
        <v>0</v>
      </c>
      <c r="E12" s="121">
        <f t="shared" si="3"/>
        <v>0</v>
      </c>
      <c r="F12" s="121">
        <f t="shared" si="3"/>
        <v>0</v>
      </c>
      <c r="G12" s="120">
        <f t="shared" si="3"/>
        <v>0</v>
      </c>
      <c r="H12" s="120">
        <f t="shared" si="3"/>
        <v>0</v>
      </c>
      <c r="I12" s="121">
        <f t="shared" si="3"/>
        <v>0</v>
      </c>
      <c r="J12" s="121">
        <f t="shared" si="3"/>
        <v>0</v>
      </c>
      <c r="K12" s="121">
        <f t="shared" si="3"/>
        <v>0</v>
      </c>
      <c r="L12" s="121" t="str">
        <f t="shared" ref="L12:S12" si="4">L11</f>
        <v>1</v>
      </c>
      <c r="M12" s="121">
        <f t="shared" si="4"/>
        <v>0</v>
      </c>
      <c r="N12" s="121">
        <f t="shared" si="4"/>
        <v>0</v>
      </c>
      <c r="O12" s="121" t="str">
        <f t="shared" si="4"/>
        <v>1</v>
      </c>
      <c r="P12" s="121">
        <f t="shared" si="4"/>
        <v>0</v>
      </c>
      <c r="Q12" s="121">
        <f t="shared" si="4"/>
        <v>0</v>
      </c>
      <c r="R12" s="121" t="str">
        <f t="shared" si="4"/>
        <v>1</v>
      </c>
      <c r="S12" s="121">
        <f t="shared" si="4"/>
        <v>0</v>
      </c>
      <c r="T12" s="121">
        <f>T11</f>
        <v>0</v>
      </c>
      <c r="U12" s="121" t="str">
        <f>U11</f>
        <v>1</v>
      </c>
      <c r="V12" s="121" t="str">
        <f t="shared" ref="V12:BY12" si="5">V11</f>
        <v>1</v>
      </c>
      <c r="W12" s="121" t="str">
        <f t="shared" si="5"/>
        <v>5</v>
      </c>
      <c r="X12" s="121" t="str">
        <f t="shared" si="5"/>
        <v>1</v>
      </c>
      <c r="Y12" s="121" t="str">
        <f t="shared" si="5"/>
        <v>1</v>
      </c>
      <c r="Z12" s="121" t="str">
        <f t="shared" si="5"/>
        <v>5</v>
      </c>
      <c r="AA12" s="121" t="str">
        <f t="shared" si="5"/>
        <v>1</v>
      </c>
      <c r="AB12" s="121" t="str">
        <f t="shared" si="5"/>
        <v>1</v>
      </c>
      <c r="AC12" s="121" t="str">
        <f t="shared" si="5"/>
        <v>5</v>
      </c>
      <c r="AD12" s="121" t="str">
        <f t="shared" si="5"/>
        <v>5</v>
      </c>
      <c r="AE12" s="121" t="str">
        <f t="shared" si="5"/>
        <v>1</v>
      </c>
      <c r="AF12" s="121" t="str">
        <f t="shared" si="5"/>
        <v>1</v>
      </c>
      <c r="AG12" s="121" t="str">
        <f t="shared" si="5"/>
        <v>1</v>
      </c>
      <c r="AH12" s="121" t="str">
        <f t="shared" si="5"/>
        <v>1</v>
      </c>
      <c r="AI12" s="121" t="str">
        <f t="shared" si="5"/>
        <v>1</v>
      </c>
      <c r="AJ12" s="121" t="str">
        <f t="shared" si="5"/>
        <v>1</v>
      </c>
      <c r="AK12" s="121" t="str">
        <f t="shared" si="5"/>
        <v>1</v>
      </c>
      <c r="AL12" s="121" t="str">
        <f t="shared" si="5"/>
        <v>1</v>
      </c>
      <c r="AM12" s="121" t="str">
        <f t="shared" si="5"/>
        <v>1</v>
      </c>
      <c r="AN12" s="121" t="str">
        <f t="shared" si="5"/>
        <v>1</v>
      </c>
      <c r="AO12" s="121" t="str">
        <f t="shared" si="5"/>
        <v>1</v>
      </c>
      <c r="AP12" s="121" t="str">
        <f t="shared" si="5"/>
        <v>1</v>
      </c>
      <c r="AQ12" s="121" t="str">
        <f t="shared" si="5"/>
        <v>1</v>
      </c>
      <c r="AR12" s="121" t="str">
        <f t="shared" si="5"/>
        <v>1</v>
      </c>
      <c r="AS12" s="121" t="str">
        <f t="shared" si="5"/>
        <v>1</v>
      </c>
      <c r="AT12" s="121" t="str">
        <f t="shared" si="5"/>
        <v>1</v>
      </c>
      <c r="AU12" s="121" t="str">
        <f t="shared" si="5"/>
        <v>1</v>
      </c>
      <c r="AV12" s="121" t="str">
        <f t="shared" si="5"/>
        <v>1</v>
      </c>
      <c r="AW12" s="121" t="str">
        <f t="shared" si="5"/>
        <v>1</v>
      </c>
      <c r="AX12" s="121" t="str">
        <f t="shared" si="5"/>
        <v>1</v>
      </c>
      <c r="AY12" s="121" t="str">
        <f t="shared" si="5"/>
        <v>1</v>
      </c>
      <c r="AZ12" s="121" t="str">
        <f t="shared" si="5"/>
        <v>1</v>
      </c>
      <c r="BA12" s="121" t="str">
        <f t="shared" si="5"/>
        <v>1</v>
      </c>
      <c r="BB12" s="121" t="str">
        <f t="shared" si="5"/>
        <v>1</v>
      </c>
      <c r="BC12" s="121" t="str">
        <f t="shared" si="5"/>
        <v>1</v>
      </c>
      <c r="BD12" s="121" t="str">
        <f t="shared" si="5"/>
        <v>1</v>
      </c>
      <c r="BE12" s="121" t="str">
        <f t="shared" si="5"/>
        <v>1</v>
      </c>
      <c r="BF12" s="121" t="str">
        <f t="shared" si="5"/>
        <v>1</v>
      </c>
      <c r="BG12" s="121" t="str">
        <f t="shared" si="5"/>
        <v>1</v>
      </c>
      <c r="BH12" s="121" t="str">
        <f t="shared" si="5"/>
        <v>1</v>
      </c>
      <c r="BI12" s="121" t="str">
        <f t="shared" si="5"/>
        <v>1</v>
      </c>
      <c r="BJ12" s="121" t="str">
        <f t="shared" si="5"/>
        <v>1</v>
      </c>
      <c r="BK12" s="121" t="str">
        <f t="shared" si="5"/>
        <v>1</v>
      </c>
      <c r="BL12" s="121" t="str">
        <f t="shared" si="5"/>
        <v>1</v>
      </c>
      <c r="BM12" s="121" t="str">
        <f t="shared" si="5"/>
        <v>1</v>
      </c>
      <c r="BN12" s="121" t="str">
        <f t="shared" si="5"/>
        <v>1</v>
      </c>
      <c r="BO12" s="121" t="str">
        <f t="shared" si="5"/>
        <v>1</v>
      </c>
      <c r="BP12" s="121" t="str">
        <f t="shared" si="5"/>
        <v>1</v>
      </c>
      <c r="BQ12" s="121" t="str">
        <f t="shared" si="5"/>
        <v>1</v>
      </c>
      <c r="BR12" s="121" t="str">
        <f t="shared" si="5"/>
        <v>1</v>
      </c>
      <c r="BS12" s="121" t="str">
        <f t="shared" si="5"/>
        <v>1</v>
      </c>
      <c r="BT12" s="121" t="str">
        <f t="shared" si="5"/>
        <v>1</v>
      </c>
      <c r="BU12" s="121" t="str">
        <f t="shared" si="5"/>
        <v>1</v>
      </c>
      <c r="BV12" s="121" t="str">
        <f t="shared" si="5"/>
        <v>1</v>
      </c>
      <c r="BW12" s="121" t="str">
        <f t="shared" si="5"/>
        <v>1</v>
      </c>
      <c r="BX12" s="121" t="str">
        <f t="shared" si="5"/>
        <v>1</v>
      </c>
      <c r="BY12" s="121" t="str">
        <f t="shared" si="5"/>
        <v>1</v>
      </c>
    </row>
    <row r="13" spans="1:77" x14ac:dyDescent="0.3">
      <c r="A13" s="113" t="s">
        <v>204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  <c r="BY13" s="114"/>
    </row>
    <row r="14" spans="1:77" x14ac:dyDescent="0.3">
      <c r="A14" s="48" t="s">
        <v>111</v>
      </c>
      <c r="B14" s="2"/>
      <c r="C14" s="118"/>
      <c r="D14" s="118" t="str">
        <f>IF(CAELS!E9&gt;6%,"1",IF(CAELS!E9&gt;4%,"2",IF(CAELS!E9&gt;2%,"3",IF(CAELS!E9&gt;0%,"4","5"))))</f>
        <v>3</v>
      </c>
      <c r="E14" s="118" t="str">
        <f>IF(CAELS!F9&gt;6%,"1",IF(CAELS!F9&gt;4%,"2",IF(CAELS!F9&gt;2%,"3",IF(CAELS!F9&gt;0%,"4","5"))))</f>
        <v>4</v>
      </c>
      <c r="F14" s="118" t="str">
        <f>IF(CAELS!G9&gt;6%,"1",IF(CAELS!G9&gt;4%,"2",IF(CAELS!G9&gt;2%,"3",IF(CAELS!G9&gt;0%,"4","5"))))</f>
        <v>4</v>
      </c>
      <c r="G14" s="118" t="str">
        <f>IF(CAELS!H9&gt;6%,"1",IF(CAELS!H9&gt;4%,"2",IF(CAELS!H9&gt;2%,"3",IF(CAELS!H9&gt;0%,"4","5"))))</f>
        <v>5</v>
      </c>
      <c r="H14" s="118" t="str">
        <f>IF(CAELS!I9&gt;6%,"1",IF(CAELS!I9&gt;4%,"2",IF(CAELS!I9&gt;2%,"3",IF(CAELS!I9&gt;0%,"4","5"))))</f>
        <v>4</v>
      </c>
      <c r="I14" s="118" t="str">
        <f>IF(CAELS!J9&gt;6%,"1",IF(CAELS!J9&gt;4%,"2",IF(CAELS!J9&gt;2%,"3",IF(CAELS!J9&gt;0%,"4","5"))))</f>
        <v>4</v>
      </c>
      <c r="J14" s="118" t="str">
        <f>IF(CAELS!K9&gt;6%,"1",IF(CAELS!K9&gt;4%,"2",IF(CAELS!K9&gt;2%,"3",IF(CAELS!K9&gt;0%,"4","5"))))</f>
        <v>4</v>
      </c>
      <c r="K14" s="118" t="str">
        <f>IF(CAELS!L9&gt;6%,"1",IF(CAELS!L9&gt;4%,"2",IF(CAELS!L9&gt;2%,"3",IF(CAELS!L9&gt;0%,"4","5"))))</f>
        <v>4</v>
      </c>
      <c r="L14" s="118" t="str">
        <f>IF(CAELS!M9&gt;6%,"1",IF(CAELS!M9&gt;4%,"2",IF(CAELS!M9&gt;2%,"3",IF(CAELS!M9&gt;0%,"4","5"))))</f>
        <v>4</v>
      </c>
      <c r="M14" s="118" t="str">
        <f>IF(CAELS!N9&gt;6%,"1",IF(CAELS!N9&gt;4%,"2",IF(CAELS!N9&gt;2%,"3",IF(CAELS!N9&gt;0%,"4","5"))))</f>
        <v>4</v>
      </c>
      <c r="N14" s="118" t="str">
        <f>IF(CAELS!O9&gt;6%,"1",IF(CAELS!O9&gt;4%,"2",IF(CAELS!O9&gt;2%,"3",IF(CAELS!O9&gt;0%,"4","5"))))</f>
        <v>4</v>
      </c>
      <c r="O14" s="118" t="str">
        <f>IF(CAELS!P9&gt;6%,"1",IF(CAELS!P9&gt;4%,"2",IF(CAELS!P9&gt;2%,"3",IF(CAELS!P9&gt;0%,"4","5"))))</f>
        <v>3</v>
      </c>
      <c r="P14" s="118" t="str">
        <f>IF(CAELS!Q9&gt;6%,"1",IF(CAELS!Q9&gt;4%,"2",IF(CAELS!Q9&gt;2%,"3",IF(CAELS!Q9&gt;0%,"4","5"))))</f>
        <v>3</v>
      </c>
      <c r="Q14" s="118" t="str">
        <f>IF(CAELS!R9&gt;6%,"1",IF(CAELS!R9&gt;4%,"2",IF(CAELS!R9&gt;2%,"3",IF(CAELS!R9&gt;0%,"4","5"))))</f>
        <v>3</v>
      </c>
      <c r="R14" s="118" t="str">
        <f>IF(CAELS!S9&gt;6%,"1",IF(CAELS!S9&gt;4%,"2",IF(CAELS!S9&gt;2%,"3",IF(CAELS!S9&gt;0%,"4","5"))))</f>
        <v>4</v>
      </c>
      <c r="S14" s="118" t="str">
        <f>IF(CAELS!T9&gt;6%,"1",IF(CAELS!T9&gt;4%,"2",IF(CAELS!T9&gt;2%,"3",IF(CAELS!T9&gt;0%,"4","5"))))</f>
        <v>5</v>
      </c>
      <c r="T14" s="118" t="str">
        <f>IF(CAELS!U9&gt;6%,"1",IF(CAELS!U9&gt;4%,"2",IF(CAELS!U9&gt;2%,"3",IF(CAELS!U9&gt;0%,"4","5"))))</f>
        <v>5</v>
      </c>
      <c r="U14" s="118" t="str">
        <f>IF(CAELS!V9&gt;6%,"1",IF(CAELS!V9&gt;4%,"2",IF(CAELS!V9&gt;2%,"3",IF(CAELS!V9&gt;0%,"4","5"))))</f>
        <v>4</v>
      </c>
      <c r="V14" s="118" t="str">
        <f>IF(CAELS!W9&gt;6%,"1",IF(CAELS!W9&gt;4%,"2",IF(CAELS!W9&gt;2%,"3",IF(CAELS!W9&gt;0%,"4","5"))))</f>
        <v>4</v>
      </c>
      <c r="W14" s="118" t="str">
        <f>IF(CAELS!X9&gt;6%,"1",IF(CAELS!X9&gt;4%,"2",IF(CAELS!X9&gt;2%,"3",IF(CAELS!X9&gt;0%,"4","5"))))</f>
        <v>4</v>
      </c>
      <c r="X14" s="118" t="str">
        <f>IF(CAELS!Y9&gt;6%,"1",IF(CAELS!Y9&gt;4%,"2",IF(CAELS!Y9&gt;2%,"3",IF(CAELS!Y9&gt;0%,"4","5"))))</f>
        <v>4</v>
      </c>
      <c r="Y14" s="118" t="str">
        <f>IF(CAELS!Z9&gt;6%,"1",IF(CAELS!Z9&gt;4%,"2",IF(CAELS!Z9&gt;2%,"3",IF(CAELS!Z9&gt;0%,"4","5"))))</f>
        <v>4</v>
      </c>
      <c r="Z14" s="118" t="str">
        <f>IF(CAELS!AA9&gt;6%,"1",IF(CAELS!AA9&gt;4%,"2",IF(CAELS!AA9&gt;2%,"3",IF(CAELS!AA9&gt;0%,"4","5"))))</f>
        <v>3</v>
      </c>
      <c r="AA14" s="118" t="str">
        <f>IF(CAELS!AB9&gt;6%,"1",IF(CAELS!AB9&gt;4%,"2",IF(CAELS!AB9&gt;2%,"3",IF(CAELS!AB9&gt;0%,"4","5"))))</f>
        <v>3</v>
      </c>
      <c r="AB14" s="118" t="str">
        <f>IF(CAELS!AC9&gt;6%,"1",IF(CAELS!AC9&gt;4%,"2",IF(CAELS!AC9&gt;2%,"3",IF(CAELS!AC9&gt;0%,"4","5"))))</f>
        <v>3</v>
      </c>
      <c r="AC14" s="118" t="str">
        <f>IF(CAELS!AD9&gt;6%,"1",IF(CAELS!AD9&gt;4%,"2",IF(CAELS!AD9&gt;2%,"3",IF(CAELS!AD9&gt;0%,"4","5"))))</f>
        <v>3</v>
      </c>
      <c r="AD14" s="118" t="str">
        <f>IF(CAELS!AE9&gt;6%,"1",IF(CAELS!AE9&gt;4%,"2",IF(CAELS!AE9&gt;2%,"3",IF(CAELS!AE9&gt;0%,"4","5"))))</f>
        <v>3</v>
      </c>
      <c r="AE14" s="118" t="str">
        <f>IF(CAELS!AF9&gt;6%,"1",IF(CAELS!AF9&gt;4%,"2",IF(CAELS!AF9&gt;2%,"3",IF(CAELS!AF9&gt;0%,"4","5"))))</f>
        <v>4</v>
      </c>
      <c r="AF14" s="118" t="str">
        <f>IF(CAELS!AG9&gt;6%,"1",IF(CAELS!AG9&gt;4%,"2",IF(CAELS!AG9&gt;2%,"3",IF(CAELS!AG9&gt;0%,"4","5"))))</f>
        <v>4</v>
      </c>
      <c r="AG14" s="118" t="str">
        <f>IF(CAELS!AH9&gt;6%,"1",IF(CAELS!AH9&gt;4%,"2",IF(CAELS!AH9&gt;2%,"3",IF(CAELS!AH9&gt;0%,"4","5"))))</f>
        <v>4</v>
      </c>
      <c r="AH14" s="118" t="str">
        <f>IF(CAELS!AI9&gt;6%,"1",IF(CAELS!AI9&gt;4%,"2",IF(CAELS!AI9&gt;2%,"3",IF(CAELS!AI9&gt;0%,"4","5"))))</f>
        <v>4</v>
      </c>
      <c r="AI14" s="118" t="str">
        <f>IF(CAELS!AJ9&gt;6%,"1",IF(CAELS!AJ9&gt;4%,"2",IF(CAELS!AJ9&gt;2%,"3",IF(CAELS!AJ9&gt;0%,"4","5"))))</f>
        <v>4</v>
      </c>
      <c r="AJ14" s="118" t="str">
        <f>IF(CAELS!AK9&gt;6%,"1",IF(CAELS!AK9&gt;4%,"2",IF(CAELS!AK9&gt;2%,"3",IF(CAELS!AK9&gt;0%,"4","5"))))</f>
        <v>5</v>
      </c>
      <c r="AK14" s="118" t="e">
        <f>IF(CAELS!AL9&gt;6%,"1",IF(CAELS!AL9&gt;4%,"2",IF(CAELS!AL9&gt;2%,"3",IF(CAELS!AL9&gt;0%,"4","5"))))</f>
        <v>#DIV/0!</v>
      </c>
      <c r="AL14" s="118" t="e">
        <f>IF(CAELS!AM9&gt;6%,"1",IF(CAELS!AM9&gt;4%,"2",IF(CAELS!AM9&gt;2%,"3",IF(CAELS!AM9&gt;0%,"4","5"))))</f>
        <v>#DIV/0!</v>
      </c>
      <c r="AM14" s="118" t="e">
        <f>IF(CAELS!AN9&gt;6%,"1",IF(CAELS!AN9&gt;4%,"2",IF(CAELS!AN9&gt;2%,"3",IF(CAELS!AN9&gt;0%,"4","5"))))</f>
        <v>#DIV/0!</v>
      </c>
      <c r="AN14" s="118" t="e">
        <f>IF(CAELS!AO9&gt;6%,"1",IF(CAELS!AO9&gt;4%,"2",IF(CAELS!AO9&gt;2%,"3",IF(CAELS!AO9&gt;0%,"4","5"))))</f>
        <v>#DIV/0!</v>
      </c>
      <c r="AO14" s="118" t="e">
        <f>IF(CAELS!AP9&gt;6%,"1",IF(CAELS!AP9&gt;4%,"2",IF(CAELS!AP9&gt;2%,"3",IF(CAELS!AP9&gt;0%,"4","5"))))</f>
        <v>#DIV/0!</v>
      </c>
      <c r="AP14" s="118" t="e">
        <f>IF(CAELS!AQ9&gt;6%,"1",IF(CAELS!AQ9&gt;4%,"2",IF(CAELS!AQ9&gt;2%,"3",IF(CAELS!AQ9&gt;0%,"4","5"))))</f>
        <v>#DIV/0!</v>
      </c>
      <c r="AQ14" s="118" t="e">
        <f>IF(CAELS!AR9&gt;6%,"1",IF(CAELS!AR9&gt;4%,"2",IF(CAELS!AR9&gt;2%,"3",IF(CAELS!AR9&gt;0%,"4","5"))))</f>
        <v>#DIV/0!</v>
      </c>
      <c r="AR14" s="118" t="e">
        <f>IF(CAELS!AS9&gt;6%,"1",IF(CAELS!AS9&gt;4%,"2",IF(CAELS!AS9&gt;2%,"3",IF(CAELS!AS9&gt;0%,"4","5"))))</f>
        <v>#DIV/0!</v>
      </c>
      <c r="AS14" s="118" t="e">
        <f>IF(CAELS!AT9&gt;6%,"1",IF(CAELS!AT9&gt;4%,"2",IF(CAELS!AT9&gt;2%,"3",IF(CAELS!AT9&gt;0%,"4","5"))))</f>
        <v>#DIV/0!</v>
      </c>
      <c r="AT14" s="118" t="e">
        <f>IF(CAELS!AU9&gt;6%,"1",IF(CAELS!AU9&gt;4%,"2",IF(CAELS!AU9&gt;2%,"3",IF(CAELS!AU9&gt;0%,"4","5"))))</f>
        <v>#DIV/0!</v>
      </c>
      <c r="AU14" s="118" t="e">
        <f>IF(CAELS!AV9&gt;6%,"1",IF(CAELS!AV9&gt;4%,"2",IF(CAELS!AV9&gt;2%,"3",IF(CAELS!AV9&gt;0%,"4","5"))))</f>
        <v>#DIV/0!</v>
      </c>
      <c r="AV14" s="118" t="e">
        <f>IF(CAELS!AW9&gt;6%,"1",IF(CAELS!AW9&gt;4%,"2",IF(CAELS!AW9&gt;2%,"3",IF(CAELS!AW9&gt;0%,"4","5"))))</f>
        <v>#DIV/0!</v>
      </c>
      <c r="AW14" s="118" t="e">
        <f>IF(CAELS!AX9&gt;6%,"1",IF(CAELS!AX9&gt;4%,"2",IF(CAELS!AX9&gt;2%,"3",IF(CAELS!AX9&gt;0%,"4","5"))))</f>
        <v>#DIV/0!</v>
      </c>
      <c r="AX14" s="118" t="e">
        <f>IF(CAELS!AY9&gt;6%,"1",IF(CAELS!AY9&gt;4%,"2",IF(CAELS!AY9&gt;2%,"3",IF(CAELS!AY9&gt;0%,"4","5"))))</f>
        <v>#DIV/0!</v>
      </c>
      <c r="AY14" s="118" t="str">
        <f>IF(CAELS!AZ9&gt;6%,"1",IF(CAELS!AZ9&gt;4%,"2",IF(CAELS!AZ9&gt;2%,"3",IF(CAELS!AZ9&gt;0%,"4","5"))))</f>
        <v>5</v>
      </c>
      <c r="AZ14" s="118" t="str">
        <f>IF(CAELS!BA9&gt;6%,"1",IF(CAELS!BA9&gt;4%,"2",IF(CAELS!BA9&gt;2%,"3",IF(CAELS!BA9&gt;0%,"4","5"))))</f>
        <v>5</v>
      </c>
      <c r="BA14" s="118" t="str">
        <f>IF(CAELS!BB9&gt;6%,"1",IF(CAELS!BB9&gt;4%,"2",IF(CAELS!BB9&gt;2%,"3",IF(CAELS!BB9&gt;0%,"4","5"))))</f>
        <v>5</v>
      </c>
      <c r="BB14" s="118" t="str">
        <f>IF(CAELS!BC9&gt;6%,"1",IF(CAELS!BC9&gt;4%,"2",IF(CAELS!BC9&gt;2%,"3",IF(CAELS!BC9&gt;0%,"4","5"))))</f>
        <v>5</v>
      </c>
      <c r="BC14" s="118" t="str">
        <f>IF(CAELS!BD9&gt;6%,"1",IF(CAELS!BD9&gt;4%,"2",IF(CAELS!BD9&gt;2%,"3",IF(CAELS!BD9&gt;0%,"4","5"))))</f>
        <v>5</v>
      </c>
      <c r="BD14" s="118" t="str">
        <f>IF(CAELS!BE9&gt;6%,"1",IF(CAELS!BE9&gt;4%,"2",IF(CAELS!BE9&gt;2%,"3",IF(CAELS!BE9&gt;0%,"4","5"))))</f>
        <v>5</v>
      </c>
      <c r="BE14" s="118" t="str">
        <f>IF(CAELS!BF9&gt;6%,"1",IF(CAELS!BF9&gt;4%,"2",IF(CAELS!BF9&gt;2%,"3",IF(CAELS!BF9&gt;0%,"4","5"))))</f>
        <v>5</v>
      </c>
      <c r="BF14" s="118" t="str">
        <f>IF(CAELS!BG9&gt;6%,"1",IF(CAELS!BG9&gt;4%,"2",IF(CAELS!BG9&gt;2%,"3",IF(CAELS!BG9&gt;0%,"4","5"))))</f>
        <v>5</v>
      </c>
      <c r="BG14" s="118" t="str">
        <f>IF(CAELS!BH9&gt;6%,"1",IF(CAELS!BH9&gt;4%,"2",IF(CAELS!BH9&gt;2%,"3",IF(CAELS!BH9&gt;0%,"4","5"))))</f>
        <v>5</v>
      </c>
      <c r="BH14" s="118" t="str">
        <f>IF(CAELS!BI9&gt;6%,"1",IF(CAELS!BI9&gt;4%,"2",IF(CAELS!BI9&gt;2%,"3",IF(CAELS!BI9&gt;0%,"4","5"))))</f>
        <v>5</v>
      </c>
      <c r="BI14" s="118" t="str">
        <f>IF(CAELS!BJ9&gt;6%,"1",IF(CAELS!BJ9&gt;4%,"2",IF(CAELS!BJ9&gt;2%,"3",IF(CAELS!BJ9&gt;0%,"4","5"))))</f>
        <v>5</v>
      </c>
      <c r="BJ14" s="118" t="str">
        <f>IF(CAELS!BK9&gt;6%,"1",IF(CAELS!BK9&gt;4%,"2",IF(CAELS!BK9&gt;2%,"3",IF(CAELS!BK9&gt;0%,"4","5"))))</f>
        <v>5</v>
      </c>
      <c r="BK14" s="118" t="str">
        <f>IF(CAELS!BL9&gt;6%,"1",IF(CAELS!BL9&gt;4%,"2",IF(CAELS!BL9&gt;2%,"3",IF(CAELS!BL9&gt;0%,"4","5"))))</f>
        <v>5</v>
      </c>
      <c r="BL14" s="118" t="str">
        <f>IF(CAELS!BM9&gt;6%,"1",IF(CAELS!BM9&gt;4%,"2",IF(CAELS!BM9&gt;2%,"3",IF(CAELS!BM9&gt;0%,"4","5"))))</f>
        <v>5</v>
      </c>
      <c r="BM14" s="118" t="str">
        <f>IF(CAELS!BN9&gt;6%,"1",IF(CAELS!BN9&gt;4%,"2",IF(CAELS!BN9&gt;2%,"3",IF(CAELS!BN9&gt;0%,"4","5"))))</f>
        <v>5</v>
      </c>
      <c r="BN14" s="118" t="str">
        <f>IF(CAELS!BO9&gt;6%,"1",IF(CAELS!BO9&gt;4%,"2",IF(CAELS!BO9&gt;2%,"3",IF(CAELS!BO9&gt;0%,"4","5"))))</f>
        <v>5</v>
      </c>
      <c r="BO14" s="118" t="str">
        <f>IF(CAELS!BP9&gt;6%,"1",IF(CAELS!BP9&gt;4%,"2",IF(CAELS!BP9&gt;2%,"3",IF(CAELS!BP9&gt;0%,"4","5"))))</f>
        <v>5</v>
      </c>
      <c r="BP14" s="118" t="str">
        <f>IF(CAELS!BQ9&gt;6%,"1",IF(CAELS!BQ9&gt;4%,"2",IF(CAELS!BQ9&gt;2%,"3",IF(CAELS!BQ9&gt;0%,"4","5"))))</f>
        <v>5</v>
      </c>
      <c r="BQ14" s="118" t="str">
        <f>IF(CAELS!BR9&gt;6%,"1",IF(CAELS!BR9&gt;4%,"2",IF(CAELS!BR9&gt;2%,"3",IF(CAELS!BR9&gt;0%,"4","5"))))</f>
        <v>5</v>
      </c>
      <c r="BR14" s="118" t="str">
        <f>IF(CAELS!BS9&gt;6%,"1",IF(CAELS!BS9&gt;4%,"2",IF(CAELS!BS9&gt;2%,"3",IF(CAELS!BS9&gt;0%,"4","5"))))</f>
        <v>5</v>
      </c>
      <c r="BS14" s="118" t="str">
        <f>IF(CAELS!BT9&gt;6%,"1",IF(CAELS!BT9&gt;4%,"2",IF(CAELS!BT9&gt;2%,"3",IF(CAELS!BT9&gt;0%,"4","5"))))</f>
        <v>5</v>
      </c>
      <c r="BT14" s="118" t="str">
        <f>IF(CAELS!BU9&gt;6%,"1",IF(CAELS!BU9&gt;4%,"2",IF(CAELS!BU9&gt;2%,"3",IF(CAELS!BU9&gt;0%,"4","5"))))</f>
        <v>5</v>
      </c>
      <c r="BU14" s="118" t="str">
        <f>IF(CAELS!BV9&gt;6%,"1",IF(CAELS!BV9&gt;4%,"2",IF(CAELS!BV9&gt;2%,"3",IF(CAELS!BV9&gt;0%,"4","5"))))</f>
        <v>5</v>
      </c>
      <c r="BV14" s="118" t="str">
        <f>IF(CAELS!BW9&gt;6%,"1",IF(CAELS!BW9&gt;4%,"2",IF(CAELS!BW9&gt;2%,"3",IF(CAELS!BW9&gt;0%,"4","5"))))</f>
        <v>5</v>
      </c>
      <c r="BW14" s="118" t="str">
        <f>IF(CAELS!BX9&gt;6%,"1",IF(CAELS!BX9&gt;4%,"2",IF(CAELS!BX9&gt;2%,"3",IF(CAELS!BX9&gt;0%,"4","5"))))</f>
        <v>5</v>
      </c>
      <c r="BX14" s="118" t="str">
        <f>IF(CAELS!BY9&gt;6%,"1",IF(CAELS!BY9&gt;4%,"2",IF(CAELS!BY9&gt;2%,"3",IF(CAELS!BY9&gt;0%,"4","5"))))</f>
        <v>5</v>
      </c>
      <c r="BY14" s="118" t="str">
        <f>IF(CAELS!BZ9&gt;6%,"1",IF(CAELS!BZ9&gt;4%,"2",IF(CAELS!BZ9&gt;2%,"3",IF(CAELS!BZ9&gt;0%,"4","5"))))</f>
        <v>5</v>
      </c>
    </row>
    <row r="15" spans="1:77" x14ac:dyDescent="0.3">
      <c r="A15" s="48" t="s">
        <v>205</v>
      </c>
      <c r="B15" s="2"/>
      <c r="C15" s="121" t="str">
        <f>IF(CAELS!D10&lt;60%,"1",IF(CAELS!D10&lt;70%,"2",IF(CAELS!D10&lt;80%,"3",IF(CAELS!D10&lt;90%,"4","5"))))</f>
        <v>3</v>
      </c>
      <c r="D15" s="121" t="str">
        <f>IF(CAELS!E10&lt;60%,"1",IF(CAELS!E10&lt;70%,"2",IF(CAELS!E10&lt;80%,"3",IF(CAELS!E10&lt;90%,"4","5"))))</f>
        <v>3</v>
      </c>
      <c r="E15" s="121" t="str">
        <f>IF(CAELS!F10&lt;60%,"1",IF(CAELS!F10&lt;70%,"2",IF(CAELS!F10&lt;80%,"3",IF(CAELS!F10&lt;90%,"4","5"))))</f>
        <v>1</v>
      </c>
      <c r="F15" s="121" t="str">
        <f>IF(CAELS!G10&lt;60%,"1",IF(CAELS!G10&lt;70%,"2",IF(CAELS!G10&lt;80%,"3",IF(CAELS!G10&lt;90%,"4","5"))))</f>
        <v>1</v>
      </c>
      <c r="G15" s="121" t="str">
        <f>IF(CAELS!H10&lt;60%,"1",IF(CAELS!H10&lt;70%,"2",IF(CAELS!H10&lt;80%,"3",IF(CAELS!H10&lt;90%,"4","5"))))</f>
        <v>5</v>
      </c>
      <c r="H15" s="121" t="str">
        <f>IF(CAELS!I10&lt;60%,"1",IF(CAELS!I10&lt;70%,"2",IF(CAELS!I10&lt;80%,"3",IF(CAELS!I10&lt;90%,"4","5"))))</f>
        <v>1</v>
      </c>
      <c r="I15" s="121" t="str">
        <f>IF(CAELS!J10&lt;60%,"1",IF(CAELS!J10&lt;70%,"2",IF(CAELS!J10&lt;80%,"3",IF(CAELS!J10&lt;90%,"4","5"))))</f>
        <v>2</v>
      </c>
      <c r="J15" s="121" t="str">
        <f>IF(CAELS!K10&lt;60%,"1",IF(CAELS!K10&lt;70%,"2",IF(CAELS!K10&lt;80%,"3",IF(CAELS!K10&lt;90%,"4","5"))))</f>
        <v>2</v>
      </c>
      <c r="K15" s="121" t="str">
        <f>IF(CAELS!L10&lt;60%,"1",IF(CAELS!L10&lt;70%,"2",IF(CAELS!L10&lt;80%,"3",IF(CAELS!L10&lt;90%,"4","5"))))</f>
        <v>3</v>
      </c>
      <c r="L15" s="121" t="str">
        <f>IF(CAELS!M10&lt;60%,"1",IF(CAELS!M10&lt;70%,"2",IF(CAELS!M10&lt;80%,"3",IF(CAELS!M10&lt;90%,"4","5"))))</f>
        <v>3</v>
      </c>
      <c r="M15" s="121" t="str">
        <f>IF(CAELS!N10&lt;60%,"1",IF(CAELS!N10&lt;70%,"2",IF(CAELS!N10&lt;80%,"3",IF(CAELS!N10&lt;90%,"4","5"))))</f>
        <v>3</v>
      </c>
      <c r="N15" s="121" t="str">
        <f>IF(CAELS!O10&lt;60%,"1",IF(CAELS!O10&lt;70%,"2",IF(CAELS!O10&lt;80%,"3",IF(CAELS!O10&lt;90%,"4","5"))))</f>
        <v>2</v>
      </c>
      <c r="O15" s="121" t="str">
        <f>IF(CAELS!P10&lt;60%,"1",IF(CAELS!P10&lt;70%,"2",IF(CAELS!P10&lt;80%,"3",IF(CAELS!P10&lt;90%,"4","5"))))</f>
        <v>2</v>
      </c>
      <c r="P15" s="121" t="str">
        <f>IF(CAELS!Q10&lt;60%,"1",IF(CAELS!Q10&lt;70%,"2",IF(CAELS!Q10&lt;80%,"3",IF(CAELS!Q10&lt;90%,"4","5"))))</f>
        <v>3</v>
      </c>
      <c r="Q15" s="121" t="str">
        <f>IF(CAELS!R10&lt;60%,"1",IF(CAELS!R10&lt;70%,"2",IF(CAELS!R10&lt;80%,"3",IF(CAELS!R10&lt;90%,"4","5"))))</f>
        <v>3</v>
      </c>
      <c r="R15" s="121" t="str">
        <f>IF(CAELS!S10&lt;60%,"1",IF(CAELS!S10&lt;70%,"2",IF(CAELS!S10&lt;80%,"3",IF(CAELS!S10&lt;90%,"4","5"))))</f>
        <v>5</v>
      </c>
      <c r="S15" s="121" t="str">
        <f>IF(CAELS!T10&lt;60%,"1",IF(CAELS!T10&lt;70%,"2",IF(CAELS!T10&lt;80%,"3",IF(CAELS!T10&lt;90%,"4","5"))))</f>
        <v>5</v>
      </c>
      <c r="T15" s="121" t="str">
        <f>IF(CAELS!U10&lt;60%,"1",IF(CAELS!U10&lt;70%,"2",IF(CAELS!U10&lt;80%,"3",IF(CAELS!U10&lt;90%,"4","5"))))</f>
        <v>2</v>
      </c>
      <c r="U15" s="121" t="str">
        <f>IF(CAELS!V10&lt;60%,"1",IF(CAELS!V10&lt;70%,"2",IF(CAELS!V10&lt;80%,"3",IF(CAELS!V10&lt;90%,"4","5"))))</f>
        <v>2</v>
      </c>
      <c r="V15" s="121" t="str">
        <f>IF(CAELS!W10&lt;60%,"1",IF(CAELS!W10&lt;70%,"2",IF(CAELS!W10&lt;80%,"3",IF(CAELS!W10&lt;90%,"4","5"))))</f>
        <v>2</v>
      </c>
      <c r="W15" s="121" t="str">
        <f>IF(CAELS!X10&lt;60%,"1",IF(CAELS!X10&lt;70%,"2",IF(CAELS!X10&lt;80%,"3",IF(CAELS!X10&lt;90%,"4","5"))))</f>
        <v>3</v>
      </c>
      <c r="X15" s="121" t="str">
        <f>IF(CAELS!Y10&lt;60%,"1",IF(CAELS!Y10&lt;70%,"2",IF(CAELS!Y10&lt;80%,"3",IF(CAELS!Y10&lt;90%,"4","5"))))</f>
        <v>3</v>
      </c>
      <c r="Y15" s="121" t="str">
        <f>IF(CAELS!Z10&lt;60%,"1",IF(CAELS!Z10&lt;70%,"2",IF(CAELS!Z10&lt;80%,"3",IF(CAELS!Z10&lt;90%,"4","5"))))</f>
        <v>3</v>
      </c>
      <c r="Z15" s="121" t="str">
        <f>IF(CAELS!AA10&lt;60%,"1",IF(CAELS!AA10&lt;70%,"2",IF(CAELS!AA10&lt;80%,"3",IF(CAELS!AA10&lt;90%,"4","5"))))</f>
        <v>3</v>
      </c>
      <c r="AA15" s="121" t="str">
        <f>IF(CAELS!AB10&lt;60%,"1",IF(CAELS!AB10&lt;70%,"2",IF(CAELS!AB10&lt;80%,"3",IF(CAELS!AB10&lt;90%,"4","5"))))</f>
        <v>3</v>
      </c>
      <c r="AB15" s="121" t="str">
        <f>IF(CAELS!AC10&lt;60%,"1",IF(CAELS!AC10&lt;70%,"2",IF(CAELS!AC10&lt;80%,"3",IF(CAELS!AC10&lt;90%,"4","5"))))</f>
        <v>3</v>
      </c>
      <c r="AC15" s="121" t="str">
        <f>IF(CAELS!AD10&lt;60%,"1",IF(CAELS!AD10&lt;70%,"2",IF(CAELS!AD10&lt;80%,"3",IF(CAELS!AD10&lt;90%,"4","5"))))</f>
        <v>3</v>
      </c>
      <c r="AD15" s="121" t="str">
        <f>IF(CAELS!AE10&lt;60%,"1",IF(CAELS!AE10&lt;70%,"2",IF(CAELS!AE10&lt;80%,"3",IF(CAELS!AE10&lt;90%,"4","5"))))</f>
        <v>4</v>
      </c>
      <c r="AE15" s="121" t="str">
        <f>IF(CAELS!AF10&lt;60%,"1",IF(CAELS!AF10&lt;70%,"2",IF(CAELS!AF10&lt;80%,"3",IF(CAELS!AF10&lt;90%,"4","5"))))</f>
        <v>1</v>
      </c>
      <c r="AF15" s="121" t="str">
        <f>IF(CAELS!AG10&lt;60%,"1",IF(CAELS!AG10&lt;70%,"2",IF(CAELS!AG10&lt;80%,"3",IF(CAELS!AG10&lt;90%,"4","5"))))</f>
        <v>1</v>
      </c>
      <c r="AG15" s="121" t="str">
        <f>IF(CAELS!AH10&lt;60%,"1",IF(CAELS!AH10&lt;70%,"2",IF(CAELS!AH10&lt;80%,"3",IF(CAELS!AH10&lt;90%,"4","5"))))</f>
        <v>1</v>
      </c>
      <c r="AH15" s="121" t="str">
        <f>IF(CAELS!AI10&lt;60%,"1",IF(CAELS!AI10&lt;70%,"2",IF(CAELS!AI10&lt;80%,"3",IF(CAELS!AI10&lt;90%,"4","5"))))</f>
        <v>1</v>
      </c>
      <c r="AI15" s="121" t="str">
        <f>IF(CAELS!AJ10&lt;60%,"1",IF(CAELS!AJ10&lt;70%,"2",IF(CAELS!AJ10&lt;80%,"3",IF(CAELS!AJ10&lt;90%,"4","5"))))</f>
        <v>2</v>
      </c>
      <c r="AJ15" s="121" t="e">
        <f>IF(CAELS!AK10&lt;60%,"1",IF(CAELS!AK10&lt;70%,"2",IF(CAELS!AK10&lt;80%,"3",IF(CAELS!AK10&lt;90%,"4","5"))))</f>
        <v>#DIV/0!</v>
      </c>
      <c r="AK15" s="121" t="e">
        <f>IF(CAELS!AL10&lt;60%,"1",IF(CAELS!AL10&lt;70%,"2",IF(CAELS!AL10&lt;80%,"3",IF(CAELS!AL10&lt;90%,"4","5"))))</f>
        <v>#DIV/0!</v>
      </c>
      <c r="AL15" s="121" t="e">
        <f>IF(CAELS!AM10&lt;60%,"1",IF(CAELS!AM10&lt;70%,"2",IF(CAELS!AM10&lt;80%,"3",IF(CAELS!AM10&lt;90%,"4","5"))))</f>
        <v>#DIV/0!</v>
      </c>
      <c r="AM15" s="121" t="e">
        <f>IF(CAELS!AN10&lt;60%,"1",IF(CAELS!AN10&lt;70%,"2",IF(CAELS!AN10&lt;80%,"3",IF(CAELS!AN10&lt;90%,"4","5"))))</f>
        <v>#DIV/0!</v>
      </c>
      <c r="AN15" s="121" t="e">
        <f>IF(CAELS!AO10&lt;60%,"1",IF(CAELS!AO10&lt;70%,"2",IF(CAELS!AO10&lt;80%,"3",IF(CAELS!AO10&lt;90%,"4","5"))))</f>
        <v>#DIV/0!</v>
      </c>
      <c r="AO15" s="121" t="e">
        <f>IF(CAELS!AP10&lt;60%,"1",IF(CAELS!AP10&lt;70%,"2",IF(CAELS!AP10&lt;80%,"3",IF(CAELS!AP10&lt;90%,"4","5"))))</f>
        <v>#DIV/0!</v>
      </c>
      <c r="AP15" s="121" t="e">
        <f>IF(CAELS!AQ10&lt;60%,"1",IF(CAELS!AQ10&lt;70%,"2",IF(CAELS!AQ10&lt;80%,"3",IF(CAELS!AQ10&lt;90%,"4","5"))))</f>
        <v>#DIV/0!</v>
      </c>
      <c r="AQ15" s="121" t="e">
        <f>IF(CAELS!AR10&lt;60%,"1",IF(CAELS!AR10&lt;70%,"2",IF(CAELS!AR10&lt;80%,"3",IF(CAELS!AR10&lt;90%,"4","5"))))</f>
        <v>#DIV/0!</v>
      </c>
      <c r="AR15" s="121" t="e">
        <f>IF(CAELS!AS10&lt;60%,"1",IF(CAELS!AS10&lt;70%,"2",IF(CAELS!AS10&lt;80%,"3",IF(CAELS!AS10&lt;90%,"4","5"))))</f>
        <v>#DIV/0!</v>
      </c>
      <c r="AS15" s="121" t="e">
        <f>IF(CAELS!AT10&lt;60%,"1",IF(CAELS!AT10&lt;70%,"2",IF(CAELS!AT10&lt;80%,"3",IF(CAELS!AT10&lt;90%,"4","5"))))</f>
        <v>#DIV/0!</v>
      </c>
      <c r="AT15" s="121" t="e">
        <f>IF(CAELS!AU10&lt;60%,"1",IF(CAELS!AU10&lt;70%,"2",IF(CAELS!AU10&lt;80%,"3",IF(CAELS!AU10&lt;90%,"4","5"))))</f>
        <v>#DIV/0!</v>
      </c>
      <c r="AU15" s="121" t="e">
        <f>IF(CAELS!AV10&lt;60%,"1",IF(CAELS!AV10&lt;70%,"2",IF(CAELS!AV10&lt;80%,"3",IF(CAELS!AV10&lt;90%,"4","5"))))</f>
        <v>#DIV/0!</v>
      </c>
      <c r="AV15" s="121" t="e">
        <f>IF(CAELS!AW10&lt;60%,"1",IF(CAELS!AW10&lt;70%,"2",IF(CAELS!AW10&lt;80%,"3",IF(CAELS!AW10&lt;90%,"4","5"))))</f>
        <v>#DIV/0!</v>
      </c>
      <c r="AW15" s="121" t="e">
        <f>IF(CAELS!AX10&lt;60%,"1",IF(CAELS!AX10&lt;70%,"2",IF(CAELS!AX10&lt;80%,"3",IF(CAELS!AX10&lt;90%,"4","5"))))</f>
        <v>#DIV/0!</v>
      </c>
      <c r="AX15" s="121" t="e">
        <f>IF(CAELS!AY10&lt;60%,"1",IF(CAELS!AY10&lt;70%,"2",IF(CAELS!AY10&lt;80%,"3",IF(CAELS!AY10&lt;90%,"4","5"))))</f>
        <v>#DIV/0!</v>
      </c>
      <c r="AY15" s="121" t="str">
        <f>IF(CAELS!AZ10&lt;60%,"1",IF(CAELS!AZ10&lt;70%,"2",IF(CAELS!AZ10&lt;80%,"3",IF(CAELS!AZ10&lt;90%,"4","5"))))</f>
        <v>1</v>
      </c>
      <c r="AZ15" s="121" t="str">
        <f>IF(CAELS!BA10&lt;60%,"1",IF(CAELS!BA10&lt;70%,"2",IF(CAELS!BA10&lt;80%,"3",IF(CAELS!BA10&lt;90%,"4","5"))))</f>
        <v>1</v>
      </c>
      <c r="BA15" s="121" t="str">
        <f>IF(CAELS!BB10&lt;60%,"1",IF(CAELS!BB10&lt;70%,"2",IF(CAELS!BB10&lt;80%,"3",IF(CAELS!BB10&lt;90%,"4","5"))))</f>
        <v>1</v>
      </c>
      <c r="BB15" s="121" t="str">
        <f>IF(CAELS!BC10&lt;60%,"1",IF(CAELS!BC10&lt;70%,"2",IF(CAELS!BC10&lt;80%,"3",IF(CAELS!BC10&lt;90%,"4","5"))))</f>
        <v>1</v>
      </c>
      <c r="BC15" s="121" t="str">
        <f>IF(CAELS!BD10&lt;60%,"1",IF(CAELS!BD10&lt;70%,"2",IF(CAELS!BD10&lt;80%,"3",IF(CAELS!BD10&lt;90%,"4","5"))))</f>
        <v>1</v>
      </c>
      <c r="BD15" s="121" t="str">
        <f>IF(CAELS!BE10&lt;60%,"1",IF(CAELS!BE10&lt;70%,"2",IF(CAELS!BE10&lt;80%,"3",IF(CAELS!BE10&lt;90%,"4","5"))))</f>
        <v>1</v>
      </c>
      <c r="BE15" s="121" t="str">
        <f>IF(CAELS!BF10&lt;60%,"1",IF(CAELS!BF10&lt;70%,"2",IF(CAELS!BF10&lt;80%,"3",IF(CAELS!BF10&lt;90%,"4","5"))))</f>
        <v>1</v>
      </c>
      <c r="BF15" s="121" t="str">
        <f>IF(CAELS!BG10&lt;60%,"1",IF(CAELS!BG10&lt;70%,"2",IF(CAELS!BG10&lt;80%,"3",IF(CAELS!BG10&lt;90%,"4","5"))))</f>
        <v>1</v>
      </c>
      <c r="BG15" s="121" t="str">
        <f>IF(CAELS!BH10&lt;60%,"1",IF(CAELS!BH10&lt;70%,"2",IF(CAELS!BH10&lt;80%,"3",IF(CAELS!BH10&lt;90%,"4","5"))))</f>
        <v>1</v>
      </c>
      <c r="BH15" s="121" t="str">
        <f>IF(CAELS!BI10&lt;60%,"1",IF(CAELS!BI10&lt;70%,"2",IF(CAELS!BI10&lt;80%,"3",IF(CAELS!BI10&lt;90%,"4","5"))))</f>
        <v>1</v>
      </c>
      <c r="BI15" s="121" t="str">
        <f>IF(CAELS!BJ10&lt;60%,"1",IF(CAELS!BJ10&lt;70%,"2",IF(CAELS!BJ10&lt;80%,"3",IF(CAELS!BJ10&lt;90%,"4","5"))))</f>
        <v>1</v>
      </c>
      <c r="BJ15" s="121" t="str">
        <f>IF(CAELS!BK10&lt;60%,"1",IF(CAELS!BK10&lt;70%,"2",IF(CAELS!BK10&lt;80%,"3",IF(CAELS!BK10&lt;90%,"4","5"))))</f>
        <v>1</v>
      </c>
      <c r="BK15" s="121" t="str">
        <f>IF(CAELS!BL10&lt;60%,"1",IF(CAELS!BL10&lt;70%,"2",IF(CAELS!BL10&lt;80%,"3",IF(CAELS!BL10&lt;90%,"4","5"))))</f>
        <v>1</v>
      </c>
      <c r="BL15" s="121" t="str">
        <f>IF(CAELS!BM10&lt;60%,"1",IF(CAELS!BM10&lt;70%,"2",IF(CAELS!BM10&lt;80%,"3",IF(CAELS!BM10&lt;90%,"4","5"))))</f>
        <v>1</v>
      </c>
      <c r="BM15" s="121" t="str">
        <f>IF(CAELS!BN10&lt;60%,"1",IF(CAELS!BN10&lt;70%,"2",IF(CAELS!BN10&lt;80%,"3",IF(CAELS!BN10&lt;90%,"4","5"))))</f>
        <v>1</v>
      </c>
      <c r="BN15" s="121" t="str">
        <f>IF(CAELS!BO10&lt;60%,"1",IF(CAELS!BO10&lt;70%,"2",IF(CAELS!BO10&lt;80%,"3",IF(CAELS!BO10&lt;90%,"4","5"))))</f>
        <v>1</v>
      </c>
      <c r="BO15" s="121" t="str">
        <f>IF(CAELS!BP10&lt;60%,"1",IF(CAELS!BP10&lt;70%,"2",IF(CAELS!BP10&lt;80%,"3",IF(CAELS!BP10&lt;90%,"4","5"))))</f>
        <v>1</v>
      </c>
      <c r="BP15" s="121" t="str">
        <f>IF(CAELS!BQ10&lt;60%,"1",IF(CAELS!BQ10&lt;70%,"2",IF(CAELS!BQ10&lt;80%,"3",IF(CAELS!BQ10&lt;90%,"4","5"))))</f>
        <v>1</v>
      </c>
      <c r="BQ15" s="121" t="str">
        <f>IF(CAELS!BR10&lt;60%,"1",IF(CAELS!BR10&lt;70%,"2",IF(CAELS!BR10&lt;80%,"3",IF(CAELS!BR10&lt;90%,"4","5"))))</f>
        <v>1</v>
      </c>
      <c r="BR15" s="121" t="str">
        <f>IF(CAELS!BS10&lt;60%,"1",IF(CAELS!BS10&lt;70%,"2",IF(CAELS!BS10&lt;80%,"3",IF(CAELS!BS10&lt;90%,"4","5"))))</f>
        <v>1</v>
      </c>
      <c r="BS15" s="121" t="str">
        <f>IF(CAELS!BT10&lt;60%,"1",IF(CAELS!BT10&lt;70%,"2",IF(CAELS!BT10&lt;80%,"3",IF(CAELS!BT10&lt;90%,"4","5"))))</f>
        <v>1</v>
      </c>
      <c r="BT15" s="121" t="str">
        <f>IF(CAELS!BU10&lt;60%,"1",IF(CAELS!BU10&lt;70%,"2",IF(CAELS!BU10&lt;80%,"3",IF(CAELS!BU10&lt;90%,"4","5"))))</f>
        <v>1</v>
      </c>
      <c r="BU15" s="121" t="str">
        <f>IF(CAELS!BV10&lt;60%,"1",IF(CAELS!BV10&lt;70%,"2",IF(CAELS!BV10&lt;80%,"3",IF(CAELS!BV10&lt;90%,"4","5"))))</f>
        <v>1</v>
      </c>
      <c r="BV15" s="121" t="str">
        <f>IF(CAELS!BW10&lt;60%,"1",IF(CAELS!BW10&lt;70%,"2",IF(CAELS!BW10&lt;80%,"3",IF(CAELS!BW10&lt;90%,"4","5"))))</f>
        <v>1</v>
      </c>
      <c r="BW15" s="121" t="str">
        <f>IF(CAELS!BX10&lt;60%,"1",IF(CAELS!BX10&lt;70%,"2",IF(CAELS!BX10&lt;80%,"3",IF(CAELS!BX10&lt;90%,"4","5"))))</f>
        <v>1</v>
      </c>
      <c r="BX15" s="121" t="str">
        <f>IF(CAELS!BY10&lt;60%,"1",IF(CAELS!BY10&lt;70%,"2",IF(CAELS!BY10&lt;80%,"3",IF(CAELS!BY10&lt;90%,"4","5"))))</f>
        <v>1</v>
      </c>
      <c r="BY15" s="121" t="str">
        <f>IF(CAELS!BZ10&lt;60%,"1",IF(CAELS!BZ10&lt;70%,"2",IF(CAELS!BZ10&lt;80%,"3",IF(CAELS!BZ10&lt;90%,"4","5"))))</f>
        <v>1</v>
      </c>
    </row>
    <row r="16" spans="1:77" x14ac:dyDescent="0.3">
      <c r="A16" s="48" t="s">
        <v>206</v>
      </c>
      <c r="B16" s="2"/>
      <c r="C16" s="118" t="str">
        <f>IF(CAELS!D11&lt;4%,"1",IF(CAELS!D11&lt;6%,"2",IF(CAELS!D11&lt;8%,"3",IF(CAELS!D11&lt;10%,"4","5"))))</f>
        <v>1</v>
      </c>
      <c r="D16" s="118" t="str">
        <f>IF(CAELS!E11&lt;4%,"1",IF(CAELS!E11&lt;6%,"2",IF(CAELS!E11&lt;8%,"3",IF(CAELS!E11&lt;10%,"4","5"))))</f>
        <v>5</v>
      </c>
      <c r="E16" s="118" t="str">
        <f>IF(CAELS!F11&lt;4%,"1",IF(CAELS!F11&lt;6%,"2",IF(CAELS!F11&lt;8%,"3",IF(CAELS!F11&lt;10%,"4","5"))))</f>
        <v>1</v>
      </c>
      <c r="F16" s="118" t="str">
        <f>IF(CAELS!G11&lt;4%,"1",IF(CAELS!G11&lt;6%,"2",IF(CAELS!G11&lt;8%,"3",IF(CAELS!G11&lt;10%,"4","5"))))</f>
        <v>1</v>
      </c>
      <c r="G16" s="118" t="str">
        <f>IF(CAELS!H11&lt;4%,"1",IF(CAELS!H11&lt;6%,"2",IF(CAELS!H11&lt;8%,"3",IF(CAELS!H11&lt;10%,"4","5"))))</f>
        <v>1</v>
      </c>
      <c r="H16" s="118" t="str">
        <f>IF(CAELS!I11&lt;4%,"1",IF(CAELS!I11&lt;6%,"2",IF(CAELS!I11&lt;8%,"3",IF(CAELS!I11&lt;10%,"4","5"))))</f>
        <v>1</v>
      </c>
      <c r="I16" s="118" t="str">
        <f>IF(CAELS!J11&lt;4%,"1",IF(CAELS!J11&lt;6%,"2",IF(CAELS!J11&lt;8%,"3",IF(CAELS!J11&lt;10%,"4","5"))))</f>
        <v>1</v>
      </c>
      <c r="J16" s="118" t="str">
        <f>IF(CAELS!K11&lt;4%,"1",IF(CAELS!K11&lt;6%,"2",IF(CAELS!K11&lt;8%,"3",IF(CAELS!K11&lt;10%,"4","5"))))</f>
        <v>2</v>
      </c>
      <c r="K16" s="118" t="str">
        <f>IF(CAELS!L11&lt;4%,"1",IF(CAELS!L11&lt;6%,"2",IF(CAELS!L11&lt;8%,"3",IF(CAELS!L11&lt;10%,"4","5"))))</f>
        <v>2</v>
      </c>
      <c r="L16" s="118" t="str">
        <f>IF(CAELS!M11&lt;4%,"1",IF(CAELS!M11&lt;6%,"2",IF(CAELS!M11&lt;8%,"3",IF(CAELS!M11&lt;10%,"4","5"))))</f>
        <v>3</v>
      </c>
      <c r="M16" s="118" t="str">
        <f>IF(CAELS!N11&lt;4%,"1",IF(CAELS!N11&lt;6%,"2",IF(CAELS!N11&lt;8%,"3",IF(CAELS!N11&lt;10%,"4","5"))))</f>
        <v>3</v>
      </c>
      <c r="N16" s="118" t="str">
        <f>IF(CAELS!O11&lt;4%,"1",IF(CAELS!O11&lt;6%,"2",IF(CAELS!O11&lt;8%,"3",IF(CAELS!O11&lt;10%,"4","5"))))</f>
        <v>3</v>
      </c>
      <c r="O16" s="118" t="str">
        <f>IF(CAELS!P11&lt;4%,"1",IF(CAELS!P11&lt;6%,"2",IF(CAELS!P11&lt;8%,"3",IF(CAELS!P11&lt;10%,"4","5"))))</f>
        <v>3</v>
      </c>
      <c r="P16" s="118" t="str">
        <f>IF(CAELS!Q11&lt;4%,"1",IF(CAELS!Q11&lt;6%,"2",IF(CAELS!Q11&lt;8%,"3",IF(CAELS!Q11&lt;10%,"4","5"))))</f>
        <v>4</v>
      </c>
      <c r="Q16" s="118" t="str">
        <f>IF(CAELS!R11&lt;4%,"1",IF(CAELS!R11&lt;6%,"2",IF(CAELS!R11&lt;8%,"3",IF(CAELS!R11&lt;10%,"4","5"))))</f>
        <v>5</v>
      </c>
      <c r="R16" s="118" t="str">
        <f>IF(CAELS!S11&lt;4%,"1",IF(CAELS!S11&lt;6%,"2",IF(CAELS!S11&lt;8%,"3",IF(CAELS!S11&lt;10%,"4","5"))))</f>
        <v>1</v>
      </c>
      <c r="S16" s="118" t="str">
        <f>IF(CAELS!T11&lt;4%,"1",IF(CAELS!T11&lt;6%,"2",IF(CAELS!T11&lt;8%,"3",IF(CAELS!T11&lt;10%,"4","5"))))</f>
        <v>1</v>
      </c>
      <c r="T16" s="118" t="str">
        <f>IF(CAELS!U11&lt;4%,"1",IF(CAELS!U11&lt;6%,"2",IF(CAELS!U11&lt;8%,"3",IF(CAELS!U11&lt;10%,"4","5"))))</f>
        <v>1</v>
      </c>
      <c r="U16" s="118" t="str">
        <f>IF(CAELS!V11&lt;4%,"1",IF(CAELS!V11&lt;6%,"2",IF(CAELS!V11&lt;8%,"3",IF(CAELS!V11&lt;10%,"4","5"))))</f>
        <v>1</v>
      </c>
      <c r="V16" s="118" t="str">
        <f>IF(CAELS!W11&lt;4%,"1",IF(CAELS!W11&lt;6%,"2",IF(CAELS!W11&lt;8%,"3",IF(CAELS!W11&lt;10%,"4","5"))))</f>
        <v>1</v>
      </c>
      <c r="W16" s="118" t="str">
        <f>IF(CAELS!X11&lt;4%,"1",IF(CAELS!X11&lt;6%,"2",IF(CAELS!X11&lt;8%,"3",IF(CAELS!X11&lt;10%,"4","5"))))</f>
        <v>2</v>
      </c>
      <c r="X16" s="118" t="str">
        <f>IF(CAELS!Y11&lt;4%,"1",IF(CAELS!Y11&lt;6%,"2",IF(CAELS!Y11&lt;8%,"3",IF(CAELS!Y11&lt;10%,"4","5"))))</f>
        <v>2</v>
      </c>
      <c r="Y16" s="118" t="str">
        <f>IF(CAELS!Z11&lt;4%,"1",IF(CAELS!Z11&lt;6%,"2",IF(CAELS!Z11&lt;8%,"3",IF(CAELS!Z11&lt;10%,"4","5"))))</f>
        <v>2</v>
      </c>
      <c r="Z16" s="118" t="str">
        <f>IF(CAELS!AA11&lt;4%,"1",IF(CAELS!AA11&lt;6%,"2",IF(CAELS!AA11&lt;8%,"3",IF(CAELS!AA11&lt;10%,"4","5"))))</f>
        <v>3</v>
      </c>
      <c r="AA16" s="118" t="str">
        <f>IF(CAELS!AB11&lt;4%,"1",IF(CAELS!AB11&lt;6%,"2",IF(CAELS!AB11&lt;8%,"3",IF(CAELS!AB11&lt;10%,"4","5"))))</f>
        <v>3</v>
      </c>
      <c r="AB16" s="118" t="str">
        <f>IF(CAELS!AC11&lt;4%,"1",IF(CAELS!AC11&lt;6%,"2",IF(CAELS!AC11&lt;8%,"3",IF(CAELS!AC11&lt;10%,"4","5"))))</f>
        <v>3</v>
      </c>
      <c r="AC16" s="118" t="str">
        <f>IF(CAELS!AD11&lt;4%,"1",IF(CAELS!AD11&lt;6%,"2",IF(CAELS!AD11&lt;8%,"3",IF(CAELS!AD11&lt;10%,"4","5"))))</f>
        <v>4</v>
      </c>
      <c r="AD16" s="118" t="str">
        <f>IF(CAELS!AE11&lt;4%,"1",IF(CAELS!AE11&lt;6%,"2",IF(CAELS!AE11&lt;8%,"3",IF(CAELS!AE11&lt;10%,"4","5"))))</f>
        <v>4</v>
      </c>
      <c r="AE16" s="118" t="str">
        <f>IF(CAELS!AF11&lt;4%,"1",IF(CAELS!AF11&lt;6%,"2",IF(CAELS!AF11&lt;8%,"3",IF(CAELS!AF11&lt;10%,"4","5"))))</f>
        <v>1</v>
      </c>
      <c r="AF16" s="118" t="str">
        <f>IF(CAELS!AG11&lt;4%,"1",IF(CAELS!AG11&lt;6%,"2",IF(CAELS!AG11&lt;8%,"3",IF(CAELS!AG11&lt;10%,"4","5"))))</f>
        <v>1</v>
      </c>
      <c r="AG16" s="118" t="str">
        <f>IF(CAELS!AH11&lt;4%,"1",IF(CAELS!AH11&lt;6%,"2",IF(CAELS!AH11&lt;8%,"3",IF(CAELS!AH11&lt;10%,"4","5"))))</f>
        <v>1</v>
      </c>
      <c r="AH16" s="118" t="str">
        <f>IF(CAELS!AI11&lt;4%,"1",IF(CAELS!AI11&lt;6%,"2",IF(CAELS!AI11&lt;8%,"3",IF(CAELS!AI11&lt;10%,"4","5"))))</f>
        <v>1</v>
      </c>
      <c r="AI16" s="118" t="str">
        <f>IF(CAELS!AJ11&lt;4%,"1",IF(CAELS!AJ11&lt;6%,"2",IF(CAELS!AJ11&lt;8%,"3",IF(CAELS!AJ11&lt;10%,"4","5"))))</f>
        <v>3</v>
      </c>
      <c r="AJ16" s="118" t="e">
        <f>IF(CAELS!AK11&lt;4%,"1",IF(CAELS!AK11&lt;6%,"2",IF(CAELS!AK11&lt;8%,"3",IF(CAELS!AK11&lt;10%,"4","5"))))</f>
        <v>#DIV/0!</v>
      </c>
      <c r="AK16" s="118" t="e">
        <f>IF(CAELS!AL11&lt;4%,"1",IF(CAELS!AL11&lt;6%,"2",IF(CAELS!AL11&lt;8%,"3",IF(CAELS!AL11&lt;10%,"4","5"))))</f>
        <v>#DIV/0!</v>
      </c>
      <c r="AL16" s="118" t="e">
        <f>IF(CAELS!AM11&lt;4%,"1",IF(CAELS!AM11&lt;6%,"2",IF(CAELS!AM11&lt;8%,"3",IF(CAELS!AM11&lt;10%,"4","5"))))</f>
        <v>#DIV/0!</v>
      </c>
      <c r="AM16" s="118" t="e">
        <f>IF(CAELS!AN11&lt;4%,"1",IF(CAELS!AN11&lt;6%,"2",IF(CAELS!AN11&lt;8%,"3",IF(CAELS!AN11&lt;10%,"4","5"))))</f>
        <v>#DIV/0!</v>
      </c>
      <c r="AN16" s="118" t="e">
        <f>IF(CAELS!AO11&lt;4%,"1",IF(CAELS!AO11&lt;6%,"2",IF(CAELS!AO11&lt;8%,"3",IF(CAELS!AO11&lt;10%,"4","5"))))</f>
        <v>#DIV/0!</v>
      </c>
      <c r="AO16" s="118" t="e">
        <f>IF(CAELS!AP11&lt;4%,"1",IF(CAELS!AP11&lt;6%,"2",IF(CAELS!AP11&lt;8%,"3",IF(CAELS!AP11&lt;10%,"4","5"))))</f>
        <v>#DIV/0!</v>
      </c>
      <c r="AP16" s="118" t="e">
        <f>IF(CAELS!AQ11&lt;4%,"1",IF(CAELS!AQ11&lt;6%,"2",IF(CAELS!AQ11&lt;8%,"3",IF(CAELS!AQ11&lt;10%,"4","5"))))</f>
        <v>#DIV/0!</v>
      </c>
      <c r="AQ16" s="118" t="e">
        <f>IF(CAELS!AR11&lt;4%,"1",IF(CAELS!AR11&lt;6%,"2",IF(CAELS!AR11&lt;8%,"3",IF(CAELS!AR11&lt;10%,"4","5"))))</f>
        <v>#DIV/0!</v>
      </c>
      <c r="AR16" s="118" t="e">
        <f>IF(CAELS!AS11&lt;4%,"1",IF(CAELS!AS11&lt;6%,"2",IF(CAELS!AS11&lt;8%,"3",IF(CAELS!AS11&lt;10%,"4","5"))))</f>
        <v>#DIV/0!</v>
      </c>
      <c r="AS16" s="118" t="e">
        <f>IF(CAELS!AT11&lt;4%,"1",IF(CAELS!AT11&lt;6%,"2",IF(CAELS!AT11&lt;8%,"3",IF(CAELS!AT11&lt;10%,"4","5"))))</f>
        <v>#DIV/0!</v>
      </c>
      <c r="AT16" s="118" t="e">
        <f>IF(CAELS!AU11&lt;4%,"1",IF(CAELS!AU11&lt;6%,"2",IF(CAELS!AU11&lt;8%,"3",IF(CAELS!AU11&lt;10%,"4","5"))))</f>
        <v>#DIV/0!</v>
      </c>
      <c r="AU16" s="118" t="e">
        <f>IF(CAELS!AV11&lt;4%,"1",IF(CAELS!AV11&lt;6%,"2",IF(CAELS!AV11&lt;8%,"3",IF(CAELS!AV11&lt;10%,"4","5"))))</f>
        <v>#DIV/0!</v>
      </c>
      <c r="AV16" s="118" t="e">
        <f>IF(CAELS!AW11&lt;4%,"1",IF(CAELS!AW11&lt;6%,"2",IF(CAELS!AW11&lt;8%,"3",IF(CAELS!AW11&lt;10%,"4","5"))))</f>
        <v>#DIV/0!</v>
      </c>
      <c r="AW16" s="118" t="e">
        <f>IF(CAELS!AX11&lt;4%,"1",IF(CAELS!AX11&lt;6%,"2",IF(CAELS!AX11&lt;8%,"3",IF(CAELS!AX11&lt;10%,"4","5"))))</f>
        <v>#DIV/0!</v>
      </c>
      <c r="AX16" s="118" t="e">
        <f>IF(CAELS!AY11&lt;4%,"1",IF(CAELS!AY11&lt;6%,"2",IF(CAELS!AY11&lt;8%,"3",IF(CAELS!AY11&lt;10%,"4","5"))))</f>
        <v>#DIV/0!</v>
      </c>
      <c r="AY16" s="118" t="str">
        <f>IF(CAELS!AZ11&lt;4%,"1",IF(CAELS!AZ11&lt;6%,"2",IF(CAELS!AZ11&lt;8%,"3",IF(CAELS!AZ11&lt;10%,"4","5"))))</f>
        <v>1</v>
      </c>
      <c r="AZ16" s="118" t="str">
        <f>IF(CAELS!BA11&lt;4%,"1",IF(CAELS!BA11&lt;6%,"2",IF(CAELS!BA11&lt;8%,"3",IF(CAELS!BA11&lt;10%,"4","5"))))</f>
        <v>1</v>
      </c>
      <c r="BA16" s="118" t="str">
        <f>IF(CAELS!BB11&lt;4%,"1",IF(CAELS!BB11&lt;6%,"2",IF(CAELS!BB11&lt;8%,"3",IF(CAELS!BB11&lt;10%,"4","5"))))</f>
        <v>1</v>
      </c>
      <c r="BB16" s="118" t="str">
        <f>IF(CAELS!BC11&lt;4%,"1",IF(CAELS!BC11&lt;6%,"2",IF(CAELS!BC11&lt;8%,"3",IF(CAELS!BC11&lt;10%,"4","5"))))</f>
        <v>1</v>
      </c>
      <c r="BC16" s="118" t="str">
        <f>IF(CAELS!BD11&lt;4%,"1",IF(CAELS!BD11&lt;6%,"2",IF(CAELS!BD11&lt;8%,"3",IF(CAELS!BD11&lt;10%,"4","5"))))</f>
        <v>1</v>
      </c>
      <c r="BD16" s="118" t="str">
        <f>IF(CAELS!BE11&lt;4%,"1",IF(CAELS!BE11&lt;6%,"2",IF(CAELS!BE11&lt;8%,"3",IF(CAELS!BE11&lt;10%,"4","5"))))</f>
        <v>1</v>
      </c>
      <c r="BE16" s="118" t="str">
        <f>IF(CAELS!BF11&lt;4%,"1",IF(CAELS!BF11&lt;6%,"2",IF(CAELS!BF11&lt;8%,"3",IF(CAELS!BF11&lt;10%,"4","5"))))</f>
        <v>1</v>
      </c>
      <c r="BF16" s="118" t="str">
        <f>IF(CAELS!BG11&lt;4%,"1",IF(CAELS!BG11&lt;6%,"2",IF(CAELS!BG11&lt;8%,"3",IF(CAELS!BG11&lt;10%,"4","5"))))</f>
        <v>1</v>
      </c>
      <c r="BG16" s="118" t="str">
        <f>IF(CAELS!BH11&lt;4%,"1",IF(CAELS!BH11&lt;6%,"2",IF(CAELS!BH11&lt;8%,"3",IF(CAELS!BH11&lt;10%,"4","5"))))</f>
        <v>1</v>
      </c>
      <c r="BH16" s="118" t="str">
        <f>IF(CAELS!BI11&lt;4%,"1",IF(CAELS!BI11&lt;6%,"2",IF(CAELS!BI11&lt;8%,"3",IF(CAELS!BI11&lt;10%,"4","5"))))</f>
        <v>1</v>
      </c>
      <c r="BI16" s="118" t="str">
        <f>IF(CAELS!BJ11&lt;4%,"1",IF(CAELS!BJ11&lt;6%,"2",IF(CAELS!BJ11&lt;8%,"3",IF(CAELS!BJ11&lt;10%,"4","5"))))</f>
        <v>1</v>
      </c>
      <c r="BJ16" s="118" t="str">
        <f>IF(CAELS!BK11&lt;4%,"1",IF(CAELS!BK11&lt;6%,"2",IF(CAELS!BK11&lt;8%,"3",IF(CAELS!BK11&lt;10%,"4","5"))))</f>
        <v>1</v>
      </c>
      <c r="BK16" s="118" t="str">
        <f>IF(CAELS!BL11&lt;4%,"1",IF(CAELS!BL11&lt;6%,"2",IF(CAELS!BL11&lt;8%,"3",IF(CAELS!BL11&lt;10%,"4","5"))))</f>
        <v>1</v>
      </c>
      <c r="BL16" s="118" t="str">
        <f>IF(CAELS!BM11&lt;4%,"1",IF(CAELS!BM11&lt;6%,"2",IF(CAELS!BM11&lt;8%,"3",IF(CAELS!BM11&lt;10%,"4","5"))))</f>
        <v>1</v>
      </c>
      <c r="BM16" s="118" t="str">
        <f>IF(CAELS!BN11&lt;4%,"1",IF(CAELS!BN11&lt;6%,"2",IF(CAELS!BN11&lt;8%,"3",IF(CAELS!BN11&lt;10%,"4","5"))))</f>
        <v>1</v>
      </c>
      <c r="BN16" s="118" t="str">
        <f>IF(CAELS!BO11&lt;4%,"1",IF(CAELS!BO11&lt;6%,"2",IF(CAELS!BO11&lt;8%,"3",IF(CAELS!BO11&lt;10%,"4","5"))))</f>
        <v>1</v>
      </c>
      <c r="BO16" s="118" t="str">
        <f>IF(CAELS!BP11&lt;4%,"1",IF(CAELS!BP11&lt;6%,"2",IF(CAELS!BP11&lt;8%,"3",IF(CAELS!BP11&lt;10%,"4","5"))))</f>
        <v>1</v>
      </c>
      <c r="BP16" s="118" t="str">
        <f>IF(CAELS!BQ11&lt;4%,"1",IF(CAELS!BQ11&lt;6%,"2",IF(CAELS!BQ11&lt;8%,"3",IF(CAELS!BQ11&lt;10%,"4","5"))))</f>
        <v>1</v>
      </c>
      <c r="BQ16" s="118" t="str">
        <f>IF(CAELS!BR11&lt;4%,"1",IF(CAELS!BR11&lt;6%,"2",IF(CAELS!BR11&lt;8%,"3",IF(CAELS!BR11&lt;10%,"4","5"))))</f>
        <v>1</v>
      </c>
      <c r="BR16" s="118" t="str">
        <f>IF(CAELS!BS11&lt;4%,"1",IF(CAELS!BS11&lt;6%,"2",IF(CAELS!BS11&lt;8%,"3",IF(CAELS!BS11&lt;10%,"4","5"))))</f>
        <v>1</v>
      </c>
      <c r="BS16" s="118" t="str">
        <f>IF(CAELS!BT11&lt;4%,"1",IF(CAELS!BT11&lt;6%,"2",IF(CAELS!BT11&lt;8%,"3",IF(CAELS!BT11&lt;10%,"4","5"))))</f>
        <v>1</v>
      </c>
      <c r="BT16" s="118" t="str">
        <f>IF(CAELS!BU11&lt;4%,"1",IF(CAELS!BU11&lt;6%,"2",IF(CAELS!BU11&lt;8%,"3",IF(CAELS!BU11&lt;10%,"4","5"))))</f>
        <v>1</v>
      </c>
      <c r="BU16" s="118" t="str">
        <f>IF(CAELS!BV11&lt;4%,"1",IF(CAELS!BV11&lt;6%,"2",IF(CAELS!BV11&lt;8%,"3",IF(CAELS!BV11&lt;10%,"4","5"))))</f>
        <v>1</v>
      </c>
      <c r="BV16" s="118" t="str">
        <f>IF(CAELS!BW11&lt;4%,"1",IF(CAELS!BW11&lt;6%,"2",IF(CAELS!BW11&lt;8%,"3",IF(CAELS!BW11&lt;10%,"4","5"))))</f>
        <v>1</v>
      </c>
      <c r="BW16" s="118" t="str">
        <f>IF(CAELS!BX11&lt;4%,"1",IF(CAELS!BX11&lt;6%,"2",IF(CAELS!BX11&lt;8%,"3",IF(CAELS!BX11&lt;10%,"4","5"))))</f>
        <v>1</v>
      </c>
      <c r="BX16" s="118" t="str">
        <f>IF(CAELS!BY11&lt;4%,"1",IF(CAELS!BY11&lt;6%,"2",IF(CAELS!BY11&lt;8%,"3",IF(CAELS!BY11&lt;10%,"4","5"))))</f>
        <v>1</v>
      </c>
      <c r="BY16" s="118" t="str">
        <f>IF(CAELS!BZ11&lt;4%,"1",IF(CAELS!BZ11&lt;6%,"2",IF(CAELS!BZ11&lt;8%,"3",IF(CAELS!BZ11&lt;10%,"4","5"))))</f>
        <v>1</v>
      </c>
    </row>
    <row r="17" spans="1:77" x14ac:dyDescent="0.3">
      <c r="A17" s="48"/>
      <c r="B17" s="2"/>
      <c r="C17" s="130">
        <f t="shared" ref="C17:K17" si="6">(C14+C15+C16)/3</f>
        <v>1.3333333333333333</v>
      </c>
      <c r="D17" s="130">
        <f t="shared" si="6"/>
        <v>3.6666666666666665</v>
      </c>
      <c r="E17" s="130">
        <f t="shared" si="6"/>
        <v>2</v>
      </c>
      <c r="F17" s="130">
        <f t="shared" si="6"/>
        <v>2</v>
      </c>
      <c r="G17" s="130">
        <f t="shared" si="6"/>
        <v>3.6666666666666665</v>
      </c>
      <c r="H17" s="130">
        <f t="shared" si="6"/>
        <v>2</v>
      </c>
      <c r="I17" s="130">
        <f t="shared" si="6"/>
        <v>2.3333333333333335</v>
      </c>
      <c r="J17" s="130">
        <f t="shared" si="6"/>
        <v>2.6666666666666665</v>
      </c>
      <c r="K17" s="130">
        <f t="shared" si="6"/>
        <v>3</v>
      </c>
      <c r="L17" s="130">
        <f t="shared" ref="L17:S17" si="7">(L14+L15+L16)/3</f>
        <v>3.3333333333333335</v>
      </c>
      <c r="M17" s="130">
        <f t="shared" si="7"/>
        <v>3.3333333333333335</v>
      </c>
      <c r="N17" s="130">
        <f t="shared" si="7"/>
        <v>3</v>
      </c>
      <c r="O17" s="130">
        <f t="shared" si="7"/>
        <v>2.6666666666666665</v>
      </c>
      <c r="P17" s="130">
        <f t="shared" si="7"/>
        <v>3.3333333333333335</v>
      </c>
      <c r="Q17" s="130">
        <f t="shared" si="7"/>
        <v>3.6666666666666665</v>
      </c>
      <c r="R17" s="130">
        <f t="shared" si="7"/>
        <v>3.3333333333333335</v>
      </c>
      <c r="S17" s="130">
        <f t="shared" si="7"/>
        <v>3.6666666666666665</v>
      </c>
      <c r="T17" s="130">
        <f>(T14+T15+T16)/3</f>
        <v>2.6666666666666665</v>
      </c>
      <c r="U17" s="130">
        <f>(U14+U15+U16)/3</f>
        <v>2.3333333333333335</v>
      </c>
      <c r="V17" s="130">
        <f t="shared" ref="V17:BY17" si="8">(V14+V15+V16)/3</f>
        <v>2.3333333333333335</v>
      </c>
      <c r="W17" s="130">
        <f t="shared" si="8"/>
        <v>3</v>
      </c>
      <c r="X17" s="130">
        <f t="shared" si="8"/>
        <v>3</v>
      </c>
      <c r="Y17" s="130">
        <f t="shared" si="8"/>
        <v>3</v>
      </c>
      <c r="Z17" s="130">
        <f t="shared" si="8"/>
        <v>3</v>
      </c>
      <c r="AA17" s="130">
        <f t="shared" si="8"/>
        <v>3</v>
      </c>
      <c r="AB17" s="130">
        <f t="shared" si="8"/>
        <v>3</v>
      </c>
      <c r="AC17" s="130">
        <f t="shared" si="8"/>
        <v>3.3333333333333335</v>
      </c>
      <c r="AD17" s="130">
        <f t="shared" si="8"/>
        <v>3.6666666666666665</v>
      </c>
      <c r="AE17" s="130">
        <f t="shared" si="8"/>
        <v>2</v>
      </c>
      <c r="AF17" s="130">
        <f t="shared" si="8"/>
        <v>2</v>
      </c>
      <c r="AG17" s="130">
        <f t="shared" si="8"/>
        <v>2</v>
      </c>
      <c r="AH17" s="130">
        <f t="shared" si="8"/>
        <v>2</v>
      </c>
      <c r="AI17" s="130">
        <f t="shared" si="8"/>
        <v>3</v>
      </c>
      <c r="AJ17" s="130" t="e">
        <f t="shared" si="8"/>
        <v>#DIV/0!</v>
      </c>
      <c r="AK17" s="130" t="e">
        <f t="shared" si="8"/>
        <v>#DIV/0!</v>
      </c>
      <c r="AL17" s="130" t="e">
        <f t="shared" si="8"/>
        <v>#DIV/0!</v>
      </c>
      <c r="AM17" s="130" t="e">
        <f t="shared" si="8"/>
        <v>#DIV/0!</v>
      </c>
      <c r="AN17" s="130" t="e">
        <f t="shared" si="8"/>
        <v>#DIV/0!</v>
      </c>
      <c r="AO17" s="130" t="e">
        <f t="shared" si="8"/>
        <v>#DIV/0!</v>
      </c>
      <c r="AP17" s="130" t="e">
        <f t="shared" si="8"/>
        <v>#DIV/0!</v>
      </c>
      <c r="AQ17" s="130" t="e">
        <f t="shared" si="8"/>
        <v>#DIV/0!</v>
      </c>
      <c r="AR17" s="130" t="e">
        <f t="shared" si="8"/>
        <v>#DIV/0!</v>
      </c>
      <c r="AS17" s="130" t="e">
        <f t="shared" si="8"/>
        <v>#DIV/0!</v>
      </c>
      <c r="AT17" s="130" t="e">
        <f t="shared" si="8"/>
        <v>#DIV/0!</v>
      </c>
      <c r="AU17" s="130" t="e">
        <f t="shared" si="8"/>
        <v>#DIV/0!</v>
      </c>
      <c r="AV17" s="130" t="e">
        <f t="shared" si="8"/>
        <v>#DIV/0!</v>
      </c>
      <c r="AW17" s="130" t="e">
        <f t="shared" si="8"/>
        <v>#DIV/0!</v>
      </c>
      <c r="AX17" s="130" t="e">
        <f t="shared" si="8"/>
        <v>#DIV/0!</v>
      </c>
      <c r="AY17" s="130">
        <f t="shared" si="8"/>
        <v>2.3333333333333335</v>
      </c>
      <c r="AZ17" s="130">
        <f t="shared" si="8"/>
        <v>2.3333333333333335</v>
      </c>
      <c r="BA17" s="130">
        <f t="shared" si="8"/>
        <v>2.3333333333333335</v>
      </c>
      <c r="BB17" s="130">
        <f t="shared" si="8"/>
        <v>2.3333333333333335</v>
      </c>
      <c r="BC17" s="130">
        <f t="shared" si="8"/>
        <v>2.3333333333333335</v>
      </c>
      <c r="BD17" s="130">
        <f t="shared" si="8"/>
        <v>2.3333333333333335</v>
      </c>
      <c r="BE17" s="130">
        <f t="shared" si="8"/>
        <v>2.3333333333333335</v>
      </c>
      <c r="BF17" s="130">
        <f t="shared" si="8"/>
        <v>2.3333333333333335</v>
      </c>
      <c r="BG17" s="130">
        <f t="shared" si="8"/>
        <v>2.3333333333333335</v>
      </c>
      <c r="BH17" s="130">
        <f t="shared" si="8"/>
        <v>2.3333333333333335</v>
      </c>
      <c r="BI17" s="130">
        <f t="shared" si="8"/>
        <v>2.3333333333333335</v>
      </c>
      <c r="BJ17" s="130">
        <f t="shared" si="8"/>
        <v>2.3333333333333335</v>
      </c>
      <c r="BK17" s="130">
        <f t="shared" si="8"/>
        <v>2.3333333333333335</v>
      </c>
      <c r="BL17" s="130">
        <f t="shared" si="8"/>
        <v>2.3333333333333335</v>
      </c>
      <c r="BM17" s="130">
        <f t="shared" si="8"/>
        <v>2.3333333333333335</v>
      </c>
      <c r="BN17" s="130">
        <f t="shared" si="8"/>
        <v>2.3333333333333335</v>
      </c>
      <c r="BO17" s="130">
        <f t="shared" si="8"/>
        <v>2.3333333333333335</v>
      </c>
      <c r="BP17" s="130">
        <f t="shared" si="8"/>
        <v>2.3333333333333335</v>
      </c>
      <c r="BQ17" s="130">
        <f t="shared" si="8"/>
        <v>2.3333333333333335</v>
      </c>
      <c r="BR17" s="130">
        <f t="shared" si="8"/>
        <v>2.3333333333333335</v>
      </c>
      <c r="BS17" s="130">
        <f t="shared" si="8"/>
        <v>2.3333333333333335</v>
      </c>
      <c r="BT17" s="130">
        <f t="shared" si="8"/>
        <v>2.3333333333333335</v>
      </c>
      <c r="BU17" s="130">
        <f t="shared" si="8"/>
        <v>2.3333333333333335</v>
      </c>
      <c r="BV17" s="130">
        <f t="shared" si="8"/>
        <v>2.3333333333333335</v>
      </c>
      <c r="BW17" s="130">
        <f t="shared" si="8"/>
        <v>2.3333333333333335</v>
      </c>
      <c r="BX17" s="130">
        <f t="shared" si="8"/>
        <v>2.3333333333333335</v>
      </c>
      <c r="BY17" s="130">
        <f t="shared" si="8"/>
        <v>2.3333333333333335</v>
      </c>
    </row>
    <row r="18" spans="1:77" x14ac:dyDescent="0.3">
      <c r="A18" s="113" t="s">
        <v>114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</row>
    <row r="19" spans="1:77" x14ac:dyDescent="0.3">
      <c r="A19" s="48" t="s">
        <v>207</v>
      </c>
      <c r="B19" s="122">
        <v>0.15</v>
      </c>
      <c r="C19" s="118" t="str">
        <f>IF(CAELS!D12&gt;30%,"1",IF(CAELS!D12&gt;25%,"2",IF(CAELS!D12&gt;20%,"3",IF(CAELS!D12&gt;15%,"4","5"))))</f>
        <v>1</v>
      </c>
      <c r="D19" s="118" t="str">
        <f>IF(CAELS!E12&gt;30%,"1",IF(CAELS!E12&gt;25%,"2",IF(CAELS!E12&gt;20%,"3",IF(CAELS!E12&gt;15%,"4","5"))))</f>
        <v>1</v>
      </c>
      <c r="E19" s="118" t="str">
        <f>IF(CAELS!F12&gt;30%,"1",IF(CAELS!F12&gt;25%,"2",IF(CAELS!F12&gt;20%,"3",IF(CAELS!F12&gt;15%,"4","5"))))</f>
        <v>1</v>
      </c>
      <c r="F19" s="118" t="str">
        <f>IF(CAELS!G12&gt;30%,"1",IF(CAELS!G12&gt;25%,"2",IF(CAELS!G12&gt;20%,"3",IF(CAELS!G12&gt;15%,"4","5"))))</f>
        <v>1</v>
      </c>
      <c r="G19" s="118" t="str">
        <f>IF(CAELS!H12&gt;30%,"1",IF(CAELS!H12&gt;25%,"2",IF(CAELS!H12&gt;20%,"3",IF(CAELS!H12&gt;15%,"4","5"))))</f>
        <v>1</v>
      </c>
      <c r="H19" s="118" t="str">
        <f>IF(CAELS!I12&gt;30%,"1",IF(CAELS!I12&gt;25%,"2",IF(CAELS!I12&gt;20%,"3",IF(CAELS!I12&gt;15%,"4","5"))))</f>
        <v>1</v>
      </c>
      <c r="I19" s="118" t="str">
        <f>IF(CAELS!J12&gt;30%,"1",IF(CAELS!J12&gt;25%,"2",IF(CAELS!J12&gt;20%,"3",IF(CAELS!J12&gt;15%,"4","5"))))</f>
        <v>1</v>
      </c>
      <c r="J19" s="118" t="str">
        <f>IF(CAELS!K12&gt;30%,"1",IF(CAELS!K12&gt;25%,"2",IF(CAELS!K12&gt;20%,"3",IF(CAELS!K12&gt;15%,"4","5"))))</f>
        <v>1</v>
      </c>
      <c r="K19" s="118" t="str">
        <f>IF(CAELS!L12&gt;30%,"1",IF(CAELS!L12&gt;25%,"2",IF(CAELS!L12&gt;20%,"3",IF(CAELS!L12&gt;15%,"4","5"))))</f>
        <v>1</v>
      </c>
      <c r="L19" s="118" t="str">
        <f>IF(CAELS!M12&gt;30%,"1",IF(CAELS!M12&gt;25%,"2",IF(CAELS!M12&gt;20%,"3",IF(CAELS!M12&gt;15%,"4","5"))))</f>
        <v>1</v>
      </c>
      <c r="M19" s="118" t="str">
        <f>IF(CAELS!N12&gt;30%,"1",IF(CAELS!N12&gt;25%,"2",IF(CAELS!N12&gt;20%,"3",IF(CAELS!N12&gt;15%,"4","5"))))</f>
        <v>1</v>
      </c>
      <c r="N19" s="118" t="str">
        <f>IF(CAELS!O12&gt;30%,"1",IF(CAELS!O12&gt;25%,"2",IF(CAELS!O12&gt;20%,"3",IF(CAELS!O12&gt;15%,"4","5"))))</f>
        <v>1</v>
      </c>
      <c r="O19" s="118" t="str">
        <f>IF(CAELS!P12&gt;30%,"1",IF(CAELS!P12&gt;25%,"2",IF(CAELS!P12&gt;20%,"3",IF(CAELS!P12&gt;15%,"4","5"))))</f>
        <v>1</v>
      </c>
      <c r="P19" s="118" t="str">
        <f>IF(CAELS!Q12&gt;30%,"1",IF(CAELS!Q12&gt;25%,"2",IF(CAELS!Q12&gt;20%,"3",IF(CAELS!Q12&gt;15%,"4","5"))))</f>
        <v>1</v>
      </c>
      <c r="Q19" s="118" t="str">
        <f>IF(CAELS!R12&gt;30%,"1",IF(CAELS!R12&gt;25%,"2",IF(CAELS!R12&gt;20%,"3",IF(CAELS!R12&gt;15%,"4","5"))))</f>
        <v>1</v>
      </c>
      <c r="R19" s="118" t="str">
        <f>IF(CAELS!S12&gt;30%,"1",IF(CAELS!S12&gt;25%,"2",IF(CAELS!S12&gt;20%,"3",IF(CAELS!S12&gt;15%,"4","5"))))</f>
        <v>1</v>
      </c>
      <c r="S19" s="118" t="str">
        <f>IF(CAELS!T12&gt;30%,"1",IF(CAELS!T12&gt;25%,"2",IF(CAELS!T12&gt;20%,"3",IF(CAELS!T12&gt;15%,"4","5"))))</f>
        <v>1</v>
      </c>
      <c r="T19" s="118" t="str">
        <f>IF(CAELS!U12&gt;30%,"1",IF(CAELS!U12&gt;25%,"2",IF(CAELS!U12&gt;20%,"3",IF(CAELS!U12&gt;15%,"4","5"))))</f>
        <v>1</v>
      </c>
      <c r="U19" s="118" t="str">
        <f>IF(CAELS!V12&gt;30%,"1",IF(CAELS!V12&gt;25%,"2",IF(CAELS!V12&gt;20%,"3",IF(CAELS!V12&gt;15%,"4","5"))))</f>
        <v>1</v>
      </c>
      <c r="V19" s="118" t="str">
        <f>IF(CAELS!W12&gt;30%,"1",IF(CAELS!W12&gt;25%,"2",IF(CAELS!W12&gt;20%,"3",IF(CAELS!W12&gt;15%,"4","5"))))</f>
        <v>1</v>
      </c>
      <c r="W19" s="118" t="str">
        <f>IF(CAELS!X12&gt;30%,"1",IF(CAELS!X12&gt;25%,"2",IF(CAELS!X12&gt;20%,"3",IF(CAELS!X12&gt;15%,"4","5"))))</f>
        <v>1</v>
      </c>
      <c r="X19" s="118" t="str">
        <f>IF(CAELS!Y12&gt;30%,"1",IF(CAELS!Y12&gt;25%,"2",IF(CAELS!Y12&gt;20%,"3",IF(CAELS!Y12&gt;15%,"4","5"))))</f>
        <v>1</v>
      </c>
      <c r="Y19" s="118" t="str">
        <f>IF(CAELS!Z12&gt;30%,"1",IF(CAELS!Z12&gt;25%,"2",IF(CAELS!Z12&gt;20%,"3",IF(CAELS!Z12&gt;15%,"4","5"))))</f>
        <v>1</v>
      </c>
      <c r="Z19" s="118" t="str">
        <f>IF(CAELS!AA12&gt;30%,"1",IF(CAELS!AA12&gt;25%,"2",IF(CAELS!AA12&gt;20%,"3",IF(CAELS!AA12&gt;15%,"4","5"))))</f>
        <v>1</v>
      </c>
      <c r="AA19" s="118" t="str">
        <f>IF(CAELS!AB12&gt;30%,"1",IF(CAELS!AB12&gt;25%,"2",IF(CAELS!AB12&gt;20%,"3",IF(CAELS!AB12&gt;15%,"4","5"))))</f>
        <v>1</v>
      </c>
      <c r="AB19" s="118" t="str">
        <f>IF(CAELS!AC12&gt;30%,"1",IF(CAELS!AC12&gt;25%,"2",IF(CAELS!AC12&gt;20%,"3",IF(CAELS!AC12&gt;15%,"4","5"))))</f>
        <v>1</v>
      </c>
      <c r="AC19" s="118" t="str">
        <f>IF(CAELS!AD12&gt;30%,"1",IF(CAELS!AD12&gt;25%,"2",IF(CAELS!AD12&gt;20%,"3",IF(CAELS!AD12&gt;15%,"4","5"))))</f>
        <v>1</v>
      </c>
      <c r="AD19" s="118" t="str">
        <f>IF(CAELS!AE12&gt;30%,"1",IF(CAELS!AE12&gt;25%,"2",IF(CAELS!AE12&gt;20%,"3",IF(CAELS!AE12&gt;15%,"4","5"))))</f>
        <v>1</v>
      </c>
      <c r="AE19" s="118" t="str">
        <f>IF(CAELS!AF12&gt;30%,"1",IF(CAELS!AF12&gt;25%,"2",IF(CAELS!AF12&gt;20%,"3",IF(CAELS!AF12&gt;15%,"4","5"))))</f>
        <v>1</v>
      </c>
      <c r="AF19" s="118" t="str">
        <f>IF(CAELS!AG12&gt;30%,"1",IF(CAELS!AG12&gt;25%,"2",IF(CAELS!AG12&gt;20%,"3",IF(CAELS!AG12&gt;15%,"4","5"))))</f>
        <v>1</v>
      </c>
      <c r="AG19" s="118" t="str">
        <f>IF(CAELS!AH12&gt;30%,"1",IF(CAELS!AH12&gt;25%,"2",IF(CAELS!AH12&gt;20%,"3",IF(CAELS!AH12&gt;15%,"4","5"))))</f>
        <v>1</v>
      </c>
      <c r="AH19" s="118" t="str">
        <f>IF(CAELS!AI12&gt;30%,"1",IF(CAELS!AI12&gt;25%,"2",IF(CAELS!AI12&gt;20%,"3",IF(CAELS!AI12&gt;15%,"4","5"))))</f>
        <v>1</v>
      </c>
      <c r="AI19" s="118" t="str">
        <f>IF(CAELS!AJ12&gt;30%,"1",IF(CAELS!AJ12&gt;25%,"2",IF(CAELS!AJ12&gt;20%,"3",IF(CAELS!AJ12&gt;15%,"4","5"))))</f>
        <v>1</v>
      </c>
      <c r="AJ19" s="118" t="e">
        <f>IF(CAELS!AK12&gt;30%,"1",IF(CAELS!AK12&gt;25%,"2",IF(CAELS!AK12&gt;20%,"3",IF(CAELS!AK12&gt;15%,"4","5"))))</f>
        <v>#DIV/0!</v>
      </c>
      <c r="AK19" s="118" t="e">
        <f>IF(CAELS!AL12&gt;30%,"1",IF(CAELS!AL12&gt;25%,"2",IF(CAELS!AL12&gt;20%,"3",IF(CAELS!AL12&gt;15%,"4","5"))))</f>
        <v>#DIV/0!</v>
      </c>
      <c r="AL19" s="118" t="e">
        <f>IF(CAELS!AM12&gt;30%,"1",IF(CAELS!AM12&gt;25%,"2",IF(CAELS!AM12&gt;20%,"3",IF(CAELS!AM12&gt;15%,"4","5"))))</f>
        <v>#DIV/0!</v>
      </c>
      <c r="AM19" s="118" t="e">
        <f>IF(CAELS!AN12&gt;30%,"1",IF(CAELS!AN12&gt;25%,"2",IF(CAELS!AN12&gt;20%,"3",IF(CAELS!AN12&gt;15%,"4","5"))))</f>
        <v>#DIV/0!</v>
      </c>
      <c r="AN19" s="118" t="e">
        <f>IF(CAELS!AO12&gt;30%,"1",IF(CAELS!AO12&gt;25%,"2",IF(CAELS!AO12&gt;20%,"3",IF(CAELS!AO12&gt;15%,"4","5"))))</f>
        <v>#DIV/0!</v>
      </c>
      <c r="AO19" s="118" t="e">
        <f>IF(CAELS!AP12&gt;30%,"1",IF(CAELS!AP12&gt;25%,"2",IF(CAELS!AP12&gt;20%,"3",IF(CAELS!AP12&gt;15%,"4","5"))))</f>
        <v>#DIV/0!</v>
      </c>
      <c r="AP19" s="118" t="e">
        <f>IF(CAELS!AQ12&gt;30%,"1",IF(CAELS!AQ12&gt;25%,"2",IF(CAELS!AQ12&gt;20%,"3",IF(CAELS!AQ12&gt;15%,"4","5"))))</f>
        <v>#DIV/0!</v>
      </c>
      <c r="AQ19" s="118" t="e">
        <f>IF(CAELS!AR12&gt;30%,"1",IF(CAELS!AR12&gt;25%,"2",IF(CAELS!AR12&gt;20%,"3",IF(CAELS!AR12&gt;15%,"4","5"))))</f>
        <v>#DIV/0!</v>
      </c>
      <c r="AR19" s="118" t="e">
        <f>IF(CAELS!AS12&gt;30%,"1",IF(CAELS!AS12&gt;25%,"2",IF(CAELS!AS12&gt;20%,"3",IF(CAELS!AS12&gt;15%,"4","5"))))</f>
        <v>#DIV/0!</v>
      </c>
      <c r="AS19" s="118" t="e">
        <f>IF(CAELS!AT12&gt;30%,"1",IF(CAELS!AT12&gt;25%,"2",IF(CAELS!AT12&gt;20%,"3",IF(CAELS!AT12&gt;15%,"4","5"))))</f>
        <v>#DIV/0!</v>
      </c>
      <c r="AT19" s="118" t="e">
        <f>IF(CAELS!AU12&gt;30%,"1",IF(CAELS!AU12&gt;25%,"2",IF(CAELS!AU12&gt;20%,"3",IF(CAELS!AU12&gt;15%,"4","5"))))</f>
        <v>#DIV/0!</v>
      </c>
      <c r="AU19" s="118" t="e">
        <f>IF(CAELS!AV12&gt;30%,"1",IF(CAELS!AV12&gt;25%,"2",IF(CAELS!AV12&gt;20%,"3",IF(CAELS!AV12&gt;15%,"4","5"))))</f>
        <v>#DIV/0!</v>
      </c>
      <c r="AV19" s="118" t="e">
        <f>IF(CAELS!AW12&gt;30%,"1",IF(CAELS!AW12&gt;25%,"2",IF(CAELS!AW12&gt;20%,"3",IF(CAELS!AW12&gt;15%,"4","5"))))</f>
        <v>#DIV/0!</v>
      </c>
      <c r="AW19" s="118" t="e">
        <f>IF(CAELS!AX12&gt;30%,"1",IF(CAELS!AX12&gt;25%,"2",IF(CAELS!AX12&gt;20%,"3",IF(CAELS!AX12&gt;15%,"4","5"))))</f>
        <v>#DIV/0!</v>
      </c>
      <c r="AX19" s="118" t="e">
        <f>IF(CAELS!AY12&gt;30%,"1",IF(CAELS!AY12&gt;25%,"2",IF(CAELS!AY12&gt;20%,"3",IF(CAELS!AY12&gt;15%,"4","5"))))</f>
        <v>#DIV/0!</v>
      </c>
      <c r="AY19" s="118" t="str">
        <f>IF(CAELS!AZ12&gt;30%,"1",IF(CAELS!AZ12&gt;25%,"2",IF(CAELS!AZ12&gt;20%,"3",IF(CAELS!AZ12&gt;15%,"4","5"))))</f>
        <v>5</v>
      </c>
      <c r="AZ19" s="118" t="str">
        <f>IF(CAELS!BA12&gt;30%,"1",IF(CAELS!BA12&gt;25%,"2",IF(CAELS!BA12&gt;20%,"3",IF(CAELS!BA12&gt;15%,"4","5"))))</f>
        <v>5</v>
      </c>
      <c r="BA19" s="118" t="str">
        <f>IF(CAELS!BB12&gt;30%,"1",IF(CAELS!BB12&gt;25%,"2",IF(CAELS!BB12&gt;20%,"3",IF(CAELS!BB12&gt;15%,"4","5"))))</f>
        <v>5</v>
      </c>
      <c r="BB19" s="118" t="str">
        <f>IF(CAELS!BC12&gt;30%,"1",IF(CAELS!BC12&gt;25%,"2",IF(CAELS!BC12&gt;20%,"3",IF(CAELS!BC12&gt;15%,"4","5"))))</f>
        <v>5</v>
      </c>
      <c r="BC19" s="118" t="str">
        <f>IF(CAELS!BD12&gt;30%,"1",IF(CAELS!BD12&gt;25%,"2",IF(CAELS!BD12&gt;20%,"3",IF(CAELS!BD12&gt;15%,"4","5"))))</f>
        <v>5</v>
      </c>
      <c r="BD19" s="118" t="str">
        <f>IF(CAELS!BE12&gt;30%,"1",IF(CAELS!BE12&gt;25%,"2",IF(CAELS!BE12&gt;20%,"3",IF(CAELS!BE12&gt;15%,"4","5"))))</f>
        <v>5</v>
      </c>
      <c r="BE19" s="118" t="str">
        <f>IF(CAELS!BF12&gt;30%,"1",IF(CAELS!BF12&gt;25%,"2",IF(CAELS!BF12&gt;20%,"3",IF(CAELS!BF12&gt;15%,"4","5"))))</f>
        <v>5</v>
      </c>
      <c r="BF19" s="118" t="str">
        <f>IF(CAELS!BG12&gt;30%,"1",IF(CAELS!BG12&gt;25%,"2",IF(CAELS!BG12&gt;20%,"3",IF(CAELS!BG12&gt;15%,"4","5"))))</f>
        <v>5</v>
      </c>
      <c r="BG19" s="118" t="str">
        <f>IF(CAELS!BH12&gt;30%,"1",IF(CAELS!BH12&gt;25%,"2",IF(CAELS!BH12&gt;20%,"3",IF(CAELS!BH12&gt;15%,"4","5"))))</f>
        <v>5</v>
      </c>
      <c r="BH19" s="118" t="str">
        <f>IF(CAELS!BI12&gt;30%,"1",IF(CAELS!BI12&gt;25%,"2",IF(CAELS!BI12&gt;20%,"3",IF(CAELS!BI12&gt;15%,"4","5"))))</f>
        <v>5</v>
      </c>
      <c r="BI19" s="118" t="str">
        <f>IF(CAELS!BJ12&gt;30%,"1",IF(CAELS!BJ12&gt;25%,"2",IF(CAELS!BJ12&gt;20%,"3",IF(CAELS!BJ12&gt;15%,"4","5"))))</f>
        <v>5</v>
      </c>
      <c r="BJ19" s="118" t="str">
        <f>IF(CAELS!BK12&gt;30%,"1",IF(CAELS!BK12&gt;25%,"2",IF(CAELS!BK12&gt;20%,"3",IF(CAELS!BK12&gt;15%,"4","5"))))</f>
        <v>5</v>
      </c>
      <c r="BK19" s="118" t="str">
        <f>IF(CAELS!BL12&gt;30%,"1",IF(CAELS!BL12&gt;25%,"2",IF(CAELS!BL12&gt;20%,"3",IF(CAELS!BL12&gt;15%,"4","5"))))</f>
        <v>5</v>
      </c>
      <c r="BL19" s="118" t="str">
        <f>IF(CAELS!BM12&gt;30%,"1",IF(CAELS!BM12&gt;25%,"2",IF(CAELS!BM12&gt;20%,"3",IF(CAELS!BM12&gt;15%,"4","5"))))</f>
        <v>5</v>
      </c>
      <c r="BM19" s="118" t="str">
        <f>IF(CAELS!BN12&gt;30%,"1",IF(CAELS!BN12&gt;25%,"2",IF(CAELS!BN12&gt;20%,"3",IF(CAELS!BN12&gt;15%,"4","5"))))</f>
        <v>5</v>
      </c>
      <c r="BN19" s="118" t="str">
        <f>IF(CAELS!BO12&gt;30%,"1",IF(CAELS!BO12&gt;25%,"2",IF(CAELS!BO12&gt;20%,"3",IF(CAELS!BO12&gt;15%,"4","5"))))</f>
        <v>5</v>
      </c>
      <c r="BO19" s="118" t="str">
        <f>IF(CAELS!BP12&gt;30%,"1",IF(CAELS!BP12&gt;25%,"2",IF(CAELS!BP12&gt;20%,"3",IF(CAELS!BP12&gt;15%,"4","5"))))</f>
        <v>5</v>
      </c>
      <c r="BP19" s="118" t="str">
        <f>IF(CAELS!BQ12&gt;30%,"1",IF(CAELS!BQ12&gt;25%,"2",IF(CAELS!BQ12&gt;20%,"3",IF(CAELS!BQ12&gt;15%,"4","5"))))</f>
        <v>5</v>
      </c>
      <c r="BQ19" s="118" t="str">
        <f>IF(CAELS!BR12&gt;30%,"1",IF(CAELS!BR12&gt;25%,"2",IF(CAELS!BR12&gt;20%,"3",IF(CAELS!BR12&gt;15%,"4","5"))))</f>
        <v>5</v>
      </c>
      <c r="BR19" s="118" t="str">
        <f>IF(CAELS!BS12&gt;30%,"1",IF(CAELS!BS12&gt;25%,"2",IF(CAELS!BS12&gt;20%,"3",IF(CAELS!BS12&gt;15%,"4","5"))))</f>
        <v>5</v>
      </c>
      <c r="BS19" s="118" t="str">
        <f>IF(CAELS!BT12&gt;30%,"1",IF(CAELS!BT12&gt;25%,"2",IF(CAELS!BT12&gt;20%,"3",IF(CAELS!BT12&gt;15%,"4","5"))))</f>
        <v>5</v>
      </c>
      <c r="BT19" s="118" t="str">
        <f>IF(CAELS!BU12&gt;30%,"1",IF(CAELS!BU12&gt;25%,"2",IF(CAELS!BU12&gt;20%,"3",IF(CAELS!BU12&gt;15%,"4","5"))))</f>
        <v>5</v>
      </c>
      <c r="BU19" s="118" t="str">
        <f>IF(CAELS!BV12&gt;30%,"1",IF(CAELS!BV12&gt;25%,"2",IF(CAELS!BV12&gt;20%,"3",IF(CAELS!BV12&gt;15%,"4","5"))))</f>
        <v>5</v>
      </c>
      <c r="BV19" s="118" t="str">
        <f>IF(CAELS!BW12&gt;30%,"1",IF(CAELS!BW12&gt;25%,"2",IF(CAELS!BW12&gt;20%,"3",IF(CAELS!BW12&gt;15%,"4","5"))))</f>
        <v>5</v>
      </c>
      <c r="BW19" s="118" t="str">
        <f>IF(CAELS!BX12&gt;30%,"1",IF(CAELS!BX12&gt;25%,"2",IF(CAELS!BX12&gt;20%,"3",IF(CAELS!BX12&gt;15%,"4","5"))))</f>
        <v>5</v>
      </c>
      <c r="BX19" s="118" t="str">
        <f>IF(CAELS!BY12&gt;30%,"1",IF(CAELS!BY12&gt;25%,"2",IF(CAELS!BY12&gt;20%,"3",IF(CAELS!BY12&gt;15%,"4","5"))))</f>
        <v>5</v>
      </c>
      <c r="BY19" s="118" t="str">
        <f>IF(CAELS!BZ12&gt;30%,"1",IF(CAELS!BZ12&gt;25%,"2",IF(CAELS!BZ12&gt;20%,"3",IF(CAELS!BZ12&gt;15%,"4","5"))))</f>
        <v>5</v>
      </c>
    </row>
    <row r="20" spans="1:77" x14ac:dyDescent="0.3">
      <c r="A20" s="48" t="s">
        <v>208</v>
      </c>
      <c r="B20" s="122"/>
      <c r="C20" s="118" t="str">
        <f>IF(CAELS!D13&gt;30%,"1",IF(CAELS!D13&gt;25%,"2",IF(CAELS!D13&gt;20%,"3",IF(CAELS!D13&gt;15%,"4","5"))))</f>
        <v>5</v>
      </c>
      <c r="D20" s="118" t="str">
        <f>IF(CAELS!E13&gt;30%,"1",IF(CAELS!E13&gt;25%,"2",IF(CAELS!E13&gt;20%,"3",IF(CAELS!E13&gt;15%,"4","5"))))</f>
        <v>1</v>
      </c>
      <c r="E20" s="118" t="str">
        <f>IF(CAELS!F13&gt;30%,"1",IF(CAELS!F13&gt;25%,"2",IF(CAELS!F13&gt;20%,"3",IF(CAELS!F13&gt;15%,"4","5"))))</f>
        <v>1</v>
      </c>
      <c r="F20" s="118" t="str">
        <f>IF(CAELS!G13&gt;30%,"1",IF(CAELS!G13&gt;25%,"2",IF(CAELS!G13&gt;20%,"3",IF(CAELS!G13&gt;15%,"4","5"))))</f>
        <v>1</v>
      </c>
      <c r="G20" s="118" t="str">
        <f>IF(CAELS!H13&gt;30%,"1",IF(CAELS!H13&gt;25%,"2",IF(CAELS!H13&gt;20%,"3",IF(CAELS!H13&gt;15%,"4","5"))))</f>
        <v>1</v>
      </c>
      <c r="H20" s="118" t="str">
        <f>IF(CAELS!I13&gt;30%,"1",IF(CAELS!I13&gt;25%,"2",IF(CAELS!I13&gt;20%,"3",IF(CAELS!I13&gt;15%,"4","5"))))</f>
        <v>1</v>
      </c>
      <c r="I20" s="118" t="str">
        <f>IF(CAELS!J13&gt;30%,"1",IF(CAELS!J13&gt;25%,"2",IF(CAELS!J13&gt;20%,"3",IF(CAELS!J13&gt;15%,"4","5"))))</f>
        <v>1</v>
      </c>
      <c r="J20" s="118" t="str">
        <f>IF(CAELS!K13&gt;30%,"1",IF(CAELS!K13&gt;25%,"2",IF(CAELS!K13&gt;20%,"3",IF(CAELS!K13&gt;15%,"4","5"))))</f>
        <v>1</v>
      </c>
      <c r="K20" s="118" t="str">
        <f>IF(CAELS!L13&gt;30%,"1",IF(CAELS!L13&gt;25%,"2",IF(CAELS!L13&gt;20%,"3",IF(CAELS!L13&gt;15%,"4","5"))))</f>
        <v>1</v>
      </c>
      <c r="L20" s="118" t="str">
        <f>IF(CAELS!M13&gt;30%,"1",IF(CAELS!M13&gt;25%,"2",IF(CAELS!M13&gt;20%,"3",IF(CAELS!M13&gt;15%,"4","5"))))</f>
        <v>1</v>
      </c>
      <c r="M20" s="118" t="str">
        <f>IF(CAELS!N13&gt;30%,"1",IF(CAELS!N13&gt;25%,"2",IF(CAELS!N13&gt;20%,"3",IF(CAELS!N13&gt;15%,"4","5"))))</f>
        <v>1</v>
      </c>
      <c r="N20" s="118" t="str">
        <f>IF(CAELS!O13&gt;30%,"1",IF(CAELS!O13&gt;25%,"2",IF(CAELS!O13&gt;20%,"3",IF(CAELS!O13&gt;15%,"4","5"))))</f>
        <v>1</v>
      </c>
      <c r="O20" s="118" t="str">
        <f>IF(CAELS!P13&gt;30%,"1",IF(CAELS!P13&gt;25%,"2",IF(CAELS!P13&gt;20%,"3",IF(CAELS!P13&gt;15%,"4","5"))))</f>
        <v>1</v>
      </c>
      <c r="P20" s="118" t="str">
        <f>IF(CAELS!Q13&gt;30%,"1",IF(CAELS!Q13&gt;25%,"2",IF(CAELS!Q13&gt;20%,"3",IF(CAELS!Q13&gt;15%,"4","5"))))</f>
        <v>1</v>
      </c>
      <c r="Q20" s="118" t="str">
        <f>IF(CAELS!R13&gt;30%,"1",IF(CAELS!R13&gt;25%,"2",IF(CAELS!R13&gt;20%,"3",IF(CAELS!R13&gt;15%,"4","5"))))</f>
        <v>1</v>
      </c>
      <c r="R20" s="118" t="str">
        <f>IF(CAELS!S13&gt;30%,"1",IF(CAELS!S13&gt;25%,"2",IF(CAELS!S13&gt;20%,"3",IF(CAELS!S13&gt;15%,"4","5"))))</f>
        <v>1</v>
      </c>
      <c r="S20" s="118" t="str">
        <f>IF(CAELS!T13&gt;30%,"1",IF(CAELS!T13&gt;25%,"2",IF(CAELS!T13&gt;20%,"3",IF(CAELS!T13&gt;15%,"4","5"))))</f>
        <v>1</v>
      </c>
      <c r="T20" s="118" t="str">
        <f>IF(CAELS!U13&gt;30%,"1",IF(CAELS!U13&gt;25%,"2",IF(CAELS!U13&gt;20%,"3",IF(CAELS!U13&gt;15%,"4","5"))))</f>
        <v>1</v>
      </c>
      <c r="U20" s="118" t="str">
        <f>IF(CAELS!V13&gt;30%,"1",IF(CAELS!V13&gt;25%,"2",IF(CAELS!V13&gt;20%,"3",IF(CAELS!V13&gt;15%,"4","5"))))</f>
        <v>1</v>
      </c>
      <c r="V20" s="118" t="str">
        <f>IF(CAELS!W13&gt;30%,"1",IF(CAELS!W13&gt;25%,"2",IF(CAELS!W13&gt;20%,"3",IF(CAELS!W13&gt;15%,"4","5"))))</f>
        <v>1</v>
      </c>
      <c r="W20" s="118" t="str">
        <f>IF(CAELS!X13&gt;30%,"1",IF(CAELS!X13&gt;25%,"2",IF(CAELS!X13&gt;20%,"3",IF(CAELS!X13&gt;15%,"4","5"))))</f>
        <v>1</v>
      </c>
      <c r="X20" s="118" t="str">
        <f>IF(CAELS!Y13&gt;30%,"1",IF(CAELS!Y13&gt;25%,"2",IF(CAELS!Y13&gt;20%,"3",IF(CAELS!Y13&gt;15%,"4","5"))))</f>
        <v>1</v>
      </c>
      <c r="Y20" s="118" t="str">
        <f>IF(CAELS!Z13&gt;30%,"1",IF(CAELS!Z13&gt;25%,"2",IF(CAELS!Z13&gt;20%,"3",IF(CAELS!Z13&gt;15%,"4","5"))))</f>
        <v>1</v>
      </c>
      <c r="Z20" s="118" t="str">
        <f>IF(CAELS!AA13&gt;30%,"1",IF(CAELS!AA13&gt;25%,"2",IF(CAELS!AA13&gt;20%,"3",IF(CAELS!AA13&gt;15%,"4","5"))))</f>
        <v>1</v>
      </c>
      <c r="AA20" s="118" t="str">
        <f>IF(CAELS!AB13&gt;30%,"1",IF(CAELS!AB13&gt;25%,"2",IF(CAELS!AB13&gt;20%,"3",IF(CAELS!AB13&gt;15%,"4","5"))))</f>
        <v>1</v>
      </c>
      <c r="AB20" s="118" t="str">
        <f>IF(CAELS!AC13&gt;30%,"1",IF(CAELS!AC13&gt;25%,"2",IF(CAELS!AC13&gt;20%,"3",IF(CAELS!AC13&gt;15%,"4","5"))))</f>
        <v>1</v>
      </c>
      <c r="AC20" s="118" t="str">
        <f>IF(CAELS!AD13&gt;30%,"1",IF(CAELS!AD13&gt;25%,"2",IF(CAELS!AD13&gt;20%,"3",IF(CAELS!AD13&gt;15%,"4","5"))))</f>
        <v>1</v>
      </c>
      <c r="AD20" s="118" t="str">
        <f>IF(CAELS!AE13&gt;30%,"1",IF(CAELS!AE13&gt;25%,"2",IF(CAELS!AE13&gt;20%,"3",IF(CAELS!AE13&gt;15%,"4","5"))))</f>
        <v>1</v>
      </c>
      <c r="AE20" s="118" t="str">
        <f>IF(CAELS!AF13&gt;30%,"1",IF(CAELS!AF13&gt;25%,"2",IF(CAELS!AF13&gt;20%,"3",IF(CAELS!AF13&gt;15%,"4","5"))))</f>
        <v>1</v>
      </c>
      <c r="AF20" s="118" t="str">
        <f>IF(CAELS!AG13&gt;30%,"1",IF(CAELS!AG13&gt;25%,"2",IF(CAELS!AG13&gt;20%,"3",IF(CAELS!AG13&gt;15%,"4","5"))))</f>
        <v>1</v>
      </c>
      <c r="AG20" s="118" t="str">
        <f>IF(CAELS!AH13&gt;30%,"1",IF(CAELS!AH13&gt;25%,"2",IF(CAELS!AH13&gt;20%,"3",IF(CAELS!AH13&gt;15%,"4","5"))))</f>
        <v>1</v>
      </c>
      <c r="AH20" s="118" t="str">
        <f>IF(CAELS!AI13&gt;30%,"1",IF(CAELS!AI13&gt;25%,"2",IF(CAELS!AI13&gt;20%,"3",IF(CAELS!AI13&gt;15%,"4","5"))))</f>
        <v>1</v>
      </c>
      <c r="AI20" s="118" t="str">
        <f>IF(CAELS!AJ13&gt;30%,"1",IF(CAELS!AJ13&gt;25%,"2",IF(CAELS!AJ13&gt;20%,"3",IF(CAELS!AJ13&gt;15%,"4","5"))))</f>
        <v>1</v>
      </c>
      <c r="AJ20" s="118" t="e">
        <f>IF(CAELS!AK13&gt;30%,"1",IF(CAELS!AK13&gt;25%,"2",IF(CAELS!AK13&gt;20%,"3",IF(CAELS!AK13&gt;15%,"4","5"))))</f>
        <v>#DIV/0!</v>
      </c>
      <c r="AK20" s="118" t="e">
        <f>IF(CAELS!AL13&gt;30%,"1",IF(CAELS!AL13&gt;25%,"2",IF(CAELS!AL13&gt;20%,"3",IF(CAELS!AL13&gt;15%,"4","5"))))</f>
        <v>#DIV/0!</v>
      </c>
      <c r="AL20" s="118" t="e">
        <f>IF(CAELS!AM13&gt;30%,"1",IF(CAELS!AM13&gt;25%,"2",IF(CAELS!AM13&gt;20%,"3",IF(CAELS!AM13&gt;15%,"4","5"))))</f>
        <v>#DIV/0!</v>
      </c>
      <c r="AM20" s="118" t="e">
        <f>IF(CAELS!AN13&gt;30%,"1",IF(CAELS!AN13&gt;25%,"2",IF(CAELS!AN13&gt;20%,"3",IF(CAELS!AN13&gt;15%,"4","5"))))</f>
        <v>#DIV/0!</v>
      </c>
      <c r="AN20" s="118" t="e">
        <f>IF(CAELS!AO13&gt;30%,"1",IF(CAELS!AO13&gt;25%,"2",IF(CAELS!AO13&gt;20%,"3",IF(CAELS!AO13&gt;15%,"4","5"))))</f>
        <v>#DIV/0!</v>
      </c>
      <c r="AO20" s="118" t="e">
        <f>IF(CAELS!AP13&gt;30%,"1",IF(CAELS!AP13&gt;25%,"2",IF(CAELS!AP13&gt;20%,"3",IF(CAELS!AP13&gt;15%,"4","5"))))</f>
        <v>#DIV/0!</v>
      </c>
      <c r="AP20" s="118" t="e">
        <f>IF(CAELS!AQ13&gt;30%,"1",IF(CAELS!AQ13&gt;25%,"2",IF(CAELS!AQ13&gt;20%,"3",IF(CAELS!AQ13&gt;15%,"4","5"))))</f>
        <v>#DIV/0!</v>
      </c>
      <c r="AQ20" s="118" t="e">
        <f>IF(CAELS!AR13&gt;30%,"1",IF(CAELS!AR13&gt;25%,"2",IF(CAELS!AR13&gt;20%,"3",IF(CAELS!AR13&gt;15%,"4","5"))))</f>
        <v>#DIV/0!</v>
      </c>
      <c r="AR20" s="118" t="e">
        <f>IF(CAELS!AS13&gt;30%,"1",IF(CAELS!AS13&gt;25%,"2",IF(CAELS!AS13&gt;20%,"3",IF(CAELS!AS13&gt;15%,"4","5"))))</f>
        <v>#DIV/0!</v>
      </c>
      <c r="AS20" s="118" t="e">
        <f>IF(CAELS!AT13&gt;30%,"1",IF(CAELS!AT13&gt;25%,"2",IF(CAELS!AT13&gt;20%,"3",IF(CAELS!AT13&gt;15%,"4","5"))))</f>
        <v>#DIV/0!</v>
      </c>
      <c r="AT20" s="118" t="e">
        <f>IF(CAELS!AU13&gt;30%,"1",IF(CAELS!AU13&gt;25%,"2",IF(CAELS!AU13&gt;20%,"3",IF(CAELS!AU13&gt;15%,"4","5"))))</f>
        <v>#DIV/0!</v>
      </c>
      <c r="AU20" s="118" t="e">
        <f>IF(CAELS!AV13&gt;30%,"1",IF(CAELS!AV13&gt;25%,"2",IF(CAELS!AV13&gt;20%,"3",IF(CAELS!AV13&gt;15%,"4","5"))))</f>
        <v>#DIV/0!</v>
      </c>
      <c r="AV20" s="118" t="e">
        <f>IF(CAELS!AW13&gt;30%,"1",IF(CAELS!AW13&gt;25%,"2",IF(CAELS!AW13&gt;20%,"3",IF(CAELS!AW13&gt;15%,"4","5"))))</f>
        <v>#DIV/0!</v>
      </c>
      <c r="AW20" s="118" t="e">
        <f>IF(CAELS!AX13&gt;30%,"1",IF(CAELS!AX13&gt;25%,"2",IF(CAELS!AX13&gt;20%,"3",IF(CAELS!AX13&gt;15%,"4","5"))))</f>
        <v>#DIV/0!</v>
      </c>
      <c r="AX20" s="118" t="e">
        <f>IF(CAELS!AY13&gt;30%,"1",IF(CAELS!AY13&gt;25%,"2",IF(CAELS!AY13&gt;20%,"3",IF(CAELS!AY13&gt;15%,"4","5"))))</f>
        <v>#DIV/0!</v>
      </c>
      <c r="AY20" s="118" t="str">
        <f>IF(CAELS!AZ13&gt;30%,"1",IF(CAELS!AZ13&gt;25%,"2",IF(CAELS!AZ13&gt;20%,"3",IF(CAELS!AZ13&gt;15%,"4","5"))))</f>
        <v>5</v>
      </c>
      <c r="AZ20" s="118" t="str">
        <f>IF(CAELS!BA13&gt;30%,"1",IF(CAELS!BA13&gt;25%,"2",IF(CAELS!BA13&gt;20%,"3",IF(CAELS!BA13&gt;15%,"4","5"))))</f>
        <v>5</v>
      </c>
      <c r="BA20" s="118" t="str">
        <f>IF(CAELS!BB13&gt;30%,"1",IF(CAELS!BB13&gt;25%,"2",IF(CAELS!BB13&gt;20%,"3",IF(CAELS!BB13&gt;15%,"4","5"))))</f>
        <v>5</v>
      </c>
      <c r="BB20" s="118" t="str">
        <f>IF(CAELS!BC13&gt;30%,"1",IF(CAELS!BC13&gt;25%,"2",IF(CAELS!BC13&gt;20%,"3",IF(CAELS!BC13&gt;15%,"4","5"))))</f>
        <v>5</v>
      </c>
      <c r="BC20" s="118" t="str">
        <f>IF(CAELS!BD13&gt;30%,"1",IF(CAELS!BD13&gt;25%,"2",IF(CAELS!BD13&gt;20%,"3",IF(CAELS!BD13&gt;15%,"4","5"))))</f>
        <v>5</v>
      </c>
      <c r="BD20" s="118" t="str">
        <f>IF(CAELS!BE13&gt;30%,"1",IF(CAELS!BE13&gt;25%,"2",IF(CAELS!BE13&gt;20%,"3",IF(CAELS!BE13&gt;15%,"4","5"))))</f>
        <v>5</v>
      </c>
      <c r="BE20" s="118" t="str">
        <f>IF(CAELS!BF13&gt;30%,"1",IF(CAELS!BF13&gt;25%,"2",IF(CAELS!BF13&gt;20%,"3",IF(CAELS!BF13&gt;15%,"4","5"))))</f>
        <v>5</v>
      </c>
      <c r="BF20" s="118" t="str">
        <f>IF(CAELS!BG13&gt;30%,"1",IF(CAELS!BG13&gt;25%,"2",IF(CAELS!BG13&gt;20%,"3",IF(CAELS!BG13&gt;15%,"4","5"))))</f>
        <v>5</v>
      </c>
      <c r="BG20" s="118" t="str">
        <f>IF(CAELS!BH13&gt;30%,"1",IF(CAELS!BH13&gt;25%,"2",IF(CAELS!BH13&gt;20%,"3",IF(CAELS!BH13&gt;15%,"4","5"))))</f>
        <v>5</v>
      </c>
      <c r="BH20" s="118" t="str">
        <f>IF(CAELS!BI13&gt;30%,"1",IF(CAELS!BI13&gt;25%,"2",IF(CAELS!BI13&gt;20%,"3",IF(CAELS!BI13&gt;15%,"4","5"))))</f>
        <v>5</v>
      </c>
      <c r="BI20" s="118" t="str">
        <f>IF(CAELS!BJ13&gt;30%,"1",IF(CAELS!BJ13&gt;25%,"2",IF(CAELS!BJ13&gt;20%,"3",IF(CAELS!BJ13&gt;15%,"4","5"))))</f>
        <v>5</v>
      </c>
      <c r="BJ20" s="118" t="str">
        <f>IF(CAELS!BK13&gt;30%,"1",IF(CAELS!BK13&gt;25%,"2",IF(CAELS!BK13&gt;20%,"3",IF(CAELS!BK13&gt;15%,"4","5"))))</f>
        <v>5</v>
      </c>
      <c r="BK20" s="118" t="str">
        <f>IF(CAELS!BL13&gt;30%,"1",IF(CAELS!BL13&gt;25%,"2",IF(CAELS!BL13&gt;20%,"3",IF(CAELS!BL13&gt;15%,"4","5"))))</f>
        <v>5</v>
      </c>
      <c r="BL20" s="118" t="str">
        <f>IF(CAELS!BM13&gt;30%,"1",IF(CAELS!BM13&gt;25%,"2",IF(CAELS!BM13&gt;20%,"3",IF(CAELS!BM13&gt;15%,"4","5"))))</f>
        <v>5</v>
      </c>
      <c r="BM20" s="118" t="str">
        <f>IF(CAELS!BN13&gt;30%,"1",IF(CAELS!BN13&gt;25%,"2",IF(CAELS!BN13&gt;20%,"3",IF(CAELS!BN13&gt;15%,"4","5"))))</f>
        <v>5</v>
      </c>
      <c r="BN20" s="118" t="str">
        <f>IF(CAELS!BO13&gt;30%,"1",IF(CAELS!BO13&gt;25%,"2",IF(CAELS!BO13&gt;20%,"3",IF(CAELS!BO13&gt;15%,"4","5"))))</f>
        <v>5</v>
      </c>
      <c r="BO20" s="118" t="str">
        <f>IF(CAELS!BP13&gt;30%,"1",IF(CAELS!BP13&gt;25%,"2",IF(CAELS!BP13&gt;20%,"3",IF(CAELS!BP13&gt;15%,"4","5"))))</f>
        <v>5</v>
      </c>
      <c r="BP20" s="118" t="str">
        <f>IF(CAELS!BQ13&gt;30%,"1",IF(CAELS!BQ13&gt;25%,"2",IF(CAELS!BQ13&gt;20%,"3",IF(CAELS!BQ13&gt;15%,"4","5"))))</f>
        <v>5</v>
      </c>
      <c r="BQ20" s="118" t="str">
        <f>IF(CAELS!BR13&gt;30%,"1",IF(CAELS!BR13&gt;25%,"2",IF(CAELS!BR13&gt;20%,"3",IF(CAELS!BR13&gt;15%,"4","5"))))</f>
        <v>5</v>
      </c>
      <c r="BR20" s="118" t="str">
        <f>IF(CAELS!BS13&gt;30%,"1",IF(CAELS!BS13&gt;25%,"2",IF(CAELS!BS13&gt;20%,"3",IF(CAELS!BS13&gt;15%,"4","5"))))</f>
        <v>5</v>
      </c>
      <c r="BS20" s="118" t="str">
        <f>IF(CAELS!BT13&gt;30%,"1",IF(CAELS!BT13&gt;25%,"2",IF(CAELS!BT13&gt;20%,"3",IF(CAELS!BT13&gt;15%,"4","5"))))</f>
        <v>5</v>
      </c>
      <c r="BT20" s="118" t="str">
        <f>IF(CAELS!BU13&gt;30%,"1",IF(CAELS!BU13&gt;25%,"2",IF(CAELS!BU13&gt;20%,"3",IF(CAELS!BU13&gt;15%,"4","5"))))</f>
        <v>5</v>
      </c>
      <c r="BU20" s="118" t="str">
        <f>IF(CAELS!BV13&gt;30%,"1",IF(CAELS!BV13&gt;25%,"2",IF(CAELS!BV13&gt;20%,"3",IF(CAELS!BV13&gt;15%,"4","5"))))</f>
        <v>5</v>
      </c>
      <c r="BV20" s="118" t="str">
        <f>IF(CAELS!BW13&gt;30%,"1",IF(CAELS!BW13&gt;25%,"2",IF(CAELS!BW13&gt;20%,"3",IF(CAELS!BW13&gt;15%,"4","5"))))</f>
        <v>5</v>
      </c>
      <c r="BW20" s="118" t="str">
        <f>IF(CAELS!BX13&gt;30%,"1",IF(CAELS!BX13&gt;25%,"2",IF(CAELS!BX13&gt;20%,"3",IF(CAELS!BX13&gt;15%,"4","5"))))</f>
        <v>5</v>
      </c>
      <c r="BX20" s="118" t="str">
        <f>IF(CAELS!BY13&gt;30%,"1",IF(CAELS!BY13&gt;25%,"2",IF(CAELS!BY13&gt;20%,"3",IF(CAELS!BY13&gt;15%,"4","5"))))</f>
        <v>5</v>
      </c>
      <c r="BY20" s="118" t="str">
        <f>IF(CAELS!BZ13&gt;30%,"1",IF(CAELS!BZ13&gt;25%,"2",IF(CAELS!BZ13&gt;20%,"3",IF(CAELS!BZ13&gt;15%,"4","5"))))</f>
        <v>5</v>
      </c>
    </row>
    <row r="21" spans="1:77" x14ac:dyDescent="0.3">
      <c r="A21" s="48" t="s">
        <v>209</v>
      </c>
      <c r="B21" s="116" t="s">
        <v>210</v>
      </c>
      <c r="C21" s="118" t="str">
        <f>IF(CAELS!D14&lt;15%,"1",IF(CAELS!D14&lt;18%,"2",IF(CAELS!D14&lt;22%,"3",IF(CAELS!D14&lt;25%,"4","5"))))</f>
        <v>1</v>
      </c>
      <c r="D21" s="118" t="str">
        <f>IF(CAELS!E14&lt;15%,"1",IF(CAELS!E14&lt;18%,"2",IF(CAELS!E14&lt;22%,"3",IF(CAELS!E14&lt;25%,"4","5"))))</f>
        <v>1</v>
      </c>
      <c r="E21" s="118" t="str">
        <f>IF(CAELS!F14&lt;15%,"1",IF(CAELS!F14&lt;18%,"2",IF(CAELS!F14&lt;22%,"3",IF(CAELS!F14&lt;25%,"4","5"))))</f>
        <v>1</v>
      </c>
      <c r="F21" s="118" t="str">
        <f>IF(CAELS!G14&lt;15%,"1",IF(CAELS!G14&lt;18%,"2",IF(CAELS!G14&lt;22%,"3",IF(CAELS!G14&lt;25%,"4","5"))))</f>
        <v>1</v>
      </c>
      <c r="G21" s="118" t="str">
        <f>IF(CAELS!H14&lt;15%,"1",IF(CAELS!H14&lt;18%,"2",IF(CAELS!H14&lt;22%,"3",IF(CAELS!H14&lt;25%,"4","5"))))</f>
        <v>1</v>
      </c>
      <c r="H21" s="118" t="str">
        <f>IF(CAELS!I14&lt;15%,"1",IF(CAELS!I14&lt;18%,"2",IF(CAELS!I14&lt;22%,"3",IF(CAELS!I14&lt;25%,"4","5"))))</f>
        <v>1</v>
      </c>
      <c r="I21" s="118" t="str">
        <f>IF(CAELS!J14&lt;15%,"1",IF(CAELS!J14&lt;18%,"2",IF(CAELS!J14&lt;22%,"3",IF(CAELS!J14&lt;25%,"4","5"))))</f>
        <v>1</v>
      </c>
      <c r="J21" s="118" t="str">
        <f>IF(CAELS!K14&lt;15%,"1",IF(CAELS!K14&lt;18%,"2",IF(CAELS!K14&lt;22%,"3",IF(CAELS!K14&lt;25%,"4","5"))))</f>
        <v>1</v>
      </c>
      <c r="K21" s="118" t="str">
        <f>IF(CAELS!L14&lt;15%,"1",IF(CAELS!L14&lt;18%,"2",IF(CAELS!L14&lt;22%,"3",IF(CAELS!L14&lt;25%,"4","5"))))</f>
        <v>1</v>
      </c>
      <c r="L21" s="118" t="str">
        <f>IF(CAELS!M14&lt;15%,"1",IF(CAELS!M14&lt;18%,"2",IF(CAELS!M14&lt;22%,"3",IF(CAELS!M14&lt;25%,"4","5"))))</f>
        <v>1</v>
      </c>
      <c r="M21" s="118" t="str">
        <f>IF(CAELS!N14&lt;15%,"1",IF(CAELS!N14&lt;18%,"2",IF(CAELS!N14&lt;22%,"3",IF(CAELS!N14&lt;25%,"4","5"))))</f>
        <v>1</v>
      </c>
      <c r="N21" s="118" t="str">
        <f>IF(CAELS!O14&lt;15%,"1",IF(CAELS!O14&lt;18%,"2",IF(CAELS!O14&lt;22%,"3",IF(CAELS!O14&lt;25%,"4","5"))))</f>
        <v>1</v>
      </c>
      <c r="O21" s="118" t="str">
        <f>IF(CAELS!P14&lt;15%,"1",IF(CAELS!P14&lt;18%,"2",IF(CAELS!P14&lt;22%,"3",IF(CAELS!P14&lt;25%,"4","5"))))</f>
        <v>1</v>
      </c>
      <c r="P21" s="118" t="str">
        <f>IF(CAELS!Q14&lt;15%,"1",IF(CAELS!Q14&lt;18%,"2",IF(CAELS!Q14&lt;22%,"3",IF(CAELS!Q14&lt;25%,"4","5"))))</f>
        <v>1</v>
      </c>
      <c r="Q21" s="118" t="str">
        <f>IF(CAELS!R14&lt;15%,"1",IF(CAELS!R14&lt;18%,"2",IF(CAELS!R14&lt;22%,"3",IF(CAELS!R14&lt;25%,"4","5"))))</f>
        <v>1</v>
      </c>
      <c r="R21" s="118" t="str">
        <f>IF(CAELS!S14&lt;15%,"1",IF(CAELS!S14&lt;18%,"2",IF(CAELS!S14&lt;22%,"3",IF(CAELS!S14&lt;25%,"4","5"))))</f>
        <v>1</v>
      </c>
      <c r="S21" s="118" t="str">
        <f>IF(CAELS!T14&lt;15%,"1",IF(CAELS!T14&lt;18%,"2",IF(CAELS!T14&lt;22%,"3",IF(CAELS!T14&lt;25%,"4","5"))))</f>
        <v>1</v>
      </c>
      <c r="T21" s="118" t="str">
        <f>IF(CAELS!U14&lt;15%,"1",IF(CAELS!U14&lt;18%,"2",IF(CAELS!U14&lt;22%,"3",IF(CAELS!U14&lt;25%,"4","5"))))</f>
        <v>1</v>
      </c>
      <c r="U21" s="118" t="str">
        <f>IF(CAELS!V14&lt;15%,"1",IF(CAELS!V14&lt;18%,"2",IF(CAELS!V14&lt;22%,"3",IF(CAELS!V14&lt;25%,"4","5"))))</f>
        <v>1</v>
      </c>
      <c r="V21" s="118" t="str">
        <f>IF(CAELS!W14&lt;15%,"1",IF(CAELS!W14&lt;18%,"2",IF(CAELS!W14&lt;22%,"3",IF(CAELS!W14&lt;25%,"4","5"))))</f>
        <v>1</v>
      </c>
      <c r="W21" s="118" t="str">
        <f>IF(CAELS!X14&lt;15%,"1",IF(CAELS!X14&lt;18%,"2",IF(CAELS!X14&lt;22%,"3",IF(CAELS!X14&lt;25%,"4","5"))))</f>
        <v>1</v>
      </c>
      <c r="X21" s="118" t="str">
        <f>IF(CAELS!Y14&lt;15%,"1",IF(CAELS!Y14&lt;18%,"2",IF(CAELS!Y14&lt;22%,"3",IF(CAELS!Y14&lt;25%,"4","5"))))</f>
        <v>1</v>
      </c>
      <c r="Y21" s="118" t="str">
        <f>IF(CAELS!Z14&lt;15%,"1",IF(CAELS!Z14&lt;18%,"2",IF(CAELS!Z14&lt;22%,"3",IF(CAELS!Z14&lt;25%,"4","5"))))</f>
        <v>1</v>
      </c>
      <c r="Z21" s="118" t="str">
        <f>IF(CAELS!AA14&lt;15%,"1",IF(CAELS!AA14&lt;18%,"2",IF(CAELS!AA14&lt;22%,"3",IF(CAELS!AA14&lt;25%,"4","5"))))</f>
        <v>1</v>
      </c>
      <c r="AA21" s="118" t="str">
        <f>IF(CAELS!AB14&lt;15%,"1",IF(CAELS!AB14&lt;18%,"2",IF(CAELS!AB14&lt;22%,"3",IF(CAELS!AB14&lt;25%,"4","5"))))</f>
        <v>1</v>
      </c>
      <c r="AB21" s="118" t="str">
        <f>IF(CAELS!AC14&lt;15%,"1",IF(CAELS!AC14&lt;18%,"2",IF(CAELS!AC14&lt;22%,"3",IF(CAELS!AC14&lt;25%,"4","5"))))</f>
        <v>1</v>
      </c>
      <c r="AC21" s="118" t="str">
        <f>IF(CAELS!AD14&lt;15%,"1",IF(CAELS!AD14&lt;18%,"2",IF(CAELS!AD14&lt;22%,"3",IF(CAELS!AD14&lt;25%,"4","5"))))</f>
        <v>1</v>
      </c>
      <c r="AD21" s="118" t="str">
        <f>IF(CAELS!AE14&lt;15%,"1",IF(CAELS!AE14&lt;18%,"2",IF(CAELS!AE14&lt;22%,"3",IF(CAELS!AE14&lt;25%,"4","5"))))</f>
        <v>1</v>
      </c>
      <c r="AE21" s="118" t="str">
        <f>IF(CAELS!AF14&lt;15%,"1",IF(CAELS!AF14&lt;18%,"2",IF(CAELS!AF14&lt;22%,"3",IF(CAELS!AF14&lt;25%,"4","5"))))</f>
        <v>1</v>
      </c>
      <c r="AF21" s="118" t="str">
        <f>IF(CAELS!AG14&lt;15%,"1",IF(CAELS!AG14&lt;18%,"2",IF(CAELS!AG14&lt;22%,"3",IF(CAELS!AG14&lt;25%,"4","5"))))</f>
        <v>1</v>
      </c>
      <c r="AG21" s="118" t="str">
        <f>IF(CAELS!AH14&lt;15%,"1",IF(CAELS!AH14&lt;18%,"2",IF(CAELS!AH14&lt;22%,"3",IF(CAELS!AH14&lt;25%,"4","5"))))</f>
        <v>1</v>
      </c>
      <c r="AH21" s="118" t="str">
        <f>IF(CAELS!AI14&lt;15%,"1",IF(CAELS!AI14&lt;18%,"2",IF(CAELS!AI14&lt;22%,"3",IF(CAELS!AI14&lt;25%,"4","5"))))</f>
        <v>1</v>
      </c>
      <c r="AI21" s="118" t="str">
        <f>IF(CAELS!AJ14&lt;15%,"1",IF(CAELS!AJ14&lt;18%,"2",IF(CAELS!AJ14&lt;22%,"3",IF(CAELS!AJ14&lt;25%,"4","5"))))</f>
        <v>1</v>
      </c>
      <c r="AJ21" s="118" t="e">
        <f>IF(CAELS!AK14&lt;15%,"1",IF(CAELS!AK14&lt;18%,"2",IF(CAELS!AK14&lt;22%,"3",IF(CAELS!AK14&lt;25%,"4","5"))))</f>
        <v>#DIV/0!</v>
      </c>
      <c r="AK21" s="118" t="e">
        <f>IF(CAELS!AL14&lt;15%,"1",IF(CAELS!AL14&lt;18%,"2",IF(CAELS!AL14&lt;22%,"3",IF(CAELS!AL14&lt;25%,"4","5"))))</f>
        <v>#DIV/0!</v>
      </c>
      <c r="AL21" s="118" t="e">
        <f>IF(CAELS!AM14&lt;15%,"1",IF(CAELS!AM14&lt;18%,"2",IF(CAELS!AM14&lt;22%,"3",IF(CAELS!AM14&lt;25%,"4","5"))))</f>
        <v>#DIV/0!</v>
      </c>
      <c r="AM21" s="118" t="e">
        <f>IF(CAELS!AN14&lt;15%,"1",IF(CAELS!AN14&lt;18%,"2",IF(CAELS!AN14&lt;22%,"3",IF(CAELS!AN14&lt;25%,"4","5"))))</f>
        <v>#DIV/0!</v>
      </c>
      <c r="AN21" s="118" t="e">
        <f>IF(CAELS!AO14&lt;15%,"1",IF(CAELS!AO14&lt;18%,"2",IF(CAELS!AO14&lt;22%,"3",IF(CAELS!AO14&lt;25%,"4","5"))))</f>
        <v>#DIV/0!</v>
      </c>
      <c r="AO21" s="118" t="e">
        <f>IF(CAELS!AP14&lt;15%,"1",IF(CAELS!AP14&lt;18%,"2",IF(CAELS!AP14&lt;22%,"3",IF(CAELS!AP14&lt;25%,"4","5"))))</f>
        <v>#DIV/0!</v>
      </c>
      <c r="AP21" s="118" t="e">
        <f>IF(CAELS!AQ14&lt;15%,"1",IF(CAELS!AQ14&lt;18%,"2",IF(CAELS!AQ14&lt;22%,"3",IF(CAELS!AQ14&lt;25%,"4","5"))))</f>
        <v>#DIV/0!</v>
      </c>
      <c r="AQ21" s="118" t="e">
        <f>IF(CAELS!AR14&lt;15%,"1",IF(CAELS!AR14&lt;18%,"2",IF(CAELS!AR14&lt;22%,"3",IF(CAELS!AR14&lt;25%,"4","5"))))</f>
        <v>#DIV/0!</v>
      </c>
      <c r="AR21" s="118" t="e">
        <f>IF(CAELS!AS14&lt;15%,"1",IF(CAELS!AS14&lt;18%,"2",IF(CAELS!AS14&lt;22%,"3",IF(CAELS!AS14&lt;25%,"4","5"))))</f>
        <v>#DIV/0!</v>
      </c>
      <c r="AS21" s="118" t="e">
        <f>IF(CAELS!AT14&lt;15%,"1",IF(CAELS!AT14&lt;18%,"2",IF(CAELS!AT14&lt;22%,"3",IF(CAELS!AT14&lt;25%,"4","5"))))</f>
        <v>#DIV/0!</v>
      </c>
      <c r="AT21" s="118" t="e">
        <f>IF(CAELS!AU14&lt;15%,"1",IF(CAELS!AU14&lt;18%,"2",IF(CAELS!AU14&lt;22%,"3",IF(CAELS!AU14&lt;25%,"4","5"))))</f>
        <v>#DIV/0!</v>
      </c>
      <c r="AU21" s="118" t="e">
        <f>IF(CAELS!AV14&lt;15%,"1",IF(CAELS!AV14&lt;18%,"2",IF(CAELS!AV14&lt;22%,"3",IF(CAELS!AV14&lt;25%,"4","5"))))</f>
        <v>#DIV/0!</v>
      </c>
      <c r="AV21" s="118" t="e">
        <f>IF(CAELS!AW14&lt;15%,"1",IF(CAELS!AW14&lt;18%,"2",IF(CAELS!AW14&lt;22%,"3",IF(CAELS!AW14&lt;25%,"4","5"))))</f>
        <v>#DIV/0!</v>
      </c>
      <c r="AW21" s="118" t="e">
        <f>IF(CAELS!AX14&lt;15%,"1",IF(CAELS!AX14&lt;18%,"2",IF(CAELS!AX14&lt;22%,"3",IF(CAELS!AX14&lt;25%,"4","5"))))</f>
        <v>#DIV/0!</v>
      </c>
      <c r="AX21" s="118" t="e">
        <f>IF(CAELS!AY14&lt;15%,"1",IF(CAELS!AY14&lt;18%,"2",IF(CAELS!AY14&lt;22%,"3",IF(CAELS!AY14&lt;25%,"4","5"))))</f>
        <v>#DIV/0!</v>
      </c>
      <c r="AY21" s="118" t="str">
        <f>IF(CAELS!AZ14&lt;15%,"1",IF(CAELS!AZ14&lt;18%,"2",IF(CAELS!AZ14&lt;22%,"3",IF(CAELS!AZ14&lt;25%,"4","5"))))</f>
        <v>1</v>
      </c>
      <c r="AZ21" s="118" t="str">
        <f>IF(CAELS!BA14&lt;15%,"1",IF(CAELS!BA14&lt;18%,"2",IF(CAELS!BA14&lt;22%,"3",IF(CAELS!BA14&lt;25%,"4","5"))))</f>
        <v>1</v>
      </c>
      <c r="BA21" s="118" t="str">
        <f>IF(CAELS!BB14&lt;15%,"1",IF(CAELS!BB14&lt;18%,"2",IF(CAELS!BB14&lt;22%,"3",IF(CAELS!BB14&lt;25%,"4","5"))))</f>
        <v>1</v>
      </c>
      <c r="BB21" s="118" t="str">
        <f>IF(CAELS!BC14&lt;15%,"1",IF(CAELS!BC14&lt;18%,"2",IF(CAELS!BC14&lt;22%,"3",IF(CAELS!BC14&lt;25%,"4","5"))))</f>
        <v>1</v>
      </c>
      <c r="BC21" s="118" t="str">
        <f>IF(CAELS!BD14&lt;15%,"1",IF(CAELS!BD14&lt;18%,"2",IF(CAELS!BD14&lt;22%,"3",IF(CAELS!BD14&lt;25%,"4","5"))))</f>
        <v>1</v>
      </c>
      <c r="BD21" s="118" t="str">
        <f>IF(CAELS!BE14&lt;15%,"1",IF(CAELS!BE14&lt;18%,"2",IF(CAELS!BE14&lt;22%,"3",IF(CAELS!BE14&lt;25%,"4","5"))))</f>
        <v>1</v>
      </c>
      <c r="BE21" s="118" t="str">
        <f>IF(CAELS!BF14&lt;15%,"1",IF(CAELS!BF14&lt;18%,"2",IF(CAELS!BF14&lt;22%,"3",IF(CAELS!BF14&lt;25%,"4","5"))))</f>
        <v>1</v>
      </c>
      <c r="BF21" s="118" t="str">
        <f>IF(CAELS!BG14&lt;15%,"1",IF(CAELS!BG14&lt;18%,"2",IF(CAELS!BG14&lt;22%,"3",IF(CAELS!BG14&lt;25%,"4","5"))))</f>
        <v>1</v>
      </c>
      <c r="BG21" s="118" t="str">
        <f>IF(CAELS!BH14&lt;15%,"1",IF(CAELS!BH14&lt;18%,"2",IF(CAELS!BH14&lt;22%,"3",IF(CAELS!BH14&lt;25%,"4","5"))))</f>
        <v>1</v>
      </c>
      <c r="BH21" s="118" t="str">
        <f>IF(CAELS!BI14&lt;15%,"1",IF(CAELS!BI14&lt;18%,"2",IF(CAELS!BI14&lt;22%,"3",IF(CAELS!BI14&lt;25%,"4","5"))))</f>
        <v>1</v>
      </c>
      <c r="BI21" s="118" t="str">
        <f>IF(CAELS!BJ14&lt;15%,"1",IF(CAELS!BJ14&lt;18%,"2",IF(CAELS!BJ14&lt;22%,"3",IF(CAELS!BJ14&lt;25%,"4","5"))))</f>
        <v>1</v>
      </c>
      <c r="BJ21" s="118" t="str">
        <f>IF(CAELS!BK14&lt;15%,"1",IF(CAELS!BK14&lt;18%,"2",IF(CAELS!BK14&lt;22%,"3",IF(CAELS!BK14&lt;25%,"4","5"))))</f>
        <v>1</v>
      </c>
      <c r="BK21" s="118" t="str">
        <f>IF(CAELS!BL14&lt;15%,"1",IF(CAELS!BL14&lt;18%,"2",IF(CAELS!BL14&lt;22%,"3",IF(CAELS!BL14&lt;25%,"4","5"))))</f>
        <v>1</v>
      </c>
      <c r="BL21" s="118" t="str">
        <f>IF(CAELS!BM14&lt;15%,"1",IF(CAELS!BM14&lt;18%,"2",IF(CAELS!BM14&lt;22%,"3",IF(CAELS!BM14&lt;25%,"4","5"))))</f>
        <v>1</v>
      </c>
      <c r="BM21" s="118" t="str">
        <f>IF(CAELS!BN14&lt;15%,"1",IF(CAELS!BN14&lt;18%,"2",IF(CAELS!BN14&lt;22%,"3",IF(CAELS!BN14&lt;25%,"4","5"))))</f>
        <v>1</v>
      </c>
      <c r="BN21" s="118" t="str">
        <f>IF(CAELS!BO14&lt;15%,"1",IF(CAELS!BO14&lt;18%,"2",IF(CAELS!BO14&lt;22%,"3",IF(CAELS!BO14&lt;25%,"4","5"))))</f>
        <v>1</v>
      </c>
      <c r="BO21" s="118" t="str">
        <f>IF(CAELS!BP14&lt;15%,"1",IF(CAELS!BP14&lt;18%,"2",IF(CAELS!BP14&lt;22%,"3",IF(CAELS!BP14&lt;25%,"4","5"))))</f>
        <v>1</v>
      </c>
      <c r="BP21" s="118" t="str">
        <f>IF(CAELS!BQ14&lt;15%,"1",IF(CAELS!BQ14&lt;18%,"2",IF(CAELS!BQ14&lt;22%,"3",IF(CAELS!BQ14&lt;25%,"4","5"))))</f>
        <v>1</v>
      </c>
      <c r="BQ21" s="118" t="str">
        <f>IF(CAELS!BR14&lt;15%,"1",IF(CAELS!BR14&lt;18%,"2",IF(CAELS!BR14&lt;22%,"3",IF(CAELS!BR14&lt;25%,"4","5"))))</f>
        <v>1</v>
      </c>
      <c r="BR21" s="118" t="str">
        <f>IF(CAELS!BS14&lt;15%,"1",IF(CAELS!BS14&lt;18%,"2",IF(CAELS!BS14&lt;22%,"3",IF(CAELS!BS14&lt;25%,"4","5"))))</f>
        <v>1</v>
      </c>
      <c r="BS21" s="118" t="str">
        <f>IF(CAELS!BT14&lt;15%,"1",IF(CAELS!BT14&lt;18%,"2",IF(CAELS!BT14&lt;22%,"3",IF(CAELS!BT14&lt;25%,"4","5"))))</f>
        <v>1</v>
      </c>
      <c r="BT21" s="118" t="str">
        <f>IF(CAELS!BU14&lt;15%,"1",IF(CAELS!BU14&lt;18%,"2",IF(CAELS!BU14&lt;22%,"3",IF(CAELS!BU14&lt;25%,"4","5"))))</f>
        <v>1</v>
      </c>
      <c r="BU21" s="118" t="str">
        <f>IF(CAELS!BV14&lt;15%,"1",IF(CAELS!BV14&lt;18%,"2",IF(CAELS!BV14&lt;22%,"3",IF(CAELS!BV14&lt;25%,"4","5"))))</f>
        <v>1</v>
      </c>
      <c r="BV21" s="118" t="str">
        <f>IF(CAELS!BW14&lt;15%,"1",IF(CAELS!BW14&lt;18%,"2",IF(CAELS!BW14&lt;22%,"3",IF(CAELS!BW14&lt;25%,"4","5"))))</f>
        <v>1</v>
      </c>
      <c r="BW21" s="118" t="str">
        <f>IF(CAELS!BX14&lt;15%,"1",IF(CAELS!BX14&lt;18%,"2",IF(CAELS!BX14&lt;22%,"3",IF(CAELS!BX14&lt;25%,"4","5"))))</f>
        <v>1</v>
      </c>
      <c r="BX21" s="118" t="str">
        <f>IF(CAELS!BY14&lt;15%,"1",IF(CAELS!BY14&lt;18%,"2",IF(CAELS!BY14&lt;22%,"3",IF(CAELS!BY14&lt;25%,"4","5"))))</f>
        <v>1</v>
      </c>
      <c r="BY21" s="118" t="str">
        <f>IF(CAELS!BZ14&lt;15%,"1",IF(CAELS!BZ14&lt;18%,"2",IF(CAELS!BZ14&lt;22%,"3",IF(CAELS!BZ14&lt;25%,"4","5"))))</f>
        <v>1</v>
      </c>
    </row>
    <row r="22" spans="1:77" x14ac:dyDescent="0.3">
      <c r="A22" s="48" t="s">
        <v>211</v>
      </c>
      <c r="B22" s="2"/>
      <c r="C22" s="118" t="str">
        <f>IF(CAELS!D15&gt;15%,"1",IF(CAELS!D15&gt;12%,"2",IF(CAELS!D15&gt;9%,"3",IF(CAELS!D15&gt;6%,"4","5"))))</f>
        <v>2</v>
      </c>
      <c r="D22" s="118" t="str">
        <f>IF(CAELS!E15&gt;15%,"1",IF(CAELS!E15&gt;12%,"2",IF(CAELS!E15&gt;9%,"3",IF(CAELS!E15&gt;6%,"4","5"))))</f>
        <v>1</v>
      </c>
      <c r="E22" s="118" t="str">
        <f>IF(CAELS!F15&gt;15%,"1",IF(CAELS!F15&gt;12%,"2",IF(CAELS!F15&gt;9%,"3",IF(CAELS!F15&gt;6%,"4","5"))))</f>
        <v>1</v>
      </c>
      <c r="F22" s="118" t="str">
        <f>IF(CAELS!G15&gt;15%,"1",IF(CAELS!G15&gt;12%,"2",IF(CAELS!G15&gt;9%,"3",IF(CAELS!G15&gt;6%,"4","5"))))</f>
        <v>1</v>
      </c>
      <c r="G22" s="118" t="str">
        <f>IF(CAELS!H15&gt;15%,"1",IF(CAELS!H15&gt;12%,"2",IF(CAELS!H15&gt;9%,"3",IF(CAELS!H15&gt;6%,"4","5"))))</f>
        <v>1</v>
      </c>
      <c r="H22" s="118" t="str">
        <f>IF(CAELS!I15&gt;15%,"1",IF(CAELS!I15&gt;12%,"2",IF(CAELS!I15&gt;9%,"3",IF(CAELS!I15&gt;6%,"4","5"))))</f>
        <v>1</v>
      </c>
      <c r="I22" s="118" t="str">
        <f>IF(CAELS!J15&gt;15%,"1",IF(CAELS!J15&gt;12%,"2",IF(CAELS!J15&gt;9%,"3",IF(CAELS!J15&gt;6%,"4","5"))))</f>
        <v>1</v>
      </c>
      <c r="J22" s="118" t="str">
        <f>IF(CAELS!K15&gt;15%,"1",IF(CAELS!K15&gt;12%,"2",IF(CAELS!K15&gt;9%,"3",IF(CAELS!K15&gt;6%,"4","5"))))</f>
        <v>1</v>
      </c>
      <c r="K22" s="118" t="str">
        <f>IF(CAELS!L15&gt;15%,"1",IF(CAELS!L15&gt;12%,"2",IF(CAELS!L15&gt;9%,"3",IF(CAELS!L15&gt;6%,"4","5"))))</f>
        <v>1</v>
      </c>
      <c r="L22" s="118" t="str">
        <f>IF(CAELS!M15&gt;15%,"1",IF(CAELS!M15&gt;12%,"2",IF(CAELS!M15&gt;9%,"3",IF(CAELS!M15&gt;6%,"4","5"))))</f>
        <v>1</v>
      </c>
      <c r="M22" s="118" t="str">
        <f>IF(CAELS!N15&gt;15%,"1",IF(CAELS!N15&gt;12%,"2",IF(CAELS!N15&gt;9%,"3",IF(CAELS!N15&gt;6%,"4","5"))))</f>
        <v>1</v>
      </c>
      <c r="N22" s="118" t="str">
        <f>IF(CAELS!O15&gt;15%,"1",IF(CAELS!O15&gt;12%,"2",IF(CAELS!O15&gt;9%,"3",IF(CAELS!O15&gt;6%,"4","5"))))</f>
        <v>1</v>
      </c>
      <c r="O22" s="118" t="str">
        <f>IF(CAELS!P15&gt;15%,"1",IF(CAELS!P15&gt;12%,"2",IF(CAELS!P15&gt;9%,"3",IF(CAELS!P15&gt;6%,"4","5"))))</f>
        <v>1</v>
      </c>
      <c r="P22" s="118" t="str">
        <f>IF(CAELS!Q15&gt;15%,"1",IF(CAELS!Q15&gt;12%,"2",IF(CAELS!Q15&gt;9%,"3",IF(CAELS!Q15&gt;6%,"4","5"))))</f>
        <v>1</v>
      </c>
      <c r="Q22" s="118" t="str">
        <f>IF(CAELS!R15&gt;15%,"1",IF(CAELS!R15&gt;12%,"2",IF(CAELS!R15&gt;9%,"3",IF(CAELS!R15&gt;6%,"4","5"))))</f>
        <v>1</v>
      </c>
      <c r="R22" s="118" t="str">
        <f>IF(CAELS!S15&gt;15%,"1",IF(CAELS!S15&gt;12%,"2",IF(CAELS!S15&gt;9%,"3",IF(CAELS!S15&gt;6%,"4","5"))))</f>
        <v>1</v>
      </c>
      <c r="S22" s="118" t="str">
        <f>IF(CAELS!T15&gt;15%,"1",IF(CAELS!T15&gt;12%,"2",IF(CAELS!T15&gt;9%,"3",IF(CAELS!T15&gt;6%,"4","5"))))</f>
        <v>1</v>
      </c>
      <c r="T22" s="118" t="str">
        <f>IF(CAELS!U15&gt;15%,"1",IF(CAELS!U15&gt;12%,"2",IF(CAELS!U15&gt;9%,"3",IF(CAELS!U15&gt;6%,"4","5"))))</f>
        <v>1</v>
      </c>
      <c r="U22" s="118" t="str">
        <f>IF(CAELS!V15&gt;15%,"1",IF(CAELS!V15&gt;12%,"2",IF(CAELS!V15&gt;9%,"3",IF(CAELS!V15&gt;6%,"4","5"))))</f>
        <v>1</v>
      </c>
      <c r="V22" s="118" t="str">
        <f>IF(CAELS!W15&gt;15%,"1",IF(CAELS!W15&gt;12%,"2",IF(CAELS!W15&gt;9%,"3",IF(CAELS!W15&gt;6%,"4","5"))))</f>
        <v>1</v>
      </c>
      <c r="W22" s="118" t="str">
        <f>IF(CAELS!X15&gt;15%,"1",IF(CAELS!X15&gt;12%,"2",IF(CAELS!X15&gt;9%,"3",IF(CAELS!X15&gt;6%,"4","5"))))</f>
        <v>1</v>
      </c>
      <c r="X22" s="118" t="str">
        <f>IF(CAELS!Y15&gt;15%,"1",IF(CAELS!Y15&gt;12%,"2",IF(CAELS!Y15&gt;9%,"3",IF(CAELS!Y15&gt;6%,"4","5"))))</f>
        <v>1</v>
      </c>
      <c r="Y22" s="118" t="str">
        <f>IF(CAELS!Z15&gt;15%,"1",IF(CAELS!Z15&gt;12%,"2",IF(CAELS!Z15&gt;9%,"3",IF(CAELS!Z15&gt;6%,"4","5"))))</f>
        <v>1</v>
      </c>
      <c r="Z22" s="118" t="str">
        <f>IF(CAELS!AA15&gt;15%,"1",IF(CAELS!AA15&gt;12%,"2",IF(CAELS!AA15&gt;9%,"3",IF(CAELS!AA15&gt;6%,"4","5"))))</f>
        <v>1</v>
      </c>
      <c r="AA22" s="118" t="str">
        <f>IF(CAELS!AB15&gt;15%,"1",IF(CAELS!AB15&gt;12%,"2",IF(CAELS!AB15&gt;9%,"3",IF(CAELS!AB15&gt;6%,"4","5"))))</f>
        <v>1</v>
      </c>
      <c r="AB22" s="118" t="str">
        <f>IF(CAELS!AC15&gt;15%,"1",IF(CAELS!AC15&gt;12%,"2",IF(CAELS!AC15&gt;9%,"3",IF(CAELS!AC15&gt;6%,"4","5"))))</f>
        <v>1</v>
      </c>
      <c r="AC22" s="118" t="str">
        <f>IF(CAELS!AD15&gt;15%,"1",IF(CAELS!AD15&gt;12%,"2",IF(CAELS!AD15&gt;9%,"3",IF(CAELS!AD15&gt;6%,"4","5"))))</f>
        <v>1</v>
      </c>
      <c r="AD22" s="118" t="str">
        <f>IF(CAELS!AE15&gt;15%,"1",IF(CAELS!AE15&gt;12%,"2",IF(CAELS!AE15&gt;9%,"3",IF(CAELS!AE15&gt;6%,"4","5"))))</f>
        <v>1</v>
      </c>
      <c r="AE22" s="118" t="str">
        <f>IF(CAELS!AF15&gt;15%,"1",IF(CAELS!AF15&gt;12%,"2",IF(CAELS!AF15&gt;9%,"3",IF(CAELS!AF15&gt;6%,"4","5"))))</f>
        <v>1</v>
      </c>
      <c r="AF22" s="118" t="str">
        <f>IF(CAELS!AG15&gt;15%,"1",IF(CAELS!AG15&gt;12%,"2",IF(CAELS!AG15&gt;9%,"3",IF(CAELS!AG15&gt;6%,"4","5"))))</f>
        <v>1</v>
      </c>
      <c r="AG22" s="118" t="str">
        <f>IF(CAELS!AH15&gt;15%,"1",IF(CAELS!AH15&gt;12%,"2",IF(CAELS!AH15&gt;9%,"3",IF(CAELS!AH15&gt;6%,"4","5"))))</f>
        <v>1</v>
      </c>
      <c r="AH22" s="118" t="str">
        <f>IF(CAELS!AI15&gt;15%,"1",IF(CAELS!AI15&gt;12%,"2",IF(CAELS!AI15&gt;9%,"3",IF(CAELS!AI15&gt;6%,"4","5"))))</f>
        <v>1</v>
      </c>
      <c r="AI22" s="118" t="str">
        <f>IF(CAELS!AJ15&gt;15%,"1",IF(CAELS!AJ15&gt;12%,"2",IF(CAELS!AJ15&gt;9%,"3",IF(CAELS!AJ15&gt;6%,"4","5"))))</f>
        <v>1</v>
      </c>
      <c r="AJ22" s="118" t="e">
        <f>IF(CAELS!AK15&gt;15%,"1",IF(CAELS!AK15&gt;12%,"2",IF(CAELS!AK15&gt;9%,"3",IF(CAELS!AK15&gt;6%,"4","5"))))</f>
        <v>#DIV/0!</v>
      </c>
      <c r="AK22" s="118" t="e">
        <f>IF(CAELS!AL15&gt;15%,"1",IF(CAELS!AL15&gt;12%,"2",IF(CAELS!AL15&gt;9%,"3",IF(CAELS!AL15&gt;6%,"4","5"))))</f>
        <v>#DIV/0!</v>
      </c>
      <c r="AL22" s="118" t="e">
        <f>IF(CAELS!AM15&gt;15%,"1",IF(CAELS!AM15&gt;12%,"2",IF(CAELS!AM15&gt;9%,"3",IF(CAELS!AM15&gt;6%,"4","5"))))</f>
        <v>#DIV/0!</v>
      </c>
      <c r="AM22" s="118" t="e">
        <f>IF(CAELS!AN15&gt;15%,"1",IF(CAELS!AN15&gt;12%,"2",IF(CAELS!AN15&gt;9%,"3",IF(CAELS!AN15&gt;6%,"4","5"))))</f>
        <v>#DIV/0!</v>
      </c>
      <c r="AN22" s="118" t="e">
        <f>IF(CAELS!AO15&gt;15%,"1",IF(CAELS!AO15&gt;12%,"2",IF(CAELS!AO15&gt;9%,"3",IF(CAELS!AO15&gt;6%,"4","5"))))</f>
        <v>#DIV/0!</v>
      </c>
      <c r="AO22" s="118" t="e">
        <f>IF(CAELS!AP15&gt;15%,"1",IF(CAELS!AP15&gt;12%,"2",IF(CAELS!AP15&gt;9%,"3",IF(CAELS!AP15&gt;6%,"4","5"))))</f>
        <v>#DIV/0!</v>
      </c>
      <c r="AP22" s="118" t="e">
        <f>IF(CAELS!AQ15&gt;15%,"1",IF(CAELS!AQ15&gt;12%,"2",IF(CAELS!AQ15&gt;9%,"3",IF(CAELS!AQ15&gt;6%,"4","5"))))</f>
        <v>#DIV/0!</v>
      </c>
      <c r="AQ22" s="118" t="e">
        <f>IF(CAELS!AR15&gt;15%,"1",IF(CAELS!AR15&gt;12%,"2",IF(CAELS!AR15&gt;9%,"3",IF(CAELS!AR15&gt;6%,"4","5"))))</f>
        <v>#DIV/0!</v>
      </c>
      <c r="AR22" s="118" t="e">
        <f>IF(CAELS!AS15&gt;15%,"1",IF(CAELS!AS15&gt;12%,"2",IF(CAELS!AS15&gt;9%,"3",IF(CAELS!AS15&gt;6%,"4","5"))))</f>
        <v>#DIV/0!</v>
      </c>
      <c r="AS22" s="118" t="e">
        <f>IF(CAELS!AT15&gt;15%,"1",IF(CAELS!AT15&gt;12%,"2",IF(CAELS!AT15&gt;9%,"3",IF(CAELS!AT15&gt;6%,"4","5"))))</f>
        <v>#DIV/0!</v>
      </c>
      <c r="AT22" s="118" t="e">
        <f>IF(CAELS!AU15&gt;15%,"1",IF(CAELS!AU15&gt;12%,"2",IF(CAELS!AU15&gt;9%,"3",IF(CAELS!AU15&gt;6%,"4","5"))))</f>
        <v>#DIV/0!</v>
      </c>
      <c r="AU22" s="118" t="e">
        <f>IF(CAELS!AV15&gt;15%,"1",IF(CAELS!AV15&gt;12%,"2",IF(CAELS!AV15&gt;9%,"3",IF(CAELS!AV15&gt;6%,"4","5"))))</f>
        <v>#DIV/0!</v>
      </c>
      <c r="AV22" s="118" t="e">
        <f>IF(CAELS!AW15&gt;15%,"1",IF(CAELS!AW15&gt;12%,"2",IF(CAELS!AW15&gt;9%,"3",IF(CAELS!AW15&gt;6%,"4","5"))))</f>
        <v>#DIV/0!</v>
      </c>
      <c r="AW22" s="118" t="e">
        <f>IF(CAELS!AX15&gt;15%,"1",IF(CAELS!AX15&gt;12%,"2",IF(CAELS!AX15&gt;9%,"3",IF(CAELS!AX15&gt;6%,"4","5"))))</f>
        <v>#DIV/0!</v>
      </c>
      <c r="AX22" s="118" t="e">
        <f>IF(CAELS!AY15&gt;15%,"1",IF(CAELS!AY15&gt;12%,"2",IF(CAELS!AY15&gt;9%,"3",IF(CAELS!AY15&gt;6%,"4","5"))))</f>
        <v>#DIV/0!</v>
      </c>
      <c r="AY22" s="118" t="str">
        <f>IF(CAELS!AZ15&gt;15%,"1",IF(CAELS!AZ15&gt;12%,"2",IF(CAELS!AZ15&gt;9%,"3",IF(CAELS!AZ15&gt;6%,"4","5"))))</f>
        <v>5</v>
      </c>
      <c r="AZ22" s="118" t="str">
        <f>IF(CAELS!BA15&gt;15%,"1",IF(CAELS!BA15&gt;12%,"2",IF(CAELS!BA15&gt;9%,"3",IF(CAELS!BA15&gt;6%,"4","5"))))</f>
        <v>5</v>
      </c>
      <c r="BA22" s="118" t="str">
        <f>IF(CAELS!BB15&gt;15%,"1",IF(CAELS!BB15&gt;12%,"2",IF(CAELS!BB15&gt;9%,"3",IF(CAELS!BB15&gt;6%,"4","5"))))</f>
        <v>5</v>
      </c>
      <c r="BB22" s="118" t="str">
        <f>IF(CAELS!BC15&gt;15%,"1",IF(CAELS!BC15&gt;12%,"2",IF(CAELS!BC15&gt;9%,"3",IF(CAELS!BC15&gt;6%,"4","5"))))</f>
        <v>5</v>
      </c>
      <c r="BC22" s="118" t="str">
        <f>IF(CAELS!BD15&gt;15%,"1",IF(CAELS!BD15&gt;12%,"2",IF(CAELS!BD15&gt;9%,"3",IF(CAELS!BD15&gt;6%,"4","5"))))</f>
        <v>5</v>
      </c>
      <c r="BD22" s="118" t="str">
        <f>IF(CAELS!BE15&gt;15%,"1",IF(CAELS!BE15&gt;12%,"2",IF(CAELS!BE15&gt;9%,"3",IF(CAELS!BE15&gt;6%,"4","5"))))</f>
        <v>5</v>
      </c>
      <c r="BE22" s="118" t="str">
        <f>IF(CAELS!BF15&gt;15%,"1",IF(CAELS!BF15&gt;12%,"2",IF(CAELS!BF15&gt;9%,"3",IF(CAELS!BF15&gt;6%,"4","5"))))</f>
        <v>5</v>
      </c>
      <c r="BF22" s="118" t="str">
        <f>IF(CAELS!BG15&gt;15%,"1",IF(CAELS!BG15&gt;12%,"2",IF(CAELS!BG15&gt;9%,"3",IF(CAELS!BG15&gt;6%,"4","5"))))</f>
        <v>5</v>
      </c>
      <c r="BG22" s="118" t="str">
        <f>IF(CAELS!BH15&gt;15%,"1",IF(CAELS!BH15&gt;12%,"2",IF(CAELS!BH15&gt;9%,"3",IF(CAELS!BH15&gt;6%,"4","5"))))</f>
        <v>5</v>
      </c>
      <c r="BH22" s="118" t="str">
        <f>IF(CAELS!BI15&gt;15%,"1",IF(CAELS!BI15&gt;12%,"2",IF(CAELS!BI15&gt;9%,"3",IF(CAELS!BI15&gt;6%,"4","5"))))</f>
        <v>5</v>
      </c>
      <c r="BI22" s="118" t="str">
        <f>IF(CAELS!BJ15&gt;15%,"1",IF(CAELS!BJ15&gt;12%,"2",IF(CAELS!BJ15&gt;9%,"3",IF(CAELS!BJ15&gt;6%,"4","5"))))</f>
        <v>5</v>
      </c>
      <c r="BJ22" s="118" t="str">
        <f>IF(CAELS!BK15&gt;15%,"1",IF(CAELS!BK15&gt;12%,"2",IF(CAELS!BK15&gt;9%,"3",IF(CAELS!BK15&gt;6%,"4","5"))))</f>
        <v>5</v>
      </c>
      <c r="BK22" s="118" t="str">
        <f>IF(CAELS!BL15&gt;15%,"1",IF(CAELS!BL15&gt;12%,"2",IF(CAELS!BL15&gt;9%,"3",IF(CAELS!BL15&gt;6%,"4","5"))))</f>
        <v>5</v>
      </c>
      <c r="BL22" s="118" t="str">
        <f>IF(CAELS!BM15&gt;15%,"1",IF(CAELS!BM15&gt;12%,"2",IF(CAELS!BM15&gt;9%,"3",IF(CAELS!BM15&gt;6%,"4","5"))))</f>
        <v>5</v>
      </c>
      <c r="BM22" s="118" t="str">
        <f>IF(CAELS!BN15&gt;15%,"1",IF(CAELS!BN15&gt;12%,"2",IF(CAELS!BN15&gt;9%,"3",IF(CAELS!BN15&gt;6%,"4","5"))))</f>
        <v>5</v>
      </c>
      <c r="BN22" s="118" t="str">
        <f>IF(CAELS!BO15&gt;15%,"1",IF(CAELS!BO15&gt;12%,"2",IF(CAELS!BO15&gt;9%,"3",IF(CAELS!BO15&gt;6%,"4","5"))))</f>
        <v>5</v>
      </c>
      <c r="BO22" s="118" t="str">
        <f>IF(CAELS!BP15&gt;15%,"1",IF(CAELS!BP15&gt;12%,"2",IF(CAELS!BP15&gt;9%,"3",IF(CAELS!BP15&gt;6%,"4","5"))))</f>
        <v>5</v>
      </c>
      <c r="BP22" s="118" t="str">
        <f>IF(CAELS!BQ15&gt;15%,"1",IF(CAELS!BQ15&gt;12%,"2",IF(CAELS!BQ15&gt;9%,"3",IF(CAELS!BQ15&gt;6%,"4","5"))))</f>
        <v>5</v>
      </c>
      <c r="BQ22" s="118" t="str">
        <f>IF(CAELS!BR15&gt;15%,"1",IF(CAELS!BR15&gt;12%,"2",IF(CAELS!BR15&gt;9%,"3",IF(CAELS!BR15&gt;6%,"4","5"))))</f>
        <v>5</v>
      </c>
      <c r="BR22" s="118" t="str">
        <f>IF(CAELS!BS15&gt;15%,"1",IF(CAELS!BS15&gt;12%,"2",IF(CAELS!BS15&gt;9%,"3",IF(CAELS!BS15&gt;6%,"4","5"))))</f>
        <v>5</v>
      </c>
      <c r="BS22" s="118" t="str">
        <f>IF(CAELS!BT15&gt;15%,"1",IF(CAELS!BT15&gt;12%,"2",IF(CAELS!BT15&gt;9%,"3",IF(CAELS!BT15&gt;6%,"4","5"))))</f>
        <v>5</v>
      </c>
      <c r="BT22" s="118" t="str">
        <f>IF(CAELS!BU15&gt;15%,"1",IF(CAELS!BU15&gt;12%,"2",IF(CAELS!BU15&gt;9%,"3",IF(CAELS!BU15&gt;6%,"4","5"))))</f>
        <v>5</v>
      </c>
      <c r="BU22" s="118" t="str">
        <f>IF(CAELS!BV15&gt;15%,"1",IF(CAELS!BV15&gt;12%,"2",IF(CAELS!BV15&gt;9%,"3",IF(CAELS!BV15&gt;6%,"4","5"))))</f>
        <v>5</v>
      </c>
      <c r="BV22" s="118" t="str">
        <f>IF(CAELS!BW15&gt;15%,"1",IF(CAELS!BW15&gt;12%,"2",IF(CAELS!BW15&gt;9%,"3",IF(CAELS!BW15&gt;6%,"4","5"))))</f>
        <v>5</v>
      </c>
      <c r="BW22" s="118" t="str">
        <f>IF(CAELS!BX15&gt;15%,"1",IF(CAELS!BX15&gt;12%,"2",IF(CAELS!BX15&gt;9%,"3",IF(CAELS!BX15&gt;6%,"4","5"))))</f>
        <v>5</v>
      </c>
      <c r="BX22" s="118" t="str">
        <f>IF(CAELS!BY15&gt;15%,"1",IF(CAELS!BY15&gt;12%,"2",IF(CAELS!BY15&gt;9%,"3",IF(CAELS!BY15&gt;6%,"4","5"))))</f>
        <v>5</v>
      </c>
      <c r="BY22" s="118" t="str">
        <f>IF(CAELS!BZ15&gt;15%,"1",IF(CAELS!BZ15&gt;12%,"2",IF(CAELS!BZ15&gt;9%,"3",IF(CAELS!BZ15&gt;6%,"4","5"))))</f>
        <v>5</v>
      </c>
    </row>
    <row r="23" spans="1:77" x14ac:dyDescent="0.3">
      <c r="A23" s="48"/>
      <c r="B23" s="2"/>
      <c r="C23" s="131">
        <f t="shared" ref="C23:K23" si="9">(C19+C20+C21+C22)/4</f>
        <v>2.25</v>
      </c>
      <c r="D23" s="131">
        <f t="shared" si="9"/>
        <v>1</v>
      </c>
      <c r="E23" s="131">
        <f t="shared" si="9"/>
        <v>1</v>
      </c>
      <c r="F23" s="131">
        <f t="shared" si="9"/>
        <v>1</v>
      </c>
      <c r="G23" s="131">
        <f t="shared" si="9"/>
        <v>1</v>
      </c>
      <c r="H23" s="131">
        <f t="shared" si="9"/>
        <v>1</v>
      </c>
      <c r="I23" s="131">
        <f t="shared" si="9"/>
        <v>1</v>
      </c>
      <c r="J23" s="131">
        <f t="shared" si="9"/>
        <v>1</v>
      </c>
      <c r="K23" s="131">
        <f t="shared" si="9"/>
        <v>1</v>
      </c>
      <c r="L23" s="131">
        <f t="shared" ref="L23:S23" si="10">(L19+L20+L21+L22)/4</f>
        <v>1</v>
      </c>
      <c r="M23" s="131">
        <f t="shared" si="10"/>
        <v>1</v>
      </c>
      <c r="N23" s="131">
        <f t="shared" si="10"/>
        <v>1</v>
      </c>
      <c r="O23" s="131">
        <f t="shared" si="10"/>
        <v>1</v>
      </c>
      <c r="P23" s="131">
        <f t="shared" si="10"/>
        <v>1</v>
      </c>
      <c r="Q23" s="131">
        <f t="shared" si="10"/>
        <v>1</v>
      </c>
      <c r="R23" s="131">
        <f t="shared" si="10"/>
        <v>1</v>
      </c>
      <c r="S23" s="131">
        <f t="shared" si="10"/>
        <v>1</v>
      </c>
      <c r="T23" s="131">
        <f>(T19+T20+T21+T22)/4</f>
        <v>1</v>
      </c>
      <c r="U23" s="131">
        <f>(U19+U20+U21+U22)/4</f>
        <v>1</v>
      </c>
      <c r="V23" s="131">
        <f t="shared" ref="V23:BY23" si="11">(V19+V20+V21+V22)/4</f>
        <v>1</v>
      </c>
      <c r="W23" s="131">
        <f t="shared" si="11"/>
        <v>1</v>
      </c>
      <c r="X23" s="131">
        <f t="shared" si="11"/>
        <v>1</v>
      </c>
      <c r="Y23" s="131">
        <f t="shared" si="11"/>
        <v>1</v>
      </c>
      <c r="Z23" s="131">
        <f t="shared" si="11"/>
        <v>1</v>
      </c>
      <c r="AA23" s="131">
        <f t="shared" si="11"/>
        <v>1</v>
      </c>
      <c r="AB23" s="131">
        <f t="shared" si="11"/>
        <v>1</v>
      </c>
      <c r="AC23" s="131">
        <f t="shared" si="11"/>
        <v>1</v>
      </c>
      <c r="AD23" s="131">
        <f t="shared" si="11"/>
        <v>1</v>
      </c>
      <c r="AE23" s="131">
        <f t="shared" si="11"/>
        <v>1</v>
      </c>
      <c r="AF23" s="131">
        <f t="shared" si="11"/>
        <v>1</v>
      </c>
      <c r="AG23" s="131">
        <f t="shared" si="11"/>
        <v>1</v>
      </c>
      <c r="AH23" s="131">
        <f t="shared" si="11"/>
        <v>1</v>
      </c>
      <c r="AI23" s="131">
        <f t="shared" si="11"/>
        <v>1</v>
      </c>
      <c r="AJ23" s="131" t="e">
        <f t="shared" si="11"/>
        <v>#DIV/0!</v>
      </c>
      <c r="AK23" s="131" t="e">
        <f t="shared" si="11"/>
        <v>#DIV/0!</v>
      </c>
      <c r="AL23" s="131" t="e">
        <f t="shared" si="11"/>
        <v>#DIV/0!</v>
      </c>
      <c r="AM23" s="131" t="e">
        <f t="shared" si="11"/>
        <v>#DIV/0!</v>
      </c>
      <c r="AN23" s="131" t="e">
        <f t="shared" si="11"/>
        <v>#DIV/0!</v>
      </c>
      <c r="AO23" s="131" t="e">
        <f t="shared" si="11"/>
        <v>#DIV/0!</v>
      </c>
      <c r="AP23" s="131" t="e">
        <f t="shared" si="11"/>
        <v>#DIV/0!</v>
      </c>
      <c r="AQ23" s="131" t="e">
        <f t="shared" si="11"/>
        <v>#DIV/0!</v>
      </c>
      <c r="AR23" s="131" t="e">
        <f t="shared" si="11"/>
        <v>#DIV/0!</v>
      </c>
      <c r="AS23" s="131" t="e">
        <f t="shared" si="11"/>
        <v>#DIV/0!</v>
      </c>
      <c r="AT23" s="131" t="e">
        <f t="shared" si="11"/>
        <v>#DIV/0!</v>
      </c>
      <c r="AU23" s="131" t="e">
        <f t="shared" si="11"/>
        <v>#DIV/0!</v>
      </c>
      <c r="AV23" s="131" t="e">
        <f t="shared" si="11"/>
        <v>#DIV/0!</v>
      </c>
      <c r="AW23" s="131" t="e">
        <f t="shared" si="11"/>
        <v>#DIV/0!</v>
      </c>
      <c r="AX23" s="131" t="e">
        <f t="shared" si="11"/>
        <v>#DIV/0!</v>
      </c>
      <c r="AY23" s="131">
        <f t="shared" si="11"/>
        <v>4</v>
      </c>
      <c r="AZ23" s="131">
        <f t="shared" si="11"/>
        <v>4</v>
      </c>
      <c r="BA23" s="131">
        <f t="shared" si="11"/>
        <v>4</v>
      </c>
      <c r="BB23" s="131">
        <f t="shared" si="11"/>
        <v>4</v>
      </c>
      <c r="BC23" s="131">
        <f t="shared" si="11"/>
        <v>4</v>
      </c>
      <c r="BD23" s="131">
        <f t="shared" si="11"/>
        <v>4</v>
      </c>
      <c r="BE23" s="131">
        <f t="shared" si="11"/>
        <v>4</v>
      </c>
      <c r="BF23" s="131">
        <f t="shared" si="11"/>
        <v>4</v>
      </c>
      <c r="BG23" s="131">
        <f t="shared" si="11"/>
        <v>4</v>
      </c>
      <c r="BH23" s="131">
        <f t="shared" si="11"/>
        <v>4</v>
      </c>
      <c r="BI23" s="131">
        <f t="shared" si="11"/>
        <v>4</v>
      </c>
      <c r="BJ23" s="131">
        <f t="shared" si="11"/>
        <v>4</v>
      </c>
      <c r="BK23" s="131">
        <f t="shared" si="11"/>
        <v>4</v>
      </c>
      <c r="BL23" s="131">
        <f t="shared" si="11"/>
        <v>4</v>
      </c>
      <c r="BM23" s="131">
        <f t="shared" si="11"/>
        <v>4</v>
      </c>
      <c r="BN23" s="131">
        <f t="shared" si="11"/>
        <v>4</v>
      </c>
      <c r="BO23" s="131">
        <f t="shared" si="11"/>
        <v>4</v>
      </c>
      <c r="BP23" s="131">
        <f t="shared" si="11"/>
        <v>4</v>
      </c>
      <c r="BQ23" s="131">
        <f t="shared" si="11"/>
        <v>4</v>
      </c>
      <c r="BR23" s="131">
        <f t="shared" si="11"/>
        <v>4</v>
      </c>
      <c r="BS23" s="131">
        <f t="shared" si="11"/>
        <v>4</v>
      </c>
      <c r="BT23" s="131">
        <f t="shared" si="11"/>
        <v>4</v>
      </c>
      <c r="BU23" s="131">
        <f t="shared" si="11"/>
        <v>4</v>
      </c>
      <c r="BV23" s="131">
        <f t="shared" si="11"/>
        <v>4</v>
      </c>
      <c r="BW23" s="131">
        <f t="shared" si="11"/>
        <v>4</v>
      </c>
      <c r="BX23" s="131">
        <f t="shared" si="11"/>
        <v>4</v>
      </c>
      <c r="BY23" s="131">
        <f t="shared" si="11"/>
        <v>4</v>
      </c>
    </row>
    <row r="24" spans="1:77" x14ac:dyDescent="0.3">
      <c r="A24" s="113" t="s">
        <v>121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4"/>
      <c r="BP24" s="114"/>
      <c r="BQ24" s="114"/>
      <c r="BR24" s="114"/>
      <c r="BS24" s="114"/>
      <c r="BT24" s="114"/>
      <c r="BU24" s="114"/>
      <c r="BV24" s="114"/>
      <c r="BW24" s="114"/>
      <c r="BX24" s="114"/>
      <c r="BY24" s="114"/>
    </row>
    <row r="25" spans="1:77" x14ac:dyDescent="0.3">
      <c r="A25" s="48" t="s">
        <v>212</v>
      </c>
      <c r="B25" s="116" t="s">
        <v>213</v>
      </c>
      <c r="C25" s="118" t="str">
        <f>IF(CAELS!D16&lt;6%,"1",IF(CAELS!D16&lt;7%,"2",IF(CAELS!D16&lt;8%,"3",IF(CAELS!D16&lt;10%,"4","5"))))</f>
        <v>5</v>
      </c>
      <c r="D25" s="118" t="str">
        <f>IF(CAELS!E16&lt;6%,"1",IF(CAELS!E16&lt;7%,"2",IF(CAELS!E16&lt;8%,"3",IF(CAELS!E16&lt;10%,"4","5"))))</f>
        <v>4</v>
      </c>
      <c r="E25" s="118" t="str">
        <f>IF(CAELS!F16&lt;6%,"1",IF(CAELS!F16&lt;7%,"2",IF(CAELS!F16&lt;8%,"3",IF(CAELS!F16&lt;10%,"4","5"))))</f>
        <v>4</v>
      </c>
      <c r="F25" s="118" t="str">
        <f>IF(CAELS!G16&lt;6%,"1",IF(CAELS!G16&lt;7%,"2",IF(CAELS!G16&lt;8%,"3",IF(CAELS!G16&lt;10%,"4","5"))))</f>
        <v>4</v>
      </c>
      <c r="G25" s="118" t="str">
        <f>IF(CAELS!H16&lt;6%,"1",IF(CAELS!H16&lt;7%,"2",IF(CAELS!H16&lt;8%,"3",IF(CAELS!H16&lt;10%,"4","5"))))</f>
        <v>4</v>
      </c>
      <c r="H25" s="118" t="str">
        <f>IF(CAELS!I16&lt;6%,"1",IF(CAELS!I16&lt;7%,"2",IF(CAELS!I16&lt;8%,"3",IF(CAELS!I16&lt;10%,"4","5"))))</f>
        <v>4</v>
      </c>
      <c r="I25" s="118" t="str">
        <f>IF(CAELS!J16&lt;6%,"1",IF(CAELS!J16&lt;7%,"2",IF(CAELS!J16&lt;8%,"3",IF(CAELS!J16&lt;10%,"4","5"))))</f>
        <v>4</v>
      </c>
      <c r="J25" s="118" t="str">
        <f>IF(CAELS!K16&lt;6%,"1",IF(CAELS!K16&lt;7%,"2",IF(CAELS!K16&lt;8%,"3",IF(CAELS!K16&lt;10%,"4","5"))))</f>
        <v>4</v>
      </c>
      <c r="K25" s="118" t="str">
        <f>IF(CAELS!L16&lt;6%,"1",IF(CAELS!L16&lt;7%,"2",IF(CAELS!L16&lt;8%,"3",IF(CAELS!L16&lt;10%,"4","5"))))</f>
        <v>4</v>
      </c>
      <c r="L25" s="118" t="str">
        <f>IF(CAELS!M16&lt;6%,"1",IF(CAELS!M16&lt;7%,"2",IF(CAELS!M16&lt;8%,"3",IF(CAELS!M16&lt;10%,"4","5"))))</f>
        <v>4</v>
      </c>
      <c r="M25" s="118" t="str">
        <f>IF(CAELS!N16&lt;6%,"1",IF(CAELS!N16&lt;7%,"2",IF(CAELS!N16&lt;8%,"3",IF(CAELS!N16&lt;10%,"4","5"))))</f>
        <v>4</v>
      </c>
      <c r="N25" s="118" t="str">
        <f>IF(CAELS!O16&lt;6%,"1",IF(CAELS!O16&lt;7%,"2",IF(CAELS!O16&lt;8%,"3",IF(CAELS!O16&lt;10%,"4","5"))))</f>
        <v>4</v>
      </c>
      <c r="O25" s="118" t="str">
        <f>IF(CAELS!P16&lt;6%,"1",IF(CAELS!P16&lt;7%,"2",IF(CAELS!P16&lt;8%,"3",IF(CAELS!P16&lt;10%,"4","5"))))</f>
        <v>3</v>
      </c>
      <c r="P25" s="118" t="str">
        <f>IF(CAELS!Q16&lt;6%,"1",IF(CAELS!Q16&lt;7%,"2",IF(CAELS!Q16&lt;8%,"3",IF(CAELS!Q16&lt;10%,"4","5"))))</f>
        <v>3</v>
      </c>
      <c r="Q25" s="118" t="str">
        <f>IF(CAELS!R16&lt;6%,"1",IF(CAELS!R16&lt;7%,"2",IF(CAELS!R16&lt;8%,"3",IF(CAELS!R16&lt;10%,"4","5"))))</f>
        <v>3</v>
      </c>
      <c r="R25" s="118" t="str">
        <f>IF(CAELS!S16&lt;6%,"1",IF(CAELS!S16&lt;7%,"2",IF(CAELS!S16&lt;8%,"3",IF(CAELS!S16&lt;10%,"4","5"))))</f>
        <v>3</v>
      </c>
      <c r="S25" s="118" t="str">
        <f>IF(CAELS!T16&lt;6%,"1",IF(CAELS!T16&lt;7%,"2",IF(CAELS!T16&lt;8%,"3",IF(CAELS!T16&lt;10%,"4","5"))))</f>
        <v>3</v>
      </c>
      <c r="T25" s="118" t="str">
        <f>IF(CAELS!U16&lt;6%,"1",IF(CAELS!U16&lt;7%,"2",IF(CAELS!U16&lt;8%,"3",IF(CAELS!U16&lt;10%,"4","5"))))</f>
        <v>3</v>
      </c>
      <c r="U25" s="118" t="str">
        <f>IF(CAELS!V16&lt;6%,"1",IF(CAELS!V16&lt;7%,"2",IF(CAELS!V16&lt;8%,"3",IF(CAELS!V16&lt;10%,"4","5"))))</f>
        <v>3</v>
      </c>
      <c r="V25" s="118" t="str">
        <f>IF(CAELS!W16&lt;6%,"1",IF(CAELS!W16&lt;7%,"2",IF(CAELS!W16&lt;8%,"3",IF(CAELS!W16&lt;10%,"4","5"))))</f>
        <v>3</v>
      </c>
      <c r="W25" s="118" t="str">
        <f>IF(CAELS!X16&lt;6%,"1",IF(CAELS!X16&lt;7%,"2",IF(CAELS!X16&lt;8%,"3",IF(CAELS!X16&lt;10%,"4","5"))))</f>
        <v>3</v>
      </c>
      <c r="X25" s="118" t="str">
        <f>IF(CAELS!Y16&lt;6%,"1",IF(CAELS!Y16&lt;7%,"2",IF(CAELS!Y16&lt;8%,"3",IF(CAELS!Y16&lt;10%,"4","5"))))</f>
        <v>2</v>
      </c>
      <c r="Y25" s="118" t="str">
        <f>IF(CAELS!Z16&lt;6%,"1",IF(CAELS!Z16&lt;7%,"2",IF(CAELS!Z16&lt;8%,"3",IF(CAELS!Z16&lt;10%,"4","5"))))</f>
        <v>2</v>
      </c>
      <c r="Z25" s="118" t="str">
        <f>IF(CAELS!AA16&lt;6%,"1",IF(CAELS!AA16&lt;7%,"2",IF(CAELS!AA16&lt;8%,"3",IF(CAELS!AA16&lt;10%,"4","5"))))</f>
        <v>2</v>
      </c>
      <c r="AA25" s="118" t="str">
        <f>IF(CAELS!AB16&lt;6%,"1",IF(CAELS!AB16&lt;7%,"2",IF(CAELS!AB16&lt;8%,"3",IF(CAELS!AB16&lt;10%,"4","5"))))</f>
        <v>2</v>
      </c>
      <c r="AB25" s="118" t="str">
        <f>IF(CAELS!AC16&lt;6%,"1",IF(CAELS!AC16&lt;7%,"2",IF(CAELS!AC16&lt;8%,"3",IF(CAELS!AC16&lt;10%,"4","5"))))</f>
        <v>2</v>
      </c>
      <c r="AC25" s="118" t="str">
        <f>IF(CAELS!AD16&lt;6%,"1",IF(CAELS!AD16&lt;7%,"2",IF(CAELS!AD16&lt;8%,"3",IF(CAELS!AD16&lt;10%,"4","5"))))</f>
        <v>1</v>
      </c>
      <c r="AD25" s="118" t="str">
        <f>IF(CAELS!AE16&lt;6%,"1",IF(CAELS!AE16&lt;7%,"2",IF(CAELS!AE16&lt;8%,"3",IF(CAELS!AE16&lt;10%,"4","5"))))</f>
        <v>1</v>
      </c>
      <c r="AE25" s="118" t="str">
        <f>IF(CAELS!AF16&lt;6%,"1",IF(CAELS!AF16&lt;7%,"2",IF(CAELS!AF16&lt;8%,"3",IF(CAELS!AF16&lt;10%,"4","5"))))</f>
        <v>2</v>
      </c>
      <c r="AF25" s="118" t="str">
        <f>IF(CAELS!AG16&lt;6%,"1",IF(CAELS!AG16&lt;7%,"2",IF(CAELS!AG16&lt;8%,"3",IF(CAELS!AG16&lt;10%,"4","5"))))</f>
        <v>2</v>
      </c>
      <c r="AG25" s="118" t="str">
        <f>IF(CAELS!AH16&lt;6%,"1",IF(CAELS!AH16&lt;7%,"2",IF(CAELS!AH16&lt;8%,"3",IF(CAELS!AH16&lt;10%,"4","5"))))</f>
        <v>1</v>
      </c>
      <c r="AH25" s="118" t="str">
        <f>IF(CAELS!AI16&lt;6%,"1",IF(CAELS!AI16&lt;7%,"2",IF(CAELS!AI16&lt;8%,"3",IF(CAELS!AI16&lt;10%,"4","5"))))</f>
        <v>2</v>
      </c>
      <c r="AI25" s="118" t="str">
        <f>IF(CAELS!AJ16&lt;6%,"1",IF(CAELS!AJ16&lt;7%,"2",IF(CAELS!AJ16&lt;8%,"3",IF(CAELS!AJ16&lt;10%,"4","5"))))</f>
        <v>2</v>
      </c>
      <c r="AJ25" s="118" t="e">
        <f>IF(CAELS!AK16&lt;6%,"1",IF(CAELS!AK16&lt;7%,"2",IF(CAELS!AK16&lt;8%,"3",IF(CAELS!AK16&lt;10%,"4","5"))))</f>
        <v>#DIV/0!</v>
      </c>
      <c r="AK25" s="118" t="e">
        <f>IF(CAELS!AL16&lt;6%,"1",IF(CAELS!AL16&lt;7%,"2",IF(CAELS!AL16&lt;8%,"3",IF(CAELS!AL16&lt;10%,"4","5"))))</f>
        <v>#DIV/0!</v>
      </c>
      <c r="AL25" s="118" t="e">
        <f>IF(CAELS!AM16&lt;6%,"1",IF(CAELS!AM16&lt;7%,"2",IF(CAELS!AM16&lt;8%,"3",IF(CAELS!AM16&lt;10%,"4","5"))))</f>
        <v>#DIV/0!</v>
      </c>
      <c r="AM25" s="118" t="e">
        <f>IF(CAELS!AN16&lt;6%,"1",IF(CAELS!AN16&lt;7%,"2",IF(CAELS!AN16&lt;8%,"3",IF(CAELS!AN16&lt;10%,"4","5"))))</f>
        <v>#DIV/0!</v>
      </c>
      <c r="AN25" s="118" t="e">
        <f>IF(CAELS!AO16&lt;6%,"1",IF(CAELS!AO16&lt;7%,"2",IF(CAELS!AO16&lt;8%,"3",IF(CAELS!AO16&lt;10%,"4","5"))))</f>
        <v>#DIV/0!</v>
      </c>
      <c r="AO25" s="118" t="e">
        <f>IF(CAELS!AP16&lt;6%,"1",IF(CAELS!AP16&lt;7%,"2",IF(CAELS!AP16&lt;8%,"3",IF(CAELS!AP16&lt;10%,"4","5"))))</f>
        <v>#DIV/0!</v>
      </c>
      <c r="AP25" s="118" t="e">
        <f>IF(CAELS!AQ16&lt;6%,"1",IF(CAELS!AQ16&lt;7%,"2",IF(CAELS!AQ16&lt;8%,"3",IF(CAELS!AQ16&lt;10%,"4","5"))))</f>
        <v>#DIV/0!</v>
      </c>
      <c r="AQ25" s="118" t="e">
        <f>IF(CAELS!AR16&lt;6%,"1",IF(CAELS!AR16&lt;7%,"2",IF(CAELS!AR16&lt;8%,"3",IF(CAELS!AR16&lt;10%,"4","5"))))</f>
        <v>#DIV/0!</v>
      </c>
      <c r="AR25" s="118" t="e">
        <f>IF(CAELS!AS16&lt;6%,"1",IF(CAELS!AS16&lt;7%,"2",IF(CAELS!AS16&lt;8%,"3",IF(CAELS!AS16&lt;10%,"4","5"))))</f>
        <v>#DIV/0!</v>
      </c>
      <c r="AS25" s="118" t="e">
        <f>IF(CAELS!AT16&lt;6%,"1",IF(CAELS!AT16&lt;7%,"2",IF(CAELS!AT16&lt;8%,"3",IF(CAELS!AT16&lt;10%,"4","5"))))</f>
        <v>#DIV/0!</v>
      </c>
      <c r="AT25" s="118" t="e">
        <f>IF(CAELS!AU16&lt;6%,"1",IF(CAELS!AU16&lt;7%,"2",IF(CAELS!AU16&lt;8%,"3",IF(CAELS!AU16&lt;10%,"4","5"))))</f>
        <v>#DIV/0!</v>
      </c>
      <c r="AU25" s="118" t="e">
        <f>IF(CAELS!AV16&lt;6%,"1",IF(CAELS!AV16&lt;7%,"2",IF(CAELS!AV16&lt;8%,"3",IF(CAELS!AV16&lt;10%,"4","5"))))</f>
        <v>#DIV/0!</v>
      </c>
      <c r="AV25" s="118" t="e">
        <f>IF(CAELS!AW16&lt;6%,"1",IF(CAELS!AW16&lt;7%,"2",IF(CAELS!AW16&lt;8%,"3",IF(CAELS!AW16&lt;10%,"4","5"))))</f>
        <v>#DIV/0!</v>
      </c>
      <c r="AW25" s="118" t="e">
        <f>IF(CAELS!AX16&lt;6%,"1",IF(CAELS!AX16&lt;7%,"2",IF(CAELS!AX16&lt;8%,"3",IF(CAELS!AX16&lt;10%,"4","5"))))</f>
        <v>#DIV/0!</v>
      </c>
      <c r="AX25" s="118" t="e">
        <f>IF(CAELS!AY16&lt;6%,"1",IF(CAELS!AY16&lt;7%,"2",IF(CAELS!AY16&lt;8%,"3",IF(CAELS!AY16&lt;10%,"4","5"))))</f>
        <v>#DIV/0!</v>
      </c>
      <c r="AY25" s="118" t="str">
        <f>IF(CAELS!AZ16&lt;6%,"1",IF(CAELS!AZ16&lt;7%,"2",IF(CAELS!AZ16&lt;8%,"3",IF(CAELS!AZ16&lt;10%,"4","5"))))</f>
        <v>1</v>
      </c>
      <c r="AZ25" s="118" t="str">
        <f>IF(CAELS!BA16&lt;6%,"1",IF(CAELS!BA16&lt;7%,"2",IF(CAELS!BA16&lt;8%,"3",IF(CAELS!BA16&lt;10%,"4","5"))))</f>
        <v>1</v>
      </c>
      <c r="BA25" s="118" t="str">
        <f>IF(CAELS!BB16&lt;6%,"1",IF(CAELS!BB16&lt;7%,"2",IF(CAELS!BB16&lt;8%,"3",IF(CAELS!BB16&lt;10%,"4","5"))))</f>
        <v>1</v>
      </c>
      <c r="BB25" s="118" t="str">
        <f>IF(CAELS!BC16&lt;6%,"1",IF(CAELS!BC16&lt;7%,"2",IF(CAELS!BC16&lt;8%,"3",IF(CAELS!BC16&lt;10%,"4","5"))))</f>
        <v>1</v>
      </c>
      <c r="BC25" s="118" t="str">
        <f>IF(CAELS!BD16&lt;6%,"1",IF(CAELS!BD16&lt;7%,"2",IF(CAELS!BD16&lt;8%,"3",IF(CAELS!BD16&lt;10%,"4","5"))))</f>
        <v>1</v>
      </c>
      <c r="BD25" s="118" t="str">
        <f>IF(CAELS!BE16&lt;6%,"1",IF(CAELS!BE16&lt;7%,"2",IF(CAELS!BE16&lt;8%,"3",IF(CAELS!BE16&lt;10%,"4","5"))))</f>
        <v>1</v>
      </c>
      <c r="BE25" s="118" t="str">
        <f>IF(CAELS!BF16&lt;6%,"1",IF(CAELS!BF16&lt;7%,"2",IF(CAELS!BF16&lt;8%,"3",IF(CAELS!BF16&lt;10%,"4","5"))))</f>
        <v>1</v>
      </c>
      <c r="BF25" s="118" t="str">
        <f>IF(CAELS!BG16&lt;6%,"1",IF(CAELS!BG16&lt;7%,"2",IF(CAELS!BG16&lt;8%,"3",IF(CAELS!BG16&lt;10%,"4","5"))))</f>
        <v>1</v>
      </c>
      <c r="BG25" s="118" t="str">
        <f>IF(CAELS!BH16&lt;6%,"1",IF(CAELS!BH16&lt;7%,"2",IF(CAELS!BH16&lt;8%,"3",IF(CAELS!BH16&lt;10%,"4","5"))))</f>
        <v>1</v>
      </c>
      <c r="BH25" s="118" t="str">
        <f>IF(CAELS!BI16&lt;6%,"1",IF(CAELS!BI16&lt;7%,"2",IF(CAELS!BI16&lt;8%,"3",IF(CAELS!BI16&lt;10%,"4","5"))))</f>
        <v>1</v>
      </c>
      <c r="BI25" s="118" t="str">
        <f>IF(CAELS!BJ16&lt;6%,"1",IF(CAELS!BJ16&lt;7%,"2",IF(CAELS!BJ16&lt;8%,"3",IF(CAELS!BJ16&lt;10%,"4","5"))))</f>
        <v>1</v>
      </c>
      <c r="BJ25" s="118" t="str">
        <f>IF(CAELS!BK16&lt;6%,"1",IF(CAELS!BK16&lt;7%,"2",IF(CAELS!BK16&lt;8%,"3",IF(CAELS!BK16&lt;10%,"4","5"))))</f>
        <v>1</v>
      </c>
      <c r="BK25" s="118" t="str">
        <f>IF(CAELS!BL16&lt;6%,"1",IF(CAELS!BL16&lt;7%,"2",IF(CAELS!BL16&lt;8%,"3",IF(CAELS!BL16&lt;10%,"4","5"))))</f>
        <v>1</v>
      </c>
      <c r="BL25" s="118" t="str">
        <f>IF(CAELS!BM16&lt;6%,"1",IF(CAELS!BM16&lt;7%,"2",IF(CAELS!BM16&lt;8%,"3",IF(CAELS!BM16&lt;10%,"4","5"))))</f>
        <v>1</v>
      </c>
      <c r="BM25" s="118" t="str">
        <f>IF(CAELS!BN16&lt;6%,"1",IF(CAELS!BN16&lt;7%,"2",IF(CAELS!BN16&lt;8%,"3",IF(CAELS!BN16&lt;10%,"4","5"))))</f>
        <v>1</v>
      </c>
      <c r="BN25" s="118" t="str">
        <f>IF(CAELS!BO16&lt;6%,"1",IF(CAELS!BO16&lt;7%,"2",IF(CAELS!BO16&lt;8%,"3",IF(CAELS!BO16&lt;10%,"4","5"))))</f>
        <v>1</v>
      </c>
      <c r="BO25" s="118" t="str">
        <f>IF(CAELS!BP16&lt;6%,"1",IF(CAELS!BP16&lt;7%,"2",IF(CAELS!BP16&lt;8%,"3",IF(CAELS!BP16&lt;10%,"4","5"))))</f>
        <v>1</v>
      </c>
      <c r="BP25" s="118" t="str">
        <f>IF(CAELS!BQ16&lt;6%,"1",IF(CAELS!BQ16&lt;7%,"2",IF(CAELS!BQ16&lt;8%,"3",IF(CAELS!BQ16&lt;10%,"4","5"))))</f>
        <v>1</v>
      </c>
      <c r="BQ25" s="118" t="str">
        <f>IF(CAELS!BR16&lt;6%,"1",IF(CAELS!BR16&lt;7%,"2",IF(CAELS!BR16&lt;8%,"3",IF(CAELS!BR16&lt;10%,"4","5"))))</f>
        <v>1</v>
      </c>
      <c r="BR25" s="118" t="str">
        <f>IF(CAELS!BS16&lt;6%,"1",IF(CAELS!BS16&lt;7%,"2",IF(CAELS!BS16&lt;8%,"3",IF(CAELS!BS16&lt;10%,"4","5"))))</f>
        <v>1</v>
      </c>
      <c r="BS25" s="118" t="str">
        <f>IF(CAELS!BT16&lt;6%,"1",IF(CAELS!BT16&lt;7%,"2",IF(CAELS!BT16&lt;8%,"3",IF(CAELS!BT16&lt;10%,"4","5"))))</f>
        <v>1</v>
      </c>
      <c r="BT25" s="118" t="str">
        <f>IF(CAELS!BU16&lt;6%,"1",IF(CAELS!BU16&lt;7%,"2",IF(CAELS!BU16&lt;8%,"3",IF(CAELS!BU16&lt;10%,"4","5"))))</f>
        <v>1</v>
      </c>
      <c r="BU25" s="118" t="str">
        <f>IF(CAELS!BV16&lt;6%,"1",IF(CAELS!BV16&lt;7%,"2",IF(CAELS!BV16&lt;8%,"3",IF(CAELS!BV16&lt;10%,"4","5"))))</f>
        <v>1</v>
      </c>
      <c r="BV25" s="118" t="str">
        <f>IF(CAELS!BW16&lt;6%,"1",IF(CAELS!BW16&lt;7%,"2",IF(CAELS!BW16&lt;8%,"3",IF(CAELS!BW16&lt;10%,"4","5"))))</f>
        <v>1</v>
      </c>
      <c r="BW25" s="118" t="str">
        <f>IF(CAELS!BX16&lt;6%,"1",IF(CAELS!BX16&lt;7%,"2",IF(CAELS!BX16&lt;8%,"3",IF(CAELS!BX16&lt;10%,"4","5"))))</f>
        <v>1</v>
      </c>
      <c r="BX25" s="118" t="str">
        <f>IF(CAELS!BY16&lt;6%,"1",IF(CAELS!BY16&lt;7%,"2",IF(CAELS!BY16&lt;8%,"3",IF(CAELS!BY16&lt;10%,"4","5"))))</f>
        <v>1</v>
      </c>
      <c r="BY25" s="118" t="str">
        <f>IF(CAELS!BZ16&lt;6%,"1",IF(CAELS!BZ16&lt;7%,"2",IF(CAELS!BZ16&lt;8%,"3",IF(CAELS!BZ16&lt;10%,"4","5"))))</f>
        <v>1</v>
      </c>
    </row>
    <row r="26" spans="1:77" x14ac:dyDescent="0.3">
      <c r="A26" s="48" t="s">
        <v>214</v>
      </c>
      <c r="B26" s="116" t="s">
        <v>215</v>
      </c>
      <c r="C26" s="118" t="str">
        <f>IF(CAELS!D17&lt;2%,"1",IF(CAELS!D17&lt;3%,"2",IF(CAELS!D17&lt;4%,"3",IF(CAELS!D17&lt;5%,"4","5"))))</f>
        <v>3</v>
      </c>
      <c r="D26" s="118" t="str">
        <f>IF(CAELS!E17&lt;2%,"1",IF(CAELS!E17&lt;3%,"2",IF(CAELS!E17&lt;4%,"3",IF(CAELS!E17&lt;5%,"4","5"))))</f>
        <v>5</v>
      </c>
      <c r="E26" s="118" t="str">
        <f>IF(CAELS!F17&lt;2%,"1",IF(CAELS!F17&lt;3%,"2",IF(CAELS!F17&lt;4%,"3",IF(CAELS!F17&lt;5%,"4","5"))))</f>
        <v>5</v>
      </c>
      <c r="F26" s="118" t="str">
        <f>IF(CAELS!G17&lt;2%,"1",IF(CAELS!G17&lt;3%,"2",IF(CAELS!G17&lt;4%,"3",IF(CAELS!G17&lt;5%,"4","5"))))</f>
        <v>5</v>
      </c>
      <c r="G26" s="118" t="str">
        <f>IF(CAELS!H17&lt;2%,"1",IF(CAELS!H17&lt;3%,"2",IF(CAELS!H17&lt;4%,"3",IF(CAELS!H17&lt;5%,"4","5"))))</f>
        <v>5</v>
      </c>
      <c r="H26" s="118" t="str">
        <f>IF(CAELS!I17&lt;2%,"1",IF(CAELS!I17&lt;3%,"2",IF(CAELS!I17&lt;4%,"3",IF(CAELS!I17&lt;5%,"4","5"))))</f>
        <v>5</v>
      </c>
      <c r="I26" s="118" t="str">
        <f>IF(CAELS!J17&lt;2%,"1",IF(CAELS!J17&lt;3%,"2",IF(CAELS!J17&lt;4%,"3",IF(CAELS!J17&lt;5%,"4","5"))))</f>
        <v>5</v>
      </c>
      <c r="J26" s="118" t="str">
        <f>IF(CAELS!K17&lt;2%,"1",IF(CAELS!K17&lt;3%,"2",IF(CAELS!K17&lt;4%,"3",IF(CAELS!K17&lt;5%,"4","5"))))</f>
        <v>5</v>
      </c>
      <c r="K26" s="118" t="str">
        <f>IF(CAELS!L17&lt;2%,"1",IF(CAELS!L17&lt;3%,"2",IF(CAELS!L17&lt;4%,"3",IF(CAELS!L17&lt;5%,"4","5"))))</f>
        <v>5</v>
      </c>
      <c r="L26" s="118" t="str">
        <f>IF(CAELS!M17&lt;2%,"1",IF(CAELS!M17&lt;3%,"2",IF(CAELS!M17&lt;4%,"3",IF(CAELS!M17&lt;5%,"4","5"))))</f>
        <v>5</v>
      </c>
      <c r="M26" s="118" t="str">
        <f>IF(CAELS!N17&lt;2%,"1",IF(CAELS!N17&lt;3%,"2",IF(CAELS!N17&lt;4%,"3",IF(CAELS!N17&lt;5%,"4","5"))))</f>
        <v>5</v>
      </c>
      <c r="N26" s="118" t="str">
        <f>IF(CAELS!O17&lt;2%,"1",IF(CAELS!O17&lt;3%,"2",IF(CAELS!O17&lt;4%,"3",IF(CAELS!O17&lt;5%,"4","5"))))</f>
        <v>5</v>
      </c>
      <c r="O26" s="118" t="str">
        <f>IF(CAELS!P17&lt;2%,"1",IF(CAELS!P17&lt;3%,"2",IF(CAELS!P17&lt;4%,"3",IF(CAELS!P17&lt;5%,"4","5"))))</f>
        <v>5</v>
      </c>
      <c r="P26" s="118" t="str">
        <f>IF(CAELS!Q17&lt;2%,"1",IF(CAELS!Q17&lt;3%,"2",IF(CAELS!Q17&lt;4%,"3",IF(CAELS!Q17&lt;5%,"4","5"))))</f>
        <v>5</v>
      </c>
      <c r="Q26" s="118" t="str">
        <f>IF(CAELS!R17&lt;2%,"1",IF(CAELS!R17&lt;3%,"2",IF(CAELS!R17&lt;4%,"3",IF(CAELS!R17&lt;5%,"4","5"))))</f>
        <v>5</v>
      </c>
      <c r="R26" s="118" t="str">
        <f>IF(CAELS!S17&lt;2%,"1",IF(CAELS!S17&lt;3%,"2",IF(CAELS!S17&lt;4%,"3",IF(CAELS!S17&lt;5%,"4","5"))))</f>
        <v>5</v>
      </c>
      <c r="S26" s="118" t="str">
        <f>IF(CAELS!T17&lt;2%,"1",IF(CAELS!T17&lt;3%,"2",IF(CAELS!T17&lt;4%,"3",IF(CAELS!T17&lt;5%,"4","5"))))</f>
        <v>5</v>
      </c>
      <c r="T26" s="118" t="str">
        <f>IF(CAELS!U17&lt;2%,"1",IF(CAELS!U17&lt;3%,"2",IF(CAELS!U17&lt;4%,"3",IF(CAELS!U17&lt;5%,"4","5"))))</f>
        <v>5</v>
      </c>
      <c r="U26" s="118" t="str">
        <f>IF(CAELS!V17&lt;2%,"1",IF(CAELS!V17&lt;3%,"2",IF(CAELS!V17&lt;4%,"3",IF(CAELS!V17&lt;5%,"4","5"))))</f>
        <v>5</v>
      </c>
      <c r="V26" s="118" t="str">
        <f>IF(CAELS!W17&lt;2%,"1",IF(CAELS!W17&lt;3%,"2",IF(CAELS!W17&lt;4%,"3",IF(CAELS!W17&lt;5%,"4","5"))))</f>
        <v>5</v>
      </c>
      <c r="W26" s="118" t="str">
        <f>IF(CAELS!X17&lt;2%,"1",IF(CAELS!X17&lt;3%,"2",IF(CAELS!X17&lt;4%,"3",IF(CAELS!X17&lt;5%,"4","5"))))</f>
        <v>5</v>
      </c>
      <c r="X26" s="118" t="str">
        <f>IF(CAELS!Y17&lt;2%,"1",IF(CAELS!Y17&lt;3%,"2",IF(CAELS!Y17&lt;4%,"3",IF(CAELS!Y17&lt;5%,"4","5"))))</f>
        <v>5</v>
      </c>
      <c r="Y26" s="118" t="str">
        <f>IF(CAELS!Z17&lt;2%,"1",IF(CAELS!Z17&lt;3%,"2",IF(CAELS!Z17&lt;4%,"3",IF(CAELS!Z17&lt;5%,"4","5"))))</f>
        <v>5</v>
      </c>
      <c r="Z26" s="118" t="str">
        <f>IF(CAELS!AA17&lt;2%,"1",IF(CAELS!AA17&lt;3%,"2",IF(CAELS!AA17&lt;4%,"3",IF(CAELS!AA17&lt;5%,"4","5"))))</f>
        <v>5</v>
      </c>
      <c r="AA26" s="118" t="str">
        <f>IF(CAELS!AB17&lt;2%,"1",IF(CAELS!AB17&lt;3%,"2",IF(CAELS!AB17&lt;4%,"3",IF(CAELS!AB17&lt;5%,"4","5"))))</f>
        <v>5</v>
      </c>
      <c r="AB26" s="118" t="str">
        <f>IF(CAELS!AC17&lt;2%,"1",IF(CAELS!AC17&lt;3%,"2",IF(CAELS!AC17&lt;4%,"3",IF(CAELS!AC17&lt;5%,"4","5"))))</f>
        <v>5</v>
      </c>
      <c r="AC26" s="118" t="str">
        <f>IF(CAELS!AD17&lt;2%,"1",IF(CAELS!AD17&lt;3%,"2",IF(CAELS!AD17&lt;4%,"3",IF(CAELS!AD17&lt;5%,"4","5"))))</f>
        <v>5</v>
      </c>
      <c r="AD26" s="118" t="str">
        <f>IF(CAELS!AE17&lt;2%,"1",IF(CAELS!AE17&lt;3%,"2",IF(CAELS!AE17&lt;4%,"3",IF(CAELS!AE17&lt;5%,"4","5"))))</f>
        <v>5</v>
      </c>
      <c r="AE26" s="118" t="str">
        <f>IF(CAELS!AF17&lt;2%,"1",IF(CAELS!AF17&lt;3%,"2",IF(CAELS!AF17&lt;4%,"3",IF(CAELS!AF17&lt;5%,"4","5"))))</f>
        <v>5</v>
      </c>
      <c r="AF26" s="118" t="str">
        <f>IF(CAELS!AG17&lt;2%,"1",IF(CAELS!AG17&lt;3%,"2",IF(CAELS!AG17&lt;4%,"3",IF(CAELS!AG17&lt;5%,"4","5"))))</f>
        <v>5</v>
      </c>
      <c r="AG26" s="118" t="str">
        <f>IF(CAELS!AH17&lt;2%,"1",IF(CAELS!AH17&lt;3%,"2",IF(CAELS!AH17&lt;4%,"3",IF(CAELS!AH17&lt;5%,"4","5"))))</f>
        <v>5</v>
      </c>
      <c r="AH26" s="118" t="str">
        <f>IF(CAELS!AI17&lt;2%,"1",IF(CAELS!AI17&lt;3%,"2",IF(CAELS!AI17&lt;4%,"3",IF(CAELS!AI17&lt;5%,"4","5"))))</f>
        <v>5</v>
      </c>
      <c r="AI26" s="118" t="str">
        <f>IF(CAELS!AJ17&lt;2%,"1",IF(CAELS!AJ17&lt;3%,"2",IF(CAELS!AJ17&lt;4%,"3",IF(CAELS!AJ17&lt;5%,"4","5"))))</f>
        <v>5</v>
      </c>
      <c r="AJ26" s="118" t="e">
        <f>IF(CAELS!AK17&lt;2%,"1",IF(CAELS!AK17&lt;3%,"2",IF(CAELS!AK17&lt;4%,"3",IF(CAELS!AK17&lt;5%,"4","5"))))</f>
        <v>#DIV/0!</v>
      </c>
      <c r="AK26" s="118" t="e">
        <f>IF(CAELS!AL17&lt;2%,"1",IF(CAELS!AL17&lt;3%,"2",IF(CAELS!AL17&lt;4%,"3",IF(CAELS!AL17&lt;5%,"4","5"))))</f>
        <v>#DIV/0!</v>
      </c>
      <c r="AL26" s="118" t="e">
        <f>IF(CAELS!AM17&lt;2%,"1",IF(CAELS!AM17&lt;3%,"2",IF(CAELS!AM17&lt;4%,"3",IF(CAELS!AM17&lt;5%,"4","5"))))</f>
        <v>#DIV/0!</v>
      </c>
      <c r="AM26" s="118" t="e">
        <f>IF(CAELS!AN17&lt;2%,"1",IF(CAELS!AN17&lt;3%,"2",IF(CAELS!AN17&lt;4%,"3",IF(CAELS!AN17&lt;5%,"4","5"))))</f>
        <v>#DIV/0!</v>
      </c>
      <c r="AN26" s="118" t="e">
        <f>IF(CAELS!AO17&lt;2%,"1",IF(CAELS!AO17&lt;3%,"2",IF(CAELS!AO17&lt;4%,"3",IF(CAELS!AO17&lt;5%,"4","5"))))</f>
        <v>#DIV/0!</v>
      </c>
      <c r="AO26" s="118" t="e">
        <f>IF(CAELS!AP17&lt;2%,"1",IF(CAELS!AP17&lt;3%,"2",IF(CAELS!AP17&lt;4%,"3",IF(CAELS!AP17&lt;5%,"4","5"))))</f>
        <v>#DIV/0!</v>
      </c>
      <c r="AP26" s="118" t="e">
        <f>IF(CAELS!AQ17&lt;2%,"1",IF(CAELS!AQ17&lt;3%,"2",IF(CAELS!AQ17&lt;4%,"3",IF(CAELS!AQ17&lt;5%,"4","5"))))</f>
        <v>#DIV/0!</v>
      </c>
      <c r="AQ26" s="118" t="e">
        <f>IF(CAELS!AR17&lt;2%,"1",IF(CAELS!AR17&lt;3%,"2",IF(CAELS!AR17&lt;4%,"3",IF(CAELS!AR17&lt;5%,"4","5"))))</f>
        <v>#DIV/0!</v>
      </c>
      <c r="AR26" s="118" t="e">
        <f>IF(CAELS!AS17&lt;2%,"1",IF(CAELS!AS17&lt;3%,"2",IF(CAELS!AS17&lt;4%,"3",IF(CAELS!AS17&lt;5%,"4","5"))))</f>
        <v>#DIV/0!</v>
      </c>
      <c r="AS26" s="118" t="e">
        <f>IF(CAELS!AT17&lt;2%,"1",IF(CAELS!AT17&lt;3%,"2",IF(CAELS!AT17&lt;4%,"3",IF(CAELS!AT17&lt;5%,"4","5"))))</f>
        <v>#DIV/0!</v>
      </c>
      <c r="AT26" s="118" t="e">
        <f>IF(CAELS!AU17&lt;2%,"1",IF(CAELS!AU17&lt;3%,"2",IF(CAELS!AU17&lt;4%,"3",IF(CAELS!AU17&lt;5%,"4","5"))))</f>
        <v>#DIV/0!</v>
      </c>
      <c r="AU26" s="118" t="e">
        <f>IF(CAELS!AV17&lt;2%,"1",IF(CAELS!AV17&lt;3%,"2",IF(CAELS!AV17&lt;4%,"3",IF(CAELS!AV17&lt;5%,"4","5"))))</f>
        <v>#DIV/0!</v>
      </c>
      <c r="AV26" s="118" t="e">
        <f>IF(CAELS!AW17&lt;2%,"1",IF(CAELS!AW17&lt;3%,"2",IF(CAELS!AW17&lt;4%,"3",IF(CAELS!AW17&lt;5%,"4","5"))))</f>
        <v>#DIV/0!</v>
      </c>
      <c r="AW26" s="118" t="e">
        <f>IF(CAELS!AX17&lt;2%,"1",IF(CAELS!AX17&lt;3%,"2",IF(CAELS!AX17&lt;4%,"3",IF(CAELS!AX17&lt;5%,"4","5"))))</f>
        <v>#DIV/0!</v>
      </c>
      <c r="AX26" s="118" t="e">
        <f>IF(CAELS!AY17&lt;2%,"1",IF(CAELS!AY17&lt;3%,"2",IF(CAELS!AY17&lt;4%,"3",IF(CAELS!AY17&lt;5%,"4","5"))))</f>
        <v>#DIV/0!</v>
      </c>
      <c r="AY26" s="118" t="str">
        <f>IF(CAELS!AZ17&lt;2%,"1",IF(CAELS!AZ17&lt;3%,"2",IF(CAELS!AZ17&lt;4%,"3",IF(CAELS!AZ17&lt;5%,"4","5"))))</f>
        <v>1</v>
      </c>
      <c r="AZ26" s="118" t="str">
        <f>IF(CAELS!BA17&lt;2%,"1",IF(CAELS!BA17&lt;3%,"2",IF(CAELS!BA17&lt;4%,"3",IF(CAELS!BA17&lt;5%,"4","5"))))</f>
        <v>1</v>
      </c>
      <c r="BA26" s="118" t="str">
        <f>IF(CAELS!BB17&lt;2%,"1",IF(CAELS!BB17&lt;3%,"2",IF(CAELS!BB17&lt;4%,"3",IF(CAELS!BB17&lt;5%,"4","5"))))</f>
        <v>1</v>
      </c>
      <c r="BB26" s="118" t="str">
        <f>IF(CAELS!BC17&lt;2%,"1",IF(CAELS!BC17&lt;3%,"2",IF(CAELS!BC17&lt;4%,"3",IF(CAELS!BC17&lt;5%,"4","5"))))</f>
        <v>1</v>
      </c>
      <c r="BC26" s="118" t="str">
        <f>IF(CAELS!BD17&lt;2%,"1",IF(CAELS!BD17&lt;3%,"2",IF(CAELS!BD17&lt;4%,"3",IF(CAELS!BD17&lt;5%,"4","5"))))</f>
        <v>1</v>
      </c>
      <c r="BD26" s="118" t="str">
        <f>IF(CAELS!BE17&lt;2%,"1",IF(CAELS!BE17&lt;3%,"2",IF(CAELS!BE17&lt;4%,"3",IF(CAELS!BE17&lt;5%,"4","5"))))</f>
        <v>1</v>
      </c>
      <c r="BE26" s="118" t="str">
        <f>IF(CAELS!BF17&lt;2%,"1",IF(CAELS!BF17&lt;3%,"2",IF(CAELS!BF17&lt;4%,"3",IF(CAELS!BF17&lt;5%,"4","5"))))</f>
        <v>1</v>
      </c>
      <c r="BF26" s="118" t="str">
        <f>IF(CAELS!BG17&lt;2%,"1",IF(CAELS!BG17&lt;3%,"2",IF(CAELS!BG17&lt;4%,"3",IF(CAELS!BG17&lt;5%,"4","5"))))</f>
        <v>1</v>
      </c>
      <c r="BG26" s="118" t="str">
        <f>IF(CAELS!BH17&lt;2%,"1",IF(CAELS!BH17&lt;3%,"2",IF(CAELS!BH17&lt;4%,"3",IF(CAELS!BH17&lt;5%,"4","5"))))</f>
        <v>1</v>
      </c>
      <c r="BH26" s="118" t="str">
        <f>IF(CAELS!BI17&lt;2%,"1",IF(CAELS!BI17&lt;3%,"2",IF(CAELS!BI17&lt;4%,"3",IF(CAELS!BI17&lt;5%,"4","5"))))</f>
        <v>1</v>
      </c>
      <c r="BI26" s="118" t="str">
        <f>IF(CAELS!BJ17&lt;2%,"1",IF(CAELS!BJ17&lt;3%,"2",IF(CAELS!BJ17&lt;4%,"3",IF(CAELS!BJ17&lt;5%,"4","5"))))</f>
        <v>1</v>
      </c>
      <c r="BJ26" s="118" t="str">
        <f>IF(CAELS!BK17&lt;2%,"1",IF(CAELS!BK17&lt;3%,"2",IF(CAELS!BK17&lt;4%,"3",IF(CAELS!BK17&lt;5%,"4","5"))))</f>
        <v>1</v>
      </c>
      <c r="BK26" s="118" t="str">
        <f>IF(CAELS!BL17&lt;2%,"1",IF(CAELS!BL17&lt;3%,"2",IF(CAELS!BL17&lt;4%,"3",IF(CAELS!BL17&lt;5%,"4","5"))))</f>
        <v>1</v>
      </c>
      <c r="BL26" s="118" t="str">
        <f>IF(CAELS!BM17&lt;2%,"1",IF(CAELS!BM17&lt;3%,"2",IF(CAELS!BM17&lt;4%,"3",IF(CAELS!BM17&lt;5%,"4","5"))))</f>
        <v>1</v>
      </c>
      <c r="BM26" s="118" t="str">
        <f>IF(CAELS!BN17&lt;2%,"1",IF(CAELS!BN17&lt;3%,"2",IF(CAELS!BN17&lt;4%,"3",IF(CAELS!BN17&lt;5%,"4","5"))))</f>
        <v>1</v>
      </c>
      <c r="BN26" s="118" t="str">
        <f>IF(CAELS!BO17&lt;2%,"1",IF(CAELS!BO17&lt;3%,"2",IF(CAELS!BO17&lt;4%,"3",IF(CAELS!BO17&lt;5%,"4","5"))))</f>
        <v>1</v>
      </c>
      <c r="BO26" s="118" t="str">
        <f>IF(CAELS!BP17&lt;2%,"1",IF(CAELS!BP17&lt;3%,"2",IF(CAELS!BP17&lt;4%,"3",IF(CAELS!BP17&lt;5%,"4","5"))))</f>
        <v>1</v>
      </c>
      <c r="BP26" s="118" t="str">
        <f>IF(CAELS!BQ17&lt;2%,"1",IF(CAELS!BQ17&lt;3%,"2",IF(CAELS!BQ17&lt;4%,"3",IF(CAELS!BQ17&lt;5%,"4","5"))))</f>
        <v>1</v>
      </c>
      <c r="BQ26" s="118" t="str">
        <f>IF(CAELS!BR17&lt;2%,"1",IF(CAELS!BR17&lt;3%,"2",IF(CAELS!BR17&lt;4%,"3",IF(CAELS!BR17&lt;5%,"4","5"))))</f>
        <v>1</v>
      </c>
      <c r="BR26" s="118" t="str">
        <f>IF(CAELS!BS17&lt;2%,"1",IF(CAELS!BS17&lt;3%,"2",IF(CAELS!BS17&lt;4%,"3",IF(CAELS!BS17&lt;5%,"4","5"))))</f>
        <v>1</v>
      </c>
      <c r="BS26" s="118" t="str">
        <f>IF(CAELS!BT17&lt;2%,"1",IF(CAELS!BT17&lt;3%,"2",IF(CAELS!BT17&lt;4%,"3",IF(CAELS!BT17&lt;5%,"4","5"))))</f>
        <v>1</v>
      </c>
      <c r="BT26" s="118" t="str">
        <f>IF(CAELS!BU17&lt;2%,"1",IF(CAELS!BU17&lt;3%,"2",IF(CAELS!BU17&lt;4%,"3",IF(CAELS!BU17&lt;5%,"4","5"))))</f>
        <v>1</v>
      </c>
      <c r="BU26" s="118" t="str">
        <f>IF(CAELS!BV17&lt;2%,"1",IF(CAELS!BV17&lt;3%,"2",IF(CAELS!BV17&lt;4%,"3",IF(CAELS!BV17&lt;5%,"4","5"))))</f>
        <v>1</v>
      </c>
      <c r="BV26" s="118" t="str">
        <f>IF(CAELS!BW17&lt;2%,"1",IF(CAELS!BW17&lt;3%,"2",IF(CAELS!BW17&lt;4%,"3",IF(CAELS!BW17&lt;5%,"4","5"))))</f>
        <v>1</v>
      </c>
      <c r="BW26" s="118" t="str">
        <f>IF(CAELS!BX17&lt;2%,"1",IF(CAELS!BX17&lt;3%,"2",IF(CAELS!BX17&lt;4%,"3",IF(CAELS!BX17&lt;5%,"4","5"))))</f>
        <v>1</v>
      </c>
      <c r="BX26" s="118" t="str">
        <f>IF(CAELS!BY17&lt;2%,"1",IF(CAELS!BY17&lt;3%,"2",IF(CAELS!BY17&lt;4%,"3",IF(CAELS!BY17&lt;5%,"4","5"))))</f>
        <v>1</v>
      </c>
      <c r="BY26" s="118" t="str">
        <f>IF(CAELS!BZ17&lt;2%,"1",IF(CAELS!BZ17&lt;3%,"2",IF(CAELS!BZ17&lt;4%,"3",IF(CAELS!BZ17&lt;5%,"4","5"))))</f>
        <v>1</v>
      </c>
    </row>
    <row r="27" spans="1:77" x14ac:dyDescent="0.3">
      <c r="A27" s="48" t="s">
        <v>216</v>
      </c>
      <c r="B27" s="116" t="s">
        <v>215</v>
      </c>
      <c r="C27" s="118" t="str">
        <f>IF(CAELS!D18&lt;2%,"1",IF(CAELS!D18&lt;3%,"2",IF(CAELS!D18&lt;4%,"3",IF(CAELS!D18&lt;5%,"4","5"))))</f>
        <v>1</v>
      </c>
      <c r="D27" s="118" t="str">
        <f>IF(CAELS!E18&lt;2%,"1",IF(CAELS!E18&lt;3%,"2",IF(CAELS!E18&lt;4%,"3",IF(CAELS!E18&lt;5%,"4","5"))))</f>
        <v>1</v>
      </c>
      <c r="E27" s="118" t="str">
        <f>IF(CAELS!F18&lt;2%,"1",IF(CAELS!F18&lt;3%,"2",IF(CAELS!F18&lt;4%,"3",IF(CAELS!F18&lt;5%,"4","5"))))</f>
        <v>2</v>
      </c>
      <c r="F27" s="118" t="str">
        <f>IF(CAELS!G18&lt;2%,"1",IF(CAELS!G18&lt;3%,"2",IF(CAELS!G18&lt;4%,"3",IF(CAELS!G18&lt;5%,"4","5"))))</f>
        <v>2</v>
      </c>
      <c r="G27" s="118" t="str">
        <f>IF(CAELS!H18&lt;2%,"1",IF(CAELS!H18&lt;3%,"2",IF(CAELS!H18&lt;4%,"3",IF(CAELS!H18&lt;5%,"4","5"))))</f>
        <v>2</v>
      </c>
      <c r="H27" s="118" t="str">
        <f>IF(CAELS!I18&lt;2%,"1",IF(CAELS!I18&lt;3%,"2",IF(CAELS!I18&lt;4%,"3",IF(CAELS!I18&lt;5%,"4","5"))))</f>
        <v>2</v>
      </c>
      <c r="I27" s="118" t="str">
        <f>IF(CAELS!J18&lt;2%,"1",IF(CAELS!J18&lt;3%,"2",IF(CAELS!J18&lt;4%,"3",IF(CAELS!J18&lt;5%,"4","5"))))</f>
        <v>2</v>
      </c>
      <c r="J27" s="118" t="str">
        <f>IF(CAELS!K18&lt;2%,"1",IF(CAELS!K18&lt;3%,"2",IF(CAELS!K18&lt;4%,"3",IF(CAELS!K18&lt;5%,"4","5"))))</f>
        <v>2</v>
      </c>
      <c r="K27" s="118" t="str">
        <f>IF(CAELS!L18&lt;2%,"1",IF(CAELS!L18&lt;3%,"2",IF(CAELS!L18&lt;4%,"3",IF(CAELS!L18&lt;5%,"4","5"))))</f>
        <v>2</v>
      </c>
      <c r="L27" s="118" t="str">
        <f>IF(CAELS!M18&lt;2%,"1",IF(CAELS!M18&lt;3%,"2",IF(CAELS!M18&lt;4%,"3",IF(CAELS!M18&lt;5%,"4","5"))))</f>
        <v>2</v>
      </c>
      <c r="M27" s="118" t="str">
        <f>IF(CAELS!N18&lt;2%,"1",IF(CAELS!N18&lt;3%,"2",IF(CAELS!N18&lt;4%,"3",IF(CAELS!N18&lt;5%,"4","5"))))</f>
        <v>2</v>
      </c>
      <c r="N27" s="118" t="str">
        <f>IF(CAELS!O18&lt;2%,"1",IF(CAELS!O18&lt;3%,"2",IF(CAELS!O18&lt;4%,"3",IF(CAELS!O18&lt;5%,"4","5"))))</f>
        <v>2</v>
      </c>
      <c r="O27" s="118" t="str">
        <f>IF(CAELS!P18&lt;2%,"1",IF(CAELS!P18&lt;3%,"2",IF(CAELS!P18&lt;4%,"3",IF(CAELS!P18&lt;5%,"4","5"))))</f>
        <v>2</v>
      </c>
      <c r="P27" s="118" t="str">
        <f>IF(CAELS!Q18&lt;2%,"1",IF(CAELS!Q18&lt;3%,"2",IF(CAELS!Q18&lt;4%,"3",IF(CAELS!Q18&lt;5%,"4","5"))))</f>
        <v>2</v>
      </c>
      <c r="Q27" s="118" t="str">
        <f>IF(CAELS!R18&lt;2%,"1",IF(CAELS!R18&lt;3%,"2",IF(CAELS!R18&lt;4%,"3",IF(CAELS!R18&lt;5%,"4","5"))))</f>
        <v>1</v>
      </c>
      <c r="R27" s="118" t="str">
        <f>IF(CAELS!S18&lt;2%,"1",IF(CAELS!S18&lt;3%,"2",IF(CAELS!S18&lt;4%,"3",IF(CAELS!S18&lt;5%,"4","5"))))</f>
        <v>2</v>
      </c>
      <c r="S27" s="118" t="str">
        <f>IF(CAELS!T18&lt;2%,"1",IF(CAELS!T18&lt;3%,"2",IF(CAELS!T18&lt;4%,"3",IF(CAELS!T18&lt;5%,"4","5"))))</f>
        <v>2</v>
      </c>
      <c r="T27" s="118" t="str">
        <f>IF(CAELS!U18&lt;2%,"1",IF(CAELS!U18&lt;3%,"2",IF(CAELS!U18&lt;4%,"3",IF(CAELS!U18&lt;5%,"4","5"))))</f>
        <v>2</v>
      </c>
      <c r="U27" s="118" t="str">
        <f>IF(CAELS!V18&lt;2%,"1",IF(CAELS!V18&lt;3%,"2",IF(CAELS!V18&lt;4%,"3",IF(CAELS!V18&lt;5%,"4","5"))))</f>
        <v>2</v>
      </c>
      <c r="V27" s="118" t="str">
        <f>IF(CAELS!W18&lt;2%,"1",IF(CAELS!W18&lt;3%,"2",IF(CAELS!W18&lt;4%,"3",IF(CAELS!W18&lt;5%,"4","5"))))</f>
        <v>2</v>
      </c>
      <c r="W27" s="118" t="str">
        <f>IF(CAELS!X18&lt;2%,"1",IF(CAELS!X18&lt;3%,"2",IF(CAELS!X18&lt;4%,"3",IF(CAELS!X18&lt;5%,"4","5"))))</f>
        <v>2</v>
      </c>
      <c r="X27" s="118" t="str">
        <f>IF(CAELS!Y18&lt;2%,"1",IF(CAELS!Y18&lt;3%,"2",IF(CAELS!Y18&lt;4%,"3",IF(CAELS!Y18&lt;5%,"4","5"))))</f>
        <v>1</v>
      </c>
      <c r="Y27" s="118" t="str">
        <f>IF(CAELS!Z18&lt;2%,"1",IF(CAELS!Z18&lt;3%,"2",IF(CAELS!Z18&lt;4%,"3",IF(CAELS!Z18&lt;5%,"4","5"))))</f>
        <v>2</v>
      </c>
      <c r="Z27" s="118" t="str">
        <f>IF(CAELS!AA18&lt;2%,"1",IF(CAELS!AA18&lt;3%,"2",IF(CAELS!AA18&lt;4%,"3",IF(CAELS!AA18&lt;5%,"4","5"))))</f>
        <v>2</v>
      </c>
      <c r="AA27" s="118" t="str">
        <f>IF(CAELS!AB18&lt;2%,"1",IF(CAELS!AB18&lt;3%,"2",IF(CAELS!AB18&lt;4%,"3",IF(CAELS!AB18&lt;5%,"4","5"))))</f>
        <v>2</v>
      </c>
      <c r="AB27" s="118" t="str">
        <f>IF(CAELS!AC18&lt;2%,"1",IF(CAELS!AC18&lt;3%,"2",IF(CAELS!AC18&lt;4%,"3",IF(CAELS!AC18&lt;5%,"4","5"))))</f>
        <v>2</v>
      </c>
      <c r="AC27" s="118" t="str">
        <f>IF(CAELS!AD18&lt;2%,"1",IF(CAELS!AD18&lt;3%,"2",IF(CAELS!AD18&lt;4%,"3",IF(CAELS!AD18&lt;5%,"4","5"))))</f>
        <v>1</v>
      </c>
      <c r="AD27" s="118" t="str">
        <f>IF(CAELS!AE18&lt;2%,"1",IF(CAELS!AE18&lt;3%,"2",IF(CAELS!AE18&lt;4%,"3",IF(CAELS!AE18&lt;5%,"4","5"))))</f>
        <v>1</v>
      </c>
      <c r="AE27" s="118" t="str">
        <f>IF(CAELS!AF18&lt;2%,"1",IF(CAELS!AF18&lt;3%,"2",IF(CAELS!AF18&lt;4%,"3",IF(CAELS!AF18&lt;5%,"4","5"))))</f>
        <v>1</v>
      </c>
      <c r="AF27" s="118" t="str">
        <f>IF(CAELS!AG18&lt;2%,"1",IF(CAELS!AG18&lt;3%,"2",IF(CAELS!AG18&lt;4%,"3",IF(CAELS!AG18&lt;5%,"4","5"))))</f>
        <v>1</v>
      </c>
      <c r="AG27" s="118" t="str">
        <f>IF(CAELS!AH18&lt;2%,"1",IF(CAELS!AH18&lt;3%,"2",IF(CAELS!AH18&lt;4%,"3",IF(CAELS!AH18&lt;5%,"4","5"))))</f>
        <v>1</v>
      </c>
      <c r="AH27" s="118" t="str">
        <f>IF(CAELS!AI18&lt;2%,"1",IF(CAELS!AI18&lt;3%,"2",IF(CAELS!AI18&lt;4%,"3",IF(CAELS!AI18&lt;5%,"4","5"))))</f>
        <v>1</v>
      </c>
      <c r="AI27" s="118" t="str">
        <f>IF(CAELS!AJ18&lt;2%,"1",IF(CAELS!AJ18&lt;3%,"2",IF(CAELS!AJ18&lt;4%,"3",IF(CAELS!AJ18&lt;5%,"4","5"))))</f>
        <v>1</v>
      </c>
      <c r="AJ27" s="118" t="e">
        <f>IF(CAELS!AK18&lt;2%,"1",IF(CAELS!AK18&lt;3%,"2",IF(CAELS!AK18&lt;4%,"3",IF(CAELS!AK18&lt;5%,"4","5"))))</f>
        <v>#DIV/0!</v>
      </c>
      <c r="AK27" s="118" t="e">
        <f>IF(CAELS!AL18&lt;2%,"1",IF(CAELS!AL18&lt;3%,"2",IF(CAELS!AL18&lt;4%,"3",IF(CAELS!AL18&lt;5%,"4","5"))))</f>
        <v>#DIV/0!</v>
      </c>
      <c r="AL27" s="118" t="e">
        <f>IF(CAELS!AM18&lt;2%,"1",IF(CAELS!AM18&lt;3%,"2",IF(CAELS!AM18&lt;4%,"3",IF(CAELS!AM18&lt;5%,"4","5"))))</f>
        <v>#DIV/0!</v>
      </c>
      <c r="AM27" s="118" t="e">
        <f>IF(CAELS!AN18&lt;2%,"1",IF(CAELS!AN18&lt;3%,"2",IF(CAELS!AN18&lt;4%,"3",IF(CAELS!AN18&lt;5%,"4","5"))))</f>
        <v>#DIV/0!</v>
      </c>
      <c r="AN27" s="118" t="e">
        <f>IF(CAELS!AO18&lt;2%,"1",IF(CAELS!AO18&lt;3%,"2",IF(CAELS!AO18&lt;4%,"3",IF(CAELS!AO18&lt;5%,"4","5"))))</f>
        <v>#DIV/0!</v>
      </c>
      <c r="AO27" s="118" t="e">
        <f>IF(CAELS!AP18&lt;2%,"1",IF(CAELS!AP18&lt;3%,"2",IF(CAELS!AP18&lt;4%,"3",IF(CAELS!AP18&lt;5%,"4","5"))))</f>
        <v>#DIV/0!</v>
      </c>
      <c r="AP27" s="118" t="e">
        <f>IF(CAELS!AQ18&lt;2%,"1",IF(CAELS!AQ18&lt;3%,"2",IF(CAELS!AQ18&lt;4%,"3",IF(CAELS!AQ18&lt;5%,"4","5"))))</f>
        <v>#DIV/0!</v>
      </c>
      <c r="AQ27" s="118" t="e">
        <f>IF(CAELS!AR18&lt;2%,"1",IF(CAELS!AR18&lt;3%,"2",IF(CAELS!AR18&lt;4%,"3",IF(CAELS!AR18&lt;5%,"4","5"))))</f>
        <v>#DIV/0!</v>
      </c>
      <c r="AR27" s="118" t="e">
        <f>IF(CAELS!AS18&lt;2%,"1",IF(CAELS!AS18&lt;3%,"2",IF(CAELS!AS18&lt;4%,"3",IF(CAELS!AS18&lt;5%,"4","5"))))</f>
        <v>#DIV/0!</v>
      </c>
      <c r="AS27" s="118" t="e">
        <f>IF(CAELS!AT18&lt;2%,"1",IF(CAELS!AT18&lt;3%,"2",IF(CAELS!AT18&lt;4%,"3",IF(CAELS!AT18&lt;5%,"4","5"))))</f>
        <v>#DIV/0!</v>
      </c>
      <c r="AT27" s="118" t="e">
        <f>IF(CAELS!AU18&lt;2%,"1",IF(CAELS!AU18&lt;3%,"2",IF(CAELS!AU18&lt;4%,"3",IF(CAELS!AU18&lt;5%,"4","5"))))</f>
        <v>#DIV/0!</v>
      </c>
      <c r="AU27" s="118" t="e">
        <f>IF(CAELS!AV18&lt;2%,"1",IF(CAELS!AV18&lt;3%,"2",IF(CAELS!AV18&lt;4%,"3",IF(CAELS!AV18&lt;5%,"4","5"))))</f>
        <v>#DIV/0!</v>
      </c>
      <c r="AV27" s="118" t="e">
        <f>IF(CAELS!AW18&lt;2%,"1",IF(CAELS!AW18&lt;3%,"2",IF(CAELS!AW18&lt;4%,"3",IF(CAELS!AW18&lt;5%,"4","5"))))</f>
        <v>#DIV/0!</v>
      </c>
      <c r="AW27" s="118" t="e">
        <f>IF(CAELS!AX18&lt;2%,"1",IF(CAELS!AX18&lt;3%,"2",IF(CAELS!AX18&lt;4%,"3",IF(CAELS!AX18&lt;5%,"4","5"))))</f>
        <v>#DIV/0!</v>
      </c>
      <c r="AX27" s="118" t="e">
        <f>IF(CAELS!AY18&lt;2%,"1",IF(CAELS!AY18&lt;3%,"2",IF(CAELS!AY18&lt;4%,"3",IF(CAELS!AY18&lt;5%,"4","5"))))</f>
        <v>#DIV/0!</v>
      </c>
      <c r="AY27" s="118" t="str">
        <f>IF(CAELS!AZ18&lt;2%,"1",IF(CAELS!AZ18&lt;3%,"2",IF(CAELS!AZ18&lt;4%,"3",IF(CAELS!AZ18&lt;5%,"4","5"))))</f>
        <v>1</v>
      </c>
      <c r="AZ27" s="118" t="str">
        <f>IF(CAELS!BA18&lt;2%,"1",IF(CAELS!BA18&lt;3%,"2",IF(CAELS!BA18&lt;4%,"3",IF(CAELS!BA18&lt;5%,"4","5"))))</f>
        <v>1</v>
      </c>
      <c r="BA27" s="118" t="str">
        <f>IF(CAELS!BB18&lt;2%,"1",IF(CAELS!BB18&lt;3%,"2",IF(CAELS!BB18&lt;4%,"3",IF(CAELS!BB18&lt;5%,"4","5"))))</f>
        <v>1</v>
      </c>
      <c r="BB27" s="118" t="str">
        <f>IF(CAELS!BC18&lt;2%,"1",IF(CAELS!BC18&lt;3%,"2",IF(CAELS!BC18&lt;4%,"3",IF(CAELS!BC18&lt;5%,"4","5"))))</f>
        <v>1</v>
      </c>
      <c r="BC27" s="118" t="str">
        <f>IF(CAELS!BD18&lt;2%,"1",IF(CAELS!BD18&lt;3%,"2",IF(CAELS!BD18&lt;4%,"3",IF(CAELS!BD18&lt;5%,"4","5"))))</f>
        <v>1</v>
      </c>
      <c r="BD27" s="118" t="str">
        <f>IF(CAELS!BE18&lt;2%,"1",IF(CAELS!BE18&lt;3%,"2",IF(CAELS!BE18&lt;4%,"3",IF(CAELS!BE18&lt;5%,"4","5"))))</f>
        <v>1</v>
      </c>
      <c r="BE27" s="118" t="str">
        <f>IF(CAELS!BF18&lt;2%,"1",IF(CAELS!BF18&lt;3%,"2",IF(CAELS!BF18&lt;4%,"3",IF(CAELS!BF18&lt;5%,"4","5"))))</f>
        <v>1</v>
      </c>
      <c r="BF27" s="118" t="str">
        <f>IF(CAELS!BG18&lt;2%,"1",IF(CAELS!BG18&lt;3%,"2",IF(CAELS!BG18&lt;4%,"3",IF(CAELS!BG18&lt;5%,"4","5"))))</f>
        <v>1</v>
      </c>
      <c r="BG27" s="118" t="str">
        <f>IF(CAELS!BH18&lt;2%,"1",IF(CAELS!BH18&lt;3%,"2",IF(CAELS!BH18&lt;4%,"3",IF(CAELS!BH18&lt;5%,"4","5"))))</f>
        <v>1</v>
      </c>
      <c r="BH27" s="118" t="str">
        <f>IF(CAELS!BI18&lt;2%,"1",IF(CAELS!BI18&lt;3%,"2",IF(CAELS!BI18&lt;4%,"3",IF(CAELS!BI18&lt;5%,"4","5"))))</f>
        <v>1</v>
      </c>
      <c r="BI27" s="118" t="str">
        <f>IF(CAELS!BJ18&lt;2%,"1",IF(CAELS!BJ18&lt;3%,"2",IF(CAELS!BJ18&lt;4%,"3",IF(CAELS!BJ18&lt;5%,"4","5"))))</f>
        <v>1</v>
      </c>
      <c r="BJ27" s="118" t="str">
        <f>IF(CAELS!BK18&lt;2%,"1",IF(CAELS!BK18&lt;3%,"2",IF(CAELS!BK18&lt;4%,"3",IF(CAELS!BK18&lt;5%,"4","5"))))</f>
        <v>1</v>
      </c>
      <c r="BK27" s="118" t="str">
        <f>IF(CAELS!BL18&lt;2%,"1",IF(CAELS!BL18&lt;3%,"2",IF(CAELS!BL18&lt;4%,"3",IF(CAELS!BL18&lt;5%,"4","5"))))</f>
        <v>1</v>
      </c>
      <c r="BL27" s="118" t="str">
        <f>IF(CAELS!BM18&lt;2%,"1",IF(CAELS!BM18&lt;3%,"2",IF(CAELS!BM18&lt;4%,"3",IF(CAELS!BM18&lt;5%,"4","5"))))</f>
        <v>1</v>
      </c>
      <c r="BM27" s="118" t="str">
        <f>IF(CAELS!BN18&lt;2%,"1",IF(CAELS!BN18&lt;3%,"2",IF(CAELS!BN18&lt;4%,"3",IF(CAELS!BN18&lt;5%,"4","5"))))</f>
        <v>1</v>
      </c>
      <c r="BN27" s="118" t="str">
        <f>IF(CAELS!BO18&lt;2%,"1",IF(CAELS!BO18&lt;3%,"2",IF(CAELS!BO18&lt;4%,"3",IF(CAELS!BO18&lt;5%,"4","5"))))</f>
        <v>1</v>
      </c>
      <c r="BO27" s="118" t="str">
        <f>IF(CAELS!BP18&lt;2%,"1",IF(CAELS!BP18&lt;3%,"2",IF(CAELS!BP18&lt;4%,"3",IF(CAELS!BP18&lt;5%,"4","5"))))</f>
        <v>1</v>
      </c>
      <c r="BP27" s="118" t="str">
        <f>IF(CAELS!BQ18&lt;2%,"1",IF(CAELS!BQ18&lt;3%,"2",IF(CAELS!BQ18&lt;4%,"3",IF(CAELS!BQ18&lt;5%,"4","5"))))</f>
        <v>1</v>
      </c>
      <c r="BQ27" s="118" t="str">
        <f>IF(CAELS!BR18&lt;2%,"1",IF(CAELS!BR18&lt;3%,"2",IF(CAELS!BR18&lt;4%,"3",IF(CAELS!BR18&lt;5%,"4","5"))))</f>
        <v>1</v>
      </c>
      <c r="BR27" s="118" t="str">
        <f>IF(CAELS!BS18&lt;2%,"1",IF(CAELS!BS18&lt;3%,"2",IF(CAELS!BS18&lt;4%,"3",IF(CAELS!BS18&lt;5%,"4","5"))))</f>
        <v>1</v>
      </c>
      <c r="BS27" s="118" t="str">
        <f>IF(CAELS!BT18&lt;2%,"1",IF(CAELS!BT18&lt;3%,"2",IF(CAELS!BT18&lt;4%,"3",IF(CAELS!BT18&lt;5%,"4","5"))))</f>
        <v>1</v>
      </c>
      <c r="BT27" s="118" t="str">
        <f>IF(CAELS!BU18&lt;2%,"1",IF(CAELS!BU18&lt;3%,"2",IF(CAELS!BU18&lt;4%,"3",IF(CAELS!BU18&lt;5%,"4","5"))))</f>
        <v>1</v>
      </c>
      <c r="BU27" s="118" t="str">
        <f>IF(CAELS!BV18&lt;2%,"1",IF(CAELS!BV18&lt;3%,"2",IF(CAELS!BV18&lt;4%,"3",IF(CAELS!BV18&lt;5%,"4","5"))))</f>
        <v>1</v>
      </c>
      <c r="BV27" s="118" t="str">
        <f>IF(CAELS!BW18&lt;2%,"1",IF(CAELS!BW18&lt;3%,"2",IF(CAELS!BW18&lt;4%,"3",IF(CAELS!BW18&lt;5%,"4","5"))))</f>
        <v>1</v>
      </c>
      <c r="BW27" s="118" t="str">
        <f>IF(CAELS!BX18&lt;2%,"1",IF(CAELS!BX18&lt;3%,"2",IF(CAELS!BX18&lt;4%,"3",IF(CAELS!BX18&lt;5%,"4","5"))))</f>
        <v>1</v>
      </c>
      <c r="BX27" s="118" t="str">
        <f>IF(CAELS!BY18&lt;2%,"1",IF(CAELS!BY18&lt;3%,"2",IF(CAELS!BY18&lt;4%,"3",IF(CAELS!BY18&lt;5%,"4","5"))))</f>
        <v>1</v>
      </c>
      <c r="BY27" s="118" t="str">
        <f>IF(CAELS!BZ18&lt;2%,"1",IF(CAELS!BZ18&lt;3%,"2",IF(CAELS!BZ18&lt;4%,"3",IF(CAELS!BZ18&lt;5%,"4","5"))))</f>
        <v>1</v>
      </c>
    </row>
    <row r="28" spans="1:77" x14ac:dyDescent="0.3">
      <c r="A28" s="48" t="s">
        <v>217</v>
      </c>
      <c r="B28" s="116" t="s">
        <v>218</v>
      </c>
      <c r="C28" s="118" t="str">
        <f>IF(CAELS!D19&lt;20%,"1",IF(CAELS!D19&lt;25%,"2",IF(CAELS!D19&lt;30%,"3",IF(CAELS!D19&lt;40%,"4","5"))))</f>
        <v>1</v>
      </c>
      <c r="D28" s="118" t="str">
        <f>IF(CAELS!E19&lt;20%,"1",IF(CAELS!E19&lt;25%,"2",IF(CAELS!E19&lt;30%,"3",IF(CAELS!E19&lt;40%,"4","5"))))</f>
        <v>1</v>
      </c>
      <c r="E28" s="118" t="str">
        <f>IF(CAELS!F19&lt;20%,"1",IF(CAELS!F19&lt;25%,"2",IF(CAELS!F19&lt;30%,"3",IF(CAELS!F19&lt;40%,"4","5"))))</f>
        <v>1</v>
      </c>
      <c r="F28" s="118" t="str">
        <f>IF(CAELS!G19&lt;20%,"1",IF(CAELS!G19&lt;25%,"2",IF(CAELS!G19&lt;30%,"3",IF(CAELS!G19&lt;40%,"4","5"))))</f>
        <v>1</v>
      </c>
      <c r="G28" s="118" t="str">
        <f>IF(CAELS!H19&lt;20%,"1",IF(CAELS!H19&lt;25%,"2",IF(CAELS!H19&lt;30%,"3",IF(CAELS!H19&lt;40%,"4","5"))))</f>
        <v>1</v>
      </c>
      <c r="H28" s="118" t="str">
        <f>IF(CAELS!I19&lt;20%,"1",IF(CAELS!I19&lt;25%,"2",IF(CAELS!I19&lt;30%,"3",IF(CAELS!I19&lt;40%,"4","5"))))</f>
        <v>1</v>
      </c>
      <c r="I28" s="118" t="str">
        <f>IF(CAELS!J19&lt;20%,"1",IF(CAELS!J19&lt;25%,"2",IF(CAELS!J19&lt;30%,"3",IF(CAELS!J19&lt;40%,"4","5"))))</f>
        <v>1</v>
      </c>
      <c r="J28" s="118" t="str">
        <f>IF(CAELS!K19&lt;20%,"1",IF(CAELS!K19&lt;25%,"2",IF(CAELS!K19&lt;30%,"3",IF(CAELS!K19&lt;40%,"4","5"))))</f>
        <v>1</v>
      </c>
      <c r="K28" s="118" t="str">
        <f>IF(CAELS!L19&lt;20%,"1",IF(CAELS!L19&lt;25%,"2",IF(CAELS!L19&lt;30%,"3",IF(CAELS!L19&lt;40%,"4","5"))))</f>
        <v>1</v>
      </c>
      <c r="L28" s="118" t="str">
        <f>IF(CAELS!M19&lt;20%,"1",IF(CAELS!M19&lt;25%,"2",IF(CAELS!M19&lt;30%,"3",IF(CAELS!M19&lt;40%,"4","5"))))</f>
        <v>1</v>
      </c>
      <c r="M28" s="118" t="str">
        <f>IF(CAELS!N19&lt;20%,"1",IF(CAELS!N19&lt;25%,"2",IF(CAELS!N19&lt;30%,"3",IF(CAELS!N19&lt;40%,"4","5"))))</f>
        <v>1</v>
      </c>
      <c r="N28" s="118" t="str">
        <f>IF(CAELS!O19&lt;20%,"1",IF(CAELS!O19&lt;25%,"2",IF(CAELS!O19&lt;30%,"3",IF(CAELS!O19&lt;40%,"4","5"))))</f>
        <v>1</v>
      </c>
      <c r="O28" s="118" t="str">
        <f>IF(CAELS!P19&lt;20%,"1",IF(CAELS!P19&lt;25%,"2",IF(CAELS!P19&lt;30%,"3",IF(CAELS!P19&lt;40%,"4","5"))))</f>
        <v>1</v>
      </c>
      <c r="P28" s="118" t="str">
        <f>IF(CAELS!Q19&lt;20%,"1",IF(CAELS!Q19&lt;25%,"2",IF(CAELS!Q19&lt;30%,"3",IF(CAELS!Q19&lt;40%,"4","5"))))</f>
        <v>1</v>
      </c>
      <c r="Q28" s="118" t="str">
        <f>IF(CAELS!R19&lt;20%,"1",IF(CAELS!R19&lt;25%,"2",IF(CAELS!R19&lt;30%,"3",IF(CAELS!R19&lt;40%,"4","5"))))</f>
        <v>1</v>
      </c>
      <c r="R28" s="118" t="str">
        <f>IF(CAELS!S19&lt;20%,"1",IF(CAELS!S19&lt;25%,"2",IF(CAELS!S19&lt;30%,"3",IF(CAELS!S19&lt;40%,"4","5"))))</f>
        <v>1</v>
      </c>
      <c r="S28" s="118" t="str">
        <f>IF(CAELS!T19&lt;20%,"1",IF(CAELS!T19&lt;25%,"2",IF(CAELS!T19&lt;30%,"3",IF(CAELS!T19&lt;40%,"4","5"))))</f>
        <v>1</v>
      </c>
      <c r="T28" s="118" t="str">
        <f>IF(CAELS!U19&lt;20%,"1",IF(CAELS!U19&lt;25%,"2",IF(CAELS!U19&lt;30%,"3",IF(CAELS!U19&lt;40%,"4","5"))))</f>
        <v>1</v>
      </c>
      <c r="U28" s="118" t="str">
        <f>IF(CAELS!V19&lt;20%,"1",IF(CAELS!V19&lt;25%,"2",IF(CAELS!V19&lt;30%,"3",IF(CAELS!V19&lt;40%,"4","5"))))</f>
        <v>1</v>
      </c>
      <c r="V28" s="118" t="str">
        <f>IF(CAELS!W19&lt;20%,"1",IF(CAELS!W19&lt;25%,"2",IF(CAELS!W19&lt;30%,"3",IF(CAELS!W19&lt;40%,"4","5"))))</f>
        <v>1</v>
      </c>
      <c r="W28" s="118" t="str">
        <f>IF(CAELS!X19&lt;20%,"1",IF(CAELS!X19&lt;25%,"2",IF(CAELS!X19&lt;30%,"3",IF(CAELS!X19&lt;40%,"4","5"))))</f>
        <v>1</v>
      </c>
      <c r="X28" s="118" t="str">
        <f>IF(CAELS!Y19&lt;20%,"1",IF(CAELS!Y19&lt;25%,"2",IF(CAELS!Y19&lt;30%,"3",IF(CAELS!Y19&lt;40%,"4","5"))))</f>
        <v>1</v>
      </c>
      <c r="Y28" s="118" t="str">
        <f>IF(CAELS!Z19&lt;20%,"1",IF(CAELS!Z19&lt;25%,"2",IF(CAELS!Z19&lt;30%,"3",IF(CAELS!Z19&lt;40%,"4","5"))))</f>
        <v>1</v>
      </c>
      <c r="Z28" s="118" t="str">
        <f>IF(CAELS!AA19&lt;20%,"1",IF(CAELS!AA19&lt;25%,"2",IF(CAELS!AA19&lt;30%,"3",IF(CAELS!AA19&lt;40%,"4","5"))))</f>
        <v>1</v>
      </c>
      <c r="AA28" s="118" t="str">
        <f>IF(CAELS!AB19&lt;20%,"1",IF(CAELS!AB19&lt;25%,"2",IF(CAELS!AB19&lt;30%,"3",IF(CAELS!AB19&lt;40%,"4","5"))))</f>
        <v>1</v>
      </c>
      <c r="AB28" s="118" t="str">
        <f>IF(CAELS!AC19&lt;20%,"1",IF(CAELS!AC19&lt;25%,"2",IF(CAELS!AC19&lt;30%,"3",IF(CAELS!AC19&lt;40%,"4","5"))))</f>
        <v>1</v>
      </c>
      <c r="AC28" s="118" t="str">
        <f>IF(CAELS!AD19&lt;20%,"1",IF(CAELS!AD19&lt;25%,"2",IF(CAELS!AD19&lt;30%,"3",IF(CAELS!AD19&lt;40%,"4","5"))))</f>
        <v>1</v>
      </c>
      <c r="AD28" s="118" t="str">
        <f>IF(CAELS!AE19&lt;20%,"1",IF(CAELS!AE19&lt;25%,"2",IF(CAELS!AE19&lt;30%,"3",IF(CAELS!AE19&lt;40%,"4","5"))))</f>
        <v>1</v>
      </c>
      <c r="AE28" s="118" t="str">
        <f>IF(CAELS!AF19&lt;20%,"1",IF(CAELS!AF19&lt;25%,"2",IF(CAELS!AF19&lt;30%,"3",IF(CAELS!AF19&lt;40%,"4","5"))))</f>
        <v>1</v>
      </c>
      <c r="AF28" s="118" t="str">
        <f>IF(CAELS!AG19&lt;20%,"1",IF(CAELS!AG19&lt;25%,"2",IF(CAELS!AG19&lt;30%,"3",IF(CAELS!AG19&lt;40%,"4","5"))))</f>
        <v>1</v>
      </c>
      <c r="AG28" s="118" t="str">
        <f>IF(CAELS!AH19&lt;20%,"1",IF(CAELS!AH19&lt;25%,"2",IF(CAELS!AH19&lt;30%,"3",IF(CAELS!AH19&lt;40%,"4","5"))))</f>
        <v>1</v>
      </c>
      <c r="AH28" s="118" t="str">
        <f>IF(CAELS!AI19&lt;20%,"1",IF(CAELS!AI19&lt;25%,"2",IF(CAELS!AI19&lt;30%,"3",IF(CAELS!AI19&lt;40%,"4","5"))))</f>
        <v>1</v>
      </c>
      <c r="AI28" s="118" t="str">
        <f>IF(CAELS!AJ19&lt;20%,"1",IF(CAELS!AJ19&lt;25%,"2",IF(CAELS!AJ19&lt;30%,"3",IF(CAELS!AJ19&lt;40%,"4","5"))))</f>
        <v>1</v>
      </c>
      <c r="AJ28" s="118" t="e">
        <f>IF(CAELS!AK19&lt;20%,"1",IF(CAELS!AK19&lt;25%,"2",IF(CAELS!AK19&lt;30%,"3",IF(CAELS!AK19&lt;40%,"4","5"))))</f>
        <v>#DIV/0!</v>
      </c>
      <c r="AK28" s="118" t="e">
        <f>IF(CAELS!AL19&lt;20%,"1",IF(CAELS!AL19&lt;25%,"2",IF(CAELS!AL19&lt;30%,"3",IF(CAELS!AL19&lt;40%,"4","5"))))</f>
        <v>#DIV/0!</v>
      </c>
      <c r="AL28" s="118" t="e">
        <f>IF(CAELS!AM19&lt;20%,"1",IF(CAELS!AM19&lt;25%,"2",IF(CAELS!AM19&lt;30%,"3",IF(CAELS!AM19&lt;40%,"4","5"))))</f>
        <v>#DIV/0!</v>
      </c>
      <c r="AM28" s="118" t="e">
        <f>IF(CAELS!AN19&lt;20%,"1",IF(CAELS!AN19&lt;25%,"2",IF(CAELS!AN19&lt;30%,"3",IF(CAELS!AN19&lt;40%,"4","5"))))</f>
        <v>#DIV/0!</v>
      </c>
      <c r="AN28" s="118" t="e">
        <f>IF(CAELS!AO19&lt;20%,"1",IF(CAELS!AO19&lt;25%,"2",IF(CAELS!AO19&lt;30%,"3",IF(CAELS!AO19&lt;40%,"4","5"))))</f>
        <v>#DIV/0!</v>
      </c>
      <c r="AO28" s="118" t="e">
        <f>IF(CAELS!AP19&lt;20%,"1",IF(CAELS!AP19&lt;25%,"2",IF(CAELS!AP19&lt;30%,"3",IF(CAELS!AP19&lt;40%,"4","5"))))</f>
        <v>#DIV/0!</v>
      </c>
      <c r="AP28" s="118" t="e">
        <f>IF(CAELS!AQ19&lt;20%,"1",IF(CAELS!AQ19&lt;25%,"2",IF(CAELS!AQ19&lt;30%,"3",IF(CAELS!AQ19&lt;40%,"4","5"))))</f>
        <v>#DIV/0!</v>
      </c>
      <c r="AQ28" s="118" t="e">
        <f>IF(CAELS!AR19&lt;20%,"1",IF(CAELS!AR19&lt;25%,"2",IF(CAELS!AR19&lt;30%,"3",IF(CAELS!AR19&lt;40%,"4","5"))))</f>
        <v>#DIV/0!</v>
      </c>
      <c r="AR28" s="118" t="e">
        <f>IF(CAELS!AS19&lt;20%,"1",IF(CAELS!AS19&lt;25%,"2",IF(CAELS!AS19&lt;30%,"3",IF(CAELS!AS19&lt;40%,"4","5"))))</f>
        <v>#DIV/0!</v>
      </c>
      <c r="AS28" s="118" t="e">
        <f>IF(CAELS!AT19&lt;20%,"1",IF(CAELS!AT19&lt;25%,"2",IF(CAELS!AT19&lt;30%,"3",IF(CAELS!AT19&lt;40%,"4","5"))))</f>
        <v>#DIV/0!</v>
      </c>
      <c r="AT28" s="118" t="e">
        <f>IF(CAELS!AU19&lt;20%,"1",IF(CAELS!AU19&lt;25%,"2",IF(CAELS!AU19&lt;30%,"3",IF(CAELS!AU19&lt;40%,"4","5"))))</f>
        <v>#DIV/0!</v>
      </c>
      <c r="AU28" s="118" t="e">
        <f>IF(CAELS!AV19&lt;20%,"1",IF(CAELS!AV19&lt;25%,"2",IF(CAELS!AV19&lt;30%,"3",IF(CAELS!AV19&lt;40%,"4","5"))))</f>
        <v>#DIV/0!</v>
      </c>
      <c r="AV28" s="118" t="e">
        <f>IF(CAELS!AW19&lt;20%,"1",IF(CAELS!AW19&lt;25%,"2",IF(CAELS!AW19&lt;30%,"3",IF(CAELS!AW19&lt;40%,"4","5"))))</f>
        <v>#DIV/0!</v>
      </c>
      <c r="AW28" s="118" t="e">
        <f>IF(CAELS!AX19&lt;20%,"1",IF(CAELS!AX19&lt;25%,"2",IF(CAELS!AX19&lt;30%,"3",IF(CAELS!AX19&lt;40%,"4","5"))))</f>
        <v>#DIV/0!</v>
      </c>
      <c r="AX28" s="118" t="e">
        <f>IF(CAELS!AY19&lt;20%,"1",IF(CAELS!AY19&lt;25%,"2",IF(CAELS!AY19&lt;30%,"3",IF(CAELS!AY19&lt;40%,"4","5"))))</f>
        <v>#DIV/0!</v>
      </c>
      <c r="AY28" s="118" t="str">
        <f>IF(CAELS!AZ19&lt;20%,"1",IF(CAELS!AZ19&lt;25%,"2",IF(CAELS!AZ19&lt;30%,"3",IF(CAELS!AZ19&lt;40%,"4","5"))))</f>
        <v>1</v>
      </c>
      <c r="AZ28" s="118" t="str">
        <f>IF(CAELS!BA19&lt;20%,"1",IF(CAELS!BA19&lt;25%,"2",IF(CAELS!BA19&lt;30%,"3",IF(CAELS!BA19&lt;40%,"4","5"))))</f>
        <v>1</v>
      </c>
      <c r="BA28" s="118" t="str">
        <f>IF(CAELS!BB19&lt;20%,"1",IF(CAELS!BB19&lt;25%,"2",IF(CAELS!BB19&lt;30%,"3",IF(CAELS!BB19&lt;40%,"4","5"))))</f>
        <v>1</v>
      </c>
      <c r="BB28" s="118" t="str">
        <f>IF(CAELS!BC19&lt;20%,"1",IF(CAELS!BC19&lt;25%,"2",IF(CAELS!BC19&lt;30%,"3",IF(CAELS!BC19&lt;40%,"4","5"))))</f>
        <v>1</v>
      </c>
      <c r="BC28" s="118" t="str">
        <f>IF(CAELS!BD19&lt;20%,"1",IF(CAELS!BD19&lt;25%,"2",IF(CAELS!BD19&lt;30%,"3",IF(CAELS!BD19&lt;40%,"4","5"))))</f>
        <v>1</v>
      </c>
      <c r="BD28" s="118" t="str">
        <f>IF(CAELS!BE19&lt;20%,"1",IF(CAELS!BE19&lt;25%,"2",IF(CAELS!BE19&lt;30%,"3",IF(CAELS!BE19&lt;40%,"4","5"))))</f>
        <v>1</v>
      </c>
      <c r="BE28" s="118" t="str">
        <f>IF(CAELS!BF19&lt;20%,"1",IF(CAELS!BF19&lt;25%,"2",IF(CAELS!BF19&lt;30%,"3",IF(CAELS!BF19&lt;40%,"4","5"))))</f>
        <v>1</v>
      </c>
      <c r="BF28" s="118" t="str">
        <f>IF(CAELS!BG19&lt;20%,"1",IF(CAELS!BG19&lt;25%,"2",IF(CAELS!BG19&lt;30%,"3",IF(CAELS!BG19&lt;40%,"4","5"))))</f>
        <v>1</v>
      </c>
      <c r="BG28" s="118" t="str">
        <f>IF(CAELS!BH19&lt;20%,"1",IF(CAELS!BH19&lt;25%,"2",IF(CAELS!BH19&lt;30%,"3",IF(CAELS!BH19&lt;40%,"4","5"))))</f>
        <v>1</v>
      </c>
      <c r="BH28" s="118" t="str">
        <f>IF(CAELS!BI19&lt;20%,"1",IF(CAELS!BI19&lt;25%,"2",IF(CAELS!BI19&lt;30%,"3",IF(CAELS!BI19&lt;40%,"4","5"))))</f>
        <v>1</v>
      </c>
      <c r="BI28" s="118" t="str">
        <f>IF(CAELS!BJ19&lt;20%,"1",IF(CAELS!BJ19&lt;25%,"2",IF(CAELS!BJ19&lt;30%,"3",IF(CAELS!BJ19&lt;40%,"4","5"))))</f>
        <v>1</v>
      </c>
      <c r="BJ28" s="118" t="str">
        <f>IF(CAELS!BK19&lt;20%,"1",IF(CAELS!BK19&lt;25%,"2",IF(CAELS!BK19&lt;30%,"3",IF(CAELS!BK19&lt;40%,"4","5"))))</f>
        <v>1</v>
      </c>
      <c r="BK28" s="118" t="str">
        <f>IF(CAELS!BL19&lt;20%,"1",IF(CAELS!BL19&lt;25%,"2",IF(CAELS!BL19&lt;30%,"3",IF(CAELS!BL19&lt;40%,"4","5"))))</f>
        <v>1</v>
      </c>
      <c r="BL28" s="118" t="str">
        <f>IF(CAELS!BM19&lt;20%,"1",IF(CAELS!BM19&lt;25%,"2",IF(CAELS!BM19&lt;30%,"3",IF(CAELS!BM19&lt;40%,"4","5"))))</f>
        <v>1</v>
      </c>
      <c r="BM28" s="118" t="str">
        <f>IF(CAELS!BN19&lt;20%,"1",IF(CAELS!BN19&lt;25%,"2",IF(CAELS!BN19&lt;30%,"3",IF(CAELS!BN19&lt;40%,"4","5"))))</f>
        <v>1</v>
      </c>
      <c r="BN28" s="118" t="str">
        <f>IF(CAELS!BO19&lt;20%,"1",IF(CAELS!BO19&lt;25%,"2",IF(CAELS!BO19&lt;30%,"3",IF(CAELS!BO19&lt;40%,"4","5"))))</f>
        <v>1</v>
      </c>
      <c r="BO28" s="118" t="str">
        <f>IF(CAELS!BP19&lt;20%,"1",IF(CAELS!BP19&lt;25%,"2",IF(CAELS!BP19&lt;30%,"3",IF(CAELS!BP19&lt;40%,"4","5"))))</f>
        <v>1</v>
      </c>
      <c r="BP28" s="118" t="str">
        <f>IF(CAELS!BQ19&lt;20%,"1",IF(CAELS!BQ19&lt;25%,"2",IF(CAELS!BQ19&lt;30%,"3",IF(CAELS!BQ19&lt;40%,"4","5"))))</f>
        <v>1</v>
      </c>
      <c r="BQ28" s="118" t="str">
        <f>IF(CAELS!BR19&lt;20%,"1",IF(CAELS!BR19&lt;25%,"2",IF(CAELS!BR19&lt;30%,"3",IF(CAELS!BR19&lt;40%,"4","5"))))</f>
        <v>1</v>
      </c>
      <c r="BR28" s="118" t="str">
        <f>IF(CAELS!BS19&lt;20%,"1",IF(CAELS!BS19&lt;25%,"2",IF(CAELS!BS19&lt;30%,"3",IF(CAELS!BS19&lt;40%,"4","5"))))</f>
        <v>1</v>
      </c>
      <c r="BS28" s="118" t="str">
        <f>IF(CAELS!BT19&lt;20%,"1",IF(CAELS!BT19&lt;25%,"2",IF(CAELS!BT19&lt;30%,"3",IF(CAELS!BT19&lt;40%,"4","5"))))</f>
        <v>1</v>
      </c>
      <c r="BT28" s="118" t="str">
        <f>IF(CAELS!BU19&lt;20%,"1",IF(CAELS!BU19&lt;25%,"2",IF(CAELS!BU19&lt;30%,"3",IF(CAELS!BU19&lt;40%,"4","5"))))</f>
        <v>1</v>
      </c>
      <c r="BU28" s="118" t="str">
        <f>IF(CAELS!BV19&lt;20%,"1",IF(CAELS!BV19&lt;25%,"2",IF(CAELS!BV19&lt;30%,"3",IF(CAELS!BV19&lt;40%,"4","5"))))</f>
        <v>1</v>
      </c>
      <c r="BV28" s="118" t="str">
        <f>IF(CAELS!BW19&lt;20%,"1",IF(CAELS!BW19&lt;25%,"2",IF(CAELS!BW19&lt;30%,"3",IF(CAELS!BW19&lt;40%,"4","5"))))</f>
        <v>1</v>
      </c>
      <c r="BW28" s="118" t="str">
        <f>IF(CAELS!BX19&lt;20%,"1",IF(CAELS!BX19&lt;25%,"2",IF(CAELS!BX19&lt;30%,"3",IF(CAELS!BX19&lt;40%,"4","5"))))</f>
        <v>1</v>
      </c>
      <c r="BX28" s="118" t="str">
        <f>IF(CAELS!BY19&lt;20%,"1",IF(CAELS!BY19&lt;25%,"2",IF(CAELS!BY19&lt;30%,"3",IF(CAELS!BY19&lt;40%,"4","5"))))</f>
        <v>1</v>
      </c>
      <c r="BY28" s="118" t="str">
        <f>IF(CAELS!BZ19&lt;20%,"1",IF(CAELS!BZ19&lt;25%,"2",IF(CAELS!BZ19&lt;30%,"3",IF(CAELS!BZ19&lt;40%,"4","5"))))</f>
        <v>1</v>
      </c>
    </row>
    <row r="29" spans="1:77" x14ac:dyDescent="0.3">
      <c r="A29" s="48"/>
      <c r="B29" s="2"/>
      <c r="C29" s="132">
        <f t="shared" ref="C29:K29" si="12">(C25+C26+C27+C28)/4</f>
        <v>2.5</v>
      </c>
      <c r="D29" s="132">
        <f t="shared" si="12"/>
        <v>2.75</v>
      </c>
      <c r="E29" s="132">
        <f t="shared" si="12"/>
        <v>3</v>
      </c>
      <c r="F29" s="132">
        <f t="shared" si="12"/>
        <v>3</v>
      </c>
      <c r="G29" s="132">
        <f t="shared" si="12"/>
        <v>3</v>
      </c>
      <c r="H29" s="132">
        <f t="shared" si="12"/>
        <v>3</v>
      </c>
      <c r="I29" s="132">
        <f t="shared" si="12"/>
        <v>3</v>
      </c>
      <c r="J29" s="132">
        <f t="shared" si="12"/>
        <v>3</v>
      </c>
      <c r="K29" s="132">
        <f t="shared" si="12"/>
        <v>3</v>
      </c>
      <c r="L29" s="132">
        <f t="shared" ref="L29:S29" si="13">(L25+L26+L27+L28)/4</f>
        <v>3</v>
      </c>
      <c r="M29" s="132">
        <f t="shared" si="13"/>
        <v>3</v>
      </c>
      <c r="N29" s="132">
        <f t="shared" si="13"/>
        <v>3</v>
      </c>
      <c r="O29" s="132">
        <f t="shared" si="13"/>
        <v>2.75</v>
      </c>
      <c r="P29" s="132">
        <f t="shared" si="13"/>
        <v>2.75</v>
      </c>
      <c r="Q29" s="132">
        <f t="shared" si="13"/>
        <v>2.5</v>
      </c>
      <c r="R29" s="132">
        <f t="shared" si="13"/>
        <v>2.75</v>
      </c>
      <c r="S29" s="132">
        <f t="shared" si="13"/>
        <v>2.75</v>
      </c>
      <c r="T29" s="132">
        <f>(T25+T26+T27+T28)/4</f>
        <v>2.75</v>
      </c>
      <c r="U29" s="132">
        <f>(U25+U26+U27+U28)/4</f>
        <v>2.75</v>
      </c>
      <c r="V29" s="132">
        <f t="shared" ref="V29:BY29" si="14">(V25+V26+V27+V28)/4</f>
        <v>2.75</v>
      </c>
      <c r="W29" s="132">
        <f t="shared" si="14"/>
        <v>2.75</v>
      </c>
      <c r="X29" s="132">
        <f t="shared" si="14"/>
        <v>2.25</v>
      </c>
      <c r="Y29" s="132">
        <f t="shared" si="14"/>
        <v>2.5</v>
      </c>
      <c r="Z29" s="132">
        <f t="shared" si="14"/>
        <v>2.5</v>
      </c>
      <c r="AA29" s="132">
        <f t="shared" si="14"/>
        <v>2.5</v>
      </c>
      <c r="AB29" s="132">
        <f t="shared" si="14"/>
        <v>2.5</v>
      </c>
      <c r="AC29" s="132">
        <f t="shared" si="14"/>
        <v>2</v>
      </c>
      <c r="AD29" s="132">
        <f t="shared" si="14"/>
        <v>2</v>
      </c>
      <c r="AE29" s="132">
        <f t="shared" si="14"/>
        <v>2.25</v>
      </c>
      <c r="AF29" s="132">
        <f t="shared" si="14"/>
        <v>2.25</v>
      </c>
      <c r="AG29" s="132">
        <f t="shared" si="14"/>
        <v>2</v>
      </c>
      <c r="AH29" s="132">
        <f t="shared" si="14"/>
        <v>2.25</v>
      </c>
      <c r="AI29" s="132">
        <f t="shared" si="14"/>
        <v>2.25</v>
      </c>
      <c r="AJ29" s="132" t="e">
        <f t="shared" si="14"/>
        <v>#DIV/0!</v>
      </c>
      <c r="AK29" s="132" t="e">
        <f t="shared" si="14"/>
        <v>#DIV/0!</v>
      </c>
      <c r="AL29" s="132" t="e">
        <f t="shared" si="14"/>
        <v>#DIV/0!</v>
      </c>
      <c r="AM29" s="132" t="e">
        <f t="shared" si="14"/>
        <v>#DIV/0!</v>
      </c>
      <c r="AN29" s="132" t="e">
        <f t="shared" si="14"/>
        <v>#DIV/0!</v>
      </c>
      <c r="AO29" s="132" t="e">
        <f t="shared" si="14"/>
        <v>#DIV/0!</v>
      </c>
      <c r="AP29" s="132" t="e">
        <f t="shared" si="14"/>
        <v>#DIV/0!</v>
      </c>
      <c r="AQ29" s="132" t="e">
        <f t="shared" si="14"/>
        <v>#DIV/0!</v>
      </c>
      <c r="AR29" s="132" t="e">
        <f t="shared" si="14"/>
        <v>#DIV/0!</v>
      </c>
      <c r="AS29" s="132" t="e">
        <f t="shared" si="14"/>
        <v>#DIV/0!</v>
      </c>
      <c r="AT29" s="132" t="e">
        <f t="shared" si="14"/>
        <v>#DIV/0!</v>
      </c>
      <c r="AU29" s="132" t="e">
        <f t="shared" si="14"/>
        <v>#DIV/0!</v>
      </c>
      <c r="AV29" s="132" t="e">
        <f t="shared" si="14"/>
        <v>#DIV/0!</v>
      </c>
      <c r="AW29" s="132" t="e">
        <f t="shared" si="14"/>
        <v>#DIV/0!</v>
      </c>
      <c r="AX29" s="132" t="e">
        <f t="shared" si="14"/>
        <v>#DIV/0!</v>
      </c>
      <c r="AY29" s="132">
        <f t="shared" si="14"/>
        <v>1</v>
      </c>
      <c r="AZ29" s="132">
        <f t="shared" si="14"/>
        <v>1</v>
      </c>
      <c r="BA29" s="132">
        <f t="shared" si="14"/>
        <v>1</v>
      </c>
      <c r="BB29" s="132">
        <f t="shared" si="14"/>
        <v>1</v>
      </c>
      <c r="BC29" s="132">
        <f t="shared" si="14"/>
        <v>1</v>
      </c>
      <c r="BD29" s="132">
        <f t="shared" si="14"/>
        <v>1</v>
      </c>
      <c r="BE29" s="132">
        <f t="shared" si="14"/>
        <v>1</v>
      </c>
      <c r="BF29" s="132">
        <f t="shared" si="14"/>
        <v>1</v>
      </c>
      <c r="BG29" s="132">
        <f t="shared" si="14"/>
        <v>1</v>
      </c>
      <c r="BH29" s="132">
        <f t="shared" si="14"/>
        <v>1</v>
      </c>
      <c r="BI29" s="132">
        <f t="shared" si="14"/>
        <v>1</v>
      </c>
      <c r="BJ29" s="132">
        <f t="shared" si="14"/>
        <v>1</v>
      </c>
      <c r="BK29" s="132">
        <f t="shared" si="14"/>
        <v>1</v>
      </c>
      <c r="BL29" s="132">
        <f t="shared" si="14"/>
        <v>1</v>
      </c>
      <c r="BM29" s="132">
        <f t="shared" si="14"/>
        <v>1</v>
      </c>
      <c r="BN29" s="132">
        <f t="shared" si="14"/>
        <v>1</v>
      </c>
      <c r="BO29" s="132">
        <f t="shared" si="14"/>
        <v>1</v>
      </c>
      <c r="BP29" s="132">
        <f t="shared" si="14"/>
        <v>1</v>
      </c>
      <c r="BQ29" s="132">
        <f t="shared" si="14"/>
        <v>1</v>
      </c>
      <c r="BR29" s="132">
        <f t="shared" si="14"/>
        <v>1</v>
      </c>
      <c r="BS29" s="132">
        <f t="shared" si="14"/>
        <v>1</v>
      </c>
      <c r="BT29" s="132">
        <f t="shared" si="14"/>
        <v>1</v>
      </c>
      <c r="BU29" s="132">
        <f t="shared" si="14"/>
        <v>1</v>
      </c>
      <c r="BV29" s="132">
        <f t="shared" si="14"/>
        <v>1</v>
      </c>
      <c r="BW29" s="132">
        <f t="shared" si="14"/>
        <v>1</v>
      </c>
      <c r="BX29" s="132">
        <f t="shared" si="14"/>
        <v>1</v>
      </c>
      <c r="BY29" s="132">
        <f t="shared" si="14"/>
        <v>1</v>
      </c>
    </row>
    <row r="30" spans="1:77" ht="15" thickBot="1" x14ac:dyDescent="0.35">
      <c r="A30" s="123" t="s">
        <v>219</v>
      </c>
      <c r="B30" s="124"/>
      <c r="C30" s="133">
        <f t="shared" ref="C30:K30" si="15">(C9+C12+C17+C23)/4</f>
        <v>1.7708333333333333</v>
      </c>
      <c r="D30" s="133">
        <f t="shared" si="15"/>
        <v>1.5416666666666665</v>
      </c>
      <c r="E30" s="133">
        <f t="shared" si="15"/>
        <v>1.125</v>
      </c>
      <c r="F30" s="133">
        <f t="shared" si="15"/>
        <v>1.125</v>
      </c>
      <c r="G30" s="133">
        <f t="shared" si="15"/>
        <v>1.5416666666666665</v>
      </c>
      <c r="H30" s="133">
        <f t="shared" si="15"/>
        <v>1.125</v>
      </c>
      <c r="I30" s="133">
        <f t="shared" si="15"/>
        <v>1.1458333333333335</v>
      </c>
      <c r="J30" s="133">
        <f t="shared" si="15"/>
        <v>1.2291666666666665</v>
      </c>
      <c r="K30" s="133">
        <f t="shared" si="15"/>
        <v>1.3125</v>
      </c>
      <c r="L30" s="133">
        <f t="shared" ref="L30:S30" si="16">(L9+L12+L17+L23)/4</f>
        <v>1.7083333333333335</v>
      </c>
      <c r="M30" s="133">
        <f t="shared" si="16"/>
        <v>1.3958333333333335</v>
      </c>
      <c r="N30" s="133">
        <f t="shared" si="16"/>
        <v>1.3125</v>
      </c>
      <c r="O30" s="133">
        <f t="shared" si="16"/>
        <v>1.4791666666666665</v>
      </c>
      <c r="P30" s="133">
        <f t="shared" si="16"/>
        <v>1.3958333333333335</v>
      </c>
      <c r="Q30" s="133">
        <f t="shared" si="16"/>
        <v>1.5416666666666665</v>
      </c>
      <c r="R30" s="133">
        <f t="shared" si="16"/>
        <v>1.6458333333333335</v>
      </c>
      <c r="S30" s="133">
        <f t="shared" si="16"/>
        <v>1.4791666666666665</v>
      </c>
      <c r="T30" s="133">
        <f>(T9+T12+T17+T23)/4</f>
        <v>1.2291666666666665</v>
      </c>
      <c r="U30" s="133">
        <f>(U9+U12+U17+U23)/4</f>
        <v>1.3958333333333335</v>
      </c>
      <c r="V30" s="133">
        <f t="shared" ref="V30:BY30" si="17">(V9+V12+V17+V23)/4</f>
        <v>1.3958333333333335</v>
      </c>
      <c r="W30" s="133">
        <f t="shared" si="17"/>
        <v>2.5625</v>
      </c>
      <c r="X30" s="133">
        <f t="shared" si="17"/>
        <v>1.625</v>
      </c>
      <c r="Y30" s="133">
        <f t="shared" si="17"/>
        <v>1.5625</v>
      </c>
      <c r="Z30" s="133">
        <f t="shared" si="17"/>
        <v>2.5625</v>
      </c>
      <c r="AA30" s="133">
        <f t="shared" si="17"/>
        <v>1.5625</v>
      </c>
      <c r="AB30" s="133">
        <f t="shared" si="17"/>
        <v>1.5625</v>
      </c>
      <c r="AC30" s="133">
        <f t="shared" si="17"/>
        <v>2.6458333333333335</v>
      </c>
      <c r="AD30" s="133">
        <f t="shared" si="17"/>
        <v>2.7916666666666665</v>
      </c>
      <c r="AE30" s="133">
        <f t="shared" si="17"/>
        <v>1.3125</v>
      </c>
      <c r="AF30" s="133">
        <f t="shared" si="17"/>
        <v>1.375</v>
      </c>
      <c r="AG30" s="133">
        <f t="shared" si="17"/>
        <v>1.3125</v>
      </c>
      <c r="AH30" s="133">
        <f t="shared" si="17"/>
        <v>1.3125</v>
      </c>
      <c r="AI30" s="133">
        <f t="shared" si="17"/>
        <v>1.5625</v>
      </c>
      <c r="AJ30" s="133" t="e">
        <f t="shared" si="17"/>
        <v>#DIV/0!</v>
      </c>
      <c r="AK30" s="133" t="e">
        <f t="shared" si="17"/>
        <v>#DIV/0!</v>
      </c>
      <c r="AL30" s="133" t="e">
        <f t="shared" si="17"/>
        <v>#DIV/0!</v>
      </c>
      <c r="AM30" s="133" t="e">
        <f t="shared" si="17"/>
        <v>#DIV/0!</v>
      </c>
      <c r="AN30" s="133" t="e">
        <f t="shared" si="17"/>
        <v>#DIV/0!</v>
      </c>
      <c r="AO30" s="133" t="e">
        <f t="shared" si="17"/>
        <v>#DIV/0!</v>
      </c>
      <c r="AP30" s="133" t="e">
        <f t="shared" si="17"/>
        <v>#DIV/0!</v>
      </c>
      <c r="AQ30" s="133" t="e">
        <f t="shared" si="17"/>
        <v>#DIV/0!</v>
      </c>
      <c r="AR30" s="133" t="e">
        <f t="shared" si="17"/>
        <v>#DIV/0!</v>
      </c>
      <c r="AS30" s="133" t="e">
        <f t="shared" si="17"/>
        <v>#DIV/0!</v>
      </c>
      <c r="AT30" s="133" t="e">
        <f t="shared" si="17"/>
        <v>#DIV/0!</v>
      </c>
      <c r="AU30" s="133" t="e">
        <f t="shared" si="17"/>
        <v>#DIV/0!</v>
      </c>
      <c r="AV30" s="133" t="e">
        <f t="shared" si="17"/>
        <v>#DIV/0!</v>
      </c>
      <c r="AW30" s="133" t="e">
        <f t="shared" si="17"/>
        <v>#DIV/0!</v>
      </c>
      <c r="AX30" s="133" t="e">
        <f t="shared" si="17"/>
        <v>#DIV/0!</v>
      </c>
      <c r="AY30" s="133">
        <f t="shared" si="17"/>
        <v>3.0833333333333335</v>
      </c>
      <c r="AZ30" s="133">
        <f t="shared" si="17"/>
        <v>3.0833333333333335</v>
      </c>
      <c r="BA30" s="133">
        <f t="shared" si="17"/>
        <v>3.0833333333333335</v>
      </c>
      <c r="BB30" s="133">
        <f t="shared" si="17"/>
        <v>3.0833333333333335</v>
      </c>
      <c r="BC30" s="133">
        <f t="shared" si="17"/>
        <v>3.0833333333333335</v>
      </c>
      <c r="BD30" s="133">
        <f t="shared" si="17"/>
        <v>3.0833333333333335</v>
      </c>
      <c r="BE30" s="133">
        <f t="shared" si="17"/>
        <v>3.0833333333333335</v>
      </c>
      <c r="BF30" s="133">
        <f t="shared" si="17"/>
        <v>3.0833333333333335</v>
      </c>
      <c r="BG30" s="133">
        <f t="shared" si="17"/>
        <v>3.0833333333333335</v>
      </c>
      <c r="BH30" s="133">
        <f t="shared" si="17"/>
        <v>3.0833333333333335</v>
      </c>
      <c r="BI30" s="133">
        <f t="shared" si="17"/>
        <v>3.0833333333333335</v>
      </c>
      <c r="BJ30" s="133">
        <f t="shared" si="17"/>
        <v>3.0833333333333335</v>
      </c>
      <c r="BK30" s="133">
        <f t="shared" si="17"/>
        <v>3.0833333333333335</v>
      </c>
      <c r="BL30" s="133">
        <f t="shared" si="17"/>
        <v>3.0833333333333335</v>
      </c>
      <c r="BM30" s="133">
        <f t="shared" si="17"/>
        <v>3.0833333333333335</v>
      </c>
      <c r="BN30" s="133">
        <f t="shared" si="17"/>
        <v>3.0833333333333335</v>
      </c>
      <c r="BO30" s="133">
        <f t="shared" si="17"/>
        <v>3.0833333333333335</v>
      </c>
      <c r="BP30" s="133">
        <f t="shared" si="17"/>
        <v>3.0833333333333335</v>
      </c>
      <c r="BQ30" s="133">
        <f t="shared" si="17"/>
        <v>3.0833333333333335</v>
      </c>
      <c r="BR30" s="133">
        <f t="shared" si="17"/>
        <v>3.0833333333333335</v>
      </c>
      <c r="BS30" s="133">
        <f t="shared" si="17"/>
        <v>3.0833333333333335</v>
      </c>
      <c r="BT30" s="133">
        <f t="shared" si="17"/>
        <v>3.0833333333333335</v>
      </c>
      <c r="BU30" s="133">
        <f t="shared" si="17"/>
        <v>3.0833333333333335</v>
      </c>
      <c r="BV30" s="133">
        <f t="shared" si="17"/>
        <v>3.0833333333333335</v>
      </c>
      <c r="BW30" s="133">
        <f t="shared" si="17"/>
        <v>3.0833333333333335</v>
      </c>
      <c r="BX30" s="133">
        <f t="shared" si="17"/>
        <v>3.0833333333333335</v>
      </c>
      <c r="BY30" s="133">
        <f t="shared" si="17"/>
        <v>3.0833333333333335</v>
      </c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H14"/>
  <sheetViews>
    <sheetView workbookViewId="0">
      <selection activeCell="F25" sqref="F25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4" width="15.88671875" bestFit="1" customWidth="1"/>
    <col min="5" max="5" width="15.5546875" bestFit="1" customWidth="1"/>
    <col min="6" max="6" width="15.88671875" bestFit="1" customWidth="1"/>
    <col min="7" max="8" width="15.5546875" bestFit="1" customWidth="1"/>
    <col min="9" max="9" width="15.88671875" bestFit="1" customWidth="1"/>
    <col min="10" max="10" width="14.6640625" bestFit="1" customWidth="1"/>
    <col min="11" max="14" width="15.88671875" bestFit="1" customWidth="1"/>
    <col min="15" max="15" width="15.109375" bestFit="1" customWidth="1"/>
    <col min="16" max="60" width="15.88671875" bestFit="1" customWidth="1"/>
  </cols>
  <sheetData>
    <row r="2" spans="1:60" ht="15" x14ac:dyDescent="0.3">
      <c r="B2" s="125" t="s">
        <v>0</v>
      </c>
      <c r="C2" s="125" t="s">
        <v>220</v>
      </c>
      <c r="D2" s="141">
        <v>44197</v>
      </c>
      <c r="E2" s="141">
        <v>44229</v>
      </c>
      <c r="F2" s="141">
        <v>44258</v>
      </c>
      <c r="G2" s="141">
        <v>44290</v>
      </c>
      <c r="H2" s="141">
        <v>44321</v>
      </c>
      <c r="I2" s="141">
        <v>44353</v>
      </c>
      <c r="J2" s="141">
        <v>44384</v>
      </c>
      <c r="K2" s="141">
        <v>44416</v>
      </c>
      <c r="L2" s="141">
        <v>44448</v>
      </c>
      <c r="M2" s="141">
        <v>44479</v>
      </c>
      <c r="N2" s="141">
        <v>44511</v>
      </c>
      <c r="O2" s="141">
        <v>44542</v>
      </c>
      <c r="P2" s="141" t="s">
        <v>221</v>
      </c>
      <c r="Q2" s="141">
        <v>44563</v>
      </c>
      <c r="R2" s="141">
        <v>44595</v>
      </c>
      <c r="S2" s="141">
        <v>44624</v>
      </c>
      <c r="T2" s="141">
        <v>44656</v>
      </c>
      <c r="U2" s="141">
        <v>44657</v>
      </c>
      <c r="V2" s="141">
        <v>44658</v>
      </c>
      <c r="W2" s="141">
        <v>44659</v>
      </c>
      <c r="X2" s="141">
        <v>44660</v>
      </c>
      <c r="Y2" s="141">
        <v>44661</v>
      </c>
      <c r="Z2" s="141">
        <v>44662</v>
      </c>
      <c r="AA2" s="141">
        <v>44663</v>
      </c>
      <c r="AB2" s="141">
        <v>44664</v>
      </c>
      <c r="AC2" s="141">
        <v>44665</v>
      </c>
      <c r="AD2" s="141">
        <v>44666</v>
      </c>
      <c r="AE2" s="141">
        <v>44667</v>
      </c>
      <c r="AF2" s="141">
        <v>44668</v>
      </c>
      <c r="AG2" s="141">
        <v>44669</v>
      </c>
      <c r="AH2" s="141">
        <v>44670</v>
      </c>
      <c r="AI2" s="141">
        <v>44671</v>
      </c>
      <c r="AJ2" s="141">
        <v>44672</v>
      </c>
      <c r="AK2" s="141">
        <v>44673</v>
      </c>
      <c r="AL2" s="141">
        <v>44674</v>
      </c>
      <c r="AM2" s="141">
        <v>44675</v>
      </c>
      <c r="AN2" s="141">
        <v>44676</v>
      </c>
      <c r="AO2" s="141">
        <v>44677</v>
      </c>
      <c r="AP2" s="141">
        <v>44678</v>
      </c>
      <c r="AQ2" s="141">
        <v>44679</v>
      </c>
      <c r="AR2" s="141">
        <v>44680</v>
      </c>
      <c r="AS2" s="141">
        <v>44681</v>
      </c>
      <c r="AT2" s="141">
        <v>44682</v>
      </c>
      <c r="AU2" s="141">
        <v>44683</v>
      </c>
      <c r="AV2" s="141">
        <v>44684</v>
      </c>
      <c r="AW2" s="141">
        <v>44685</v>
      </c>
      <c r="AX2" s="141">
        <v>44686</v>
      </c>
      <c r="AY2" s="141">
        <v>44687</v>
      </c>
      <c r="AZ2" s="141">
        <v>44688</v>
      </c>
      <c r="BA2" s="141">
        <v>44689</v>
      </c>
      <c r="BB2" s="141">
        <v>44690</v>
      </c>
      <c r="BC2" s="141">
        <v>44691</v>
      </c>
      <c r="BD2" s="141">
        <v>44692</v>
      </c>
      <c r="BE2" s="141">
        <v>44693</v>
      </c>
      <c r="BF2" s="141">
        <v>44694</v>
      </c>
      <c r="BG2" s="141">
        <v>44695</v>
      </c>
      <c r="BH2" s="141">
        <v>44696</v>
      </c>
    </row>
    <row r="3" spans="1:60" x14ac:dyDescent="0.3">
      <c r="A3" s="126" t="s">
        <v>198</v>
      </c>
      <c r="B3" s="2" t="str">
        <f>IF(CAELS!D3&gt;10,"Compliant","Non-Compliant")</f>
        <v>Compliant</v>
      </c>
      <c r="C3" s="2" t="str">
        <f>IF(CAELS!E3&gt;10,"Compliant","Non-Compliant")</f>
        <v>Compliant</v>
      </c>
      <c r="D3" s="2" t="str">
        <f>IF(CAELS!F3&gt;10,"Compliant","Non-Compliant")</f>
        <v>Compliant</v>
      </c>
      <c r="E3" s="2" t="str">
        <f>IF(CAELS!G3&gt;10,"Compliant","Non-Compliant")</f>
        <v>Compliant</v>
      </c>
      <c r="F3" s="2" t="str">
        <f>IF(CAELS!H3&gt;10,"Compliant","Non-Compliant")</f>
        <v>Compliant</v>
      </c>
      <c r="G3" s="2" t="str">
        <f>IF(CAELS!I3&gt;10,"Compliant","Non-Compliant")</f>
        <v>Compliant</v>
      </c>
      <c r="H3" s="2" t="str">
        <f>IF(CAELS!J3&gt;10,"Compliant","Non-Compliant")</f>
        <v>Compliant</v>
      </c>
      <c r="I3" s="2" t="str">
        <f>IF(CAELS!K3&gt;10,"Compliant","Non-Compliant")</f>
        <v>Compliant</v>
      </c>
      <c r="J3" s="2" t="str">
        <f>IF(CAELS!L3&gt;10,"Compliant","Non-Compliant")</f>
        <v>Compliant</v>
      </c>
      <c r="K3" s="2" t="str">
        <f>IF(CAELS!M3&gt;10,"Compliant","Non-Compliant")</f>
        <v>Compliant</v>
      </c>
      <c r="L3" s="2" t="str">
        <f>IF(CAELS!N3&gt;10,"Compliant","Non-Compliant")</f>
        <v>Compliant</v>
      </c>
      <c r="M3" s="2" t="str">
        <f>IF(CAELS!O3&gt;10,"Compliant","Non-Compliant")</f>
        <v>Compliant</v>
      </c>
      <c r="N3" s="2" t="str">
        <f>IF(CAELS!P3&gt;10,"Compliant","Non-Compliant")</f>
        <v>Compliant</v>
      </c>
      <c r="O3" s="2" t="str">
        <f>IF(CAELS!Q3&gt;10,"Compliant","Non-Compliant")</f>
        <v>Compliant</v>
      </c>
      <c r="P3" s="2" t="str">
        <f>IF(CAELS!R3&gt;10,"Compliant","Non-Compliant")</f>
        <v>Compliant</v>
      </c>
      <c r="Q3" s="2" t="str">
        <f>IF(CAELS!S3&gt;10,"Compliant","Non-Compliant")</f>
        <v>Compliant</v>
      </c>
      <c r="R3" s="2" t="str">
        <f>IF(CAELS!T3&gt;10,"Compliant","Non-Compliant")</f>
        <v>Compliant</v>
      </c>
      <c r="S3" s="2" t="str">
        <f>IF(CAELS!U3&gt;10,"Compliant","Non-Compliant")</f>
        <v>Compliant</v>
      </c>
      <c r="T3" s="2" t="str">
        <f>IF(CAELS!V3&gt;10,"Compliant","Non-Compliant")</f>
        <v>Compliant</v>
      </c>
      <c r="U3" s="2" t="str">
        <f>IF(CAELS!W3&gt;10,"Compliant","Non-Compliant")</f>
        <v>Compliant</v>
      </c>
      <c r="V3" s="2" t="str">
        <f>IF(CAELS!X3&gt;10,"Compliant","Non-Compliant")</f>
        <v>Compliant</v>
      </c>
      <c r="W3" s="2" t="str">
        <f>IF(CAELS!Y3&gt;10,"Compliant","Non-Compliant")</f>
        <v>Compliant</v>
      </c>
      <c r="X3" s="2" t="str">
        <f>IF(CAELS!Z3&gt;10,"Compliant","Non-Compliant")</f>
        <v>Compliant</v>
      </c>
      <c r="Y3" s="2" t="str">
        <f>IF(CAELS!AA3&gt;10,"Compliant","Non-Compliant")</f>
        <v>Compliant</v>
      </c>
      <c r="Z3" s="2" t="str">
        <f>IF(CAELS!AB3&gt;10,"Compliant","Non-Compliant")</f>
        <v>Compliant</v>
      </c>
      <c r="AA3" s="2" t="str">
        <f>IF(CAELS!AC3&gt;10,"Compliant","Non-Compliant")</f>
        <v>Compliant</v>
      </c>
      <c r="AB3" s="2" t="str">
        <f>IF(CAELS!AD3&gt;10,"Compliant","Non-Compliant")</f>
        <v>Compliant</v>
      </c>
      <c r="AC3" s="2" t="str">
        <f>IF(CAELS!AE3&gt;10,"Compliant","Non-Compliant")</f>
        <v>Compliant</v>
      </c>
      <c r="AD3" s="2" t="str">
        <f>IF(CAELS!AF3&gt;10,"Compliant","Non-Compliant")</f>
        <v>Compliant</v>
      </c>
      <c r="AE3" s="2" t="str">
        <f>IF(CAELS!AG3&gt;10,"Compliant","Non-Compliant")</f>
        <v>Compliant</v>
      </c>
      <c r="AF3" s="2" t="str">
        <f>IF(CAELS!AH3&gt;10,"Compliant","Non-Compliant")</f>
        <v>Compliant</v>
      </c>
      <c r="AG3" s="2" t="str">
        <f>IF(CAELS!AI3&gt;10,"Compliant","Non-Compliant")</f>
        <v>Compliant</v>
      </c>
      <c r="AH3" s="2" t="str">
        <f>IF(CAELS!AJ3&gt;10,"Compliant","Non-Compliant")</f>
        <v>Compliant</v>
      </c>
      <c r="AI3" s="2" t="str">
        <f>IF(CAELS!AK3&gt;10,"Compliant","Non-Compliant")</f>
        <v>Non-Compliant</v>
      </c>
      <c r="AJ3" s="2" t="str">
        <f>IF(CAELS!AL3&gt;10,"Compliant","Non-Compliant")</f>
        <v>Non-Compliant</v>
      </c>
      <c r="AK3" s="2" t="str">
        <f>IF(CAELS!AM3&gt;10,"Compliant","Non-Compliant")</f>
        <v>Non-Compliant</v>
      </c>
      <c r="AL3" s="2" t="str">
        <f>IF(CAELS!AN3&gt;10,"Compliant","Non-Compliant")</f>
        <v>Non-Compliant</v>
      </c>
      <c r="AM3" s="2" t="str">
        <f>IF(CAELS!AO3&gt;10,"Compliant","Non-Compliant")</f>
        <v>Non-Compliant</v>
      </c>
      <c r="AN3" s="2" t="str">
        <f>IF(CAELS!AP3&gt;10,"Compliant","Non-Compliant")</f>
        <v>Non-Compliant</v>
      </c>
      <c r="AO3" s="2" t="str">
        <f>IF(CAELS!AQ3&gt;10,"Compliant","Non-Compliant")</f>
        <v>Non-Compliant</v>
      </c>
      <c r="AP3" s="2" t="str">
        <f>IF(CAELS!AR3&gt;10,"Compliant","Non-Compliant")</f>
        <v>Non-Compliant</v>
      </c>
      <c r="AQ3" s="2" t="str">
        <f>IF(CAELS!AS3&gt;10,"Compliant","Non-Compliant")</f>
        <v>Non-Compliant</v>
      </c>
      <c r="AR3" s="2" t="str">
        <f>IF(CAELS!AT3&gt;10,"Compliant","Non-Compliant")</f>
        <v>Non-Compliant</v>
      </c>
      <c r="AS3" s="2" t="str">
        <f>IF(CAELS!AU3&gt;10,"Compliant","Non-Compliant")</f>
        <v>Non-Compliant</v>
      </c>
      <c r="AT3" s="2" t="str">
        <f>IF(CAELS!AV3&gt;10,"Compliant","Non-Compliant")</f>
        <v>Non-Compliant</v>
      </c>
      <c r="AU3" s="2" t="str">
        <f>IF(CAELS!AW3&gt;10,"Compliant","Non-Compliant")</f>
        <v>Non-Compliant</v>
      </c>
      <c r="AV3" s="2" t="str">
        <f>IF(CAELS!AX3&gt;10,"Compliant","Non-Compliant")</f>
        <v>Non-Compliant</v>
      </c>
      <c r="AW3" s="2" t="str">
        <f>IF(CAELS!AY3&gt;10,"Compliant","Non-Compliant")</f>
        <v>Non-Compliant</v>
      </c>
      <c r="AX3" s="2" t="str">
        <f>IF(CAELS!AZ3&gt;10,"Compliant","Non-Compliant")</f>
        <v>Non-Compliant</v>
      </c>
      <c r="AY3" s="2" t="str">
        <f>IF(CAELS!BA3&gt;10,"Compliant","Non-Compliant")</f>
        <v>Non-Compliant</v>
      </c>
      <c r="AZ3" s="2" t="str">
        <f>IF(CAELS!BB3&gt;10,"Compliant","Non-Compliant")</f>
        <v>Non-Compliant</v>
      </c>
      <c r="BA3" s="2" t="str">
        <f>IF(CAELS!BC3&gt;10,"Compliant","Non-Compliant")</f>
        <v>Non-Compliant</v>
      </c>
      <c r="BB3" s="2" t="str">
        <f>IF(CAELS!BD3&gt;10,"Compliant","Non-Compliant")</f>
        <v>Non-Compliant</v>
      </c>
      <c r="BC3" s="2" t="str">
        <f>IF(CAELS!BE3&gt;10,"Compliant","Non-Compliant")</f>
        <v>Non-Compliant</v>
      </c>
      <c r="BD3" s="2" t="str">
        <f>IF(CAELS!BF3&gt;10,"Compliant","Non-Compliant")</f>
        <v>Non-Compliant</v>
      </c>
      <c r="BE3" s="2" t="str">
        <f>IF(CAELS!BG3&gt;10,"Compliant","Non-Compliant")</f>
        <v>Non-Compliant</v>
      </c>
      <c r="BF3" s="2" t="str">
        <f>IF(CAELS!BH3&gt;10,"Compliant","Non-Compliant")</f>
        <v>Non-Compliant</v>
      </c>
      <c r="BG3" s="2" t="str">
        <f>IF(CAELS!BI3&gt;10,"Compliant","Non-Compliant")</f>
        <v>Non-Compliant</v>
      </c>
      <c r="BH3" s="2" t="str">
        <f>IF(CAELS!BJ3&gt;10,"Compliant","Non-Compliant")</f>
        <v>Non-Compliant</v>
      </c>
    </row>
    <row r="4" spans="1:60" x14ac:dyDescent="0.3">
      <c r="A4" s="127" t="s">
        <v>222</v>
      </c>
      <c r="B4" s="2" t="str">
        <f>IF(CAELS!D4&gt;10%,"Compliant","Non-Compliant")</f>
        <v>Compliant</v>
      </c>
      <c r="C4" s="2" t="str">
        <f>IF(CAELS!E4&gt;10%,"Compliant","Non-Compliant")</f>
        <v>Compliant</v>
      </c>
      <c r="D4" s="2" t="str">
        <f>IF(CAELS!F4&gt;10%,"Compliant","Non-Compliant")</f>
        <v>Compliant</v>
      </c>
      <c r="E4" s="2" t="str">
        <f>IF(CAELS!G4&gt;10%,"Compliant","Non-Compliant")</f>
        <v>Compliant</v>
      </c>
      <c r="F4" s="2" t="str">
        <f>IF(CAELS!H4&gt;10%,"Compliant","Non-Compliant")</f>
        <v>Compliant</v>
      </c>
      <c r="G4" s="2" t="str">
        <f>IF(CAELS!I4&gt;10%,"Compliant","Non-Compliant")</f>
        <v>Compliant</v>
      </c>
      <c r="H4" s="2" t="str">
        <f>IF(CAELS!J4&gt;10%,"Compliant","Non-Compliant")</f>
        <v>Compliant</v>
      </c>
      <c r="I4" s="2" t="str">
        <f>IF(CAELS!K4&gt;10%,"Compliant","Non-Compliant")</f>
        <v>Compliant</v>
      </c>
      <c r="J4" s="2" t="str">
        <f>IF(CAELS!L4&gt;10%,"Compliant","Non-Compliant")</f>
        <v>Compliant</v>
      </c>
      <c r="K4" s="2" t="str">
        <f>IF(CAELS!M4&gt;10%,"Compliant","Non-Compliant")</f>
        <v>Compliant</v>
      </c>
      <c r="L4" s="2" t="str">
        <f>IF(CAELS!N4&gt;10%,"Compliant","Non-Compliant")</f>
        <v>Compliant</v>
      </c>
      <c r="M4" s="2" t="str">
        <f>IF(CAELS!O4&gt;10%,"Compliant","Non-Compliant")</f>
        <v>Compliant</v>
      </c>
      <c r="N4" s="2" t="str">
        <f>IF(CAELS!P4&gt;10%,"Compliant","Non-Compliant")</f>
        <v>Compliant</v>
      </c>
      <c r="O4" s="2" t="str">
        <f>IF(CAELS!Q4&gt;10%,"Compliant","Non-Compliant")</f>
        <v>Compliant</v>
      </c>
      <c r="P4" s="2" t="str">
        <f>IF(CAELS!R4&gt;10%,"Compliant","Non-Compliant")</f>
        <v>Compliant</v>
      </c>
      <c r="Q4" s="2" t="str">
        <f>IF(CAELS!S4&gt;10%,"Compliant","Non-Compliant")</f>
        <v>Compliant</v>
      </c>
      <c r="R4" s="2" t="str">
        <f>IF(CAELS!T4&gt;10%,"Compliant","Non-Compliant")</f>
        <v>Compliant</v>
      </c>
      <c r="S4" s="2" t="str">
        <f>IF(CAELS!U4&gt;10%,"Compliant","Non-Compliant")</f>
        <v>Compliant</v>
      </c>
      <c r="T4" s="2" t="str">
        <f>IF(CAELS!V4&gt;10%,"Compliant","Non-Compliant")</f>
        <v>Compliant</v>
      </c>
      <c r="U4" s="2" t="str">
        <f>IF(CAELS!W4&gt;10%,"Compliant","Non-Compliant")</f>
        <v>Compliant</v>
      </c>
      <c r="V4" s="2" t="str">
        <f>IF(CAELS!X4&gt;10%,"Compliant","Non-Compliant")</f>
        <v>Compliant</v>
      </c>
      <c r="W4" s="2" t="str">
        <f>IF(CAELS!Y4&gt;10%,"Compliant","Non-Compliant")</f>
        <v>Compliant</v>
      </c>
      <c r="X4" s="2" t="str">
        <f>IF(CAELS!Z4&gt;10%,"Compliant","Non-Compliant")</f>
        <v>Compliant</v>
      </c>
      <c r="Y4" s="2" t="str">
        <f>IF(CAELS!AA4&gt;10%,"Compliant","Non-Compliant")</f>
        <v>Compliant</v>
      </c>
      <c r="Z4" s="2" t="str">
        <f>IF(CAELS!AB4&gt;10%,"Compliant","Non-Compliant")</f>
        <v>Compliant</v>
      </c>
      <c r="AA4" s="2" t="str">
        <f>IF(CAELS!AC4&gt;10%,"Compliant","Non-Compliant")</f>
        <v>Compliant</v>
      </c>
      <c r="AB4" s="2" t="str">
        <f>IF(CAELS!AD4&gt;10%,"Compliant","Non-Compliant")</f>
        <v>Compliant</v>
      </c>
      <c r="AC4" s="2" t="str">
        <f>IF(CAELS!AE4&gt;10%,"Compliant","Non-Compliant")</f>
        <v>Compliant</v>
      </c>
      <c r="AD4" s="2" t="str">
        <f>IF(CAELS!AF4&gt;10%,"Compliant","Non-Compliant")</f>
        <v>Compliant</v>
      </c>
      <c r="AE4" s="2" t="str">
        <f>IF(CAELS!AG4&gt;10%,"Compliant","Non-Compliant")</f>
        <v>Compliant</v>
      </c>
      <c r="AF4" s="2" t="str">
        <f>IF(CAELS!AH4&gt;10%,"Compliant","Non-Compliant")</f>
        <v>Compliant</v>
      </c>
      <c r="AG4" s="2" t="str">
        <f>IF(CAELS!AI4&gt;10%,"Compliant","Non-Compliant")</f>
        <v>Compliant</v>
      </c>
      <c r="AH4" s="2" t="str">
        <f>IF(CAELS!AJ4&gt;10%,"Compliant","Non-Compliant")</f>
        <v>Compliant</v>
      </c>
      <c r="AI4" s="2" t="e">
        <f>IF(CAELS!AK4&gt;10%,"Compliant","Non-Compliant")</f>
        <v>#DIV/0!</v>
      </c>
      <c r="AJ4" s="2" t="e">
        <f>IF(CAELS!AL4&gt;10%,"Compliant","Non-Compliant")</f>
        <v>#DIV/0!</v>
      </c>
      <c r="AK4" s="2" t="e">
        <f>IF(CAELS!AM4&gt;10%,"Compliant","Non-Compliant")</f>
        <v>#DIV/0!</v>
      </c>
      <c r="AL4" s="2" t="e">
        <f>IF(CAELS!AN4&gt;10%,"Compliant","Non-Compliant")</f>
        <v>#DIV/0!</v>
      </c>
      <c r="AM4" s="2" t="e">
        <f>IF(CAELS!AO4&gt;10%,"Compliant","Non-Compliant")</f>
        <v>#DIV/0!</v>
      </c>
      <c r="AN4" s="2" t="e">
        <f>IF(CAELS!AP4&gt;10%,"Compliant","Non-Compliant")</f>
        <v>#DIV/0!</v>
      </c>
      <c r="AO4" s="2" t="e">
        <f>IF(CAELS!AQ4&gt;10%,"Compliant","Non-Compliant")</f>
        <v>#DIV/0!</v>
      </c>
      <c r="AP4" s="2" t="e">
        <f>IF(CAELS!AR4&gt;10%,"Compliant","Non-Compliant")</f>
        <v>#DIV/0!</v>
      </c>
      <c r="AQ4" s="2" t="e">
        <f>IF(CAELS!AS4&gt;10%,"Compliant","Non-Compliant")</f>
        <v>#DIV/0!</v>
      </c>
      <c r="AR4" s="2" t="e">
        <f>IF(CAELS!AT4&gt;10%,"Compliant","Non-Compliant")</f>
        <v>#DIV/0!</v>
      </c>
      <c r="AS4" s="2" t="e">
        <f>IF(CAELS!AU4&gt;10%,"Compliant","Non-Compliant")</f>
        <v>#DIV/0!</v>
      </c>
      <c r="AT4" s="2" t="e">
        <f>IF(CAELS!AV4&gt;10%,"Compliant","Non-Compliant")</f>
        <v>#DIV/0!</v>
      </c>
      <c r="AU4" s="2" t="e">
        <f>IF(CAELS!AW4&gt;10%,"Compliant","Non-Compliant")</f>
        <v>#DIV/0!</v>
      </c>
      <c r="AV4" s="2" t="e">
        <f>IF(CAELS!AX4&gt;10%,"Compliant","Non-Compliant")</f>
        <v>#DIV/0!</v>
      </c>
      <c r="AW4" s="2" t="e">
        <f>IF(CAELS!AY4&gt;10%,"Compliant","Non-Compliant")</f>
        <v>#DIV/0!</v>
      </c>
      <c r="AX4" s="2" t="str">
        <f>IF(CAELS!AZ4&gt;10%,"Compliant","Non-Compliant")</f>
        <v>Non-Compliant</v>
      </c>
      <c r="AY4" s="2" t="str">
        <f>IF(CAELS!BA4&gt;10%,"Compliant","Non-Compliant")</f>
        <v>Non-Compliant</v>
      </c>
      <c r="AZ4" s="2" t="str">
        <f>IF(CAELS!BB4&gt;10%,"Compliant","Non-Compliant")</f>
        <v>Non-Compliant</v>
      </c>
      <c r="BA4" s="2" t="str">
        <f>IF(CAELS!BC4&gt;10%,"Compliant","Non-Compliant")</f>
        <v>Non-Compliant</v>
      </c>
      <c r="BB4" s="2" t="str">
        <f>IF(CAELS!BD4&gt;10%,"Compliant","Non-Compliant")</f>
        <v>Non-Compliant</v>
      </c>
      <c r="BC4" s="2" t="str">
        <f>IF(CAELS!BE4&gt;10%,"Compliant","Non-Compliant")</f>
        <v>Non-Compliant</v>
      </c>
      <c r="BD4" s="2" t="str">
        <f>IF(CAELS!BF4&gt;10%,"Compliant","Non-Compliant")</f>
        <v>Non-Compliant</v>
      </c>
      <c r="BE4" s="2" t="str">
        <f>IF(CAELS!BG4&gt;10%,"Compliant","Non-Compliant")</f>
        <v>Non-Compliant</v>
      </c>
      <c r="BF4" s="2" t="str">
        <f>IF(CAELS!BH4&gt;10%,"Compliant","Non-Compliant")</f>
        <v>Non-Compliant</v>
      </c>
      <c r="BG4" s="2" t="str">
        <f>IF(CAELS!BI4&gt;10%,"Compliant","Non-Compliant")</f>
        <v>Non-Compliant</v>
      </c>
      <c r="BH4" s="2" t="str">
        <f>IF(CAELS!BJ4&gt;10%,"Compliant","Non-Compliant")</f>
        <v>Non-Compliant</v>
      </c>
    </row>
    <row r="5" spans="1:60" x14ac:dyDescent="0.3">
      <c r="A5" s="127" t="s">
        <v>223</v>
      </c>
      <c r="B5" s="2" t="str">
        <f>IF(CAELS!D6&gt;8%,"Compliant","Non-Compliant")</f>
        <v>Non-Compliant</v>
      </c>
      <c r="C5" s="2" t="str">
        <f>IF(CAELS!E6&gt;8%,"Compliant","Non-Compliant")</f>
        <v>Compliant</v>
      </c>
      <c r="D5" s="2" t="str">
        <f>IF(CAELS!F6&gt;8%,"Compliant","Non-Compliant")</f>
        <v>Compliant</v>
      </c>
      <c r="E5" s="2" t="str">
        <f>IF(CAELS!G6&gt;8%,"Compliant","Non-Compliant")</f>
        <v>Compliant</v>
      </c>
      <c r="F5" s="2" t="str">
        <f>IF(CAELS!H6&gt;8%,"Compliant","Non-Compliant")</f>
        <v>Compliant</v>
      </c>
      <c r="G5" s="2" t="str">
        <f>IF(CAELS!I6&gt;8%,"Compliant","Non-Compliant")</f>
        <v>Compliant</v>
      </c>
      <c r="H5" s="2" t="str">
        <f>IF(CAELS!J6&gt;8%,"Compliant","Non-Compliant")</f>
        <v>Compliant</v>
      </c>
      <c r="I5" s="2" t="str">
        <f>IF(CAELS!K6&gt;8%,"Compliant","Non-Compliant")</f>
        <v>Compliant</v>
      </c>
      <c r="J5" s="2" t="str">
        <f>IF(CAELS!L6&gt;8%,"Compliant","Non-Compliant")</f>
        <v>Compliant</v>
      </c>
      <c r="K5" s="2" t="str">
        <f>IF(CAELS!M6&gt;8%,"Compliant","Non-Compliant")</f>
        <v>Compliant</v>
      </c>
      <c r="L5" s="2" t="str">
        <f>IF(CAELS!N6&gt;8%,"Compliant","Non-Compliant")</f>
        <v>Compliant</v>
      </c>
      <c r="M5" s="2" t="str">
        <f>IF(CAELS!O6&gt;8%,"Compliant","Non-Compliant")</f>
        <v>Compliant</v>
      </c>
      <c r="N5" s="2" t="str">
        <f>IF(CAELS!P6&gt;8%,"Compliant","Non-Compliant")</f>
        <v>Compliant</v>
      </c>
      <c r="O5" s="2" t="str">
        <f>IF(CAELS!Q6&gt;8%,"Compliant","Non-Compliant")</f>
        <v>Compliant</v>
      </c>
      <c r="P5" s="2" t="str">
        <f>IF(CAELS!R6&gt;8%,"Compliant","Non-Compliant")</f>
        <v>Compliant</v>
      </c>
      <c r="Q5" s="2" t="str">
        <f>IF(CAELS!S6&gt;8%,"Compliant","Non-Compliant")</f>
        <v>Compliant</v>
      </c>
      <c r="R5" s="2" t="str">
        <f>IF(CAELS!T6&gt;8%,"Compliant","Non-Compliant")</f>
        <v>Compliant</v>
      </c>
      <c r="S5" s="2" t="str">
        <f>IF(CAELS!U6&gt;8%,"Compliant","Non-Compliant")</f>
        <v>Compliant</v>
      </c>
      <c r="T5" s="2" t="str">
        <f>IF(CAELS!V6&gt;8%,"Compliant","Non-Compliant")</f>
        <v>Compliant</v>
      </c>
      <c r="U5" s="2" t="str">
        <f>IF(CAELS!W6&gt;8%,"Compliant","Non-Compliant")</f>
        <v>Compliant</v>
      </c>
      <c r="V5" s="2" t="str">
        <f>IF(CAELS!X6&gt;8%,"Compliant","Non-Compliant")</f>
        <v>Compliant</v>
      </c>
      <c r="W5" s="2" t="str">
        <f>IF(CAELS!Y6&gt;8%,"Compliant","Non-Compliant")</f>
        <v>Compliant</v>
      </c>
      <c r="X5" s="2" t="str">
        <f>IF(CAELS!Z6&gt;8%,"Compliant","Non-Compliant")</f>
        <v>Compliant</v>
      </c>
      <c r="Y5" s="2" t="str">
        <f>IF(CAELS!AA6&gt;8%,"Compliant","Non-Compliant")</f>
        <v>Compliant</v>
      </c>
      <c r="Z5" s="2" t="str">
        <f>IF(CAELS!AB6&gt;8%,"Compliant","Non-Compliant")</f>
        <v>Compliant</v>
      </c>
      <c r="AA5" s="2" t="str">
        <f>IF(CAELS!AC6&gt;8%,"Compliant","Non-Compliant")</f>
        <v>Compliant</v>
      </c>
      <c r="AB5" s="2" t="str">
        <f>IF(CAELS!AD6&gt;8%,"Compliant","Non-Compliant")</f>
        <v>Compliant</v>
      </c>
      <c r="AC5" s="2" t="str">
        <f>IF(CAELS!AE6&gt;8%,"Compliant","Non-Compliant")</f>
        <v>Compliant</v>
      </c>
      <c r="AD5" s="2" t="str">
        <f>IF(CAELS!AF6&gt;8%,"Compliant","Non-Compliant")</f>
        <v>Compliant</v>
      </c>
      <c r="AE5" s="2" t="str">
        <f>IF(CAELS!AG6&gt;8%,"Compliant","Non-Compliant")</f>
        <v>Compliant</v>
      </c>
      <c r="AF5" s="2" t="str">
        <f>IF(CAELS!AH6&gt;8%,"Compliant","Non-Compliant")</f>
        <v>Compliant</v>
      </c>
      <c r="AG5" s="2" t="str">
        <f>IF(CAELS!AI6&gt;8%,"Compliant","Non-Compliant")</f>
        <v>Compliant</v>
      </c>
      <c r="AH5" s="2" t="str">
        <f>IF(CAELS!AJ6&gt;8%,"Compliant","Non-Compliant")</f>
        <v>Compliant</v>
      </c>
      <c r="AI5" s="2" t="e">
        <f>IF(CAELS!AK6&gt;8%,"Compliant","Non-Compliant")</f>
        <v>#DIV/0!</v>
      </c>
      <c r="AJ5" s="2" t="e">
        <f>IF(CAELS!AL6&gt;8%,"Compliant","Non-Compliant")</f>
        <v>#DIV/0!</v>
      </c>
      <c r="AK5" s="2" t="e">
        <f>IF(CAELS!AM6&gt;8%,"Compliant","Non-Compliant")</f>
        <v>#DIV/0!</v>
      </c>
      <c r="AL5" s="2" t="e">
        <f>IF(CAELS!AN6&gt;8%,"Compliant","Non-Compliant")</f>
        <v>#DIV/0!</v>
      </c>
      <c r="AM5" s="2" t="e">
        <f>IF(CAELS!AO6&gt;8%,"Compliant","Non-Compliant")</f>
        <v>#DIV/0!</v>
      </c>
      <c r="AN5" s="2" t="e">
        <f>IF(CAELS!AP6&gt;8%,"Compliant","Non-Compliant")</f>
        <v>#DIV/0!</v>
      </c>
      <c r="AO5" s="2" t="e">
        <f>IF(CAELS!AQ6&gt;8%,"Compliant","Non-Compliant")</f>
        <v>#DIV/0!</v>
      </c>
      <c r="AP5" s="2" t="e">
        <f>IF(CAELS!AR6&gt;8%,"Compliant","Non-Compliant")</f>
        <v>#DIV/0!</v>
      </c>
      <c r="AQ5" s="2" t="e">
        <f>IF(CAELS!AS6&gt;8%,"Compliant","Non-Compliant")</f>
        <v>#DIV/0!</v>
      </c>
      <c r="AR5" s="2" t="e">
        <f>IF(CAELS!AT6&gt;8%,"Compliant","Non-Compliant")</f>
        <v>#DIV/0!</v>
      </c>
      <c r="AS5" s="2" t="e">
        <f>IF(CAELS!AU6&gt;8%,"Compliant","Non-Compliant")</f>
        <v>#DIV/0!</v>
      </c>
      <c r="AT5" s="2" t="e">
        <f>IF(CAELS!AV6&gt;8%,"Compliant","Non-Compliant")</f>
        <v>#DIV/0!</v>
      </c>
      <c r="AU5" s="2" t="e">
        <f>IF(CAELS!AW6&gt;8%,"Compliant","Non-Compliant")</f>
        <v>#DIV/0!</v>
      </c>
      <c r="AV5" s="2" t="e">
        <f>IF(CAELS!AX6&gt;8%,"Compliant","Non-Compliant")</f>
        <v>#DIV/0!</v>
      </c>
      <c r="AW5" s="2" t="e">
        <f>IF(CAELS!AY6&gt;8%,"Compliant","Non-Compliant")</f>
        <v>#DIV/0!</v>
      </c>
      <c r="AX5" s="2" t="str">
        <f>IF(CAELS!AZ6&gt;8%,"Compliant","Non-Compliant")</f>
        <v>Non-Compliant</v>
      </c>
      <c r="AY5" s="2" t="str">
        <f>IF(CAELS!BA6&gt;8%,"Compliant","Non-Compliant")</f>
        <v>Non-Compliant</v>
      </c>
      <c r="AZ5" s="2" t="str">
        <f>IF(CAELS!BB6&gt;8%,"Compliant","Non-Compliant")</f>
        <v>Non-Compliant</v>
      </c>
      <c r="BA5" s="2" t="str">
        <f>IF(CAELS!BC6&gt;8%,"Compliant","Non-Compliant")</f>
        <v>Non-Compliant</v>
      </c>
      <c r="BB5" s="2" t="str">
        <f>IF(CAELS!BD6&gt;8%,"Compliant","Non-Compliant")</f>
        <v>Non-Compliant</v>
      </c>
      <c r="BC5" s="2" t="str">
        <f>IF(CAELS!BE6&gt;8%,"Compliant","Non-Compliant")</f>
        <v>Non-Compliant</v>
      </c>
      <c r="BD5" s="2" t="str">
        <f>IF(CAELS!BF6&gt;8%,"Compliant","Non-Compliant")</f>
        <v>Non-Compliant</v>
      </c>
      <c r="BE5" s="2" t="str">
        <f>IF(CAELS!BG6&gt;8%,"Compliant","Non-Compliant")</f>
        <v>Non-Compliant</v>
      </c>
      <c r="BF5" s="2" t="str">
        <f>IF(CAELS!BH6&gt;8%,"Compliant","Non-Compliant")</f>
        <v>Non-Compliant</v>
      </c>
      <c r="BG5" s="2" t="str">
        <f>IF(CAELS!BI6&gt;8%,"Compliant","Non-Compliant")</f>
        <v>Non-Compliant</v>
      </c>
      <c r="BH5" s="2" t="str">
        <f>IF(CAELS!BJ6&gt;8%,"Compliant","Non-Compliant")</f>
        <v>Non-Compliant</v>
      </c>
    </row>
    <row r="6" spans="1:60" x14ac:dyDescent="0.3">
      <c r="A6" s="127" t="s">
        <v>224</v>
      </c>
      <c r="B6" s="2" t="str">
        <f>IF(CAELS!D5&gt;8%,"Compliant","Non-Compiant")</f>
        <v>Compliant</v>
      </c>
      <c r="C6" s="2" t="str">
        <f>IF(CAELS!E5&gt;8%,"Compliant","Non-Compiant")</f>
        <v>Compliant</v>
      </c>
      <c r="D6" s="2" t="str">
        <f>IF(CAELS!F5&gt;8%,"Compliant","Non-Compiant")</f>
        <v>Compliant</v>
      </c>
      <c r="E6" s="2" t="str">
        <f>IF(CAELS!G5&gt;8%,"Compliant","Non-Compiant")</f>
        <v>Compliant</v>
      </c>
      <c r="F6" s="2" t="str">
        <f>IF(CAELS!H5&gt;8%,"Compliant","Non-Compiant")</f>
        <v>Compliant</v>
      </c>
      <c r="G6" s="2" t="str">
        <f>IF(CAELS!I5&gt;8%,"Compliant","Non-Compiant")</f>
        <v>Compliant</v>
      </c>
      <c r="H6" s="2" t="str">
        <f>IF(CAELS!J5&gt;8%,"Compliant","Non-Compiant")</f>
        <v>Compliant</v>
      </c>
      <c r="I6" s="2" t="str">
        <f>IF(CAELS!K5&gt;8%,"Compliant","Non-Compiant")</f>
        <v>Compliant</v>
      </c>
      <c r="J6" s="2" t="str">
        <f>IF(CAELS!L5&gt;8%,"Compliant","Non-Compiant")</f>
        <v>Compliant</v>
      </c>
      <c r="K6" s="2" t="str">
        <f>IF(CAELS!M5&gt;8%,"Compliant","Non-Compiant")</f>
        <v>Compliant</v>
      </c>
      <c r="L6" s="2" t="str">
        <f>IF(CAELS!N5&gt;8%,"Compliant","Non-Compiant")</f>
        <v>Compliant</v>
      </c>
      <c r="M6" s="2" t="str">
        <f>IF(CAELS!O5&gt;8%,"Compliant","Non-Compiant")</f>
        <v>Compliant</v>
      </c>
      <c r="N6" s="2" t="str">
        <f>IF(CAELS!P5&gt;8%,"Compliant","Non-Compiant")</f>
        <v>Compliant</v>
      </c>
      <c r="O6" s="2" t="str">
        <f>IF(CAELS!Q5&gt;8%,"Compliant","Non-Compiant")</f>
        <v>Compliant</v>
      </c>
      <c r="P6" s="2" t="str">
        <f>IF(CAELS!R5&gt;8%,"Compliant","Non-Compiant")</f>
        <v>Compliant</v>
      </c>
      <c r="Q6" s="2" t="str">
        <f>IF(CAELS!S5&gt;8%,"Compliant","Non-Compiant")</f>
        <v>Compliant</v>
      </c>
      <c r="R6" s="2" t="str">
        <f>IF(CAELS!T5&gt;8%,"Compliant","Non-Compiant")</f>
        <v>Compliant</v>
      </c>
      <c r="S6" s="2" t="str">
        <f>IF(CAELS!U5&gt;8%,"Compliant","Non-Compiant")</f>
        <v>Compliant</v>
      </c>
      <c r="T6" s="2" t="str">
        <f>IF(CAELS!V5&gt;8%,"Compliant","Non-Compiant")</f>
        <v>Compliant</v>
      </c>
      <c r="U6" s="2" t="str">
        <f>IF(CAELS!W5&gt;8%,"Compliant","Non-Compiant")</f>
        <v>Compliant</v>
      </c>
      <c r="V6" s="2" t="str">
        <f>IF(CAELS!X5&gt;8%,"Compliant","Non-Compiant")</f>
        <v>Compliant</v>
      </c>
      <c r="W6" s="2" t="str">
        <f>IF(CAELS!Y5&gt;8%,"Compliant","Non-Compiant")</f>
        <v>Compliant</v>
      </c>
      <c r="X6" s="2" t="str">
        <f>IF(CAELS!Z5&gt;8%,"Compliant","Non-Compiant")</f>
        <v>Compliant</v>
      </c>
      <c r="Y6" s="2" t="str">
        <f>IF(CAELS!AA5&gt;8%,"Compliant","Non-Compiant")</f>
        <v>Compliant</v>
      </c>
      <c r="Z6" s="2" t="str">
        <f>IF(CAELS!AB5&gt;8%,"Compliant","Non-Compiant")</f>
        <v>Compliant</v>
      </c>
      <c r="AA6" s="2" t="str">
        <f>IF(CAELS!AC5&gt;8%,"Compliant","Non-Compiant")</f>
        <v>Compliant</v>
      </c>
      <c r="AB6" s="2" t="str">
        <f>IF(CAELS!AD5&gt;8%,"Compliant","Non-Compiant")</f>
        <v>Compliant</v>
      </c>
      <c r="AC6" s="2" t="str">
        <f>IF(CAELS!AE5&gt;8%,"Compliant","Non-Compiant")</f>
        <v>Compliant</v>
      </c>
      <c r="AD6" s="2" t="str">
        <f>IF(CAELS!AF5&gt;8%,"Compliant","Non-Compiant")</f>
        <v>Compliant</v>
      </c>
      <c r="AE6" s="2" t="str">
        <f>IF(CAELS!AG5&gt;8%,"Compliant","Non-Compiant")</f>
        <v>Compliant</v>
      </c>
      <c r="AF6" s="2" t="str">
        <f>IF(CAELS!AH5&gt;8%,"Compliant","Non-Compiant")</f>
        <v>Compliant</v>
      </c>
      <c r="AG6" s="2" t="str">
        <f>IF(CAELS!AI5&gt;8%,"Compliant","Non-Compiant")</f>
        <v>Compliant</v>
      </c>
      <c r="AH6" s="2" t="str">
        <f>IF(CAELS!AJ5&gt;8%,"Compliant","Non-Compiant")</f>
        <v>Compliant</v>
      </c>
      <c r="AI6" s="2" t="e">
        <f>IF(CAELS!AK5&gt;8%,"Compliant","Non-Compiant")</f>
        <v>#DIV/0!</v>
      </c>
      <c r="AJ6" s="2" t="e">
        <f>IF(CAELS!AL5&gt;8%,"Compliant","Non-Compiant")</f>
        <v>#DIV/0!</v>
      </c>
      <c r="AK6" s="2" t="e">
        <f>IF(CAELS!AM5&gt;8%,"Compliant","Non-Compiant")</f>
        <v>#DIV/0!</v>
      </c>
      <c r="AL6" s="2" t="e">
        <f>IF(CAELS!AN5&gt;8%,"Compliant","Non-Compiant")</f>
        <v>#DIV/0!</v>
      </c>
      <c r="AM6" s="2" t="e">
        <f>IF(CAELS!AO5&gt;8%,"Compliant","Non-Compiant")</f>
        <v>#DIV/0!</v>
      </c>
      <c r="AN6" s="2" t="e">
        <f>IF(CAELS!AP5&gt;8%,"Compliant","Non-Compiant")</f>
        <v>#DIV/0!</v>
      </c>
      <c r="AO6" s="2" t="e">
        <f>IF(CAELS!AQ5&gt;8%,"Compliant","Non-Compiant")</f>
        <v>#DIV/0!</v>
      </c>
      <c r="AP6" s="2" t="e">
        <f>IF(CAELS!AR5&gt;8%,"Compliant","Non-Compiant")</f>
        <v>#DIV/0!</v>
      </c>
      <c r="AQ6" s="2" t="e">
        <f>IF(CAELS!AS5&gt;8%,"Compliant","Non-Compiant")</f>
        <v>#DIV/0!</v>
      </c>
      <c r="AR6" s="2" t="e">
        <f>IF(CAELS!AT5&gt;8%,"Compliant","Non-Compiant")</f>
        <v>#DIV/0!</v>
      </c>
      <c r="AS6" s="2" t="e">
        <f>IF(CAELS!AU5&gt;8%,"Compliant","Non-Compiant")</f>
        <v>#DIV/0!</v>
      </c>
      <c r="AT6" s="2" t="e">
        <f>IF(CAELS!AV5&gt;8%,"Compliant","Non-Compiant")</f>
        <v>#DIV/0!</v>
      </c>
      <c r="AU6" s="2" t="e">
        <f>IF(CAELS!AW5&gt;8%,"Compliant","Non-Compiant")</f>
        <v>#DIV/0!</v>
      </c>
      <c r="AV6" s="2" t="e">
        <f>IF(CAELS!AX5&gt;8%,"Compliant","Non-Compiant")</f>
        <v>#DIV/0!</v>
      </c>
      <c r="AW6" s="2" t="e">
        <f>IF(CAELS!AY5&gt;8%,"Compliant","Non-Compiant")</f>
        <v>#DIV/0!</v>
      </c>
      <c r="AX6" s="2" t="str">
        <f>IF(CAELS!AZ5&gt;8%,"Compliant","Non-Compiant")</f>
        <v>Non-Compiant</v>
      </c>
      <c r="AY6" s="2" t="str">
        <f>IF(CAELS!BA5&gt;8%,"Compliant","Non-Compiant")</f>
        <v>Non-Compiant</v>
      </c>
      <c r="AZ6" s="2" t="str">
        <f>IF(CAELS!BB5&gt;8%,"Compliant","Non-Compiant")</f>
        <v>Non-Compiant</v>
      </c>
      <c r="BA6" s="2" t="str">
        <f>IF(CAELS!BC5&gt;8%,"Compliant","Non-Compiant")</f>
        <v>Non-Compiant</v>
      </c>
      <c r="BB6" s="2" t="str">
        <f>IF(CAELS!BD5&gt;8%,"Compliant","Non-Compiant")</f>
        <v>Non-Compiant</v>
      </c>
      <c r="BC6" s="2" t="str">
        <f>IF(CAELS!BE5&gt;8%,"Compliant","Non-Compiant")</f>
        <v>Non-Compiant</v>
      </c>
      <c r="BD6" s="2" t="str">
        <f>IF(CAELS!BF5&gt;8%,"Compliant","Non-Compiant")</f>
        <v>Non-Compiant</v>
      </c>
      <c r="BE6" s="2" t="str">
        <f>IF(CAELS!BG5&gt;8%,"Compliant","Non-Compiant")</f>
        <v>Non-Compiant</v>
      </c>
      <c r="BF6" s="2" t="str">
        <f>IF(CAELS!BH5&gt;8%,"Compliant","Non-Compiant")</f>
        <v>Non-Compiant</v>
      </c>
      <c r="BG6" s="2" t="str">
        <f>IF(CAELS!BI5&gt;8%,"Compliant","Non-Compiant")</f>
        <v>Non-Compiant</v>
      </c>
      <c r="BH6" s="2" t="str">
        <f>IF(CAELS!BJ5&gt;8%,"Compliant","Non-Compiant")</f>
        <v>Non-Compiant</v>
      </c>
    </row>
    <row r="7" spans="1:60" x14ac:dyDescent="0.3">
      <c r="A7" s="127" t="s">
        <v>225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x14ac:dyDescent="0.3">
      <c r="A8" s="127" t="s">
        <v>226</v>
      </c>
      <c r="B8" s="2" t="str">
        <f>IF(CAELS!D12&gt;15%,"Compliant","Non-Compliant")</f>
        <v>Compliant</v>
      </c>
      <c r="C8" s="2" t="str">
        <f>IF(CAELS!E12&gt;15%,"Compliant","Non-Compliant")</f>
        <v>Compliant</v>
      </c>
      <c r="D8" s="2" t="str">
        <f>IF(CAELS!F12&gt;15%,"Compliant","Non-Compliant")</f>
        <v>Compliant</v>
      </c>
      <c r="E8" s="2" t="str">
        <f>IF(CAELS!G12&gt;15%,"Compliant","Non-Compliant")</f>
        <v>Compliant</v>
      </c>
      <c r="F8" s="2" t="str">
        <f>IF(CAELS!H12&gt;15%,"Compliant","Non-Compliant")</f>
        <v>Compliant</v>
      </c>
      <c r="G8" s="2" t="str">
        <f>IF(CAELS!I12&gt;15%,"Compliant","Non-Compliant")</f>
        <v>Compliant</v>
      </c>
      <c r="H8" s="2" t="str">
        <f>IF(CAELS!J12&gt;15%,"Compliant","Non-Compliant")</f>
        <v>Compliant</v>
      </c>
      <c r="I8" s="2" t="str">
        <f>IF(CAELS!K12&gt;15%,"Compliant","Non-Compliant")</f>
        <v>Compliant</v>
      </c>
      <c r="J8" s="2" t="str">
        <f>IF(CAELS!L12&gt;15%,"Compliant","Non-Compliant")</f>
        <v>Compliant</v>
      </c>
      <c r="K8" s="2" t="str">
        <f>IF(CAELS!M12&gt;15%,"Compliant","Non-Compliant")</f>
        <v>Compliant</v>
      </c>
      <c r="L8" s="2" t="str">
        <f>IF(CAELS!N12&gt;15%,"Compliant","Non-Compliant")</f>
        <v>Compliant</v>
      </c>
      <c r="M8" s="2" t="str">
        <f>IF(CAELS!O12&gt;15%,"Compliant","Non-Compliant")</f>
        <v>Compliant</v>
      </c>
      <c r="N8" s="2" t="str">
        <f>IF(CAELS!P12&gt;15%,"Compliant","Non-Compliant")</f>
        <v>Compliant</v>
      </c>
      <c r="O8" s="2" t="str">
        <f>IF(CAELS!Q12&gt;15%,"Compliant","Non-Compliant")</f>
        <v>Compliant</v>
      </c>
      <c r="P8" s="2" t="str">
        <f>IF(CAELS!R12&gt;15%,"Compliant","Non-Compliant")</f>
        <v>Compliant</v>
      </c>
      <c r="Q8" s="2" t="str">
        <f>IF(CAELS!S12&gt;15%,"Compliant","Non-Compliant")</f>
        <v>Compliant</v>
      </c>
      <c r="R8" s="2" t="str">
        <f>IF(CAELS!T12&gt;15%,"Compliant","Non-Compliant")</f>
        <v>Compliant</v>
      </c>
      <c r="S8" s="2" t="str">
        <f>IF(CAELS!U12&gt;15%,"Compliant","Non-Compliant")</f>
        <v>Compliant</v>
      </c>
      <c r="T8" s="2" t="str">
        <f>IF(CAELS!V12&gt;15%,"Compliant","Non-Compliant")</f>
        <v>Compliant</v>
      </c>
      <c r="U8" s="2" t="str">
        <f>IF(CAELS!W12&gt;15%,"Compliant","Non-Compliant")</f>
        <v>Compliant</v>
      </c>
      <c r="V8" s="2" t="str">
        <f>IF(CAELS!X12&gt;15%,"Compliant","Non-Compliant")</f>
        <v>Compliant</v>
      </c>
      <c r="W8" s="2" t="str">
        <f>IF(CAELS!Y12&gt;15%,"Compliant","Non-Compliant")</f>
        <v>Compliant</v>
      </c>
      <c r="X8" s="2" t="str">
        <f>IF(CAELS!Z12&gt;15%,"Compliant","Non-Compliant")</f>
        <v>Compliant</v>
      </c>
      <c r="Y8" s="2" t="str">
        <f>IF(CAELS!AA12&gt;15%,"Compliant","Non-Compliant")</f>
        <v>Compliant</v>
      </c>
      <c r="Z8" s="2" t="str">
        <f>IF(CAELS!AB12&gt;15%,"Compliant","Non-Compliant")</f>
        <v>Compliant</v>
      </c>
      <c r="AA8" s="2" t="str">
        <f>IF(CAELS!AC12&gt;15%,"Compliant","Non-Compliant")</f>
        <v>Compliant</v>
      </c>
      <c r="AB8" s="2" t="str">
        <f>IF(CAELS!AD12&gt;15%,"Compliant","Non-Compliant")</f>
        <v>Compliant</v>
      </c>
      <c r="AC8" s="2" t="str">
        <f>IF(CAELS!AE12&gt;15%,"Compliant","Non-Compliant")</f>
        <v>Compliant</v>
      </c>
      <c r="AD8" s="2" t="str">
        <f>IF(CAELS!AF12&gt;15%,"Compliant","Non-Compliant")</f>
        <v>Compliant</v>
      </c>
      <c r="AE8" s="2" t="str">
        <f>IF(CAELS!AG12&gt;15%,"Compliant","Non-Compliant")</f>
        <v>Compliant</v>
      </c>
      <c r="AF8" s="2" t="str">
        <f>IF(CAELS!AH12&gt;15%,"Compliant","Non-Compliant")</f>
        <v>Compliant</v>
      </c>
      <c r="AG8" s="2" t="str">
        <f>IF(CAELS!AI12&gt;15%,"Compliant","Non-Compliant")</f>
        <v>Compliant</v>
      </c>
      <c r="AH8" s="2" t="str">
        <f>IF(CAELS!AJ12&gt;15%,"Compliant","Non-Compliant")</f>
        <v>Compliant</v>
      </c>
      <c r="AI8" s="2" t="e">
        <f>IF(CAELS!AK12&gt;15%,"Compliant","Non-Compliant")</f>
        <v>#DIV/0!</v>
      </c>
      <c r="AJ8" s="2" t="e">
        <f>IF(CAELS!AL12&gt;15%,"Compliant","Non-Compliant")</f>
        <v>#DIV/0!</v>
      </c>
      <c r="AK8" s="2" t="e">
        <f>IF(CAELS!AM12&gt;15%,"Compliant","Non-Compliant")</f>
        <v>#DIV/0!</v>
      </c>
      <c r="AL8" s="2" t="e">
        <f>IF(CAELS!AN12&gt;15%,"Compliant","Non-Compliant")</f>
        <v>#DIV/0!</v>
      </c>
      <c r="AM8" s="2" t="e">
        <f>IF(CAELS!AO12&gt;15%,"Compliant","Non-Compliant")</f>
        <v>#DIV/0!</v>
      </c>
      <c r="AN8" s="2" t="e">
        <f>IF(CAELS!AP12&gt;15%,"Compliant","Non-Compliant")</f>
        <v>#DIV/0!</v>
      </c>
      <c r="AO8" s="2" t="e">
        <f>IF(CAELS!AQ12&gt;15%,"Compliant","Non-Compliant")</f>
        <v>#DIV/0!</v>
      </c>
      <c r="AP8" s="2" t="e">
        <f>IF(CAELS!AR12&gt;15%,"Compliant","Non-Compliant")</f>
        <v>#DIV/0!</v>
      </c>
      <c r="AQ8" s="2" t="e">
        <f>IF(CAELS!AS12&gt;15%,"Compliant","Non-Compliant")</f>
        <v>#DIV/0!</v>
      </c>
      <c r="AR8" s="2" t="e">
        <f>IF(CAELS!AT12&gt;15%,"Compliant","Non-Compliant")</f>
        <v>#DIV/0!</v>
      </c>
      <c r="AS8" s="2" t="e">
        <f>IF(CAELS!AU12&gt;15%,"Compliant","Non-Compliant")</f>
        <v>#DIV/0!</v>
      </c>
      <c r="AT8" s="2" t="e">
        <f>IF(CAELS!AV12&gt;15%,"Compliant","Non-Compliant")</f>
        <v>#DIV/0!</v>
      </c>
      <c r="AU8" s="2" t="e">
        <f>IF(CAELS!AW12&gt;15%,"Compliant","Non-Compliant")</f>
        <v>#DIV/0!</v>
      </c>
      <c r="AV8" s="2" t="e">
        <f>IF(CAELS!AX12&gt;15%,"Compliant","Non-Compliant")</f>
        <v>#DIV/0!</v>
      </c>
      <c r="AW8" s="2" t="e">
        <f>IF(CAELS!AY12&gt;15%,"Compliant","Non-Compliant")</f>
        <v>#DIV/0!</v>
      </c>
      <c r="AX8" s="2" t="str">
        <f>IF(CAELS!AZ12&gt;15%,"Compliant","Non-Compliant")</f>
        <v>Non-Compliant</v>
      </c>
      <c r="AY8" s="2" t="str">
        <f>IF(CAELS!BA12&gt;15%,"Compliant","Non-Compliant")</f>
        <v>Non-Compliant</v>
      </c>
      <c r="AZ8" s="2" t="str">
        <f>IF(CAELS!BB12&gt;15%,"Compliant","Non-Compliant")</f>
        <v>Non-Compliant</v>
      </c>
      <c r="BA8" s="2" t="str">
        <f>IF(CAELS!BC12&gt;15%,"Compliant","Non-Compliant")</f>
        <v>Non-Compliant</v>
      </c>
      <c r="BB8" s="2" t="str">
        <f>IF(CAELS!BD12&gt;15%,"Compliant","Non-Compliant")</f>
        <v>Non-Compliant</v>
      </c>
      <c r="BC8" s="2" t="str">
        <f>IF(CAELS!BE12&gt;15%,"Compliant","Non-Compliant")</f>
        <v>Non-Compliant</v>
      </c>
      <c r="BD8" s="2" t="str">
        <f>IF(CAELS!BF12&gt;15%,"Compliant","Non-Compliant")</f>
        <v>Non-Compliant</v>
      </c>
      <c r="BE8" s="2" t="str">
        <f>IF(CAELS!BG12&gt;15%,"Compliant","Non-Compliant")</f>
        <v>Non-Compliant</v>
      </c>
      <c r="BF8" s="2" t="str">
        <f>IF(CAELS!BH12&gt;15%,"Compliant","Non-Compliant")</f>
        <v>Non-Compliant</v>
      </c>
      <c r="BG8" s="2" t="str">
        <f>IF(CAELS!BI12&gt;15%,"Compliant","Non-Compliant")</f>
        <v>Non-Compliant</v>
      </c>
      <c r="BH8" s="2" t="str">
        <f>IF(CAELS!BJ12&gt;15%,"Compliant","Non-Compliant")</f>
        <v>Non-Compliant</v>
      </c>
    </row>
    <row r="9" spans="1:60" x14ac:dyDescent="0.3">
      <c r="A9" s="127" t="s">
        <v>227</v>
      </c>
      <c r="B9" s="2" t="str">
        <f>IF(CAELS!D16&lt;10%,"Compliant","Non-Compliant")</f>
        <v>Non-Compliant</v>
      </c>
      <c r="C9" s="2" t="str">
        <f>IF(CAELS!E16&lt;10%,"Compliant","Non-Compliant")</f>
        <v>Compliant</v>
      </c>
      <c r="D9" s="2" t="str">
        <f>IF(CAELS!F16&lt;10%,"Compliant","Non-Compliant")</f>
        <v>Compliant</v>
      </c>
      <c r="E9" s="2" t="str">
        <f>IF(CAELS!G16&lt;10%,"Compliant","Non-Compliant")</f>
        <v>Compliant</v>
      </c>
      <c r="F9" s="2" t="str">
        <f>IF(CAELS!H16&lt;10%,"Compliant","Non-Compliant")</f>
        <v>Compliant</v>
      </c>
      <c r="G9" s="2" t="str">
        <f>IF(CAELS!I16&lt;10%,"Compliant","Non-Compliant")</f>
        <v>Compliant</v>
      </c>
      <c r="H9" s="2" t="str">
        <f>IF(CAELS!J16&lt;10%,"Compliant","Non-Compliant")</f>
        <v>Compliant</v>
      </c>
      <c r="I9" s="2" t="str">
        <f>IF(CAELS!K16&lt;10%,"Compliant","Non-Compliant")</f>
        <v>Compliant</v>
      </c>
      <c r="J9" s="2" t="str">
        <f>IF(CAELS!L16&lt;10%,"Compliant","Non-Compliant")</f>
        <v>Compliant</v>
      </c>
      <c r="K9" s="2" t="str">
        <f>IF(CAELS!M16&lt;10%,"Compliant","Non-Compliant")</f>
        <v>Compliant</v>
      </c>
      <c r="L9" s="2" t="str">
        <f>IF(CAELS!N16&lt;10%,"Compliant","Non-Compliant")</f>
        <v>Compliant</v>
      </c>
      <c r="M9" s="2" t="str">
        <f>IF(CAELS!O16&lt;10%,"Compliant","Non-Compliant")</f>
        <v>Compliant</v>
      </c>
      <c r="N9" s="2" t="str">
        <f>IF(CAELS!P16&lt;10%,"Compliant","Non-Compliant")</f>
        <v>Compliant</v>
      </c>
      <c r="O9" s="2" t="str">
        <f>IF(CAELS!Q16&lt;10%,"Compliant","Non-Compliant")</f>
        <v>Compliant</v>
      </c>
      <c r="P9" s="2" t="str">
        <f>IF(CAELS!R16&lt;10%,"Compliant","Non-Compliant")</f>
        <v>Compliant</v>
      </c>
      <c r="Q9" s="2" t="str">
        <f>IF(CAELS!S16&lt;10%,"Compliant","Non-Compliant")</f>
        <v>Compliant</v>
      </c>
      <c r="R9" s="2" t="str">
        <f>IF(CAELS!T16&lt;10%,"Compliant","Non-Compliant")</f>
        <v>Compliant</v>
      </c>
      <c r="S9" s="2" t="str">
        <f>IF(CAELS!U16&lt;10%,"Compliant","Non-Compliant")</f>
        <v>Compliant</v>
      </c>
      <c r="T9" s="2" t="str">
        <f>IF(CAELS!V16&lt;10%,"Compliant","Non-Compliant")</f>
        <v>Compliant</v>
      </c>
      <c r="U9" s="2" t="str">
        <f>IF(CAELS!W16&lt;10%,"Compliant","Non-Compliant")</f>
        <v>Compliant</v>
      </c>
      <c r="V9" s="2" t="str">
        <f>IF(CAELS!X16&lt;10%,"Compliant","Non-Compliant")</f>
        <v>Compliant</v>
      </c>
      <c r="W9" s="2" t="str">
        <f>IF(CAELS!Y16&lt;10%,"Compliant","Non-Compliant")</f>
        <v>Compliant</v>
      </c>
      <c r="X9" s="2" t="str">
        <f>IF(CAELS!Z16&lt;10%,"Compliant","Non-Compliant")</f>
        <v>Compliant</v>
      </c>
      <c r="Y9" s="2" t="str">
        <f>IF(CAELS!AA16&lt;10%,"Compliant","Non-Compliant")</f>
        <v>Compliant</v>
      </c>
      <c r="Z9" s="2" t="str">
        <f>IF(CAELS!AB16&lt;10%,"Compliant","Non-Compliant")</f>
        <v>Compliant</v>
      </c>
      <c r="AA9" s="2" t="str">
        <f>IF(CAELS!AC16&lt;10%,"Compliant","Non-Compliant")</f>
        <v>Compliant</v>
      </c>
      <c r="AB9" s="2" t="str">
        <f>IF(CAELS!AD16&lt;10%,"Compliant","Non-Compliant")</f>
        <v>Compliant</v>
      </c>
      <c r="AC9" s="2" t="str">
        <f>IF(CAELS!AE16&lt;10%,"Compliant","Non-Compliant")</f>
        <v>Compliant</v>
      </c>
      <c r="AD9" s="2" t="str">
        <f>IF(CAELS!AF16&lt;10%,"Compliant","Non-Compliant")</f>
        <v>Compliant</v>
      </c>
      <c r="AE9" s="2" t="str">
        <f>IF(CAELS!AG16&lt;10%,"Compliant","Non-Compliant")</f>
        <v>Compliant</v>
      </c>
      <c r="AF9" s="2" t="str">
        <f>IF(CAELS!AH16&lt;10%,"Compliant","Non-Compliant")</f>
        <v>Compliant</v>
      </c>
      <c r="AG9" s="2" t="str">
        <f>IF(CAELS!AI16&lt;10%,"Compliant","Non-Compliant")</f>
        <v>Compliant</v>
      </c>
      <c r="AH9" s="2" t="str">
        <f>IF(CAELS!AJ16&lt;10%,"Compliant","Non-Compliant")</f>
        <v>Compliant</v>
      </c>
      <c r="AI9" s="2" t="e">
        <f>IF(CAELS!AK16&lt;10%,"Compliant","Non-Compliant")</f>
        <v>#DIV/0!</v>
      </c>
      <c r="AJ9" s="2" t="e">
        <f>IF(CAELS!AL16&lt;10%,"Compliant","Non-Compliant")</f>
        <v>#DIV/0!</v>
      </c>
      <c r="AK9" s="2" t="e">
        <f>IF(CAELS!AM16&lt;10%,"Compliant","Non-Compliant")</f>
        <v>#DIV/0!</v>
      </c>
      <c r="AL9" s="2" t="e">
        <f>IF(CAELS!AN16&lt;10%,"Compliant","Non-Compliant")</f>
        <v>#DIV/0!</v>
      </c>
      <c r="AM9" s="2" t="e">
        <f>IF(CAELS!AO16&lt;10%,"Compliant","Non-Compliant")</f>
        <v>#DIV/0!</v>
      </c>
      <c r="AN9" s="2" t="e">
        <f>IF(CAELS!AP16&lt;10%,"Compliant","Non-Compliant")</f>
        <v>#DIV/0!</v>
      </c>
      <c r="AO9" s="2" t="e">
        <f>IF(CAELS!AQ16&lt;10%,"Compliant","Non-Compliant")</f>
        <v>#DIV/0!</v>
      </c>
      <c r="AP9" s="2" t="e">
        <f>IF(CAELS!AR16&lt;10%,"Compliant","Non-Compliant")</f>
        <v>#DIV/0!</v>
      </c>
      <c r="AQ9" s="2" t="e">
        <f>IF(CAELS!AS16&lt;10%,"Compliant","Non-Compliant")</f>
        <v>#DIV/0!</v>
      </c>
      <c r="AR9" s="2" t="e">
        <f>IF(CAELS!AT16&lt;10%,"Compliant","Non-Compliant")</f>
        <v>#DIV/0!</v>
      </c>
      <c r="AS9" s="2" t="e">
        <f>IF(CAELS!AU16&lt;10%,"Compliant","Non-Compliant")</f>
        <v>#DIV/0!</v>
      </c>
      <c r="AT9" s="2" t="e">
        <f>IF(CAELS!AV16&lt;10%,"Compliant","Non-Compliant")</f>
        <v>#DIV/0!</v>
      </c>
      <c r="AU9" s="2" t="e">
        <f>IF(CAELS!AW16&lt;10%,"Compliant","Non-Compliant")</f>
        <v>#DIV/0!</v>
      </c>
      <c r="AV9" s="2" t="e">
        <f>IF(CAELS!AX16&lt;10%,"Compliant","Non-Compliant")</f>
        <v>#DIV/0!</v>
      </c>
      <c r="AW9" s="2" t="e">
        <f>IF(CAELS!AY16&lt;10%,"Compliant","Non-Compliant")</f>
        <v>#DIV/0!</v>
      </c>
      <c r="AX9" s="2" t="str">
        <f>IF(CAELS!AZ16&lt;10%,"Compliant","Non-Compliant")</f>
        <v>Compliant</v>
      </c>
      <c r="AY9" s="2" t="str">
        <f>IF(CAELS!BA16&lt;10%,"Compliant","Non-Compliant")</f>
        <v>Compliant</v>
      </c>
      <c r="AZ9" s="2" t="str">
        <f>IF(CAELS!BB16&lt;10%,"Compliant","Non-Compliant")</f>
        <v>Compliant</v>
      </c>
      <c r="BA9" s="2" t="str">
        <f>IF(CAELS!BC16&lt;10%,"Compliant","Non-Compliant")</f>
        <v>Compliant</v>
      </c>
      <c r="BB9" s="2" t="str">
        <f>IF(CAELS!BD16&lt;10%,"Compliant","Non-Compliant")</f>
        <v>Compliant</v>
      </c>
      <c r="BC9" s="2" t="str">
        <f>IF(CAELS!BE16&lt;10%,"Compliant","Non-Compliant")</f>
        <v>Compliant</v>
      </c>
      <c r="BD9" s="2" t="str">
        <f>IF(CAELS!BF16&lt;10%,"Compliant","Non-Compliant")</f>
        <v>Compliant</v>
      </c>
      <c r="BE9" s="2" t="str">
        <f>IF(CAELS!BG16&lt;10%,"Compliant","Non-Compliant")</f>
        <v>Compliant</v>
      </c>
      <c r="BF9" s="2" t="str">
        <f>IF(CAELS!BH16&lt;10%,"Compliant","Non-Compliant")</f>
        <v>Compliant</v>
      </c>
      <c r="BG9" s="2" t="str">
        <f>IF(CAELS!BI16&lt;10%,"Compliant","Non-Compliant")</f>
        <v>Compliant</v>
      </c>
      <c r="BH9" s="2" t="str">
        <f>IF(CAELS!BJ16&lt;10%,"Compliant","Non-Compliant")</f>
        <v>Compliant</v>
      </c>
    </row>
    <row r="10" spans="1:60" x14ac:dyDescent="0.3">
      <c r="A10" s="127" t="s">
        <v>228</v>
      </c>
      <c r="B10" s="2" t="str">
        <f>IF(CAELS!D17&lt;5%,"Compliant","Non-Compliant")</f>
        <v>Compliant</v>
      </c>
      <c r="C10" s="2" t="str">
        <f>IF(CAELS!E17&lt;5%,"Compliant","Non-Compliant")</f>
        <v>Non-Compliant</v>
      </c>
      <c r="D10" s="2" t="str">
        <f>IF(CAELS!F17&lt;5%,"Compliant","Non-Compliant")</f>
        <v>Non-Compliant</v>
      </c>
      <c r="E10" s="2" t="str">
        <f>IF(CAELS!G17&lt;5%,"Compliant","Non-Compliant")</f>
        <v>Non-Compliant</v>
      </c>
      <c r="F10" s="2" t="str">
        <f>IF(CAELS!H17&lt;5%,"Compliant","Non-Compliant")</f>
        <v>Non-Compliant</v>
      </c>
      <c r="G10" s="2" t="str">
        <f>IF(CAELS!I17&lt;5%,"Compliant","Non-Compliant")</f>
        <v>Non-Compliant</v>
      </c>
      <c r="H10" s="2" t="str">
        <f>IF(CAELS!J17&lt;5%,"Compliant","Non-Compliant")</f>
        <v>Non-Compliant</v>
      </c>
      <c r="I10" s="2" t="str">
        <f>IF(CAELS!K17&lt;5%,"Compliant","Non-Compliant")</f>
        <v>Non-Compliant</v>
      </c>
      <c r="J10" s="2" t="str">
        <f>IF(CAELS!L17&lt;5%,"Compliant","Non-Compliant")</f>
        <v>Non-Compliant</v>
      </c>
      <c r="K10" s="2" t="str">
        <f>IF(CAELS!M17&lt;5%,"Compliant","Non-Compliant")</f>
        <v>Non-Compliant</v>
      </c>
      <c r="L10" s="2" t="str">
        <f>IF(CAELS!N17&lt;5%,"Compliant","Non-Compliant")</f>
        <v>Non-Compliant</v>
      </c>
      <c r="M10" s="2" t="str">
        <f>IF(CAELS!O17&lt;5%,"Compliant","Non-Compliant")</f>
        <v>Non-Compliant</v>
      </c>
      <c r="N10" s="2" t="str">
        <f>IF(CAELS!P17&lt;5%,"Compliant","Non-Compliant")</f>
        <v>Non-Compliant</v>
      </c>
      <c r="O10" s="2" t="str">
        <f>IF(CAELS!Q17&lt;5%,"Compliant","Non-Compliant")</f>
        <v>Non-Compliant</v>
      </c>
      <c r="P10" s="2" t="str">
        <f>IF(CAELS!R17&lt;5%,"Compliant","Non-Compliant")</f>
        <v>Non-Compliant</v>
      </c>
      <c r="Q10" s="2" t="str">
        <f>IF(CAELS!S17&lt;5%,"Compliant","Non-Compliant")</f>
        <v>Non-Compliant</v>
      </c>
      <c r="R10" s="2" t="str">
        <f>IF(CAELS!T17&lt;5%,"Compliant","Non-Compliant")</f>
        <v>Non-Compliant</v>
      </c>
      <c r="S10" s="2" t="str">
        <f>IF(CAELS!U17&lt;5%,"Compliant","Non-Compliant")</f>
        <v>Non-Compliant</v>
      </c>
      <c r="T10" s="2" t="str">
        <f>IF(CAELS!V17&lt;5%,"Compliant","Non-Compliant")</f>
        <v>Non-Compliant</v>
      </c>
      <c r="U10" s="2" t="str">
        <f>IF(CAELS!W17&lt;5%,"Compliant","Non-Compliant")</f>
        <v>Non-Compliant</v>
      </c>
      <c r="V10" s="2" t="str">
        <f>IF(CAELS!X17&lt;5%,"Compliant","Non-Compliant")</f>
        <v>Non-Compliant</v>
      </c>
      <c r="W10" s="2" t="str">
        <f>IF(CAELS!Y17&lt;5%,"Compliant","Non-Compliant")</f>
        <v>Non-Compliant</v>
      </c>
      <c r="X10" s="2" t="str">
        <f>IF(CAELS!Z17&lt;5%,"Compliant","Non-Compliant")</f>
        <v>Non-Compliant</v>
      </c>
      <c r="Y10" s="2" t="str">
        <f>IF(CAELS!AA17&lt;5%,"Compliant","Non-Compliant")</f>
        <v>Non-Compliant</v>
      </c>
      <c r="Z10" s="2" t="str">
        <f>IF(CAELS!AB17&lt;5%,"Compliant","Non-Compliant")</f>
        <v>Non-Compliant</v>
      </c>
      <c r="AA10" s="2" t="str">
        <f>IF(CAELS!AC17&lt;5%,"Compliant","Non-Compliant")</f>
        <v>Non-Compliant</v>
      </c>
      <c r="AB10" s="2" t="str">
        <f>IF(CAELS!AD17&lt;5%,"Compliant","Non-Compliant")</f>
        <v>Non-Compliant</v>
      </c>
      <c r="AC10" s="2" t="str">
        <f>IF(CAELS!AE17&lt;5%,"Compliant","Non-Compliant")</f>
        <v>Non-Compliant</v>
      </c>
      <c r="AD10" s="2" t="str">
        <f>IF(CAELS!AF17&lt;5%,"Compliant","Non-Compliant")</f>
        <v>Non-Compliant</v>
      </c>
      <c r="AE10" s="2" t="str">
        <f>IF(CAELS!AG17&lt;5%,"Compliant","Non-Compliant")</f>
        <v>Non-Compliant</v>
      </c>
      <c r="AF10" s="2" t="str">
        <f>IF(CAELS!AH17&lt;5%,"Compliant","Non-Compliant")</f>
        <v>Non-Compliant</v>
      </c>
      <c r="AG10" s="2" t="str">
        <f>IF(CAELS!AI17&lt;5%,"Compliant","Non-Compliant")</f>
        <v>Non-Compliant</v>
      </c>
      <c r="AH10" s="2" t="str">
        <f>IF(CAELS!AJ17&lt;5%,"Compliant","Non-Compliant")</f>
        <v>Non-Compliant</v>
      </c>
      <c r="AI10" s="2" t="e">
        <f>IF(CAELS!AK17&lt;5%,"Compliant","Non-Compliant")</f>
        <v>#DIV/0!</v>
      </c>
      <c r="AJ10" s="2" t="e">
        <f>IF(CAELS!AL17&lt;5%,"Compliant","Non-Compliant")</f>
        <v>#DIV/0!</v>
      </c>
      <c r="AK10" s="2" t="e">
        <f>IF(CAELS!AM17&lt;5%,"Compliant","Non-Compliant")</f>
        <v>#DIV/0!</v>
      </c>
      <c r="AL10" s="2" t="e">
        <f>IF(CAELS!AN17&lt;5%,"Compliant","Non-Compliant")</f>
        <v>#DIV/0!</v>
      </c>
      <c r="AM10" s="2" t="e">
        <f>IF(CAELS!AO17&lt;5%,"Compliant","Non-Compliant")</f>
        <v>#DIV/0!</v>
      </c>
      <c r="AN10" s="2" t="e">
        <f>IF(CAELS!AP17&lt;5%,"Compliant","Non-Compliant")</f>
        <v>#DIV/0!</v>
      </c>
      <c r="AO10" s="2" t="e">
        <f>IF(CAELS!AQ17&lt;5%,"Compliant","Non-Compliant")</f>
        <v>#DIV/0!</v>
      </c>
      <c r="AP10" s="2" t="e">
        <f>IF(CAELS!AR17&lt;5%,"Compliant","Non-Compliant")</f>
        <v>#DIV/0!</v>
      </c>
      <c r="AQ10" s="2" t="e">
        <f>IF(CAELS!AS17&lt;5%,"Compliant","Non-Compliant")</f>
        <v>#DIV/0!</v>
      </c>
      <c r="AR10" s="2" t="e">
        <f>IF(CAELS!AT17&lt;5%,"Compliant","Non-Compliant")</f>
        <v>#DIV/0!</v>
      </c>
      <c r="AS10" s="2" t="e">
        <f>IF(CAELS!AU17&lt;5%,"Compliant","Non-Compliant")</f>
        <v>#DIV/0!</v>
      </c>
      <c r="AT10" s="2" t="e">
        <f>IF(CAELS!AV17&lt;5%,"Compliant","Non-Compliant")</f>
        <v>#DIV/0!</v>
      </c>
      <c r="AU10" s="2" t="e">
        <f>IF(CAELS!AW17&lt;5%,"Compliant","Non-Compliant")</f>
        <v>#DIV/0!</v>
      </c>
      <c r="AV10" s="2" t="e">
        <f>IF(CAELS!AX17&lt;5%,"Compliant","Non-Compliant")</f>
        <v>#DIV/0!</v>
      </c>
      <c r="AW10" s="2" t="e">
        <f>IF(CAELS!AY17&lt;5%,"Compliant","Non-Compliant")</f>
        <v>#DIV/0!</v>
      </c>
      <c r="AX10" s="2" t="str">
        <f>IF(CAELS!AZ17&lt;5%,"Compliant","Non-Compliant")</f>
        <v>Compliant</v>
      </c>
      <c r="AY10" s="2" t="str">
        <f>IF(CAELS!BA17&lt;5%,"Compliant","Non-Compliant")</f>
        <v>Compliant</v>
      </c>
      <c r="AZ10" s="2" t="str">
        <f>IF(CAELS!BB17&lt;5%,"Compliant","Non-Compliant")</f>
        <v>Compliant</v>
      </c>
      <c r="BA10" s="2" t="str">
        <f>IF(CAELS!BC17&lt;5%,"Compliant","Non-Compliant")</f>
        <v>Compliant</v>
      </c>
      <c r="BB10" s="2" t="str">
        <f>IF(CAELS!BD17&lt;5%,"Compliant","Non-Compliant")</f>
        <v>Compliant</v>
      </c>
      <c r="BC10" s="2" t="str">
        <f>IF(CAELS!BE17&lt;5%,"Compliant","Non-Compliant")</f>
        <v>Compliant</v>
      </c>
      <c r="BD10" s="2" t="str">
        <f>IF(CAELS!BF17&lt;5%,"Compliant","Non-Compliant")</f>
        <v>Compliant</v>
      </c>
      <c r="BE10" s="2" t="str">
        <f>IF(CAELS!BG17&lt;5%,"Compliant","Non-Compliant")</f>
        <v>Compliant</v>
      </c>
      <c r="BF10" s="2" t="str">
        <f>IF(CAELS!BH17&lt;5%,"Compliant","Non-Compliant")</f>
        <v>Compliant</v>
      </c>
      <c r="BG10" s="2" t="str">
        <f>IF(CAELS!BI17&lt;5%,"Compliant","Non-Compliant")</f>
        <v>Compliant</v>
      </c>
      <c r="BH10" s="2" t="str">
        <f>IF(CAELS!BJ17&lt;5%,"Compliant","Non-Compliant")</f>
        <v>Compliant</v>
      </c>
    </row>
    <row r="11" spans="1:60" x14ac:dyDescent="0.3">
      <c r="A11" s="127" t="s">
        <v>229</v>
      </c>
      <c r="B11" s="2" t="str">
        <f>IF(CAELS!D18&lt;5%,"Compliant","Non-Compliant")</f>
        <v>Compliant</v>
      </c>
      <c r="C11" s="2" t="str">
        <f>IF(CAELS!E18&lt;5%,"Compliant","Non-Compliant")</f>
        <v>Compliant</v>
      </c>
      <c r="D11" s="2" t="str">
        <f>IF(CAELS!F18&lt;5%,"Compliant","Non-Compliant")</f>
        <v>Compliant</v>
      </c>
      <c r="E11" s="2" t="str">
        <f>IF(CAELS!G18&lt;5%,"Compliant","Non-Compliant")</f>
        <v>Compliant</v>
      </c>
      <c r="F11" s="2" t="str">
        <f>IF(CAELS!H18&lt;5%,"Compliant","Non-Compliant")</f>
        <v>Compliant</v>
      </c>
      <c r="G11" s="2" t="str">
        <f>IF(CAELS!I18&lt;5%,"Compliant","Non-Compliant")</f>
        <v>Compliant</v>
      </c>
      <c r="H11" s="2" t="str">
        <f>IF(CAELS!J18&lt;5%,"Compliant","Non-Compliant")</f>
        <v>Compliant</v>
      </c>
      <c r="I11" s="2" t="str">
        <f>IF(CAELS!K18&lt;5%,"Compliant","Non-Compliant")</f>
        <v>Compliant</v>
      </c>
      <c r="J11" s="2" t="str">
        <f>IF(CAELS!L18&lt;5%,"Compliant","Non-Compliant")</f>
        <v>Compliant</v>
      </c>
      <c r="K11" s="2" t="str">
        <f>IF(CAELS!M18&lt;5%,"Compliant","Non-Compliant")</f>
        <v>Compliant</v>
      </c>
      <c r="L11" s="2" t="str">
        <f>IF(CAELS!N18&lt;5%,"Compliant","Non-Compliant")</f>
        <v>Compliant</v>
      </c>
      <c r="M11" s="2" t="str">
        <f>IF(CAELS!O18&lt;5%,"Compliant","Non-Compliant")</f>
        <v>Compliant</v>
      </c>
      <c r="N11" s="2" t="str">
        <f>IF(CAELS!P18&lt;5%,"Compliant","Non-Compliant")</f>
        <v>Compliant</v>
      </c>
      <c r="O11" s="2" t="str">
        <f>IF(CAELS!Q18&lt;5%,"Compliant","Non-Compliant")</f>
        <v>Compliant</v>
      </c>
      <c r="P11" s="2" t="str">
        <f>IF(CAELS!R18&lt;5%,"Compliant","Non-Compliant")</f>
        <v>Compliant</v>
      </c>
      <c r="Q11" s="2" t="str">
        <f>IF(CAELS!S18&lt;5%,"Compliant","Non-Compliant")</f>
        <v>Compliant</v>
      </c>
      <c r="R11" s="2" t="str">
        <f>IF(CAELS!T18&lt;5%,"Compliant","Non-Compliant")</f>
        <v>Compliant</v>
      </c>
      <c r="S11" s="2" t="str">
        <f>IF(CAELS!U18&lt;5%,"Compliant","Non-Compliant")</f>
        <v>Compliant</v>
      </c>
      <c r="T11" s="2" t="str">
        <f>IF(CAELS!V18&lt;5%,"Compliant","Non-Compliant")</f>
        <v>Compliant</v>
      </c>
      <c r="U11" s="2" t="str">
        <f>IF(CAELS!W18&lt;5%,"Compliant","Non-Compliant")</f>
        <v>Compliant</v>
      </c>
      <c r="V11" s="2" t="str">
        <f>IF(CAELS!X18&lt;5%,"Compliant","Non-Compliant")</f>
        <v>Compliant</v>
      </c>
      <c r="W11" s="2" t="str">
        <f>IF(CAELS!Y18&lt;5%,"Compliant","Non-Compliant")</f>
        <v>Compliant</v>
      </c>
      <c r="X11" s="2" t="str">
        <f>IF(CAELS!Z18&lt;5%,"Compliant","Non-Compliant")</f>
        <v>Compliant</v>
      </c>
      <c r="Y11" s="2" t="str">
        <f>IF(CAELS!AA18&lt;5%,"Compliant","Non-Compliant")</f>
        <v>Compliant</v>
      </c>
      <c r="Z11" s="2" t="str">
        <f>IF(CAELS!AB18&lt;5%,"Compliant","Non-Compliant")</f>
        <v>Compliant</v>
      </c>
      <c r="AA11" s="2" t="str">
        <f>IF(CAELS!AC18&lt;5%,"Compliant","Non-Compliant")</f>
        <v>Compliant</v>
      </c>
      <c r="AB11" s="2" t="str">
        <f>IF(CAELS!AD18&lt;5%,"Compliant","Non-Compliant")</f>
        <v>Compliant</v>
      </c>
      <c r="AC11" s="2" t="str">
        <f>IF(CAELS!AE18&lt;5%,"Compliant","Non-Compliant")</f>
        <v>Compliant</v>
      </c>
      <c r="AD11" s="2" t="str">
        <f>IF(CAELS!AF18&lt;5%,"Compliant","Non-Compliant")</f>
        <v>Compliant</v>
      </c>
      <c r="AE11" s="2" t="str">
        <f>IF(CAELS!AG18&lt;5%,"Compliant","Non-Compliant")</f>
        <v>Compliant</v>
      </c>
      <c r="AF11" s="2" t="str">
        <f>IF(CAELS!AH18&lt;5%,"Compliant","Non-Compliant")</f>
        <v>Compliant</v>
      </c>
      <c r="AG11" s="2" t="str">
        <f>IF(CAELS!AI18&lt;5%,"Compliant","Non-Compliant")</f>
        <v>Compliant</v>
      </c>
      <c r="AH11" s="2" t="str">
        <f>IF(CAELS!AJ18&lt;5%,"Compliant","Non-Compliant")</f>
        <v>Compliant</v>
      </c>
      <c r="AI11" s="2" t="e">
        <f>IF(CAELS!AK18&lt;5%,"Compliant","Non-Compliant")</f>
        <v>#DIV/0!</v>
      </c>
      <c r="AJ11" s="2" t="e">
        <f>IF(CAELS!AL18&lt;5%,"Compliant","Non-Compliant")</f>
        <v>#DIV/0!</v>
      </c>
      <c r="AK11" s="2" t="e">
        <f>IF(CAELS!AM18&lt;5%,"Compliant","Non-Compliant")</f>
        <v>#DIV/0!</v>
      </c>
      <c r="AL11" s="2" t="e">
        <f>IF(CAELS!AN18&lt;5%,"Compliant","Non-Compliant")</f>
        <v>#DIV/0!</v>
      </c>
      <c r="AM11" s="2" t="e">
        <f>IF(CAELS!AO18&lt;5%,"Compliant","Non-Compliant")</f>
        <v>#DIV/0!</v>
      </c>
      <c r="AN11" s="2" t="e">
        <f>IF(CAELS!AP18&lt;5%,"Compliant","Non-Compliant")</f>
        <v>#DIV/0!</v>
      </c>
      <c r="AO11" s="2" t="e">
        <f>IF(CAELS!AQ18&lt;5%,"Compliant","Non-Compliant")</f>
        <v>#DIV/0!</v>
      </c>
      <c r="AP11" s="2" t="e">
        <f>IF(CAELS!AR18&lt;5%,"Compliant","Non-Compliant")</f>
        <v>#DIV/0!</v>
      </c>
      <c r="AQ11" s="2" t="e">
        <f>IF(CAELS!AS18&lt;5%,"Compliant","Non-Compliant")</f>
        <v>#DIV/0!</v>
      </c>
      <c r="AR11" s="2" t="e">
        <f>IF(CAELS!AT18&lt;5%,"Compliant","Non-Compliant")</f>
        <v>#DIV/0!</v>
      </c>
      <c r="AS11" s="2" t="e">
        <f>IF(CAELS!AU18&lt;5%,"Compliant","Non-Compliant")</f>
        <v>#DIV/0!</v>
      </c>
      <c r="AT11" s="2" t="e">
        <f>IF(CAELS!AV18&lt;5%,"Compliant","Non-Compliant")</f>
        <v>#DIV/0!</v>
      </c>
      <c r="AU11" s="2" t="e">
        <f>IF(CAELS!AW18&lt;5%,"Compliant","Non-Compliant")</f>
        <v>#DIV/0!</v>
      </c>
      <c r="AV11" s="2" t="e">
        <f>IF(CAELS!AX18&lt;5%,"Compliant","Non-Compliant")</f>
        <v>#DIV/0!</v>
      </c>
      <c r="AW11" s="2" t="e">
        <f>IF(CAELS!AY18&lt;5%,"Compliant","Non-Compliant")</f>
        <v>#DIV/0!</v>
      </c>
      <c r="AX11" s="2" t="str">
        <f>IF(CAELS!AZ18&lt;5%,"Compliant","Non-Compliant")</f>
        <v>Compliant</v>
      </c>
      <c r="AY11" s="2" t="str">
        <f>IF(CAELS!BA18&lt;5%,"Compliant","Non-Compliant")</f>
        <v>Compliant</v>
      </c>
      <c r="AZ11" s="2" t="str">
        <f>IF(CAELS!BB18&lt;5%,"Compliant","Non-Compliant")</f>
        <v>Compliant</v>
      </c>
      <c r="BA11" s="2" t="str">
        <f>IF(CAELS!BC18&lt;5%,"Compliant","Non-Compliant")</f>
        <v>Compliant</v>
      </c>
      <c r="BB11" s="2" t="str">
        <f>IF(CAELS!BD18&lt;5%,"Compliant","Non-Compliant")</f>
        <v>Compliant</v>
      </c>
      <c r="BC11" s="2" t="str">
        <f>IF(CAELS!BE18&lt;5%,"Compliant","Non-Compliant")</f>
        <v>Compliant</v>
      </c>
      <c r="BD11" s="2" t="str">
        <f>IF(CAELS!BF18&lt;5%,"Compliant","Non-Compliant")</f>
        <v>Compliant</v>
      </c>
      <c r="BE11" s="2" t="str">
        <f>IF(CAELS!BG18&lt;5%,"Compliant","Non-Compliant")</f>
        <v>Compliant</v>
      </c>
      <c r="BF11" s="2" t="str">
        <f>IF(CAELS!BH18&lt;5%,"Compliant","Non-Compliant")</f>
        <v>Compliant</v>
      </c>
      <c r="BG11" s="2" t="str">
        <f>IF(CAELS!BI18&lt;5%,"Compliant","Non-Compliant")</f>
        <v>Compliant</v>
      </c>
      <c r="BH11" s="2" t="str">
        <f>IF(CAELS!BJ18&lt;5%,"Compliant","Non-Compliant")</f>
        <v>Compliant</v>
      </c>
    </row>
    <row r="12" spans="1:60" x14ac:dyDescent="0.3">
      <c r="A12" s="127" t="s">
        <v>230</v>
      </c>
      <c r="B12" s="2" t="str">
        <f>IF(CAELS!D19&lt;40%,"Compliant","Non-Compliant")</f>
        <v>Compliant</v>
      </c>
      <c r="C12" s="2" t="str">
        <f>IF(CAELS!E19&lt;40%,"Compliant","Non-Compliant")</f>
        <v>Compliant</v>
      </c>
      <c r="D12" s="2" t="str">
        <f>IF(CAELS!F19&lt;40%,"Compliant","Non-Compliant")</f>
        <v>Compliant</v>
      </c>
      <c r="E12" s="2" t="str">
        <f>IF(CAELS!G19&lt;40%,"Compliant","Non-Compliant")</f>
        <v>Compliant</v>
      </c>
      <c r="F12" s="2" t="str">
        <f>IF(CAELS!H19&lt;40%,"Compliant","Non-Compliant")</f>
        <v>Compliant</v>
      </c>
      <c r="G12" s="2" t="str">
        <f>IF(CAELS!I19&lt;40%,"Compliant","Non-Compliant")</f>
        <v>Compliant</v>
      </c>
      <c r="H12" s="2" t="str">
        <f>IF(CAELS!J19&lt;40%,"Compliant","Non-Compliant")</f>
        <v>Compliant</v>
      </c>
      <c r="I12" s="2" t="str">
        <f>IF(CAELS!K19&lt;40%,"Compliant","Non-Compliant")</f>
        <v>Compliant</v>
      </c>
      <c r="J12" s="2" t="str">
        <f>IF(CAELS!L19&lt;40%,"Compliant","Non-Compliant")</f>
        <v>Compliant</v>
      </c>
      <c r="K12" s="2" t="str">
        <f>IF(CAELS!M19&lt;40%,"Compliant","Non-Compliant")</f>
        <v>Compliant</v>
      </c>
      <c r="L12" s="2" t="str">
        <f>IF(CAELS!N19&lt;40%,"Compliant","Non-Compliant")</f>
        <v>Compliant</v>
      </c>
      <c r="M12" s="2" t="str">
        <f>IF(CAELS!O19&lt;40%,"Compliant","Non-Compliant")</f>
        <v>Compliant</v>
      </c>
      <c r="N12" s="2" t="str">
        <f>IF(CAELS!P19&lt;40%,"Compliant","Non-Compliant")</f>
        <v>Compliant</v>
      </c>
      <c r="O12" s="2" t="str">
        <f>IF(CAELS!Q19&lt;40%,"Compliant","Non-Compliant")</f>
        <v>Compliant</v>
      </c>
      <c r="P12" s="2" t="str">
        <f>IF(CAELS!R19&lt;40%,"Compliant","Non-Compliant")</f>
        <v>Compliant</v>
      </c>
      <c r="Q12" s="2" t="str">
        <f>IF(CAELS!S19&lt;40%,"Compliant","Non-Compliant")</f>
        <v>Compliant</v>
      </c>
      <c r="R12" s="2" t="str">
        <f>IF(CAELS!T19&lt;40%,"Compliant","Non-Compliant")</f>
        <v>Compliant</v>
      </c>
      <c r="S12" s="2" t="str">
        <f>IF(CAELS!U19&lt;40%,"Compliant","Non-Compliant")</f>
        <v>Compliant</v>
      </c>
      <c r="T12" s="2" t="str">
        <f>IF(CAELS!V19&lt;40%,"Compliant","Non-Compliant")</f>
        <v>Compliant</v>
      </c>
      <c r="U12" s="2" t="str">
        <f>IF(CAELS!W19&lt;40%,"Compliant","Non-Compliant")</f>
        <v>Compliant</v>
      </c>
      <c r="V12" s="2" t="str">
        <f>IF(CAELS!X19&lt;40%,"Compliant","Non-Compliant")</f>
        <v>Compliant</v>
      </c>
      <c r="W12" s="2" t="str">
        <f>IF(CAELS!Y19&lt;40%,"Compliant","Non-Compliant")</f>
        <v>Compliant</v>
      </c>
      <c r="X12" s="2" t="str">
        <f>IF(CAELS!Z19&lt;40%,"Compliant","Non-Compliant")</f>
        <v>Compliant</v>
      </c>
      <c r="Y12" s="2" t="str">
        <f>IF(CAELS!AA19&lt;40%,"Compliant","Non-Compliant")</f>
        <v>Compliant</v>
      </c>
      <c r="Z12" s="2" t="str">
        <f>IF(CAELS!AB19&lt;40%,"Compliant","Non-Compliant")</f>
        <v>Compliant</v>
      </c>
      <c r="AA12" s="2" t="str">
        <f>IF(CAELS!AC19&lt;40%,"Compliant","Non-Compliant")</f>
        <v>Compliant</v>
      </c>
      <c r="AB12" s="2" t="str">
        <f>IF(CAELS!AD19&lt;40%,"Compliant","Non-Compliant")</f>
        <v>Compliant</v>
      </c>
      <c r="AC12" s="2" t="str">
        <f>IF(CAELS!AE19&lt;40%,"Compliant","Non-Compliant")</f>
        <v>Compliant</v>
      </c>
      <c r="AD12" s="2" t="str">
        <f>IF(CAELS!AF19&lt;40%,"Compliant","Non-Compliant")</f>
        <v>Compliant</v>
      </c>
      <c r="AE12" s="2" t="str">
        <f>IF(CAELS!AG19&lt;40%,"Compliant","Non-Compliant")</f>
        <v>Compliant</v>
      </c>
      <c r="AF12" s="2" t="str">
        <f>IF(CAELS!AH19&lt;40%,"Compliant","Non-Compliant")</f>
        <v>Compliant</v>
      </c>
      <c r="AG12" s="2" t="str">
        <f>IF(CAELS!AI19&lt;40%,"Compliant","Non-Compliant")</f>
        <v>Compliant</v>
      </c>
      <c r="AH12" s="2" t="str">
        <f>IF(CAELS!AJ19&lt;40%,"Compliant","Non-Compliant")</f>
        <v>Compliant</v>
      </c>
      <c r="AI12" s="2" t="e">
        <f>IF(CAELS!AK19&lt;40%,"Compliant","Non-Compliant")</f>
        <v>#DIV/0!</v>
      </c>
      <c r="AJ12" s="2" t="e">
        <f>IF(CAELS!AL19&lt;40%,"Compliant","Non-Compliant")</f>
        <v>#DIV/0!</v>
      </c>
      <c r="AK12" s="2" t="e">
        <f>IF(CAELS!AM19&lt;40%,"Compliant","Non-Compliant")</f>
        <v>#DIV/0!</v>
      </c>
      <c r="AL12" s="2" t="e">
        <f>IF(CAELS!AN19&lt;40%,"Compliant","Non-Compliant")</f>
        <v>#DIV/0!</v>
      </c>
      <c r="AM12" s="2" t="e">
        <f>IF(CAELS!AO19&lt;40%,"Compliant","Non-Compliant")</f>
        <v>#DIV/0!</v>
      </c>
      <c r="AN12" s="2" t="e">
        <f>IF(CAELS!AP19&lt;40%,"Compliant","Non-Compliant")</f>
        <v>#DIV/0!</v>
      </c>
      <c r="AO12" s="2" t="e">
        <f>IF(CAELS!AQ19&lt;40%,"Compliant","Non-Compliant")</f>
        <v>#DIV/0!</v>
      </c>
      <c r="AP12" s="2" t="e">
        <f>IF(CAELS!AR19&lt;40%,"Compliant","Non-Compliant")</f>
        <v>#DIV/0!</v>
      </c>
      <c r="AQ12" s="2" t="e">
        <f>IF(CAELS!AS19&lt;40%,"Compliant","Non-Compliant")</f>
        <v>#DIV/0!</v>
      </c>
      <c r="AR12" s="2" t="e">
        <f>IF(CAELS!AT19&lt;40%,"Compliant","Non-Compliant")</f>
        <v>#DIV/0!</v>
      </c>
      <c r="AS12" s="2" t="e">
        <f>IF(CAELS!AU19&lt;40%,"Compliant","Non-Compliant")</f>
        <v>#DIV/0!</v>
      </c>
      <c r="AT12" s="2" t="e">
        <f>IF(CAELS!AV19&lt;40%,"Compliant","Non-Compliant")</f>
        <v>#DIV/0!</v>
      </c>
      <c r="AU12" s="2" t="e">
        <f>IF(CAELS!AW19&lt;40%,"Compliant","Non-Compliant")</f>
        <v>#DIV/0!</v>
      </c>
      <c r="AV12" s="2" t="e">
        <f>IF(CAELS!AX19&lt;40%,"Compliant","Non-Compliant")</f>
        <v>#DIV/0!</v>
      </c>
      <c r="AW12" s="2" t="e">
        <f>IF(CAELS!AY19&lt;40%,"Compliant","Non-Compliant")</f>
        <v>#DIV/0!</v>
      </c>
      <c r="AX12" s="2" t="str">
        <f>IF(CAELS!AZ19&lt;40%,"Compliant","Non-Compliant")</f>
        <v>Compliant</v>
      </c>
      <c r="AY12" s="2" t="str">
        <f>IF(CAELS!BA19&lt;40%,"Compliant","Non-Compliant")</f>
        <v>Compliant</v>
      </c>
      <c r="AZ12" s="2" t="str">
        <f>IF(CAELS!BB19&lt;40%,"Compliant","Non-Compliant")</f>
        <v>Compliant</v>
      </c>
      <c r="BA12" s="2" t="str">
        <f>IF(CAELS!BC19&lt;40%,"Compliant","Non-Compliant")</f>
        <v>Compliant</v>
      </c>
      <c r="BB12" s="2" t="str">
        <f>IF(CAELS!BD19&lt;40%,"Compliant","Non-Compliant")</f>
        <v>Compliant</v>
      </c>
      <c r="BC12" s="2" t="str">
        <f>IF(CAELS!BE19&lt;40%,"Compliant","Non-Compliant")</f>
        <v>Compliant</v>
      </c>
      <c r="BD12" s="2" t="str">
        <f>IF(CAELS!BF19&lt;40%,"Compliant","Non-Compliant")</f>
        <v>Compliant</v>
      </c>
      <c r="BE12" s="2" t="str">
        <f>IF(CAELS!BG19&lt;40%,"Compliant","Non-Compliant")</f>
        <v>Compliant</v>
      </c>
      <c r="BF12" s="2" t="str">
        <f>IF(CAELS!BH19&lt;40%,"Compliant","Non-Compliant")</f>
        <v>Compliant</v>
      </c>
      <c r="BG12" s="2" t="str">
        <f>IF(CAELS!BI19&lt;40%,"Compliant","Non-Compliant")</f>
        <v>Compliant</v>
      </c>
      <c r="BH12" s="2" t="str">
        <f>IF(CAELS!BJ19&lt;40%,"Compliant","Non-Compliant")</f>
        <v>Compliant</v>
      </c>
    </row>
    <row r="13" spans="1:60" x14ac:dyDescent="0.3">
      <c r="A13" s="127" t="s">
        <v>231</v>
      </c>
      <c r="B13" s="2" t="str">
        <f>IF(CAELS!D14&lt;25%,"Compliant","Non-Compliant")</f>
        <v>Compliant</v>
      </c>
      <c r="C13" s="2" t="str">
        <f>IF(CAELS!E14&lt;25%,"Compliant","Non-Compliant")</f>
        <v>Compliant</v>
      </c>
      <c r="D13" s="2" t="str">
        <f>IF(CAELS!F14&lt;25%,"Compliant","Non-Compliant")</f>
        <v>Compliant</v>
      </c>
      <c r="E13" s="2" t="str">
        <f>IF(CAELS!G14&lt;25%,"Compliant","Non-Compliant")</f>
        <v>Compliant</v>
      </c>
      <c r="F13" s="2" t="str">
        <f>IF(CAELS!H14&lt;25%,"Compliant","Non-Compliant")</f>
        <v>Compliant</v>
      </c>
      <c r="G13" s="2" t="str">
        <f>IF(CAELS!I14&lt;25%,"Compliant","Non-Compliant")</f>
        <v>Compliant</v>
      </c>
      <c r="H13" s="2" t="str">
        <f>IF(CAELS!J14&lt;25%,"Compliant","Non-Compliant")</f>
        <v>Compliant</v>
      </c>
      <c r="I13" s="2" t="str">
        <f>IF(CAELS!K14&lt;25%,"Compliant","Non-Compliant")</f>
        <v>Compliant</v>
      </c>
      <c r="J13" s="2" t="str">
        <f>IF(CAELS!L14&lt;25%,"Compliant","Non-Compliant")</f>
        <v>Compliant</v>
      </c>
      <c r="K13" s="2" t="str">
        <f>IF(CAELS!M14&lt;25%,"Compliant","Non-Compliant")</f>
        <v>Compliant</v>
      </c>
      <c r="L13" s="2" t="str">
        <f>IF(CAELS!N14&lt;25%,"Compliant","Non-Compliant")</f>
        <v>Compliant</v>
      </c>
      <c r="M13" s="2" t="str">
        <f>IF(CAELS!O14&lt;25%,"Compliant","Non-Compliant")</f>
        <v>Compliant</v>
      </c>
      <c r="N13" s="2" t="str">
        <f>IF(CAELS!P14&lt;25%,"Compliant","Non-Compliant")</f>
        <v>Compliant</v>
      </c>
      <c r="O13" s="2" t="str">
        <f>IF(CAELS!Q14&lt;25%,"Compliant","Non-Compliant")</f>
        <v>Compliant</v>
      </c>
      <c r="P13" s="2" t="str">
        <f>IF(CAELS!R14&lt;25%,"Compliant","Non-Compliant")</f>
        <v>Compliant</v>
      </c>
      <c r="Q13" s="2" t="str">
        <f>IF(CAELS!S14&lt;25%,"Compliant","Non-Compliant")</f>
        <v>Compliant</v>
      </c>
      <c r="R13" s="2" t="str">
        <f>IF(CAELS!T14&lt;25%,"Compliant","Non-Compliant")</f>
        <v>Compliant</v>
      </c>
      <c r="S13" s="2" t="str">
        <f>IF(CAELS!U14&lt;25%,"Compliant","Non-Compliant")</f>
        <v>Compliant</v>
      </c>
      <c r="T13" s="2" t="str">
        <f>IF(CAELS!V14&lt;25%,"Compliant","Non-Compliant")</f>
        <v>Compliant</v>
      </c>
      <c r="U13" s="2" t="str">
        <f>IF(CAELS!W14&lt;25%,"Compliant","Non-Compliant")</f>
        <v>Compliant</v>
      </c>
      <c r="V13" s="2" t="str">
        <f>IF(CAELS!X14&lt;25%,"Compliant","Non-Compliant")</f>
        <v>Compliant</v>
      </c>
      <c r="W13" s="2" t="str">
        <f>IF(CAELS!Y14&lt;25%,"Compliant","Non-Compliant")</f>
        <v>Compliant</v>
      </c>
      <c r="X13" s="2" t="str">
        <f>IF(CAELS!Z14&lt;25%,"Compliant","Non-Compliant")</f>
        <v>Compliant</v>
      </c>
      <c r="Y13" s="2" t="str">
        <f>IF(CAELS!AA14&lt;25%,"Compliant","Non-Compliant")</f>
        <v>Compliant</v>
      </c>
      <c r="Z13" s="2" t="str">
        <f>IF(CAELS!AB14&lt;25%,"Compliant","Non-Compliant")</f>
        <v>Compliant</v>
      </c>
      <c r="AA13" s="2" t="str">
        <f>IF(CAELS!AC14&lt;25%,"Compliant","Non-Compliant")</f>
        <v>Compliant</v>
      </c>
      <c r="AB13" s="2" t="str">
        <f>IF(CAELS!AD14&lt;25%,"Compliant","Non-Compliant")</f>
        <v>Compliant</v>
      </c>
      <c r="AC13" s="2" t="str">
        <f>IF(CAELS!AE14&lt;25%,"Compliant","Non-Compliant")</f>
        <v>Compliant</v>
      </c>
      <c r="AD13" s="2" t="str">
        <f>IF(CAELS!AF14&lt;25%,"Compliant","Non-Compliant")</f>
        <v>Compliant</v>
      </c>
      <c r="AE13" s="2" t="str">
        <f>IF(CAELS!AG14&lt;25%,"Compliant","Non-Compliant")</f>
        <v>Compliant</v>
      </c>
      <c r="AF13" s="2" t="str">
        <f>IF(CAELS!AH14&lt;25%,"Compliant","Non-Compliant")</f>
        <v>Compliant</v>
      </c>
      <c r="AG13" s="2" t="str">
        <f>IF(CAELS!AI14&lt;25%,"Compliant","Non-Compliant")</f>
        <v>Compliant</v>
      </c>
      <c r="AH13" s="2" t="str">
        <f>IF(CAELS!AJ14&lt;25%,"Compliant","Non-Compliant")</f>
        <v>Compliant</v>
      </c>
      <c r="AI13" s="2" t="e">
        <f>IF(CAELS!AK14&lt;25%,"Compliant","Non-Compliant")</f>
        <v>#DIV/0!</v>
      </c>
      <c r="AJ13" s="2" t="e">
        <f>IF(CAELS!AL14&lt;25%,"Compliant","Non-Compliant")</f>
        <v>#DIV/0!</v>
      </c>
      <c r="AK13" s="2" t="e">
        <f>IF(CAELS!AM14&lt;25%,"Compliant","Non-Compliant")</f>
        <v>#DIV/0!</v>
      </c>
      <c r="AL13" s="2" t="e">
        <f>IF(CAELS!AN14&lt;25%,"Compliant","Non-Compliant")</f>
        <v>#DIV/0!</v>
      </c>
      <c r="AM13" s="2" t="e">
        <f>IF(CAELS!AO14&lt;25%,"Compliant","Non-Compliant")</f>
        <v>#DIV/0!</v>
      </c>
      <c r="AN13" s="2" t="e">
        <f>IF(CAELS!AP14&lt;25%,"Compliant","Non-Compliant")</f>
        <v>#DIV/0!</v>
      </c>
      <c r="AO13" s="2" t="e">
        <f>IF(CAELS!AQ14&lt;25%,"Compliant","Non-Compliant")</f>
        <v>#DIV/0!</v>
      </c>
      <c r="AP13" s="2" t="e">
        <f>IF(CAELS!AR14&lt;25%,"Compliant","Non-Compliant")</f>
        <v>#DIV/0!</v>
      </c>
      <c r="AQ13" s="2" t="e">
        <f>IF(CAELS!AS14&lt;25%,"Compliant","Non-Compliant")</f>
        <v>#DIV/0!</v>
      </c>
      <c r="AR13" s="2" t="e">
        <f>IF(CAELS!AT14&lt;25%,"Compliant","Non-Compliant")</f>
        <v>#DIV/0!</v>
      </c>
      <c r="AS13" s="2" t="e">
        <f>IF(CAELS!AU14&lt;25%,"Compliant","Non-Compliant")</f>
        <v>#DIV/0!</v>
      </c>
      <c r="AT13" s="2" t="e">
        <f>IF(CAELS!AV14&lt;25%,"Compliant","Non-Compliant")</f>
        <v>#DIV/0!</v>
      </c>
      <c r="AU13" s="2" t="e">
        <f>IF(CAELS!AW14&lt;25%,"Compliant","Non-Compliant")</f>
        <v>#DIV/0!</v>
      </c>
      <c r="AV13" s="2" t="e">
        <f>IF(CAELS!AX14&lt;25%,"Compliant","Non-Compliant")</f>
        <v>#DIV/0!</v>
      </c>
      <c r="AW13" s="2" t="e">
        <f>IF(CAELS!AY14&lt;25%,"Compliant","Non-Compliant")</f>
        <v>#DIV/0!</v>
      </c>
      <c r="AX13" s="2" t="str">
        <f>IF(CAELS!AZ14&lt;25%,"Compliant","Non-Compliant")</f>
        <v>Compliant</v>
      </c>
      <c r="AY13" s="2" t="str">
        <f>IF(CAELS!BA14&lt;25%,"Compliant","Non-Compliant")</f>
        <v>Compliant</v>
      </c>
      <c r="AZ13" s="2" t="str">
        <f>IF(CAELS!BB14&lt;25%,"Compliant","Non-Compliant")</f>
        <v>Compliant</v>
      </c>
      <c r="BA13" s="2" t="str">
        <f>IF(CAELS!BC14&lt;25%,"Compliant","Non-Compliant")</f>
        <v>Compliant</v>
      </c>
      <c r="BB13" s="2" t="str">
        <f>IF(CAELS!BD14&lt;25%,"Compliant","Non-Compliant")</f>
        <v>Compliant</v>
      </c>
      <c r="BC13" s="2" t="str">
        <f>IF(CAELS!BE14&lt;25%,"Compliant","Non-Compliant")</f>
        <v>Compliant</v>
      </c>
      <c r="BD13" s="2" t="str">
        <f>IF(CAELS!BF14&lt;25%,"Compliant","Non-Compliant")</f>
        <v>Compliant</v>
      </c>
      <c r="BE13" s="2" t="str">
        <f>IF(CAELS!BG14&lt;25%,"Compliant","Non-Compliant")</f>
        <v>Compliant</v>
      </c>
      <c r="BF13" s="2" t="str">
        <f>IF(CAELS!BH14&lt;25%,"Compliant","Non-Compliant")</f>
        <v>Compliant</v>
      </c>
      <c r="BG13" s="2" t="str">
        <f>IF(CAELS!BI14&lt;25%,"Compliant","Non-Compliant")</f>
        <v>Compliant</v>
      </c>
      <c r="BH13" s="2" t="str">
        <f>IF(CAELS!BJ14&lt;25%,"Compliant","Non-Compliant")</f>
        <v>Compliant</v>
      </c>
    </row>
    <row r="14" spans="1:60" x14ac:dyDescent="0.3">
      <c r="A14" s="127" t="s">
        <v>232</v>
      </c>
      <c r="B14" s="2" t="str">
        <f>IF('Evolutive SFP'!B27='Evolutive SFP'!B49,"BALANCING","NOT BALANCING")</f>
        <v>BALANCING</v>
      </c>
      <c r="C14" s="2" t="str">
        <f>IF('Evolutive SFP'!C27='Evolutive SFP'!C49,"BALANCING","NOT BALANCING")</f>
        <v>NOT BALANCING</v>
      </c>
      <c r="D14" s="2" t="str">
        <f>IF('Evolutive SFP'!D27='Evolutive SFP'!D49,"BALANCING","NOT BALANCING")</f>
        <v>BALANCING</v>
      </c>
      <c r="E14" s="2" t="str">
        <f>IF('Evolutive SFP'!E27='Evolutive SFP'!E49,"BALANCING","NOT BALANCING")</f>
        <v>BALANCING</v>
      </c>
      <c r="F14" s="2" t="str">
        <f>IF('Evolutive SFP'!F27='Evolutive SFP'!F49,"BALANCING","NOT BALANCING")</f>
        <v>BALANCING</v>
      </c>
      <c r="G14" s="2" t="str">
        <f>IF('Evolutive SFP'!G27='Evolutive SFP'!G49,"BALANCING","NOT BALANCING")</f>
        <v>BALANCING</v>
      </c>
      <c r="H14" s="2" t="str">
        <f>IF('Evolutive SFP'!H27='Evolutive SFP'!H49,"BALANCING","NOT BALANCING")</f>
        <v>NOT BALANCING</v>
      </c>
      <c r="I14" s="2" t="e">
        <f>IF('Evolutive SFP'!#REF!='Evolutive SFP'!#REF!,"BALANCING","NOT BALANCING")</f>
        <v>#REF!</v>
      </c>
      <c r="J14" s="2" t="e">
        <f>IF('Evolutive SFP'!#REF!='Evolutive SFP'!#REF!,"BALANCING","NOT BALANCING")</f>
        <v>#REF!</v>
      </c>
      <c r="K14" s="2" t="e">
        <f>IF('Evolutive SFP'!#REF!='Evolutive SFP'!#REF!,"BALANCING","NOT BALANCING")</f>
        <v>#REF!</v>
      </c>
      <c r="L14" s="2" t="e">
        <f>IF('Evolutive SFP'!#REF!='Evolutive SFP'!#REF!,"BALANCING","NOT BALANCING")</f>
        <v>#REF!</v>
      </c>
      <c r="M14" s="2" t="e">
        <f>IF('Evolutive SFP'!#REF!='Evolutive SFP'!#REF!,"BALANCING","NOT BALANCING")</f>
        <v>#REF!</v>
      </c>
      <c r="N14" s="2" t="e">
        <f>IF('Evolutive SFP'!#REF!='Evolutive SFP'!#REF!,"BALANCING","NOT BALANCING")</f>
        <v>#REF!</v>
      </c>
      <c r="O14" s="2" t="e">
        <f>IF('Evolutive SFP'!#REF!='Evolutive SFP'!#REF!,"BALANCING","NOT BALANCING")</f>
        <v>#REF!</v>
      </c>
      <c r="P14" s="2" t="e">
        <f>IF('Evolutive SFP'!#REF!='Evolutive SFP'!#REF!,"BALANCING","NOT BALANCING")</f>
        <v>#REF!</v>
      </c>
      <c r="Q14" s="2" t="e">
        <f>IF('Evolutive SFP'!#REF!='Evolutive SFP'!#REF!,"BALANCING","NOT BALANCING")</f>
        <v>#REF!</v>
      </c>
      <c r="R14" s="2" t="e">
        <f>IF('Evolutive SFP'!#REF!='Evolutive SFP'!#REF!,"BALANCING","NOT BALANCING")</f>
        <v>#REF!</v>
      </c>
      <c r="S14" s="2" t="e">
        <f>IF('Evolutive SFP'!#REF!='Evolutive SFP'!#REF!,"BALANCING","NOT BALANCING")</f>
        <v>#REF!</v>
      </c>
      <c r="T14" s="2" t="e">
        <f>IF('Evolutive SFP'!#REF!='Evolutive SFP'!#REF!,"BALANCING","NOT BALANCING")</f>
        <v>#REF!</v>
      </c>
      <c r="U14" s="2" t="e">
        <f>IF('Evolutive SFP'!#REF!='Evolutive SFP'!#REF!,"BALANCING","NOT BALANCING")</f>
        <v>#REF!</v>
      </c>
      <c r="V14" s="2" t="e">
        <f>IF('Evolutive SFP'!#REF!='Evolutive SFP'!#REF!,"BALANCING","NOT BALANCING")</f>
        <v>#REF!</v>
      </c>
      <c r="W14" s="2" t="e">
        <f>IF('Evolutive SFP'!#REF!='Evolutive SFP'!#REF!,"BALANCING","NOT BALANCING")</f>
        <v>#REF!</v>
      </c>
      <c r="X14" s="2" t="e">
        <f>IF('Evolutive SFP'!#REF!='Evolutive SFP'!#REF!,"BALANCING","NOT BALANCING")</f>
        <v>#REF!</v>
      </c>
      <c r="Y14" s="2" t="e">
        <f>IF('Evolutive SFP'!#REF!='Evolutive SFP'!#REF!,"BALANCING","NOT BALANCING")</f>
        <v>#REF!</v>
      </c>
      <c r="Z14" s="2" t="e">
        <f>IF('Evolutive SFP'!#REF!='Evolutive SFP'!#REF!,"BALANCING","NOT BALANCING")</f>
        <v>#REF!</v>
      </c>
      <c r="AA14" s="2" t="e">
        <f>IF('Evolutive SFP'!#REF!='Evolutive SFP'!#REF!,"BALANCING","NOT BALANCING")</f>
        <v>#REF!</v>
      </c>
      <c r="AB14" s="2" t="e">
        <f>IF('Evolutive SFP'!#REF!='Evolutive SFP'!#REF!,"BALANCING","NOT BALANCING")</f>
        <v>#REF!</v>
      </c>
      <c r="AC14" s="2" t="e">
        <f>IF('Evolutive SFP'!#REF!='Evolutive SFP'!#REF!,"BALANCING","NOT BALANCING")</f>
        <v>#REF!</v>
      </c>
      <c r="AD14" s="2" t="e">
        <f>IF('Evolutive SFP'!#REF!='Evolutive SFP'!#REF!,"BALANCING","NOT BALANCING")</f>
        <v>#REF!</v>
      </c>
      <c r="AE14" s="2" t="e">
        <f>IF('Evolutive SFP'!#REF!='Evolutive SFP'!#REF!,"BALANCING","NOT BALANCING")</f>
        <v>#REF!</v>
      </c>
      <c r="AF14" s="2" t="e">
        <f>IF('Evolutive SFP'!#REF!='Evolutive SFP'!#REF!,"BALANCING","NOT BALANCING")</f>
        <v>#REF!</v>
      </c>
      <c r="AG14" s="2" t="e">
        <f>IF('Evolutive SFP'!#REF!='Evolutive SFP'!#REF!,"BALANCING","NOT BALANCING")</f>
        <v>#REF!</v>
      </c>
      <c r="AH14" s="2" t="e">
        <f>IF('Evolutive SFP'!#REF!='Evolutive SFP'!#REF!,"BALANCING","NOT BALANCING")</f>
        <v>#REF!</v>
      </c>
      <c r="AI14" s="2" t="e">
        <f>IF('Evolutive SFP'!#REF!='Evolutive SFP'!#REF!,"BALANCING","NOT BALANCING")</f>
        <v>#REF!</v>
      </c>
      <c r="AJ14" s="2" t="e">
        <f>IF('Evolutive SFP'!#REF!='Evolutive SFP'!#REF!,"BALANCING","NOT BALANCING")</f>
        <v>#REF!</v>
      </c>
      <c r="AK14" s="2" t="e">
        <f>IF('Evolutive SFP'!#REF!='Evolutive SFP'!#REF!,"BALANCING","NOT BALANCING")</f>
        <v>#REF!</v>
      </c>
      <c r="AL14" s="2" t="e">
        <f>IF('Evolutive SFP'!#REF!='Evolutive SFP'!#REF!,"BALANCING","NOT BALANCING")</f>
        <v>#REF!</v>
      </c>
      <c r="AM14" s="2" t="e">
        <f>IF('Evolutive SFP'!#REF!='Evolutive SFP'!#REF!,"BALANCING","NOT BALANCING")</f>
        <v>#REF!</v>
      </c>
      <c r="AN14" s="2" t="e">
        <f>IF('Evolutive SFP'!#REF!='Evolutive SFP'!#REF!,"BALANCING","NOT BALANCING")</f>
        <v>#REF!</v>
      </c>
      <c r="AO14" s="2" t="e">
        <f>IF('Evolutive SFP'!#REF!='Evolutive SFP'!#REF!,"BALANCING","NOT BALANCING")</f>
        <v>#REF!</v>
      </c>
      <c r="AP14" s="2" t="e">
        <f>IF('Evolutive SFP'!#REF!='Evolutive SFP'!#REF!,"BALANCING","NOT BALANCING")</f>
        <v>#REF!</v>
      </c>
      <c r="AQ14" s="2" t="e">
        <f>IF('Evolutive SFP'!#REF!='Evolutive SFP'!#REF!,"BALANCING","NOT BALANCING")</f>
        <v>#REF!</v>
      </c>
      <c r="AR14" s="2" t="e">
        <f>IF('Evolutive SFP'!#REF!='Evolutive SFP'!#REF!,"BALANCING","NOT BALANCING")</f>
        <v>#REF!</v>
      </c>
      <c r="AS14" s="2" t="e">
        <f>IF('Evolutive SFP'!#REF!='Evolutive SFP'!#REF!,"BALANCING","NOT BALANCING")</f>
        <v>#REF!</v>
      </c>
      <c r="AT14" s="2" t="e">
        <f>IF('Evolutive SFP'!#REF!='Evolutive SFP'!#REF!,"BALANCING","NOT BALANCING")</f>
        <v>#REF!</v>
      </c>
      <c r="AU14" s="2" t="e">
        <f>IF('Evolutive SFP'!#REF!='Evolutive SFP'!#REF!,"BALANCING","NOT BALANCING")</f>
        <v>#REF!</v>
      </c>
      <c r="AV14" s="2" t="e">
        <f>IF('Evolutive SFP'!#REF!='Evolutive SFP'!#REF!,"BALANCING","NOT BALANCING")</f>
        <v>#REF!</v>
      </c>
      <c r="AW14" s="2" t="e">
        <f>IF('Evolutive SFP'!#REF!='Evolutive SFP'!#REF!,"BALANCING","NOT BALANCING")</f>
        <v>#REF!</v>
      </c>
      <c r="AX14" s="2" t="e">
        <f>IF('Evolutive SFP'!#REF!='Evolutive SFP'!#REF!,"BALANCING","NOT BALANCING")</f>
        <v>#REF!</v>
      </c>
      <c r="AY14" s="2" t="e">
        <f>IF('Evolutive SFP'!#REF!='Evolutive SFP'!#REF!,"BALANCING","NOT BALANCING")</f>
        <v>#REF!</v>
      </c>
      <c r="AZ14" s="2" t="e">
        <f>IF('Evolutive SFP'!#REF!='Evolutive SFP'!#REF!,"BALANCING","NOT BALANCING")</f>
        <v>#REF!</v>
      </c>
      <c r="BA14" s="2" t="e">
        <f>IF('Evolutive SFP'!#REF!='Evolutive SFP'!#REF!,"BALANCING","NOT BALANCING")</f>
        <v>#REF!</v>
      </c>
      <c r="BB14" s="2" t="e">
        <f>IF('Evolutive SFP'!#REF!='Evolutive SFP'!#REF!,"BALANCING","NOT BALANCING")</f>
        <v>#REF!</v>
      </c>
      <c r="BC14" s="2" t="e">
        <f>IF('Evolutive SFP'!#REF!='Evolutive SFP'!#REF!,"BALANCING","NOT BALANCING")</f>
        <v>#REF!</v>
      </c>
      <c r="BD14" s="2" t="e">
        <f>IF('Evolutive SFP'!#REF!='Evolutive SFP'!#REF!,"BALANCING","NOT BALANCING")</f>
        <v>#REF!</v>
      </c>
      <c r="BE14" s="2" t="e">
        <f>IF('Evolutive SFP'!#REF!='Evolutive SFP'!#REF!,"BALANCING","NOT BALANCING")</f>
        <v>#REF!</v>
      </c>
      <c r="BF14" s="2" t="e">
        <f>IF('Evolutive SFP'!#REF!='Evolutive SFP'!#REF!,"BALANCING","NOT BALANCING")</f>
        <v>#REF!</v>
      </c>
      <c r="BG14" s="2" t="e">
        <f>IF('Evolutive SFP'!#REF!='Evolutive SFP'!#REF!,"BALANCING","NOT BALANCING")</f>
        <v>#REF!</v>
      </c>
      <c r="BH14" s="2" t="e">
        <f>IF('Evolutive SFP'!#REF!='Evolutive SFP'!#REF!,"BALANCING","NOT BALANCING")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60"/>
  <sheetViews>
    <sheetView topLeftCell="A7" workbookViewId="0">
      <selection activeCell="F30" sqref="F30"/>
    </sheetView>
  </sheetViews>
  <sheetFormatPr defaultRowHeight="14.4" x14ac:dyDescent="0.3"/>
  <cols>
    <col min="1" max="1" width="45.33203125" customWidth="1"/>
    <col min="2" max="2" width="18" bestFit="1" customWidth="1"/>
    <col min="3" max="3" width="16.33203125" bestFit="1" customWidth="1"/>
    <col min="4" max="4" width="21" bestFit="1" customWidth="1"/>
    <col min="5" max="6" width="16.33203125" bestFit="1" customWidth="1"/>
    <col min="7" max="7" width="31.88671875" bestFit="1" customWidth="1"/>
  </cols>
  <sheetData>
    <row r="1" spans="1:7" x14ac:dyDescent="0.3">
      <c r="A1" s="262" t="s">
        <v>233</v>
      </c>
      <c r="B1" s="263"/>
      <c r="C1" s="263"/>
      <c r="D1" s="263"/>
      <c r="E1" s="263"/>
      <c r="F1" s="264"/>
      <c r="G1" s="265"/>
    </row>
    <row r="2" spans="1:7" x14ac:dyDescent="0.3">
      <c r="A2" s="266" t="s">
        <v>234</v>
      </c>
      <c r="B2" s="267"/>
      <c r="C2" s="267"/>
      <c r="D2" s="267"/>
      <c r="E2" s="267"/>
      <c r="F2" s="268"/>
      <c r="G2" s="269"/>
    </row>
    <row r="3" spans="1:7" x14ac:dyDescent="0.3">
      <c r="A3" s="172"/>
      <c r="B3" s="270" t="s">
        <v>235</v>
      </c>
      <c r="C3" s="173" t="s">
        <v>236</v>
      </c>
      <c r="D3" s="272" t="s">
        <v>237</v>
      </c>
      <c r="E3" s="273"/>
      <c r="F3" s="274" t="s">
        <v>2</v>
      </c>
      <c r="G3" s="276" t="s">
        <v>238</v>
      </c>
    </row>
    <row r="4" spans="1:7" ht="28.8" x14ac:dyDescent="0.3">
      <c r="A4" s="48"/>
      <c r="B4" s="271"/>
      <c r="C4" s="174">
        <v>2020</v>
      </c>
      <c r="D4" s="175" t="s">
        <v>239</v>
      </c>
      <c r="E4" s="176" t="s">
        <v>240</v>
      </c>
      <c r="F4" s="275"/>
      <c r="G4" s="277"/>
    </row>
    <row r="5" spans="1:7" x14ac:dyDescent="0.3">
      <c r="A5" s="258" t="s">
        <v>241</v>
      </c>
      <c r="B5" s="259"/>
      <c r="C5" s="259"/>
      <c r="D5" s="259"/>
      <c r="E5" s="259"/>
      <c r="F5" s="260"/>
      <c r="G5" s="261"/>
    </row>
    <row r="6" spans="1:7" x14ac:dyDescent="0.3">
      <c r="A6" s="177" t="s">
        <v>242</v>
      </c>
      <c r="B6" s="178" t="s">
        <v>243</v>
      </c>
      <c r="C6" s="179">
        <f>C33</f>
        <v>41972096</v>
      </c>
      <c r="D6" s="179">
        <f>D33</f>
        <v>41681677.969999999</v>
      </c>
      <c r="E6" s="180">
        <f t="shared" ref="E6:G6" si="0">E33</f>
        <v>45103742.520000003</v>
      </c>
      <c r="F6" s="179">
        <f t="shared" si="0"/>
        <v>46709713</v>
      </c>
      <c r="G6" s="179">
        <f t="shared" si="0"/>
        <v>118637256575.37</v>
      </c>
    </row>
    <row r="7" spans="1:7" x14ac:dyDescent="0.3">
      <c r="A7" s="177" t="s">
        <v>244</v>
      </c>
      <c r="B7" s="181" t="s">
        <v>245</v>
      </c>
      <c r="C7" s="182">
        <f>C33/C29</f>
        <v>0.21377832698967514</v>
      </c>
      <c r="D7" s="182">
        <f>D33/D29</f>
        <v>0.21741198548351709</v>
      </c>
      <c r="E7" s="183">
        <f t="shared" ref="E7:G7" si="1">E33/E29</f>
        <v>0.22225790515248761</v>
      </c>
      <c r="F7" s="182">
        <f t="shared" si="1"/>
        <v>0.22992472712391809</v>
      </c>
      <c r="G7" s="182">
        <f t="shared" si="1"/>
        <v>0.17098641478643289</v>
      </c>
    </row>
    <row r="8" spans="1:7" x14ac:dyDescent="0.3">
      <c r="A8" s="177" t="s">
        <v>246</v>
      </c>
      <c r="B8" s="181" t="s">
        <v>247</v>
      </c>
      <c r="C8" s="184">
        <f>C34/C29</f>
        <v>0.11010640484759228</v>
      </c>
      <c r="D8" s="184">
        <f>D34/D29</f>
        <v>0.10068414702732044</v>
      </c>
      <c r="E8" s="185">
        <f t="shared" ref="E8:G8" si="2">E34/E29</f>
        <v>0.1090348030751201</v>
      </c>
      <c r="F8" s="182">
        <f t="shared" si="2"/>
        <v>0.11682308921151455</v>
      </c>
      <c r="G8" s="182">
        <f t="shared" si="2"/>
        <v>0.10520614025781293</v>
      </c>
    </row>
    <row r="9" spans="1:7" x14ac:dyDescent="0.3">
      <c r="A9" s="258" t="s">
        <v>248</v>
      </c>
      <c r="B9" s="259"/>
      <c r="C9" s="259"/>
      <c r="D9" s="259"/>
      <c r="E9" s="259"/>
      <c r="F9" s="260"/>
      <c r="G9" s="261"/>
    </row>
    <row r="10" spans="1:7" x14ac:dyDescent="0.3">
      <c r="A10" s="177" t="s">
        <v>249</v>
      </c>
      <c r="B10" s="178" t="s">
        <v>250</v>
      </c>
      <c r="C10" s="184">
        <f>C35/C32</f>
        <v>0</v>
      </c>
      <c r="D10" s="184">
        <f t="shared" ref="D10:G10" si="3">D35/D32</f>
        <v>0.25146039558702327</v>
      </c>
      <c r="E10" s="185">
        <f t="shared" si="3"/>
        <v>0.20625666105707088</v>
      </c>
      <c r="F10" s="228">
        <f t="shared" si="3"/>
        <v>0.20625666339855564</v>
      </c>
      <c r="G10" s="184">
        <f t="shared" si="3"/>
        <v>8.1282559165795881E-2</v>
      </c>
    </row>
    <row r="11" spans="1:7" x14ac:dyDescent="0.3">
      <c r="A11" s="177" t="s">
        <v>183</v>
      </c>
      <c r="B11" s="178" t="s">
        <v>251</v>
      </c>
      <c r="C11" s="182">
        <f>C36/C29</f>
        <v>8.8097907153063912E-2</v>
      </c>
      <c r="D11" s="182">
        <f t="shared" ref="D11:G11" si="4">D36/D29</f>
        <v>8.6966985083877998E-2</v>
      </c>
      <c r="E11" s="183">
        <f t="shared" si="4"/>
        <v>7.1895223461295774E-2</v>
      </c>
      <c r="F11" s="182">
        <f t="shared" si="4"/>
        <v>7.181546820106964E-2</v>
      </c>
      <c r="G11" s="182">
        <f t="shared" si="4"/>
        <v>9.8107351761507727E-2</v>
      </c>
    </row>
    <row r="12" spans="1:7" x14ac:dyDescent="0.3">
      <c r="A12" s="177" t="s">
        <v>252</v>
      </c>
      <c r="B12" s="178" t="s">
        <v>250</v>
      </c>
      <c r="C12" s="186">
        <f>C38/C31</f>
        <v>1.081619307073607E-3</v>
      </c>
      <c r="D12" s="186">
        <f t="shared" ref="D12:G12" si="5">D38/D31</f>
        <v>2.3603130948776769E-2</v>
      </c>
      <c r="E12" s="187">
        <f t="shared" si="5"/>
        <v>2.2989469645813724E-2</v>
      </c>
      <c r="F12" s="186">
        <f t="shared" si="5"/>
        <v>2.3946090441246421E-2</v>
      </c>
      <c r="G12" s="186">
        <f t="shared" si="5"/>
        <v>2.8360462855930444E-2</v>
      </c>
    </row>
    <row r="13" spans="1:7" x14ac:dyDescent="0.3">
      <c r="A13" s="188" t="s">
        <v>253</v>
      </c>
      <c r="B13" s="178" t="s">
        <v>254</v>
      </c>
      <c r="C13" s="189">
        <f>C38/C33</f>
        <v>3.6830421811672211E-3</v>
      </c>
      <c r="D13" s="189">
        <f t="shared" ref="D13:G13" si="6">D38/D33</f>
        <v>7.9706973466644251E-2</v>
      </c>
      <c r="E13" s="190">
        <f t="shared" si="6"/>
        <v>7.3659528331308857E-2</v>
      </c>
      <c r="F13" s="189">
        <f t="shared" si="6"/>
        <v>7.4085918703889281E-2</v>
      </c>
      <c r="G13" s="189">
        <f t="shared" si="6"/>
        <v>0.1122674420501152</v>
      </c>
    </row>
    <row r="14" spans="1:7" x14ac:dyDescent="0.3">
      <c r="A14" s="258" t="s">
        <v>255</v>
      </c>
      <c r="B14" s="259"/>
      <c r="C14" s="259"/>
      <c r="D14" s="259"/>
      <c r="E14" s="259"/>
      <c r="F14" s="260"/>
      <c r="G14" s="261"/>
    </row>
    <row r="15" spans="1:7" x14ac:dyDescent="0.3">
      <c r="A15" s="177" t="s">
        <v>256</v>
      </c>
      <c r="B15" s="178"/>
      <c r="C15" s="184">
        <f>C48/C32</f>
        <v>0.1235706080395208</v>
      </c>
      <c r="D15" s="184">
        <f t="shared" ref="D15:G15" si="7">D48/D32</f>
        <v>9.4114875133547521E-2</v>
      </c>
      <c r="E15" s="185">
        <f t="shared" si="7"/>
        <v>0.14017986910014055</v>
      </c>
      <c r="F15" s="184">
        <f t="shared" si="7"/>
        <v>0.14017986900742199</v>
      </c>
      <c r="G15" s="184">
        <f t="shared" si="7"/>
        <v>0.15911072681788674</v>
      </c>
    </row>
    <row r="16" spans="1:7" x14ac:dyDescent="0.3">
      <c r="A16" s="177" t="s">
        <v>257</v>
      </c>
      <c r="B16" s="178"/>
      <c r="C16" s="184">
        <f>C49/C44</f>
        <v>0.80402848996193155</v>
      </c>
      <c r="D16" s="184">
        <f t="shared" ref="D16:G16" si="8">D49/D44</f>
        <v>0.72556787317475646</v>
      </c>
      <c r="E16" s="185">
        <f t="shared" si="8"/>
        <v>0.73663579769401266</v>
      </c>
      <c r="F16" s="184">
        <f t="shared" si="8"/>
        <v>0.79837363111959914</v>
      </c>
      <c r="G16" s="184">
        <f t="shared" si="8"/>
        <v>0.71152696163420326</v>
      </c>
    </row>
    <row r="17" spans="1:7" x14ac:dyDescent="0.3">
      <c r="A17" s="177" t="s">
        <v>258</v>
      </c>
      <c r="B17" s="178"/>
      <c r="C17" s="189">
        <f>C50/C30</f>
        <v>1.9154383012583789E-2</v>
      </c>
      <c r="D17" s="189">
        <f t="shared" ref="D17:G17" si="9">D50/D30</f>
        <v>8.513398688001609E-3</v>
      </c>
      <c r="E17" s="190">
        <f t="shared" si="9"/>
        <v>3.6398316771071637E-2</v>
      </c>
      <c r="F17" s="189">
        <f t="shared" si="9"/>
        <v>2.4288403499871828E-2</v>
      </c>
      <c r="G17" s="189">
        <f t="shared" si="9"/>
        <v>3.7337841084701312E-2</v>
      </c>
    </row>
    <row r="18" spans="1:7" x14ac:dyDescent="0.3">
      <c r="A18" s="188" t="s">
        <v>259</v>
      </c>
      <c r="B18" s="191"/>
      <c r="C18" s="189">
        <f>C47/C44</f>
        <v>0.72555509219514136</v>
      </c>
      <c r="D18" s="189">
        <f t="shared" ref="D18:G18" si="10">D47/D44</f>
        <v>0.7061365085582535</v>
      </c>
      <c r="E18" s="190">
        <f t="shared" si="10"/>
        <v>0.71981710693784073</v>
      </c>
      <c r="F18" s="189">
        <f t="shared" si="10"/>
        <v>0.71526493056111196</v>
      </c>
      <c r="G18" s="189">
        <f t="shared" si="10"/>
        <v>0.32598797824484188</v>
      </c>
    </row>
    <row r="19" spans="1:7" x14ac:dyDescent="0.3">
      <c r="A19" s="258" t="s">
        <v>260</v>
      </c>
      <c r="B19" s="259"/>
      <c r="C19" s="259"/>
      <c r="D19" s="259"/>
      <c r="E19" s="259"/>
      <c r="F19" s="260"/>
      <c r="G19" s="261"/>
    </row>
    <row r="20" spans="1:7" x14ac:dyDescent="0.3">
      <c r="A20" s="177" t="s">
        <v>261</v>
      </c>
      <c r="B20" s="192" t="s">
        <v>262</v>
      </c>
      <c r="C20" s="182">
        <f>C40/C41</f>
        <v>0.85315282070908061</v>
      </c>
      <c r="D20" s="182">
        <f t="shared" ref="D20:G20" si="11">D40/D41</f>
        <v>1.8527898314251945</v>
      </c>
      <c r="E20" s="183">
        <f t="shared" si="11"/>
        <v>1.8945316012513176</v>
      </c>
      <c r="F20" s="182">
        <f t="shared" si="11"/>
        <v>1.6949852991935341</v>
      </c>
      <c r="G20" s="182">
        <f t="shared" si="11"/>
        <v>0.70153748206915711</v>
      </c>
    </row>
    <row r="21" spans="1:7" x14ac:dyDescent="0.3">
      <c r="A21" s="177" t="s">
        <v>263</v>
      </c>
      <c r="B21" s="178" t="s">
        <v>264</v>
      </c>
      <c r="C21" s="182">
        <f>C42/C29</f>
        <v>0</v>
      </c>
      <c r="D21" s="182">
        <f t="shared" ref="D21:G21" si="12">D42/D29</f>
        <v>0</v>
      </c>
      <c r="E21" s="183">
        <f t="shared" si="12"/>
        <v>0</v>
      </c>
      <c r="F21" s="182">
        <f t="shared" si="12"/>
        <v>0</v>
      </c>
      <c r="G21" s="182">
        <f t="shared" si="12"/>
        <v>3.5549100410986897E-2</v>
      </c>
    </row>
    <row r="22" spans="1:7" x14ac:dyDescent="0.3">
      <c r="A22" s="177" t="s">
        <v>265</v>
      </c>
      <c r="B22" s="178"/>
      <c r="C22" s="182">
        <f>C40/C29</f>
        <v>0.21418896767001877</v>
      </c>
      <c r="D22" s="182">
        <f t="shared" ref="D22:G22" si="13">D40/D29</f>
        <v>0.38862245683359126</v>
      </c>
      <c r="E22" s="183">
        <f t="shared" si="13"/>
        <v>0.41400501002867801</v>
      </c>
      <c r="F22" s="182">
        <f t="shared" si="13"/>
        <v>0.41395595061131385</v>
      </c>
      <c r="G22" s="182">
        <f t="shared" si="13"/>
        <v>0.13749250676052857</v>
      </c>
    </row>
    <row r="23" spans="1:7" x14ac:dyDescent="0.3">
      <c r="A23" s="258" t="s">
        <v>266</v>
      </c>
      <c r="B23" s="259"/>
      <c r="C23" s="259"/>
      <c r="D23" s="259"/>
      <c r="E23" s="259"/>
      <c r="F23" s="260"/>
      <c r="G23" s="261"/>
    </row>
    <row r="24" spans="1:7" x14ac:dyDescent="0.3">
      <c r="A24" s="193" t="s">
        <v>267</v>
      </c>
      <c r="B24" s="191" t="s">
        <v>268</v>
      </c>
      <c r="C24" s="189">
        <f>C32/C29</f>
        <v>0.59968058926160894</v>
      </c>
      <c r="D24" s="189">
        <f t="shared" ref="D24:G24" si="14">D32/D29</f>
        <v>0.64151660268881405</v>
      </c>
      <c r="E24" s="190">
        <f t="shared" si="14"/>
        <v>0.60597042950080537</v>
      </c>
      <c r="F24" s="190">
        <f t="shared" si="14"/>
        <v>0.60532035107964255</v>
      </c>
      <c r="G24" s="189">
        <f t="shared" si="14"/>
        <v>0.74848521055524098</v>
      </c>
    </row>
    <row r="25" spans="1:7" x14ac:dyDescent="0.3">
      <c r="A25" s="193" t="s">
        <v>269</v>
      </c>
      <c r="B25" s="194" t="s">
        <v>270</v>
      </c>
      <c r="C25" s="189">
        <f>C32/C31</f>
        <v>0.82380430233924407</v>
      </c>
      <c r="D25" s="189">
        <f t="shared" ref="D25:G25" si="15">D32/D31</f>
        <v>0.87377117834098672</v>
      </c>
      <c r="E25" s="190">
        <f t="shared" si="15"/>
        <v>0.85093078120680798</v>
      </c>
      <c r="F25" s="189">
        <f t="shared" si="15"/>
        <v>0.85093922472707795</v>
      </c>
      <c r="G25" s="189">
        <f t="shared" si="15"/>
        <v>1.1058115051077879</v>
      </c>
    </row>
    <row r="26" spans="1:7" x14ac:dyDescent="0.3">
      <c r="A26" s="193" t="s">
        <v>271</v>
      </c>
      <c r="B26" s="194"/>
      <c r="C26" s="189">
        <f>C39/C31</f>
        <v>0.29575551761062141</v>
      </c>
      <c r="D26" s="189">
        <f t="shared" ref="D26:G26" si="16">D39/D31</f>
        <v>2.3603130948776769E-2</v>
      </c>
      <c r="E26" s="190">
        <f t="shared" si="16"/>
        <v>2.2989469645813724E-2</v>
      </c>
      <c r="F26" s="189">
        <f t="shared" si="16"/>
        <v>2.3946090441246421E-2</v>
      </c>
      <c r="G26" s="189">
        <f t="shared" si="16"/>
        <v>6.35235464968706E-2</v>
      </c>
    </row>
    <row r="27" spans="1:7" x14ac:dyDescent="0.3">
      <c r="A27" s="193" t="s">
        <v>272</v>
      </c>
      <c r="B27" s="195"/>
      <c r="C27" s="189">
        <f>C46/C44</f>
        <v>7.8473397766790132E-2</v>
      </c>
      <c r="D27" s="189">
        <f t="shared" ref="D27:G27" si="17">D46/D44</f>
        <v>0</v>
      </c>
      <c r="E27" s="190">
        <f t="shared" si="17"/>
        <v>0</v>
      </c>
      <c r="F27" s="189">
        <f t="shared" si="17"/>
        <v>7.6389748026864338E-2</v>
      </c>
      <c r="G27" s="189">
        <f t="shared" si="17"/>
        <v>0.32213106981929307</v>
      </c>
    </row>
    <row r="28" spans="1:7" x14ac:dyDescent="0.3">
      <c r="A28" s="258" t="s">
        <v>273</v>
      </c>
      <c r="B28" s="259"/>
      <c r="C28" s="259">
        <v>2015</v>
      </c>
      <c r="D28" s="259">
        <v>2016</v>
      </c>
      <c r="E28" s="259">
        <v>2017</v>
      </c>
      <c r="F28" s="260"/>
      <c r="G28" s="261" t="s">
        <v>274</v>
      </c>
    </row>
    <row r="29" spans="1:7" x14ac:dyDescent="0.3">
      <c r="A29" s="196" t="s">
        <v>26</v>
      </c>
      <c r="B29" s="197"/>
      <c r="C29" s="198">
        <v>196334664</v>
      </c>
      <c r="D29" s="198">
        <v>191717479.96000001</v>
      </c>
      <c r="E29" s="198">
        <v>202934255.53999999</v>
      </c>
      <c r="F29" s="198">
        <f>'Evolutive SFP'!P27</f>
        <v>203152195</v>
      </c>
      <c r="G29" s="199">
        <v>693840248791.41101</v>
      </c>
    </row>
    <row r="30" spans="1:7" x14ac:dyDescent="0.3">
      <c r="A30" s="196" t="s">
        <v>275</v>
      </c>
      <c r="B30" s="197"/>
      <c r="C30" s="198">
        <v>185743962.5</v>
      </c>
      <c r="D30" s="198">
        <v>190587136.755</v>
      </c>
      <c r="E30" s="198">
        <v>199748680.845</v>
      </c>
      <c r="F30" s="198">
        <f>('Evolutive SFP'!C27+'Evolutive SFP'!P27)/2</f>
        <v>199743429</v>
      </c>
      <c r="G30" s="199">
        <v>655544657954.5</v>
      </c>
    </row>
    <row r="31" spans="1:7" x14ac:dyDescent="0.3">
      <c r="A31" s="196" t="s">
        <v>135</v>
      </c>
      <c r="B31" s="197"/>
      <c r="C31" s="199">
        <v>142919971</v>
      </c>
      <c r="D31" s="199">
        <v>140757614.19999999</v>
      </c>
      <c r="E31" s="199">
        <v>144514877.94999999</v>
      </c>
      <c r="F31" s="199">
        <f>'Evolutive SFP'!P31</f>
        <v>144513444</v>
      </c>
      <c r="G31" s="199">
        <v>469636246602.19</v>
      </c>
    </row>
    <row r="32" spans="1:7" x14ac:dyDescent="0.3">
      <c r="A32" s="196" t="s">
        <v>276</v>
      </c>
      <c r="B32" s="197"/>
      <c r="C32" s="200">
        <v>117738087</v>
      </c>
      <c r="D32" s="200">
        <v>122989946.42</v>
      </c>
      <c r="E32" s="200">
        <v>122972157.98999999</v>
      </c>
      <c r="F32" s="200">
        <f>'Evolutive SFP'!P15</f>
        <v>122972158</v>
      </c>
      <c r="G32" s="199">
        <v>519329164708.34003</v>
      </c>
    </row>
    <row r="33" spans="1:7" x14ac:dyDescent="0.3">
      <c r="A33" s="196" t="s">
        <v>100</v>
      </c>
      <c r="B33" s="197"/>
      <c r="C33" s="198">
        <v>41972096</v>
      </c>
      <c r="D33" s="198">
        <v>41681677.969999999</v>
      </c>
      <c r="E33" s="198">
        <v>45103742.520000003</v>
      </c>
      <c r="F33" s="198">
        <f>'Evolutive SFP'!P39+'Evolutive SFP'!P41+'Evolutive SFP'!P42+'Evolutive SFP'!P43+'Evolutive SFP'!P44-'Evolutive SFP'!P13</f>
        <v>46709713</v>
      </c>
      <c r="G33" s="199">
        <v>118637256575.37</v>
      </c>
    </row>
    <row r="34" spans="1:7" x14ac:dyDescent="0.3">
      <c r="A34" s="196" t="s">
        <v>277</v>
      </c>
      <c r="B34" s="197"/>
      <c r="C34" s="198">
        <v>21617704</v>
      </c>
      <c r="D34" s="198">
        <v>19302910.940000001</v>
      </c>
      <c r="E34" s="198">
        <v>22126896.59</v>
      </c>
      <c r="F34" s="198">
        <f>F33-'Evolutive SFP'!P39</f>
        <v>23732867</v>
      </c>
      <c r="G34" s="199">
        <v>72996254530.865005</v>
      </c>
    </row>
    <row r="35" spans="1:7" x14ac:dyDescent="0.3">
      <c r="A35" s="196" t="s">
        <v>278</v>
      </c>
      <c r="B35" s="197"/>
      <c r="C35" s="199">
        <v>0</v>
      </c>
      <c r="D35" s="199">
        <v>30927100.579999998</v>
      </c>
      <c r="E35" s="199">
        <v>25363826.710000001</v>
      </c>
      <c r="F35" s="199">
        <f>'FORM 4'!D42+'FORM 4'!D43+'FORM 4'!D44</f>
        <v>25363827</v>
      </c>
      <c r="G35" s="199">
        <v>42212403556.929001</v>
      </c>
    </row>
    <row r="36" spans="1:7" x14ac:dyDescent="0.3">
      <c r="A36" s="196" t="s">
        <v>183</v>
      </c>
      <c r="B36" s="197"/>
      <c r="C36" s="200">
        <v>17296673</v>
      </c>
      <c r="D36" s="200">
        <v>16673091.220000001</v>
      </c>
      <c r="E36" s="200">
        <v>14590003.65</v>
      </c>
      <c r="F36" s="200">
        <f>'Evolutive SFP'!P7+'Evolutive SFP'!P23+'Evolutive SFP'!P25</f>
        <v>14589470</v>
      </c>
      <c r="G36" s="199">
        <v>68070829354.471001</v>
      </c>
    </row>
    <row r="37" spans="1:7" x14ac:dyDescent="0.3">
      <c r="A37" s="196" t="s">
        <v>22</v>
      </c>
      <c r="B37" s="197"/>
      <c r="C37" s="198">
        <v>14963299</v>
      </c>
      <c r="D37" s="198">
        <v>14456975.050000001</v>
      </c>
      <c r="E37" s="198">
        <v>13338838.65</v>
      </c>
      <c r="F37" s="198">
        <f>'Evolutive SFP'!P23+'Evolutive SFP'!P25</f>
        <v>13321202</v>
      </c>
      <c r="G37" s="199">
        <v>19634988553.241001</v>
      </c>
    </row>
    <row r="38" spans="1:7" x14ac:dyDescent="0.3">
      <c r="A38" s="196" t="s">
        <v>279</v>
      </c>
      <c r="B38" s="197"/>
      <c r="C38" s="198">
        <v>154585</v>
      </c>
      <c r="D38" s="198">
        <v>3322320.4</v>
      </c>
      <c r="E38" s="198">
        <v>3322320.4</v>
      </c>
      <c r="F38" s="198">
        <f>'Evolutive SFP'!P13+'Evolutive SFP'!P12</f>
        <v>3460532</v>
      </c>
      <c r="G38" s="199">
        <v>13319101327.559999</v>
      </c>
    </row>
    <row r="39" spans="1:7" x14ac:dyDescent="0.3">
      <c r="A39" s="196" t="s">
        <v>280</v>
      </c>
      <c r="B39" s="197"/>
      <c r="C39" s="198">
        <v>42269370</v>
      </c>
      <c r="D39" s="198">
        <v>3322320.4</v>
      </c>
      <c r="E39" s="198">
        <v>3322320.4</v>
      </c>
      <c r="F39" s="198">
        <f>'Evolutive SFP'!P8</f>
        <v>3460532</v>
      </c>
      <c r="G39" s="199">
        <v>29832959947.650002</v>
      </c>
    </row>
    <row r="40" spans="1:7" x14ac:dyDescent="0.3">
      <c r="A40" s="196" t="s">
        <v>281</v>
      </c>
      <c r="B40" s="197"/>
      <c r="C40" s="198">
        <v>42052719</v>
      </c>
      <c r="D40" s="198">
        <v>74505718.079999998</v>
      </c>
      <c r="E40" s="198">
        <v>84015798.5</v>
      </c>
      <c r="F40" s="198">
        <f>'Evolutive SFP'!P4</f>
        <v>84096060</v>
      </c>
      <c r="G40" s="199">
        <v>95397835097.679901</v>
      </c>
    </row>
    <row r="41" spans="1:7" x14ac:dyDescent="0.3">
      <c r="A41" s="196" t="s">
        <v>282</v>
      </c>
      <c r="B41" s="197"/>
      <c r="C41" s="198">
        <v>49290957</v>
      </c>
      <c r="D41" s="198">
        <v>40212719.659999996</v>
      </c>
      <c r="E41" s="198">
        <v>44346475.109999999</v>
      </c>
      <c r="F41" s="198">
        <f>'Evolutive SFP'!P28+'Evolutive SFP'!P32+'Evolutive SFP'!P33+'Evolutive SFP'!P36</f>
        <v>49614625</v>
      </c>
      <c r="G41" s="199">
        <v>135983946027.10001</v>
      </c>
    </row>
    <row r="42" spans="1:7" x14ac:dyDescent="0.3">
      <c r="A42" s="196" t="s">
        <v>156</v>
      </c>
      <c r="B42" s="197"/>
      <c r="C42" s="198">
        <v>0</v>
      </c>
      <c r="D42" s="198">
        <v>0</v>
      </c>
      <c r="E42" s="198">
        <v>0</v>
      </c>
      <c r="F42" s="198"/>
      <c r="G42" s="199">
        <v>24665396673.470001</v>
      </c>
    </row>
    <row r="43" spans="1:7" x14ac:dyDescent="0.3">
      <c r="A43" s="196" t="s">
        <v>283</v>
      </c>
      <c r="B43" s="197"/>
      <c r="C43" s="198">
        <v>112204327.5</v>
      </c>
      <c r="D43" s="198">
        <v>119343598.3</v>
      </c>
      <c r="E43" s="198">
        <v>120446715.19499999</v>
      </c>
      <c r="F43" s="198">
        <f>('Evolutive SFP'!C15+'Evolutive SFP'!P15)/2</f>
        <v>120355122.5</v>
      </c>
      <c r="G43" s="199">
        <v>492326061304.25</v>
      </c>
    </row>
    <row r="44" spans="1:7" x14ac:dyDescent="0.3">
      <c r="A44" s="196" t="s">
        <v>284</v>
      </c>
      <c r="B44" s="197"/>
      <c r="C44" s="198">
        <v>24912213</v>
      </c>
      <c r="D44" s="198">
        <v>17803587.489999998</v>
      </c>
      <c r="E44" s="198">
        <v>25805617.469999999</v>
      </c>
      <c r="F44" s="198">
        <f>'Evolutitve SCI'!P3</f>
        <v>27183255</v>
      </c>
      <c r="G44" s="199">
        <v>96251717769.830002</v>
      </c>
    </row>
    <row r="45" spans="1:7" x14ac:dyDescent="0.3">
      <c r="A45" s="196" t="s">
        <v>285</v>
      </c>
      <c r="B45" s="197"/>
      <c r="C45" s="198">
        <v>22957267</v>
      </c>
      <c r="D45" s="198">
        <v>17457399.489999998</v>
      </c>
      <c r="E45" s="198">
        <v>25371360.77</v>
      </c>
      <c r="F45" s="198">
        <f>'Evolutitve SCI'!P19</f>
        <v>24924090</v>
      </c>
      <c r="G45" s="199">
        <v>59024775620.75</v>
      </c>
    </row>
    <row r="46" spans="1:7" x14ac:dyDescent="0.3">
      <c r="A46" s="196" t="s">
        <v>286</v>
      </c>
      <c r="B46" s="197"/>
      <c r="C46" s="198">
        <v>1954946</v>
      </c>
      <c r="D46" s="198">
        <v>0</v>
      </c>
      <c r="E46" s="198">
        <v>0</v>
      </c>
      <c r="F46" s="198">
        <f>'Evolutitve SCI'!P13</f>
        <v>2076522</v>
      </c>
      <c r="G46" s="199">
        <v>31005668817.139999</v>
      </c>
    </row>
    <row r="47" spans="1:7" x14ac:dyDescent="0.3">
      <c r="A47" s="196" t="s">
        <v>287</v>
      </c>
      <c r="B47" s="197"/>
      <c r="C47" s="198">
        <v>18075183</v>
      </c>
      <c r="D47" s="198">
        <v>12571763.109999999</v>
      </c>
      <c r="E47" s="198">
        <v>18575324.91</v>
      </c>
      <c r="F47" s="198">
        <f>'Evolutitve SCI'!P23</f>
        <v>19443229</v>
      </c>
      <c r="G47" s="199">
        <v>31376902878.380001</v>
      </c>
    </row>
    <row r="48" spans="1:7" x14ac:dyDescent="0.3">
      <c r="A48" s="196" t="s">
        <v>288</v>
      </c>
      <c r="B48" s="197"/>
      <c r="C48" s="198">
        <v>14548967</v>
      </c>
      <c r="D48" s="198">
        <v>11575183.449999999</v>
      </c>
      <c r="E48" s="198">
        <v>17238221.010000002</v>
      </c>
      <c r="F48" s="198">
        <f>'Evolutitve SCI'!P4</f>
        <v>17238221</v>
      </c>
      <c r="G48" s="199">
        <v>82630840854.470001</v>
      </c>
    </row>
    <row r="49" spans="1:7" x14ac:dyDescent="0.3">
      <c r="A49" s="196" t="s">
        <v>84</v>
      </c>
      <c r="B49" s="197"/>
      <c r="C49" s="198">
        <v>20030129</v>
      </c>
      <c r="D49" s="198">
        <v>12917711.109999999</v>
      </c>
      <c r="E49" s="198">
        <v>19009341.609999999</v>
      </c>
      <c r="F49" s="198">
        <f>'Evolutitve SCI'!P39</f>
        <v>21702394</v>
      </c>
      <c r="G49" s="199">
        <v>68485692296.839996</v>
      </c>
    </row>
    <row r="50" spans="1:7" x14ac:dyDescent="0.3">
      <c r="A50" s="196" t="s">
        <v>289</v>
      </c>
      <c r="B50" s="197"/>
      <c r="C50" s="198">
        <v>3557811</v>
      </c>
      <c r="D50" s="198">
        <v>1622544.28</v>
      </c>
      <c r="E50" s="198">
        <v>7270515.7599999998</v>
      </c>
      <c r="F50" s="198">
        <f>'Evolutitve SCI'!P37</f>
        <v>4851449</v>
      </c>
      <c r="G50" s="199">
        <v>24476622262.630001</v>
      </c>
    </row>
    <row r="51" spans="1:7" hidden="1" x14ac:dyDescent="0.3">
      <c r="A51" s="252" t="s">
        <v>290</v>
      </c>
      <c r="B51" s="253"/>
      <c r="C51" s="253"/>
      <c r="D51" s="253"/>
      <c r="E51" s="253"/>
      <c r="F51" s="253"/>
      <c r="G51" s="254"/>
    </row>
    <row r="52" spans="1:7" hidden="1" x14ac:dyDescent="0.3">
      <c r="A52" s="201" t="s">
        <v>291</v>
      </c>
      <c r="B52" s="202"/>
      <c r="C52" s="203"/>
      <c r="D52" s="203"/>
      <c r="E52" s="204"/>
      <c r="F52" s="205"/>
      <c r="G52" s="206"/>
    </row>
    <row r="53" spans="1:7" hidden="1" x14ac:dyDescent="0.3">
      <c r="A53" s="207" t="s">
        <v>292</v>
      </c>
      <c r="B53" s="202"/>
      <c r="C53" s="203"/>
      <c r="D53" s="203"/>
      <c r="E53" s="204"/>
      <c r="F53" s="205"/>
      <c r="G53" s="206"/>
    </row>
    <row r="54" spans="1:7" hidden="1" x14ac:dyDescent="0.3">
      <c r="A54" s="208" t="s">
        <v>293</v>
      </c>
      <c r="B54" s="202"/>
      <c r="C54" s="203"/>
      <c r="D54" s="203"/>
      <c r="E54" s="204"/>
      <c r="F54" s="205"/>
      <c r="G54" s="206"/>
    </row>
    <row r="55" spans="1:7" hidden="1" x14ac:dyDescent="0.3">
      <c r="A55" s="209"/>
      <c r="B55" s="210"/>
      <c r="C55" s="211"/>
      <c r="D55" s="211"/>
      <c r="E55" s="212"/>
      <c r="F55" s="213"/>
      <c r="G55" s="214"/>
    </row>
    <row r="56" spans="1:7" hidden="1" x14ac:dyDescent="0.3">
      <c r="A56" s="215" t="s">
        <v>294</v>
      </c>
      <c r="B56" s="216"/>
      <c r="C56" s="255"/>
      <c r="D56" s="256"/>
      <c r="E56" s="256"/>
      <c r="F56" s="256"/>
      <c r="G56" s="257"/>
    </row>
    <row r="57" spans="1:7" hidden="1" x14ac:dyDescent="0.3">
      <c r="A57" s="48"/>
      <c r="B57" s="210"/>
      <c r="C57" s="203"/>
      <c r="D57" s="203"/>
      <c r="E57" s="204"/>
      <c r="F57" s="205"/>
      <c r="G57" s="206"/>
    </row>
    <row r="58" spans="1:7" hidden="1" x14ac:dyDescent="0.3">
      <c r="A58" s="209" t="s">
        <v>295</v>
      </c>
      <c r="B58" s="210"/>
      <c r="C58" s="255"/>
      <c r="D58" s="256"/>
      <c r="E58" s="256"/>
      <c r="F58" s="256"/>
      <c r="G58" s="257"/>
    </row>
    <row r="59" spans="1:7" ht="15" hidden="1" thickBot="1" x14ac:dyDescent="0.35">
      <c r="A59" s="217"/>
      <c r="B59" s="218"/>
      <c r="C59" s="219"/>
      <c r="D59" s="219"/>
      <c r="E59" s="220"/>
      <c r="F59" s="221"/>
      <c r="G59" s="222"/>
    </row>
    <row r="60" spans="1:7" x14ac:dyDescent="0.3">
      <c r="A60" s="223" t="s">
        <v>296</v>
      </c>
      <c r="B60" s="224"/>
      <c r="C60" s="225"/>
      <c r="D60" s="225"/>
      <c r="E60" s="226"/>
      <c r="F60" s="225"/>
      <c r="G60" s="227"/>
    </row>
  </sheetData>
  <mergeCells count="15">
    <mergeCell ref="A1:G1"/>
    <mergeCell ref="A2:G2"/>
    <mergeCell ref="B3:B4"/>
    <mergeCell ref="D3:E3"/>
    <mergeCell ref="F3:F4"/>
    <mergeCell ref="G3:G4"/>
    <mergeCell ref="A51:G51"/>
    <mergeCell ref="C56:G56"/>
    <mergeCell ref="C58:G58"/>
    <mergeCell ref="A5:G5"/>
    <mergeCell ref="A9:G9"/>
    <mergeCell ref="A14:G14"/>
    <mergeCell ref="A19:G19"/>
    <mergeCell ref="A23:G23"/>
    <mergeCell ref="A28:G28"/>
  </mergeCells>
  <pageMargins left="0.7" right="0.7" top="0.75" bottom="0.75" header="0.3" footer="0.3"/>
  <pageSetup paperSize="9"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16" sqref="I16"/>
    </sheetView>
  </sheetViews>
  <sheetFormatPr defaultRowHeight="14.4" x14ac:dyDescent="0.3"/>
  <cols>
    <col min="1" max="1" width="54.88671875" style="98" bestFit="1" customWidth="1"/>
    <col min="2" max="2" width="15" style="98" bestFit="1" customWidth="1"/>
    <col min="3" max="3" width="15.109375" style="98" customWidth="1"/>
    <col min="4" max="4" width="17.6640625" style="100" bestFit="1" customWidth="1"/>
    <col min="5" max="5" width="13.5546875" bestFit="1" customWidth="1"/>
    <col min="6" max="6" width="11.5546875" bestFit="1" customWidth="1"/>
    <col min="8" max="8" width="16" bestFit="1" customWidth="1"/>
    <col min="10" max="10" width="10.6640625" bestFit="1" customWidth="1"/>
  </cols>
  <sheetData>
    <row r="1" spans="1:10" x14ac:dyDescent="0.3">
      <c r="A1" s="278" t="s">
        <v>297</v>
      </c>
      <c r="B1" s="278"/>
      <c r="C1" s="278"/>
    </row>
    <row r="2" spans="1:10" ht="15.6" x14ac:dyDescent="0.3">
      <c r="A2" s="61"/>
      <c r="B2" s="62">
        <v>2020</v>
      </c>
      <c r="C2" s="62">
        <v>2021</v>
      </c>
      <c r="D2" s="101" t="s">
        <v>298</v>
      </c>
      <c r="E2" t="s">
        <v>299</v>
      </c>
    </row>
    <row r="3" spans="1:10" x14ac:dyDescent="0.3">
      <c r="A3" s="63" t="s">
        <v>300</v>
      </c>
      <c r="B3" s="64"/>
      <c r="C3" s="65"/>
    </row>
    <row r="4" spans="1:10" x14ac:dyDescent="0.3">
      <c r="A4" s="66" t="s">
        <v>301</v>
      </c>
      <c r="B4" s="67"/>
      <c r="C4" s="68"/>
    </row>
    <row r="5" spans="1:10" x14ac:dyDescent="0.3">
      <c r="A5" s="69" t="s">
        <v>302</v>
      </c>
      <c r="B5" s="70"/>
      <c r="C5" s="71"/>
      <c r="J5" t="s">
        <v>303</v>
      </c>
    </row>
    <row r="6" spans="1:10" ht="15.6" x14ac:dyDescent="0.4">
      <c r="A6" s="69" t="s">
        <v>304</v>
      </c>
      <c r="B6" s="72"/>
      <c r="C6" s="73"/>
      <c r="D6" s="102"/>
      <c r="J6" t="s">
        <v>303</v>
      </c>
    </row>
    <row r="7" spans="1:10" ht="15.6" x14ac:dyDescent="0.4">
      <c r="A7" s="69" t="s">
        <v>305</v>
      </c>
      <c r="B7" s="67"/>
      <c r="C7" s="71"/>
      <c r="D7" s="102"/>
      <c r="E7" s="72"/>
      <c r="F7" s="73"/>
    </row>
    <row r="8" spans="1:10" ht="17.399999999999999" x14ac:dyDescent="0.55000000000000004">
      <c r="A8" s="74" t="s">
        <v>306</v>
      </c>
      <c r="B8" s="75">
        <f>B4+B5+B6+B7</f>
        <v>0</v>
      </c>
      <c r="C8" s="76">
        <f>SUM(C4:C7)</f>
        <v>0</v>
      </c>
      <c r="D8" s="103">
        <f>SUM(D4:D7)</f>
        <v>0</v>
      </c>
      <c r="H8" s="77"/>
    </row>
    <row r="9" spans="1:10" x14ac:dyDescent="0.3">
      <c r="A9" s="69" t="s">
        <v>307</v>
      </c>
      <c r="B9" s="70"/>
      <c r="C9" s="71"/>
      <c r="D9" s="102"/>
      <c r="E9" s="78"/>
    </row>
    <row r="10" spans="1:10" x14ac:dyDescent="0.3">
      <c r="A10" s="69" t="s">
        <v>308</v>
      </c>
      <c r="B10" s="70"/>
      <c r="C10" s="71"/>
    </row>
    <row r="11" spans="1:10" x14ac:dyDescent="0.3">
      <c r="A11" s="69" t="s">
        <v>309</v>
      </c>
      <c r="B11" s="70"/>
      <c r="C11" s="71"/>
      <c r="D11" s="102"/>
    </row>
    <row r="12" spans="1:10" x14ac:dyDescent="0.3">
      <c r="A12" s="69" t="s">
        <v>310</v>
      </c>
      <c r="B12" s="70"/>
      <c r="C12" s="71"/>
    </row>
    <row r="13" spans="1:10" ht="15.6" x14ac:dyDescent="0.4">
      <c r="A13" s="69" t="s">
        <v>311</v>
      </c>
      <c r="B13" s="79"/>
      <c r="C13" s="73"/>
      <c r="H13" s="100"/>
    </row>
    <row r="14" spans="1:10" x14ac:dyDescent="0.3">
      <c r="A14" s="80" t="s">
        <v>312</v>
      </c>
      <c r="B14" s="81">
        <f>SUM(B9:B13)</f>
        <v>0</v>
      </c>
      <c r="C14" s="82">
        <f>SUM(C9:C13)</f>
        <v>0</v>
      </c>
      <c r="D14" s="104">
        <f>SUM(D9:D13)</f>
        <v>0</v>
      </c>
      <c r="H14" s="100"/>
    </row>
    <row r="15" spans="1:10" x14ac:dyDescent="0.3">
      <c r="A15" s="83" t="s">
        <v>313</v>
      </c>
      <c r="B15" s="70"/>
      <c r="C15" s="71"/>
      <c r="H15" s="100"/>
    </row>
    <row r="16" spans="1:10" x14ac:dyDescent="0.3">
      <c r="A16" s="83" t="s">
        <v>314</v>
      </c>
      <c r="B16" s="67"/>
      <c r="C16" s="71"/>
      <c r="H16" s="100"/>
    </row>
    <row r="17" spans="1:8" ht="15.6" x14ac:dyDescent="0.4">
      <c r="A17" s="83" t="s">
        <v>315</v>
      </c>
      <c r="B17" s="79"/>
      <c r="C17" s="73"/>
      <c r="H17" s="100"/>
    </row>
    <row r="18" spans="1:8" x14ac:dyDescent="0.3">
      <c r="A18" s="84" t="s">
        <v>316</v>
      </c>
      <c r="B18" s="85">
        <f>B8+B14+B15+B16+B17</f>
        <v>0</v>
      </c>
      <c r="C18" s="86">
        <f>C8+C14+C15+C16+C17</f>
        <v>0</v>
      </c>
      <c r="D18" s="104">
        <f>D8+D14+D15+D16+D17</f>
        <v>0</v>
      </c>
      <c r="H18" s="100"/>
    </row>
    <row r="19" spans="1:8" ht="15.6" x14ac:dyDescent="0.4">
      <c r="A19" s="83" t="s">
        <v>317</v>
      </c>
      <c r="B19" s="79"/>
      <c r="C19" s="73"/>
      <c r="H19" s="100"/>
    </row>
    <row r="20" spans="1:8" ht="17.399999999999999" x14ac:dyDescent="0.55000000000000004">
      <c r="A20" s="84" t="s">
        <v>318</v>
      </c>
      <c r="B20" s="87"/>
      <c r="C20" s="88"/>
      <c r="D20" s="103"/>
      <c r="F20" s="100"/>
      <c r="H20" s="36"/>
    </row>
    <row r="21" spans="1:8" x14ac:dyDescent="0.3">
      <c r="A21" s="83"/>
      <c r="B21" s="89"/>
      <c r="C21" s="71"/>
    </row>
    <row r="22" spans="1:8" x14ac:dyDescent="0.3">
      <c r="A22" s="84" t="s">
        <v>319</v>
      </c>
      <c r="B22" s="90"/>
      <c r="C22" s="91"/>
      <c r="D22" s="105"/>
    </row>
    <row r="23" spans="1:8" x14ac:dyDescent="0.3">
      <c r="A23" s="83" t="s">
        <v>320</v>
      </c>
      <c r="B23" s="67"/>
      <c r="C23" s="71"/>
    </row>
    <row r="24" spans="1:8" x14ac:dyDescent="0.3">
      <c r="A24" s="83" t="s">
        <v>321</v>
      </c>
      <c r="B24" s="67"/>
      <c r="C24" s="71"/>
    </row>
    <row r="25" spans="1:8" x14ac:dyDescent="0.3">
      <c r="A25" s="83" t="s">
        <v>322</v>
      </c>
      <c r="B25" s="67"/>
      <c r="C25" s="71"/>
    </row>
    <row r="26" spans="1:8" x14ac:dyDescent="0.3">
      <c r="A26" s="83" t="s">
        <v>323</v>
      </c>
      <c r="B26" s="67"/>
      <c r="C26" s="71"/>
      <c r="D26" s="102"/>
    </row>
    <row r="27" spans="1:8" ht="15.6" x14ac:dyDescent="0.4">
      <c r="A27" s="83" t="s">
        <v>324</v>
      </c>
      <c r="B27" s="79"/>
      <c r="C27" s="73"/>
      <c r="D27" s="102"/>
    </row>
    <row r="28" spans="1:8" ht="17.399999999999999" x14ac:dyDescent="0.55000000000000004">
      <c r="A28" s="84" t="s">
        <v>325</v>
      </c>
      <c r="B28" s="75">
        <f>SUM(B23:B27)</f>
        <v>0</v>
      </c>
      <c r="C28" s="76">
        <f>SUM(C23:C27)</f>
        <v>0</v>
      </c>
      <c r="D28" s="103">
        <f>SUM(D23:D27)</f>
        <v>0</v>
      </c>
    </row>
    <row r="29" spans="1:8" x14ac:dyDescent="0.3">
      <c r="A29" s="83"/>
      <c r="B29" s="89"/>
      <c r="C29" s="92"/>
    </row>
    <row r="30" spans="1:8" x14ac:dyDescent="0.3">
      <c r="A30" s="84" t="s">
        <v>326</v>
      </c>
      <c r="B30" s="90"/>
      <c r="C30" s="91"/>
      <c r="D30" s="105"/>
    </row>
    <row r="31" spans="1:8" x14ac:dyDescent="0.3">
      <c r="A31" s="83" t="s">
        <v>327</v>
      </c>
      <c r="B31" s="67"/>
      <c r="C31" s="71"/>
    </row>
    <row r="32" spans="1:8" x14ac:dyDescent="0.3">
      <c r="A32" s="83" t="s">
        <v>328</v>
      </c>
      <c r="B32" s="67"/>
      <c r="C32" s="71"/>
    </row>
    <row r="33" spans="1:4" x14ac:dyDescent="0.3">
      <c r="A33" s="83" t="s">
        <v>329</v>
      </c>
      <c r="B33" s="67"/>
      <c r="C33" s="71"/>
    </row>
    <row r="34" spans="1:4" x14ac:dyDescent="0.3">
      <c r="A34" s="83" t="s">
        <v>330</v>
      </c>
      <c r="B34" s="67"/>
      <c r="C34" s="71"/>
      <c r="D34" s="102"/>
    </row>
    <row r="35" spans="1:4" x14ac:dyDescent="0.3">
      <c r="A35" s="83" t="s">
        <v>331</v>
      </c>
      <c r="B35" s="67"/>
      <c r="C35" s="71"/>
      <c r="D35" s="102"/>
    </row>
    <row r="36" spans="1:4" x14ac:dyDescent="0.3">
      <c r="A36" s="83" t="s">
        <v>332</v>
      </c>
      <c r="B36" s="67"/>
      <c r="C36" s="71"/>
      <c r="D36" s="102"/>
    </row>
    <row r="37" spans="1:4" ht="17.399999999999999" x14ac:dyDescent="0.55000000000000004">
      <c r="A37" s="84" t="s">
        <v>333</v>
      </c>
      <c r="B37" s="75">
        <f>SUM(B31:B36)</f>
        <v>0</v>
      </c>
      <c r="C37" s="76">
        <f>SUM(C31:C36)</f>
        <v>0</v>
      </c>
      <c r="D37" s="103">
        <f>SUM(D31:D36)</f>
        <v>0</v>
      </c>
    </row>
    <row r="38" spans="1:4" x14ac:dyDescent="0.3">
      <c r="A38" s="84" t="s">
        <v>334</v>
      </c>
      <c r="B38" s="93">
        <f>B20+B28+B37</f>
        <v>0</v>
      </c>
      <c r="C38" s="94">
        <f>C20+C28+C37</f>
        <v>0</v>
      </c>
      <c r="D38" s="105">
        <f>D20+D28+D37</f>
        <v>0</v>
      </c>
    </row>
    <row r="39" spans="1:4" ht="15.6" x14ac:dyDescent="0.4">
      <c r="A39" s="83" t="s">
        <v>335</v>
      </c>
      <c r="B39" s="95"/>
      <c r="C39" s="96"/>
      <c r="D39" s="102"/>
    </row>
    <row r="40" spans="1:4" ht="17.399999999999999" x14ac:dyDescent="0.55000000000000004">
      <c r="A40" s="84" t="s">
        <v>336</v>
      </c>
      <c r="B40" s="87">
        <f>SUM(B38:B39)</f>
        <v>0</v>
      </c>
      <c r="C40" s="97">
        <f>SUM(C38:C39)</f>
        <v>0</v>
      </c>
      <c r="D40" s="106">
        <f>SUM(D38:D39)</f>
        <v>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7F4385-B191-42A0-B5EE-1B78DCDCBA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db4b3-2b3b-4352-9127-36718d9c05b9"/>
    <ds:schemaRef ds:uri="df647032-17c5-4266-af02-4596a72da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6240E0-8691-4E91-98A1-10F7948A5162}">
  <ds:schemaRefs>
    <ds:schemaRef ds:uri="6e3db4b3-2b3b-4352-9127-36718d9c05b9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df647032-17c5-4266-af02-4596a72daf50"/>
  </ds:schemaRefs>
</ds:datastoreItem>
</file>

<file path=customXml/itemProps3.xml><?xml version="1.0" encoding="utf-8"?>
<ds:datastoreItem xmlns:ds="http://schemas.openxmlformats.org/officeDocument/2006/customXml" ds:itemID="{33A42D37-EDC9-4B1F-9F1B-3034B83E95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Evolutive SFP</vt:lpstr>
      <vt:lpstr>Evolutitve SCI</vt:lpstr>
      <vt:lpstr>FORM 4</vt:lpstr>
      <vt:lpstr>CAELS</vt:lpstr>
      <vt:lpstr>Financials</vt:lpstr>
      <vt:lpstr>CAELS Rating</vt:lpstr>
      <vt:lpstr>Compliance Status</vt:lpstr>
      <vt:lpstr>compliance report audited 2021</vt:lpstr>
      <vt:lpstr>CashFlow Stmnt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Moses Lochit</cp:lastModifiedBy>
  <cp:revision/>
  <dcterms:created xsi:type="dcterms:W3CDTF">2012-11-01T05:11:14Z</dcterms:created>
  <dcterms:modified xsi:type="dcterms:W3CDTF">2023-07-06T13:22:50Z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2022-03-15T08:59:14Z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16d353ca-b428-4793-9e54-6eed161fce32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
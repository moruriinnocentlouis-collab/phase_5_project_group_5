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dhiambo.SASRA\Desktop\"/>
    </mc:Choice>
  </mc:AlternateContent>
  <xr:revisionPtr revIDLastSave="54" documentId="13_ncr:1_{2398C498-702D-4377-BFB0-D97CD38BF2D2}" xr6:coauthVersionLast="47" xr6:coauthVersionMax="47" xr10:uidLastSave="{987C210D-E180-4C9F-8A04-F2F4CE3F96EB}"/>
  <bookViews>
    <workbookView xWindow="-108" yWindow="-108" windowWidth="23256" windowHeight="12576" activeTab="4" xr2:uid="{00000000-000D-0000-FFFF-FFFF00000000}"/>
  </bookViews>
  <sheets>
    <sheet name="Financials" sheetId="6" r:id="rId1"/>
    <sheet name="CAELS" sheetId="7" r:id="rId2"/>
    <sheet name="Prudential Ratios" sheetId="5" r:id="rId3"/>
    <sheet name="SFP" sheetId="8" r:id="rId4"/>
    <sheet name="SCI" sheetId="9" r:id="rId5"/>
    <sheet name="Form 4" sheetId="3" r:id="rId6"/>
    <sheet name="DEC REPORT" sheetId="15" r:id="rId7"/>
    <sheet name="Expenditure Analysis" sheetId="12" r:id="rId8"/>
  </sheets>
  <externalReferences>
    <externalReference r:id="rId9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CAELS!$B$25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40" i="9" l="1"/>
  <c r="BT24" i="5"/>
  <c r="AZ7" i="6"/>
  <c r="BA7" i="6"/>
  <c r="BB7" i="6"/>
  <c r="BC7" i="6"/>
  <c r="BD7" i="6"/>
  <c r="BS25" i="5"/>
  <c r="BT25" i="5"/>
  <c r="AZ8" i="6"/>
  <c r="BA8" i="6"/>
  <c r="BB8" i="6"/>
  <c r="BC8" i="6"/>
  <c r="BD8" i="6"/>
  <c r="BS26" i="5"/>
  <c r="BT26" i="5"/>
  <c r="AZ9" i="6"/>
  <c r="BA9" i="6"/>
  <c r="BB9" i="6"/>
  <c r="BC9" i="6"/>
  <c r="BD9" i="6"/>
  <c r="BS27" i="5"/>
  <c r="BT27" i="5"/>
  <c r="AZ10" i="6"/>
  <c r="BA10" i="6"/>
  <c r="BB10" i="6"/>
  <c r="BC10" i="6"/>
  <c r="AZ12" i="6"/>
  <c r="BA12" i="6"/>
  <c r="BB12" i="6"/>
  <c r="BC12" i="6"/>
  <c r="AZ17" i="6"/>
  <c r="BA17" i="6"/>
  <c r="BB17" i="6"/>
  <c r="BC17" i="6"/>
  <c r="AZ19" i="6"/>
  <c r="BA19" i="6"/>
  <c r="BB19" i="6"/>
  <c r="BC19" i="6"/>
  <c r="BD19" i="6"/>
  <c r="AZ20" i="6"/>
  <c r="BA20" i="6"/>
  <c r="BB20" i="6"/>
  <c r="BC20" i="6"/>
  <c r="BD20" i="6"/>
  <c r="AZ26" i="6"/>
  <c r="BA26" i="6"/>
  <c r="BB26" i="6"/>
  <c r="BC26" i="6"/>
  <c r="AZ27" i="6"/>
  <c r="BA27" i="6"/>
  <c r="BB27" i="6"/>
  <c r="BC27" i="6"/>
  <c r="BD27" i="6"/>
  <c r="AZ28" i="6"/>
  <c r="BA28" i="6"/>
  <c r="BB28" i="6"/>
  <c r="BC28" i="6"/>
  <c r="BD28" i="6"/>
  <c r="AZ31" i="6"/>
  <c r="BA31" i="6"/>
  <c r="BB31" i="6"/>
  <c r="BC31" i="6"/>
  <c r="BD31" i="6"/>
  <c r="AZ32" i="6"/>
  <c r="BA32" i="6"/>
  <c r="BB32" i="6"/>
  <c r="BC32" i="6"/>
  <c r="BD32" i="6"/>
  <c r="AZ39" i="6"/>
  <c r="BA39" i="6"/>
  <c r="BB39" i="6"/>
  <c r="BC39" i="6"/>
  <c r="BD39" i="6"/>
  <c r="AZ43" i="6"/>
  <c r="BA43" i="6"/>
  <c r="BB43" i="6"/>
  <c r="BC43" i="6"/>
  <c r="BD43" i="6"/>
  <c r="AZ45" i="6"/>
  <c r="BA45" i="6"/>
  <c r="BB45" i="6"/>
  <c r="BC45" i="6"/>
  <c r="BD45" i="6"/>
  <c r="AZ46" i="6"/>
  <c r="BA46" i="6"/>
  <c r="BB46" i="6"/>
  <c r="BC46" i="6"/>
  <c r="BD46" i="6"/>
  <c r="AZ49" i="6"/>
  <c r="BA49" i="6"/>
  <c r="BB49" i="6"/>
  <c r="BC49" i="6"/>
  <c r="BD49" i="6"/>
  <c r="AZ50" i="6"/>
  <c r="BA50" i="6"/>
  <c r="BB50" i="6"/>
  <c r="BC50" i="6"/>
  <c r="BD50" i="6"/>
  <c r="AZ51" i="6"/>
  <c r="BA51" i="6"/>
  <c r="BB51" i="6"/>
  <c r="BC51" i="6"/>
  <c r="BD51" i="6"/>
  <c r="AZ53" i="6"/>
  <c r="BA53" i="6"/>
  <c r="BB53" i="6"/>
  <c r="BC53" i="6"/>
  <c r="BD53" i="6"/>
  <c r="AZ54" i="6"/>
  <c r="BA54" i="6"/>
  <c r="BB54" i="6"/>
  <c r="BC54" i="6"/>
  <c r="BD54" i="6"/>
  <c r="AZ55" i="6"/>
  <c r="BA55" i="6"/>
  <c r="BB55" i="6"/>
  <c r="BC55" i="6"/>
  <c r="BD55" i="6"/>
  <c r="BB34" i="7"/>
  <c r="BC34" i="7"/>
  <c r="BD34" i="7"/>
  <c r="BD78" i="7" s="1"/>
  <c r="BD72" i="7" s="1"/>
  <c r="BE34" i="7"/>
  <c r="BE78" i="7" s="1"/>
  <c r="BE72" i="7" s="1"/>
  <c r="BF34" i="7"/>
  <c r="BF78" i="7" s="1"/>
  <c r="BF72" i="7" s="1"/>
  <c r="BB78" i="7"/>
  <c r="BB72" i="7" s="1"/>
  <c r="BC78" i="7"/>
  <c r="BC72" i="7" s="1"/>
  <c r="BS6" i="5"/>
  <c r="BT6" i="5"/>
  <c r="BU6" i="5"/>
  <c r="BV6" i="5"/>
  <c r="BW6" i="5"/>
  <c r="BX6" i="5"/>
  <c r="BY6" i="5"/>
  <c r="BZ6" i="5"/>
  <c r="BS7" i="5"/>
  <c r="BT7" i="5"/>
  <c r="BU7" i="5"/>
  <c r="BV7" i="5"/>
  <c r="BW7" i="5"/>
  <c r="BX7" i="5"/>
  <c r="BY7" i="5"/>
  <c r="BZ7" i="5"/>
  <c r="BS8" i="5"/>
  <c r="BT8" i="5"/>
  <c r="BU8" i="5"/>
  <c r="BV8" i="5"/>
  <c r="BW8" i="5"/>
  <c r="BX8" i="5"/>
  <c r="BY8" i="5"/>
  <c r="BZ8" i="5"/>
  <c r="BS9" i="5"/>
  <c r="BT9" i="5"/>
  <c r="BU9" i="5"/>
  <c r="BV9" i="5"/>
  <c r="BW9" i="5"/>
  <c r="BX9" i="5"/>
  <c r="BY9" i="5"/>
  <c r="BZ9" i="5"/>
  <c r="BS10" i="5"/>
  <c r="BT10" i="5"/>
  <c r="BU10" i="5"/>
  <c r="BV10" i="5"/>
  <c r="BW10" i="5"/>
  <c r="BX10" i="5"/>
  <c r="BY10" i="5"/>
  <c r="BZ10" i="5"/>
  <c r="BS14" i="5"/>
  <c r="BT14" i="5"/>
  <c r="BU14" i="5"/>
  <c r="BV14" i="5"/>
  <c r="BW14" i="5"/>
  <c r="BX14" i="5"/>
  <c r="BY14" i="5"/>
  <c r="BZ14" i="5"/>
  <c r="BR15" i="5"/>
  <c r="BS15" i="5"/>
  <c r="BT15" i="5"/>
  <c r="BU15" i="5"/>
  <c r="BV15" i="5"/>
  <c r="BW15" i="5"/>
  <c r="BX15" i="5"/>
  <c r="BY15" i="5"/>
  <c r="BZ15" i="5"/>
  <c r="BR19" i="5"/>
  <c r="BS19" i="5"/>
  <c r="BT19" i="5"/>
  <c r="BU19" i="5"/>
  <c r="BV19" i="5"/>
  <c r="BW19" i="5"/>
  <c r="BX19" i="5"/>
  <c r="BY19" i="5"/>
  <c r="BZ19" i="5"/>
  <c r="BS20" i="5"/>
  <c r="BT20" i="5"/>
  <c r="BU20" i="5"/>
  <c r="BV20" i="5"/>
  <c r="BW20" i="5"/>
  <c r="BX20" i="5"/>
  <c r="BY20" i="5"/>
  <c r="BZ20" i="5"/>
  <c r="BR21" i="5"/>
  <c r="BS21" i="5"/>
  <c r="BT21" i="5"/>
  <c r="BU21" i="5"/>
  <c r="BV21" i="5"/>
  <c r="BW21" i="5"/>
  <c r="BX21" i="5"/>
  <c r="BY21" i="5"/>
  <c r="BZ21" i="5"/>
  <c r="BR24" i="5"/>
  <c r="BS24" i="5"/>
  <c r="BU24" i="5"/>
  <c r="BV24" i="5"/>
  <c r="BW24" i="5"/>
  <c r="BX24" i="5"/>
  <c r="BY24" i="5"/>
  <c r="BZ24" i="5"/>
  <c r="BR25" i="5"/>
  <c r="BU25" i="5"/>
  <c r="BV25" i="5"/>
  <c r="BW25" i="5"/>
  <c r="BX25" i="5"/>
  <c r="BY25" i="5"/>
  <c r="BZ25" i="5"/>
  <c r="BR26" i="5"/>
  <c r="BU26" i="5"/>
  <c r="BV26" i="5"/>
  <c r="BW26" i="5"/>
  <c r="BX26" i="5"/>
  <c r="BY26" i="5"/>
  <c r="BZ26" i="5"/>
  <c r="BR27" i="5"/>
  <c r="BU27" i="5"/>
  <c r="BV27" i="5"/>
  <c r="BW27" i="5"/>
  <c r="BX27" i="5"/>
  <c r="BY27" i="5"/>
  <c r="BZ27" i="5"/>
  <c r="BR30" i="5"/>
  <c r="BS30" i="5"/>
  <c r="BT30" i="5"/>
  <c r="BU30" i="5"/>
  <c r="BV30" i="5"/>
  <c r="BW30" i="5"/>
  <c r="BX30" i="5"/>
  <c r="BY30" i="5"/>
  <c r="BZ30" i="5"/>
  <c r="BR31" i="5"/>
  <c r="BS31" i="5"/>
  <c r="BT31" i="5"/>
  <c r="BU31" i="5"/>
  <c r="BV31" i="5"/>
  <c r="BW31" i="5"/>
  <c r="BX31" i="5"/>
  <c r="BY31" i="5"/>
  <c r="BZ31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BM33" i="5"/>
  <c r="BN33" i="5"/>
  <c r="BO33" i="5"/>
  <c r="BQ33" i="5"/>
  <c r="BR33" i="5"/>
  <c r="BS33" i="5"/>
  <c r="BT33" i="5"/>
  <c r="BU33" i="5"/>
  <c r="BV33" i="5"/>
  <c r="BW33" i="5"/>
  <c r="BX33" i="5"/>
  <c r="BY33" i="5"/>
  <c r="BZ33" i="5"/>
  <c r="BR34" i="5"/>
  <c r="BS34" i="5"/>
  <c r="BT34" i="5"/>
  <c r="BU34" i="5"/>
  <c r="BV34" i="5"/>
  <c r="BW34" i="5"/>
  <c r="BX34" i="5"/>
  <c r="BY34" i="5"/>
  <c r="BZ34" i="5"/>
  <c r="BR40" i="5"/>
  <c r="BS40" i="5"/>
  <c r="BT40" i="5"/>
  <c r="BU40" i="5"/>
  <c r="BV40" i="5"/>
  <c r="BW40" i="5"/>
  <c r="BX40" i="5"/>
  <c r="BY40" i="5"/>
  <c r="BZ40" i="5"/>
  <c r="BR41" i="5"/>
  <c r="BS41" i="5"/>
  <c r="BT41" i="5"/>
  <c r="BU41" i="5"/>
  <c r="BV41" i="5"/>
  <c r="BW41" i="5"/>
  <c r="BX41" i="5"/>
  <c r="BY41" i="5"/>
  <c r="BZ41" i="5"/>
  <c r="BR42" i="5"/>
  <c r="BS42" i="5"/>
  <c r="BT42" i="5"/>
  <c r="BU42" i="5"/>
  <c r="BV42" i="5"/>
  <c r="BW42" i="5"/>
  <c r="BX42" i="5"/>
  <c r="BY42" i="5"/>
  <c r="BZ42" i="5"/>
  <c r="BR43" i="5"/>
  <c r="BS43" i="5"/>
  <c r="BT43" i="5"/>
  <c r="BU43" i="5"/>
  <c r="BV43" i="5"/>
  <c r="BW43" i="5"/>
  <c r="BX43" i="5"/>
  <c r="BY43" i="5"/>
  <c r="BZ43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BR47" i="5"/>
  <c r="BS47" i="5"/>
  <c r="BT47" i="5"/>
  <c r="BU47" i="5"/>
  <c r="BV47" i="5"/>
  <c r="BW47" i="5"/>
  <c r="BX47" i="5"/>
  <c r="BY47" i="5"/>
  <c r="BZ47" i="5"/>
  <c r="M79" i="3"/>
  <c r="M74" i="3"/>
  <c r="L74" i="3"/>
  <c r="O73" i="3"/>
  <c r="O72" i="3"/>
  <c r="O71" i="3"/>
  <c r="O70" i="3"/>
  <c r="O69" i="3"/>
  <c r="M67" i="3"/>
  <c r="M75" i="3" s="1"/>
  <c r="L67" i="3"/>
  <c r="L75" i="3" s="1"/>
  <c r="O66" i="3"/>
  <c r="O65" i="3"/>
  <c r="O64" i="3"/>
  <c r="O63" i="3"/>
  <c r="O62" i="3"/>
  <c r="BV50" i="8"/>
  <c r="BV47" i="8" s="1"/>
  <c r="BV42" i="8"/>
  <c r="BV38" i="8"/>
  <c r="BV12" i="8"/>
  <c r="BV26" i="8"/>
  <c r="BV21" i="8" s="1"/>
  <c r="BD38" i="6" s="1"/>
  <c r="BV6" i="8"/>
  <c r="BV4" i="8" s="1"/>
  <c r="BU12" i="9"/>
  <c r="BU7" i="9"/>
  <c r="BD44" i="6" s="1"/>
  <c r="BR30" i="9"/>
  <c r="BS30" i="9"/>
  <c r="BT30" i="9"/>
  <c r="BU30" i="9"/>
  <c r="BR23" i="9"/>
  <c r="BS23" i="9"/>
  <c r="BT23" i="9"/>
  <c r="BU23" i="9"/>
  <c r="BU20" i="9"/>
  <c r="BR20" i="9"/>
  <c r="BS20" i="9"/>
  <c r="BT20" i="9"/>
  <c r="BR12" i="9"/>
  <c r="BS12" i="9"/>
  <c r="BT12" i="9"/>
  <c r="BR7" i="9"/>
  <c r="BA44" i="6" s="1"/>
  <c r="BS7" i="9"/>
  <c r="BB44" i="6" s="1"/>
  <c r="BT7" i="9"/>
  <c r="BC44" i="6" s="1"/>
  <c r="BR4" i="9"/>
  <c r="BS4" i="9"/>
  <c r="BS3" i="9" s="1"/>
  <c r="BS19" i="9" s="1"/>
  <c r="BS29" i="9" s="1"/>
  <c r="BT4" i="9"/>
  <c r="BT3" i="9" s="1"/>
  <c r="BT19" i="9" s="1"/>
  <c r="BT29" i="9" s="1"/>
  <c r="BU4" i="9"/>
  <c r="BV44" i="8"/>
  <c r="BS4" i="8"/>
  <c r="BT4" i="8"/>
  <c r="BU4" i="8"/>
  <c r="BS8" i="8"/>
  <c r="BT8" i="8"/>
  <c r="BU8" i="8"/>
  <c r="BS14" i="8"/>
  <c r="BT14" i="8"/>
  <c r="BU14" i="8"/>
  <c r="BV14" i="8"/>
  <c r="BS21" i="8"/>
  <c r="BA38" i="6" s="1"/>
  <c r="BT21" i="8"/>
  <c r="BB38" i="6" s="1"/>
  <c r="BU21" i="8"/>
  <c r="BC38" i="6" s="1"/>
  <c r="BS32" i="8"/>
  <c r="BT32" i="8"/>
  <c r="BB6" i="6" s="1"/>
  <c r="BU32" i="8"/>
  <c r="BC6" i="6" s="1"/>
  <c r="BV32" i="8"/>
  <c r="BS33" i="8"/>
  <c r="BT33" i="8"/>
  <c r="BU33" i="8"/>
  <c r="BS44" i="8"/>
  <c r="BT44" i="8"/>
  <c r="BU44" i="8"/>
  <c r="BS47" i="8"/>
  <c r="BS53" i="8" s="1"/>
  <c r="BT47" i="8"/>
  <c r="BU47" i="8"/>
  <c r="BU53" i="8"/>
  <c r="BQ30" i="9"/>
  <c r="BQ23" i="9"/>
  <c r="BQ20" i="9"/>
  <c r="BQ12" i="9"/>
  <c r="BQ7" i="9"/>
  <c r="AZ44" i="6" s="1"/>
  <c r="BQ4" i="9"/>
  <c r="BQ3" i="9" s="1"/>
  <c r="BQ19" i="9" s="1"/>
  <c r="BQ29" i="9" s="1"/>
  <c r="BB14" i="7" s="1"/>
  <c r="BB38" i="7" s="1"/>
  <c r="BR47" i="8"/>
  <c r="BR44" i="8"/>
  <c r="BR32" i="8"/>
  <c r="AZ6" i="6" s="1"/>
  <c r="BR33" i="8"/>
  <c r="BR21" i="8"/>
  <c r="BR17" i="8"/>
  <c r="AZ38" i="6" s="1"/>
  <c r="BR14" i="8"/>
  <c r="BR8" i="8"/>
  <c r="BR4" i="8"/>
  <c r="BA34" i="7"/>
  <c r="BA78" i="7"/>
  <c r="BA72" i="7"/>
  <c r="AY7" i="6"/>
  <c r="AY8" i="6"/>
  <c r="AY9" i="6"/>
  <c r="AY10" i="6"/>
  <c r="AY12" i="6"/>
  <c r="AY17" i="6"/>
  <c r="AY19" i="6"/>
  <c r="AY20" i="6"/>
  <c r="AY26" i="6"/>
  <c r="AY27" i="6"/>
  <c r="AY28" i="6"/>
  <c r="AY31" i="6"/>
  <c r="AY32" i="6"/>
  <c r="AY39" i="6"/>
  <c r="AY43" i="6"/>
  <c r="AY45" i="6"/>
  <c r="AY46" i="6"/>
  <c r="AY49" i="6"/>
  <c r="AY50" i="6"/>
  <c r="AY51" i="6"/>
  <c r="AY53" i="6"/>
  <c r="AY54" i="6"/>
  <c r="AY55" i="6"/>
  <c r="BL32" i="5"/>
  <c r="BL33" i="5"/>
  <c r="BL44" i="5"/>
  <c r="BP30" i="9"/>
  <c r="BP23" i="9"/>
  <c r="BP20" i="9"/>
  <c r="BP12" i="9"/>
  <c r="BP7" i="9"/>
  <c r="AY44" i="6" s="1"/>
  <c r="BP4" i="9"/>
  <c r="BQ47" i="8"/>
  <c r="BQ44" i="8"/>
  <c r="BQ32" i="8"/>
  <c r="BQ33" i="8"/>
  <c r="BQ40" i="8" s="1"/>
  <c r="BQ21" i="8"/>
  <c r="BQ17" i="8"/>
  <c r="BQ14" i="8"/>
  <c r="BL34" i="5" s="1"/>
  <c r="BQ8" i="8"/>
  <c r="BQ4" i="8"/>
  <c r="AT34" i="7"/>
  <c r="AT78" i="7"/>
  <c r="AU34" i="7"/>
  <c r="AU78" i="7"/>
  <c r="AV34" i="7"/>
  <c r="AV78" i="7"/>
  <c r="AV72" i="7"/>
  <c r="AW34" i="7"/>
  <c r="AX34" i="7"/>
  <c r="AX78" i="7"/>
  <c r="AX72" i="7"/>
  <c r="AY34" i="7"/>
  <c r="AY78" i="7"/>
  <c r="AY72" i="7"/>
  <c r="AZ34" i="7"/>
  <c r="AT72" i="7"/>
  <c r="AU72" i="7"/>
  <c r="AW78" i="7"/>
  <c r="AW72" i="7"/>
  <c r="AZ78" i="7"/>
  <c r="AZ72" i="7"/>
  <c r="BE32" i="5"/>
  <c r="BF32" i="5"/>
  <c r="BG32" i="5"/>
  <c r="BH32" i="5"/>
  <c r="BI32" i="5"/>
  <c r="BJ32" i="5"/>
  <c r="BK32" i="5"/>
  <c r="BE33" i="5"/>
  <c r="BF33" i="5"/>
  <c r="BG33" i="5"/>
  <c r="BH33" i="5"/>
  <c r="BI33" i="5"/>
  <c r="BJ33" i="5"/>
  <c r="BK33" i="5"/>
  <c r="BE44" i="5"/>
  <c r="BF44" i="5"/>
  <c r="BG44" i="5"/>
  <c r="BH44" i="5"/>
  <c r="BI44" i="5"/>
  <c r="BJ44" i="5"/>
  <c r="BK44" i="5"/>
  <c r="BI30" i="9"/>
  <c r="BJ30" i="9"/>
  <c r="BK30" i="9"/>
  <c r="BL30" i="9"/>
  <c r="BM30" i="9"/>
  <c r="BN30" i="9"/>
  <c r="BO30" i="9"/>
  <c r="BI23" i="9"/>
  <c r="BJ23" i="9"/>
  <c r="BK23" i="9"/>
  <c r="BL23" i="9"/>
  <c r="BM23" i="9"/>
  <c r="BN23" i="9"/>
  <c r="BO23" i="9"/>
  <c r="BI20" i="9"/>
  <c r="BJ20" i="9"/>
  <c r="BK20" i="9"/>
  <c r="BL20" i="9"/>
  <c r="BM20" i="9"/>
  <c r="BN20" i="9"/>
  <c r="BO20" i="9"/>
  <c r="BI12" i="9"/>
  <c r="BJ12" i="9"/>
  <c r="BK12" i="9"/>
  <c r="BL12" i="9"/>
  <c r="BM12" i="9"/>
  <c r="BN12" i="9"/>
  <c r="BO12" i="9"/>
  <c r="BI7" i="9"/>
  <c r="AR44" i="6"/>
  <c r="BJ7" i="9"/>
  <c r="AS44" i="6"/>
  <c r="BK7" i="9"/>
  <c r="BL7" i="9"/>
  <c r="BM7" i="9"/>
  <c r="AV44" i="6"/>
  <c r="BN7" i="9"/>
  <c r="BO7" i="9"/>
  <c r="BI4" i="9"/>
  <c r="BJ4" i="9"/>
  <c r="BK4" i="9"/>
  <c r="BK3" i="9"/>
  <c r="BK19" i="9"/>
  <c r="BK29" i="9"/>
  <c r="AV14" i="7" s="1"/>
  <c r="AV38" i="7" s="1"/>
  <c r="BK33" i="9"/>
  <c r="BK35" i="9"/>
  <c r="BK37" i="9"/>
  <c r="BL4" i="9"/>
  <c r="BL3" i="9"/>
  <c r="BL19" i="9"/>
  <c r="BL29" i="9"/>
  <c r="AW14" i="7" s="1"/>
  <c r="AW38" i="7" s="1"/>
  <c r="BM4" i="9"/>
  <c r="BM3" i="9" s="1"/>
  <c r="BM19" i="9" s="1"/>
  <c r="BM29" i="9" s="1"/>
  <c r="AX14" i="7" s="1"/>
  <c r="AX38" i="7" s="1"/>
  <c r="BN4" i="9"/>
  <c r="BN3" i="9"/>
  <c r="BN19" i="9" s="1"/>
  <c r="BN29" i="9" s="1"/>
  <c r="BO4" i="9"/>
  <c r="BJ47" i="8"/>
  <c r="BK47" i="8"/>
  <c r="BL47" i="8"/>
  <c r="BM47" i="8"/>
  <c r="BN47" i="8"/>
  <c r="BO47" i="8"/>
  <c r="BP47" i="8"/>
  <c r="BJ44" i="8"/>
  <c r="BJ53" i="8"/>
  <c r="BK44" i="8"/>
  <c r="BK53" i="8"/>
  <c r="BL44" i="8"/>
  <c r="BM44" i="8"/>
  <c r="BM53" i="8" s="1"/>
  <c r="BN44" i="8"/>
  <c r="BO44" i="8"/>
  <c r="AW18" i="6"/>
  <c r="BP44" i="8"/>
  <c r="BP53" i="8" s="1"/>
  <c r="BJ32" i="8"/>
  <c r="AR6" i="6" s="1"/>
  <c r="BK32" i="8"/>
  <c r="BL32" i="8"/>
  <c r="BM32" i="8"/>
  <c r="BN32" i="8"/>
  <c r="AV6" i="6"/>
  <c r="BO32" i="8"/>
  <c r="BP32" i="8"/>
  <c r="AX6" i="6" s="1"/>
  <c r="BJ33" i="8"/>
  <c r="BK33" i="8"/>
  <c r="BL33" i="8"/>
  <c r="BM33" i="8"/>
  <c r="BN33" i="8"/>
  <c r="BO33" i="8"/>
  <c r="BP33" i="8"/>
  <c r="BJ21" i="8"/>
  <c r="BK21" i="8"/>
  <c r="BL21" i="8"/>
  <c r="BM21" i="8"/>
  <c r="BN21" i="8"/>
  <c r="BO21" i="8"/>
  <c r="BP21" i="8"/>
  <c r="BJ17" i="8"/>
  <c r="BK17" i="8"/>
  <c r="AS38" i="6" s="1"/>
  <c r="BL17" i="8"/>
  <c r="BM17" i="8"/>
  <c r="BN17" i="8"/>
  <c r="BO17" i="8"/>
  <c r="BP17" i="8"/>
  <c r="AX38" i="6" s="1"/>
  <c r="BP8" i="8"/>
  <c r="BJ14" i="8"/>
  <c r="BK14" i="8"/>
  <c r="BL14" i="8"/>
  <c r="BM14" i="8"/>
  <c r="BN14" i="8"/>
  <c r="BO14" i="8"/>
  <c r="BP14" i="8"/>
  <c r="BJ8" i="8"/>
  <c r="BK8" i="8"/>
  <c r="BL8" i="8"/>
  <c r="BM8" i="8"/>
  <c r="BN8" i="8"/>
  <c r="BO8" i="8"/>
  <c r="BJ4" i="8"/>
  <c r="AR36" i="6"/>
  <c r="BK4" i="8"/>
  <c r="BL4" i="8"/>
  <c r="BM4" i="8"/>
  <c r="BN4" i="8"/>
  <c r="BO4" i="8"/>
  <c r="AW36" i="6" s="1"/>
  <c r="BP4" i="8"/>
  <c r="AX36" i="6" s="1"/>
  <c r="AS6" i="6"/>
  <c r="AT6" i="6"/>
  <c r="AU6" i="6"/>
  <c r="AR7" i="6"/>
  <c r="AS7" i="6"/>
  <c r="AT7" i="6"/>
  <c r="AU7" i="6"/>
  <c r="AV7" i="6"/>
  <c r="AW7" i="6"/>
  <c r="AX7" i="6"/>
  <c r="AR8" i="6"/>
  <c r="AS8" i="6"/>
  <c r="AT8" i="6"/>
  <c r="AU8" i="6"/>
  <c r="AV8" i="6"/>
  <c r="AW8" i="6"/>
  <c r="AX8" i="6"/>
  <c r="AR9" i="6"/>
  <c r="AS9" i="6"/>
  <c r="AT9" i="6"/>
  <c r="AU9" i="6"/>
  <c r="AV9" i="6"/>
  <c r="AW9" i="6"/>
  <c r="AX9" i="6"/>
  <c r="AR10" i="6"/>
  <c r="AS10" i="6"/>
  <c r="AT10" i="6"/>
  <c r="AU10" i="6"/>
  <c r="AV10" i="6"/>
  <c r="AW10" i="6"/>
  <c r="AX10" i="6"/>
  <c r="AR12" i="6"/>
  <c r="AS12" i="6"/>
  <c r="AT12" i="6"/>
  <c r="AU12" i="6"/>
  <c r="AV12" i="6"/>
  <c r="AW12" i="6"/>
  <c r="AX12" i="6"/>
  <c r="AR17" i="6"/>
  <c r="AS17" i="6"/>
  <c r="AT17" i="6"/>
  <c r="AU17" i="6"/>
  <c r="AV17" i="6"/>
  <c r="AW17" i="6"/>
  <c r="AX17" i="6"/>
  <c r="AT18" i="6"/>
  <c r="AU18" i="6"/>
  <c r="AV18" i="6"/>
  <c r="AR19" i="6"/>
  <c r="AS19" i="6"/>
  <c r="AT19" i="6"/>
  <c r="AU19" i="6"/>
  <c r="AV19" i="6"/>
  <c r="AW19" i="6"/>
  <c r="AX19" i="6"/>
  <c r="AR20" i="6"/>
  <c r="AS20" i="6"/>
  <c r="AT20" i="6"/>
  <c r="AU20" i="6"/>
  <c r="AV20" i="6"/>
  <c r="AW20" i="6"/>
  <c r="AX20" i="6"/>
  <c r="AR26" i="6"/>
  <c r="AS26" i="6"/>
  <c r="AT26" i="6"/>
  <c r="AU26" i="6"/>
  <c r="AV26" i="6"/>
  <c r="AW26" i="6"/>
  <c r="AX26" i="6"/>
  <c r="AR27" i="6"/>
  <c r="AS27" i="6"/>
  <c r="AT27" i="6"/>
  <c r="AU27" i="6"/>
  <c r="AV27" i="6"/>
  <c r="AW27" i="6"/>
  <c r="AX27" i="6"/>
  <c r="AR28" i="6"/>
  <c r="AS28" i="6"/>
  <c r="AT28" i="6"/>
  <c r="AU28" i="6"/>
  <c r="AV28" i="6"/>
  <c r="AW28" i="6"/>
  <c r="AX28" i="6"/>
  <c r="AR31" i="6"/>
  <c r="AS31" i="6"/>
  <c r="AT31" i="6"/>
  <c r="AU31" i="6"/>
  <c r="AV31" i="6"/>
  <c r="AW31" i="6"/>
  <c r="AX31" i="6"/>
  <c r="AR32" i="6"/>
  <c r="AS32" i="6"/>
  <c r="AT32" i="6"/>
  <c r="AU32" i="6"/>
  <c r="AU30" i="6" s="1"/>
  <c r="AV32" i="6"/>
  <c r="AW32" i="6"/>
  <c r="AX32" i="6"/>
  <c r="AS36" i="6"/>
  <c r="AT36" i="6"/>
  <c r="AV36" i="6"/>
  <c r="AT38" i="6"/>
  <c r="AR39" i="6"/>
  <c r="AS39" i="6"/>
  <c r="AT39" i="6"/>
  <c r="AU39" i="6"/>
  <c r="AV39" i="6"/>
  <c r="AW39" i="6"/>
  <c r="AX39" i="6"/>
  <c r="AR43" i="6"/>
  <c r="AS43" i="6"/>
  <c r="AT43" i="6"/>
  <c r="AU43" i="6"/>
  <c r="AV43" i="6"/>
  <c r="AW43" i="6"/>
  <c r="AX43" i="6"/>
  <c r="AT44" i="6"/>
  <c r="AU44" i="6"/>
  <c r="AW44" i="6"/>
  <c r="AR45" i="6"/>
  <c r="AS45" i="6"/>
  <c r="AT45" i="6"/>
  <c r="AU45" i="6"/>
  <c r="AV45" i="6"/>
  <c r="AW45" i="6"/>
  <c r="AX45" i="6"/>
  <c r="AR46" i="6"/>
  <c r="AS46" i="6"/>
  <c r="AT46" i="6"/>
  <c r="AU46" i="6"/>
  <c r="AV46" i="6"/>
  <c r="AW46" i="6"/>
  <c r="AX46" i="6"/>
  <c r="AR49" i="6"/>
  <c r="AS49" i="6"/>
  <c r="AT49" i="6"/>
  <c r="AU49" i="6"/>
  <c r="AV49" i="6"/>
  <c r="AW49" i="6"/>
  <c r="AX49" i="6"/>
  <c r="AR50" i="6"/>
  <c r="AS50" i="6"/>
  <c r="AT50" i="6"/>
  <c r="AU50" i="6"/>
  <c r="AV50" i="6"/>
  <c r="AW50" i="6"/>
  <c r="AX50" i="6"/>
  <c r="AR51" i="6"/>
  <c r="AS51" i="6"/>
  <c r="AT51" i="6"/>
  <c r="AU51" i="6"/>
  <c r="AV51" i="6"/>
  <c r="AW51" i="6"/>
  <c r="AX51" i="6"/>
  <c r="AR53" i="6"/>
  <c r="AS53" i="6"/>
  <c r="AT53" i="6"/>
  <c r="AU53" i="6"/>
  <c r="AV53" i="6"/>
  <c r="AW53" i="6"/>
  <c r="AX53" i="6"/>
  <c r="AR54" i="6"/>
  <c r="AS54" i="6"/>
  <c r="AT54" i="6"/>
  <c r="AU54" i="6"/>
  <c r="AV54" i="6"/>
  <c r="AW54" i="6"/>
  <c r="AX54" i="6"/>
  <c r="AR55" i="6"/>
  <c r="AS55" i="6"/>
  <c r="AT55" i="6"/>
  <c r="AU55" i="6"/>
  <c r="AV55" i="6"/>
  <c r="AW55" i="6"/>
  <c r="AX55" i="6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D33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AG34" i="7"/>
  <c r="AG78" i="7"/>
  <c r="AG72" i="7"/>
  <c r="AH34" i="7"/>
  <c r="AH78" i="7"/>
  <c r="AH72" i="7"/>
  <c r="AI34" i="7"/>
  <c r="AJ34" i="7"/>
  <c r="AK34" i="7"/>
  <c r="AL34" i="7"/>
  <c r="AL78" i="7"/>
  <c r="AL72" i="7"/>
  <c r="AM34" i="7"/>
  <c r="AM78" i="7"/>
  <c r="AM72" i="7"/>
  <c r="AN34" i="7"/>
  <c r="AO34" i="7"/>
  <c r="AO78" i="7"/>
  <c r="AO72" i="7"/>
  <c r="AP34" i="7"/>
  <c r="AP78" i="7"/>
  <c r="AP72" i="7"/>
  <c r="AQ34" i="7"/>
  <c r="AQ78" i="7"/>
  <c r="AQ72" i="7"/>
  <c r="AR34" i="7"/>
  <c r="AS34" i="7"/>
  <c r="AS78" i="7"/>
  <c r="AI78" i="7"/>
  <c r="AI72" i="7"/>
  <c r="AJ78" i="7"/>
  <c r="AJ72" i="7"/>
  <c r="AK78" i="7"/>
  <c r="AK72" i="7"/>
  <c r="AN78" i="7"/>
  <c r="AN72" i="7"/>
  <c r="AR78" i="7"/>
  <c r="AR72" i="7"/>
  <c r="AS72" i="7"/>
  <c r="AQ19" i="6"/>
  <c r="AQ20" i="6"/>
  <c r="AQ27" i="6"/>
  <c r="AQ28" i="6"/>
  <c r="AQ31" i="6"/>
  <c r="AQ32" i="6"/>
  <c r="AQ39" i="6"/>
  <c r="AQ43" i="6"/>
  <c r="AQ45" i="6"/>
  <c r="AQ46" i="6"/>
  <c r="AQ50" i="6"/>
  <c r="AQ51" i="6"/>
  <c r="AQ53" i="6"/>
  <c r="AQ54" i="6"/>
  <c r="AQ55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E28" i="6"/>
  <c r="AF28" i="6"/>
  <c r="AG28" i="6"/>
  <c r="AH28" i="6"/>
  <c r="AH25" i="6" s="1"/>
  <c r="AI28" i="6"/>
  <c r="AJ28" i="6"/>
  <c r="AK28" i="6"/>
  <c r="AL28" i="6"/>
  <c r="AM28" i="6"/>
  <c r="AN28" i="6"/>
  <c r="AO28" i="6"/>
  <c r="AP28" i="6"/>
  <c r="AP25" i="6" s="1"/>
  <c r="AE31" i="6"/>
  <c r="AF31" i="6"/>
  <c r="AG31" i="6"/>
  <c r="AH31" i="6"/>
  <c r="AI31" i="6"/>
  <c r="AJ31" i="6"/>
  <c r="AK31" i="6"/>
  <c r="AL31" i="6"/>
  <c r="AM31" i="6"/>
  <c r="AN31" i="6"/>
  <c r="AO31" i="6"/>
  <c r="AP31" i="6"/>
  <c r="AE32" i="6"/>
  <c r="AF32" i="6"/>
  <c r="AG32" i="6"/>
  <c r="AH32" i="6"/>
  <c r="AH30" i="6" s="1"/>
  <c r="AI32" i="6"/>
  <c r="AJ32" i="6"/>
  <c r="AK32" i="6"/>
  <c r="AK30" i="6" s="1"/>
  <c r="AL32" i="6"/>
  <c r="AM32" i="6"/>
  <c r="AN32" i="6"/>
  <c r="AO32" i="6"/>
  <c r="AP32" i="6"/>
  <c r="AP30" i="6" s="1"/>
  <c r="AE39" i="6"/>
  <c r="AF39" i="6"/>
  <c r="AG39" i="6"/>
  <c r="AH39" i="6"/>
  <c r="AI39" i="6"/>
  <c r="AJ39" i="6"/>
  <c r="AK39" i="6"/>
  <c r="AL39" i="6"/>
  <c r="AM39" i="6"/>
  <c r="AN39" i="6"/>
  <c r="AO39" i="6"/>
  <c r="AP39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BI42" i="8"/>
  <c r="BI38" i="8"/>
  <c r="AQ10" i="6" s="1"/>
  <c r="BI12" i="8"/>
  <c r="BI6" i="8"/>
  <c r="BI5" i="8"/>
  <c r="BH11" i="9"/>
  <c r="BH13" i="9"/>
  <c r="BH12" i="9"/>
  <c r="BH4" i="9"/>
  <c r="BH7" i="9"/>
  <c r="AQ44" i="6" s="1"/>
  <c r="BH3" i="9"/>
  <c r="BH19" i="9" s="1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AV7" i="9"/>
  <c r="AE44" i="6" s="1"/>
  <c r="AE42" i="6" s="1"/>
  <c r="AW7" i="9"/>
  <c r="AF44" i="6" s="1"/>
  <c r="AF42" i="6" s="1"/>
  <c r="AX7" i="9"/>
  <c r="AG44" i="6" s="1"/>
  <c r="AG42" i="6" s="1"/>
  <c r="AY7" i="9"/>
  <c r="AH44" i="6" s="1"/>
  <c r="AH42" i="6" s="1"/>
  <c r="AZ7" i="9"/>
  <c r="AI44" i="6" s="1"/>
  <c r="AI42" i="6" s="1"/>
  <c r="BA7" i="9"/>
  <c r="AJ44" i="6" s="1"/>
  <c r="AJ42" i="6" s="1"/>
  <c r="BB7" i="9"/>
  <c r="AK44" i="6" s="1"/>
  <c r="AK42" i="6" s="1"/>
  <c r="BC7" i="9"/>
  <c r="AL44" i="6" s="1"/>
  <c r="AL42" i="6" s="1"/>
  <c r="BD7" i="9"/>
  <c r="AM44" i="6" s="1"/>
  <c r="AM42" i="6" s="1"/>
  <c r="BE7" i="9"/>
  <c r="AN44" i="6" s="1"/>
  <c r="AN42" i="6" s="1"/>
  <c r="BF7" i="9"/>
  <c r="AO44" i="6" s="1"/>
  <c r="AO42" i="6" s="1"/>
  <c r="BG7" i="9"/>
  <c r="AP44" i="6" s="1"/>
  <c r="AP42" i="6" s="1"/>
  <c r="AV4" i="9"/>
  <c r="AV3" i="9"/>
  <c r="AV19" i="9"/>
  <c r="AV29" i="9"/>
  <c r="AG14" i="7" s="1"/>
  <c r="AG38" i="7" s="1"/>
  <c r="AV33" i="9"/>
  <c r="AV35" i="9"/>
  <c r="AV37" i="9"/>
  <c r="AW4" i="9"/>
  <c r="AW3" i="9"/>
  <c r="AW19" i="9"/>
  <c r="AW29" i="9"/>
  <c r="AH14" i="7" s="1"/>
  <c r="AH38" i="7" s="1"/>
  <c r="AW33" i="9"/>
  <c r="AW35" i="9"/>
  <c r="AW37" i="9"/>
  <c r="AX4" i="9"/>
  <c r="AX3" i="9"/>
  <c r="AX19" i="9"/>
  <c r="AX29" i="9"/>
  <c r="AI14" i="7" s="1"/>
  <c r="AI38" i="7" s="1"/>
  <c r="AX33" i="9"/>
  <c r="AX35" i="9"/>
  <c r="AX37" i="9"/>
  <c r="AY4" i="9"/>
  <c r="AY3" i="9"/>
  <c r="AY19" i="9"/>
  <c r="AY29" i="9"/>
  <c r="AJ14" i="7" s="1"/>
  <c r="AJ38" i="7" s="1"/>
  <c r="AY33" i="9"/>
  <c r="AY35" i="9"/>
  <c r="AY37" i="9"/>
  <c r="AZ4" i="9"/>
  <c r="AZ3" i="9"/>
  <c r="AZ19" i="9"/>
  <c r="AZ29" i="9"/>
  <c r="AK14" i="7" s="1"/>
  <c r="AK38" i="7" s="1"/>
  <c r="AZ33" i="9"/>
  <c r="AZ35" i="9"/>
  <c r="AZ37" i="9"/>
  <c r="BA4" i="9"/>
  <c r="BA3" i="9" s="1"/>
  <c r="BA19" i="9" s="1"/>
  <c r="BA29" i="9" s="1"/>
  <c r="BB4" i="9"/>
  <c r="BB3" i="9"/>
  <c r="BB19" i="9"/>
  <c r="BB29" i="9"/>
  <c r="AM14" i="7" s="1"/>
  <c r="AM38" i="7" s="1"/>
  <c r="BB33" i="9"/>
  <c r="BB35" i="9"/>
  <c r="BB37" i="9"/>
  <c r="BC4" i="9"/>
  <c r="BC3" i="9"/>
  <c r="BC19" i="9"/>
  <c r="BC29" i="9"/>
  <c r="AN14" i="7" s="1"/>
  <c r="AN38" i="7" s="1"/>
  <c r="BC33" i="9"/>
  <c r="BC35" i="9"/>
  <c r="BC37" i="9"/>
  <c r="BD4" i="9"/>
  <c r="BD3" i="9"/>
  <c r="BD19" i="9"/>
  <c r="BD29" i="9"/>
  <c r="AO14" i="7" s="1"/>
  <c r="AO38" i="7" s="1"/>
  <c r="BD33" i="9"/>
  <c r="BD35" i="9"/>
  <c r="BD37" i="9"/>
  <c r="BE4" i="9"/>
  <c r="BE3" i="9"/>
  <c r="BE19" i="9"/>
  <c r="BE29" i="9"/>
  <c r="AP14" i="7" s="1"/>
  <c r="AP38" i="7" s="1"/>
  <c r="BE33" i="9"/>
  <c r="BE35" i="9"/>
  <c r="BE37" i="9"/>
  <c r="BF4" i="9"/>
  <c r="BF3" i="9"/>
  <c r="BF19" i="9"/>
  <c r="BF29" i="9"/>
  <c r="AQ14" i="7" s="1"/>
  <c r="AQ38" i="7" s="1"/>
  <c r="BF33" i="9"/>
  <c r="BF35" i="9"/>
  <c r="BF37" i="9"/>
  <c r="BG4" i="9"/>
  <c r="BG3" i="9"/>
  <c r="BG19" i="9"/>
  <c r="BG29" i="9"/>
  <c r="AR14" i="7" s="1"/>
  <c r="AR38" i="7" s="1"/>
  <c r="BG33" i="9"/>
  <c r="BG35" i="9"/>
  <c r="BG37" i="9"/>
  <c r="BI33" i="8"/>
  <c r="BI47" i="8"/>
  <c r="BI44" i="8"/>
  <c r="BI32" i="8"/>
  <c r="BD31" i="5" s="1"/>
  <c r="BI21" i="8"/>
  <c r="BI17" i="8"/>
  <c r="BI14" i="8"/>
  <c r="AW47" i="8"/>
  <c r="AX47" i="8"/>
  <c r="AY47" i="8"/>
  <c r="AZ47" i="8"/>
  <c r="BA47" i="8"/>
  <c r="BB47" i="8"/>
  <c r="BC47" i="8"/>
  <c r="BD47" i="8"/>
  <c r="BE47" i="8"/>
  <c r="BF47" i="8"/>
  <c r="BG47" i="8"/>
  <c r="BH47" i="8"/>
  <c r="AW44" i="8"/>
  <c r="AW53" i="8" s="1"/>
  <c r="AX44" i="8"/>
  <c r="AY44" i="8"/>
  <c r="AZ44" i="8"/>
  <c r="BA44" i="8"/>
  <c r="BB44" i="8"/>
  <c r="BB53" i="8" s="1"/>
  <c r="BC44" i="8"/>
  <c r="BD44" i="8"/>
  <c r="BD53" i="8" s="1"/>
  <c r="BE44" i="8"/>
  <c r="BF44" i="8"/>
  <c r="BG44" i="8"/>
  <c r="BG53" i="8" s="1"/>
  <c r="BH44" i="8"/>
  <c r="AW32" i="8"/>
  <c r="AX32" i="8"/>
  <c r="AY32" i="8"/>
  <c r="AG6" i="6" s="1"/>
  <c r="AZ32" i="8"/>
  <c r="AH6" i="6" s="1"/>
  <c r="BA32" i="8"/>
  <c r="AI6" i="6" s="1"/>
  <c r="BB32" i="8"/>
  <c r="BC32" i="8"/>
  <c r="AK6" i="6" s="1"/>
  <c r="BD32" i="8"/>
  <c r="BE32" i="8"/>
  <c r="AM6" i="6" s="1"/>
  <c r="BF32" i="8"/>
  <c r="AN6" i="6" s="1"/>
  <c r="BG32" i="8"/>
  <c r="AO6" i="6" s="1"/>
  <c r="BH32" i="8"/>
  <c r="AP6" i="6" s="1"/>
  <c r="AW33" i="8"/>
  <c r="AX33" i="8"/>
  <c r="AY33" i="8"/>
  <c r="AZ33" i="8"/>
  <c r="AZ40" i="8" s="1"/>
  <c r="BA33" i="8"/>
  <c r="BA40" i="8" s="1"/>
  <c r="BB33" i="8"/>
  <c r="BC33" i="8"/>
  <c r="BD33" i="8"/>
  <c r="BE33" i="8"/>
  <c r="BF33" i="8"/>
  <c r="BG33" i="8"/>
  <c r="BG40" i="8" s="1"/>
  <c r="BH33" i="8"/>
  <c r="BH40" i="8" s="1"/>
  <c r="AW21" i="8"/>
  <c r="AX21" i="8"/>
  <c r="AY21" i="8"/>
  <c r="AZ21" i="8"/>
  <c r="BA21" i="8"/>
  <c r="BB21" i="8"/>
  <c r="BC21" i="8"/>
  <c r="BD21" i="8"/>
  <c r="BE21" i="8"/>
  <c r="BF21" i="8"/>
  <c r="BG21" i="8"/>
  <c r="BH21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AW8" i="8"/>
  <c r="AX8" i="8"/>
  <c r="AY8" i="8"/>
  <c r="AZ8" i="8"/>
  <c r="BA8" i="8"/>
  <c r="BB8" i="8"/>
  <c r="BC8" i="8"/>
  <c r="BD8" i="8"/>
  <c r="BE8" i="8"/>
  <c r="BF8" i="8"/>
  <c r="BG8" i="8"/>
  <c r="BH8" i="8"/>
  <c r="AW4" i="8"/>
  <c r="AX4" i="8"/>
  <c r="AX27" i="8" s="1"/>
  <c r="AY4" i="8"/>
  <c r="AZ4" i="8"/>
  <c r="BA4" i="8"/>
  <c r="BB4" i="8"/>
  <c r="BC4" i="8"/>
  <c r="BC27" i="8" s="1"/>
  <c r="BD4" i="8"/>
  <c r="BD27" i="8" s="1"/>
  <c r="BE4" i="8"/>
  <c r="BF4" i="8"/>
  <c r="BG4" i="8"/>
  <c r="BH4" i="8"/>
  <c r="AV46" i="8"/>
  <c r="AV44" i="8" s="1"/>
  <c r="AD18" i="6" s="1"/>
  <c r="F35" i="15"/>
  <c r="AV49" i="8"/>
  <c r="AV47" i="8" s="1"/>
  <c r="AV42" i="8"/>
  <c r="AD12" i="6"/>
  <c r="AV38" i="8"/>
  <c r="AD10" i="6"/>
  <c r="AV26" i="8"/>
  <c r="AV21" i="8" s="1"/>
  <c r="AV12" i="8"/>
  <c r="AV15" i="8"/>
  <c r="F32" i="15" s="1"/>
  <c r="AV7" i="8"/>
  <c r="AV11" i="8"/>
  <c r="AV6" i="8"/>
  <c r="AV4" i="8" s="1"/>
  <c r="AU27" i="9"/>
  <c r="AU26" i="9"/>
  <c r="AU25" i="9"/>
  <c r="AU28" i="9"/>
  <c r="AU24" i="9"/>
  <c r="AU16" i="9"/>
  <c r="AU11" i="9"/>
  <c r="AU10" i="9"/>
  <c r="AU13" i="9"/>
  <c r="F46" i="15"/>
  <c r="AU5" i="9"/>
  <c r="AD43" i="6"/>
  <c r="R32" i="5"/>
  <c r="S32" i="5"/>
  <c r="T32" i="5"/>
  <c r="U32" i="5"/>
  <c r="V32" i="5"/>
  <c r="W32" i="5"/>
  <c r="X32" i="5"/>
  <c r="Y32" i="5"/>
  <c r="Z32" i="5"/>
  <c r="AA32" i="5"/>
  <c r="AB32" i="5"/>
  <c r="AC32" i="5"/>
  <c r="R33" i="5"/>
  <c r="S33" i="5"/>
  <c r="T33" i="5"/>
  <c r="U33" i="5"/>
  <c r="V33" i="5"/>
  <c r="W33" i="5"/>
  <c r="X33" i="5"/>
  <c r="Y33" i="5"/>
  <c r="Z33" i="5"/>
  <c r="AA33" i="5"/>
  <c r="AB33" i="5"/>
  <c r="R44" i="5"/>
  <c r="S44" i="5"/>
  <c r="T44" i="5"/>
  <c r="U44" i="5"/>
  <c r="V44" i="5"/>
  <c r="W44" i="5"/>
  <c r="X44" i="5"/>
  <c r="Y44" i="5"/>
  <c r="Z44" i="5"/>
  <c r="AA44" i="5"/>
  <c r="AB44" i="5"/>
  <c r="AC44" i="5"/>
  <c r="AL4" i="8"/>
  <c r="AM4" i="8"/>
  <c r="AN4" i="8"/>
  <c r="V36" i="6" s="1"/>
  <c r="AO4" i="8"/>
  <c r="AP4" i="8"/>
  <c r="AQ4" i="8"/>
  <c r="AR4" i="8"/>
  <c r="AS4" i="8"/>
  <c r="AA36" i="6" s="1"/>
  <c r="AT4" i="8"/>
  <c r="AB36" i="6" s="1"/>
  <c r="AU4" i="8"/>
  <c r="F42" i="15"/>
  <c r="U34" i="7"/>
  <c r="U78" i="7"/>
  <c r="U72" i="7"/>
  <c r="V34" i="7"/>
  <c r="V78" i="7"/>
  <c r="V72" i="7"/>
  <c r="W34" i="7"/>
  <c r="W78" i="7"/>
  <c r="W72" i="7"/>
  <c r="X34" i="7"/>
  <c r="X78" i="7"/>
  <c r="X72" i="7"/>
  <c r="Y34" i="7"/>
  <c r="Y78" i="7"/>
  <c r="Y72" i="7"/>
  <c r="Z34" i="7"/>
  <c r="AA34" i="7"/>
  <c r="AA78" i="7"/>
  <c r="AA72" i="7"/>
  <c r="AB34" i="7"/>
  <c r="AB78" i="7"/>
  <c r="AB72" i="7"/>
  <c r="AC34" i="7"/>
  <c r="AC78" i="7"/>
  <c r="AC72" i="7"/>
  <c r="AD34" i="7"/>
  <c r="AD78" i="7"/>
  <c r="AD72" i="7"/>
  <c r="AE34" i="7"/>
  <c r="AE78" i="7"/>
  <c r="AE72" i="7"/>
  <c r="AF34" i="7"/>
  <c r="AF78" i="7"/>
  <c r="AF72" i="7"/>
  <c r="Z78" i="7"/>
  <c r="Z72" i="7"/>
  <c r="T34" i="7"/>
  <c r="T78" i="7"/>
  <c r="T72" i="7"/>
  <c r="R7" i="6"/>
  <c r="S7" i="6"/>
  <c r="T7" i="6"/>
  <c r="U7" i="6"/>
  <c r="V7" i="6"/>
  <c r="W7" i="6"/>
  <c r="X7" i="6"/>
  <c r="Y7" i="6"/>
  <c r="Z7" i="6"/>
  <c r="AA7" i="6"/>
  <c r="AB7" i="6"/>
  <c r="AC7" i="6"/>
  <c r="AD7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R10" i="6"/>
  <c r="S10" i="6"/>
  <c r="T10" i="6"/>
  <c r="U10" i="6"/>
  <c r="V10" i="6"/>
  <c r="W10" i="6"/>
  <c r="X10" i="6"/>
  <c r="Y10" i="6"/>
  <c r="Z10" i="6"/>
  <c r="AA10" i="6"/>
  <c r="AB10" i="6"/>
  <c r="AC10" i="6"/>
  <c r="R12" i="6"/>
  <c r="S12" i="6"/>
  <c r="T12" i="6"/>
  <c r="U12" i="6"/>
  <c r="V12" i="6"/>
  <c r="W12" i="6"/>
  <c r="X12" i="6"/>
  <c r="Y12" i="6"/>
  <c r="Z12" i="6"/>
  <c r="AA12" i="6"/>
  <c r="AB12" i="6"/>
  <c r="AC12" i="6"/>
  <c r="R17" i="6"/>
  <c r="S17" i="6"/>
  <c r="T17" i="6"/>
  <c r="U17" i="6"/>
  <c r="V17" i="6"/>
  <c r="W17" i="6"/>
  <c r="X17" i="6"/>
  <c r="Y17" i="6"/>
  <c r="Z17" i="6"/>
  <c r="AA17" i="6"/>
  <c r="AB17" i="6"/>
  <c r="AC17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R20" i="6"/>
  <c r="S20" i="6"/>
  <c r="T20" i="6"/>
  <c r="U20" i="6"/>
  <c r="V20" i="6"/>
  <c r="W20" i="6"/>
  <c r="X20" i="6"/>
  <c r="Y20" i="6"/>
  <c r="Z20" i="6"/>
  <c r="AA20" i="6"/>
  <c r="AB20" i="6"/>
  <c r="AC20" i="6"/>
  <c r="R26" i="6"/>
  <c r="S26" i="6"/>
  <c r="T26" i="6"/>
  <c r="U26" i="6"/>
  <c r="V26" i="6"/>
  <c r="W26" i="6"/>
  <c r="X26" i="6"/>
  <c r="Y26" i="6"/>
  <c r="Z26" i="6"/>
  <c r="AA26" i="6"/>
  <c r="AB26" i="6"/>
  <c r="AC26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R28" i="6"/>
  <c r="S28" i="6"/>
  <c r="T28" i="6"/>
  <c r="U28" i="6"/>
  <c r="V28" i="6"/>
  <c r="W28" i="6"/>
  <c r="X28" i="6"/>
  <c r="Y28" i="6"/>
  <c r="Z28" i="6"/>
  <c r="AA28" i="6"/>
  <c r="AB28" i="6"/>
  <c r="AC28" i="6"/>
  <c r="R31" i="6"/>
  <c r="S31" i="6"/>
  <c r="T31" i="6"/>
  <c r="U31" i="6"/>
  <c r="V31" i="6"/>
  <c r="W31" i="6"/>
  <c r="X31" i="6"/>
  <c r="Y31" i="6"/>
  <c r="Z31" i="6"/>
  <c r="AA31" i="6"/>
  <c r="AB31" i="6"/>
  <c r="AC31" i="6"/>
  <c r="R32" i="6"/>
  <c r="S32" i="6"/>
  <c r="T32" i="6"/>
  <c r="U32" i="6"/>
  <c r="V32" i="6"/>
  <c r="W32" i="6"/>
  <c r="X32" i="6"/>
  <c r="X30" i="6" s="1"/>
  <c r="Y32" i="6"/>
  <c r="Z32" i="6"/>
  <c r="AA32" i="6"/>
  <c r="AB32" i="6"/>
  <c r="AC32" i="6"/>
  <c r="AD32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F37" i="15" s="1"/>
  <c r="R43" i="6"/>
  <c r="S43" i="6"/>
  <c r="T43" i="6"/>
  <c r="U43" i="6"/>
  <c r="V43" i="6"/>
  <c r="W43" i="6"/>
  <c r="X43" i="6"/>
  <c r="Y43" i="6"/>
  <c r="Z43" i="6"/>
  <c r="AA43" i="6"/>
  <c r="AB43" i="6"/>
  <c r="AC43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R46" i="6"/>
  <c r="S46" i="6"/>
  <c r="T46" i="6"/>
  <c r="U46" i="6"/>
  <c r="V46" i="6"/>
  <c r="W46" i="6"/>
  <c r="X46" i="6"/>
  <c r="Y46" i="6"/>
  <c r="Z46" i="6"/>
  <c r="AA46" i="6"/>
  <c r="AB46" i="6"/>
  <c r="AC46" i="6"/>
  <c r="R49" i="6"/>
  <c r="S49" i="6"/>
  <c r="T49" i="6"/>
  <c r="U49" i="6"/>
  <c r="V49" i="6"/>
  <c r="W49" i="6"/>
  <c r="X49" i="6"/>
  <c r="Y49" i="6"/>
  <c r="Z49" i="6"/>
  <c r="AA49" i="6"/>
  <c r="AB49" i="6"/>
  <c r="AC49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R55" i="6"/>
  <c r="S55" i="6"/>
  <c r="T55" i="6"/>
  <c r="U55" i="6"/>
  <c r="V55" i="6"/>
  <c r="W55" i="6"/>
  <c r="X55" i="6"/>
  <c r="Y55" i="6"/>
  <c r="Z55" i="6"/>
  <c r="AA55" i="6"/>
  <c r="AB55" i="6"/>
  <c r="AC55" i="6"/>
  <c r="AL4" i="9"/>
  <c r="AM4" i="9"/>
  <c r="AN4" i="9"/>
  <c r="AO4" i="9"/>
  <c r="AP4" i="9"/>
  <c r="AQ4" i="9"/>
  <c r="AR4" i="9"/>
  <c r="AS4" i="9"/>
  <c r="AT4" i="9"/>
  <c r="AL7" i="9"/>
  <c r="U44" i="6"/>
  <c r="AM7" i="9"/>
  <c r="V44" i="6"/>
  <c r="AN7" i="9"/>
  <c r="W44" i="6"/>
  <c r="AO7" i="9"/>
  <c r="X44" i="6"/>
  <c r="X42" i="6"/>
  <c r="AP7" i="9"/>
  <c r="Y44" i="6"/>
  <c r="AQ7" i="9"/>
  <c r="Z44" i="6"/>
  <c r="AR7" i="9"/>
  <c r="AA44" i="6"/>
  <c r="AS7" i="9"/>
  <c r="AT7" i="9"/>
  <c r="AL12" i="9"/>
  <c r="AM12" i="9"/>
  <c r="AN12" i="9"/>
  <c r="AO12" i="9"/>
  <c r="AP12" i="9"/>
  <c r="AQ12" i="9"/>
  <c r="AR12" i="9"/>
  <c r="AS12" i="9"/>
  <c r="AT12" i="9"/>
  <c r="AL20" i="9"/>
  <c r="AM20" i="9"/>
  <c r="AN20" i="9"/>
  <c r="AO20" i="9"/>
  <c r="AP20" i="9"/>
  <c r="AQ20" i="9"/>
  <c r="AR20" i="9"/>
  <c r="AS20" i="9"/>
  <c r="AT20" i="9"/>
  <c r="AU20" i="9"/>
  <c r="AL23" i="9"/>
  <c r="AM23" i="9"/>
  <c r="AN23" i="9"/>
  <c r="AO23" i="9"/>
  <c r="AP23" i="9"/>
  <c r="AQ23" i="9"/>
  <c r="AR23" i="9"/>
  <c r="AS23" i="9"/>
  <c r="AT23" i="9"/>
  <c r="AL30" i="9"/>
  <c r="AM30" i="9"/>
  <c r="AN30" i="9"/>
  <c r="AO30" i="9"/>
  <c r="AP30" i="9"/>
  <c r="AQ30" i="9"/>
  <c r="AR30" i="9"/>
  <c r="AS30" i="9"/>
  <c r="AT30" i="9"/>
  <c r="AU30" i="9"/>
  <c r="AM8" i="8"/>
  <c r="AN8" i="8"/>
  <c r="AO8" i="8"/>
  <c r="AP8" i="8"/>
  <c r="AQ8" i="8"/>
  <c r="AR8" i="8"/>
  <c r="AS8" i="8"/>
  <c r="AT8" i="8"/>
  <c r="AU8" i="8"/>
  <c r="AM14" i="8"/>
  <c r="AN14" i="8"/>
  <c r="AO14" i="8"/>
  <c r="AP14" i="8"/>
  <c r="AQ14" i="8"/>
  <c r="AR14" i="8"/>
  <c r="AS14" i="8"/>
  <c r="AT14" i="8"/>
  <c r="AU14" i="8"/>
  <c r="AV14" i="8"/>
  <c r="AM17" i="8"/>
  <c r="AN17" i="8"/>
  <c r="AO17" i="8"/>
  <c r="AI34" i="5" s="1"/>
  <c r="AP17" i="8"/>
  <c r="AQ17" i="8"/>
  <c r="AK34" i="5" s="1"/>
  <c r="AR17" i="8"/>
  <c r="AS17" i="8"/>
  <c r="AT17" i="8"/>
  <c r="AU17" i="8"/>
  <c r="AV17" i="8"/>
  <c r="AM21" i="8"/>
  <c r="AN21" i="8"/>
  <c r="V38" i="6" s="1"/>
  <c r="AO21" i="8"/>
  <c r="AP21" i="8"/>
  <c r="AQ21" i="8"/>
  <c r="AR21" i="8"/>
  <c r="AS21" i="8"/>
  <c r="AA38" i="6" s="1"/>
  <c r="AT21" i="8"/>
  <c r="AU21" i="8"/>
  <c r="AC38" i="6" s="1"/>
  <c r="AM32" i="8"/>
  <c r="AN32" i="8"/>
  <c r="AO32" i="8"/>
  <c r="W6" i="6"/>
  <c r="AP32" i="8"/>
  <c r="X6" i="6" s="1"/>
  <c r="AQ32" i="8"/>
  <c r="Y6" i="6" s="1"/>
  <c r="AR32" i="8"/>
  <c r="AS32" i="8"/>
  <c r="AT32" i="8"/>
  <c r="AU32" i="8"/>
  <c r="AC6" i="6" s="1"/>
  <c r="AV32" i="8"/>
  <c r="AD6" i="6"/>
  <c r="AM33" i="8"/>
  <c r="AN33" i="8"/>
  <c r="X17" i="7" s="1"/>
  <c r="AI47" i="5" s="1"/>
  <c r="AO33" i="8"/>
  <c r="AP33" i="8"/>
  <c r="AP40" i="8" s="1"/>
  <c r="AQ33" i="8"/>
  <c r="AR33" i="8"/>
  <c r="AS33" i="8"/>
  <c r="AT33" i="8"/>
  <c r="AU33" i="8"/>
  <c r="AU40" i="8" s="1"/>
  <c r="AM44" i="8"/>
  <c r="AN44" i="8"/>
  <c r="V18" i="6" s="1"/>
  <c r="AO44" i="8"/>
  <c r="W18" i="6" s="1"/>
  <c r="AP44" i="8"/>
  <c r="AJ31" i="5" s="1"/>
  <c r="X18" i="6"/>
  <c r="AQ44" i="8"/>
  <c r="AR44" i="8"/>
  <c r="AS44" i="8"/>
  <c r="AA18" i="6" s="1"/>
  <c r="AT44" i="8"/>
  <c r="AU44" i="8"/>
  <c r="AO31" i="5" s="1"/>
  <c r="AM47" i="8"/>
  <c r="AN47" i="8"/>
  <c r="AO47" i="8"/>
  <c r="AP47" i="8"/>
  <c r="AQ47" i="8"/>
  <c r="AQ53" i="8" s="1"/>
  <c r="AR47" i="8"/>
  <c r="AS47" i="8"/>
  <c r="AS53" i="8" s="1"/>
  <c r="AT47" i="8"/>
  <c r="AU47" i="8"/>
  <c r="AJ4" i="8"/>
  <c r="AK4" i="8"/>
  <c r="AL8" i="8"/>
  <c r="AJ8" i="8"/>
  <c r="AK8" i="8"/>
  <c r="AJ14" i="8"/>
  <c r="AK14" i="8"/>
  <c r="AL14" i="8"/>
  <c r="AJ17" i="8"/>
  <c r="AK17" i="8"/>
  <c r="AL17" i="8"/>
  <c r="AJ21" i="8"/>
  <c r="R38" i="6" s="1"/>
  <c r="AK21" i="8"/>
  <c r="AL21" i="8"/>
  <c r="T38" i="6" s="1"/>
  <c r="AJ32" i="8"/>
  <c r="AK32" i="8"/>
  <c r="S6" i="6"/>
  <c r="AL32" i="8"/>
  <c r="T6" i="6" s="1"/>
  <c r="AJ33" i="8"/>
  <c r="T17" i="7" s="1"/>
  <c r="T41" i="7" s="1"/>
  <c r="AK33" i="8"/>
  <c r="AL33" i="8"/>
  <c r="AL40" i="8" s="1"/>
  <c r="AJ44" i="8"/>
  <c r="AK44" i="8"/>
  <c r="AL44" i="8"/>
  <c r="AF31" i="5" s="1"/>
  <c r="T18" i="6"/>
  <c r="AL47" i="8"/>
  <c r="AJ47" i="8"/>
  <c r="AK47" i="8"/>
  <c r="AK53" i="8" s="1"/>
  <c r="AI12" i="9"/>
  <c r="AJ12" i="9"/>
  <c r="AI4" i="9"/>
  <c r="AK4" i="9"/>
  <c r="AJ4" i="9"/>
  <c r="AJ7" i="9"/>
  <c r="AJ3" i="9" s="1"/>
  <c r="AJ19" i="9" s="1"/>
  <c r="S44" i="6"/>
  <c r="AK7" i="9"/>
  <c r="T44" i="6"/>
  <c r="AI7" i="9"/>
  <c r="R44" i="6"/>
  <c r="AK12" i="9"/>
  <c r="AI20" i="9"/>
  <c r="AJ20" i="9"/>
  <c r="AK20" i="9"/>
  <c r="AJ23" i="9"/>
  <c r="AK23" i="9"/>
  <c r="AI23" i="9"/>
  <c r="AI30" i="9"/>
  <c r="AJ30" i="9"/>
  <c r="AK30" i="9"/>
  <c r="AH25" i="9"/>
  <c r="AH28" i="9"/>
  <c r="Q53" i="6"/>
  <c r="AH16" i="9"/>
  <c r="AH11" i="9"/>
  <c r="AH13" i="9"/>
  <c r="Q49" i="6"/>
  <c r="AH10" i="9"/>
  <c r="AH5" i="9"/>
  <c r="AD44" i="5" s="1"/>
  <c r="Q46" i="6"/>
  <c r="AI49" i="8"/>
  <c r="AI47" i="8"/>
  <c r="AI46" i="8"/>
  <c r="AI44" i="8" s="1"/>
  <c r="Q18" i="6" s="1"/>
  <c r="AI42" i="8"/>
  <c r="Q17" i="6"/>
  <c r="AI38" i="8"/>
  <c r="Q10" i="6" s="1"/>
  <c r="AI23" i="8"/>
  <c r="Q39" i="6" s="1"/>
  <c r="AI12" i="8"/>
  <c r="Q26" i="6"/>
  <c r="AI7" i="8"/>
  <c r="AI6" i="8"/>
  <c r="AI4" i="8"/>
  <c r="Q36" i="6" s="1"/>
  <c r="AI11" i="8"/>
  <c r="S34" i="7"/>
  <c r="S78" i="7"/>
  <c r="S72" i="7"/>
  <c r="Q7" i="6"/>
  <c r="Q8" i="6"/>
  <c r="Q9" i="6"/>
  <c r="Q19" i="6"/>
  <c r="Q27" i="6"/>
  <c r="Q31" i="6"/>
  <c r="Q32" i="6"/>
  <c r="Q45" i="6"/>
  <c r="Q50" i="6"/>
  <c r="Q51" i="6"/>
  <c r="Q5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E27" i="6"/>
  <c r="F27" i="6"/>
  <c r="G27" i="6"/>
  <c r="H27" i="6"/>
  <c r="I27" i="6"/>
  <c r="J27" i="6"/>
  <c r="K27" i="6"/>
  <c r="L27" i="6"/>
  <c r="M27" i="6"/>
  <c r="N27" i="6"/>
  <c r="O27" i="6"/>
  <c r="P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C27" i="6"/>
  <c r="C26" i="6"/>
  <c r="AH20" i="9"/>
  <c r="AH30" i="9"/>
  <c r="AI14" i="8"/>
  <c r="AI17" i="8"/>
  <c r="AI32" i="8"/>
  <c r="Q6" i="6" s="1"/>
  <c r="AH8" i="8"/>
  <c r="M53" i="3"/>
  <c r="M50" i="3"/>
  <c r="L50" i="3"/>
  <c r="O49" i="3"/>
  <c r="O48" i="3"/>
  <c r="O47" i="3"/>
  <c r="O46" i="3"/>
  <c r="O45" i="3"/>
  <c r="O50" i="3" s="1"/>
  <c r="M43" i="3"/>
  <c r="M51" i="3" s="1"/>
  <c r="M54" i="3" s="1"/>
  <c r="R10" i="7" s="1"/>
  <c r="R34" i="7" s="1"/>
  <c r="L43" i="3"/>
  <c r="L51" i="3" s="1"/>
  <c r="O42" i="3"/>
  <c r="O41" i="3"/>
  <c r="O40" i="3"/>
  <c r="O39" i="3"/>
  <c r="O38" i="3"/>
  <c r="O43" i="3" s="1"/>
  <c r="O51" i="3" s="1"/>
  <c r="AG30" i="9"/>
  <c r="AG23" i="9"/>
  <c r="AG20" i="9"/>
  <c r="AG12" i="9"/>
  <c r="AG7" i="9"/>
  <c r="AG4" i="9"/>
  <c r="AH47" i="8"/>
  <c r="AH44" i="8"/>
  <c r="P18" i="6" s="1"/>
  <c r="AH33" i="8"/>
  <c r="AH32" i="8"/>
  <c r="AH21" i="8"/>
  <c r="AH17" i="8"/>
  <c r="AH14" i="8"/>
  <c r="AH4" i="8"/>
  <c r="AG47" i="8"/>
  <c r="AG44" i="8"/>
  <c r="O18" i="6" s="1"/>
  <c r="AG33" i="8"/>
  <c r="AG32" i="8"/>
  <c r="AG21" i="8"/>
  <c r="AG17" i="8"/>
  <c r="AG14" i="8"/>
  <c r="AB34" i="5" s="1"/>
  <c r="AG8" i="8"/>
  <c r="AG4" i="8"/>
  <c r="O36" i="6" s="1"/>
  <c r="AF30" i="9"/>
  <c r="AF23" i="9"/>
  <c r="AF20" i="9"/>
  <c r="AF12" i="9"/>
  <c r="AF7" i="9"/>
  <c r="O44" i="6"/>
  <c r="AF4" i="9"/>
  <c r="AE30" i="9"/>
  <c r="AE23" i="9"/>
  <c r="AE20" i="9"/>
  <c r="AE12" i="9"/>
  <c r="AE7" i="9"/>
  <c r="N44" i="6"/>
  <c r="AE4" i="9"/>
  <c r="AF47" i="8"/>
  <c r="AF44" i="8"/>
  <c r="N18" i="6" s="1"/>
  <c r="AF33" i="8"/>
  <c r="AF32" i="8"/>
  <c r="AF21" i="8"/>
  <c r="AF17" i="8"/>
  <c r="AF14" i="8"/>
  <c r="AF8" i="8"/>
  <c r="AF4" i="8"/>
  <c r="N36" i="6"/>
  <c r="P34" i="7"/>
  <c r="P78" i="7"/>
  <c r="P72" i="7"/>
  <c r="Q34" i="7"/>
  <c r="Q78" i="7"/>
  <c r="Q72" i="7"/>
  <c r="N7" i="6"/>
  <c r="O7" i="6"/>
  <c r="P7" i="6"/>
  <c r="N8" i="6"/>
  <c r="O8" i="6"/>
  <c r="P8" i="6"/>
  <c r="N9" i="6"/>
  <c r="O9" i="6"/>
  <c r="P9" i="6"/>
  <c r="N10" i="6"/>
  <c r="O10" i="6"/>
  <c r="P10" i="6"/>
  <c r="N12" i="6"/>
  <c r="O12" i="6"/>
  <c r="P12" i="6"/>
  <c r="N17" i="6"/>
  <c r="O17" i="6"/>
  <c r="P17" i="6"/>
  <c r="N19" i="6"/>
  <c r="O19" i="6"/>
  <c r="P19" i="6"/>
  <c r="N20" i="6"/>
  <c r="O20" i="6"/>
  <c r="P20" i="6"/>
  <c r="N31" i="6"/>
  <c r="O31" i="6"/>
  <c r="P31" i="6"/>
  <c r="N32" i="6"/>
  <c r="O32" i="6"/>
  <c r="P32" i="6"/>
  <c r="N39" i="6"/>
  <c r="O39" i="6"/>
  <c r="P39" i="6"/>
  <c r="N43" i="6"/>
  <c r="O43" i="6"/>
  <c r="P43" i="6"/>
  <c r="N45" i="6"/>
  <c r="O45" i="6"/>
  <c r="O42" i="6" s="1"/>
  <c r="P45" i="6"/>
  <c r="N46" i="6"/>
  <c r="O46" i="6"/>
  <c r="P46" i="6"/>
  <c r="N49" i="6"/>
  <c r="O49" i="6"/>
  <c r="P49" i="6"/>
  <c r="N50" i="6"/>
  <c r="O50" i="6"/>
  <c r="P50" i="6"/>
  <c r="N51" i="6"/>
  <c r="O51" i="6"/>
  <c r="P51" i="6"/>
  <c r="N53" i="6"/>
  <c r="O53" i="6"/>
  <c r="P53" i="6"/>
  <c r="N54" i="6"/>
  <c r="O54" i="6"/>
  <c r="P54" i="6"/>
  <c r="N55" i="6"/>
  <c r="O55" i="6"/>
  <c r="P55" i="6"/>
  <c r="D53" i="3"/>
  <c r="D50" i="3"/>
  <c r="C50" i="3"/>
  <c r="F49" i="3"/>
  <c r="F48" i="3"/>
  <c r="F47" i="3"/>
  <c r="F46" i="3"/>
  <c r="F45" i="3"/>
  <c r="D43" i="3"/>
  <c r="D51" i="3" s="1"/>
  <c r="C43" i="3"/>
  <c r="C51" i="3" s="1"/>
  <c r="F42" i="3"/>
  <c r="F41" i="3"/>
  <c r="F40" i="3"/>
  <c r="F39" i="3"/>
  <c r="F38" i="3"/>
  <c r="AD30" i="9"/>
  <c r="AD23" i="9"/>
  <c r="AD20" i="9"/>
  <c r="AD12" i="9"/>
  <c r="AD7" i="9"/>
  <c r="M44" i="6"/>
  <c r="AD4" i="9"/>
  <c r="AD3" i="9"/>
  <c r="AE47" i="8"/>
  <c r="AE44" i="8"/>
  <c r="AE33" i="8"/>
  <c r="AE32" i="8"/>
  <c r="AE21" i="8"/>
  <c r="AE17" i="8"/>
  <c r="AE14" i="8"/>
  <c r="AE8" i="8"/>
  <c r="AE4" i="8"/>
  <c r="M36" i="6" s="1"/>
  <c r="M7" i="6"/>
  <c r="M8" i="6"/>
  <c r="M9" i="6"/>
  <c r="M10" i="6"/>
  <c r="M12" i="6"/>
  <c r="M17" i="6"/>
  <c r="M19" i="6"/>
  <c r="M20" i="6"/>
  <c r="M31" i="6"/>
  <c r="M32" i="6"/>
  <c r="M39" i="6"/>
  <c r="M43" i="6"/>
  <c r="M45" i="6"/>
  <c r="M46" i="6"/>
  <c r="M49" i="6"/>
  <c r="M50" i="6"/>
  <c r="M51" i="6"/>
  <c r="M53" i="6"/>
  <c r="M54" i="6"/>
  <c r="M55" i="6"/>
  <c r="AC30" i="9"/>
  <c r="AC23" i="9"/>
  <c r="AC20" i="9"/>
  <c r="AC12" i="9"/>
  <c r="AC7" i="9"/>
  <c r="AC4" i="9"/>
  <c r="AD47" i="8"/>
  <c r="AD44" i="8"/>
  <c r="AD33" i="8"/>
  <c r="AD32" i="8"/>
  <c r="AD21" i="8"/>
  <c r="AD17" i="8"/>
  <c r="AD14" i="8"/>
  <c r="AD8" i="8"/>
  <c r="AD4" i="8"/>
  <c r="N17" i="7" s="1"/>
  <c r="N41" i="7" s="1"/>
  <c r="M27" i="3"/>
  <c r="D27" i="3"/>
  <c r="D24" i="3"/>
  <c r="C24" i="3"/>
  <c r="F23" i="3"/>
  <c r="F22" i="3"/>
  <c r="F21" i="3"/>
  <c r="F20" i="3"/>
  <c r="F19" i="3"/>
  <c r="F24" i="3" s="1"/>
  <c r="D17" i="3"/>
  <c r="D25" i="3" s="1"/>
  <c r="C17" i="3"/>
  <c r="C25" i="3" s="1"/>
  <c r="F16" i="3"/>
  <c r="F15" i="3"/>
  <c r="F14" i="3"/>
  <c r="F13" i="3"/>
  <c r="F12" i="3"/>
  <c r="M24" i="3"/>
  <c r="L24" i="3"/>
  <c r="O23" i="3"/>
  <c r="O22" i="3"/>
  <c r="O21" i="3"/>
  <c r="O20" i="3"/>
  <c r="O19" i="3"/>
  <c r="M17" i="3"/>
  <c r="M25" i="3"/>
  <c r="M28" i="3" s="1"/>
  <c r="L10" i="7" s="1"/>
  <c r="L34" i="7" s="1"/>
  <c r="L78" i="7" s="1"/>
  <c r="L72" i="7" s="1"/>
  <c r="L17" i="3"/>
  <c r="L25" i="3" s="1"/>
  <c r="O16" i="3"/>
  <c r="O15" i="3"/>
  <c r="O14" i="3"/>
  <c r="O13" i="3"/>
  <c r="O12" i="3"/>
  <c r="AA30" i="9"/>
  <c r="AA23" i="9"/>
  <c r="AA20" i="9"/>
  <c r="AA12" i="9"/>
  <c r="AA7" i="9"/>
  <c r="J44" i="6"/>
  <c r="AA4" i="9"/>
  <c r="AB47" i="8"/>
  <c r="AB44" i="8"/>
  <c r="J18" i="6"/>
  <c r="AB33" i="8"/>
  <c r="AB32" i="8"/>
  <c r="J6" i="6"/>
  <c r="AB21" i="8"/>
  <c r="AB17" i="8"/>
  <c r="AB14" i="8"/>
  <c r="AB8" i="8"/>
  <c r="AB4" i="8"/>
  <c r="L17" i="7" s="1"/>
  <c r="L41" i="7" s="1"/>
  <c r="AC47" i="8"/>
  <c r="AC44" i="8"/>
  <c r="K18" i="6" s="1"/>
  <c r="AC33" i="8"/>
  <c r="AC32" i="8"/>
  <c r="AC40" i="8" s="1"/>
  <c r="AC21" i="8"/>
  <c r="AC17" i="8"/>
  <c r="K38" i="6" s="1"/>
  <c r="AC14" i="8"/>
  <c r="AC8" i="8"/>
  <c r="AC4" i="8"/>
  <c r="AB30" i="9"/>
  <c r="AB23" i="9"/>
  <c r="AB20" i="9"/>
  <c r="AB12" i="9"/>
  <c r="AB7" i="9"/>
  <c r="AB4" i="9"/>
  <c r="N34" i="7"/>
  <c r="N78" i="7"/>
  <c r="N72" i="7"/>
  <c r="L7" i="6"/>
  <c r="L8" i="6"/>
  <c r="L9" i="6"/>
  <c r="L10" i="6"/>
  <c r="L12" i="6"/>
  <c r="L17" i="6"/>
  <c r="L19" i="6"/>
  <c r="L20" i="6"/>
  <c r="L31" i="6"/>
  <c r="L32" i="6"/>
  <c r="L39" i="6"/>
  <c r="L43" i="6"/>
  <c r="L45" i="6"/>
  <c r="L46" i="6"/>
  <c r="L49" i="6"/>
  <c r="L50" i="6"/>
  <c r="L51" i="6"/>
  <c r="L53" i="6"/>
  <c r="L54" i="6"/>
  <c r="L55" i="6"/>
  <c r="V13" i="8"/>
  <c r="V8" i="8"/>
  <c r="Z30" i="9"/>
  <c r="Z23" i="9"/>
  <c r="Z20" i="9"/>
  <c r="Z12" i="9"/>
  <c r="Z7" i="9"/>
  <c r="I44" i="6"/>
  <c r="Z4" i="9"/>
  <c r="Y30" i="9"/>
  <c r="Y23" i="9"/>
  <c r="Y20" i="9"/>
  <c r="Y12" i="9"/>
  <c r="Y7" i="9"/>
  <c r="Y4" i="9"/>
  <c r="X30" i="9"/>
  <c r="X23" i="9"/>
  <c r="X20" i="9"/>
  <c r="X12" i="9"/>
  <c r="X7" i="9"/>
  <c r="G44" i="6"/>
  <c r="X4" i="9"/>
  <c r="W30" i="9"/>
  <c r="W23" i="9"/>
  <c r="W20" i="9"/>
  <c r="W12" i="9"/>
  <c r="W7" i="9"/>
  <c r="F44" i="6"/>
  <c r="W4" i="9"/>
  <c r="V30" i="9"/>
  <c r="V23" i="9"/>
  <c r="V20" i="9"/>
  <c r="V12" i="9"/>
  <c r="V7" i="9"/>
  <c r="E44" i="6"/>
  <c r="V4" i="9"/>
  <c r="AA47" i="8"/>
  <c r="AA44" i="8"/>
  <c r="AA33" i="8"/>
  <c r="AA32" i="8"/>
  <c r="AA21" i="8"/>
  <c r="AA17" i="8"/>
  <c r="AA14" i="8"/>
  <c r="AA8" i="8"/>
  <c r="AA4" i="8"/>
  <c r="Z47" i="8"/>
  <c r="Z44" i="8"/>
  <c r="H18" i="6" s="1"/>
  <c r="Z33" i="8"/>
  <c r="Z32" i="8"/>
  <c r="Z21" i="8"/>
  <c r="Z17" i="8"/>
  <c r="Z14" i="8"/>
  <c r="Z8" i="8"/>
  <c r="Z4" i="8"/>
  <c r="Y47" i="8"/>
  <c r="Y44" i="8"/>
  <c r="Y33" i="8"/>
  <c r="Y32" i="8"/>
  <c r="G6" i="6" s="1"/>
  <c r="Y21" i="8"/>
  <c r="Y17" i="8"/>
  <c r="Y14" i="8"/>
  <c r="Y8" i="8"/>
  <c r="Y4" i="8"/>
  <c r="X47" i="8"/>
  <c r="X44" i="8"/>
  <c r="X33" i="8"/>
  <c r="X32" i="8"/>
  <c r="F6" i="6" s="1"/>
  <c r="X21" i="8"/>
  <c r="X17" i="8"/>
  <c r="F38" i="6" s="1"/>
  <c r="X14" i="8"/>
  <c r="X8" i="8"/>
  <c r="X4" i="8"/>
  <c r="W47" i="8"/>
  <c r="W44" i="8"/>
  <c r="W53" i="8" s="1"/>
  <c r="W33" i="8"/>
  <c r="W32" i="8"/>
  <c r="W21" i="8"/>
  <c r="W17" i="8"/>
  <c r="W14" i="8"/>
  <c r="W8" i="8"/>
  <c r="W4" i="8"/>
  <c r="G34" i="7"/>
  <c r="G78" i="7"/>
  <c r="G72" i="7"/>
  <c r="H34" i="7"/>
  <c r="H78" i="7"/>
  <c r="H72" i="7"/>
  <c r="J34" i="7"/>
  <c r="J78" i="7"/>
  <c r="J72" i="7"/>
  <c r="K34" i="7"/>
  <c r="K78" i="7"/>
  <c r="K72" i="7"/>
  <c r="M34" i="7"/>
  <c r="M78" i="7"/>
  <c r="M72" i="7"/>
  <c r="J7" i="6"/>
  <c r="K7" i="6"/>
  <c r="J8" i="6"/>
  <c r="K8" i="6"/>
  <c r="J9" i="6"/>
  <c r="K9" i="6"/>
  <c r="J10" i="6"/>
  <c r="K10" i="6"/>
  <c r="J12" i="6"/>
  <c r="K12" i="6"/>
  <c r="J17" i="6"/>
  <c r="K17" i="6"/>
  <c r="J19" i="6"/>
  <c r="K19" i="6"/>
  <c r="J20" i="6"/>
  <c r="K20" i="6"/>
  <c r="J31" i="6"/>
  <c r="K31" i="6"/>
  <c r="J32" i="6"/>
  <c r="K32" i="6"/>
  <c r="J39" i="6"/>
  <c r="K39" i="6"/>
  <c r="J43" i="6"/>
  <c r="K43" i="6"/>
  <c r="J45" i="6"/>
  <c r="K45" i="6"/>
  <c r="J46" i="6"/>
  <c r="K46" i="6"/>
  <c r="J49" i="6"/>
  <c r="K49" i="6"/>
  <c r="J50" i="6"/>
  <c r="K50" i="6"/>
  <c r="J51" i="6"/>
  <c r="K51" i="6"/>
  <c r="J53" i="6"/>
  <c r="K53" i="6"/>
  <c r="J54" i="6"/>
  <c r="K54" i="6"/>
  <c r="J55" i="6"/>
  <c r="K55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2" i="6"/>
  <c r="F12" i="6"/>
  <c r="G12" i="6"/>
  <c r="H12" i="6"/>
  <c r="I12" i="6"/>
  <c r="E17" i="6"/>
  <c r="F17" i="6"/>
  <c r="G17" i="6"/>
  <c r="H17" i="6"/>
  <c r="I17" i="6"/>
  <c r="E19" i="6"/>
  <c r="F19" i="6"/>
  <c r="G19" i="6"/>
  <c r="H19" i="6"/>
  <c r="I19" i="6"/>
  <c r="E20" i="6"/>
  <c r="F20" i="6"/>
  <c r="G20" i="6"/>
  <c r="H20" i="6"/>
  <c r="I20" i="6"/>
  <c r="E31" i="6"/>
  <c r="F31" i="6"/>
  <c r="G31" i="6"/>
  <c r="H31" i="6"/>
  <c r="I31" i="6"/>
  <c r="E32" i="6"/>
  <c r="F32" i="6"/>
  <c r="G32" i="6"/>
  <c r="H32" i="6"/>
  <c r="I32" i="6"/>
  <c r="E39" i="6"/>
  <c r="F39" i="6"/>
  <c r="G39" i="6"/>
  <c r="H39" i="6"/>
  <c r="I39" i="6"/>
  <c r="E43" i="6"/>
  <c r="F43" i="6"/>
  <c r="G43" i="6"/>
  <c r="H43" i="6"/>
  <c r="I43" i="6"/>
  <c r="E45" i="6"/>
  <c r="F45" i="6"/>
  <c r="G45" i="6"/>
  <c r="H45" i="6"/>
  <c r="I45" i="6"/>
  <c r="E46" i="6"/>
  <c r="F46" i="6"/>
  <c r="G46" i="6"/>
  <c r="H46" i="6"/>
  <c r="I46" i="6"/>
  <c r="E49" i="6"/>
  <c r="F49" i="6"/>
  <c r="G49" i="6"/>
  <c r="H49" i="6"/>
  <c r="I49" i="6"/>
  <c r="E50" i="6"/>
  <c r="F50" i="6"/>
  <c r="G50" i="6"/>
  <c r="H50" i="6"/>
  <c r="I50" i="6"/>
  <c r="E51" i="6"/>
  <c r="F51" i="6"/>
  <c r="G51" i="6"/>
  <c r="H51" i="6"/>
  <c r="I51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M41" i="5"/>
  <c r="N41" i="5"/>
  <c r="O41" i="5"/>
  <c r="P41" i="5"/>
  <c r="N30" i="5"/>
  <c r="O30" i="5"/>
  <c r="P30" i="5"/>
  <c r="N31" i="5"/>
  <c r="O31" i="5"/>
  <c r="N32" i="5"/>
  <c r="O32" i="5"/>
  <c r="P32" i="5"/>
  <c r="Q32" i="5"/>
  <c r="N33" i="5"/>
  <c r="O33" i="5"/>
  <c r="P33" i="5"/>
  <c r="Q33" i="5"/>
  <c r="N34" i="5"/>
  <c r="O34" i="5"/>
  <c r="N40" i="5"/>
  <c r="O40" i="5"/>
  <c r="P40" i="5"/>
  <c r="N42" i="5"/>
  <c r="O42" i="5"/>
  <c r="N43" i="5"/>
  <c r="O43" i="5"/>
  <c r="P43" i="5"/>
  <c r="N44" i="5"/>
  <c r="O44" i="5"/>
  <c r="P44" i="5"/>
  <c r="Q44" i="5"/>
  <c r="F34" i="7"/>
  <c r="F78" i="7"/>
  <c r="F72" i="7"/>
  <c r="D7" i="6"/>
  <c r="D8" i="6"/>
  <c r="D9" i="6"/>
  <c r="D12" i="6"/>
  <c r="D17" i="6"/>
  <c r="D19" i="6"/>
  <c r="D31" i="6"/>
  <c r="D32" i="6"/>
  <c r="D39" i="6"/>
  <c r="D43" i="6"/>
  <c r="D45" i="6"/>
  <c r="D46" i="6"/>
  <c r="D50" i="6"/>
  <c r="D54" i="6"/>
  <c r="D55" i="6"/>
  <c r="U28" i="9"/>
  <c r="D53" i="6"/>
  <c r="U11" i="9"/>
  <c r="U10" i="9"/>
  <c r="U14" i="9"/>
  <c r="D51" i="6"/>
  <c r="U13" i="9"/>
  <c r="D49" i="6"/>
  <c r="V49" i="8"/>
  <c r="V50" i="8"/>
  <c r="V38" i="8"/>
  <c r="D10" i="6" s="1"/>
  <c r="V26" i="8"/>
  <c r="V21" i="8" s="1"/>
  <c r="V5" i="8"/>
  <c r="V6" i="8"/>
  <c r="V4" i="8" s="1"/>
  <c r="U4" i="9"/>
  <c r="U20" i="9"/>
  <c r="U30" i="9"/>
  <c r="V14" i="8"/>
  <c r="V17" i="8"/>
  <c r="V32" i="8"/>
  <c r="D6" i="6" s="1"/>
  <c r="J47" i="5"/>
  <c r="O25" i="5"/>
  <c r="O26" i="5"/>
  <c r="O27" i="5"/>
  <c r="O24" i="5"/>
  <c r="O14" i="5"/>
  <c r="D30" i="12"/>
  <c r="E30" i="12"/>
  <c r="F30" i="12"/>
  <c r="H30" i="12"/>
  <c r="I30" i="12"/>
  <c r="J30" i="12"/>
  <c r="K30" i="12"/>
  <c r="L30" i="12"/>
  <c r="M30" i="12"/>
  <c r="N30" i="12"/>
  <c r="O30" i="12"/>
  <c r="P30" i="12"/>
  <c r="D31" i="12"/>
  <c r="E31" i="12"/>
  <c r="F31" i="12"/>
  <c r="H31" i="12"/>
  <c r="I31" i="12"/>
  <c r="J31" i="12"/>
  <c r="K31" i="12"/>
  <c r="L31" i="12"/>
  <c r="M31" i="12"/>
  <c r="N31" i="12"/>
  <c r="O31" i="12"/>
  <c r="P31" i="12"/>
  <c r="D32" i="12"/>
  <c r="E32" i="12"/>
  <c r="F32" i="12"/>
  <c r="H32" i="12"/>
  <c r="I32" i="12"/>
  <c r="J32" i="12"/>
  <c r="K32" i="12"/>
  <c r="L32" i="12"/>
  <c r="M32" i="12"/>
  <c r="N32" i="12"/>
  <c r="O32" i="12"/>
  <c r="P32" i="12"/>
  <c r="D33" i="12"/>
  <c r="E33" i="12"/>
  <c r="F33" i="12"/>
  <c r="H33" i="12"/>
  <c r="I33" i="12"/>
  <c r="J33" i="12"/>
  <c r="K33" i="12"/>
  <c r="L33" i="12"/>
  <c r="M33" i="12"/>
  <c r="N33" i="12"/>
  <c r="O33" i="12"/>
  <c r="P33" i="12"/>
  <c r="D34" i="12"/>
  <c r="E34" i="12"/>
  <c r="F34" i="12"/>
  <c r="H34" i="12"/>
  <c r="I34" i="12"/>
  <c r="J34" i="12"/>
  <c r="K34" i="12"/>
  <c r="L34" i="12"/>
  <c r="M34" i="12"/>
  <c r="N34" i="12"/>
  <c r="O34" i="12"/>
  <c r="P34" i="12"/>
  <c r="C34" i="12"/>
  <c r="C33" i="12"/>
  <c r="C32" i="12"/>
  <c r="C31" i="12"/>
  <c r="C30" i="12"/>
  <c r="D17" i="12"/>
  <c r="E17" i="12"/>
  <c r="F17" i="12"/>
  <c r="H17" i="12"/>
  <c r="I17" i="12"/>
  <c r="J17" i="12"/>
  <c r="K17" i="12"/>
  <c r="L17" i="12"/>
  <c r="M17" i="12"/>
  <c r="N17" i="12"/>
  <c r="O17" i="12"/>
  <c r="P17" i="12"/>
  <c r="D18" i="12"/>
  <c r="E18" i="12"/>
  <c r="F18" i="12"/>
  <c r="H18" i="12"/>
  <c r="I18" i="12"/>
  <c r="J18" i="12"/>
  <c r="K18" i="12"/>
  <c r="L18" i="12"/>
  <c r="M18" i="12"/>
  <c r="N18" i="12"/>
  <c r="O18" i="12"/>
  <c r="P18" i="12"/>
  <c r="D19" i="12"/>
  <c r="E19" i="12"/>
  <c r="F19" i="12"/>
  <c r="H19" i="12"/>
  <c r="I19" i="12"/>
  <c r="J19" i="12"/>
  <c r="K19" i="12"/>
  <c r="L19" i="12"/>
  <c r="M19" i="12"/>
  <c r="N19" i="12"/>
  <c r="O19" i="12"/>
  <c r="P19" i="12"/>
  <c r="D20" i="12"/>
  <c r="E20" i="12"/>
  <c r="F20" i="12"/>
  <c r="H20" i="12"/>
  <c r="I20" i="12"/>
  <c r="J20" i="12"/>
  <c r="K20" i="12"/>
  <c r="L20" i="12"/>
  <c r="M20" i="12"/>
  <c r="N20" i="12"/>
  <c r="O20" i="12"/>
  <c r="P20" i="12"/>
  <c r="C20" i="12"/>
  <c r="C19" i="12"/>
  <c r="C18" i="12"/>
  <c r="C17" i="12"/>
  <c r="C16" i="12"/>
  <c r="D16" i="12"/>
  <c r="E16" i="12"/>
  <c r="F16" i="12"/>
  <c r="H16" i="12"/>
  <c r="I16" i="12"/>
  <c r="J16" i="12"/>
  <c r="K16" i="12"/>
  <c r="L16" i="12"/>
  <c r="M16" i="12"/>
  <c r="N16" i="12"/>
  <c r="O16" i="12"/>
  <c r="P16" i="12"/>
  <c r="D6" i="12"/>
  <c r="E6" i="12"/>
  <c r="E27" i="12"/>
  <c r="E23" i="12"/>
  <c r="F6" i="12"/>
  <c r="H6" i="12"/>
  <c r="H24" i="12"/>
  <c r="I6" i="12"/>
  <c r="J6" i="12"/>
  <c r="K6" i="12"/>
  <c r="K26" i="12"/>
  <c r="L6" i="12"/>
  <c r="L23" i="12"/>
  <c r="M6" i="12"/>
  <c r="N6" i="12"/>
  <c r="N26" i="12"/>
  <c r="O6" i="12"/>
  <c r="P6" i="12"/>
  <c r="C6" i="12"/>
  <c r="G7" i="12"/>
  <c r="G30" i="12"/>
  <c r="G8" i="12"/>
  <c r="G9" i="12"/>
  <c r="G10" i="12"/>
  <c r="G19" i="12"/>
  <c r="G11" i="12"/>
  <c r="M25" i="5"/>
  <c r="M24" i="5"/>
  <c r="L32" i="5"/>
  <c r="M32" i="5"/>
  <c r="L33" i="5"/>
  <c r="M33" i="5"/>
  <c r="L44" i="5"/>
  <c r="M44" i="5"/>
  <c r="V44" i="8"/>
  <c r="D18" i="6"/>
  <c r="J42" i="5"/>
  <c r="K32" i="5"/>
  <c r="K33" i="5"/>
  <c r="K44" i="5"/>
  <c r="I32" i="5"/>
  <c r="J32" i="5"/>
  <c r="I33" i="5"/>
  <c r="J33" i="5"/>
  <c r="I44" i="5"/>
  <c r="J44" i="5"/>
  <c r="E32" i="5"/>
  <c r="F32" i="5"/>
  <c r="G32" i="5"/>
  <c r="H32" i="5"/>
  <c r="E33" i="5"/>
  <c r="F33" i="5"/>
  <c r="G33" i="5"/>
  <c r="H33" i="5"/>
  <c r="E44" i="5"/>
  <c r="F44" i="5"/>
  <c r="G44" i="5"/>
  <c r="H44" i="5"/>
  <c r="T30" i="9"/>
  <c r="I31" i="5"/>
  <c r="I34" i="5"/>
  <c r="C43" i="6"/>
  <c r="C45" i="6"/>
  <c r="C46" i="6"/>
  <c r="C50" i="6"/>
  <c r="C7" i="6"/>
  <c r="C8" i="6"/>
  <c r="C9" i="6"/>
  <c r="C12" i="6"/>
  <c r="C17" i="6"/>
  <c r="C19" i="6"/>
  <c r="C31" i="6"/>
  <c r="C32" i="6"/>
  <c r="C39" i="6"/>
  <c r="S30" i="9"/>
  <c r="S23" i="9"/>
  <c r="S20" i="9"/>
  <c r="S12" i="9"/>
  <c r="S7" i="9"/>
  <c r="S4" i="9"/>
  <c r="D32" i="5"/>
  <c r="D33" i="5"/>
  <c r="D44" i="5"/>
  <c r="E34" i="7"/>
  <c r="E78" i="7"/>
  <c r="E72" i="7"/>
  <c r="T34" i="9"/>
  <c r="T21" i="9"/>
  <c r="T20" i="9"/>
  <c r="T28" i="9"/>
  <c r="T27" i="9"/>
  <c r="T26" i="9"/>
  <c r="T25" i="9"/>
  <c r="C54" i="6"/>
  <c r="T24" i="9"/>
  <c r="T11" i="9"/>
  <c r="T7" i="9"/>
  <c r="T13" i="9"/>
  <c r="C49" i="6"/>
  <c r="T14" i="9"/>
  <c r="C51" i="6"/>
  <c r="U50" i="8"/>
  <c r="U49" i="8"/>
  <c r="U46" i="8"/>
  <c r="U44" i="8" s="1"/>
  <c r="U38" i="8"/>
  <c r="C10" i="6" s="1"/>
  <c r="U22" i="8"/>
  <c r="U26" i="8"/>
  <c r="U21" i="8"/>
  <c r="U11" i="8"/>
  <c r="U8" i="8"/>
  <c r="U6" i="8"/>
  <c r="U4" i="8" s="1"/>
  <c r="U14" i="8"/>
  <c r="D34" i="5"/>
  <c r="U17" i="8"/>
  <c r="U32" i="8"/>
  <c r="T4" i="9"/>
  <c r="T47" i="8"/>
  <c r="T44" i="8"/>
  <c r="T53" i="8" s="1"/>
  <c r="T33" i="8"/>
  <c r="T32" i="8"/>
  <c r="T21" i="8"/>
  <c r="T17" i="8"/>
  <c r="T14" i="8"/>
  <c r="T8" i="8"/>
  <c r="T4" i="8"/>
  <c r="R30" i="9"/>
  <c r="R23" i="9"/>
  <c r="R20" i="9"/>
  <c r="R12" i="9"/>
  <c r="R7" i="9"/>
  <c r="R4" i="9"/>
  <c r="S47" i="8"/>
  <c r="S44" i="8"/>
  <c r="S33" i="8"/>
  <c r="S32" i="8"/>
  <c r="S21" i="8"/>
  <c r="S17" i="8"/>
  <c r="S14" i="8"/>
  <c r="S4" i="8"/>
  <c r="Q30" i="9"/>
  <c r="Q23" i="9"/>
  <c r="Q20" i="9"/>
  <c r="Q12" i="9"/>
  <c r="Q7" i="9"/>
  <c r="Q4" i="9"/>
  <c r="R47" i="8"/>
  <c r="R44" i="8"/>
  <c r="R33" i="8"/>
  <c r="R32" i="8"/>
  <c r="R21" i="8"/>
  <c r="R17" i="8"/>
  <c r="R14" i="8"/>
  <c r="R8" i="8"/>
  <c r="R4" i="8"/>
  <c r="Q47" i="8"/>
  <c r="Q44" i="8"/>
  <c r="Q33" i="8"/>
  <c r="Q32" i="8"/>
  <c r="Q21" i="8"/>
  <c r="Q17" i="8"/>
  <c r="Q14" i="8"/>
  <c r="Q8" i="8"/>
  <c r="Q4" i="8"/>
  <c r="P30" i="9"/>
  <c r="P23" i="9"/>
  <c r="P20" i="9"/>
  <c r="P12" i="9"/>
  <c r="P7" i="9"/>
  <c r="P4" i="9"/>
  <c r="N30" i="9"/>
  <c r="N23" i="9"/>
  <c r="N20" i="9"/>
  <c r="N12" i="9"/>
  <c r="N7" i="9"/>
  <c r="N4" i="9"/>
  <c r="O4" i="9"/>
  <c r="O7" i="9"/>
  <c r="O12" i="9"/>
  <c r="O20" i="9"/>
  <c r="O23" i="9"/>
  <c r="O30" i="9"/>
  <c r="M30" i="9"/>
  <c r="M23" i="9"/>
  <c r="M20" i="9"/>
  <c r="M12" i="9"/>
  <c r="M7" i="9"/>
  <c r="M4" i="9"/>
  <c r="M47" i="8"/>
  <c r="M44" i="8"/>
  <c r="M33" i="8"/>
  <c r="M32" i="8"/>
  <c r="M21" i="8"/>
  <c r="M17" i="8"/>
  <c r="M8" i="8"/>
  <c r="M27" i="8" s="1"/>
  <c r="L30" i="9"/>
  <c r="L23" i="9"/>
  <c r="L20" i="9"/>
  <c r="L12" i="9"/>
  <c r="L7" i="9"/>
  <c r="L4" i="9"/>
  <c r="K30" i="9"/>
  <c r="K23" i="9"/>
  <c r="K20" i="9"/>
  <c r="K12" i="9"/>
  <c r="K7" i="9"/>
  <c r="K4" i="9"/>
  <c r="L47" i="8"/>
  <c r="L44" i="8"/>
  <c r="L33" i="8"/>
  <c r="L32" i="8"/>
  <c r="L40" i="8" s="1"/>
  <c r="L21" i="8"/>
  <c r="L17" i="8"/>
  <c r="L14" i="8"/>
  <c r="L8" i="8"/>
  <c r="L4" i="8"/>
  <c r="J30" i="9"/>
  <c r="J23" i="9"/>
  <c r="J20" i="9"/>
  <c r="J12" i="9"/>
  <c r="J7" i="9"/>
  <c r="J4" i="9"/>
  <c r="K47" i="8"/>
  <c r="K44" i="8"/>
  <c r="K33" i="8"/>
  <c r="K32" i="8"/>
  <c r="K40" i="8" s="1"/>
  <c r="K21" i="8"/>
  <c r="K17" i="8"/>
  <c r="K14" i="8"/>
  <c r="K8" i="8"/>
  <c r="K4" i="8"/>
  <c r="I30" i="9"/>
  <c r="I23" i="9"/>
  <c r="I20" i="9"/>
  <c r="I12" i="9"/>
  <c r="I7" i="9"/>
  <c r="I4" i="9"/>
  <c r="J47" i="8"/>
  <c r="J44" i="8"/>
  <c r="J53" i="8" s="1"/>
  <c r="J33" i="8"/>
  <c r="J32" i="8"/>
  <c r="J21" i="8"/>
  <c r="J17" i="8"/>
  <c r="J14" i="8"/>
  <c r="J8" i="8"/>
  <c r="J4" i="8"/>
  <c r="N47" i="8"/>
  <c r="N44" i="8"/>
  <c r="N33" i="8"/>
  <c r="N32" i="8"/>
  <c r="N40" i="8" s="1"/>
  <c r="N21" i="8"/>
  <c r="N17" i="8"/>
  <c r="N14" i="8"/>
  <c r="N8" i="8"/>
  <c r="N4" i="8"/>
  <c r="P47" i="8"/>
  <c r="P44" i="8"/>
  <c r="P33" i="8"/>
  <c r="P32" i="8"/>
  <c r="P21" i="8"/>
  <c r="P14" i="8"/>
  <c r="P8" i="8"/>
  <c r="P4" i="8"/>
  <c r="P27" i="8" s="1"/>
  <c r="O44" i="8"/>
  <c r="O33" i="8"/>
  <c r="O14" i="8"/>
  <c r="O8" i="8"/>
  <c r="O4" i="8"/>
  <c r="H44" i="8"/>
  <c r="G30" i="9"/>
  <c r="G23" i="9"/>
  <c r="G20" i="9"/>
  <c r="G13" i="9"/>
  <c r="G14" i="9"/>
  <c r="G7" i="9"/>
  <c r="G4" i="9"/>
  <c r="H47" i="8"/>
  <c r="H42" i="8"/>
  <c r="H38" i="8"/>
  <c r="H33" i="8" s="1"/>
  <c r="H32" i="8"/>
  <c r="H21" i="8"/>
  <c r="H17" i="8"/>
  <c r="H14" i="8"/>
  <c r="H8" i="8"/>
  <c r="H7" i="8"/>
  <c r="H6" i="8"/>
  <c r="H4" i="8" s="1"/>
  <c r="H27" i="8" s="1"/>
  <c r="E4" i="9"/>
  <c r="F4" i="9"/>
  <c r="H4" i="9"/>
  <c r="D4" i="9"/>
  <c r="E14" i="9"/>
  <c r="E13" i="9"/>
  <c r="F12" i="9"/>
  <c r="H12" i="9"/>
  <c r="E20" i="9"/>
  <c r="F20" i="9"/>
  <c r="H20" i="9"/>
  <c r="E23" i="9"/>
  <c r="F23" i="9"/>
  <c r="H23" i="9"/>
  <c r="E30" i="9"/>
  <c r="F30" i="9"/>
  <c r="H30" i="9"/>
  <c r="D30" i="9"/>
  <c r="D23" i="9"/>
  <c r="D20" i="9"/>
  <c r="D12" i="9"/>
  <c r="C12" i="9"/>
  <c r="F7" i="9"/>
  <c r="H7" i="9"/>
  <c r="D7" i="9"/>
  <c r="E9" i="9"/>
  <c r="E7" i="9"/>
  <c r="F47" i="8"/>
  <c r="G47" i="8"/>
  <c r="I47" i="8"/>
  <c r="O47" i="8"/>
  <c r="E47" i="8"/>
  <c r="F44" i="8"/>
  <c r="G44" i="8"/>
  <c r="I44" i="8"/>
  <c r="E44" i="8"/>
  <c r="F38" i="8"/>
  <c r="F33" i="8" s="1"/>
  <c r="G33" i="8"/>
  <c r="I33" i="8"/>
  <c r="E33" i="8"/>
  <c r="F32" i="8"/>
  <c r="G32" i="8"/>
  <c r="I32" i="8"/>
  <c r="O32" i="8"/>
  <c r="E32" i="8"/>
  <c r="E40" i="8" s="1"/>
  <c r="F23" i="8"/>
  <c r="F21" i="8"/>
  <c r="G21" i="8"/>
  <c r="I21" i="8"/>
  <c r="O21" i="8"/>
  <c r="E21" i="8"/>
  <c r="F17" i="8"/>
  <c r="G17" i="8"/>
  <c r="I17" i="8"/>
  <c r="O17" i="8"/>
  <c r="O27" i="8" s="1"/>
  <c r="E17" i="8"/>
  <c r="F15" i="8"/>
  <c r="F14" i="8" s="1"/>
  <c r="G14" i="8"/>
  <c r="I14" i="8"/>
  <c r="E14" i="8"/>
  <c r="F8" i="8"/>
  <c r="G8" i="8"/>
  <c r="I8" i="8"/>
  <c r="E8" i="8"/>
  <c r="F4" i="8"/>
  <c r="G4" i="8"/>
  <c r="I4" i="8"/>
  <c r="E4" i="8"/>
  <c r="D55" i="8"/>
  <c r="J31" i="5"/>
  <c r="J34" i="5"/>
  <c r="E34" i="5"/>
  <c r="E31" i="5"/>
  <c r="G41" i="5"/>
  <c r="F31" i="5"/>
  <c r="G31" i="5"/>
  <c r="H31" i="5"/>
  <c r="H34" i="5"/>
  <c r="G40" i="5"/>
  <c r="E41" i="5"/>
  <c r="E40" i="5"/>
  <c r="E43" i="5"/>
  <c r="M23" i="12"/>
  <c r="D23" i="12"/>
  <c r="O27" i="12"/>
  <c r="K27" i="12"/>
  <c r="D26" i="12"/>
  <c r="J43" i="5"/>
  <c r="L41" i="5"/>
  <c r="F47" i="5"/>
  <c r="G34" i="5"/>
  <c r="G43" i="5"/>
  <c r="F34" i="5"/>
  <c r="H30" i="5"/>
  <c r="L42" i="5"/>
  <c r="F41" i="5"/>
  <c r="F30" i="5"/>
  <c r="J15" i="5"/>
  <c r="I43" i="5"/>
  <c r="I42" i="5"/>
  <c r="I41" i="5"/>
  <c r="I30" i="5"/>
  <c r="H41" i="5"/>
  <c r="H25" i="5"/>
  <c r="H40" i="5"/>
  <c r="H43" i="5"/>
  <c r="G30" i="5"/>
  <c r="H42" i="5"/>
  <c r="F40" i="5"/>
  <c r="F42" i="5"/>
  <c r="K34" i="5"/>
  <c r="E27" i="5"/>
  <c r="E30" i="5"/>
  <c r="F43" i="5"/>
  <c r="L43" i="5"/>
  <c r="L30" i="5"/>
  <c r="J25" i="5"/>
  <c r="L40" i="5"/>
  <c r="M19" i="5"/>
  <c r="M26" i="5"/>
  <c r="M40" i="5"/>
  <c r="M30" i="5"/>
  <c r="G24" i="5"/>
  <c r="L31" i="5"/>
  <c r="K31" i="5"/>
  <c r="M31" i="5"/>
  <c r="L24" i="5"/>
  <c r="M34" i="5"/>
  <c r="J30" i="5"/>
  <c r="L34" i="5"/>
  <c r="L26" i="5"/>
  <c r="L15" i="5"/>
  <c r="K30" i="5"/>
  <c r="H26" i="5"/>
  <c r="H27" i="5"/>
  <c r="K41" i="5"/>
  <c r="M27" i="5"/>
  <c r="L27" i="5"/>
  <c r="L25" i="5"/>
  <c r="K40" i="5"/>
  <c r="G26" i="5"/>
  <c r="G25" i="5"/>
  <c r="K43" i="5"/>
  <c r="K42" i="5"/>
  <c r="K24" i="5"/>
  <c r="K19" i="5"/>
  <c r="M42" i="5"/>
  <c r="K25" i="5"/>
  <c r="O21" i="5"/>
  <c r="E42" i="5"/>
  <c r="M43" i="5"/>
  <c r="I40" i="5"/>
  <c r="G42" i="5"/>
  <c r="G14" i="5"/>
  <c r="H21" i="5"/>
  <c r="I21" i="5"/>
  <c r="K21" i="5"/>
  <c r="J41" i="5"/>
  <c r="J21" i="5"/>
  <c r="J40" i="5"/>
  <c r="P21" i="5"/>
  <c r="L21" i="5"/>
  <c r="G21" i="5"/>
  <c r="N21" i="5"/>
  <c r="N14" i="5"/>
  <c r="N20" i="5"/>
  <c r="E21" i="5"/>
  <c r="F21" i="5"/>
  <c r="M21" i="5"/>
  <c r="P47" i="5"/>
  <c r="H47" i="5"/>
  <c r="J14" i="5"/>
  <c r="L47" i="5"/>
  <c r="N6" i="5"/>
  <c r="G47" i="5"/>
  <c r="L14" i="5"/>
  <c r="H14" i="5"/>
  <c r="I47" i="5"/>
  <c r="E47" i="5"/>
  <c r="M47" i="5"/>
  <c r="N9" i="5"/>
  <c r="N10" i="5"/>
  <c r="I24" i="5"/>
  <c r="G9" i="5"/>
  <c r="E15" i="5"/>
  <c r="E19" i="5"/>
  <c r="P8" i="5"/>
  <c r="P6" i="5"/>
  <c r="P9" i="5"/>
  <c r="E24" i="5"/>
  <c r="H9" i="5"/>
  <c r="I26" i="5"/>
  <c r="I25" i="5"/>
  <c r="I20" i="5"/>
  <c r="H24" i="5"/>
  <c r="F10" i="5"/>
  <c r="M14" i="5"/>
  <c r="I14" i="5"/>
  <c r="I19" i="5"/>
  <c r="I15" i="5"/>
  <c r="J8" i="5"/>
  <c r="J10" i="5"/>
  <c r="L7" i="5"/>
  <c r="M9" i="5"/>
  <c r="H10" i="5"/>
  <c r="H20" i="5"/>
  <c r="H8" i="5"/>
  <c r="I8" i="5"/>
  <c r="M6" i="5"/>
  <c r="I6" i="5"/>
  <c r="J6" i="5"/>
  <c r="F9" i="5"/>
  <c r="J20" i="5"/>
  <c r="I10" i="5"/>
  <c r="F20" i="5"/>
  <c r="J9" i="5"/>
  <c r="F6" i="5"/>
  <c r="F8" i="5"/>
  <c r="J7" i="5"/>
  <c r="H7" i="5"/>
  <c r="M8" i="5"/>
  <c r="K15" i="5"/>
  <c r="M15" i="5"/>
  <c r="J19" i="5"/>
  <c r="L19" i="5"/>
  <c r="M20" i="5"/>
  <c r="M7" i="5"/>
  <c r="N47" i="5"/>
  <c r="P14" i="5"/>
  <c r="M10" i="5"/>
  <c r="O6" i="5"/>
  <c r="H15" i="5"/>
  <c r="H19" i="5"/>
  <c r="N15" i="5"/>
  <c r="N19" i="5"/>
  <c r="F26" i="5"/>
  <c r="F25" i="5"/>
  <c r="I27" i="5"/>
  <c r="P25" i="5"/>
  <c r="N8" i="5"/>
  <c r="K47" i="5"/>
  <c r="K14" i="5"/>
  <c r="F24" i="5"/>
  <c r="N7" i="5"/>
  <c r="P26" i="5"/>
  <c r="P27" i="5"/>
  <c r="P24" i="5"/>
  <c r="F27" i="5"/>
  <c r="J27" i="5"/>
  <c r="G27" i="5"/>
  <c r="E26" i="5"/>
  <c r="E25" i="5"/>
  <c r="J24" i="5"/>
  <c r="O47" i="5"/>
  <c r="N25" i="5"/>
  <c r="O15" i="5"/>
  <c r="O19" i="5"/>
  <c r="N26" i="5"/>
  <c r="N24" i="5"/>
  <c r="K26" i="5"/>
  <c r="K27" i="5"/>
  <c r="J26" i="5"/>
  <c r="N27" i="5"/>
  <c r="K20" i="5"/>
  <c r="L10" i="5"/>
  <c r="P20" i="5"/>
  <c r="P10" i="5"/>
  <c r="H6" i="5"/>
  <c r="L20" i="5"/>
  <c r="O10" i="5"/>
  <c r="E14" i="5"/>
  <c r="O7" i="5"/>
  <c r="G8" i="5"/>
  <c r="G15" i="5"/>
  <c r="G19" i="5"/>
  <c r="I9" i="5"/>
  <c r="L8" i="5"/>
  <c r="G20" i="5"/>
  <c r="O20" i="5"/>
  <c r="O9" i="5"/>
  <c r="P7" i="5"/>
  <c r="G6" i="5"/>
  <c r="F7" i="5"/>
  <c r="L6" i="5"/>
  <c r="F14" i="5"/>
  <c r="P15" i="5"/>
  <c r="P19" i="5"/>
  <c r="I7" i="5"/>
  <c r="L9" i="5"/>
  <c r="G7" i="5"/>
  <c r="G10" i="5"/>
  <c r="F15" i="5"/>
  <c r="F19" i="5"/>
  <c r="O8" i="5"/>
  <c r="K7" i="5"/>
  <c r="E10" i="5"/>
  <c r="K9" i="5"/>
  <c r="K6" i="5"/>
  <c r="E20" i="5"/>
  <c r="E9" i="5"/>
  <c r="E8" i="5"/>
  <c r="K10" i="5"/>
  <c r="E6" i="5"/>
  <c r="E7" i="5"/>
  <c r="K8" i="5"/>
  <c r="G17" i="12"/>
  <c r="G31" i="12"/>
  <c r="O26" i="12"/>
  <c r="O24" i="12"/>
  <c r="O23" i="12"/>
  <c r="O25" i="12"/>
  <c r="E26" i="12"/>
  <c r="M24" i="12"/>
  <c r="M27" i="12"/>
  <c r="M26" i="12"/>
  <c r="M25" i="12"/>
  <c r="I25" i="12"/>
  <c r="G18" i="12"/>
  <c r="G32" i="12"/>
  <c r="D24" i="12"/>
  <c r="C24" i="12"/>
  <c r="H27" i="12"/>
  <c r="H26" i="12"/>
  <c r="H25" i="12"/>
  <c r="H23" i="12"/>
  <c r="E36" i="6"/>
  <c r="D25" i="12"/>
  <c r="D27" i="12"/>
  <c r="F25" i="12"/>
  <c r="F23" i="12"/>
  <c r="F27" i="12"/>
  <c r="L24" i="12"/>
  <c r="L27" i="12"/>
  <c r="L26" i="12"/>
  <c r="L25" i="12"/>
  <c r="C25" i="12"/>
  <c r="K25" i="12"/>
  <c r="K24" i="12"/>
  <c r="K23" i="12"/>
  <c r="E25" i="12"/>
  <c r="E24" i="12"/>
  <c r="P25" i="12"/>
  <c r="P27" i="12"/>
  <c r="J23" i="12"/>
  <c r="G34" i="12"/>
  <c r="G20" i="12"/>
  <c r="N27" i="12"/>
  <c r="N25" i="12"/>
  <c r="N23" i="12"/>
  <c r="F17" i="3"/>
  <c r="F25" i="3" s="1"/>
  <c r="I24" i="12"/>
  <c r="I26" i="12"/>
  <c r="I27" i="12"/>
  <c r="I23" i="12"/>
  <c r="H44" i="6"/>
  <c r="F31" i="15"/>
  <c r="AD26" i="6"/>
  <c r="AY53" i="8"/>
  <c r="BE53" i="8"/>
  <c r="BE40" i="8"/>
  <c r="BC40" i="8"/>
  <c r="BA27" i="8"/>
  <c r="BF27" i="8"/>
  <c r="BG27" i="8"/>
  <c r="AY27" i="8"/>
  <c r="Q20" i="6"/>
  <c r="AD31" i="6"/>
  <c r="U17" i="7"/>
  <c r="U41" i="7" s="1"/>
  <c r="T40" i="8"/>
  <c r="AT40" i="8"/>
  <c r="W17" i="7"/>
  <c r="AH47" i="5" s="1"/>
  <c r="U36" i="6"/>
  <c r="Z53" i="8"/>
  <c r="AN53" i="8"/>
  <c r="AB38" i="6"/>
  <c r="AK40" i="8"/>
  <c r="AK54" i="8" s="1"/>
  <c r="J40" i="8"/>
  <c r="U33" i="8"/>
  <c r="Q31" i="5"/>
  <c r="C28" i="6"/>
  <c r="AR53" i="8"/>
  <c r="AV33" i="8"/>
  <c r="AL53" i="8"/>
  <c r="F53" i="8"/>
  <c r="AO53" i="8"/>
  <c r="H36" i="6"/>
  <c r="S34" i="5"/>
  <c r="Z18" i="6"/>
  <c r="T34" i="5"/>
  <c r="D27" i="6"/>
  <c r="Z34" i="5"/>
  <c r="AD17" i="6"/>
  <c r="U18" i="7"/>
  <c r="U42" i="7" s="1"/>
  <c r="AD17" i="7"/>
  <c r="AO47" i="5" s="1"/>
  <c r="R36" i="6"/>
  <c r="P31" i="5"/>
  <c r="I53" i="8"/>
  <c r="I17" i="7"/>
  <c r="I37" i="7" s="1"/>
  <c r="U34" i="5"/>
  <c r="AE53" i="8"/>
  <c r="W36" i="6"/>
  <c r="AO27" i="8"/>
  <c r="W5" i="6" s="1"/>
  <c r="F38" i="15"/>
  <c r="AD18" i="7"/>
  <c r="AD42" i="7" s="1"/>
  <c r="AB6" i="6"/>
  <c r="R6" i="6"/>
  <c r="X36" i="6"/>
  <c r="F18" i="6"/>
  <c r="AK27" i="8"/>
  <c r="W31" i="5"/>
  <c r="AC53" i="8"/>
  <c r="AI33" i="8"/>
  <c r="AI40" i="8" s="1"/>
  <c r="AB40" i="8"/>
  <c r="L53" i="8"/>
  <c r="S36" i="6"/>
  <c r="O40" i="8"/>
  <c r="AF40" i="8"/>
  <c r="S18" i="6"/>
  <c r="AR40" i="8"/>
  <c r="AR54" i="8" s="1"/>
  <c r="Z6" i="6"/>
  <c r="AE17" i="7"/>
  <c r="AE41" i="7" s="1"/>
  <c r="AE18" i="7"/>
  <c r="AE42" i="7" s="1"/>
  <c r="P38" i="6"/>
  <c r="G6" i="12"/>
  <c r="G16" i="12"/>
  <c r="K17" i="7"/>
  <c r="K37" i="7" s="1"/>
  <c r="I36" i="6"/>
  <c r="U31" i="5"/>
  <c r="I18" i="6"/>
  <c r="Y38" i="6"/>
  <c r="M38" i="6"/>
  <c r="AC33" i="5"/>
  <c r="Q12" i="6"/>
  <c r="J24" i="12"/>
  <c r="J25" i="12"/>
  <c r="J27" i="12"/>
  <c r="J26" i="12"/>
  <c r="P23" i="12"/>
  <c r="P26" i="12"/>
  <c r="P24" i="12"/>
  <c r="G36" i="6"/>
  <c r="H6" i="6"/>
  <c r="AB31" i="5"/>
  <c r="AA34" i="5"/>
  <c r="O38" i="6"/>
  <c r="AU53" i="8"/>
  <c r="AC18" i="6"/>
  <c r="G33" i="12"/>
  <c r="N24" i="12"/>
  <c r="W27" i="8"/>
  <c r="R43" i="5" s="1"/>
  <c r="S38" i="6"/>
  <c r="AT27" i="8"/>
  <c r="V34" i="5"/>
  <c r="F43" i="3"/>
  <c r="AV40" i="8"/>
  <c r="U15" i="7"/>
  <c r="U39" i="7" s="1"/>
  <c r="AI3" i="9"/>
  <c r="AI19" i="9"/>
  <c r="AI29" i="9"/>
  <c r="T14" i="7"/>
  <c r="T38" i="7" s="1"/>
  <c r="W3" i="9"/>
  <c r="W19" i="9"/>
  <c r="W29" i="9"/>
  <c r="M3" i="9"/>
  <c r="M19" i="9"/>
  <c r="M29" i="9"/>
  <c r="M33" i="9"/>
  <c r="M35" i="9"/>
  <c r="M37" i="9"/>
  <c r="G3" i="9"/>
  <c r="T12" i="9"/>
  <c r="S3" i="9"/>
  <c r="S19" i="9"/>
  <c r="S29" i="9"/>
  <c r="S33" i="9"/>
  <c r="S35" i="9"/>
  <c r="S37" i="9"/>
  <c r="U12" i="9"/>
  <c r="R3" i="9"/>
  <c r="R19" i="9"/>
  <c r="R29" i="9"/>
  <c r="R33" i="9"/>
  <c r="R35" i="9"/>
  <c r="R37" i="9"/>
  <c r="U7" i="9"/>
  <c r="D44" i="6"/>
  <c r="D42" i="6"/>
  <c r="AK3" i="9"/>
  <c r="AM3" i="9"/>
  <c r="AM19" i="9"/>
  <c r="AM29" i="9"/>
  <c r="AM33" i="9"/>
  <c r="AM35" i="9"/>
  <c r="AM37" i="9"/>
  <c r="Z3" i="9"/>
  <c r="Z19" i="9"/>
  <c r="Z29" i="9"/>
  <c r="O3" i="9"/>
  <c r="O19" i="9"/>
  <c r="P3" i="9"/>
  <c r="P19" i="9"/>
  <c r="P29" i="9"/>
  <c r="P33" i="9"/>
  <c r="P35" i="9"/>
  <c r="P37" i="9"/>
  <c r="S42" i="6"/>
  <c r="AE3" i="9"/>
  <c r="AE19" i="9"/>
  <c r="AE29" i="9"/>
  <c r="F3" i="9"/>
  <c r="F19" i="9"/>
  <c r="F29" i="9"/>
  <c r="F33" i="9"/>
  <c r="F35" i="9"/>
  <c r="F37" i="9"/>
  <c r="AG3" i="9"/>
  <c r="AG19" i="9"/>
  <c r="AG29" i="9"/>
  <c r="K48" i="6"/>
  <c r="AA42" i="6"/>
  <c r="D48" i="6"/>
  <c r="AQ3" i="9"/>
  <c r="AQ19" i="9"/>
  <c r="AQ29" i="9"/>
  <c r="I3" i="9"/>
  <c r="I19" i="9"/>
  <c r="I29" i="9"/>
  <c r="I33" i="9"/>
  <c r="I35" i="9"/>
  <c r="I37" i="9"/>
  <c r="AU23" i="9"/>
  <c r="AD46" i="6"/>
  <c r="AU4" i="9"/>
  <c r="F48" i="15"/>
  <c r="H42" i="6"/>
  <c r="D3" i="9"/>
  <c r="D19" i="9"/>
  <c r="D29" i="9"/>
  <c r="D33" i="9"/>
  <c r="D35" i="9"/>
  <c r="D37" i="9"/>
  <c r="E3" i="9"/>
  <c r="Q3" i="9"/>
  <c r="Q19" i="9"/>
  <c r="Q29" i="9"/>
  <c r="Q33" i="9"/>
  <c r="Q35" i="9"/>
  <c r="Q37" i="9"/>
  <c r="F48" i="6"/>
  <c r="R42" i="6"/>
  <c r="AL3" i="9"/>
  <c r="Z48" i="6"/>
  <c r="H48" i="6"/>
  <c r="W48" i="6"/>
  <c r="AA3" i="9"/>
  <c r="AA19" i="9"/>
  <c r="AA29" i="9"/>
  <c r="AA33" i="9"/>
  <c r="AA35" i="9"/>
  <c r="AA37" i="9"/>
  <c r="H3" i="9"/>
  <c r="H19" i="9"/>
  <c r="H29" i="9"/>
  <c r="H33" i="9"/>
  <c r="H35" i="9"/>
  <c r="H37" i="9"/>
  <c r="Z42" i="6"/>
  <c r="AK19" i="9"/>
  <c r="AK29" i="9"/>
  <c r="AK33" i="9"/>
  <c r="N3" i="9"/>
  <c r="N19" i="9"/>
  <c r="N29" i="9"/>
  <c r="N33" i="9"/>
  <c r="N35" i="9"/>
  <c r="N37" i="9"/>
  <c r="C55" i="6"/>
  <c r="AR3" i="9"/>
  <c r="AR19" i="9"/>
  <c r="AR29" i="9"/>
  <c r="J3" i="9"/>
  <c r="J19" i="9"/>
  <c r="J29" i="9"/>
  <c r="J33" i="9"/>
  <c r="J35" i="9"/>
  <c r="J37" i="9"/>
  <c r="U23" i="9"/>
  <c r="P44" i="6"/>
  <c r="P42" i="6"/>
  <c r="AD49" i="6"/>
  <c r="E48" i="6"/>
  <c r="I42" i="6"/>
  <c r="Y3" i="9"/>
  <c r="Y19" i="9"/>
  <c r="Y29" i="9"/>
  <c r="J14" i="7"/>
  <c r="J38" i="7" s="1"/>
  <c r="T48" i="6"/>
  <c r="AA48" i="6"/>
  <c r="S48" i="6"/>
  <c r="X48" i="6"/>
  <c r="AC48" i="6"/>
  <c r="AH7" i="9"/>
  <c r="Q44" i="6"/>
  <c r="AU12" i="9"/>
  <c r="E42" i="6"/>
  <c r="O29" i="9"/>
  <c r="O33" i="9"/>
  <c r="O35" i="9"/>
  <c r="O37" i="9"/>
  <c r="X3" i="9"/>
  <c r="M42" i="6"/>
  <c r="AH12" i="9"/>
  <c r="U42" i="6"/>
  <c r="AP3" i="9"/>
  <c r="AP19" i="9"/>
  <c r="AP29" i="9"/>
  <c r="AD55" i="6"/>
  <c r="L3" i="9"/>
  <c r="L19" i="9"/>
  <c r="L29" i="9"/>
  <c r="L33" i="9"/>
  <c r="L35" i="9"/>
  <c r="L37" i="9"/>
  <c r="L48" i="6"/>
  <c r="AD19" i="9"/>
  <c r="AD29" i="9"/>
  <c r="O14" i="7"/>
  <c r="O38" i="7" s="1"/>
  <c r="AD33" i="9"/>
  <c r="AD35" i="9"/>
  <c r="AD37" i="9"/>
  <c r="N48" i="6"/>
  <c r="T42" i="6"/>
  <c r="AS3" i="9"/>
  <c r="AS19" i="9"/>
  <c r="AS29" i="9"/>
  <c r="T23" i="9"/>
  <c r="F42" i="6"/>
  <c r="J42" i="6"/>
  <c r="P48" i="6"/>
  <c r="N42" i="6"/>
  <c r="AN3" i="9"/>
  <c r="AN19" i="9"/>
  <c r="AN29" i="9"/>
  <c r="C44" i="6"/>
  <c r="C42" i="6"/>
  <c r="T3" i="9"/>
  <c r="T19" i="9"/>
  <c r="E14" i="7"/>
  <c r="E38" i="7" s="1"/>
  <c r="T29" i="9"/>
  <c r="T33" i="9"/>
  <c r="T35" i="9"/>
  <c r="T37" i="9"/>
  <c r="L44" i="6"/>
  <c r="L42" i="6"/>
  <c r="AC3" i="9"/>
  <c r="AC19" i="9"/>
  <c r="AC29" i="9"/>
  <c r="AC33" i="9"/>
  <c r="AC35" i="9"/>
  <c r="AC37" i="9"/>
  <c r="J48" i="6"/>
  <c r="V3" i="9"/>
  <c r="V19" i="9"/>
  <c r="V29" i="9"/>
  <c r="AB44" i="6"/>
  <c r="AB42" i="6"/>
  <c r="AB48" i="6"/>
  <c r="Y48" i="6"/>
  <c r="V48" i="6"/>
  <c r="AU7" i="9"/>
  <c r="AD44" i="6"/>
  <c r="AD42" i="6"/>
  <c r="G12" i="9"/>
  <c r="G19" i="9" s="1"/>
  <c r="G29" i="9" s="1"/>
  <c r="G33" i="9" s="1"/>
  <c r="G35" i="9" s="1"/>
  <c r="G37" i="9" s="1"/>
  <c r="K44" i="6"/>
  <c r="K42" i="6"/>
  <c r="AB3" i="9"/>
  <c r="AB19" i="9"/>
  <c r="AB29" i="9"/>
  <c r="AH23" i="9"/>
  <c r="Q54" i="6"/>
  <c r="Q48" i="6"/>
  <c r="M48" i="6"/>
  <c r="U48" i="6"/>
  <c r="E12" i="9"/>
  <c r="E19" i="9" s="1"/>
  <c r="E29" i="9" s="1"/>
  <c r="E33" i="9" s="1"/>
  <c r="E35" i="9" s="1"/>
  <c r="E37" i="9" s="1"/>
  <c r="K3" i="9"/>
  <c r="K19" i="9"/>
  <c r="K29" i="9"/>
  <c r="K33" i="9"/>
  <c r="K35" i="9"/>
  <c r="K37" i="9"/>
  <c r="C53" i="6"/>
  <c r="G48" i="6"/>
  <c r="I48" i="6"/>
  <c r="AH4" i="9"/>
  <c r="Q43" i="6"/>
  <c r="Y42" i="6"/>
  <c r="X19" i="9"/>
  <c r="X29" i="9"/>
  <c r="AF3" i="9"/>
  <c r="AF19" i="9"/>
  <c r="AF29" i="9"/>
  <c r="Q14" i="7"/>
  <c r="Q38" i="7" s="1"/>
  <c r="AO3" i="9"/>
  <c r="AO19" i="9"/>
  <c r="AO29" i="9"/>
  <c r="R48" i="6"/>
  <c r="G42" i="6"/>
  <c r="O48" i="6"/>
  <c r="W42" i="6"/>
  <c r="U3" i="9"/>
  <c r="X14" i="7"/>
  <c r="X38" i="7" s="1"/>
  <c r="F49" i="15"/>
  <c r="F47" i="15"/>
  <c r="P14" i="7"/>
  <c r="P38" i="7" s="1"/>
  <c r="AE33" i="9"/>
  <c r="AE35" i="9"/>
  <c r="AE37" i="9"/>
  <c r="C48" i="6"/>
  <c r="AI33" i="9"/>
  <c r="AI35" i="9"/>
  <c r="AI37" i="9"/>
  <c r="Q42" i="6"/>
  <c r="L14" i="7"/>
  <c r="L38" i="7" s="1"/>
  <c r="AH3" i="9"/>
  <c r="AH19" i="9"/>
  <c r="AH29" i="9"/>
  <c r="Z14" i="7"/>
  <c r="Z38" i="7" s="1"/>
  <c r="AO33" i="9"/>
  <c r="AO35" i="9"/>
  <c r="AO37" i="9"/>
  <c r="AF33" i="9"/>
  <c r="AF35" i="9"/>
  <c r="AF37" i="9"/>
  <c r="N14" i="7"/>
  <c r="N38" i="7" s="1"/>
  <c r="AU3" i="9"/>
  <c r="V14" i="7"/>
  <c r="V38" i="7" s="1"/>
  <c r="AK35" i="9"/>
  <c r="AK37" i="9"/>
  <c r="Y33" i="9"/>
  <c r="Y35" i="9"/>
  <c r="Y37" i="9"/>
  <c r="AU19" i="9"/>
  <c r="F45" i="15"/>
  <c r="F44" i="15"/>
  <c r="F27" i="15"/>
  <c r="F18" i="15"/>
  <c r="AH33" i="9"/>
  <c r="AH35" i="9"/>
  <c r="AH37" i="9"/>
  <c r="S14" i="7"/>
  <c r="S38" i="7" s="1"/>
  <c r="AD14" i="7"/>
  <c r="AD38" i="7" s="1"/>
  <c r="AS33" i="9"/>
  <c r="AS35" i="9"/>
  <c r="AS37" i="9"/>
  <c r="F16" i="15"/>
  <c r="Z33" i="9"/>
  <c r="Z35" i="9"/>
  <c r="Z37" i="9"/>
  <c r="K14" i="7"/>
  <c r="K38" i="7" s="1"/>
  <c r="AP33" i="9"/>
  <c r="AP35" i="9"/>
  <c r="AP37" i="9"/>
  <c r="AA14" i="7"/>
  <c r="AA38" i="7" s="1"/>
  <c r="AC14" i="7"/>
  <c r="AC38" i="7" s="1"/>
  <c r="AR33" i="9"/>
  <c r="AR35" i="9"/>
  <c r="AR37" i="9"/>
  <c r="M14" i="7"/>
  <c r="M38" i="7" s="1"/>
  <c r="AB33" i="9"/>
  <c r="AB35" i="9"/>
  <c r="AB37" i="9"/>
  <c r="AB14" i="7"/>
  <c r="AB38" i="7" s="1"/>
  <c r="AQ33" i="9"/>
  <c r="AQ35" i="9"/>
  <c r="AQ37" i="9"/>
  <c r="V33" i="9"/>
  <c r="V35" i="9"/>
  <c r="V37" i="9"/>
  <c r="G14" i="7"/>
  <c r="G38" i="7" s="1"/>
  <c r="I14" i="7"/>
  <c r="I38" i="7" s="1"/>
  <c r="X33" i="9"/>
  <c r="X35" i="9"/>
  <c r="X37" i="9"/>
  <c r="H14" i="7"/>
  <c r="H38" i="7" s="1"/>
  <c r="W33" i="9"/>
  <c r="W35" i="9"/>
  <c r="W37" i="9"/>
  <c r="Y14" i="7"/>
  <c r="Y38" i="7" s="1"/>
  <c r="AN33" i="9"/>
  <c r="AN35" i="9"/>
  <c r="AN37" i="9"/>
  <c r="R14" i="7"/>
  <c r="R38" i="7" s="1"/>
  <c r="AG33" i="9"/>
  <c r="AG35" i="9"/>
  <c r="AG37" i="9"/>
  <c r="AO40" i="8"/>
  <c r="AU29" i="9"/>
  <c r="AL19" i="9"/>
  <c r="AL29" i="9"/>
  <c r="AC44" i="6"/>
  <c r="AC42" i="6"/>
  <c r="AT3" i="9"/>
  <c r="AT19" i="9"/>
  <c r="AT29" i="9"/>
  <c r="U19" i="9"/>
  <c r="U29" i="9"/>
  <c r="AD48" i="6"/>
  <c r="G27" i="12"/>
  <c r="G25" i="12"/>
  <c r="G24" i="12"/>
  <c r="G23" i="12"/>
  <c r="G26" i="12"/>
  <c r="AA31" i="5"/>
  <c r="G17" i="7"/>
  <c r="G18" i="7"/>
  <c r="G42" i="7" s="1"/>
  <c r="L18" i="6"/>
  <c r="S18" i="7"/>
  <c r="S42" i="7" s="1"/>
  <c r="S17" i="7"/>
  <c r="S37" i="7" s="1"/>
  <c r="V31" i="5"/>
  <c r="H53" i="8"/>
  <c r="F41" i="15"/>
  <c r="F24" i="12"/>
  <c r="F26" i="12"/>
  <c r="O6" i="6"/>
  <c r="AG40" i="8"/>
  <c r="V42" i="6"/>
  <c r="E18" i="6"/>
  <c r="N6" i="6"/>
  <c r="P18" i="7"/>
  <c r="P42" i="7" s="1"/>
  <c r="Z38" i="6"/>
  <c r="C20" i="6"/>
  <c r="C23" i="12"/>
  <c r="C27" i="12"/>
  <c r="C26" i="12"/>
  <c r="U33" i="9"/>
  <c r="U35" i="9"/>
  <c r="U37" i="9"/>
  <c r="F14" i="7"/>
  <c r="F38" i="7" s="1"/>
  <c r="AE14" i="7"/>
  <c r="AE38" i="7" s="1"/>
  <c r="AT33" i="9"/>
  <c r="AT35" i="9"/>
  <c r="AT37" i="9"/>
  <c r="W14" i="7"/>
  <c r="W38" i="7" s="1"/>
  <c r="AL33" i="9"/>
  <c r="AL35" i="9"/>
  <c r="AL37" i="9"/>
  <c r="AF14" i="7"/>
  <c r="AF38" i="7" s="1"/>
  <c r="AU33" i="9"/>
  <c r="AU35" i="9"/>
  <c r="AU37" i="9"/>
  <c r="F50" i="15"/>
  <c r="T37" i="7"/>
  <c r="AE37" i="7"/>
  <c r="I41" i="7"/>
  <c r="BM33" i="9"/>
  <c r="BM35" i="9"/>
  <c r="BM37" i="9"/>
  <c r="BL33" i="9"/>
  <c r="BL35" i="9"/>
  <c r="BL37" i="9"/>
  <c r="AU48" i="6"/>
  <c r="AT48" i="6"/>
  <c r="AS48" i="6"/>
  <c r="AR48" i="6"/>
  <c r="AW48" i="6"/>
  <c r="AV48" i="6"/>
  <c r="AX48" i="6"/>
  <c r="BJ3" i="9"/>
  <c r="BJ19" i="9"/>
  <c r="BJ29" i="9"/>
  <c r="AU14" i="7" s="1"/>
  <c r="AU38" i="7" s="1"/>
  <c r="BJ33" i="9"/>
  <c r="BJ35" i="9"/>
  <c r="BJ37" i="9"/>
  <c r="AT42" i="6"/>
  <c r="BO3" i="9"/>
  <c r="BO19" i="9"/>
  <c r="BO29" i="9"/>
  <c r="AZ14" i="7" s="1"/>
  <c r="AZ38" i="7" s="1"/>
  <c r="BO33" i="9"/>
  <c r="BO35" i="9"/>
  <c r="BO37" i="9"/>
  <c r="AR42" i="6"/>
  <c r="AV42" i="6"/>
  <c r="AX44" i="6"/>
  <c r="AX42" i="6"/>
  <c r="AW42" i="6"/>
  <c r="AS42" i="6"/>
  <c r="BI3" i="9"/>
  <c r="BI19" i="9"/>
  <c r="BI29" i="9"/>
  <c r="AT14" i="7" s="1"/>
  <c r="AT38" i="7" s="1"/>
  <c r="BI33" i="9"/>
  <c r="BI35" i="9"/>
  <c r="BI37" i="9"/>
  <c r="AS18" i="6"/>
  <c r="AR18" i="6"/>
  <c r="BO53" i="8"/>
  <c r="BL40" i="8"/>
  <c r="BK40" i="8"/>
  <c r="BK54" i="8" s="1"/>
  <c r="BN40" i="8"/>
  <c r="BJ27" i="8"/>
  <c r="AR5" i="6" s="1"/>
  <c r="AT22" i="7" s="1"/>
  <c r="AW38" i="6"/>
  <c r="AU36" i="6"/>
  <c r="AV38" i="6"/>
  <c r="AU38" i="6"/>
  <c r="BP3" i="9"/>
  <c r="BP19" i="9"/>
  <c r="BP29" i="9"/>
  <c r="BA14" i="7" s="1"/>
  <c r="BA38" i="7" s="1"/>
  <c r="BP33" i="9"/>
  <c r="BP35" i="9"/>
  <c r="BP37" i="9"/>
  <c r="BJ31" i="5"/>
  <c r="AO54" i="8" l="1"/>
  <c r="F27" i="8"/>
  <c r="I40" i="8"/>
  <c r="I54" i="8" s="1"/>
  <c r="E53" i="8"/>
  <c r="E54" i="8" s="1"/>
  <c r="P53" i="8"/>
  <c r="K53" i="8"/>
  <c r="K54" i="8" s="1"/>
  <c r="M40" i="8"/>
  <c r="R27" i="8"/>
  <c r="S40" i="8"/>
  <c r="C38" i="6"/>
  <c r="U47" i="8"/>
  <c r="V47" i="8"/>
  <c r="V53" i="8" s="1"/>
  <c r="P42" i="5" s="1"/>
  <c r="X40" i="8"/>
  <c r="R31" i="5"/>
  <c r="X53" i="8"/>
  <c r="H38" i="6"/>
  <c r="K18" i="7"/>
  <c r="K42" i="7" s="1"/>
  <c r="AB53" i="8"/>
  <c r="AD53" i="8"/>
  <c r="O17" i="7"/>
  <c r="O41" i="7" s="1"/>
  <c r="F50" i="3"/>
  <c r="F51" i="3" s="1"/>
  <c r="AG53" i="8"/>
  <c r="AH53" i="8"/>
  <c r="AC34" i="5"/>
  <c r="AL54" i="8"/>
  <c r="AC18" i="7"/>
  <c r="AC42" i="7" s="1"/>
  <c r="U38" i="6"/>
  <c r="AB30" i="6"/>
  <c r="T30" i="6"/>
  <c r="AQ27" i="8"/>
  <c r="F15" i="15"/>
  <c r="BB27" i="8"/>
  <c r="AZ27" i="8"/>
  <c r="BH53" i="8"/>
  <c r="BF53" i="8"/>
  <c r="AX53" i="8"/>
  <c r="AO30" i="6"/>
  <c r="AG30" i="6"/>
  <c r="BK27" i="8"/>
  <c r="AS5" i="6" s="1"/>
  <c r="AU22" i="7" s="1"/>
  <c r="BP27" i="8"/>
  <c r="AX5" i="6" s="1"/>
  <c r="BK24" i="5" s="1"/>
  <c r="AR38" i="6"/>
  <c r="BO40" i="8"/>
  <c r="BO54" i="8" s="1"/>
  <c r="BL53" i="8"/>
  <c r="AZ36" i="6"/>
  <c r="BB17" i="7"/>
  <c r="BB18" i="7"/>
  <c r="BB42" i="7" s="1"/>
  <c r="BM34" i="5"/>
  <c r="BR53" i="8"/>
  <c r="AZ18" i="6"/>
  <c r="BC18" i="6"/>
  <c r="BO31" i="5"/>
  <c r="BT53" i="8"/>
  <c r="BB18" i="6"/>
  <c r="BN31" i="5"/>
  <c r="BA18" i="6"/>
  <c r="BM31" i="5"/>
  <c r="BD6" i="6"/>
  <c r="BQ31" i="5"/>
  <c r="BS40" i="8"/>
  <c r="BS54" i="8" s="1"/>
  <c r="BA6" i="6"/>
  <c r="BQ34" i="5"/>
  <c r="BU27" i="8"/>
  <c r="BE26" i="7"/>
  <c r="BP21" i="5" s="1"/>
  <c r="BP34" i="5"/>
  <c r="BO34" i="5"/>
  <c r="BN34" i="5"/>
  <c r="BC36" i="6"/>
  <c r="BE17" i="7"/>
  <c r="BE18" i="7"/>
  <c r="BE42" i="7" s="1"/>
  <c r="BE20" i="7"/>
  <c r="BE44" i="7" s="1"/>
  <c r="BT27" i="8"/>
  <c r="BB36" i="6"/>
  <c r="BD17" i="7"/>
  <c r="BD18" i="7"/>
  <c r="BD42" i="7" s="1"/>
  <c r="BD20" i="7"/>
  <c r="BD44" i="7" s="1"/>
  <c r="BA36" i="6"/>
  <c r="BC17" i="7"/>
  <c r="BC18" i="7"/>
  <c r="BC42" i="7" s="1"/>
  <c r="BD18" i="6"/>
  <c r="BP31" i="5"/>
  <c r="BE14" i="7"/>
  <c r="BE38" i="7" s="1"/>
  <c r="BT33" i="9"/>
  <c r="BT35" i="9" s="1"/>
  <c r="BT37" i="9" s="1"/>
  <c r="BE13" i="7" s="1"/>
  <c r="BD14" i="7"/>
  <c r="BD38" i="7" s="1"/>
  <c r="BS33" i="9"/>
  <c r="BS35" i="9" s="1"/>
  <c r="BS37" i="9" s="1"/>
  <c r="BD13" i="7" s="1"/>
  <c r="BE15" i="7"/>
  <c r="BE39" i="7" s="1"/>
  <c r="BP43" i="5"/>
  <c r="BD15" i="7"/>
  <c r="BD39" i="7" s="1"/>
  <c r="BO43" i="5"/>
  <c r="BD36" i="6"/>
  <c r="BV8" i="8"/>
  <c r="BD26" i="6"/>
  <c r="BD25" i="6" s="1"/>
  <c r="BV33" i="8"/>
  <c r="BD10" i="6"/>
  <c r="BD12" i="6"/>
  <c r="BD17" i="6"/>
  <c r="BD16" i="6" s="1"/>
  <c r="BD13" i="6" s="1"/>
  <c r="BP33" i="5"/>
  <c r="BP40" i="5"/>
  <c r="BP41" i="5"/>
  <c r="M80" i="3"/>
  <c r="BD48" i="6"/>
  <c r="BC48" i="6"/>
  <c r="BB48" i="6"/>
  <c r="BA48" i="6"/>
  <c r="AZ48" i="6"/>
  <c r="BD42" i="6"/>
  <c r="BC42" i="6"/>
  <c r="BB42" i="6"/>
  <c r="BA42" i="6"/>
  <c r="AZ42" i="6"/>
  <c r="BD30" i="6"/>
  <c r="BC30" i="6"/>
  <c r="BB30" i="6"/>
  <c r="BA30" i="6"/>
  <c r="AZ30" i="6"/>
  <c r="BC25" i="6"/>
  <c r="BB25" i="6"/>
  <c r="BA25" i="6"/>
  <c r="AZ25" i="6"/>
  <c r="BC16" i="6"/>
  <c r="BC13" i="6" s="1"/>
  <c r="BB16" i="6"/>
  <c r="BB13" i="6" s="1"/>
  <c r="BA16" i="6"/>
  <c r="BA13" i="6" s="1"/>
  <c r="AZ16" i="6"/>
  <c r="AZ13" i="6" s="1"/>
  <c r="BR9" i="5"/>
  <c r="BF24" i="7"/>
  <c r="BF23" i="7"/>
  <c r="BD14" i="6"/>
  <c r="BF4" i="7"/>
  <c r="BF7" i="7"/>
  <c r="BQ9" i="5" s="1"/>
  <c r="BE23" i="7"/>
  <c r="BE24" i="7"/>
  <c r="BC14" i="6"/>
  <c r="BE4" i="7"/>
  <c r="BE7" i="7"/>
  <c r="BD23" i="7"/>
  <c r="BD24" i="7"/>
  <c r="BB14" i="6"/>
  <c r="BD4" i="7"/>
  <c r="BD7" i="7"/>
  <c r="BC23" i="7"/>
  <c r="BC48" i="7" s="1"/>
  <c r="BC24" i="7"/>
  <c r="BA14" i="6"/>
  <c r="BC4" i="7"/>
  <c r="BC7" i="7"/>
  <c r="BB24" i="7"/>
  <c r="BB23" i="7"/>
  <c r="BB48" i="7" s="1"/>
  <c r="AZ14" i="6"/>
  <c r="BB4" i="7"/>
  <c r="BB7" i="7"/>
  <c r="BR14" i="5"/>
  <c r="BF31" i="7"/>
  <c r="BM20" i="5"/>
  <c r="BB47" i="7"/>
  <c r="D54" i="3"/>
  <c r="O10" i="7" s="1"/>
  <c r="O34" i="7" s="1"/>
  <c r="O78" i="7" s="1"/>
  <c r="O72" i="7" s="1"/>
  <c r="D28" i="3"/>
  <c r="I10" i="7" s="1"/>
  <c r="I34" i="7" s="1"/>
  <c r="I78" i="7" s="1"/>
  <c r="I72" i="7" s="1"/>
  <c r="O74" i="3"/>
  <c r="O67" i="3"/>
  <c r="O24" i="3"/>
  <c r="O17" i="3"/>
  <c r="O25" i="3" s="1"/>
  <c r="O75" i="3"/>
  <c r="AI53" i="8"/>
  <c r="AI54" i="8" s="1"/>
  <c r="AA40" i="8"/>
  <c r="AS27" i="8"/>
  <c r="AC15" i="7" s="1"/>
  <c r="AC39" i="7" s="1"/>
  <c r="L36" i="6"/>
  <c r="J36" i="6"/>
  <c r="G40" i="8"/>
  <c r="M53" i="8"/>
  <c r="M54" i="8" s="1"/>
  <c r="Q40" i="8"/>
  <c r="R40" i="8"/>
  <c r="S53" i="8"/>
  <c r="V33" i="8"/>
  <c r="V40" i="8" s="1"/>
  <c r="V54" i="8" s="1"/>
  <c r="I38" i="6"/>
  <c r="AF53" i="8"/>
  <c r="AG27" i="8"/>
  <c r="AW6" i="6"/>
  <c r="AX18" i="6"/>
  <c r="AY30" i="6"/>
  <c r="T31" i="5"/>
  <c r="AG54" i="8"/>
  <c r="I6" i="6"/>
  <c r="Z18" i="7"/>
  <c r="Z42" i="7" s="1"/>
  <c r="AF54" i="8"/>
  <c r="Z17" i="7"/>
  <c r="AK47" i="5" s="1"/>
  <c r="Q17" i="7"/>
  <c r="Q41" i="7" s="1"/>
  <c r="E27" i="8"/>
  <c r="Q53" i="8"/>
  <c r="R53" i="8"/>
  <c r="S27" i="8"/>
  <c r="J38" i="6"/>
  <c r="AY40" i="8"/>
  <c r="AW30" i="6"/>
  <c r="R42" i="5"/>
  <c r="R30" i="5"/>
  <c r="AD20" i="6"/>
  <c r="AD16" i="6" s="1"/>
  <c r="AD13" i="6" s="1"/>
  <c r="AC17" i="7"/>
  <c r="AC37" i="7" s="1"/>
  <c r="L54" i="8"/>
  <c r="E38" i="6"/>
  <c r="BF40" i="8"/>
  <c r="BF54" i="8" s="1"/>
  <c r="E55" i="8"/>
  <c r="AB27" i="8"/>
  <c r="L15" i="7" s="1"/>
  <c r="L39" i="7" s="1"/>
  <c r="AJ27" i="8"/>
  <c r="T15" i="7" s="1"/>
  <c r="T39" i="7" s="1"/>
  <c r="T79" i="7" s="1"/>
  <c r="T73" i="7" s="1"/>
  <c r="AZ18" i="7"/>
  <c r="AZ42" i="7" s="1"/>
  <c r="I18" i="7"/>
  <c r="I42" i="7" s="1"/>
  <c r="G53" i="8"/>
  <c r="G54" i="8" s="1"/>
  <c r="I30" i="6"/>
  <c r="AA53" i="8"/>
  <c r="L30" i="6"/>
  <c r="N38" i="6"/>
  <c r="AL34" i="5"/>
  <c r="AM27" i="8"/>
  <c r="W13" i="7" s="1"/>
  <c r="AC25" i="6"/>
  <c r="U25" i="6"/>
  <c r="AD38" i="6"/>
  <c r="F36" i="15" s="1"/>
  <c r="BE27" i="8"/>
  <c r="AX16" i="6"/>
  <c r="AX13" i="6" s="1"/>
  <c r="AX14" i="6" s="1"/>
  <c r="AZ6" i="7" s="1"/>
  <c r="BU40" i="8"/>
  <c r="BL54" i="8"/>
  <c r="S54" i="8"/>
  <c r="S55" i="8" s="1"/>
  <c r="AD27" i="8"/>
  <c r="Y43" i="5" s="1"/>
  <c r="U37" i="7"/>
  <c r="BK31" i="5"/>
  <c r="Y40" i="8"/>
  <c r="W38" i="6"/>
  <c r="J54" i="8"/>
  <c r="BE54" i="8"/>
  <c r="G38" i="6"/>
  <c r="Q18" i="7"/>
  <c r="Q42" i="7" s="1"/>
  <c r="BH27" i="8"/>
  <c r="BT40" i="8"/>
  <c r="BS27" i="8"/>
  <c r="BP40" i="8"/>
  <c r="BP54" i="8" s="1"/>
  <c r="BP55" i="8" s="1"/>
  <c r="AL27" i="8"/>
  <c r="V20" i="7" s="1"/>
  <c r="V44" i="7" s="1"/>
  <c r="W42" i="5"/>
  <c r="L18" i="7"/>
  <c r="L42" i="7" s="1"/>
  <c r="O53" i="8"/>
  <c r="O54" i="8" s="1"/>
  <c r="O55" i="8" s="1"/>
  <c r="N53" i="8"/>
  <c r="E18" i="7"/>
  <c r="E42" i="7" s="1"/>
  <c r="BM27" i="8"/>
  <c r="AU5" i="6" s="1"/>
  <c r="AW22" i="7" s="1"/>
  <c r="BH15" i="5" s="1"/>
  <c r="AY38" i="6"/>
  <c r="BV53" i="8"/>
  <c r="BP42" i="5" s="1"/>
  <c r="BV40" i="8"/>
  <c r="BV27" i="8"/>
  <c r="BU3" i="9"/>
  <c r="BU19" i="9" s="1"/>
  <c r="BU29" i="9" s="1"/>
  <c r="BR3" i="9"/>
  <c r="BR19" i="9" s="1"/>
  <c r="BR29" i="9" s="1"/>
  <c r="BT54" i="8"/>
  <c r="BU54" i="8"/>
  <c r="AD41" i="7"/>
  <c r="S41" i="7"/>
  <c r="AD37" i="7"/>
  <c r="AP47" i="5"/>
  <c r="P30" i="6"/>
  <c r="L25" i="6"/>
  <c r="C30" i="6"/>
  <c r="G25" i="6"/>
  <c r="I24" i="7" s="1"/>
  <c r="AB25" i="6"/>
  <c r="AD24" i="7" s="1"/>
  <c r="AW25" i="6"/>
  <c r="C18" i="6"/>
  <c r="C16" i="6" s="1"/>
  <c r="C13" i="6" s="1"/>
  <c r="U53" i="8"/>
  <c r="AB42" i="5"/>
  <c r="AB43" i="5"/>
  <c r="AB30" i="5"/>
  <c r="Q20" i="7"/>
  <c r="Q44" i="7" s="1"/>
  <c r="Q26" i="7"/>
  <c r="AB21" i="5" s="1"/>
  <c r="O5" i="6"/>
  <c r="AB24" i="5" s="1"/>
  <c r="Q15" i="7"/>
  <c r="Q39" i="7" s="1"/>
  <c r="AB40" i="5"/>
  <c r="Q13" i="7"/>
  <c r="AG55" i="8"/>
  <c r="AB41" i="5"/>
  <c r="V27" i="8"/>
  <c r="Q42" i="5" s="1"/>
  <c r="F18" i="7"/>
  <c r="F42" i="7" s="1"/>
  <c r="D36" i="6"/>
  <c r="T13" i="7"/>
  <c r="F36" i="6"/>
  <c r="X27" i="8"/>
  <c r="H17" i="7"/>
  <c r="S47" i="5" s="1"/>
  <c r="H20" i="7"/>
  <c r="H44" i="7" s="1"/>
  <c r="S31" i="5"/>
  <c r="Y53" i="8"/>
  <c r="G18" i="6"/>
  <c r="G16" i="6" s="1"/>
  <c r="G13" i="6" s="1"/>
  <c r="J17" i="7"/>
  <c r="J18" i="7"/>
  <c r="J42" i="7" s="1"/>
  <c r="J5" i="6"/>
  <c r="W26" i="5" s="1"/>
  <c r="W40" i="5"/>
  <c r="W43" i="5"/>
  <c r="P36" i="6"/>
  <c r="R17" i="7"/>
  <c r="AC47" i="5" s="1"/>
  <c r="AN31" i="5"/>
  <c r="AB18" i="6"/>
  <c r="AB16" i="6" s="1"/>
  <c r="AB13" i="6" s="1"/>
  <c r="AJ34" i="5"/>
  <c r="X38" i="6"/>
  <c r="T36" i="6"/>
  <c r="V18" i="7"/>
  <c r="V42" i="7" s="1"/>
  <c r="AF18" i="7"/>
  <c r="AF42" i="7" s="1"/>
  <c r="AF17" i="7"/>
  <c r="F40" i="15"/>
  <c r="Y41" i="5"/>
  <c r="N37" i="7"/>
  <c r="Y20" i="7"/>
  <c r="Y44" i="7" s="1"/>
  <c r="U27" i="8"/>
  <c r="E20" i="7" s="1"/>
  <c r="E44" i="7" s="1"/>
  <c r="Y34" i="5"/>
  <c r="K41" i="7"/>
  <c r="V47" i="5"/>
  <c r="V17" i="7"/>
  <c r="AI21" i="8"/>
  <c r="Q38" i="6" s="1"/>
  <c r="D20" i="6"/>
  <c r="D16" i="6" s="1"/>
  <c r="D13" i="6" s="1"/>
  <c r="R34" i="5"/>
  <c r="G26" i="7"/>
  <c r="R21" i="5" s="1"/>
  <c r="L38" i="6"/>
  <c r="X34" i="5"/>
  <c r="Y31" i="5"/>
  <c r="M18" i="6"/>
  <c r="M16" i="6" s="1"/>
  <c r="M13" i="6" s="1"/>
  <c r="O4" i="7" s="1"/>
  <c r="BI4" i="8"/>
  <c r="BM40" i="8"/>
  <c r="BM54" i="8" s="1"/>
  <c r="BM55" i="8" s="1"/>
  <c r="BR27" i="8"/>
  <c r="Y5" i="6"/>
  <c r="AA22" i="7" s="1"/>
  <c r="AL19" i="5" s="1"/>
  <c r="AT53" i="8"/>
  <c r="AT54" i="8" s="1"/>
  <c r="AT55" i="8" s="1"/>
  <c r="N18" i="7"/>
  <c r="N42" i="7" s="1"/>
  <c r="L6" i="6"/>
  <c r="AI8" i="8"/>
  <c r="AI27" i="8" s="1"/>
  <c r="AD41" i="5" s="1"/>
  <c r="Q28" i="6"/>
  <c r="Q25" i="6" s="1"/>
  <c r="S24" i="7" s="1"/>
  <c r="AU54" i="8"/>
  <c r="Y36" i="6"/>
  <c r="AA17" i="7"/>
  <c r="AA37" i="7" s="1"/>
  <c r="AA18" i="7"/>
  <c r="AA42" i="7" s="1"/>
  <c r="AA20" i="7"/>
  <c r="AA44" i="7" s="1"/>
  <c r="AE6" i="6"/>
  <c r="AW40" i="8"/>
  <c r="AW54" i="8" s="1"/>
  <c r="AQ26" i="6"/>
  <c r="AQ25" i="6" s="1"/>
  <c r="BI8" i="8"/>
  <c r="G20" i="7"/>
  <c r="G44" i="7" s="1"/>
  <c r="G15" i="7"/>
  <c r="G39" i="7" s="1"/>
  <c r="R40" i="5"/>
  <c r="U20" i="7"/>
  <c r="U44" i="7" s="1"/>
  <c r="S5" i="6"/>
  <c r="AF25" i="5" s="1"/>
  <c r="AK55" i="8"/>
  <c r="AV8" i="8"/>
  <c r="F39" i="15" s="1"/>
  <c r="AD28" i="6"/>
  <c r="AD13" i="7"/>
  <c r="AD15" i="7"/>
  <c r="AD39" i="7" s="1"/>
  <c r="AD79" i="7" s="1"/>
  <c r="AD73" i="7" s="1"/>
  <c r="AD20" i="7"/>
  <c r="AD44" i="7" s="1"/>
  <c r="Z40" i="8"/>
  <c r="Z54" i="8" s="1"/>
  <c r="AH27" i="8"/>
  <c r="BO27" i="8"/>
  <c r="C36" i="6"/>
  <c r="R18" i="7"/>
  <c r="R42" i="7" s="1"/>
  <c r="W41" i="5"/>
  <c r="AB5" i="6"/>
  <c r="AD22" i="7" s="1"/>
  <c r="AO19" i="5" s="1"/>
  <c r="Y26" i="7"/>
  <c r="AJ21" i="5" s="1"/>
  <c r="AD40" i="8"/>
  <c r="AD54" i="8" s="1"/>
  <c r="Q37" i="7"/>
  <c r="R54" i="8"/>
  <c r="R55" i="8" s="1"/>
  <c r="T27" i="8"/>
  <c r="D38" i="6"/>
  <c r="P34" i="5"/>
  <c r="W40" i="8"/>
  <c r="W54" i="8" s="1"/>
  <c r="E6" i="6"/>
  <c r="AA27" i="8"/>
  <c r="V42" i="5" s="1"/>
  <c r="P6" i="6"/>
  <c r="AH40" i="8"/>
  <c r="AH54" i="8" s="1"/>
  <c r="AC31" i="5"/>
  <c r="AK31" i="5"/>
  <c r="Y18" i="6"/>
  <c r="Y16" i="6" s="1"/>
  <c r="Y13" i="6" s="1"/>
  <c r="AA8" i="7" s="1"/>
  <c r="BH54" i="8"/>
  <c r="AL6" i="6"/>
  <c r="BD40" i="8"/>
  <c r="BD54" i="8" s="1"/>
  <c r="V15" i="7"/>
  <c r="V39" i="7" s="1"/>
  <c r="AS40" i="8"/>
  <c r="AS54" i="8" s="1"/>
  <c r="AS55" i="8" s="1"/>
  <c r="K6" i="6"/>
  <c r="T18" i="7"/>
  <c r="T42" i="7" s="1"/>
  <c r="AC16" i="6"/>
  <c r="AC13" i="6" s="1"/>
  <c r="AE7" i="7" s="1"/>
  <c r="AE31" i="7" s="1"/>
  <c r="H18" i="7"/>
  <c r="H42" i="7" s="1"/>
  <c r="T54" i="8"/>
  <c r="T55" i="8" s="1"/>
  <c r="P40" i="8"/>
  <c r="P54" i="8" s="1"/>
  <c r="P55" i="8" s="1"/>
  <c r="J27" i="8"/>
  <c r="J55" i="8" s="1"/>
  <c r="Z27" i="8"/>
  <c r="U42" i="5" s="1"/>
  <c r="M18" i="7"/>
  <c r="M42" i="7" s="1"/>
  <c r="K36" i="6"/>
  <c r="M17" i="7"/>
  <c r="M41" i="7" s="1"/>
  <c r="AC27" i="8"/>
  <c r="AP27" i="8"/>
  <c r="AM34" i="5"/>
  <c r="W26" i="7"/>
  <c r="AH21" i="5" s="1"/>
  <c r="AN27" i="8"/>
  <c r="AI30" i="5" s="1"/>
  <c r="X16" i="6"/>
  <c r="X13" i="6" s="1"/>
  <c r="Z7" i="7" s="1"/>
  <c r="Z31" i="7" s="1"/>
  <c r="Y18" i="7"/>
  <c r="Y42" i="7" s="1"/>
  <c r="Y17" i="7"/>
  <c r="AJ47" i="5" s="1"/>
  <c r="AZ42" i="5"/>
  <c r="U18" i="6"/>
  <c r="U16" i="6" s="1"/>
  <c r="U13" i="6" s="1"/>
  <c r="U14" i="6" s="1"/>
  <c r="AM53" i="8"/>
  <c r="Z36" i="6"/>
  <c r="AB17" i="7"/>
  <c r="AM47" i="5" s="1"/>
  <c r="AB18" i="7"/>
  <c r="AB42" i="7" s="1"/>
  <c r="Q34" i="5"/>
  <c r="Y42" i="5"/>
  <c r="N26" i="7"/>
  <c r="Y21" i="5" s="1"/>
  <c r="AA6" i="6"/>
  <c r="AD26" i="7"/>
  <c r="AO21" i="5" s="1"/>
  <c r="G13" i="7"/>
  <c r="E5" i="6"/>
  <c r="G22" i="7" s="1"/>
  <c r="R19" i="5" s="1"/>
  <c r="E17" i="7"/>
  <c r="AR27" i="8"/>
  <c r="AB26" i="7" s="1"/>
  <c r="AM21" i="5" s="1"/>
  <c r="F40" i="8"/>
  <c r="F54" i="8" s="1"/>
  <c r="F55" i="8" s="1"/>
  <c r="N54" i="8"/>
  <c r="D31" i="5"/>
  <c r="U40" i="8"/>
  <c r="U54" i="8" s="1"/>
  <c r="C6" i="6"/>
  <c r="W47" i="5"/>
  <c r="L37" i="7"/>
  <c r="V6" i="6"/>
  <c r="X18" i="7"/>
  <c r="X42" i="7" s="1"/>
  <c r="AN40" i="8"/>
  <c r="AN54" i="8" s="1"/>
  <c r="AN55" i="8" s="1"/>
  <c r="U5" i="6"/>
  <c r="W25" i="7" s="1"/>
  <c r="AH14" i="5" s="1"/>
  <c r="AV53" i="8"/>
  <c r="AV54" i="8" s="1"/>
  <c r="AJ6" i="6"/>
  <c r="BB40" i="8"/>
  <c r="BB54" i="8" s="1"/>
  <c r="AA5" i="6"/>
  <c r="AN26" i="5" s="1"/>
  <c r="AC13" i="7"/>
  <c r="AC20" i="7"/>
  <c r="AC44" i="7" s="1"/>
  <c r="AO55" i="8"/>
  <c r="AC54" i="8"/>
  <c r="W55" i="8"/>
  <c r="BQ27" i="8"/>
  <c r="BL42" i="5" s="1"/>
  <c r="AE47" i="5"/>
  <c r="N13" i="7"/>
  <c r="N20" i="7"/>
  <c r="N44" i="7" s="1"/>
  <c r="Y13" i="7"/>
  <c r="R41" i="5"/>
  <c r="X31" i="5"/>
  <c r="X54" i="8"/>
  <c r="AD36" i="6"/>
  <c r="AQ40" i="8"/>
  <c r="AQ54" i="8" s="1"/>
  <c r="AQ55" i="8" s="1"/>
  <c r="G27" i="8"/>
  <c r="G55" i="8" s="1"/>
  <c r="M6" i="6"/>
  <c r="O18" i="7"/>
  <c r="O42" i="7" s="1"/>
  <c r="AE40" i="8"/>
  <c r="AE54" i="8" s="1"/>
  <c r="Z31" i="5"/>
  <c r="AF27" i="8"/>
  <c r="AA42" i="5" s="1"/>
  <c r="P17" i="7"/>
  <c r="R18" i="6"/>
  <c r="R16" i="6" s="1"/>
  <c r="R13" i="6" s="1"/>
  <c r="R14" i="6" s="1"/>
  <c r="AJ53" i="8"/>
  <c r="AD42" i="5" s="1"/>
  <c r="AJ40" i="8"/>
  <c r="U26" i="7"/>
  <c r="AF21" i="5" s="1"/>
  <c r="U6" i="6"/>
  <c r="AM40" i="8"/>
  <c r="W18" i="7"/>
  <c r="W42" i="7" s="1"/>
  <c r="AU27" i="8"/>
  <c r="AE20" i="7" s="1"/>
  <c r="AE44" i="7" s="1"/>
  <c r="AC36" i="6"/>
  <c r="AZ53" i="8"/>
  <c r="AZ54" i="8" s="1"/>
  <c r="H40" i="8"/>
  <c r="H54" i="8" s="1"/>
  <c r="H55" i="8" s="1"/>
  <c r="Q27" i="8"/>
  <c r="Y27" i="8"/>
  <c r="T42" i="5" s="1"/>
  <c r="AE27" i="8"/>
  <c r="Z42" i="5" s="1"/>
  <c r="AB54" i="8"/>
  <c r="AB55" i="8" s="1"/>
  <c r="N27" i="8"/>
  <c r="K27" i="8"/>
  <c r="J30" i="6"/>
  <c r="AF34" i="5"/>
  <c r="AP53" i="8"/>
  <c r="AJ42" i="5" s="1"/>
  <c r="AI31" i="5"/>
  <c r="AE34" i="5"/>
  <c r="AM31" i="5"/>
  <c r="AP34" i="5"/>
  <c r="AH34" i="5"/>
  <c r="Y25" i="6"/>
  <c r="AQ44" i="5"/>
  <c r="AP54" i="8"/>
  <c r="L27" i="8"/>
  <c r="W34" i="5"/>
  <c r="AE31" i="5"/>
  <c r="AL31" i="5"/>
  <c r="AH31" i="5"/>
  <c r="AO34" i="5"/>
  <c r="BJ40" i="8"/>
  <c r="BJ54" i="8" s="1"/>
  <c r="AN34" i="5"/>
  <c r="AN47" i="5"/>
  <c r="X37" i="7"/>
  <c r="H16" i="6"/>
  <c r="H13" i="6" s="1"/>
  <c r="Y25" i="7"/>
  <c r="Y49" i="7" s="1"/>
  <c r="AT16" i="6"/>
  <c r="AT13" i="6" s="1"/>
  <c r="AT14" i="6" s="1"/>
  <c r="AV16" i="6"/>
  <c r="AV13" i="6" s="1"/>
  <c r="AV14" i="6" s="1"/>
  <c r="AW16" i="6"/>
  <c r="AW13" i="6" s="1"/>
  <c r="AW14" i="6" s="1"/>
  <c r="F12" i="15"/>
  <c r="R27" i="5"/>
  <c r="Z30" i="6"/>
  <c r="R30" i="6"/>
  <c r="V30" i="6"/>
  <c r="AJ30" i="6"/>
  <c r="AN30" i="6"/>
  <c r="AD30" i="6"/>
  <c r="I25" i="6"/>
  <c r="K24" i="7" s="1"/>
  <c r="Y47" i="5"/>
  <c r="O16" i="6"/>
  <c r="O13" i="6" s="1"/>
  <c r="Q4" i="7" s="1"/>
  <c r="N30" i="6"/>
  <c r="AK9" i="5"/>
  <c r="AE24" i="7"/>
  <c r="AE23" i="7"/>
  <c r="AP20" i="5" s="1"/>
  <c r="F16" i="6"/>
  <c r="F13" i="6" s="1"/>
  <c r="H4" i="7" s="1"/>
  <c r="C25" i="6"/>
  <c r="Y30" i="6"/>
  <c r="AC30" i="6"/>
  <c r="U30" i="6"/>
  <c r="AD25" i="6"/>
  <c r="AF24" i="7" s="1"/>
  <c r="Z25" i="6"/>
  <c r="AB24" i="7" s="1"/>
  <c r="R25" i="6"/>
  <c r="V16" i="6"/>
  <c r="V13" i="6" s="1"/>
  <c r="X4" i="7" s="1"/>
  <c r="W16" i="6"/>
  <c r="W13" i="6" s="1"/>
  <c r="Y7" i="7" s="1"/>
  <c r="AD19" i="7"/>
  <c r="AD43" i="7" s="1"/>
  <c r="AD80" i="7" s="1"/>
  <c r="AD74" i="7" s="1"/>
  <c r="AI30" i="6"/>
  <c r="AM30" i="6"/>
  <c r="AX30" i="6"/>
  <c r="AU25" i="6"/>
  <c r="AS16" i="6"/>
  <c r="AS13" i="6" s="1"/>
  <c r="AS14" i="6" s="1"/>
  <c r="AU6" i="7" s="1"/>
  <c r="BF8" i="5" s="1"/>
  <c r="AR16" i="6"/>
  <c r="AR13" i="6" s="1"/>
  <c r="AR14" i="6" s="1"/>
  <c r="AT6" i="7" s="1"/>
  <c r="AL47" i="5"/>
  <c r="Z16" i="6"/>
  <c r="Z13" i="6" s="1"/>
  <c r="AB4" i="7" s="1"/>
  <c r="G30" i="6"/>
  <c r="T47" i="5"/>
  <c r="AD47" i="5"/>
  <c r="AD46" i="7"/>
  <c r="W49" i="7"/>
  <c r="AL15" i="5"/>
  <c r="O30" i="6"/>
  <c r="AA30" i="6"/>
  <c r="S30" i="6"/>
  <c r="W25" i="6"/>
  <c r="Y24" i="7" s="1"/>
  <c r="X25" i="6"/>
  <c r="Z24" i="7" s="1"/>
  <c r="AV30" i="6"/>
  <c r="X41" i="7"/>
  <c r="E30" i="6"/>
  <c r="I16" i="6"/>
  <c r="I13" i="6" s="1"/>
  <c r="N16" i="6"/>
  <c r="N13" i="6" s="1"/>
  <c r="P4" i="7" s="1"/>
  <c r="AA6" i="5" s="1"/>
  <c r="D25" i="6"/>
  <c r="F24" i="7" s="1"/>
  <c r="W37" i="7"/>
  <c r="H30" i="6"/>
  <c r="E16" i="6"/>
  <c r="E13" i="6" s="1"/>
  <c r="E14" i="6" s="1"/>
  <c r="K30" i="6"/>
  <c r="O25" i="6"/>
  <c r="AP9" i="5"/>
  <c r="AJ14" i="5"/>
  <c r="AC79" i="7"/>
  <c r="AC73" i="7" s="1"/>
  <c r="P28" i="7"/>
  <c r="AF47" i="5"/>
  <c r="Y22" i="7"/>
  <c r="L16" i="6"/>
  <c r="L13" i="6" s="1"/>
  <c r="N23" i="7" s="1"/>
  <c r="M25" i="6"/>
  <c r="E25" i="6"/>
  <c r="AF30" i="6"/>
  <c r="W41" i="7"/>
  <c r="Z47" i="5"/>
  <c r="F10" i="15"/>
  <c r="K25" i="6"/>
  <c r="AQ30" i="6"/>
  <c r="F43" i="15"/>
  <c r="S16" i="6"/>
  <c r="S13" i="6" s="1"/>
  <c r="S14" i="6" s="1"/>
  <c r="AA16" i="6"/>
  <c r="AA13" i="6" s="1"/>
  <c r="AA14" i="6" s="1"/>
  <c r="Y19" i="7"/>
  <c r="Y43" i="7" s="1"/>
  <c r="P16" i="6"/>
  <c r="P13" i="6" s="1"/>
  <c r="P25" i="6"/>
  <c r="H25" i="6"/>
  <c r="J24" i="7" s="1"/>
  <c r="AZ25" i="7"/>
  <c r="BK14" i="5" s="1"/>
  <c r="W30" i="6"/>
  <c r="T25" i="6"/>
  <c r="V24" i="7" s="1"/>
  <c r="AE30" i="6"/>
  <c r="AM25" i="6"/>
  <c r="AO24" i="7" s="1"/>
  <c r="AE25" i="6"/>
  <c r="AG24" i="7" s="1"/>
  <c r="AX25" i="6"/>
  <c r="O37" i="7"/>
  <c r="F25" i="15"/>
  <c r="D30" i="6"/>
  <c r="F30" i="6"/>
  <c r="M30" i="6"/>
  <c r="AA25" i="6"/>
  <c r="S25" i="6"/>
  <c r="AL30" i="6"/>
  <c r="AS30" i="6"/>
  <c r="AZ4" i="7"/>
  <c r="T24" i="7"/>
  <c r="AA24" i="7"/>
  <c r="AT25" i="7"/>
  <c r="BE14" i="5" s="1"/>
  <c r="R47" i="5"/>
  <c r="G37" i="7"/>
  <c r="G41" i="7"/>
  <c r="AB7" i="7"/>
  <c r="AO15" i="5"/>
  <c r="F20" i="15"/>
  <c r="Q16" i="6"/>
  <c r="Q13" i="6" s="1"/>
  <c r="R26" i="5"/>
  <c r="AB47" i="5"/>
  <c r="T16" i="6"/>
  <c r="T13" i="6" s="1"/>
  <c r="J16" i="6"/>
  <c r="J13" i="6" s="1"/>
  <c r="AS25" i="6"/>
  <c r="AU24" i="7" s="1"/>
  <c r="AR25" i="6"/>
  <c r="AT24" i="7" s="1"/>
  <c r="T4" i="7"/>
  <c r="T7" i="7"/>
  <c r="AR30" i="6"/>
  <c r="Q30" i="6"/>
  <c r="AO25" i="6"/>
  <c r="AQ24" i="7" s="1"/>
  <c r="AG25" i="6"/>
  <c r="AI24" i="7" s="1"/>
  <c r="V25" i="6"/>
  <c r="AN25" i="6"/>
  <c r="AD25" i="7"/>
  <c r="J25" i="6"/>
  <c r="AT30" i="6"/>
  <c r="BQ33" i="9"/>
  <c r="BQ35" i="9" s="1"/>
  <c r="BQ37" i="9" s="1"/>
  <c r="BB13" i="7" s="1"/>
  <c r="BR40" i="8"/>
  <c r="BR54" i="8" s="1"/>
  <c r="BR55" i="8" s="1"/>
  <c r="BA13" i="7"/>
  <c r="AV7" i="7"/>
  <c r="BJ30" i="5"/>
  <c r="BJ40" i="5"/>
  <c r="BJ41" i="5"/>
  <c r="AZ22" i="7"/>
  <c r="BK25" i="5"/>
  <c r="BK26" i="5"/>
  <c r="BK30" i="5"/>
  <c r="BK40" i="5"/>
  <c r="BK41" i="5"/>
  <c r="AW24" i="7"/>
  <c r="BF19" i="5"/>
  <c r="AU46" i="7"/>
  <c r="BF15" i="5"/>
  <c r="BF30" i="5"/>
  <c r="BF40" i="5"/>
  <c r="BF41" i="5"/>
  <c r="AT46" i="7"/>
  <c r="BE15" i="5"/>
  <c r="BE19" i="5"/>
  <c r="BE30" i="5"/>
  <c r="BE40" i="5"/>
  <c r="BE41" i="5"/>
  <c r="BE24" i="5"/>
  <c r="BK55" i="8"/>
  <c r="AY7" i="7"/>
  <c r="BJ55" i="8"/>
  <c r="AX4" i="7"/>
  <c r="AX7" i="7"/>
  <c r="BF42" i="5"/>
  <c r="AT13" i="7"/>
  <c r="AZ13" i="7"/>
  <c r="AU13" i="7"/>
  <c r="F26" i="7"/>
  <c r="Q21" i="5" s="1"/>
  <c r="F20" i="7"/>
  <c r="F44" i="7" s="1"/>
  <c r="AE30" i="5"/>
  <c r="AE40" i="5"/>
  <c r="AE41" i="5"/>
  <c r="AG41" i="5"/>
  <c r="AN30" i="5"/>
  <c r="AN40" i="5"/>
  <c r="AN41" i="5"/>
  <c r="AO30" i="5"/>
  <c r="AO40" i="5"/>
  <c r="AO41" i="5"/>
  <c r="AO42" i="5"/>
  <c r="AL30" i="5"/>
  <c r="AL40" i="5"/>
  <c r="AL41" i="5"/>
  <c r="AA15" i="7"/>
  <c r="AA39" i="7" s="1"/>
  <c r="AE42" i="5"/>
  <c r="AF30" i="5"/>
  <c r="AF40" i="5"/>
  <c r="AF41" i="5"/>
  <c r="AO24" i="5"/>
  <c r="AG42" i="5"/>
  <c r="AJ30" i="5"/>
  <c r="AJ40" i="5"/>
  <c r="AJ41" i="5"/>
  <c r="Y15" i="7"/>
  <c r="Y39" i="7" s="1"/>
  <c r="AH30" i="5"/>
  <c r="AH40" i="5"/>
  <c r="AH41" i="5"/>
  <c r="AP30" i="5"/>
  <c r="AE15" i="7"/>
  <c r="AE39" i="7" s="1"/>
  <c r="AP42" i="5"/>
  <c r="AM30" i="5"/>
  <c r="AF42" i="5"/>
  <c r="AL42" i="5"/>
  <c r="AN42" i="5"/>
  <c r="AH42" i="5"/>
  <c r="AM42" i="5"/>
  <c r="AS30" i="5"/>
  <c r="AS40" i="5"/>
  <c r="AS41" i="5"/>
  <c r="AF5" i="6"/>
  <c r="AH22" i="7" s="1"/>
  <c r="AT30" i="5"/>
  <c r="AT40" i="5"/>
  <c r="AT41" i="5"/>
  <c r="AG5" i="6"/>
  <c r="AI22" i="7" s="1"/>
  <c r="BB30" i="5"/>
  <c r="BB40" i="5"/>
  <c r="BB41" i="5"/>
  <c r="AO5" i="6"/>
  <c r="AQ22" i="7" s="1"/>
  <c r="AU30" i="5"/>
  <c r="AU40" i="5"/>
  <c r="AU41" i="5"/>
  <c r="AH5" i="6"/>
  <c r="AJ22" i="7" s="1"/>
  <c r="BC30" i="5"/>
  <c r="AP5" i="6"/>
  <c r="AR22" i="7" s="1"/>
  <c r="BA30" i="5"/>
  <c r="BA40" i="5"/>
  <c r="BA41" i="5"/>
  <c r="AN5" i="6"/>
  <c r="AP22" i="7" s="1"/>
  <c r="AW30" i="5"/>
  <c r="AW40" i="5"/>
  <c r="AW41" i="5"/>
  <c r="AJ5" i="6"/>
  <c r="AL22" i="7" s="1"/>
  <c r="AX30" i="5"/>
  <c r="AX40" i="5"/>
  <c r="AX41" i="5"/>
  <c r="AK5" i="6"/>
  <c r="AM22" i="7" s="1"/>
  <c r="AY30" i="5"/>
  <c r="AY40" i="5"/>
  <c r="AY41" i="5"/>
  <c r="AL5" i="6"/>
  <c r="AN22" i="7" s="1"/>
  <c r="AV30" i="5"/>
  <c r="AV40" i="5"/>
  <c r="AV41" i="5"/>
  <c r="AI5" i="6"/>
  <c r="AK22" i="7" s="1"/>
  <c r="AY42" i="5"/>
  <c r="AS42" i="5"/>
  <c r="BA42" i="5"/>
  <c r="I27" i="8"/>
  <c r="I55" i="8" s="1"/>
  <c r="K16" i="6"/>
  <c r="K13" i="6" s="1"/>
  <c r="R78" i="7"/>
  <c r="R72" i="7"/>
  <c r="N25" i="6"/>
  <c r="F25" i="6"/>
  <c r="AE43" i="5"/>
  <c r="AG43" i="5"/>
  <c r="AF43" i="5"/>
  <c r="AJ29" i="9"/>
  <c r="AD31" i="5"/>
  <c r="AD34" i="5"/>
  <c r="AG31" i="5"/>
  <c r="AJ24" i="5"/>
  <c r="AG34" i="5"/>
  <c r="AP43" i="5"/>
  <c r="AO43" i="5"/>
  <c r="AN43" i="5"/>
  <c r="AM43" i="5"/>
  <c r="AL43" i="5"/>
  <c r="AJ43" i="5"/>
  <c r="AI43" i="5"/>
  <c r="AH43" i="5"/>
  <c r="AO27" i="5"/>
  <c r="AJ27" i="5"/>
  <c r="AO26" i="5"/>
  <c r="AJ26" i="5"/>
  <c r="AO25" i="5"/>
  <c r="AJ25" i="5"/>
  <c r="AP33" i="5"/>
  <c r="AP40" i="5"/>
  <c r="AP41" i="5"/>
  <c r="AP31" i="5"/>
  <c r="AR17" i="7"/>
  <c r="AR18" i="7"/>
  <c r="AR42" i="7" s="1"/>
  <c r="AR20" i="7"/>
  <c r="AR44" i="7" s="1"/>
  <c r="AP36" i="6"/>
  <c r="AQ17" i="7"/>
  <c r="AQ18" i="7"/>
  <c r="AQ42" i="7" s="1"/>
  <c r="AQ20" i="7"/>
  <c r="AQ44" i="7" s="1"/>
  <c r="AO36" i="6"/>
  <c r="AP17" i="7"/>
  <c r="AP18" i="7"/>
  <c r="AP42" i="7" s="1"/>
  <c r="AP20" i="7"/>
  <c r="AP44" i="7" s="1"/>
  <c r="AN36" i="6"/>
  <c r="AZ30" i="5"/>
  <c r="AZ40" i="5"/>
  <c r="AZ41" i="5"/>
  <c r="AM5" i="6"/>
  <c r="AO22" i="7" s="1"/>
  <c r="AO17" i="7"/>
  <c r="AO18" i="7"/>
  <c r="AO42" i="7" s="1"/>
  <c r="AO20" i="7"/>
  <c r="AO44" i="7" s="1"/>
  <c r="AM36" i="6"/>
  <c r="AN17" i="7"/>
  <c r="AN18" i="7"/>
  <c r="AN42" i="7" s="1"/>
  <c r="AN20" i="7"/>
  <c r="AN44" i="7" s="1"/>
  <c r="AL36" i="6"/>
  <c r="AM17" i="7"/>
  <c r="AM18" i="7"/>
  <c r="AM42" i="7" s="1"/>
  <c r="AM20" i="7"/>
  <c r="AM44" i="7" s="1"/>
  <c r="AK36" i="6"/>
  <c r="AL17" i="7"/>
  <c r="AL18" i="7"/>
  <c r="AL42" i="7" s="1"/>
  <c r="AL20" i="7"/>
  <c r="AL44" i="7" s="1"/>
  <c r="AJ36" i="6"/>
  <c r="AK17" i="7"/>
  <c r="AK18" i="7"/>
  <c r="AK42" i="7" s="1"/>
  <c r="AK20" i="7"/>
  <c r="AK44" i="7" s="1"/>
  <c r="AI36" i="6"/>
  <c r="AJ17" i="7"/>
  <c r="AJ18" i="7"/>
  <c r="AJ42" i="7" s="1"/>
  <c r="AJ20" i="7"/>
  <c r="AJ44" i="7" s="1"/>
  <c r="AH36" i="6"/>
  <c r="AI17" i="7"/>
  <c r="AI18" i="7"/>
  <c r="AI42" i="7" s="1"/>
  <c r="AI20" i="7"/>
  <c r="AI44" i="7" s="1"/>
  <c r="AG36" i="6"/>
  <c r="AH17" i="7"/>
  <c r="AH18" i="7"/>
  <c r="AH42" i="7" s="1"/>
  <c r="AH20" i="7"/>
  <c r="AH44" i="7" s="1"/>
  <c r="AF36" i="6"/>
  <c r="AG17" i="7"/>
  <c r="AG18" i="7"/>
  <c r="AG42" i="7" s="1"/>
  <c r="AE36" i="6"/>
  <c r="AW27" i="8"/>
  <c r="AG26" i="7" s="1"/>
  <c r="AR21" i="5" s="1"/>
  <c r="AR26" i="7"/>
  <c r="BC21" i="5" s="1"/>
  <c r="AQ26" i="7"/>
  <c r="BB21" i="5" s="1"/>
  <c r="AP26" i="7"/>
  <c r="BA21" i="5" s="1"/>
  <c r="AO26" i="7"/>
  <c r="AZ21" i="5" s="1"/>
  <c r="AN26" i="7"/>
  <c r="AY21" i="5" s="1"/>
  <c r="AM26" i="7"/>
  <c r="AX21" i="5" s="1"/>
  <c r="AL26" i="7"/>
  <c r="AW21" i="5" s="1"/>
  <c r="AK26" i="7"/>
  <c r="AV21" i="5" s="1"/>
  <c r="AJ26" i="7"/>
  <c r="AU21" i="5" s="1"/>
  <c r="AI26" i="7"/>
  <c r="AT21" i="5" s="1"/>
  <c r="AH26" i="7"/>
  <c r="AS21" i="5" s="1"/>
  <c r="BB34" i="5"/>
  <c r="AP38" i="6"/>
  <c r="BA34" i="5"/>
  <c r="AO38" i="6"/>
  <c r="AZ34" i="5"/>
  <c r="AN38" i="6"/>
  <c r="AY34" i="5"/>
  <c r="AM38" i="6"/>
  <c r="AO25" i="7" s="1"/>
  <c r="AX34" i="5"/>
  <c r="AL38" i="6"/>
  <c r="AW34" i="5"/>
  <c r="AK38" i="6"/>
  <c r="AV34" i="5"/>
  <c r="AJ38" i="6"/>
  <c r="AU34" i="5"/>
  <c r="AI38" i="6"/>
  <c r="AT34" i="5"/>
  <c r="AH38" i="6"/>
  <c r="AS34" i="5"/>
  <c r="AG38" i="6"/>
  <c r="AR34" i="5"/>
  <c r="AF38" i="6"/>
  <c r="AQ34" i="5"/>
  <c r="AE38" i="6"/>
  <c r="BG54" i="8"/>
  <c r="AY54" i="8"/>
  <c r="AF6" i="6"/>
  <c r="AX40" i="8"/>
  <c r="AX54" i="8" s="1"/>
  <c r="BB42" i="5"/>
  <c r="BB31" i="5"/>
  <c r="AP18" i="6"/>
  <c r="AP16" i="6" s="1"/>
  <c r="AP13" i="6" s="1"/>
  <c r="AR23" i="7" s="1"/>
  <c r="BA31" i="5"/>
  <c r="AO18" i="6"/>
  <c r="AO16" i="6" s="1"/>
  <c r="AO13" i="6" s="1"/>
  <c r="AZ31" i="5"/>
  <c r="AN18" i="6"/>
  <c r="AN16" i="6" s="1"/>
  <c r="AN13" i="6" s="1"/>
  <c r="AY31" i="5"/>
  <c r="AM18" i="6"/>
  <c r="AM16" i="6" s="1"/>
  <c r="AM13" i="6" s="1"/>
  <c r="AX42" i="5"/>
  <c r="AX31" i="5"/>
  <c r="AL18" i="6"/>
  <c r="AL16" i="6" s="1"/>
  <c r="AL13" i="6" s="1"/>
  <c r="AW31" i="5"/>
  <c r="AK18" i="6"/>
  <c r="AK16" i="6" s="1"/>
  <c r="AK13" i="6" s="1"/>
  <c r="BC53" i="8"/>
  <c r="AV42" i="5"/>
  <c r="AV31" i="5"/>
  <c r="AJ18" i="6"/>
  <c r="AJ16" i="6" s="1"/>
  <c r="AJ13" i="6" s="1"/>
  <c r="AU31" i="5"/>
  <c r="AI18" i="6"/>
  <c r="AI16" i="6" s="1"/>
  <c r="AI13" i="6" s="1"/>
  <c r="BA53" i="8"/>
  <c r="AT42" i="5"/>
  <c r="AT31" i="5"/>
  <c r="AH18" i="6"/>
  <c r="AH16" i="6" s="1"/>
  <c r="AH13" i="6" s="1"/>
  <c r="AJ23" i="7" s="1"/>
  <c r="AS31" i="5"/>
  <c r="AG18" i="6"/>
  <c r="AG16" i="6" s="1"/>
  <c r="AG13" i="6" s="1"/>
  <c r="AI23" i="7" s="1"/>
  <c r="AR31" i="5"/>
  <c r="AF18" i="6"/>
  <c r="AF16" i="6" s="1"/>
  <c r="AF13" i="6" s="1"/>
  <c r="AQ31" i="5"/>
  <c r="AE18" i="6"/>
  <c r="AE16" i="6" s="1"/>
  <c r="AE13" i="6" s="1"/>
  <c r="BD34" i="5"/>
  <c r="BC34" i="5"/>
  <c r="AQ38" i="6"/>
  <c r="AQ6" i="6"/>
  <c r="BI40" i="8"/>
  <c r="BC31" i="5"/>
  <c r="AQ18" i="6"/>
  <c r="BI53" i="8"/>
  <c r="BC42" i="5" s="1"/>
  <c r="AR13" i="7"/>
  <c r="AQ13" i="7"/>
  <c r="AP13" i="7"/>
  <c r="AO13" i="7"/>
  <c r="AN13" i="7"/>
  <c r="AM13" i="7"/>
  <c r="AL14" i="7"/>
  <c r="AL38" i="7" s="1"/>
  <c r="BA33" i="9"/>
  <c r="BA35" i="9" s="1"/>
  <c r="BA37" i="9" s="1"/>
  <c r="AL13" i="7" s="1"/>
  <c r="AK13" i="7"/>
  <c r="AJ13" i="7"/>
  <c r="AI13" i="7"/>
  <c r="AH13" i="7"/>
  <c r="BC43" i="5"/>
  <c r="AR15" i="7"/>
  <c r="AR39" i="7" s="1"/>
  <c r="BB43" i="5"/>
  <c r="AQ15" i="7"/>
  <c r="AQ39" i="7" s="1"/>
  <c r="BA43" i="5"/>
  <c r="AP15" i="7"/>
  <c r="AP39" i="7" s="1"/>
  <c r="AZ43" i="5"/>
  <c r="AO15" i="7"/>
  <c r="AO39" i="7" s="1"/>
  <c r="AY43" i="5"/>
  <c r="AN15" i="7"/>
  <c r="AN39" i="7" s="1"/>
  <c r="AX43" i="5"/>
  <c r="AM15" i="7"/>
  <c r="AM39" i="7" s="1"/>
  <c r="AW43" i="5"/>
  <c r="AL15" i="7"/>
  <c r="AL39" i="7" s="1"/>
  <c r="AV43" i="5"/>
  <c r="AK15" i="7"/>
  <c r="AK39" i="7" s="1"/>
  <c r="AU43" i="5"/>
  <c r="AJ15" i="7"/>
  <c r="AJ39" i="7" s="1"/>
  <c r="AT43" i="5"/>
  <c r="AI15" i="7"/>
  <c r="AI39" i="7" s="1"/>
  <c r="AS43" i="5"/>
  <c r="AH15" i="7"/>
  <c r="AH39" i="7" s="1"/>
  <c r="AG15" i="7"/>
  <c r="AG39" i="7" s="1"/>
  <c r="BH29" i="9"/>
  <c r="AQ49" i="6"/>
  <c r="AQ48" i="6" s="1"/>
  <c r="AS17" i="7"/>
  <c r="AS18" i="7"/>
  <c r="AS42" i="7" s="1"/>
  <c r="AQ36" i="6"/>
  <c r="BC33" i="5"/>
  <c r="BC40" i="5"/>
  <c r="BC41" i="5"/>
  <c r="AQ17" i="6"/>
  <c r="AQ12" i="6"/>
  <c r="AL48" i="6"/>
  <c r="AK48" i="6"/>
  <c r="AJ48" i="6"/>
  <c r="AI48" i="6"/>
  <c r="AP48" i="6"/>
  <c r="AO48" i="6"/>
  <c r="AN48" i="6"/>
  <c r="AM48" i="6"/>
  <c r="AH48" i="6"/>
  <c r="AG48" i="6"/>
  <c r="AF48" i="6"/>
  <c r="AE48" i="6"/>
  <c r="AR24" i="7"/>
  <c r="AJ24" i="7"/>
  <c r="AL25" i="6"/>
  <c r="AK25" i="6"/>
  <c r="AJ25" i="6"/>
  <c r="AI25" i="6"/>
  <c r="AF25" i="6"/>
  <c r="BA26" i="5"/>
  <c r="BC25" i="5"/>
  <c r="AQ42" i="6"/>
  <c r="AU42" i="6"/>
  <c r="AV25" i="6"/>
  <c r="AT25" i="6"/>
  <c r="AU16" i="6"/>
  <c r="AU13" i="6" s="1"/>
  <c r="AZ19" i="7"/>
  <c r="AZ43" i="7" s="1"/>
  <c r="BK27" i="5"/>
  <c r="BH27" i="5"/>
  <c r="AU19" i="7"/>
  <c r="AU43" i="7" s="1"/>
  <c r="BF27" i="5"/>
  <c r="AT19" i="7"/>
  <c r="AT43" i="7" s="1"/>
  <c r="BE27" i="5"/>
  <c r="BF26" i="5"/>
  <c r="BE26" i="5"/>
  <c r="BF25" i="5"/>
  <c r="BE25" i="5"/>
  <c r="BF24" i="5"/>
  <c r="AZ17" i="7"/>
  <c r="AZ20" i="7"/>
  <c r="AZ44" i="7" s="1"/>
  <c r="AY17" i="7"/>
  <c r="AY18" i="7"/>
  <c r="AY42" i="7" s="1"/>
  <c r="AY20" i="7"/>
  <c r="AY44" i="7" s="1"/>
  <c r="AX17" i="7"/>
  <c r="AX18" i="7"/>
  <c r="AX42" i="7" s="1"/>
  <c r="BN27" i="8"/>
  <c r="AX26" i="7" s="1"/>
  <c r="BI21" i="5" s="1"/>
  <c r="BH30" i="5"/>
  <c r="BH40" i="5"/>
  <c r="AW17" i="7"/>
  <c r="AW18" i="7"/>
  <c r="AW42" i="7" s="1"/>
  <c r="AW20" i="7"/>
  <c r="AW44" i="7" s="1"/>
  <c r="AV17" i="7"/>
  <c r="AV18" i="7"/>
  <c r="AV42" i="7" s="1"/>
  <c r="BL27" i="8"/>
  <c r="AV13" i="7" s="1"/>
  <c r="AU17" i="7"/>
  <c r="AU18" i="7"/>
  <c r="AU42" i="7" s="1"/>
  <c r="AU20" i="7"/>
  <c r="AU44" i="7" s="1"/>
  <c r="AT17" i="7"/>
  <c r="AT18" i="7"/>
  <c r="AT42" i="7" s="1"/>
  <c r="AT20" i="7"/>
  <c r="AT44" i="7" s="1"/>
  <c r="AZ26" i="7"/>
  <c r="BK21" i="5" s="1"/>
  <c r="BK34" i="5"/>
  <c r="AY26" i="7"/>
  <c r="BJ21" i="5" s="1"/>
  <c r="AU26" i="7"/>
  <c r="BF21" i="5" s="1"/>
  <c r="AT26" i="7"/>
  <c r="BE21" i="5" s="1"/>
  <c r="BJ34" i="5"/>
  <c r="BI34" i="5"/>
  <c r="BH34" i="5"/>
  <c r="BG34" i="5"/>
  <c r="BF34" i="5"/>
  <c r="AU25" i="7"/>
  <c r="BE34" i="5"/>
  <c r="BJ42" i="5"/>
  <c r="BI31" i="5"/>
  <c r="BH31" i="5"/>
  <c r="BN53" i="8"/>
  <c r="BG42" i="5"/>
  <c r="BG31" i="5"/>
  <c r="BF31" i="5"/>
  <c r="BE42" i="5"/>
  <c r="BE31" i="5"/>
  <c r="AY14" i="7"/>
  <c r="AY38" i="7" s="1"/>
  <c r="BN33" i="9"/>
  <c r="BN35" i="9" s="1"/>
  <c r="BN37" i="9" s="1"/>
  <c r="AY13" i="7" s="1"/>
  <c r="AZ15" i="7"/>
  <c r="AZ39" i="7" s="1"/>
  <c r="BK43" i="5"/>
  <c r="AY15" i="7"/>
  <c r="AY39" i="7" s="1"/>
  <c r="BJ43" i="5"/>
  <c r="AW15" i="7"/>
  <c r="AW39" i="7" s="1"/>
  <c r="BH43" i="5"/>
  <c r="AV15" i="7"/>
  <c r="AV39" i="7" s="1"/>
  <c r="BG43" i="5"/>
  <c r="AU15" i="7"/>
  <c r="AU39" i="7" s="1"/>
  <c r="BF43" i="5"/>
  <c r="AT15" i="7"/>
  <c r="AT39" i="7" s="1"/>
  <c r="BE43" i="5"/>
  <c r="BA17" i="7"/>
  <c r="BA18" i="7"/>
  <c r="BA42" i="7" s="1"/>
  <c r="BA20" i="7"/>
  <c r="BA44" i="7" s="1"/>
  <c r="AY36" i="6"/>
  <c r="BA26" i="7"/>
  <c r="BL21" i="5" s="1"/>
  <c r="AY6" i="6"/>
  <c r="BL31" i="5"/>
  <c r="AY18" i="6"/>
  <c r="AY16" i="6" s="1"/>
  <c r="AY13" i="6" s="1"/>
  <c r="BQ53" i="8"/>
  <c r="BA15" i="7"/>
  <c r="BA39" i="7" s="1"/>
  <c r="AY48" i="6"/>
  <c r="AY42" i="6"/>
  <c r="AY25" i="6"/>
  <c r="AW5" i="6" l="1"/>
  <c r="BO55" i="8"/>
  <c r="R20" i="7"/>
  <c r="R44" i="7" s="1"/>
  <c r="AC42" i="5"/>
  <c r="AZ5" i="6"/>
  <c r="BM30" i="5"/>
  <c r="BM40" i="5"/>
  <c r="BM41" i="5"/>
  <c r="BB20" i="7"/>
  <c r="BB44" i="7" s="1"/>
  <c r="BB26" i="7"/>
  <c r="BM21" i="5" s="1"/>
  <c r="BB15" i="7"/>
  <c r="BB39" i="7" s="1"/>
  <c r="BM43" i="5"/>
  <c r="BM42" i="5"/>
  <c r="BC14" i="7"/>
  <c r="BC38" i="7" s="1"/>
  <c r="BR33" i="9"/>
  <c r="BR35" i="9" s="1"/>
  <c r="BR37" i="9" s="1"/>
  <c r="BC13" i="7" s="1"/>
  <c r="BU33" i="9"/>
  <c r="BU35" i="9" s="1"/>
  <c r="BU37" i="9" s="1"/>
  <c r="BF14" i="7"/>
  <c r="BF38" i="7" s="1"/>
  <c r="BD5" i="6"/>
  <c r="BQ30" i="5"/>
  <c r="BQ40" i="5"/>
  <c r="BQ42" i="5"/>
  <c r="BF26" i="7"/>
  <c r="BQ21" i="5" s="1"/>
  <c r="BF15" i="7"/>
  <c r="BF39" i="7" s="1"/>
  <c r="BQ43" i="5"/>
  <c r="BF20" i="7"/>
  <c r="BF44" i="7" s="1"/>
  <c r="BQ41" i="5"/>
  <c r="BA5" i="6"/>
  <c r="BN30" i="5"/>
  <c r="BN40" i="5"/>
  <c r="BN41" i="5"/>
  <c r="BC26" i="7"/>
  <c r="BN21" i="5" s="1"/>
  <c r="BC20" i="7"/>
  <c r="BC44" i="7" s="1"/>
  <c r="BC15" i="7"/>
  <c r="BC39" i="7" s="1"/>
  <c r="BN43" i="5"/>
  <c r="Y54" i="8"/>
  <c r="AY24" i="7"/>
  <c r="Q54" i="8"/>
  <c r="AA54" i="8"/>
  <c r="BB6" i="7"/>
  <c r="BC6" i="7"/>
  <c r="BF6" i="7"/>
  <c r="BF17" i="7"/>
  <c r="BF18" i="7"/>
  <c r="BF42" i="7" s="1"/>
  <c r="BC37" i="7"/>
  <c r="BC41" i="7"/>
  <c r="BN47" i="5"/>
  <c r="BD37" i="7"/>
  <c r="BD79" i="7" s="1"/>
  <c r="BD73" i="7" s="1"/>
  <c r="BD41" i="7"/>
  <c r="BO47" i="5"/>
  <c r="BB5" i="6"/>
  <c r="BO30" i="5"/>
  <c r="BO40" i="5"/>
  <c r="BO41" i="5"/>
  <c r="BO42" i="5"/>
  <c r="BD26" i="7"/>
  <c r="BO21" i="5" s="1"/>
  <c r="BE37" i="7"/>
  <c r="BE79" i="7" s="1"/>
  <c r="BE73" i="7" s="1"/>
  <c r="BE41" i="7"/>
  <c r="BP47" i="5"/>
  <c r="BC5" i="6"/>
  <c r="BP30" i="5"/>
  <c r="BN24" i="5"/>
  <c r="BQ24" i="5"/>
  <c r="BN42" i="5"/>
  <c r="BB41" i="7"/>
  <c r="BB37" i="7"/>
  <c r="BM47" i="5"/>
  <c r="AA13" i="7"/>
  <c r="AA26" i="7"/>
  <c r="AL21" i="5" s="1"/>
  <c r="BF28" i="7"/>
  <c r="BQ6" i="5"/>
  <c r="BE28" i="7"/>
  <c r="BP6" i="5"/>
  <c r="BF30" i="7"/>
  <c r="BQ8" i="5"/>
  <c r="BR7" i="5"/>
  <c r="BR6" i="5"/>
  <c r="BR8" i="5"/>
  <c r="BN9" i="5"/>
  <c r="BC31" i="7"/>
  <c r="BD28" i="7"/>
  <c r="BO6" i="5"/>
  <c r="BP9" i="5"/>
  <c r="BE31" i="7"/>
  <c r="BB31" i="7"/>
  <c r="BM9" i="5"/>
  <c r="BC47" i="7"/>
  <c r="BB28" i="7"/>
  <c r="BM6" i="5"/>
  <c r="BF48" i="7"/>
  <c r="BQ20" i="5"/>
  <c r="BF47" i="7"/>
  <c r="BR20" i="5"/>
  <c r="BN20" i="5"/>
  <c r="BB30" i="7"/>
  <c r="BM8" i="5"/>
  <c r="BN6" i="5"/>
  <c r="BC28" i="7"/>
  <c r="BC30" i="7"/>
  <c r="BN8" i="5"/>
  <c r="BE48" i="7"/>
  <c r="BP20" i="5"/>
  <c r="BE47" i="7"/>
  <c r="BD31" i="7"/>
  <c r="BO9" i="5"/>
  <c r="BD47" i="7"/>
  <c r="BD48" i="7"/>
  <c r="BO20" i="5"/>
  <c r="BR10" i="5"/>
  <c r="AF7" i="7"/>
  <c r="F33" i="15"/>
  <c r="AD14" i="6"/>
  <c r="AX15" i="7"/>
  <c r="AX39" i="7" s="1"/>
  <c r="AW19" i="7"/>
  <c r="AW43" i="7" s="1"/>
  <c r="BB25" i="5"/>
  <c r="AI42" i="5"/>
  <c r="AI41" i="5"/>
  <c r="AG40" i="5"/>
  <c r="AY5" i="7"/>
  <c r="Z4" i="7"/>
  <c r="AE48" i="7"/>
  <c r="AC41" i="7"/>
  <c r="AZ8" i="7"/>
  <c r="AZ32" i="7" s="1"/>
  <c r="AB37" i="7"/>
  <c r="AH24" i="5"/>
  <c r="AB20" i="7"/>
  <c r="AB44" i="7" s="1"/>
  <c r="Y30" i="5"/>
  <c r="AV27" i="8"/>
  <c r="L20" i="7"/>
  <c r="L44" i="7" s="1"/>
  <c r="BI27" i="8"/>
  <c r="T20" i="7"/>
  <c r="T44" i="7" s="1"/>
  <c r="F17" i="7"/>
  <c r="AV55" i="8"/>
  <c r="AV26" i="7"/>
  <c r="BG21" i="5" s="1"/>
  <c r="AQ25" i="7"/>
  <c r="AL24" i="5"/>
  <c r="AM41" i="5"/>
  <c r="AI40" i="5"/>
  <c r="AG30" i="5"/>
  <c r="AY4" i="7"/>
  <c r="BH25" i="5"/>
  <c r="X14" i="6"/>
  <c r="Z41" i="7"/>
  <c r="Z80" i="7" s="1"/>
  <c r="AZ5" i="7"/>
  <c r="AZ29" i="7" s="1"/>
  <c r="BH19" i="5"/>
  <c r="W20" i="7"/>
  <c r="W44" i="7" s="1"/>
  <c r="AD55" i="8"/>
  <c r="W30" i="5"/>
  <c r="S42" i="5"/>
  <c r="R5" i="6"/>
  <c r="T6" i="7" s="1"/>
  <c r="E7" i="7"/>
  <c r="D9" i="5" s="1"/>
  <c r="N24" i="7"/>
  <c r="AW13" i="7"/>
  <c r="AW26" i="7"/>
  <c r="BH21" i="5" s="1"/>
  <c r="BH41" i="5"/>
  <c r="AX26" i="5"/>
  <c r="AM40" i="5"/>
  <c r="T5" i="7"/>
  <c r="T23" i="7"/>
  <c r="T48" i="7" s="1"/>
  <c r="BH26" i="5"/>
  <c r="AW46" i="7"/>
  <c r="L25" i="7"/>
  <c r="AJ54" i="8"/>
  <c r="AJ55" i="8" s="1"/>
  <c r="W15" i="7"/>
  <c r="W39" i="7" s="1"/>
  <c r="U55" i="8"/>
  <c r="V26" i="7"/>
  <c r="AG21" i="5" s="1"/>
  <c r="AC26" i="7"/>
  <c r="AN21" i="5" s="1"/>
  <c r="BH24" i="5"/>
  <c r="T26" i="7"/>
  <c r="AE21" i="5" s="1"/>
  <c r="BI43" i="5"/>
  <c r="AW25" i="7"/>
  <c r="AW49" i="7" s="1"/>
  <c r="Y40" i="5"/>
  <c r="L5" i="6"/>
  <c r="N15" i="7"/>
  <c r="N39" i="7" s="1"/>
  <c r="N79" i="7" s="1"/>
  <c r="N73" i="7" s="1"/>
  <c r="AS27" i="5"/>
  <c r="AZ7" i="7"/>
  <c r="AC24" i="7"/>
  <c r="V13" i="7"/>
  <c r="T5" i="6"/>
  <c r="AL55" i="8"/>
  <c r="Z37" i="7"/>
  <c r="Z79" i="7" s="1"/>
  <c r="Z73" i="7" s="1"/>
  <c r="Z84" i="7" s="1"/>
  <c r="Z85" i="7" s="1"/>
  <c r="L26" i="7"/>
  <c r="W21" i="5" s="1"/>
  <c r="L13" i="7"/>
  <c r="BV54" i="8"/>
  <c r="F7" i="7"/>
  <c r="F4" i="7"/>
  <c r="Q19" i="7"/>
  <c r="Q43" i="7" s="1"/>
  <c r="Q80" i="7" s="1"/>
  <c r="Q74" i="7" s="1"/>
  <c r="G79" i="7"/>
  <c r="O14" i="6"/>
  <c r="Q6" i="7" s="1"/>
  <c r="AF23" i="7"/>
  <c r="AQ20" i="5" s="1"/>
  <c r="Q25" i="7"/>
  <c r="Q49" i="7" s="1"/>
  <c r="BJ24" i="5"/>
  <c r="Z23" i="7"/>
  <c r="R25" i="5"/>
  <c r="T25" i="7"/>
  <c r="AE14" i="5" s="1"/>
  <c r="Q7" i="7"/>
  <c r="AF4" i="7"/>
  <c r="AF28" i="7" s="1"/>
  <c r="AA7" i="7"/>
  <c r="AL9" i="5" s="1"/>
  <c r="G25" i="7"/>
  <c r="G49" i="7" s="1"/>
  <c r="AY25" i="7"/>
  <c r="AY23" i="7"/>
  <c r="G19" i="7"/>
  <c r="G43" i="7" s="1"/>
  <c r="R15" i="5"/>
  <c r="Q23" i="7"/>
  <c r="Q47" i="7" s="1"/>
  <c r="G5" i="7"/>
  <c r="AN25" i="7"/>
  <c r="AS24" i="7"/>
  <c r="W7" i="7"/>
  <c r="BJ27" i="5"/>
  <c r="AP25" i="7"/>
  <c r="G46" i="7"/>
  <c r="AE4" i="7"/>
  <c r="AE28" i="7" s="1"/>
  <c r="G6" i="7"/>
  <c r="G30" i="7" s="1"/>
  <c r="AB25" i="5"/>
  <c r="AR25" i="7"/>
  <c r="BJ26" i="5"/>
  <c r="AY19" i="7"/>
  <c r="AY43" i="7" s="1"/>
  <c r="AY8" i="7"/>
  <c r="AE47" i="7"/>
  <c r="AC14" i="6"/>
  <c r="AA41" i="7"/>
  <c r="AD4" i="7"/>
  <c r="AD5" i="7"/>
  <c r="AD8" i="7"/>
  <c r="AO10" i="5" s="1"/>
  <c r="AD7" i="7"/>
  <c r="Q24" i="7"/>
  <c r="G4" i="7"/>
  <c r="R6" i="5" s="1"/>
  <c r="AV27" i="5"/>
  <c r="AT7" i="7"/>
  <c r="BE9" i="5" s="1"/>
  <c r="AT49" i="7"/>
  <c r="L19" i="7"/>
  <c r="L43" i="7" s="1"/>
  <c r="AA23" i="7"/>
  <c r="AA47" i="7" s="1"/>
  <c r="P7" i="7"/>
  <c r="AA9" i="5" s="1"/>
  <c r="W24" i="5"/>
  <c r="H37" i="7"/>
  <c r="W24" i="7"/>
  <c r="AD23" i="7"/>
  <c r="AU4" i="7"/>
  <c r="AU28" i="7" s="1"/>
  <c r="W25" i="5"/>
  <c r="O7" i="7"/>
  <c r="O31" i="7" s="1"/>
  <c r="W4" i="7"/>
  <c r="AH6" i="5" s="1"/>
  <c r="R24" i="5"/>
  <c r="AA4" i="7"/>
  <c r="AL6" i="5" s="1"/>
  <c r="AX25" i="5"/>
  <c r="AV24" i="5"/>
  <c r="AU30" i="7"/>
  <c r="F14" i="6"/>
  <c r="W23" i="7"/>
  <c r="AH20" i="5" s="1"/>
  <c r="L79" i="7"/>
  <c r="L73" i="7" s="1"/>
  <c r="Q79" i="7"/>
  <c r="Q73" i="7" s="1"/>
  <c r="AM19" i="7"/>
  <c r="AM43" i="7" s="1"/>
  <c r="AQ23" i="7"/>
  <c r="G8" i="7"/>
  <c r="W5" i="7"/>
  <c r="AH7" i="5" s="1"/>
  <c r="AF26" i="5"/>
  <c r="AV25" i="5"/>
  <c r="G23" i="7"/>
  <c r="G47" i="7" s="1"/>
  <c r="H41" i="7"/>
  <c r="AC19" i="7"/>
  <c r="AC43" i="7" s="1"/>
  <c r="AC22" i="7"/>
  <c r="M26" i="7"/>
  <c r="X21" i="5" s="1"/>
  <c r="M15" i="7"/>
  <c r="M39" i="7" s="1"/>
  <c r="M13" i="7"/>
  <c r="X30" i="5"/>
  <c r="X42" i="5"/>
  <c r="K5" i="6"/>
  <c r="X24" i="5" s="1"/>
  <c r="X41" i="5"/>
  <c r="X40" i="5"/>
  <c r="X43" i="5"/>
  <c r="J41" i="7"/>
  <c r="J37" i="7"/>
  <c r="U47" i="5"/>
  <c r="Z20" i="7"/>
  <c r="Z44" i="7" s="1"/>
  <c r="Z13" i="7"/>
  <c r="X5" i="6"/>
  <c r="Z26" i="7"/>
  <c r="AK21" i="5" s="1"/>
  <c r="Z15" i="7"/>
  <c r="Z39" i="7" s="1"/>
  <c r="AR43" i="5"/>
  <c r="AG13" i="7"/>
  <c r="S26" i="7"/>
  <c r="AD21" i="5" s="1"/>
  <c r="N55" i="8"/>
  <c r="AA19" i="7"/>
  <c r="AA43" i="7" s="1"/>
  <c r="AK42" i="5"/>
  <c r="AQ19" i="7"/>
  <c r="AQ43" i="7" s="1"/>
  <c r="AN25" i="5"/>
  <c r="AL27" i="5"/>
  <c r="AK41" i="5"/>
  <c r="AB14" i="6"/>
  <c r="AD6" i="7" s="1"/>
  <c r="AO8" i="5" s="1"/>
  <c r="Q8" i="7"/>
  <c r="BK10" i="5"/>
  <c r="AN24" i="5"/>
  <c r="AB26" i="5"/>
  <c r="Y14" i="6"/>
  <c r="AA6" i="7" s="1"/>
  <c r="AL8" i="5" s="1"/>
  <c r="W79" i="7"/>
  <c r="W73" i="7" s="1"/>
  <c r="E23" i="7"/>
  <c r="E47" i="7" s="1"/>
  <c r="AC25" i="7"/>
  <c r="AA25" i="7"/>
  <c r="AC5" i="6"/>
  <c r="AU55" i="8"/>
  <c r="AE13" i="7"/>
  <c r="AC55" i="8"/>
  <c r="F41" i="7"/>
  <c r="F37" i="7"/>
  <c r="Q47" i="5"/>
  <c r="U22" i="7"/>
  <c r="U19" i="7"/>
  <c r="U43" i="7" s="1"/>
  <c r="U80" i="7" s="1"/>
  <c r="U74" i="7" s="1"/>
  <c r="R14" i="5"/>
  <c r="W19" i="7"/>
  <c r="W43" i="7" s="1"/>
  <c r="W80" i="7" s="1"/>
  <c r="W74" i="7" s="1"/>
  <c r="BB27" i="5"/>
  <c r="AK43" i="5"/>
  <c r="AK40" i="5"/>
  <c r="W14" i="6"/>
  <c r="Y6" i="7" s="1"/>
  <c r="AC5" i="7"/>
  <c r="AN7" i="5" s="1"/>
  <c r="G24" i="7"/>
  <c r="AA47" i="5"/>
  <c r="P37" i="7"/>
  <c r="P41" i="7"/>
  <c r="AB15" i="7"/>
  <c r="AB39" i="7" s="1"/>
  <c r="AB79" i="7" s="1"/>
  <c r="AB73" i="7" s="1"/>
  <c r="Z5" i="6"/>
  <c r="AR55" i="8"/>
  <c r="AB13" i="7"/>
  <c r="X26" i="7"/>
  <c r="AI21" i="5" s="1"/>
  <c r="X15" i="7"/>
  <c r="X39" i="7" s="1"/>
  <c r="X79" i="7" s="1"/>
  <c r="X73" i="7" s="1"/>
  <c r="X13" i="7"/>
  <c r="V5" i="6"/>
  <c r="X8" i="7" s="1"/>
  <c r="X20" i="7"/>
  <c r="X44" i="7" s="1"/>
  <c r="M20" i="7"/>
  <c r="M44" i="7" s="1"/>
  <c r="R15" i="7"/>
  <c r="R39" i="7" s="1"/>
  <c r="AC43" i="5"/>
  <c r="AC41" i="5"/>
  <c r="R26" i="7"/>
  <c r="AC21" i="5" s="1"/>
  <c r="AC30" i="5"/>
  <c r="P5" i="6"/>
  <c r="R5" i="7" s="1"/>
  <c r="R13" i="7"/>
  <c r="AH55" i="8"/>
  <c r="AC40" i="5"/>
  <c r="Q41" i="5"/>
  <c r="F13" i="7"/>
  <c r="Q40" i="5"/>
  <c r="Q30" i="5"/>
  <c r="V55" i="8"/>
  <c r="D5" i="6"/>
  <c r="F5" i="7" s="1"/>
  <c r="Q7" i="5" s="1"/>
  <c r="F15" i="7"/>
  <c r="F39" i="7" s="1"/>
  <c r="Q43" i="5"/>
  <c r="V30" i="5"/>
  <c r="V41" i="5"/>
  <c r="V43" i="5"/>
  <c r="K13" i="7"/>
  <c r="K15" i="7"/>
  <c r="K39" i="7" s="1"/>
  <c r="K79" i="7" s="1"/>
  <c r="K73" i="7" s="1"/>
  <c r="V40" i="5"/>
  <c r="K20" i="7"/>
  <c r="K44" i="7" s="1"/>
  <c r="AA55" i="8"/>
  <c r="I5" i="6"/>
  <c r="K5" i="7" s="1"/>
  <c r="AL25" i="5"/>
  <c r="W6" i="7"/>
  <c r="AH8" i="5" s="1"/>
  <c r="V41" i="7"/>
  <c r="AG47" i="5"/>
  <c r="AS25" i="5"/>
  <c r="AH25" i="5"/>
  <c r="AF27" i="5"/>
  <c r="AN27" i="5"/>
  <c r="AK30" i="5"/>
  <c r="AD40" i="5"/>
  <c r="W22" i="7"/>
  <c r="W46" i="7" s="1"/>
  <c r="AC8" i="7"/>
  <c r="N7" i="7"/>
  <c r="Y9" i="5" s="1"/>
  <c r="Y41" i="7"/>
  <c r="Y80" i="7" s="1"/>
  <c r="Y74" i="7" s="1"/>
  <c r="U8" i="7"/>
  <c r="AF10" i="5" s="1"/>
  <c r="O24" i="7"/>
  <c r="Q22" i="7"/>
  <c r="AB41" i="7"/>
  <c r="AD43" i="5"/>
  <c r="AP55" i="8"/>
  <c r="AE55" i="8"/>
  <c r="M5" i="6"/>
  <c r="O8" i="7" s="1"/>
  <c r="Z10" i="5" s="1"/>
  <c r="O15" i="7"/>
  <c r="O39" i="7" s="1"/>
  <c r="O79" i="7" s="1"/>
  <c r="O73" i="7" s="1"/>
  <c r="Z41" i="5"/>
  <c r="Z30" i="5"/>
  <c r="O20" i="7"/>
  <c r="O44" i="7" s="1"/>
  <c r="Z43" i="5"/>
  <c r="O13" i="7"/>
  <c r="Z40" i="5"/>
  <c r="O26" i="7"/>
  <c r="Z21" i="5" s="1"/>
  <c r="N5" i="6"/>
  <c r="AA43" i="5"/>
  <c r="AA30" i="5"/>
  <c r="AF55" i="8"/>
  <c r="P13" i="7"/>
  <c r="P20" i="7"/>
  <c r="P44" i="7" s="1"/>
  <c r="AA41" i="5"/>
  <c r="AA40" i="5"/>
  <c r="P15" i="7"/>
  <c r="P39" i="7" s="1"/>
  <c r="E37" i="7"/>
  <c r="D47" i="5"/>
  <c r="E41" i="7"/>
  <c r="U25" i="7"/>
  <c r="Q55" i="8"/>
  <c r="BB24" i="5"/>
  <c r="BC27" i="5"/>
  <c r="AH25" i="7"/>
  <c r="AL26" i="5"/>
  <c r="AF24" i="5"/>
  <c r="U6" i="7"/>
  <c r="U30" i="7" s="1"/>
  <c r="AC6" i="7"/>
  <c r="AN8" i="5" s="1"/>
  <c r="AB5" i="7"/>
  <c r="AB29" i="7" s="1"/>
  <c r="F8" i="7"/>
  <c r="F32" i="7" s="1"/>
  <c r="Q5" i="7"/>
  <c r="Q29" i="7" s="1"/>
  <c r="L14" i="6"/>
  <c r="BK7" i="5"/>
  <c r="Y37" i="7"/>
  <c r="Y79" i="7" s="1"/>
  <c r="Y73" i="7" s="1"/>
  <c r="M24" i="7"/>
  <c r="AC80" i="7"/>
  <c r="AC74" i="7" s="1"/>
  <c r="E4" i="7"/>
  <c r="D6" i="5" s="1"/>
  <c r="AB27" i="5"/>
  <c r="AA46" i="7"/>
  <c r="V37" i="7"/>
  <c r="V79" i="7" s="1"/>
  <c r="V73" i="7" s="1"/>
  <c r="T43" i="5"/>
  <c r="G5" i="6"/>
  <c r="I8" i="7" s="1"/>
  <c r="I20" i="7"/>
  <c r="I44" i="7" s="1"/>
  <c r="Y55" i="8"/>
  <c r="T41" i="5"/>
  <c r="I15" i="7"/>
  <c r="I39" i="7" s="1"/>
  <c r="I79" i="7" s="1"/>
  <c r="I73" i="7" s="1"/>
  <c r="T30" i="5"/>
  <c r="T40" i="5"/>
  <c r="I26" i="7"/>
  <c r="T21" i="5" s="1"/>
  <c r="I13" i="7"/>
  <c r="AM54" i="8"/>
  <c r="AM55" i="8" s="1"/>
  <c r="F29" i="15"/>
  <c r="F7" i="15" s="1"/>
  <c r="AF26" i="7"/>
  <c r="AQ21" i="5" s="1"/>
  <c r="AF13" i="7"/>
  <c r="AF15" i="7"/>
  <c r="AF39" i="7" s="1"/>
  <c r="AD5" i="6"/>
  <c r="AF6" i="7" s="1"/>
  <c r="AE26" i="7"/>
  <c r="AP21" i="5" s="1"/>
  <c r="K26" i="7"/>
  <c r="V21" i="5" s="1"/>
  <c r="P26" i="7"/>
  <c r="AA21" i="5" s="1"/>
  <c r="E26" i="7"/>
  <c r="D21" i="5" s="1"/>
  <c r="D41" i="5"/>
  <c r="E13" i="7"/>
  <c r="D42" i="5"/>
  <c r="C5" i="6"/>
  <c r="E8" i="7" s="1"/>
  <c r="E32" i="7" s="1"/>
  <c r="D43" i="5"/>
  <c r="D40" i="5"/>
  <c r="E15" i="7"/>
  <c r="E39" i="7" s="1"/>
  <c r="D30" i="5"/>
  <c r="AQ47" i="5"/>
  <c r="AF37" i="7"/>
  <c r="AF41" i="7"/>
  <c r="AD30" i="5"/>
  <c r="Q5" i="6"/>
  <c r="S25" i="7" s="1"/>
  <c r="S15" i="7"/>
  <c r="S39" i="7" s="1"/>
  <c r="S79" i="7" s="1"/>
  <c r="S73" i="7" s="1"/>
  <c r="AI55" i="8"/>
  <c r="S13" i="7"/>
  <c r="S20" i="7"/>
  <c r="S44" i="7" s="1"/>
  <c r="AV4" i="7"/>
  <c r="BG6" i="5" s="1"/>
  <c r="AS26" i="5"/>
  <c r="AH26" i="5"/>
  <c r="M14" i="6"/>
  <c r="D14" i="6"/>
  <c r="F6" i="7" s="1"/>
  <c r="Q8" i="5" s="1"/>
  <c r="AA5" i="7"/>
  <c r="AL7" i="5" s="1"/>
  <c r="M37" i="7"/>
  <c r="M79" i="7" s="1"/>
  <c r="M73" i="7" s="1"/>
  <c r="X47" i="5"/>
  <c r="BB26" i="5"/>
  <c r="BC26" i="5"/>
  <c r="AH19" i="7"/>
  <c r="AH43" i="7" s="1"/>
  <c r="AS24" i="5"/>
  <c r="AH27" i="5"/>
  <c r="R37" i="7"/>
  <c r="R41" i="7"/>
  <c r="C14" i="6"/>
  <c r="W8" i="7"/>
  <c r="AH10" i="5" s="1"/>
  <c r="AY5" i="6"/>
  <c r="BL24" i="5" s="1"/>
  <c r="BL40" i="5"/>
  <c r="BL43" i="5"/>
  <c r="BL30" i="5"/>
  <c r="BL41" i="5"/>
  <c r="U43" i="5"/>
  <c r="Z55" i="8"/>
  <c r="H5" i="6"/>
  <c r="J8" i="7" s="1"/>
  <c r="J13" i="7"/>
  <c r="J26" i="7"/>
  <c r="U21" i="5" s="1"/>
  <c r="J20" i="7"/>
  <c r="J44" i="7" s="1"/>
  <c r="U30" i="5"/>
  <c r="U40" i="5"/>
  <c r="U41" i="5"/>
  <c r="J15" i="7"/>
  <c r="J39" i="7" s="1"/>
  <c r="AF20" i="7"/>
  <c r="AF44" i="7" s="1"/>
  <c r="L22" i="7"/>
  <c r="W27" i="5"/>
  <c r="H26" i="7"/>
  <c r="S21" i="5" s="1"/>
  <c r="F5" i="6"/>
  <c r="H6" i="7" s="1"/>
  <c r="H15" i="7"/>
  <c r="H39" i="7" s="1"/>
  <c r="H79" i="7" s="1"/>
  <c r="H73" i="7" s="1"/>
  <c r="H13" i="7"/>
  <c r="S40" i="5"/>
  <c r="X55" i="8"/>
  <c r="S43" i="5"/>
  <c r="S41" i="5"/>
  <c r="S30" i="5"/>
  <c r="H14" i="6"/>
  <c r="F23" i="7"/>
  <c r="AC7" i="7"/>
  <c r="AN9" i="5" s="1"/>
  <c r="AC23" i="7"/>
  <c r="AC47" i="7" s="1"/>
  <c r="G7" i="7"/>
  <c r="R9" i="5" s="1"/>
  <c r="N14" i="6"/>
  <c r="AB23" i="7"/>
  <c r="AT25" i="5"/>
  <c r="U5" i="7"/>
  <c r="AF7" i="5" s="1"/>
  <c r="AC4" i="7"/>
  <c r="AN6" i="5" s="1"/>
  <c r="E31" i="7"/>
  <c r="AG23" i="7"/>
  <c r="AT5" i="7"/>
  <c r="BE7" i="5" s="1"/>
  <c r="K4" i="7"/>
  <c r="V6" i="5" s="1"/>
  <c r="BA25" i="5"/>
  <c r="AX27" i="5"/>
  <c r="AX24" i="5"/>
  <c r="X7" i="7"/>
  <c r="AI9" i="5" s="1"/>
  <c r="AT4" i="7"/>
  <c r="I14" i="6"/>
  <c r="H8" i="7"/>
  <c r="H7" i="7"/>
  <c r="AT23" i="7"/>
  <c r="AT48" i="7" s="1"/>
  <c r="AP19" i="7"/>
  <c r="AP43" i="7" s="1"/>
  <c r="BA24" i="5"/>
  <c r="AM25" i="7"/>
  <c r="BH14" i="5"/>
  <c r="J23" i="7"/>
  <c r="J48" i="7" s="1"/>
  <c r="K23" i="7"/>
  <c r="K47" i="7" s="1"/>
  <c r="BA27" i="5"/>
  <c r="K7" i="7"/>
  <c r="V9" i="5" s="1"/>
  <c r="Y5" i="7"/>
  <c r="AJ7" i="5" s="1"/>
  <c r="AU8" i="7"/>
  <c r="AU32" i="7" s="1"/>
  <c r="E24" i="7"/>
  <c r="Y8" i="7"/>
  <c r="AJ10" i="5" s="1"/>
  <c r="AO23" i="7"/>
  <c r="AU7" i="7"/>
  <c r="AU31" i="7" s="1"/>
  <c r="Y4" i="7"/>
  <c r="AJ6" i="5" s="1"/>
  <c r="Y23" i="7"/>
  <c r="Y47" i="7" s="1"/>
  <c r="V14" i="6"/>
  <c r="N4" i="7"/>
  <c r="N28" i="7" s="1"/>
  <c r="AV26" i="5"/>
  <c r="AK19" i="7"/>
  <c r="AK43" i="7" s="1"/>
  <c r="AK25" i="7"/>
  <c r="AK49" i="7" s="1"/>
  <c r="AT8" i="7"/>
  <c r="BE10" i="5" s="1"/>
  <c r="AU5" i="7"/>
  <c r="AB8" i="7"/>
  <c r="Z14" i="6"/>
  <c r="AN19" i="7"/>
  <c r="AN43" i="7" s="1"/>
  <c r="U23" i="7"/>
  <c r="U24" i="7"/>
  <c r="AP6" i="5"/>
  <c r="R8" i="5"/>
  <c r="P31" i="7"/>
  <c r="W32" i="7"/>
  <c r="AZ23" i="7"/>
  <c r="AZ24" i="7"/>
  <c r="AY27" i="5"/>
  <c r="Z6" i="5"/>
  <c r="O28" i="7"/>
  <c r="W47" i="7"/>
  <c r="R24" i="7"/>
  <c r="R23" i="7"/>
  <c r="N8" i="7"/>
  <c r="AL10" i="5"/>
  <c r="AA32" i="7"/>
  <c r="AY25" i="5"/>
  <c r="AY26" i="5"/>
  <c r="AY24" i="5"/>
  <c r="O23" i="7"/>
  <c r="Z20" i="5" s="1"/>
  <c r="R7" i="7"/>
  <c r="P14" i="6"/>
  <c r="R6" i="7" s="1"/>
  <c r="R4" i="7"/>
  <c r="R8" i="7"/>
  <c r="AJ15" i="5"/>
  <c r="AJ19" i="5"/>
  <c r="Y46" i="7"/>
  <c r="W31" i="7"/>
  <c r="AH9" i="5"/>
  <c r="AW27" i="5"/>
  <c r="AZ49" i="7"/>
  <c r="AP23" i="7"/>
  <c r="BA20" i="5" s="1"/>
  <c r="J4" i="7"/>
  <c r="J7" i="7"/>
  <c r="AW25" i="5"/>
  <c r="AR19" i="7"/>
  <c r="AR43" i="7" s="1"/>
  <c r="U7" i="7"/>
  <c r="U4" i="7"/>
  <c r="AB14" i="5"/>
  <c r="X23" i="7"/>
  <c r="X24" i="7"/>
  <c r="AB20" i="5"/>
  <c r="Q48" i="7"/>
  <c r="AO7" i="5"/>
  <c r="AD29" i="7"/>
  <c r="AF47" i="7"/>
  <c r="AZ26" i="5"/>
  <c r="AT27" i="5"/>
  <c r="AZ24" i="5"/>
  <c r="AL25" i="7"/>
  <c r="AW14" i="5" s="1"/>
  <c r="AE6" i="5"/>
  <c r="T28" i="7"/>
  <c r="AH19" i="5"/>
  <c r="T49" i="7"/>
  <c r="R10" i="5"/>
  <c r="G32" i="7"/>
  <c r="AO9" i="5"/>
  <c r="AD31" i="7"/>
  <c r="T47" i="7"/>
  <c r="AE20" i="5"/>
  <c r="N48" i="7"/>
  <c r="N47" i="7"/>
  <c r="Y20" i="5"/>
  <c r="AQ6" i="5"/>
  <c r="AO6" i="5"/>
  <c r="AD28" i="7"/>
  <c r="AK6" i="5"/>
  <c r="Z28" i="7"/>
  <c r="R20" i="5"/>
  <c r="AD32" i="7"/>
  <c r="AZ30" i="7"/>
  <c r="BK8" i="5"/>
  <c r="Q28" i="7"/>
  <c r="AB6" i="5"/>
  <c r="Z47" i="7"/>
  <c r="Z48" i="7"/>
  <c r="AK20" i="5"/>
  <c r="AF8" i="5"/>
  <c r="AB28" i="7"/>
  <c r="AM6" i="5"/>
  <c r="BK9" i="5"/>
  <c r="AZ31" i="7"/>
  <c r="AU23" i="7"/>
  <c r="AU48" i="7" s="1"/>
  <c r="AT26" i="5"/>
  <c r="AU27" i="5"/>
  <c r="AP24" i="7"/>
  <c r="AT24" i="5"/>
  <c r="AI25" i="7"/>
  <c r="AT14" i="5" s="1"/>
  <c r="S6" i="5"/>
  <c r="H28" i="7"/>
  <c r="S7" i="7"/>
  <c r="Q14" i="6"/>
  <c r="S6" i="7" s="1"/>
  <c r="S4" i="7"/>
  <c r="S23" i="7"/>
  <c r="S8" i="7"/>
  <c r="AM9" i="5"/>
  <c r="AB31" i="7"/>
  <c r="Q9" i="5"/>
  <c r="F31" i="7"/>
  <c r="AE7" i="5"/>
  <c r="T29" i="7"/>
  <c r="R7" i="5"/>
  <c r="G29" i="7"/>
  <c r="BK6" i="5"/>
  <c r="AZ28" i="7"/>
  <c r="AU25" i="5"/>
  <c r="AE9" i="5"/>
  <c r="T31" i="7"/>
  <c r="AU26" i="5"/>
  <c r="AO19" i="7"/>
  <c r="AO43" i="7" s="1"/>
  <c r="AU24" i="5"/>
  <c r="BC24" i="5"/>
  <c r="AN10" i="5"/>
  <c r="AC32" i="7"/>
  <c r="G80" i="7"/>
  <c r="G74" i="7" s="1"/>
  <c r="F28" i="7"/>
  <c r="Q6" i="5"/>
  <c r="AB8" i="5"/>
  <c r="Q30" i="7"/>
  <c r="AC31" i="7"/>
  <c r="F34" i="15"/>
  <c r="AI19" i="7"/>
  <c r="AI43" i="7" s="1"/>
  <c r="J14" i="6"/>
  <c r="L6" i="7" s="1"/>
  <c r="L8" i="7"/>
  <c r="L4" i="7"/>
  <c r="L7" i="7"/>
  <c r="L5" i="7"/>
  <c r="AJ19" i="7"/>
  <c r="AJ43" i="7" s="1"/>
  <c r="AJ25" i="7"/>
  <c r="AU14" i="5" s="1"/>
  <c r="L23" i="7"/>
  <c r="L24" i="7"/>
  <c r="AJ9" i="5"/>
  <c r="Y31" i="7"/>
  <c r="AD47" i="7"/>
  <c r="AO20" i="5"/>
  <c r="AD48" i="7"/>
  <c r="D20" i="5"/>
  <c r="E48" i="7"/>
  <c r="AB9" i="5"/>
  <c r="Q31" i="7"/>
  <c r="AQ9" i="5"/>
  <c r="AF31" i="7"/>
  <c r="AZ25" i="5"/>
  <c r="AZ27" i="5"/>
  <c r="AW26" i="5"/>
  <c r="AL19" i="7"/>
  <c r="AL43" i="7" s="1"/>
  <c r="AQ16" i="6"/>
  <c r="AQ13" i="6" s="1"/>
  <c r="AS23" i="7" s="1"/>
  <c r="AW24" i="5"/>
  <c r="G73" i="7"/>
  <c r="AO14" i="5"/>
  <c r="AD49" i="7"/>
  <c r="Y30" i="7"/>
  <c r="AJ8" i="5"/>
  <c r="T14" i="6"/>
  <c r="V6" i="7" s="1"/>
  <c r="V23" i="7"/>
  <c r="V4" i="7"/>
  <c r="V5" i="7"/>
  <c r="V7" i="7"/>
  <c r="V8" i="7"/>
  <c r="AI6" i="5"/>
  <c r="X28" i="7"/>
  <c r="AB10" i="5"/>
  <c r="Q32" i="7"/>
  <c r="F6" i="15"/>
  <c r="F13" i="15"/>
  <c r="BA23" i="7"/>
  <c r="BA24" i="7"/>
  <c r="BK42" i="5"/>
  <c r="BQ54" i="8"/>
  <c r="BQ55" i="8" s="1"/>
  <c r="BA4" i="7"/>
  <c r="BA5" i="7"/>
  <c r="BA7" i="7"/>
  <c r="BA8" i="7"/>
  <c r="AY14" i="6"/>
  <c r="BA37" i="7"/>
  <c r="BA41" i="7"/>
  <c r="BL47" i="5"/>
  <c r="BH42" i="5"/>
  <c r="BN54" i="8"/>
  <c r="BN55" i="8" s="1"/>
  <c r="AU49" i="7"/>
  <c r="BF14" i="5"/>
  <c r="AT37" i="7"/>
  <c r="AT41" i="7"/>
  <c r="BE47" i="5"/>
  <c r="AU37" i="7"/>
  <c r="AU41" i="7"/>
  <c r="BF47" i="5"/>
  <c r="BG30" i="5"/>
  <c r="BG40" i="5"/>
  <c r="BG41" i="5"/>
  <c r="AT5" i="6"/>
  <c r="BL55" i="8"/>
  <c r="AV20" i="7"/>
  <c r="AV44" i="7" s="1"/>
  <c r="AV37" i="7"/>
  <c r="AV41" i="7"/>
  <c r="BG47" i="5"/>
  <c r="AW37" i="7"/>
  <c r="AW41" i="7"/>
  <c r="BH47" i="5"/>
  <c r="BI30" i="5"/>
  <c r="BI40" i="5"/>
  <c r="BI41" i="5"/>
  <c r="AV5" i="6"/>
  <c r="BI42" i="5"/>
  <c r="AX13" i="7"/>
  <c r="AX20" i="7"/>
  <c r="AX44" i="7" s="1"/>
  <c r="AX41" i="7"/>
  <c r="BI47" i="5"/>
  <c r="AX37" i="7"/>
  <c r="AY37" i="7"/>
  <c r="BJ47" i="5"/>
  <c r="AY41" i="7"/>
  <c r="AZ41" i="7"/>
  <c r="BK47" i="5"/>
  <c r="AZ37" i="7"/>
  <c r="AW4" i="7"/>
  <c r="AW5" i="7"/>
  <c r="AW7" i="7"/>
  <c r="AW8" i="7"/>
  <c r="AU14" i="6"/>
  <c r="AW6" i="7" s="1"/>
  <c r="AW23" i="7"/>
  <c r="AV23" i="7"/>
  <c r="AV24" i="7"/>
  <c r="AX23" i="7"/>
  <c r="AX24" i="7"/>
  <c r="AH23" i="7"/>
  <c r="AH24" i="7"/>
  <c r="AK23" i="7"/>
  <c r="AK24" i="7"/>
  <c r="AL23" i="7"/>
  <c r="AL24" i="7"/>
  <c r="AM23" i="7"/>
  <c r="AM24" i="7"/>
  <c r="AN23" i="7"/>
  <c r="AN24" i="7"/>
  <c r="AR20" i="5"/>
  <c r="AG48" i="7"/>
  <c r="AG47" i="7"/>
  <c r="AI48" i="7"/>
  <c r="AI47" i="7"/>
  <c r="AT20" i="5"/>
  <c r="AU20" i="5"/>
  <c r="AJ48" i="7"/>
  <c r="AJ47" i="7"/>
  <c r="AZ20" i="5"/>
  <c r="AO48" i="7"/>
  <c r="AO47" i="7"/>
  <c r="BB20" i="5"/>
  <c r="AQ48" i="7"/>
  <c r="AQ47" i="7"/>
  <c r="AR48" i="7"/>
  <c r="AR47" i="7"/>
  <c r="BC20" i="5"/>
  <c r="AS41" i="7"/>
  <c r="AS37" i="7"/>
  <c r="BD47" i="5"/>
  <c r="AS14" i="7"/>
  <c r="AS38" i="7" s="1"/>
  <c r="BH33" i="9"/>
  <c r="BH35" i="9" s="1"/>
  <c r="BH37" i="9" s="1"/>
  <c r="AS13" i="7" s="1"/>
  <c r="BI54" i="8"/>
  <c r="BI55" i="8" s="1"/>
  <c r="AG4" i="7"/>
  <c r="AG7" i="7"/>
  <c r="AE14" i="6"/>
  <c r="AH4" i="7"/>
  <c r="AH5" i="7"/>
  <c r="AH7" i="7"/>
  <c r="AH8" i="7"/>
  <c r="AF14" i="6"/>
  <c r="AH6" i="7" s="1"/>
  <c r="AI4" i="7"/>
  <c r="AI5" i="7"/>
  <c r="AI7" i="7"/>
  <c r="AI8" i="7"/>
  <c r="AG14" i="6"/>
  <c r="AI6" i="7" s="1"/>
  <c r="AJ4" i="7"/>
  <c r="AJ5" i="7"/>
  <c r="AJ7" i="7"/>
  <c r="AJ8" i="7"/>
  <c r="AH14" i="6"/>
  <c r="AJ6" i="7" s="1"/>
  <c r="AU42" i="5"/>
  <c r="BA54" i="8"/>
  <c r="AK4" i="7"/>
  <c r="AK5" i="7"/>
  <c r="AK7" i="7"/>
  <c r="AK8" i="7"/>
  <c r="AI14" i="6"/>
  <c r="AK6" i="7" s="1"/>
  <c r="AL4" i="7"/>
  <c r="AL5" i="7"/>
  <c r="AL7" i="7"/>
  <c r="AL8" i="7"/>
  <c r="AJ14" i="6"/>
  <c r="AL6" i="7" s="1"/>
  <c r="AW42" i="5"/>
  <c r="BC54" i="8"/>
  <c r="AM4" i="7"/>
  <c r="AM5" i="7"/>
  <c r="AM7" i="7"/>
  <c r="AM8" i="7"/>
  <c r="AK14" i="6"/>
  <c r="AM6" i="7" s="1"/>
  <c r="AN4" i="7"/>
  <c r="AN5" i="7"/>
  <c r="AN7" i="7"/>
  <c r="AN8" i="7"/>
  <c r="AL14" i="6"/>
  <c r="AN6" i="7" s="1"/>
  <c r="AO4" i="7"/>
  <c r="AO5" i="7"/>
  <c r="AO7" i="7"/>
  <c r="AO8" i="7"/>
  <c r="AM14" i="6"/>
  <c r="AO6" i="7" s="1"/>
  <c r="AP4" i="7"/>
  <c r="AP5" i="7"/>
  <c r="AP7" i="7"/>
  <c r="AP8" i="7"/>
  <c r="AN14" i="6"/>
  <c r="AP6" i="7" s="1"/>
  <c r="AQ4" i="7"/>
  <c r="AQ5" i="7"/>
  <c r="AQ7" i="7"/>
  <c r="AQ8" i="7"/>
  <c r="AO14" i="6"/>
  <c r="AQ6" i="7" s="1"/>
  <c r="AR4" i="7"/>
  <c r="AR5" i="7"/>
  <c r="AR7" i="7"/>
  <c r="AR8" i="7"/>
  <c r="AP14" i="6"/>
  <c r="AR6" i="7" s="1"/>
  <c r="AH49" i="7"/>
  <c r="AS14" i="5"/>
  <c r="AV14" i="5"/>
  <c r="AX14" i="5"/>
  <c r="AM49" i="7"/>
  <c r="AY14" i="5"/>
  <c r="AN49" i="7"/>
  <c r="AZ14" i="5"/>
  <c r="AO49" i="7"/>
  <c r="BA14" i="5"/>
  <c r="AP49" i="7"/>
  <c r="BB14" i="5"/>
  <c r="AQ49" i="7"/>
  <c r="BC14" i="5"/>
  <c r="AR49" i="7"/>
  <c r="AR30" i="5"/>
  <c r="AR40" i="5"/>
  <c r="AR41" i="5"/>
  <c r="AE5" i="6"/>
  <c r="AR42" i="5"/>
  <c r="AG20" i="7"/>
  <c r="AG44" i="7" s="1"/>
  <c r="AR47" i="5"/>
  <c r="AG37" i="7"/>
  <c r="AG41" i="7"/>
  <c r="AH41" i="7"/>
  <c r="AS47" i="5"/>
  <c r="AH37" i="7"/>
  <c r="AT47" i="5"/>
  <c r="AI37" i="7"/>
  <c r="AI41" i="7"/>
  <c r="AU47" i="5"/>
  <c r="AJ41" i="7"/>
  <c r="AJ37" i="7"/>
  <c r="AV47" i="5"/>
  <c r="AK37" i="7"/>
  <c r="AK41" i="7"/>
  <c r="AL41" i="7"/>
  <c r="AL37" i="7"/>
  <c r="AW47" i="5"/>
  <c r="AM41" i="7"/>
  <c r="AM37" i="7"/>
  <c r="AX47" i="5"/>
  <c r="AY47" i="5"/>
  <c r="AN41" i="7"/>
  <c r="AN37" i="7"/>
  <c r="AO41" i="7"/>
  <c r="AZ47" i="5"/>
  <c r="AO37" i="7"/>
  <c r="AZ15" i="5"/>
  <c r="AZ19" i="5"/>
  <c r="AO46" i="7"/>
  <c r="AP41" i="7"/>
  <c r="BA47" i="5"/>
  <c r="AP37" i="7"/>
  <c r="BB47" i="5"/>
  <c r="AQ41" i="7"/>
  <c r="AQ37" i="7"/>
  <c r="BC47" i="5"/>
  <c r="AR41" i="7"/>
  <c r="AR37" i="7"/>
  <c r="AJ33" i="9"/>
  <c r="AJ35" i="9" s="1"/>
  <c r="AJ37" i="9" s="1"/>
  <c r="U13" i="7" s="1"/>
  <c r="U14" i="7"/>
  <c r="U38" i="7" s="1"/>
  <c r="H24" i="7"/>
  <c r="H23" i="7"/>
  <c r="P23" i="7"/>
  <c r="P24" i="7"/>
  <c r="K14" i="6"/>
  <c r="M6" i="7" s="1"/>
  <c r="M4" i="7"/>
  <c r="M23" i="7"/>
  <c r="M5" i="7"/>
  <c r="M7" i="7"/>
  <c r="I23" i="7"/>
  <c r="I4" i="7"/>
  <c r="I5" i="7"/>
  <c r="G14" i="6"/>
  <c r="I7" i="7"/>
  <c r="AV15" i="5"/>
  <c r="AK46" i="7"/>
  <c r="AV19" i="5"/>
  <c r="AY15" i="5"/>
  <c r="AN46" i="7"/>
  <c r="AY19" i="5"/>
  <c r="AX15" i="5"/>
  <c r="AX19" i="5"/>
  <c r="AM46" i="7"/>
  <c r="AW19" i="5"/>
  <c r="AW15" i="5"/>
  <c r="AL46" i="7"/>
  <c r="BA15" i="5"/>
  <c r="BA19" i="5"/>
  <c r="AP46" i="7"/>
  <c r="BC15" i="5"/>
  <c r="AR46" i="7"/>
  <c r="BC19" i="5"/>
  <c r="AJ46" i="7"/>
  <c r="AU15" i="5"/>
  <c r="AU19" i="5"/>
  <c r="BB15" i="5"/>
  <c r="BB19" i="5"/>
  <c r="AQ46" i="7"/>
  <c r="AI46" i="7"/>
  <c r="AT19" i="5"/>
  <c r="AT15" i="5"/>
  <c r="AS19" i="5"/>
  <c r="AH46" i="7"/>
  <c r="AS15" i="5"/>
  <c r="AE79" i="7"/>
  <c r="AE73" i="7" s="1"/>
  <c r="AA79" i="7"/>
  <c r="AX31" i="7"/>
  <c r="BI9" i="5"/>
  <c r="AX28" i="7"/>
  <c r="BI6" i="5"/>
  <c r="AY32" i="7"/>
  <c r="BJ10" i="5"/>
  <c r="AY31" i="7"/>
  <c r="BJ9" i="5"/>
  <c r="AY29" i="7"/>
  <c r="BJ7" i="5"/>
  <c r="BJ6" i="5"/>
  <c r="AY28" i="7"/>
  <c r="AT31" i="7"/>
  <c r="AT28" i="7"/>
  <c r="BE6" i="5"/>
  <c r="AT30" i="7"/>
  <c r="BE8" i="5"/>
  <c r="BJ14" i="5"/>
  <c r="AY49" i="7"/>
  <c r="AY47" i="7"/>
  <c r="AY48" i="7"/>
  <c r="BJ20" i="5"/>
  <c r="AZ46" i="7"/>
  <c r="BK15" i="5"/>
  <c r="BK19" i="5"/>
  <c r="BG9" i="5"/>
  <c r="AV31" i="7"/>
  <c r="AV28" i="7"/>
  <c r="BF9" i="5"/>
  <c r="AU29" i="7"/>
  <c r="BF7" i="5"/>
  <c r="BF6" i="5"/>
  <c r="AE6" i="7" l="1"/>
  <c r="AE30" i="7" s="1"/>
  <c r="BE19" i="7"/>
  <c r="BE43" i="7" s="1"/>
  <c r="BE22" i="7"/>
  <c r="BP25" i="5"/>
  <c r="BP26" i="5"/>
  <c r="BP27" i="5"/>
  <c r="BP24" i="5"/>
  <c r="BE25" i="7"/>
  <c r="BE5" i="7"/>
  <c r="BE8" i="7"/>
  <c r="BE6" i="7"/>
  <c r="BE80" i="7"/>
  <c r="BE74" i="7" s="1"/>
  <c r="BD19" i="7"/>
  <c r="BD43" i="7" s="1"/>
  <c r="BD22" i="7"/>
  <c r="BO25" i="5"/>
  <c r="BO26" i="5"/>
  <c r="BO27" i="5"/>
  <c r="BO24" i="5"/>
  <c r="BD25" i="7"/>
  <c r="BD5" i="7"/>
  <c r="BD8" i="7"/>
  <c r="BD6" i="7"/>
  <c r="BD80" i="7"/>
  <c r="BD74" i="7" s="1"/>
  <c r="BF37" i="7"/>
  <c r="BF79" i="7" s="1"/>
  <c r="BF73" i="7" s="1"/>
  <c r="BF41" i="7"/>
  <c r="BQ47" i="5"/>
  <c r="BC79" i="7"/>
  <c r="BC73" i="7" s="1"/>
  <c r="BC19" i="7"/>
  <c r="BC43" i="7" s="1"/>
  <c r="BC80" i="7" s="1"/>
  <c r="BC74" i="7" s="1"/>
  <c r="BC22" i="7"/>
  <c r="BN25" i="5"/>
  <c r="BN26" i="5"/>
  <c r="BN27" i="5"/>
  <c r="BC25" i="7"/>
  <c r="BC8" i="7"/>
  <c r="BC5" i="7"/>
  <c r="BF19" i="7"/>
  <c r="BF43" i="7" s="1"/>
  <c r="BF22" i="7"/>
  <c r="BQ25" i="5"/>
  <c r="BQ26" i="5"/>
  <c r="BQ27" i="5"/>
  <c r="BF25" i="7"/>
  <c r="BF5" i="7"/>
  <c r="BF8" i="7"/>
  <c r="BU38" i="9"/>
  <c r="BF13" i="7"/>
  <c r="BB79" i="7"/>
  <c r="BB73" i="7" s="1"/>
  <c r="BB19" i="7"/>
  <c r="BB43" i="7" s="1"/>
  <c r="BB80" i="7" s="1"/>
  <c r="BB74" i="7" s="1"/>
  <c r="BB22" i="7"/>
  <c r="BM25" i="5"/>
  <c r="BM26" i="5"/>
  <c r="BM27" i="5"/>
  <c r="BB25" i="7"/>
  <c r="BM24" i="5"/>
  <c r="BB8" i="7"/>
  <c r="BB5" i="7"/>
  <c r="AY22" i="7"/>
  <c r="BJ25" i="5"/>
  <c r="AY6" i="7"/>
  <c r="Y26" i="5"/>
  <c r="Y25" i="5"/>
  <c r="N22" i="7"/>
  <c r="Y27" i="5"/>
  <c r="N19" i="7"/>
  <c r="N43" i="7" s="1"/>
  <c r="AT29" i="7"/>
  <c r="AP47" i="7"/>
  <c r="K31" i="7"/>
  <c r="AL20" i="5"/>
  <c r="W48" i="7"/>
  <c r="J6" i="7"/>
  <c r="J30" i="7" s="1"/>
  <c r="F25" i="7"/>
  <c r="L80" i="7"/>
  <c r="L74" i="7" s="1"/>
  <c r="V22" i="7"/>
  <c r="AG24" i="5"/>
  <c r="V19" i="7"/>
  <c r="V43" i="7" s="1"/>
  <c r="V80" i="7" s="1"/>
  <c r="V74" i="7" s="1"/>
  <c r="AG27" i="5"/>
  <c r="V25" i="7"/>
  <c r="AG25" i="5"/>
  <c r="AG26" i="5"/>
  <c r="AS4" i="7"/>
  <c r="AA48" i="7"/>
  <c r="J5" i="7"/>
  <c r="Z6" i="7"/>
  <c r="Z30" i="7" s="1"/>
  <c r="L49" i="7"/>
  <c r="W14" i="5"/>
  <c r="BD42" i="5"/>
  <c r="BD30" i="5"/>
  <c r="AQ5" i="6"/>
  <c r="AS5" i="7" s="1"/>
  <c r="AS15" i="7"/>
  <c r="AS39" i="7" s="1"/>
  <c r="BD40" i="5"/>
  <c r="BD41" i="5"/>
  <c r="AS20" i="7"/>
  <c r="AS44" i="7" s="1"/>
  <c r="BD43" i="5"/>
  <c r="AS26" i="7"/>
  <c r="BD21" i="5" s="1"/>
  <c r="AC48" i="7"/>
  <c r="N25" i="7"/>
  <c r="AH15" i="5"/>
  <c r="Y48" i="7"/>
  <c r="N5" i="7"/>
  <c r="Y7" i="5" s="1"/>
  <c r="N6" i="7"/>
  <c r="W29" i="7"/>
  <c r="AQ43" i="5"/>
  <c r="AQ41" i="5"/>
  <c r="AQ42" i="5"/>
  <c r="AQ30" i="5"/>
  <c r="AQ40" i="5"/>
  <c r="Y24" i="5"/>
  <c r="AQ14" i="6"/>
  <c r="E6" i="7"/>
  <c r="T8" i="7"/>
  <c r="T19" i="7"/>
  <c r="T43" i="7" s="1"/>
  <c r="T80" i="7" s="1"/>
  <c r="T74" i="7" s="1"/>
  <c r="AE26" i="5"/>
  <c r="AE27" i="5"/>
  <c r="AE25" i="5"/>
  <c r="AE24" i="5"/>
  <c r="T22" i="7"/>
  <c r="AK8" i="5"/>
  <c r="AM7" i="5"/>
  <c r="AA31" i="7"/>
  <c r="AE8" i="5"/>
  <c r="T30" i="7"/>
  <c r="AP48" i="7"/>
  <c r="U8" i="5"/>
  <c r="AF48" i="7"/>
  <c r="F8" i="15"/>
  <c r="Q10" i="5"/>
  <c r="W30" i="7"/>
  <c r="X6" i="7"/>
  <c r="AI8" i="5" s="1"/>
  <c r="X5" i="7"/>
  <c r="X29" i="7" s="1"/>
  <c r="AA30" i="7"/>
  <c r="D10" i="5"/>
  <c r="W28" i="7"/>
  <c r="F30" i="7"/>
  <c r="G48" i="7"/>
  <c r="R79" i="7"/>
  <c r="R73" i="7" s="1"/>
  <c r="BE20" i="5"/>
  <c r="O6" i="7"/>
  <c r="J79" i="7"/>
  <c r="J73" i="7" s="1"/>
  <c r="AT47" i="7"/>
  <c r="AC30" i="7"/>
  <c r="U29" i="7"/>
  <c r="Z9" i="5"/>
  <c r="I6" i="7"/>
  <c r="N31" i="7"/>
  <c r="AC29" i="7"/>
  <c r="AA28" i="7"/>
  <c r="G28" i="7"/>
  <c r="M8" i="7"/>
  <c r="S5" i="7"/>
  <c r="F79" i="7"/>
  <c r="F73" i="7" s="1"/>
  <c r="P79" i="7"/>
  <c r="P73" i="7" s="1"/>
  <c r="K29" i="7"/>
  <c r="V7" i="5"/>
  <c r="H30" i="7"/>
  <c r="S8" i="5"/>
  <c r="X32" i="7"/>
  <c r="AI10" i="5"/>
  <c r="Q46" i="7"/>
  <c r="AB15" i="5"/>
  <c r="AB19" i="5"/>
  <c r="AA49" i="7"/>
  <c r="AL14" i="5"/>
  <c r="AC28" i="7"/>
  <c r="AN20" i="5"/>
  <c r="P6" i="7"/>
  <c r="F22" i="15"/>
  <c r="F21" i="15"/>
  <c r="F26" i="15"/>
  <c r="F11" i="15"/>
  <c r="F30" i="15"/>
  <c r="F17" i="15" s="1"/>
  <c r="F24" i="15"/>
  <c r="E79" i="7"/>
  <c r="E73" i="7" s="1"/>
  <c r="AN14" i="5"/>
  <c r="AC49" i="7"/>
  <c r="AA29" i="7"/>
  <c r="BA22" i="7"/>
  <c r="BA25" i="7"/>
  <c r="BA19" i="7"/>
  <c r="BA43" i="7" s="1"/>
  <c r="BL27" i="5"/>
  <c r="BL25" i="5"/>
  <c r="BL26" i="5"/>
  <c r="I22" i="7"/>
  <c r="T25" i="5"/>
  <c r="T27" i="5"/>
  <c r="T24" i="5"/>
  <c r="I19" i="7"/>
  <c r="I43" i="7" s="1"/>
  <c r="I80" i="7" s="1"/>
  <c r="I74" i="7" s="1"/>
  <c r="I25" i="7"/>
  <c r="T26" i="5"/>
  <c r="O22" i="7"/>
  <c r="Z27" i="5"/>
  <c r="O19" i="7"/>
  <c r="O43" i="7" s="1"/>
  <c r="O80" i="7" s="1"/>
  <c r="O74" i="7" s="1"/>
  <c r="O25" i="7"/>
  <c r="Z25" i="5"/>
  <c r="Z26" i="5"/>
  <c r="O5" i="7"/>
  <c r="AA80" i="7"/>
  <c r="AA74" i="7" s="1"/>
  <c r="AC46" i="7"/>
  <c r="AN19" i="5"/>
  <c r="AN15" i="5"/>
  <c r="AT32" i="7"/>
  <c r="AB6" i="7"/>
  <c r="AM8" i="5" s="1"/>
  <c r="H5" i="7"/>
  <c r="H29" i="7" s="1"/>
  <c r="AD14" i="5"/>
  <c r="S49" i="7"/>
  <c r="U25" i="5"/>
  <c r="U24" i="5"/>
  <c r="U26" i="5"/>
  <c r="U27" i="5"/>
  <c r="J22" i="7"/>
  <c r="J25" i="7"/>
  <c r="J19" i="7"/>
  <c r="J43" i="7" s="1"/>
  <c r="J80" i="7" s="1"/>
  <c r="J74" i="7" s="1"/>
  <c r="S22" i="7"/>
  <c r="AD25" i="5"/>
  <c r="S19" i="7"/>
  <c r="S43" i="7" s="1"/>
  <c r="AD24" i="5"/>
  <c r="AD27" i="5"/>
  <c r="AD26" i="5"/>
  <c r="Z22" i="7"/>
  <c r="AK24" i="5"/>
  <c r="Z8" i="7"/>
  <c r="AK26" i="5"/>
  <c r="Z25" i="7"/>
  <c r="Z5" i="7"/>
  <c r="AK27" i="5"/>
  <c r="Z19" i="7"/>
  <c r="Z43" i="7" s="1"/>
  <c r="Z74" i="7" s="1"/>
  <c r="AK25" i="5"/>
  <c r="P22" i="7"/>
  <c r="AA26" i="5"/>
  <c r="AA25" i="5"/>
  <c r="P8" i="7"/>
  <c r="P5" i="7"/>
  <c r="AA24" i="5"/>
  <c r="P25" i="7"/>
  <c r="AA27" i="5"/>
  <c r="P19" i="7"/>
  <c r="P43" i="7" s="1"/>
  <c r="P80" i="7" s="1"/>
  <c r="P74" i="7" s="1"/>
  <c r="K22" i="7"/>
  <c r="V26" i="5"/>
  <c r="V24" i="5"/>
  <c r="K19" i="7"/>
  <c r="K43" i="7" s="1"/>
  <c r="K80" i="7" s="1"/>
  <c r="K74" i="7" s="1"/>
  <c r="K25" i="7"/>
  <c r="V27" i="5"/>
  <c r="V25" i="5"/>
  <c r="AD30" i="7"/>
  <c r="O32" i="7"/>
  <c r="U32" i="7"/>
  <c r="E28" i="7"/>
  <c r="K28" i="7"/>
  <c r="E25" i="7"/>
  <c r="E19" i="7"/>
  <c r="E43" i="7" s="1"/>
  <c r="E80" i="7" s="1"/>
  <c r="E74" i="7" s="1"/>
  <c r="D27" i="5"/>
  <c r="D26" i="5"/>
  <c r="D25" i="5"/>
  <c r="E22" i="7"/>
  <c r="E5" i="7"/>
  <c r="D24" i="5"/>
  <c r="AQ24" i="5"/>
  <c r="AF5" i="7"/>
  <c r="AQ25" i="5"/>
  <c r="AF22" i="7"/>
  <c r="AF19" i="7"/>
  <c r="AF43" i="7" s="1"/>
  <c r="AF80" i="7" s="1"/>
  <c r="AF74" i="7" s="1"/>
  <c r="AF25" i="7"/>
  <c r="AF8" i="7"/>
  <c r="AQ26" i="5"/>
  <c r="AQ27" i="5"/>
  <c r="F49" i="7"/>
  <c r="Q14" i="5"/>
  <c r="AB25" i="7"/>
  <c r="AM26" i="5"/>
  <c r="AM25" i="5"/>
  <c r="AM24" i="5"/>
  <c r="AB22" i="7"/>
  <c r="AM27" i="5"/>
  <c r="AB19" i="7"/>
  <c r="AB43" i="7" s="1"/>
  <c r="AB80" i="7" s="1"/>
  <c r="AB74" i="7" s="1"/>
  <c r="M22" i="7"/>
  <c r="X27" i="5"/>
  <c r="X26" i="5"/>
  <c r="X25" i="5"/>
  <c r="M25" i="7"/>
  <c r="M19" i="7"/>
  <c r="M43" i="7" s="1"/>
  <c r="M80" i="7" s="1"/>
  <c r="M74" i="7" s="1"/>
  <c r="F29" i="7"/>
  <c r="AB7" i="5"/>
  <c r="G31" i="7"/>
  <c r="AP8" i="5"/>
  <c r="K6" i="7"/>
  <c r="K8" i="7"/>
  <c r="AF14" i="5"/>
  <c r="U49" i="7"/>
  <c r="F22" i="7"/>
  <c r="Q27" i="5"/>
  <c r="Q26" i="5"/>
  <c r="Q25" i="5"/>
  <c r="Q24" i="5"/>
  <c r="F19" i="7"/>
  <c r="F43" i="7" s="1"/>
  <c r="F80" i="7" s="1"/>
  <c r="U46" i="7"/>
  <c r="AF15" i="5"/>
  <c r="AF19" i="5"/>
  <c r="Z24" i="5"/>
  <c r="W19" i="5"/>
  <c r="W15" i="5"/>
  <c r="L46" i="7"/>
  <c r="BA6" i="7"/>
  <c r="S25" i="5"/>
  <c r="H22" i="7"/>
  <c r="S24" i="5"/>
  <c r="H25" i="7"/>
  <c r="H19" i="7"/>
  <c r="H43" i="7" s="1"/>
  <c r="H80" i="7" s="1"/>
  <c r="H74" i="7" s="1"/>
  <c r="S27" i="5"/>
  <c r="S26" i="5"/>
  <c r="AF79" i="7"/>
  <c r="AF73" i="7" s="1"/>
  <c r="R25" i="7"/>
  <c r="AC26" i="5"/>
  <c r="R22" i="7"/>
  <c r="R19" i="7"/>
  <c r="R43" i="7" s="1"/>
  <c r="R80" i="7" s="1"/>
  <c r="R74" i="7" s="1"/>
  <c r="AC27" i="5"/>
  <c r="AC24" i="5"/>
  <c r="AC25" i="5"/>
  <c r="AI27" i="5"/>
  <c r="AI25" i="5"/>
  <c r="X19" i="7"/>
  <c r="X43" i="7" s="1"/>
  <c r="AI24" i="5"/>
  <c r="X22" i="7"/>
  <c r="X25" i="7"/>
  <c r="AI26" i="5"/>
  <c r="AE22" i="7"/>
  <c r="AP27" i="5"/>
  <c r="AP25" i="5"/>
  <c r="AP24" i="5"/>
  <c r="AE19" i="7"/>
  <c r="AE43" i="7" s="1"/>
  <c r="AE80" i="7" s="1"/>
  <c r="AE74" i="7" s="1"/>
  <c r="AE8" i="7"/>
  <c r="AE25" i="7"/>
  <c r="AE5" i="7"/>
  <c r="AP26" i="5"/>
  <c r="AB47" i="7"/>
  <c r="AB48" i="7"/>
  <c r="AM20" i="5"/>
  <c r="X30" i="7"/>
  <c r="AI7" i="5"/>
  <c r="Y6" i="5"/>
  <c r="F48" i="7"/>
  <c r="Q20" i="5"/>
  <c r="F47" i="7"/>
  <c r="H32" i="7"/>
  <c r="S10" i="5"/>
  <c r="AS7" i="7"/>
  <c r="AS31" i="7" s="1"/>
  <c r="U20" i="5"/>
  <c r="V20" i="5"/>
  <c r="Y32" i="7"/>
  <c r="BF10" i="5"/>
  <c r="X31" i="7"/>
  <c r="J47" i="7"/>
  <c r="K48" i="7"/>
  <c r="AA77" i="7"/>
  <c r="AM10" i="5"/>
  <c r="AB32" i="7"/>
  <c r="AL49" i="7"/>
  <c r="Y28" i="7"/>
  <c r="AJ20" i="5"/>
  <c r="Y29" i="7"/>
  <c r="H31" i="7"/>
  <c r="S9" i="5"/>
  <c r="AI49" i="7"/>
  <c r="W81" i="7"/>
  <c r="W75" i="7" s="1"/>
  <c r="W84" i="7" s="1"/>
  <c r="W85" i="7" s="1"/>
  <c r="N29" i="7"/>
  <c r="AF20" i="5"/>
  <c r="U47" i="7"/>
  <c r="U48" i="7"/>
  <c r="Q81" i="7"/>
  <c r="Q75" i="7" s="1"/>
  <c r="Q84" i="7" s="1"/>
  <c r="Q85" i="7" s="1"/>
  <c r="R47" i="7"/>
  <c r="R48" i="7"/>
  <c r="AC20" i="5"/>
  <c r="O48" i="7"/>
  <c r="J32" i="7"/>
  <c r="U10" i="5"/>
  <c r="AC10" i="5"/>
  <c r="R32" i="7"/>
  <c r="W77" i="7"/>
  <c r="O47" i="7"/>
  <c r="U9" i="5"/>
  <c r="J31" i="7"/>
  <c r="AC6" i="5"/>
  <c r="R28" i="7"/>
  <c r="AF6" i="5"/>
  <c r="U28" i="7"/>
  <c r="U6" i="5"/>
  <c r="J28" i="7"/>
  <c r="R30" i="7"/>
  <c r="AC8" i="5"/>
  <c r="AF9" i="5"/>
  <c r="U31" i="7"/>
  <c r="R29" i="7"/>
  <c r="AC7" i="5"/>
  <c r="AZ47" i="7"/>
  <c r="BK20" i="5"/>
  <c r="AZ48" i="7"/>
  <c r="R31" i="7"/>
  <c r="AC9" i="5"/>
  <c r="Y10" i="5"/>
  <c r="N32" i="7"/>
  <c r="AG6" i="5"/>
  <c r="V28" i="7"/>
  <c r="L32" i="7"/>
  <c r="W10" i="5"/>
  <c r="Q77" i="7"/>
  <c r="V30" i="7"/>
  <c r="AG8" i="5"/>
  <c r="AD20" i="5"/>
  <c r="S47" i="7"/>
  <c r="S48" i="7"/>
  <c r="AD6" i="5"/>
  <c r="S28" i="7"/>
  <c r="G81" i="7"/>
  <c r="G75" i="7" s="1"/>
  <c r="G84" i="7" s="1"/>
  <c r="G85" i="7" s="1"/>
  <c r="W8" i="5"/>
  <c r="L30" i="7"/>
  <c r="AJ49" i="7"/>
  <c r="AF30" i="7"/>
  <c r="AQ8" i="5"/>
  <c r="AD7" i="5"/>
  <c r="S29" i="7"/>
  <c r="AG20" i="5"/>
  <c r="V48" i="7"/>
  <c r="V47" i="7"/>
  <c r="AD10" i="5"/>
  <c r="S32" i="7"/>
  <c r="AU47" i="7"/>
  <c r="V32" i="7"/>
  <c r="AG10" i="5"/>
  <c r="W7" i="5"/>
  <c r="L29" i="7"/>
  <c r="AD8" i="5"/>
  <c r="S30" i="7"/>
  <c r="BF20" i="5"/>
  <c r="AG9" i="5"/>
  <c r="V31" i="7"/>
  <c r="W9" i="5"/>
  <c r="L31" i="7"/>
  <c r="F77" i="7"/>
  <c r="S31" i="7"/>
  <c r="AD9" i="5"/>
  <c r="AD77" i="7"/>
  <c r="X48" i="7"/>
  <c r="AI20" i="5"/>
  <c r="X47" i="7"/>
  <c r="AA73" i="7"/>
  <c r="V29" i="7"/>
  <c r="AG7" i="5"/>
  <c r="AD81" i="7"/>
  <c r="AD75" i="7" s="1"/>
  <c r="AD84" i="7" s="1"/>
  <c r="AD85" i="7" s="1"/>
  <c r="L48" i="7"/>
  <c r="W20" i="5"/>
  <c r="L47" i="7"/>
  <c r="L28" i="7"/>
  <c r="W6" i="5"/>
  <c r="AZ77" i="7"/>
  <c r="Y81" i="7"/>
  <c r="Y75" i="7" s="1"/>
  <c r="Y84" i="7" s="1"/>
  <c r="Y85" i="7" s="1"/>
  <c r="F74" i="7"/>
  <c r="I31" i="7"/>
  <c r="T9" i="5"/>
  <c r="I30" i="7"/>
  <c r="T8" i="5"/>
  <c r="I32" i="7"/>
  <c r="T10" i="5"/>
  <c r="I29" i="7"/>
  <c r="T7" i="5"/>
  <c r="I28" i="7"/>
  <c r="T6" i="5"/>
  <c r="T20" i="5"/>
  <c r="I47" i="7"/>
  <c r="I48" i="7"/>
  <c r="X9" i="5"/>
  <c r="M31" i="7"/>
  <c r="X7" i="5"/>
  <c r="M29" i="7"/>
  <c r="X20" i="5"/>
  <c r="M47" i="7"/>
  <c r="M48" i="7"/>
  <c r="M28" i="7"/>
  <c r="X6" i="5"/>
  <c r="X10" i="5"/>
  <c r="M32" i="7"/>
  <c r="X8" i="5"/>
  <c r="M30" i="7"/>
  <c r="AA20" i="5"/>
  <c r="P47" i="7"/>
  <c r="P48" i="7"/>
  <c r="S20" i="5"/>
  <c r="H48" i="7"/>
  <c r="H47" i="7"/>
  <c r="U79" i="7"/>
  <c r="AR79" i="7"/>
  <c r="AR73" i="7" s="1"/>
  <c r="AQ79" i="7"/>
  <c r="AQ73" i="7" s="1"/>
  <c r="AP79" i="7"/>
  <c r="AP73" i="7" s="1"/>
  <c r="AO79" i="7"/>
  <c r="AO73" i="7" s="1"/>
  <c r="AN79" i="7"/>
  <c r="AN73" i="7" s="1"/>
  <c r="AM79" i="7"/>
  <c r="AM73" i="7" s="1"/>
  <c r="AI79" i="7"/>
  <c r="AI73" i="7" s="1"/>
  <c r="AH79" i="7"/>
  <c r="AH73" i="7" s="1"/>
  <c r="AG22" i="7"/>
  <c r="AR24" i="5"/>
  <c r="AR27" i="5"/>
  <c r="AG19" i="7"/>
  <c r="AG43" i="7" s="1"/>
  <c r="AR26" i="5"/>
  <c r="AR25" i="5"/>
  <c r="AG5" i="7"/>
  <c r="AG8" i="7"/>
  <c r="AG25" i="7"/>
  <c r="BC8" i="5"/>
  <c r="AR30" i="7"/>
  <c r="BC10" i="5"/>
  <c r="AR32" i="7"/>
  <c r="BC9" i="5"/>
  <c r="AR31" i="7"/>
  <c r="BC7" i="5"/>
  <c r="AR29" i="7"/>
  <c r="BC6" i="5"/>
  <c r="AR28" i="7"/>
  <c r="AQ30" i="7"/>
  <c r="BB8" i="5"/>
  <c r="BB10" i="5"/>
  <c r="AQ32" i="7"/>
  <c r="BB9" i="5"/>
  <c r="AQ31" i="7"/>
  <c r="AQ29" i="7"/>
  <c r="BB7" i="5"/>
  <c r="BB6" i="5"/>
  <c r="AQ28" i="7"/>
  <c r="BA8" i="5"/>
  <c r="AP30" i="7"/>
  <c r="BA10" i="5"/>
  <c r="AP32" i="7"/>
  <c r="BA9" i="5"/>
  <c r="AP31" i="7"/>
  <c r="AP29" i="7"/>
  <c r="BA7" i="5"/>
  <c r="BA6" i="5"/>
  <c r="AP28" i="7"/>
  <c r="AZ8" i="5"/>
  <c r="AO30" i="7"/>
  <c r="AZ10" i="5"/>
  <c r="AO32" i="7"/>
  <c r="AZ9" i="5"/>
  <c r="AO31" i="7"/>
  <c r="AZ7" i="5"/>
  <c r="AO29" i="7"/>
  <c r="AO28" i="7"/>
  <c r="AZ6" i="5"/>
  <c r="AY8" i="5"/>
  <c r="AN30" i="7"/>
  <c r="AN32" i="7"/>
  <c r="AY10" i="5"/>
  <c r="AY9" i="5"/>
  <c r="AN31" i="7"/>
  <c r="AY7" i="5"/>
  <c r="AN29" i="7"/>
  <c r="AN28" i="7"/>
  <c r="AY6" i="5"/>
  <c r="AX8" i="5"/>
  <c r="AM30" i="7"/>
  <c r="AM32" i="7"/>
  <c r="AX10" i="5"/>
  <c r="AX9" i="5"/>
  <c r="AM31" i="7"/>
  <c r="AX7" i="5"/>
  <c r="AM29" i="7"/>
  <c r="AX6" i="5"/>
  <c r="AM28" i="7"/>
  <c r="AW8" i="5"/>
  <c r="AL30" i="7"/>
  <c r="AW10" i="5"/>
  <c r="AL32" i="7"/>
  <c r="AW9" i="5"/>
  <c r="AL31" i="7"/>
  <c r="AW7" i="5"/>
  <c r="AL29" i="7"/>
  <c r="AW6" i="5"/>
  <c r="AL28" i="7"/>
  <c r="AV8" i="5"/>
  <c r="AK30" i="7"/>
  <c r="AV10" i="5"/>
  <c r="AK32" i="7"/>
  <c r="AK31" i="7"/>
  <c r="AV9" i="5"/>
  <c r="AV7" i="5"/>
  <c r="AK29" i="7"/>
  <c r="AV6" i="5"/>
  <c r="AK28" i="7"/>
  <c r="AU8" i="5"/>
  <c r="AJ30" i="7"/>
  <c r="AU10" i="5"/>
  <c r="AJ32" i="7"/>
  <c r="AU9" i="5"/>
  <c r="AJ31" i="7"/>
  <c r="AU7" i="5"/>
  <c r="AJ29" i="7"/>
  <c r="AJ28" i="7"/>
  <c r="AU6" i="5"/>
  <c r="AT8" i="5"/>
  <c r="AI30" i="7"/>
  <c r="AT10" i="5"/>
  <c r="AI32" i="7"/>
  <c r="AT9" i="5"/>
  <c r="AI31" i="7"/>
  <c r="AT7" i="5"/>
  <c r="AI29" i="7"/>
  <c r="AI28" i="7"/>
  <c r="AT6" i="5"/>
  <c r="AH30" i="7"/>
  <c r="AS8" i="5"/>
  <c r="AH32" i="7"/>
  <c r="AS10" i="5"/>
  <c r="AH31" i="7"/>
  <c r="AS9" i="5"/>
  <c r="AH29" i="7"/>
  <c r="AS7" i="5"/>
  <c r="AS6" i="5"/>
  <c r="AH28" i="7"/>
  <c r="AG6" i="7"/>
  <c r="AR9" i="5"/>
  <c r="AG31" i="7"/>
  <c r="AR6" i="5"/>
  <c r="AG28" i="7"/>
  <c r="BD20" i="5"/>
  <c r="AS47" i="7"/>
  <c r="AS48" i="7"/>
  <c r="BD7" i="5"/>
  <c r="AS29" i="7"/>
  <c r="AS28" i="7"/>
  <c r="BD6" i="5"/>
  <c r="AN47" i="7"/>
  <c r="AN48" i="7"/>
  <c r="AY20" i="5"/>
  <c r="AM48" i="7"/>
  <c r="AX20" i="5"/>
  <c r="AM47" i="7"/>
  <c r="AW20" i="5"/>
  <c r="AL47" i="7"/>
  <c r="AL48" i="7"/>
  <c r="AV20" i="5"/>
  <c r="AK47" i="7"/>
  <c r="AK48" i="7"/>
  <c r="AH47" i="7"/>
  <c r="AS20" i="5"/>
  <c r="AH48" i="7"/>
  <c r="AX48" i="7"/>
  <c r="BI20" i="5"/>
  <c r="AX47" i="7"/>
  <c r="AV48" i="7"/>
  <c r="AV47" i="7"/>
  <c r="BG20" i="5"/>
  <c r="AW48" i="7"/>
  <c r="BH20" i="5"/>
  <c r="AW47" i="7"/>
  <c r="AW30" i="7"/>
  <c r="BH8" i="5"/>
  <c r="BH10" i="5"/>
  <c r="AW32" i="7"/>
  <c r="AW31" i="7"/>
  <c r="BH9" i="5"/>
  <c r="AW29" i="7"/>
  <c r="BH7" i="5"/>
  <c r="BH6" i="5"/>
  <c r="AW28" i="7"/>
  <c r="AZ79" i="7"/>
  <c r="AZ73" i="7" s="1"/>
  <c r="AZ80" i="7"/>
  <c r="AZ74" i="7" s="1"/>
  <c r="AX79" i="7"/>
  <c r="AX73" i="7" s="1"/>
  <c r="AX22" i="7"/>
  <c r="AX25" i="7"/>
  <c r="AX6" i="7"/>
  <c r="AX5" i="7"/>
  <c r="AX8" i="7"/>
  <c r="AX19" i="7"/>
  <c r="AX43" i="7" s="1"/>
  <c r="BI27" i="5"/>
  <c r="BI26" i="5"/>
  <c r="BI25" i="5"/>
  <c r="BI24" i="5"/>
  <c r="AW79" i="7"/>
  <c r="AW73" i="7" s="1"/>
  <c r="AV79" i="7"/>
  <c r="AV73" i="7" s="1"/>
  <c r="AV22" i="7"/>
  <c r="AV6" i="7"/>
  <c r="AV5" i="7"/>
  <c r="AV8" i="7"/>
  <c r="AV25" i="7"/>
  <c r="AV19" i="7"/>
  <c r="AV43" i="7" s="1"/>
  <c r="BG27" i="5"/>
  <c r="BG26" i="5"/>
  <c r="BG25" i="5"/>
  <c r="BG24" i="5"/>
  <c r="BA30" i="7"/>
  <c r="BL8" i="5"/>
  <c r="BL10" i="5"/>
  <c r="BA32" i="7"/>
  <c r="BA31" i="7"/>
  <c r="BL9" i="5"/>
  <c r="BA29" i="7"/>
  <c r="BL7" i="5"/>
  <c r="BA28" i="7"/>
  <c r="BL6" i="5"/>
  <c r="BA48" i="7"/>
  <c r="BA47" i="7"/>
  <c r="BL20" i="5"/>
  <c r="AC81" i="7" l="1"/>
  <c r="AC75" i="7" s="1"/>
  <c r="AC84" i="7" s="1"/>
  <c r="AC85" i="7" s="1"/>
  <c r="AY30" i="7"/>
  <c r="BJ8" i="5"/>
  <c r="BJ19" i="5"/>
  <c r="AY46" i="7"/>
  <c r="BJ15" i="5"/>
  <c r="BM7" i="5"/>
  <c r="BB29" i="7"/>
  <c r="BB32" i="7"/>
  <c r="BM10" i="5"/>
  <c r="BB49" i="7"/>
  <c r="BM14" i="5"/>
  <c r="BB46" i="7"/>
  <c r="BB81" i="7" s="1"/>
  <c r="BB75" i="7" s="1"/>
  <c r="BM15" i="5"/>
  <c r="BM19" i="5"/>
  <c r="BB84" i="7"/>
  <c r="BB85" i="7" s="1"/>
  <c r="BF32" i="7"/>
  <c r="BQ10" i="5"/>
  <c r="BQ7" i="5"/>
  <c r="BF29" i="7"/>
  <c r="BF77" i="7" s="1"/>
  <c r="BF49" i="7"/>
  <c r="BQ14" i="5"/>
  <c r="BF46" i="7"/>
  <c r="BF81" i="7" s="1"/>
  <c r="BF75" i="7" s="1"/>
  <c r="BQ15" i="5"/>
  <c r="BQ19" i="5"/>
  <c r="BN7" i="5"/>
  <c r="BC29" i="7"/>
  <c r="BC32" i="7"/>
  <c r="BN10" i="5"/>
  <c r="BC49" i="7"/>
  <c r="BN14" i="5"/>
  <c r="BC46" i="7"/>
  <c r="BN15" i="5"/>
  <c r="BN19" i="5"/>
  <c r="BF80" i="7"/>
  <c r="BF74" i="7" s="1"/>
  <c r="BO8" i="5"/>
  <c r="BD30" i="7"/>
  <c r="BD32" i="7"/>
  <c r="BO10" i="5"/>
  <c r="BD29" i="7"/>
  <c r="BD77" i="7" s="1"/>
  <c r="BO7" i="5"/>
  <c r="BO14" i="5"/>
  <c r="BD49" i="7"/>
  <c r="BD46" i="7"/>
  <c r="BD81" i="7" s="1"/>
  <c r="BD75" i="7" s="1"/>
  <c r="BD84" i="7" s="1"/>
  <c r="BD85" i="7" s="1"/>
  <c r="BO15" i="5"/>
  <c r="BO19" i="5"/>
  <c r="BP8" i="5"/>
  <c r="BE30" i="7"/>
  <c r="BE32" i="7"/>
  <c r="BP10" i="5"/>
  <c r="BP7" i="5"/>
  <c r="BE29" i="7"/>
  <c r="BE77" i="7" s="1"/>
  <c r="BE49" i="7"/>
  <c r="BP14" i="5"/>
  <c r="BE46" i="7"/>
  <c r="BE81" i="7" s="1"/>
  <c r="BE75" i="7" s="1"/>
  <c r="BE84" i="7" s="1"/>
  <c r="BE85" i="7" s="1"/>
  <c r="BP15" i="5"/>
  <c r="BP19" i="5"/>
  <c r="BE83" i="7"/>
  <c r="BE86" i="7" s="1"/>
  <c r="AG15" i="5"/>
  <c r="V46" i="7"/>
  <c r="AG19" i="5"/>
  <c r="BD9" i="5"/>
  <c r="Y14" i="5"/>
  <c r="N49" i="7"/>
  <c r="AS22" i="7"/>
  <c r="BD26" i="5"/>
  <c r="BD27" i="5"/>
  <c r="AS19" i="7"/>
  <c r="AS43" i="7" s="1"/>
  <c r="AS8" i="7"/>
  <c r="BD25" i="5"/>
  <c r="BD24" i="5"/>
  <c r="AS25" i="7"/>
  <c r="N80" i="7"/>
  <c r="N74" i="7" s="1"/>
  <c r="AE10" i="5"/>
  <c r="T32" i="7"/>
  <c r="T77" i="7" s="1"/>
  <c r="D8" i="5"/>
  <c r="E30" i="7"/>
  <c r="V49" i="7"/>
  <c r="AG14" i="5"/>
  <c r="N46" i="7"/>
  <c r="N81" i="7" s="1"/>
  <c r="N75" i="7" s="1"/>
  <c r="Y19" i="5"/>
  <c r="Y15" i="5"/>
  <c r="AE15" i="5"/>
  <c r="AE19" i="5"/>
  <c r="T46" i="7"/>
  <c r="T81" i="7" s="1"/>
  <c r="T75" i="7" s="1"/>
  <c r="T84" i="7" s="1"/>
  <c r="T85" i="7" s="1"/>
  <c r="AS6" i="7"/>
  <c r="N30" i="7"/>
  <c r="Y8" i="5"/>
  <c r="AA81" i="7"/>
  <c r="AA75" i="7" s="1"/>
  <c r="U7" i="5"/>
  <c r="J29" i="7"/>
  <c r="AC77" i="7"/>
  <c r="AC83" i="7" s="1"/>
  <c r="AC86" i="7" s="1"/>
  <c r="G77" i="7"/>
  <c r="G83" i="7" s="1"/>
  <c r="G86" i="7" s="1"/>
  <c r="S7" i="5"/>
  <c r="AZ81" i="7"/>
  <c r="Z8" i="5"/>
  <c r="O30" i="7"/>
  <c r="AB30" i="7"/>
  <c r="AB77" i="7" s="1"/>
  <c r="X77" i="7"/>
  <c r="AP7" i="5"/>
  <c r="AE29" i="7"/>
  <c r="V8" i="5"/>
  <c r="K30" i="7"/>
  <c r="K46" i="7"/>
  <c r="V15" i="5"/>
  <c r="V19" i="5"/>
  <c r="T19" i="5"/>
  <c r="I46" i="7"/>
  <c r="T15" i="5"/>
  <c r="AP14" i="5"/>
  <c r="AE49" i="7"/>
  <c r="AI14" i="5"/>
  <c r="X49" i="7"/>
  <c r="AB49" i="7"/>
  <c r="AM14" i="5"/>
  <c r="AQ15" i="5"/>
  <c r="AF46" i="7"/>
  <c r="AQ19" i="5"/>
  <c r="P46" i="7"/>
  <c r="AA15" i="5"/>
  <c r="AA19" i="5"/>
  <c r="Z32" i="7"/>
  <c r="AK10" i="5"/>
  <c r="S46" i="7"/>
  <c r="S81" i="7" s="1"/>
  <c r="S75" i="7" s="1"/>
  <c r="AD15" i="5"/>
  <c r="AD19" i="5"/>
  <c r="O46" i="7"/>
  <c r="Z15" i="5"/>
  <c r="Z19" i="5"/>
  <c r="AA8" i="5"/>
  <c r="P30" i="7"/>
  <c r="AF29" i="7"/>
  <c r="AQ7" i="5"/>
  <c r="J49" i="7"/>
  <c r="U14" i="5"/>
  <c r="Z7" i="5"/>
  <c r="O29" i="7"/>
  <c r="O77" i="7" s="1"/>
  <c r="I49" i="7"/>
  <c r="T14" i="5"/>
  <c r="H49" i="7"/>
  <c r="S14" i="5"/>
  <c r="R46" i="7"/>
  <c r="AC15" i="5"/>
  <c r="AC19" i="5"/>
  <c r="Q19" i="5"/>
  <c r="F46" i="7"/>
  <c r="F81" i="7" s="1"/>
  <c r="F75" i="7" s="1"/>
  <c r="F84" i="7" s="1"/>
  <c r="Q15" i="5"/>
  <c r="P49" i="7"/>
  <c r="AA14" i="5"/>
  <c r="AK15" i="5"/>
  <c r="AK19" i="5"/>
  <c r="Z46" i="7"/>
  <c r="Z81" i="7" s="1"/>
  <c r="Z75" i="7" s="1"/>
  <c r="AA84" i="7"/>
  <c r="AA85" i="7" s="1"/>
  <c r="X80" i="7"/>
  <c r="X74" i="7" s="1"/>
  <c r="S15" i="5"/>
  <c r="S19" i="5"/>
  <c r="H46" i="7"/>
  <c r="D14" i="5"/>
  <c r="E49" i="7"/>
  <c r="K49" i="7"/>
  <c r="V14" i="5"/>
  <c r="J46" i="7"/>
  <c r="U19" i="5"/>
  <c r="U15" i="5"/>
  <c r="AI19" i="5"/>
  <c r="AI15" i="5"/>
  <c r="X46" i="7"/>
  <c r="R49" i="7"/>
  <c r="AC14" i="5"/>
  <c r="AM15" i="5"/>
  <c r="AM19" i="5"/>
  <c r="AB46" i="7"/>
  <c r="P29" i="7"/>
  <c r="AA7" i="5"/>
  <c r="BA49" i="7"/>
  <c r="BL14" i="5"/>
  <c r="H77" i="7"/>
  <c r="X14" i="5"/>
  <c r="M49" i="7"/>
  <c r="AQ10" i="5"/>
  <c r="AF32" i="7"/>
  <c r="D7" i="5"/>
  <c r="E29" i="7"/>
  <c r="P32" i="7"/>
  <c r="AA10" i="5"/>
  <c r="Z29" i="7"/>
  <c r="Z77" i="7" s="1"/>
  <c r="Z83" i="7" s="1"/>
  <c r="Z86" i="7" s="1"/>
  <c r="AK7" i="5"/>
  <c r="Z14" i="5"/>
  <c r="O49" i="7"/>
  <c r="BL15" i="5"/>
  <c r="BA46" i="7"/>
  <c r="BL19" i="5"/>
  <c r="AP10" i="5"/>
  <c r="AE32" i="7"/>
  <c r="X15" i="5"/>
  <c r="M46" i="7"/>
  <c r="X19" i="5"/>
  <c r="AP15" i="5"/>
  <c r="AP19" i="5"/>
  <c r="AE46" i="7"/>
  <c r="V10" i="5"/>
  <c r="K32" i="7"/>
  <c r="AQ14" i="5"/>
  <c r="AF49" i="7"/>
  <c r="D19" i="5"/>
  <c r="E46" i="7"/>
  <c r="D15" i="5"/>
  <c r="Z49" i="7"/>
  <c r="AK14" i="5"/>
  <c r="S80" i="7"/>
  <c r="S74" i="7" s="1"/>
  <c r="N77" i="7"/>
  <c r="N83" i="7" s="1"/>
  <c r="N86" i="7" s="1"/>
  <c r="Y77" i="7"/>
  <c r="Y83" i="7" s="1"/>
  <c r="Y86" i="7" s="1"/>
  <c r="AZ75" i="7"/>
  <c r="AZ84" i="7" s="1"/>
  <c r="AZ85" i="7" s="1"/>
  <c r="J77" i="7"/>
  <c r="W83" i="7"/>
  <c r="W86" i="7" s="1"/>
  <c r="AA83" i="7"/>
  <c r="AA86" i="7" s="1"/>
  <c r="Q83" i="7"/>
  <c r="Q86" i="7" s="1"/>
  <c r="U77" i="7"/>
  <c r="U81" i="7"/>
  <c r="U75" i="7" s="1"/>
  <c r="R77" i="7"/>
  <c r="L81" i="7"/>
  <c r="L75" i="7" s="1"/>
  <c r="L84" i="7" s="1"/>
  <c r="L85" i="7" s="1"/>
  <c r="L77" i="7"/>
  <c r="V81" i="7"/>
  <c r="V75" i="7" s="1"/>
  <c r="V84" i="7" s="1"/>
  <c r="V85" i="7" s="1"/>
  <c r="V77" i="7"/>
  <c r="U73" i="7"/>
  <c r="AD83" i="7"/>
  <c r="AD86" i="7" s="1"/>
  <c r="S77" i="7"/>
  <c r="AV49" i="7"/>
  <c r="BG14" i="5"/>
  <c r="AV32" i="7"/>
  <c r="BG10" i="5"/>
  <c r="AV29" i="7"/>
  <c r="BG7" i="5"/>
  <c r="AV30" i="7"/>
  <c r="BG8" i="5"/>
  <c r="AV46" i="7"/>
  <c r="BG15" i="5"/>
  <c r="BG19" i="5"/>
  <c r="AX32" i="7"/>
  <c r="BI10" i="5"/>
  <c r="AX29" i="7"/>
  <c r="BI7" i="5"/>
  <c r="AX30" i="7"/>
  <c r="BI8" i="5"/>
  <c r="BI14" i="5"/>
  <c r="AX49" i="7"/>
  <c r="BI19" i="5"/>
  <c r="AX46" i="7"/>
  <c r="BI15" i="5"/>
  <c r="AZ83" i="7"/>
  <c r="AZ86" i="7" s="1"/>
  <c r="AW81" i="7"/>
  <c r="AW75" i="7" s="1"/>
  <c r="AR8" i="5"/>
  <c r="AG30" i="7"/>
  <c r="AR14" i="5"/>
  <c r="AG49" i="7"/>
  <c r="AG32" i="7"/>
  <c r="AR10" i="5"/>
  <c r="AR7" i="5"/>
  <c r="AG29" i="7"/>
  <c r="AR15" i="5"/>
  <c r="AR19" i="5"/>
  <c r="AG46" i="7"/>
  <c r="I81" i="7" l="1"/>
  <c r="I75" i="7" s="1"/>
  <c r="T83" i="7"/>
  <c r="T86" i="7" s="1"/>
  <c r="N84" i="7"/>
  <c r="N85" i="7" s="1"/>
  <c r="BD83" i="7"/>
  <c r="BD86" i="7" s="1"/>
  <c r="BC81" i="7"/>
  <c r="BC75" i="7" s="1"/>
  <c r="BC84" i="7" s="1"/>
  <c r="BC85" i="7" s="1"/>
  <c r="BC77" i="7"/>
  <c r="BC83" i="7" s="1"/>
  <c r="BC86" i="7" s="1"/>
  <c r="BF84" i="7"/>
  <c r="BF85" i="7" s="1"/>
  <c r="BF83" i="7"/>
  <c r="BF86" i="7" s="1"/>
  <c r="BB77" i="7"/>
  <c r="BB83" i="7" s="1"/>
  <c r="BB86" i="7" s="1"/>
  <c r="X81" i="7"/>
  <c r="X75" i="7" s="1"/>
  <c r="BD15" i="5"/>
  <c r="BD19" i="5"/>
  <c r="AS46" i="7"/>
  <c r="X83" i="7"/>
  <c r="X86" i="7" s="1"/>
  <c r="E77" i="7"/>
  <c r="H81" i="7"/>
  <c r="H83" i="7" s="1"/>
  <c r="H86" i="7" s="1"/>
  <c r="AS49" i="7"/>
  <c r="BD14" i="5"/>
  <c r="AB81" i="7"/>
  <c r="AB75" i="7" s="1"/>
  <c r="AB84" i="7" s="1"/>
  <c r="AB85" i="7" s="1"/>
  <c r="BD8" i="5"/>
  <c r="AS30" i="7"/>
  <c r="BD10" i="5"/>
  <c r="AS32" i="7"/>
  <c r="K81" i="7"/>
  <c r="K75" i="7" s="1"/>
  <c r="K84" i="7" s="1"/>
  <c r="K85" i="7" s="1"/>
  <c r="E81" i="7"/>
  <c r="E75" i="7" s="1"/>
  <c r="E84" i="7" s="1"/>
  <c r="E85" i="7" s="1"/>
  <c r="P81" i="7"/>
  <c r="AF77" i="7"/>
  <c r="M81" i="7"/>
  <c r="M75" i="7" s="1"/>
  <c r="M84" i="7" s="1"/>
  <c r="M85" i="7" s="1"/>
  <c r="S84" i="7"/>
  <c r="S85" i="7" s="1"/>
  <c r="X84" i="7"/>
  <c r="X85" i="7" s="1"/>
  <c r="O81" i="7"/>
  <c r="O83" i="7" s="1"/>
  <c r="O86" i="7" s="1"/>
  <c r="P77" i="7"/>
  <c r="P83" i="7" s="1"/>
  <c r="P86" i="7" s="1"/>
  <c r="R81" i="7"/>
  <c r="R75" i="7" s="1"/>
  <c r="R84" i="7" s="1"/>
  <c r="R85" i="7" s="1"/>
  <c r="AE81" i="7"/>
  <c r="AE75" i="7" s="1"/>
  <c r="AE84" i="7" s="1"/>
  <c r="AE85" i="7" s="1"/>
  <c r="K77" i="7"/>
  <c r="K83" i="7" s="1"/>
  <c r="K86" i="7" s="1"/>
  <c r="AF81" i="7"/>
  <c r="AF75" i="7" s="1"/>
  <c r="AF84" i="7" s="1"/>
  <c r="AF85" i="7" s="1"/>
  <c r="J81" i="7"/>
  <c r="AE77" i="7"/>
  <c r="L83" i="7"/>
  <c r="L86" i="7" s="1"/>
  <c r="F85" i="7"/>
  <c r="S83" i="7"/>
  <c r="S86" i="7" s="1"/>
  <c r="U83" i="7"/>
  <c r="U86" i="7" s="1"/>
  <c r="F83" i="7"/>
  <c r="F86" i="7" s="1"/>
  <c r="H75" i="7"/>
  <c r="H84" i="7" s="1"/>
  <c r="H85" i="7" s="1"/>
  <c r="U84" i="7"/>
  <c r="U85" i="7" s="1"/>
  <c r="V83" i="7"/>
  <c r="V86" i="7" s="1"/>
  <c r="P75" i="7"/>
  <c r="P84" i="7" s="1"/>
  <c r="I84" i="7"/>
  <c r="I85" i="7" s="1"/>
  <c r="BA79" i="7"/>
  <c r="BA73" i="7" s="1"/>
  <c r="BA80" i="7"/>
  <c r="AT79" i="7"/>
  <c r="AT73" i="7" s="1"/>
  <c r="AU79" i="7"/>
  <c r="AU73" i="7" s="1"/>
  <c r="AG79" i="7"/>
  <c r="AG73" i="7" s="1"/>
  <c r="AK79" i="7"/>
  <c r="AK73" i="7" s="1"/>
  <c r="AG80" i="7"/>
  <c r="AG74" i="7" s="1"/>
  <c r="AR80" i="7"/>
  <c r="AR74" i="7" s="1"/>
  <c r="AK80" i="7"/>
  <c r="AK74" i="7" s="1"/>
  <c r="AJ79" i="7"/>
  <c r="AJ73" i="7" s="1"/>
  <c r="AI80" i="7"/>
  <c r="AI74" i="7" s="1"/>
  <c r="AO81" i="7"/>
  <c r="AO75" i="7" s="1"/>
  <c r="AS80" i="7"/>
  <c r="AS74" i="7" s="1"/>
  <c r="AK77" i="7"/>
  <c r="AI81" i="7"/>
  <c r="AI75" i="7" s="1"/>
  <c r="M77" i="7"/>
  <c r="M83" i="7" s="1"/>
  <c r="M86" i="7" s="1"/>
  <c r="AR81" i="7"/>
  <c r="AG77" i="7"/>
  <c r="AG81" i="7"/>
  <c r="I77" i="7"/>
  <c r="I83" i="7" s="1"/>
  <c r="I86" i="7" s="1"/>
  <c r="AH80" i="7"/>
  <c r="AH74" i="7" s="1"/>
  <c r="AN81" i="7"/>
  <c r="AN75" i="7" s="1"/>
  <c r="AO77" i="7"/>
  <c r="AN77" i="7"/>
  <c r="AV81" i="7"/>
  <c r="AV75" i="7" s="1"/>
  <c r="AK81" i="7"/>
  <c r="AL81" i="7"/>
  <c r="AL75" i="7" s="1"/>
  <c r="AM80" i="7"/>
  <c r="AP81" i="7"/>
  <c r="AP75" i="7" s="1"/>
  <c r="AJ81" i="7"/>
  <c r="AJ75" i="7" s="1"/>
  <c r="AL80" i="7"/>
  <c r="AL74" i="7" s="1"/>
  <c r="AL79" i="7"/>
  <c r="AQ80" i="7"/>
  <c r="AQ74" i="7" s="1"/>
  <c r="AJ77" i="7"/>
  <c r="AJ80" i="7"/>
  <c r="AJ74" i="7" s="1"/>
  <c r="AP80" i="7"/>
  <c r="AP74" i="7" s="1"/>
  <c r="AP77" i="7"/>
  <c r="AQ77" i="7"/>
  <c r="AM81" i="7"/>
  <c r="AM75" i="7" s="1"/>
  <c r="AH81" i="7"/>
  <c r="AH75" i="7" s="1"/>
  <c r="AO80" i="7"/>
  <c r="AO74" i="7" s="1"/>
  <c r="AI77" i="7"/>
  <c r="AS79" i="7"/>
  <c r="AS73" i="7" s="1"/>
  <c r="AN80" i="7"/>
  <c r="AN74" i="7" s="1"/>
  <c r="AW80" i="7"/>
  <c r="AW74" i="7" s="1"/>
  <c r="AW84" i="7" s="1"/>
  <c r="AW85" i="7" s="1"/>
  <c r="AL77" i="7"/>
  <c r="AQ81" i="7"/>
  <c r="AQ75" i="7" s="1"/>
  <c r="AT81" i="7"/>
  <c r="AT75" i="7" s="1"/>
  <c r="AY80" i="7"/>
  <c r="AY74" i="7" s="1"/>
  <c r="AX80" i="7"/>
  <c r="AX74" i="7" s="1"/>
  <c r="AY77" i="7"/>
  <c r="AX77" i="7"/>
  <c r="AT80" i="7"/>
  <c r="AT74" i="7" s="1"/>
  <c r="AU80" i="7"/>
  <c r="AU74" i="7" s="1"/>
  <c r="AV80" i="7"/>
  <c r="AV74" i="7" s="1"/>
  <c r="AY79" i="7"/>
  <c r="AY73" i="7" s="1"/>
  <c r="AX81" i="7"/>
  <c r="AX75" i="7" s="1"/>
  <c r="AY81" i="7"/>
  <c r="AY75" i="7" s="1"/>
  <c r="AW77" i="7"/>
  <c r="AV77" i="7"/>
  <c r="AU81" i="7"/>
  <c r="AU75" i="7" s="1"/>
  <c r="AU77" i="7"/>
  <c r="AT77" i="7"/>
  <c r="AR77" i="7"/>
  <c r="AM77" i="7"/>
  <c r="AH77" i="7"/>
  <c r="BA81" i="7"/>
  <c r="BA75" i="7" s="1"/>
  <c r="BA77" i="7"/>
  <c r="BA74" i="7"/>
  <c r="AG75" i="7"/>
  <c r="AK75" i="7"/>
  <c r="AL73" i="7"/>
  <c r="AR75" i="7"/>
  <c r="AS77" i="7" l="1"/>
  <c r="AS81" i="7"/>
  <c r="AS75" i="7" s="1"/>
  <c r="AP84" i="7"/>
  <c r="AP85" i="7" s="1"/>
  <c r="E83" i="7"/>
  <c r="E86" i="7" s="1"/>
  <c r="AB83" i="7"/>
  <c r="AB86" i="7" s="1"/>
  <c r="AR83" i="7"/>
  <c r="AR86" i="7" s="1"/>
  <c r="O75" i="7"/>
  <c r="O84" i="7" s="1"/>
  <c r="O85" i="7" s="1"/>
  <c r="AE83" i="7"/>
  <c r="AE86" i="7" s="1"/>
  <c r="R83" i="7"/>
  <c r="R86" i="7" s="1"/>
  <c r="J75" i="7"/>
  <c r="J84" i="7" s="1"/>
  <c r="J85" i="7" s="1"/>
  <c r="J83" i="7"/>
  <c r="J86" i="7" s="1"/>
  <c r="AV83" i="7"/>
  <c r="AV86" i="7" s="1"/>
  <c r="AX83" i="7"/>
  <c r="AX86" i="7" s="1"/>
  <c r="AF83" i="7"/>
  <c r="AF86" i="7" s="1"/>
  <c r="P85" i="7"/>
  <c r="AN83" i="7"/>
  <c r="AN86" i="7" s="1"/>
  <c r="AQ83" i="7"/>
  <c r="AQ86" i="7" s="1"/>
  <c r="AR84" i="7"/>
  <c r="AR85" i="7" s="1"/>
  <c r="AU84" i="7"/>
  <c r="AU85" i="7" s="1"/>
  <c r="BA84" i="7"/>
  <c r="BA85" i="7" s="1"/>
  <c r="AW83" i="7"/>
  <c r="AW86" i="7" s="1"/>
  <c r="AJ84" i="7"/>
  <c r="AJ85" i="7" s="1"/>
  <c r="AL84" i="7"/>
  <c r="AL85" i="7" s="1"/>
  <c r="AG84" i="7"/>
  <c r="AG85" i="7" s="1"/>
  <c r="AK84" i="7"/>
  <c r="AK85" i="7" s="1"/>
  <c r="AX84" i="7"/>
  <c r="AX85" i="7" s="1"/>
  <c r="AI83" i="7"/>
  <c r="AI86" i="7" s="1"/>
  <c r="AI84" i="7"/>
  <c r="AI85" i="7" s="1"/>
  <c r="BA83" i="7"/>
  <c r="BA86" i="7" s="1"/>
  <c r="AH84" i="7"/>
  <c r="AH85" i="7" s="1"/>
  <c r="AK83" i="7"/>
  <c r="AK86" i="7" s="1"/>
  <c r="AN84" i="7"/>
  <c r="AN85" i="7" s="1"/>
  <c r="AY83" i="7"/>
  <c r="AY86" i="7" s="1"/>
  <c r="AS84" i="7"/>
  <c r="AS85" i="7" s="1"/>
  <c r="AJ83" i="7"/>
  <c r="AJ86" i="7" s="1"/>
  <c r="AM83" i="7"/>
  <c r="AM86" i="7" s="1"/>
  <c r="AS83" i="7"/>
  <c r="AS86" i="7" s="1"/>
  <c r="AO84" i="7"/>
  <c r="AO85" i="7" s="1"/>
  <c r="AV84" i="7"/>
  <c r="AV85" i="7" s="1"/>
  <c r="AL83" i="7"/>
  <c r="AL86" i="7" s="1"/>
  <c r="AT83" i="7"/>
  <c r="AT86" i="7" s="1"/>
  <c r="AU83" i="7"/>
  <c r="AU86" i="7" s="1"/>
  <c r="AG83" i="7"/>
  <c r="AG86" i="7" s="1"/>
  <c r="AT84" i="7"/>
  <c r="AT85" i="7" s="1"/>
  <c r="AH83" i="7"/>
  <c r="AH86" i="7" s="1"/>
  <c r="AQ84" i="7"/>
  <c r="AQ85" i="7" s="1"/>
  <c r="AP83" i="7"/>
  <c r="AP86" i="7" s="1"/>
  <c r="AY84" i="7"/>
  <c r="AY85" i="7" s="1"/>
  <c r="AM74" i="7"/>
  <c r="AM84" i="7" s="1"/>
  <c r="AM85" i="7" s="1"/>
  <c r="AO83" i="7"/>
  <c r="AO8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sodhiambo</author>
    <author>OGODA</author>
  </authors>
  <commentList>
    <comment ref="BV16" authorId="0" shapeId="0" xr:uid="{A6C801C1-8055-4D6E-BBC5-CF71229DCC84}">
      <text>
        <r>
          <rPr>
            <b/>
            <sz val="9"/>
            <color indexed="81"/>
            <rFont val="Tahoma"/>
            <family val="2"/>
          </rPr>
          <t>sodhiambo:</t>
        </r>
        <r>
          <rPr>
            <sz val="9"/>
            <color indexed="81"/>
            <rFont val="Tahoma"/>
            <family val="2"/>
          </rPr>
          <t xml:space="preserve">
Sacco is Using IFRS requirments rather than SASRA requirements thereby overstating total asstes</t>
        </r>
      </text>
    </comment>
    <comment ref="D25" authorId="1" shapeId="0" xr:uid="{00000000-0006-0000-0300-000001000000}">
      <text>
        <r>
          <rPr>
            <b/>
            <sz val="9"/>
            <color indexed="81"/>
            <rFont val="Tahoma"/>
            <family val="2"/>
          </rPr>
          <t>OGODA:</t>
        </r>
        <r>
          <rPr>
            <sz val="9"/>
            <color indexed="81"/>
            <rFont val="Tahoma"/>
            <family val="2"/>
          </rPr>
          <t xml:space="preserve">
expound on this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F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O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End Date Of Reporting Month</t>
        </r>
      </text>
    </comment>
    <comment ref="O8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End Date Of Reporting Month</t>
        </r>
      </text>
    </comment>
    <comment ref="F33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O33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34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End Date Of Reporting Month</t>
        </r>
      </text>
    </comment>
    <comment ref="O34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End Date Of Reporting Month</t>
        </r>
      </text>
    </comment>
  </commentList>
</comments>
</file>

<file path=xl/sharedStrings.xml><?xml version="1.0" encoding="utf-8"?>
<sst xmlns="http://schemas.openxmlformats.org/spreadsheetml/2006/main" count="622" uniqueCount="354">
  <si>
    <t>INVEST AND GROW FINANCIALS</t>
  </si>
  <si>
    <t>Year</t>
  </si>
  <si>
    <t>Audited 2017</t>
  </si>
  <si>
    <t>Audited 2018</t>
  </si>
  <si>
    <t>AUDITED 2019</t>
  </si>
  <si>
    <t>AUDITED 2020</t>
  </si>
  <si>
    <t>Audited 2021</t>
  </si>
  <si>
    <t>Audited 2022</t>
  </si>
  <si>
    <t>Membership</t>
  </si>
  <si>
    <t>Total Assets</t>
  </si>
  <si>
    <t>Total Deposits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</si>
  <si>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</si>
  <si>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</si>
  <si>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</si>
  <si>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</si>
  <si>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</si>
  <si>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</si>
  <si>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</si>
  <si>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</si>
  <si>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</si>
  <si>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</si>
  <si>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</si>
  <si>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</si>
  <si>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</si>
  <si>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</si>
  <si>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</si>
  <si>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</si>
  <si>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</si>
  <si>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</si>
  <si>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</si>
  <si>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</si>
  <si>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</si>
  <si>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</si>
  <si>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</si>
  <si>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</si>
  <si>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</si>
  <si>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</si>
  <si>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</si>
  <si>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</si>
  <si>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 (A/L NPL30</t>
  </si>
  <si>
    <t>Non Performing Loans NPL30</t>
  </si>
  <si>
    <t>Required loan loss provision</t>
  </si>
  <si>
    <t>Cash and Cash equipments</t>
  </si>
  <si>
    <t>Non-Earning Assets</t>
  </si>
  <si>
    <t>Property and Equipment</t>
  </si>
  <si>
    <t>Land and Building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</si>
  <si>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</si>
  <si>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</si>
  <si>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</si>
  <si>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</si>
  <si>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</si>
  <si>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</si>
  <si>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</si>
  <si>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</si>
  <si>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</si>
  <si>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</si>
  <si>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</si>
  <si>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</si>
  <si>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Other operating expenses</t>
  </si>
  <si>
    <t>INVEST &amp; GROW  (IG)CAELS</t>
  </si>
  <si>
    <t>Audited 2019</t>
  </si>
  <si>
    <t>Audited 2020</t>
  </si>
  <si>
    <t>Aud-22</t>
  </si>
  <si>
    <t>INDICATORS</t>
  </si>
  <si>
    <t>Capital adequacy</t>
  </si>
  <si>
    <t>CORE CAPITAL</t>
  </si>
  <si>
    <t>10M</t>
  </si>
  <si>
    <t>CCA</t>
  </si>
  <si>
    <t>Min 10%</t>
  </si>
  <si>
    <t>ICA</t>
  </si>
  <si>
    <t>Min 8%</t>
  </si>
  <si>
    <t>CCD</t>
  </si>
  <si>
    <t>Adjusted CCA</t>
  </si>
  <si>
    <t>ASSET QUALITY</t>
  </si>
  <si>
    <t>NPL30</t>
  </si>
  <si>
    <t>A/L NPL30</t>
  </si>
  <si>
    <t>EARNINGS</t>
  </si>
  <si>
    <t>ROA</t>
  </si>
  <si>
    <t>C/I ratio</t>
  </si>
  <si>
    <t>OE ratio</t>
  </si>
  <si>
    <t>LIQUIDITY</t>
  </si>
  <si>
    <t>W NLIQ ratio</t>
  </si>
  <si>
    <t>Min 15%</t>
  </si>
  <si>
    <t>T NLIQ ratio</t>
  </si>
  <si>
    <t>EB ratio</t>
  </si>
  <si>
    <t>Max 25%</t>
  </si>
  <si>
    <t>LIQ to TA ratio</t>
  </si>
  <si>
    <t>STRUCTURE OF ASSETS</t>
  </si>
  <si>
    <t>LB ratio</t>
  </si>
  <si>
    <t>Max 5%</t>
  </si>
  <si>
    <t>FICC</t>
  </si>
  <si>
    <t>Max 40%</t>
  </si>
  <si>
    <t>FITD</t>
  </si>
  <si>
    <t>NEA</t>
  </si>
  <si>
    <t>Max 10%</t>
  </si>
  <si>
    <t>LOANS/TA</t>
  </si>
  <si>
    <t>RATING PARAMETERS</t>
  </si>
  <si>
    <t>CAPITAL</t>
  </si>
  <si>
    <t>INDICATOR WEIGHTS</t>
  </si>
  <si>
    <t>CCA (Min 10%)</t>
  </si>
  <si>
    <t>ICA (Min 8%)</t>
  </si>
  <si>
    <t>CCD (Min 8%)</t>
  </si>
  <si>
    <t>LB ratio (Max 5%)</t>
  </si>
  <si>
    <t>FICC (Max 40%)</t>
  </si>
  <si>
    <t>FITD (Max 5%)</t>
  </si>
  <si>
    <t>NEA (Max 10%)</t>
  </si>
  <si>
    <t>COMPONENT RATINGS</t>
  </si>
  <si>
    <t>STRUCTURE</t>
  </si>
  <si>
    <t>CONDITIONAL COMPONENT RATINGS</t>
  </si>
  <si>
    <t>COMPOSITE RATINGS</t>
  </si>
  <si>
    <t>CONDITION RATING</t>
  </si>
  <si>
    <t>AVERAGE OF COMP RATINGS</t>
  </si>
  <si>
    <t>COMPLIANCE RATING SOFT</t>
  </si>
  <si>
    <t>FINAL RATING</t>
  </si>
  <si>
    <t>In the Law only</t>
  </si>
  <si>
    <t>IG SACCO SOCIETY LTD</t>
  </si>
  <si>
    <t xml:space="preserve">Afya Sacco Financial Performance </t>
  </si>
  <si>
    <t>FINANCIAL SOUNDNESS INDICATORS</t>
  </si>
  <si>
    <t>Prude.  Std</t>
  </si>
  <si>
    <t>Ref. #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</si>
  <si>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</si>
  <si>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</si>
  <si>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</si>
  <si>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</si>
  <si>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</si>
  <si>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</si>
  <si>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</si>
  <si>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</si>
  <si>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</si>
  <si>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</si>
  <si>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</si>
  <si>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</si>
  <si>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</si>
  <si>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Institutional Capital/Total Assets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</si>
  <si>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</si>
  <si>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</si>
  <si>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</si>
  <si>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</si>
  <si>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</si>
  <si>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</si>
  <si>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</si>
  <si>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</si>
  <si>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</si>
  <si>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</si>
  <si>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</si>
  <si>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</si>
  <si>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</si>
  <si>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</si>
  <si>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FUNDING MIX</t>
  </si>
  <si>
    <t>Total Deposits/Total Assets</t>
  </si>
  <si>
    <t>BOSA Deposits/Total Assets</t>
  </si>
  <si>
    <t>FOSA Deposits/Total Assets</t>
  </si>
  <si>
    <t>External Borrowing/Total assets</t>
  </si>
  <si>
    <t>≤ 25%</t>
  </si>
  <si>
    <t>GROWTH RATIOS</t>
  </si>
  <si>
    <t>FOSA Deposits</t>
  </si>
  <si>
    <t>BOSA Deposits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</si>
  <si>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</si>
  <si>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</si>
  <si>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</si>
  <si>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</si>
  <si>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</si>
  <si>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</si>
  <si>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</si>
  <si>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</si>
  <si>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</si>
  <si>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 xml:space="preserve">Liquid Assets - ST Liabilities/ Deposits </t>
  </si>
  <si>
    <t>Loan Loss Provisions Ratios</t>
  </si>
  <si>
    <t>Actual LLP / Required LLP</t>
  </si>
  <si>
    <t>AUDITED 2012</t>
  </si>
  <si>
    <t>AUDITED 2013</t>
  </si>
  <si>
    <t>AUDITED 2014</t>
  </si>
  <si>
    <t>AUDITED 2015</t>
  </si>
  <si>
    <t>AUDITED 2016</t>
  </si>
  <si>
    <t>ASSETS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</si>
  <si>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</si>
  <si>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</si>
  <si>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</si>
  <si>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</si>
  <si>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</si>
  <si>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</si>
  <si>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</si>
  <si>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</si>
  <si>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</si>
  <si>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</si>
  <si>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</si>
  <si>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</si>
  <si>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</si>
  <si>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</si>
  <si>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</si>
  <si>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</si>
  <si>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</si>
  <si>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</si>
  <si>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</si>
  <si>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</si>
  <si>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</si>
  <si>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</si>
  <si>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</si>
  <si>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</si>
  <si>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</si>
  <si>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</si>
  <si>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</si>
  <si>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</si>
  <si>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</si>
  <si>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</si>
  <si>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</si>
  <si>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</si>
  <si>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</si>
  <si>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</si>
  <si>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</si>
  <si>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</si>
  <si>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</si>
  <si>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</si>
  <si>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</si>
  <si>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</si>
  <si>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</si>
  <si>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</si>
  <si>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</si>
  <si>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</si>
  <si>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</si>
  <si>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</si>
  <si>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</si>
  <si>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</si>
  <si>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AUDITED 2017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</si>
  <si>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</si>
  <si>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</si>
  <si>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</si>
  <si>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</si>
  <si>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</si>
  <si>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</si>
  <si>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</si>
  <si>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</si>
  <si>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</si>
  <si>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</si>
  <si>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</si>
  <si>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</si>
  <si>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</si>
  <si>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</si>
  <si>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</si>
  <si>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</si>
  <si>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</si>
  <si>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</si>
  <si>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</si>
  <si>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</si>
  <si>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</si>
  <si>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</si>
  <si>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</si>
  <si>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</si>
  <si>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</si>
  <si>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</si>
  <si>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</si>
  <si>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</si>
  <si>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</si>
  <si>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</si>
  <si>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</si>
  <si>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</si>
  <si>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RISK CLASSIFICATION OF ASSETS AND PROVISIONING</t>
  </si>
  <si>
    <t>SACCO SOCIETY CS NUMBER</t>
  </si>
  <si>
    <t>2738</t>
  </si>
  <si>
    <t xml:space="preserve">FINANCIAL YEAR </t>
  </si>
  <si>
    <t>START DATE:</t>
  </si>
  <si>
    <t>1/1/2019</t>
  </si>
  <si>
    <t>END DATE:</t>
  </si>
  <si>
    <t>31/3/2019</t>
  </si>
  <si>
    <t>30/6/2019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</si>
  <si>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</si>
  <si>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</si>
  <si>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</si>
  <si>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</si>
  <si>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</si>
  <si>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</si>
  <si>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</si>
  <si>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</si>
  <si>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</si>
  <si>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</si>
  <si>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</si>
  <si>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</si>
  <si>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</si>
  <si>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</si>
  <si>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</si>
  <si>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</si>
  <si>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</si>
  <si>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</si>
  <si>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</si>
  <si>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30/9/2019</t>
  </si>
  <si>
    <t>31/12/2019</t>
  </si>
  <si>
    <t>Aud-2022</t>
  </si>
  <si>
    <t>INVEST &amp; GROW (IG)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</si>
  <si>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</si>
  <si>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</si>
  <si>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</si>
  <si>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</si>
  <si>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</si>
  <si>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</si>
  <si>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</si>
  <si>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</si>
  <si>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</si>
  <si>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</si>
  <si>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</si>
  <si>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</si>
  <si>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</si>
  <si>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</si>
  <si>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</si>
  <si>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</si>
  <si>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</si>
  <si>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</si>
  <si>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</si>
  <si>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</si>
  <si>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</si>
  <si>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</si>
  <si>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</si>
  <si>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</si>
  <si>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</si>
  <si>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</si>
  <si>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</si>
  <si>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</si>
  <si>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</si>
  <si>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</si>
  <si>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</si>
  <si>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</si>
  <si>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</si>
  <si>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</si>
  <si>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</si>
  <si>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</si>
  <si>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</si>
  <si>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</si>
  <si>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</si>
  <si>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</si>
  <si>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</si>
  <si>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</si>
  <si>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</si>
  <si>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</si>
  <si>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</si>
  <si>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</si>
  <si>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</si>
  <si>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</si>
  <si>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</si>
  <si>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</si>
  <si>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</si>
  <si>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</si>
  <si>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</si>
  <si>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</si>
  <si>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</si>
  <si>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</si>
  <si>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</si>
  <si>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</si>
  <si>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</si>
  <si>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</si>
  <si>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FINANCIAL INCOME</t>
  </si>
  <si>
    <t>OPERATING EXPENSES</t>
  </si>
  <si>
    <t>TOTAL EXPENSES</t>
  </si>
  <si>
    <t>% of  Total Income</t>
  </si>
  <si>
    <t>% of Operating Expenses</t>
  </si>
  <si>
    <t>% of  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</si>
</sst>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(* #,##0.0_);_(* \(#,##0.0\);_(* \-??_);_(@_)"/>
    <numFmt numFmtId="177" formatCode="[$-409]mmmm\-yy;@"/>
  </numFmts>
  <fonts count="7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b/>
      <sz val="10"/>
      <name val="Cambria"/>
      <family val="1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Cambria"/>
      <family val="1"/>
    </font>
    <font>
      <b/>
      <sz val="10"/>
      <color indexed="8"/>
      <name val="Cambria"/>
      <family val="1"/>
    </font>
    <font>
      <sz val="10"/>
      <color indexed="8"/>
      <name val="Cambria"/>
      <family val="1"/>
    </font>
    <font>
      <i/>
      <sz val="10"/>
      <name val="Cambria"/>
      <family val="1"/>
    </font>
    <font>
      <i/>
      <sz val="10"/>
      <color indexed="8"/>
      <name val="Cambria"/>
      <family val="1"/>
    </font>
    <font>
      <sz val="10"/>
      <color indexed="8"/>
      <name val="Cambria"/>
      <family val="1"/>
    </font>
    <font>
      <b/>
      <i/>
      <sz val="10"/>
      <color indexed="8"/>
      <name val="Cambria"/>
      <family val="1"/>
    </font>
    <font>
      <b/>
      <i/>
      <sz val="10"/>
      <name val="Cambria"/>
      <family val="1"/>
    </font>
    <font>
      <sz val="11"/>
      <color indexed="8"/>
      <name val="Cambria"/>
      <family val="1"/>
    </font>
    <font>
      <b/>
      <sz val="10"/>
      <color indexed="10"/>
      <name val="Cambria"/>
      <family val="1"/>
    </font>
    <font>
      <sz val="10"/>
      <name val="Arial"/>
      <family val="2"/>
    </font>
    <font>
      <sz val="9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indexed="8"/>
      <name val="Cambria"/>
      <family val="1"/>
    </font>
    <font>
      <i/>
      <sz val="11"/>
      <name val="Cambria"/>
      <family val="1"/>
    </font>
    <font>
      <b/>
      <sz val="9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 val="singleAccounting"/>
      <sz val="11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9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0"/>
      <color rgb="FF000000"/>
      <name val="EYInterstate Light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b/>
      <sz val="11"/>
      <color indexed="8"/>
      <name val="Cambria"/>
      <family val="1"/>
      <scheme val="major"/>
    </font>
    <font>
      <sz val="9"/>
      <color rgb="FF000000"/>
      <name val="Arial"/>
      <family val="2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7.5"/>
      <name val="Cambria"/>
      <family val="1"/>
      <scheme val="major"/>
    </font>
    <font>
      <sz val="7.5"/>
      <name val="Cambria"/>
      <family val="1"/>
      <scheme val="major"/>
    </font>
    <font>
      <sz val="10"/>
      <color indexed="8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name val="Cambria"/>
      <family val="1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12">
    <xf numFmtId="0" fontId="0" fillId="0" borderId="0"/>
    <xf numFmtId="0" fontId="6" fillId="2" borderId="0" applyNumberFormat="0" applyBorder="0" applyAlignment="0" applyProtection="0"/>
    <xf numFmtId="0" fontId="44" fillId="14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3" borderId="0" applyNumberFormat="0" applyBorder="0" applyAlignment="0" applyProtection="0"/>
    <xf numFmtId="0" fontId="45" fillId="1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7" fillId="4" borderId="0" applyNumberFormat="0" applyBorder="0" applyAlignment="0" applyProtection="0"/>
    <xf numFmtId="0" fontId="45" fillId="16" borderId="0" applyNumberFormat="0" applyBorder="0" applyAlignment="0" applyProtection="0"/>
    <xf numFmtId="0" fontId="8" fillId="5" borderId="2" applyNumberFormat="0" applyAlignment="0" applyProtection="0"/>
    <xf numFmtId="0" fontId="46" fillId="17" borderId="61" applyNumberFormat="0" applyAlignment="0" applyProtection="0"/>
    <xf numFmtId="43" fontId="1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9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43" fontId="43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11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43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12" fillId="6" borderId="1" applyNumberFormat="0" applyAlignment="0" applyProtection="0"/>
    <xf numFmtId="0" fontId="47" fillId="18" borderId="60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43" fillId="0" borderId="0"/>
    <xf numFmtId="0" fontId="13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9" fillId="0" borderId="0"/>
    <xf numFmtId="0" fontId="48" fillId="0" borderId="0"/>
    <xf numFmtId="0" fontId="2" fillId="7" borderId="3" applyNumberFormat="0" applyAlignment="0" applyProtection="0"/>
    <xf numFmtId="0" fontId="2" fillId="19" borderId="62" applyNumberFormat="0" applyFont="0" applyAlignment="0" applyProtection="0"/>
    <xf numFmtId="9" fontId="17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0" fillId="0" borderId="63" applyNumberFormat="0" applyFill="0" applyAlignment="0" applyProtection="0"/>
    <xf numFmtId="0" fontId="50" fillId="0" borderId="63" applyNumberFormat="0" applyFill="0" applyAlignment="0" applyProtection="0"/>
  </cellStyleXfs>
  <cellXfs count="466">
    <xf numFmtId="0" fontId="0" fillId="0" borderId="0" xfId="0"/>
    <xf numFmtId="0" fontId="18" fillId="0" borderId="0" xfId="658" applyFont="1"/>
    <xf numFmtId="0" fontId="18" fillId="0" borderId="0" xfId="658" applyFont="1" applyAlignment="1">
      <alignment horizontal="center"/>
    </xf>
    <xf numFmtId="0" fontId="19" fillId="0" borderId="0" xfId="658" applyFont="1"/>
    <xf numFmtId="0" fontId="19" fillId="0" borderId="5" xfId="658" applyFont="1" applyBorder="1"/>
    <xf numFmtId="0" fontId="19" fillId="0" borderId="6" xfId="658" applyFont="1" applyBorder="1" applyAlignment="1">
      <alignment horizontal="center"/>
    </xf>
    <xf numFmtId="0" fontId="19" fillId="0" borderId="7" xfId="658" applyFont="1" applyBorder="1"/>
    <xf numFmtId="0" fontId="19" fillId="8" borderId="8" xfId="658" applyFont="1" applyFill="1" applyBorder="1"/>
    <xf numFmtId="0" fontId="19" fillId="8" borderId="9" xfId="658" applyFont="1" applyFill="1" applyBorder="1" applyAlignment="1">
      <alignment horizontal="center"/>
    </xf>
    <xf numFmtId="0" fontId="19" fillId="8" borderId="0" xfId="658" applyFont="1" applyFill="1" applyAlignment="1">
      <alignment horizontal="center"/>
    </xf>
    <xf numFmtId="0" fontId="19" fillId="0" borderId="10" xfId="658" applyFont="1" applyBorder="1"/>
    <xf numFmtId="0" fontId="19" fillId="0" borderId="11" xfId="658" applyFont="1" applyBorder="1" applyAlignment="1">
      <alignment horizontal="center"/>
    </xf>
    <xf numFmtId="0" fontId="19" fillId="0" borderId="12" xfId="658" applyFont="1" applyBorder="1"/>
    <xf numFmtId="0" fontId="19" fillId="0" borderId="13" xfId="658" applyFont="1" applyBorder="1"/>
    <xf numFmtId="0" fontId="20" fillId="0" borderId="11" xfId="658" applyFont="1" applyBorder="1" applyAlignment="1">
      <alignment horizontal="center"/>
    </xf>
    <xf numFmtId="0" fontId="20" fillId="0" borderId="12" xfId="658" applyFont="1" applyBorder="1" applyAlignment="1">
      <alignment horizontal="center"/>
    </xf>
    <xf numFmtId="173" fontId="20" fillId="0" borderId="13" xfId="699" applyNumberFormat="1" applyFont="1" applyBorder="1"/>
    <xf numFmtId="9" fontId="20" fillId="0" borderId="11" xfId="699" applyFont="1" applyBorder="1" applyAlignment="1">
      <alignment horizontal="center"/>
    </xf>
    <xf numFmtId="9" fontId="20" fillId="0" borderId="12" xfId="699" applyFont="1" applyBorder="1" applyAlignment="1">
      <alignment horizontal="center"/>
    </xf>
    <xf numFmtId="173" fontId="20" fillId="0" borderId="11" xfId="699" applyNumberFormat="1" applyFont="1" applyBorder="1" applyAlignment="1">
      <alignment horizontal="center"/>
    </xf>
    <xf numFmtId="14" fontId="19" fillId="8" borderId="13" xfId="658" applyNumberFormat="1" applyFont="1" applyFill="1" applyBorder="1" applyAlignment="1">
      <alignment horizontal="center"/>
    </xf>
    <xf numFmtId="173" fontId="20" fillId="0" borderId="12" xfId="699" applyNumberFormat="1" applyFont="1" applyBorder="1" applyAlignment="1">
      <alignment horizontal="center"/>
    </xf>
    <xf numFmtId="0" fontId="21" fillId="0" borderId="10" xfId="658" applyFont="1" applyBorder="1"/>
    <xf numFmtId="173" fontId="22" fillId="0" borderId="11" xfId="699" applyNumberFormat="1" applyFont="1" applyBorder="1" applyAlignment="1">
      <alignment horizontal="center"/>
    </xf>
    <xf numFmtId="173" fontId="22" fillId="0" borderId="12" xfId="699" applyNumberFormat="1" applyFont="1" applyBorder="1" applyAlignment="1">
      <alignment horizontal="center"/>
    </xf>
    <xf numFmtId="173" fontId="22" fillId="0" borderId="13" xfId="699" applyNumberFormat="1" applyFont="1" applyBorder="1"/>
    <xf numFmtId="173" fontId="20" fillId="0" borderId="13" xfId="699" applyNumberFormat="1" applyFont="1" applyBorder="1" applyAlignment="1">
      <alignment horizontal="right"/>
    </xf>
    <xf numFmtId="0" fontId="22" fillId="9" borderId="10" xfId="658" applyFont="1" applyFill="1" applyBorder="1"/>
    <xf numFmtId="9" fontId="20" fillId="0" borderId="11" xfId="658" applyNumberFormat="1" applyFont="1" applyBorder="1" applyAlignment="1">
      <alignment horizontal="center"/>
    </xf>
    <xf numFmtId="9" fontId="20" fillId="0" borderId="15" xfId="658" applyNumberFormat="1" applyFont="1" applyBorder="1" applyAlignment="1">
      <alignment horizontal="center"/>
    </xf>
    <xf numFmtId="0" fontId="20" fillId="0" borderId="16" xfId="658" applyFont="1" applyBorder="1" applyAlignment="1">
      <alignment horizontal="center"/>
    </xf>
    <xf numFmtId="0" fontId="23" fillId="0" borderId="0" xfId="0" applyFont="1"/>
    <xf numFmtId="0" fontId="24" fillId="0" borderId="13" xfId="0" applyFont="1" applyBorder="1"/>
    <xf numFmtId="0" fontId="24" fillId="0" borderId="20" xfId="0" applyFont="1" applyBorder="1"/>
    <xf numFmtId="0" fontId="21" fillId="0" borderId="13" xfId="0" applyFont="1" applyBorder="1"/>
    <xf numFmtId="172" fontId="25" fillId="0" borderId="23" xfId="0" applyNumberFormat="1" applyFont="1" applyBorder="1"/>
    <xf numFmtId="0" fontId="25" fillId="0" borderId="7" xfId="0" applyFont="1" applyBorder="1"/>
    <xf numFmtId="9" fontId="27" fillId="0" borderId="22" xfId="697" applyFont="1" applyBorder="1"/>
    <xf numFmtId="17" fontId="49" fillId="0" borderId="0" xfId="0" applyNumberFormat="1" applyFont="1"/>
    <xf numFmtId="0" fontId="5" fillId="0" borderId="0" xfId="0" applyFont="1"/>
    <xf numFmtId="0" fontId="49" fillId="0" borderId="0" xfId="0" applyFont="1"/>
    <xf numFmtId="38" fontId="20" fillId="0" borderId="20" xfId="53" applyNumberFormat="1" applyFont="1" applyBorder="1"/>
    <xf numFmtId="38" fontId="19" fillId="0" borderId="20" xfId="53" applyNumberFormat="1" applyFont="1" applyBorder="1"/>
    <xf numFmtId="0" fontId="4" fillId="0" borderId="16" xfId="0" applyFont="1" applyBorder="1"/>
    <xf numFmtId="0" fontId="4" fillId="0" borderId="0" xfId="0" applyFont="1"/>
    <xf numFmtId="43" fontId="4" fillId="0" borderId="0" xfId="53" applyFont="1" applyBorder="1"/>
    <xf numFmtId="43" fontId="43" fillId="0" borderId="13" xfId="53" applyFont="1" applyBorder="1"/>
    <xf numFmtId="43" fontId="49" fillId="0" borderId="13" xfId="53" applyFont="1" applyBorder="1"/>
    <xf numFmtId="43" fontId="49" fillId="0" borderId="0" xfId="53" applyFont="1"/>
    <xf numFmtId="43" fontId="43" fillId="0" borderId="0" xfId="53" applyFont="1"/>
    <xf numFmtId="43" fontId="29" fillId="0" borderId="27" xfId="53" applyFont="1" applyBorder="1" applyAlignment="1" applyProtection="1">
      <alignment vertical="top" wrapText="1" readingOrder="1"/>
      <protection locked="0"/>
    </xf>
    <xf numFmtId="43" fontId="35" fillId="0" borderId="27" xfId="53" applyFont="1" applyBorder="1" applyAlignment="1" applyProtection="1">
      <alignment vertical="top" wrapText="1" readingOrder="1"/>
      <protection locked="0"/>
    </xf>
    <xf numFmtId="43" fontId="5" fillId="0" borderId="13" xfId="53" applyFont="1" applyBorder="1"/>
    <xf numFmtId="43" fontId="5" fillId="12" borderId="13" xfId="53" applyFont="1" applyFill="1" applyBorder="1" applyAlignment="1" applyProtection="1"/>
    <xf numFmtId="43" fontId="3" fillId="0" borderId="13" xfId="53" applyFont="1" applyBorder="1"/>
    <xf numFmtId="43" fontId="52" fillId="0" borderId="13" xfId="53" applyFont="1" applyBorder="1" applyAlignment="1" applyProtection="1">
      <alignment horizontal="right" vertical="center"/>
      <protection locked="0"/>
    </xf>
    <xf numFmtId="43" fontId="53" fillId="0" borderId="13" xfId="53" applyFont="1" applyBorder="1" applyAlignment="1" applyProtection="1">
      <alignment horizontal="right" vertical="center"/>
      <protection locked="0"/>
    </xf>
    <xf numFmtId="43" fontId="26" fillId="0" borderId="13" xfId="53" applyFont="1" applyBorder="1" applyAlignment="1" applyProtection="1">
      <alignment horizontal="right" vertical="center"/>
      <protection locked="0"/>
    </xf>
    <xf numFmtId="43" fontId="3" fillId="0" borderId="13" xfId="53" applyFont="1" applyBorder="1" applyAlignment="1">
      <alignment wrapText="1"/>
    </xf>
    <xf numFmtId="43" fontId="35" fillId="13" borderId="27" xfId="53" applyFont="1" applyFill="1" applyBorder="1" applyAlignment="1" applyProtection="1">
      <alignment vertical="top" wrapText="1" readingOrder="1"/>
      <protection locked="0"/>
    </xf>
    <xf numFmtId="43" fontId="53" fillId="0" borderId="13" xfId="53" applyFont="1" applyFill="1" applyBorder="1" applyAlignment="1" applyProtection="1">
      <protection locked="0"/>
    </xf>
    <xf numFmtId="43" fontId="3" fillId="0" borderId="13" xfId="53" applyFont="1" applyBorder="1" applyAlignment="1" applyProtection="1">
      <alignment horizontal="right" vertical="center"/>
      <protection locked="0"/>
    </xf>
    <xf numFmtId="43" fontId="3" fillId="0" borderId="13" xfId="53" applyFont="1" applyFill="1" applyBorder="1" applyAlignment="1" applyProtection="1">
      <protection locked="0"/>
    </xf>
    <xf numFmtId="43" fontId="5" fillId="12" borderId="13" xfId="53" applyFont="1" applyFill="1" applyBorder="1" applyAlignment="1" applyProtection="1">
      <protection locked="0"/>
    </xf>
    <xf numFmtId="43" fontId="33" fillId="12" borderId="13" xfId="53" applyFont="1" applyFill="1" applyBorder="1" applyAlignment="1" applyProtection="1">
      <alignment horizontal="right" vertical="center"/>
      <protection locked="0"/>
    </xf>
    <xf numFmtId="177" fontId="49" fillId="0" borderId="0" xfId="53" applyNumberFormat="1" applyFont="1"/>
    <xf numFmtId="176" fontId="5" fillId="12" borderId="13" xfId="54" applyNumberFormat="1" applyFont="1" applyFill="1" applyBorder="1" applyAlignment="1" applyProtection="1"/>
    <xf numFmtId="174" fontId="26" fillId="0" borderId="13" xfId="0" applyNumberFormat="1" applyFont="1" applyBorder="1" applyAlignment="1" applyProtection="1">
      <alignment horizontal="right" vertical="center"/>
      <protection locked="0"/>
    </xf>
    <xf numFmtId="176" fontId="3" fillId="0" borderId="13" xfId="54" applyNumberFormat="1" applyFont="1" applyBorder="1" applyAlignment="1" applyProtection="1">
      <alignment horizontal="right" vertical="center"/>
      <protection locked="0"/>
    </xf>
    <xf numFmtId="176" fontId="3" fillId="0" borderId="13" xfId="54" applyNumberFormat="1" applyFont="1" applyFill="1" applyBorder="1" applyAlignment="1" applyProtection="1">
      <protection locked="0"/>
    </xf>
    <xf numFmtId="176" fontId="5" fillId="12" borderId="13" xfId="54" applyNumberFormat="1" applyFont="1" applyFill="1" applyBorder="1" applyAlignment="1" applyProtection="1">
      <protection locked="0"/>
    </xf>
    <xf numFmtId="174" fontId="33" fillId="12" borderId="13" xfId="0" applyNumberFormat="1" applyFont="1" applyFill="1" applyBorder="1" applyAlignment="1" applyProtection="1">
      <alignment horizontal="right" vertical="center"/>
      <protection locked="0"/>
    </xf>
    <xf numFmtId="0" fontId="4" fillId="0" borderId="13" xfId="658" applyFont="1" applyBorder="1"/>
    <xf numFmtId="39" fontId="3" fillId="0" borderId="13" xfId="54" applyNumberFormat="1" applyFont="1" applyFill="1" applyBorder="1" applyAlignment="1" applyProtection="1">
      <protection locked="0"/>
    </xf>
    <xf numFmtId="3" fontId="54" fillId="0" borderId="0" xfId="0" applyNumberFormat="1" applyFont="1"/>
    <xf numFmtId="17" fontId="49" fillId="0" borderId="0" xfId="0" applyNumberFormat="1" applyFont="1" applyAlignment="1">
      <alignment wrapText="1"/>
    </xf>
    <xf numFmtId="17" fontId="49" fillId="0" borderId="13" xfId="0" applyNumberFormat="1" applyFont="1" applyBorder="1" applyAlignment="1">
      <alignment wrapText="1"/>
    </xf>
    <xf numFmtId="0" fontId="15" fillId="0" borderId="0" xfId="658" applyFont="1"/>
    <xf numFmtId="0" fontId="19" fillId="0" borderId="28" xfId="658" applyFont="1" applyBorder="1"/>
    <xf numFmtId="17" fontId="19" fillId="0" borderId="13" xfId="658" applyNumberFormat="1" applyFont="1" applyBorder="1"/>
    <xf numFmtId="17" fontId="19" fillId="0" borderId="29" xfId="0" applyNumberFormat="1" applyFont="1" applyBorder="1"/>
    <xf numFmtId="17" fontId="49" fillId="0" borderId="30" xfId="0" applyNumberFormat="1" applyFont="1" applyBorder="1"/>
    <xf numFmtId="38" fontId="20" fillId="0" borderId="22" xfId="53" applyNumberFormat="1" applyFont="1" applyFill="1" applyBorder="1"/>
    <xf numFmtId="38" fontId="20" fillId="0" borderId="13" xfId="53" applyNumberFormat="1" applyFont="1" applyBorder="1"/>
    <xf numFmtId="38" fontId="4" fillId="0" borderId="13" xfId="53" applyNumberFormat="1" applyFont="1" applyBorder="1"/>
    <xf numFmtId="38" fontId="20" fillId="0" borderId="32" xfId="53" applyNumberFormat="1" applyFont="1" applyBorder="1"/>
    <xf numFmtId="0" fontId="21" fillId="0" borderId="36" xfId="0" applyFont="1" applyBorder="1"/>
    <xf numFmtId="9" fontId="27" fillId="0" borderId="37" xfId="697" applyFont="1" applyBorder="1"/>
    <xf numFmtId="38" fontId="19" fillId="0" borderId="32" xfId="53" applyNumberFormat="1" applyFont="1" applyBorder="1"/>
    <xf numFmtId="0" fontId="25" fillId="0" borderId="38" xfId="0" applyFont="1" applyBorder="1"/>
    <xf numFmtId="38" fontId="20" fillId="0" borderId="39" xfId="53" applyNumberFormat="1" applyFont="1" applyBorder="1"/>
    <xf numFmtId="38" fontId="4" fillId="0" borderId="39" xfId="53" applyNumberFormat="1" applyFont="1" applyBorder="1"/>
    <xf numFmtId="38" fontId="20" fillId="0" borderId="37" xfId="53" applyNumberFormat="1" applyFont="1" applyFill="1" applyBorder="1"/>
    <xf numFmtId="38" fontId="20" fillId="0" borderId="0" xfId="53" applyNumberFormat="1" applyFont="1" applyBorder="1"/>
    <xf numFmtId="38" fontId="20" fillId="20" borderId="13" xfId="53" applyNumberFormat="1" applyFont="1" applyFill="1" applyBorder="1"/>
    <xf numFmtId="38" fontId="20" fillId="21" borderId="22" xfId="53" applyNumberFormat="1" applyFont="1" applyFill="1" applyBorder="1"/>
    <xf numFmtId="38" fontId="20" fillId="21" borderId="37" xfId="53" applyNumberFormat="1" applyFont="1" applyFill="1" applyBorder="1"/>
    <xf numFmtId="38" fontId="20" fillId="0" borderId="22" xfId="53" applyNumberFormat="1" applyFont="1" applyBorder="1"/>
    <xf numFmtId="38" fontId="20" fillId="0" borderId="37" xfId="53" applyNumberFormat="1" applyFont="1" applyBorder="1"/>
    <xf numFmtId="38" fontId="20" fillId="0" borderId="40" xfId="53" applyNumberFormat="1" applyFont="1" applyBorder="1"/>
    <xf numFmtId="38" fontId="20" fillId="0" borderId="41" xfId="53" applyNumberFormat="1" applyFont="1" applyBorder="1"/>
    <xf numFmtId="166" fontId="20" fillId="0" borderId="40" xfId="53" applyNumberFormat="1" applyFont="1" applyBorder="1"/>
    <xf numFmtId="166" fontId="20" fillId="0" borderId="41" xfId="53" applyNumberFormat="1" applyFont="1" applyBorder="1"/>
    <xf numFmtId="43" fontId="20" fillId="0" borderId="22" xfId="0" applyNumberFormat="1" applyFont="1" applyBorder="1"/>
    <xf numFmtId="43" fontId="20" fillId="0" borderId="37" xfId="0" applyNumberFormat="1" applyFont="1" applyBorder="1"/>
    <xf numFmtId="38" fontId="19" fillId="0" borderId="0" xfId="53" applyNumberFormat="1" applyFont="1" applyBorder="1"/>
    <xf numFmtId="166" fontId="20" fillId="0" borderId="22" xfId="53" applyNumberFormat="1" applyFont="1" applyBorder="1"/>
    <xf numFmtId="166" fontId="20" fillId="0" borderId="37" xfId="53" applyNumberFormat="1" applyFont="1" applyBorder="1"/>
    <xf numFmtId="0" fontId="50" fillId="0" borderId="13" xfId="0" applyFont="1" applyBorder="1"/>
    <xf numFmtId="17" fontId="50" fillId="0" borderId="13" xfId="0" applyNumberFormat="1" applyFont="1" applyBorder="1"/>
    <xf numFmtId="0" fontId="55" fillId="0" borderId="13" xfId="0" applyFont="1" applyBorder="1"/>
    <xf numFmtId="166" fontId="55" fillId="0" borderId="13" xfId="53" applyNumberFormat="1" applyFont="1" applyBorder="1"/>
    <xf numFmtId="166" fontId="55" fillId="0" borderId="13" xfId="0" applyNumberFormat="1" applyFont="1" applyBorder="1"/>
    <xf numFmtId="166" fontId="50" fillId="0" borderId="13" xfId="0" applyNumberFormat="1" applyFont="1" applyBorder="1"/>
    <xf numFmtId="43" fontId="37" fillId="0" borderId="13" xfId="53" applyFont="1" applyBorder="1"/>
    <xf numFmtId="166" fontId="37" fillId="0" borderId="13" xfId="53" applyNumberFormat="1" applyFont="1" applyBorder="1"/>
    <xf numFmtId="166" fontId="37" fillId="0" borderId="13" xfId="54" applyNumberFormat="1" applyFont="1" applyFill="1" applyBorder="1" applyAlignment="1" applyProtection="1">
      <protection locked="0"/>
    </xf>
    <xf numFmtId="166" fontId="36" fillId="0" borderId="13" xfId="0" applyNumberFormat="1" applyFont="1" applyBorder="1" applyAlignment="1" applyProtection="1">
      <alignment horizontal="right" vertical="center"/>
      <protection locked="0"/>
    </xf>
    <xf numFmtId="166" fontId="38" fillId="0" borderId="13" xfId="53" applyNumberFormat="1" applyFont="1" applyFill="1" applyBorder="1"/>
    <xf numFmtId="166" fontId="50" fillId="0" borderId="13" xfId="53" applyNumberFormat="1" applyFont="1" applyBorder="1"/>
    <xf numFmtId="9" fontId="55" fillId="0" borderId="13" xfId="697" applyFont="1" applyBorder="1"/>
    <xf numFmtId="43" fontId="38" fillId="0" borderId="13" xfId="53" applyFont="1" applyFill="1" applyBorder="1"/>
    <xf numFmtId="0" fontId="56" fillId="0" borderId="13" xfId="0" applyFont="1" applyBorder="1"/>
    <xf numFmtId="43" fontId="39" fillId="0" borderId="13" xfId="53" applyFont="1" applyFill="1" applyBorder="1"/>
    <xf numFmtId="43" fontId="37" fillId="22" borderId="13" xfId="53" applyFont="1" applyFill="1" applyBorder="1"/>
    <xf numFmtId="9" fontId="55" fillId="22" borderId="13" xfId="697" applyFont="1" applyFill="1" applyBorder="1"/>
    <xf numFmtId="17" fontId="49" fillId="0" borderId="13" xfId="0" applyNumberFormat="1" applyFont="1" applyBorder="1"/>
    <xf numFmtId="17" fontId="19" fillId="0" borderId="13" xfId="658" applyNumberFormat="1" applyFont="1" applyBorder="1" applyAlignment="1">
      <alignment wrapText="1"/>
    </xf>
    <xf numFmtId="176" fontId="5" fillId="12" borderId="13" xfId="54" applyNumberFormat="1" applyFont="1" applyFill="1" applyBorder="1"/>
    <xf numFmtId="176" fontId="3" fillId="0" borderId="13" xfId="54" applyNumberFormat="1" applyFont="1" applyBorder="1" applyProtection="1">
      <protection locked="0"/>
    </xf>
    <xf numFmtId="176" fontId="5" fillId="12" borderId="13" xfId="54" applyNumberFormat="1" applyFont="1" applyFill="1" applyBorder="1" applyProtection="1">
      <protection locked="0"/>
    </xf>
    <xf numFmtId="0" fontId="3" fillId="0" borderId="26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3" fillId="0" borderId="42" xfId="0" applyFont="1" applyBorder="1" applyAlignment="1">
      <alignment wrapText="1"/>
    </xf>
    <xf numFmtId="0" fontId="3" fillId="0" borderId="26" xfId="0" applyFont="1" applyBorder="1" applyAlignment="1" applyProtection="1">
      <alignment wrapText="1"/>
      <protection locked="0"/>
    </xf>
    <xf numFmtId="2" fontId="3" fillId="0" borderId="26" xfId="0" applyNumberFormat="1" applyFont="1" applyBorder="1" applyAlignment="1">
      <alignment horizontal="center" wrapText="1"/>
    </xf>
    <xf numFmtId="0" fontId="5" fillId="21" borderId="26" xfId="0" applyFont="1" applyFill="1" applyBorder="1" applyAlignment="1">
      <alignment wrapText="1"/>
    </xf>
    <xf numFmtId="2" fontId="5" fillId="0" borderId="26" xfId="0" applyNumberFormat="1" applyFont="1" applyBorder="1" applyAlignment="1">
      <alignment wrapText="1"/>
    </xf>
    <xf numFmtId="43" fontId="5" fillId="0" borderId="26" xfId="53" applyFont="1" applyBorder="1" applyAlignment="1" applyProtection="1">
      <alignment horizontal="right" wrapText="1"/>
      <protection locked="0"/>
    </xf>
    <xf numFmtId="43" fontId="5" fillId="0" borderId="43" xfId="53" applyFont="1" applyBorder="1" applyAlignment="1" applyProtection="1">
      <alignment horizontal="right" wrapText="1"/>
      <protection locked="0"/>
    </xf>
    <xf numFmtId="43" fontId="16" fillId="0" borderId="13" xfId="53" applyFont="1" applyBorder="1" applyAlignment="1" applyProtection="1">
      <alignment horizontal="right"/>
      <protection locked="0"/>
    </xf>
    <xf numFmtId="43" fontId="5" fillId="0" borderId="26" xfId="53" applyFont="1" applyBorder="1" applyAlignment="1">
      <alignment wrapText="1"/>
    </xf>
    <xf numFmtId="43" fontId="3" fillId="0" borderId="26" xfId="53" applyFont="1" applyBorder="1" applyAlignment="1">
      <alignment wrapText="1"/>
    </xf>
    <xf numFmtId="43" fontId="5" fillId="21" borderId="26" xfId="53" applyFont="1" applyFill="1" applyBorder="1" applyAlignment="1">
      <alignment wrapText="1"/>
    </xf>
    <xf numFmtId="43" fontId="3" fillId="0" borderId="26" xfId="53" applyFont="1" applyBorder="1" applyAlignment="1" applyProtection="1">
      <alignment wrapText="1"/>
      <protection locked="0"/>
    </xf>
    <xf numFmtId="43" fontId="4" fillId="0" borderId="0" xfId="53" applyFont="1"/>
    <xf numFmtId="43" fontId="3" fillId="0" borderId="42" xfId="53" applyFont="1" applyBorder="1" applyAlignment="1">
      <alignment wrapText="1"/>
    </xf>
    <xf numFmtId="43" fontId="3" fillId="0" borderId="26" xfId="53" applyFont="1" applyBorder="1" applyAlignment="1">
      <alignment horizontal="center" wrapText="1"/>
    </xf>
    <xf numFmtId="9" fontId="4" fillId="0" borderId="0" xfId="697" applyFont="1" applyBorder="1"/>
    <xf numFmtId="43" fontId="4" fillId="0" borderId="0" xfId="0" applyNumberFormat="1" applyFont="1"/>
    <xf numFmtId="0" fontId="49" fillId="0" borderId="13" xfId="0" applyFont="1" applyBorder="1" applyAlignment="1" applyProtection="1">
      <alignment horizontal="right"/>
      <protection locked="0"/>
    </xf>
    <xf numFmtId="17" fontId="49" fillId="0" borderId="0" xfId="0" applyNumberFormat="1" applyFont="1" applyProtection="1">
      <protection locked="0"/>
    </xf>
    <xf numFmtId="17" fontId="49" fillId="0" borderId="39" xfId="0" applyNumberFormat="1" applyFont="1" applyBorder="1" applyAlignment="1" applyProtection="1">
      <alignment horizontal="right" wrapText="1"/>
      <protection locked="0"/>
    </xf>
    <xf numFmtId="0" fontId="0" fillId="0" borderId="13" xfId="0" applyBorder="1" applyAlignment="1" applyProtection="1">
      <alignment horizontal="center"/>
      <protection locked="0"/>
    </xf>
    <xf numFmtId="173" fontId="2" fillId="0" borderId="0" xfId="699" applyNumberFormat="1" applyFont="1" applyProtection="1">
      <protection locked="0"/>
    </xf>
    <xf numFmtId="173" fontId="43" fillId="0" borderId="0" xfId="699" applyNumberFormat="1" applyFont="1" applyProtection="1">
      <protection locked="0"/>
    </xf>
    <xf numFmtId="0" fontId="57" fillId="23" borderId="18" xfId="0" applyFont="1" applyFill="1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13" xfId="0" applyBorder="1" applyProtection="1">
      <protection locked="0"/>
    </xf>
    <xf numFmtId="0" fontId="0" fillId="0" borderId="12" xfId="0" applyBorder="1" applyProtection="1">
      <protection locked="0"/>
    </xf>
    <xf numFmtId="0" fontId="51" fillId="0" borderId="39" xfId="0" applyFont="1" applyBorder="1" applyProtection="1"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51" fillId="0" borderId="39" xfId="0" applyFont="1" applyBorder="1" applyAlignment="1" applyProtection="1">
      <alignment horizontal="left"/>
      <protection locked="0"/>
    </xf>
    <xf numFmtId="0" fontId="0" fillId="0" borderId="40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16" xfId="0" applyBorder="1" applyProtection="1">
      <protection locked="0"/>
    </xf>
    <xf numFmtId="0" fontId="51" fillId="0" borderId="37" xfId="0" applyFont="1" applyBorder="1" applyProtection="1">
      <protection locked="0"/>
    </xf>
    <xf numFmtId="0" fontId="0" fillId="23" borderId="0" xfId="0" applyFill="1" applyProtection="1">
      <protection locked="0"/>
    </xf>
    <xf numFmtId="166" fontId="57" fillId="0" borderId="13" xfId="57" applyNumberFormat="1" applyFont="1" applyBorder="1" applyAlignment="1" applyProtection="1">
      <alignment horizontal="right"/>
    </xf>
    <xf numFmtId="0" fontId="57" fillId="0" borderId="18" xfId="0" applyFont="1" applyBorder="1"/>
    <xf numFmtId="0" fontId="57" fillId="0" borderId="13" xfId="0" applyFont="1" applyBorder="1" applyAlignment="1">
      <alignment horizontal="center"/>
    </xf>
    <xf numFmtId="9" fontId="57" fillId="0" borderId="13" xfId="0" applyNumberFormat="1" applyFont="1" applyBorder="1" applyAlignment="1">
      <alignment horizontal="center"/>
    </xf>
    <xf numFmtId="173" fontId="43" fillId="23" borderId="13" xfId="703" applyNumberFormat="1" applyFont="1" applyFill="1" applyBorder="1" applyAlignment="1" applyProtection="1">
      <alignment horizontal="right"/>
    </xf>
    <xf numFmtId="0" fontId="57" fillId="23" borderId="18" xfId="0" applyFont="1" applyFill="1" applyBorder="1"/>
    <xf numFmtId="0" fontId="57" fillId="23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57" fillId="23" borderId="18" xfId="0" applyFont="1" applyFill="1" applyBorder="1" applyAlignment="1">
      <alignment horizontal="left"/>
    </xf>
    <xf numFmtId="9" fontId="57" fillId="23" borderId="13" xfId="0" applyNumberFormat="1" applyFont="1" applyFill="1" applyBorder="1" applyAlignment="1">
      <alignment horizontal="center"/>
    </xf>
    <xf numFmtId="0" fontId="51" fillId="0" borderId="13" xfId="0" applyFont="1" applyBorder="1" applyAlignment="1">
      <alignment horizontal="center"/>
    </xf>
    <xf numFmtId="0" fontId="49" fillId="0" borderId="18" xfId="0" applyFont="1" applyBorder="1" applyAlignment="1">
      <alignment horizontal="center"/>
    </xf>
    <xf numFmtId="0" fontId="0" fillId="0" borderId="18" xfId="0" applyBorder="1"/>
    <xf numFmtId="164" fontId="58" fillId="0" borderId="13" xfId="225" applyFont="1" applyBorder="1" applyAlignment="1" applyProtection="1">
      <alignment horizontal="center"/>
    </xf>
    <xf numFmtId="0" fontId="49" fillId="23" borderId="18" xfId="0" applyFont="1" applyFill="1" applyBorder="1"/>
    <xf numFmtId="0" fontId="49" fillId="23" borderId="44" xfId="0" applyFont="1" applyFill="1" applyBorder="1"/>
    <xf numFmtId="0" fontId="49" fillId="23" borderId="21" xfId="0" applyFont="1" applyFill="1" applyBorder="1"/>
    <xf numFmtId="173" fontId="57" fillId="0" borderId="13" xfId="703" applyNumberFormat="1" applyFont="1" applyBorder="1" applyAlignment="1" applyProtection="1">
      <alignment horizontal="right"/>
    </xf>
    <xf numFmtId="173" fontId="57" fillId="23" borderId="13" xfId="703" applyNumberFormat="1" applyFont="1" applyFill="1" applyBorder="1" applyAlignment="1" applyProtection="1">
      <alignment horizontal="right"/>
    </xf>
    <xf numFmtId="173" fontId="57" fillId="0" borderId="13" xfId="703" applyNumberFormat="1" applyFont="1" applyFill="1" applyBorder="1" applyAlignment="1" applyProtection="1">
      <alignment horizontal="right"/>
    </xf>
    <xf numFmtId="0" fontId="49" fillId="0" borderId="12" xfId="0" applyFont="1" applyBorder="1" applyAlignment="1">
      <alignment horizontal="right"/>
    </xf>
    <xf numFmtId="164" fontId="58" fillId="0" borderId="13" xfId="225" applyFont="1" applyBorder="1" applyProtection="1">
      <protection locked="0"/>
    </xf>
    <xf numFmtId="164" fontId="3" fillId="0" borderId="13" xfId="225" applyFont="1" applyBorder="1" applyProtection="1">
      <protection locked="0"/>
    </xf>
    <xf numFmtId="164" fontId="4" fillId="0" borderId="13" xfId="225" applyFont="1" applyBorder="1" applyProtection="1">
      <protection locked="0"/>
    </xf>
    <xf numFmtId="0" fontId="0" fillId="0" borderId="39" xfId="0" applyBorder="1" applyProtection="1">
      <protection locked="0"/>
    </xf>
    <xf numFmtId="0" fontId="58" fillId="0" borderId="18" xfId="0" applyFont="1" applyBorder="1"/>
    <xf numFmtId="0" fontId="59" fillId="23" borderId="45" xfId="0" applyFont="1" applyFill="1" applyBorder="1"/>
    <xf numFmtId="3" fontId="51" fillId="0" borderId="13" xfId="0" applyNumberFormat="1" applyFont="1" applyBorder="1"/>
    <xf numFmtId="17" fontId="19" fillId="0" borderId="0" xfId="658" applyNumberFormat="1" applyFont="1"/>
    <xf numFmtId="17" fontId="49" fillId="0" borderId="13" xfId="53" applyNumberFormat="1" applyFont="1" applyBorder="1"/>
    <xf numFmtId="176" fontId="5" fillId="12" borderId="12" xfId="54" applyNumberFormat="1" applyFont="1" applyFill="1" applyBorder="1" applyAlignment="1" applyProtection="1"/>
    <xf numFmtId="43" fontId="43" fillId="0" borderId="12" xfId="53" applyFont="1" applyBorder="1"/>
    <xf numFmtId="176" fontId="5" fillId="12" borderId="11" xfId="54" applyNumberFormat="1" applyFont="1" applyFill="1" applyBorder="1" applyAlignment="1" applyProtection="1"/>
    <xf numFmtId="168" fontId="29" fillId="0" borderId="27" xfId="0" applyNumberFormat="1" applyFont="1" applyBorder="1" applyAlignment="1" applyProtection="1">
      <alignment vertical="top" wrapText="1" readingOrder="1"/>
      <protection locked="0"/>
    </xf>
    <xf numFmtId="168" fontId="29" fillId="0" borderId="50" xfId="0" applyNumberFormat="1" applyFont="1" applyBorder="1" applyAlignment="1" applyProtection="1">
      <alignment vertical="top" wrapText="1" readingOrder="1"/>
      <protection locked="0"/>
    </xf>
    <xf numFmtId="43" fontId="5" fillId="0" borderId="13" xfId="53" applyFont="1" applyBorder="1" applyAlignment="1">
      <alignment wrapText="1"/>
    </xf>
    <xf numFmtId="43" fontId="62" fillId="0" borderId="13" xfId="53" applyFont="1" applyBorder="1" applyAlignment="1" applyProtection="1">
      <alignment horizontal="right" vertical="center"/>
      <protection locked="0"/>
    </xf>
    <xf numFmtId="174" fontId="33" fillId="0" borderId="13" xfId="0" applyNumberFormat="1" applyFont="1" applyBorder="1" applyAlignment="1" applyProtection="1">
      <alignment horizontal="right" vertical="center"/>
      <protection locked="0"/>
    </xf>
    <xf numFmtId="168" fontId="35" fillId="13" borderId="13" xfId="607" applyNumberFormat="1" applyFont="1" applyFill="1" applyBorder="1" applyAlignment="1" applyProtection="1">
      <alignment vertical="top" wrapText="1" readingOrder="1"/>
      <protection locked="0"/>
    </xf>
    <xf numFmtId="168" fontId="35" fillId="13" borderId="27" xfId="0" applyNumberFormat="1" applyFont="1" applyFill="1" applyBorder="1" applyAlignment="1" applyProtection="1">
      <alignment vertical="top" wrapText="1" readingOrder="1"/>
      <protection locked="0"/>
    </xf>
    <xf numFmtId="168" fontId="29" fillId="0" borderId="13" xfId="0" applyNumberFormat="1" applyFont="1" applyBorder="1" applyAlignment="1" applyProtection="1">
      <alignment vertical="top" wrapText="1" readingOrder="1"/>
      <protection locked="0"/>
    </xf>
    <xf numFmtId="168" fontId="29" fillId="0" borderId="59" xfId="0" applyNumberFormat="1" applyFont="1" applyBorder="1" applyAlignment="1" applyProtection="1">
      <alignment vertical="top" wrapText="1" readingOrder="1"/>
      <protection locked="0"/>
    </xf>
    <xf numFmtId="0" fontId="20" fillId="0" borderId="0" xfId="0" applyFont="1"/>
    <xf numFmtId="0" fontId="19" fillId="0" borderId="17" xfId="0" applyFont="1" applyBorder="1"/>
    <xf numFmtId="0" fontId="19" fillId="0" borderId="0" xfId="0" applyFont="1"/>
    <xf numFmtId="0" fontId="19" fillId="0" borderId="31" xfId="0" applyFont="1" applyBorder="1"/>
    <xf numFmtId="43" fontId="19" fillId="0" borderId="30" xfId="56" applyFont="1" applyBorder="1"/>
    <xf numFmtId="0" fontId="4" fillId="0" borderId="33" xfId="0" applyFont="1" applyBorder="1"/>
    <xf numFmtId="0" fontId="4" fillId="0" borderId="34" xfId="0" applyFont="1" applyBorder="1"/>
    <xf numFmtId="0" fontId="20" fillId="0" borderId="7" xfId="0" applyFont="1" applyBorder="1"/>
    <xf numFmtId="0" fontId="20" fillId="0" borderId="35" xfId="0" applyFont="1" applyBorder="1"/>
    <xf numFmtId="0" fontId="4" fillId="0" borderId="18" xfId="0" applyFont="1" applyBorder="1"/>
    <xf numFmtId="0" fontId="4" fillId="0" borderId="13" xfId="0" applyFont="1" applyBorder="1"/>
    <xf numFmtId="0" fontId="22" fillId="0" borderId="13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17" xfId="0" applyFont="1" applyBorder="1"/>
    <xf numFmtId="172" fontId="4" fillId="0" borderId="19" xfId="0" applyNumberFormat="1" applyFont="1" applyBorder="1"/>
    <xf numFmtId="0" fontId="19" fillId="0" borderId="20" xfId="0" applyFont="1" applyBorder="1"/>
    <xf numFmtId="172" fontId="4" fillId="0" borderId="18" xfId="0" applyNumberFormat="1" applyFont="1" applyBorder="1"/>
    <xf numFmtId="0" fontId="19" fillId="20" borderId="13" xfId="0" applyFont="1" applyFill="1" applyBorder="1"/>
    <xf numFmtId="172" fontId="4" fillId="0" borderId="21" xfId="0" applyNumberFormat="1" applyFont="1" applyBorder="1"/>
    <xf numFmtId="0" fontId="19" fillId="21" borderId="22" xfId="0" applyFont="1" applyFill="1" applyBorder="1"/>
    <xf numFmtId="172" fontId="4" fillId="0" borderId="17" xfId="0" applyNumberFormat="1" applyFont="1" applyBorder="1"/>
    <xf numFmtId="9" fontId="22" fillId="0" borderId="13" xfId="699" applyFont="1" applyBorder="1"/>
    <xf numFmtId="172" fontId="4" fillId="0" borderId="18" xfId="0" applyNumberFormat="1" applyFont="1" applyBorder="1" applyAlignment="1">
      <alignment horizontal="right"/>
    </xf>
    <xf numFmtId="172" fontId="4" fillId="0" borderId="21" xfId="0" applyNumberFormat="1" applyFont="1" applyBorder="1" applyAlignment="1">
      <alignment horizontal="right"/>
    </xf>
    <xf numFmtId="0" fontId="22" fillId="0" borderId="22" xfId="0" applyFont="1" applyBorder="1"/>
    <xf numFmtId="166" fontId="22" fillId="0" borderId="0" xfId="0" applyNumberFormat="1" applyFont="1"/>
    <xf numFmtId="0" fontId="22" fillId="0" borderId="0" xfId="0" applyFont="1"/>
    <xf numFmtId="0" fontId="4" fillId="0" borderId="20" xfId="0" applyFont="1" applyBorder="1"/>
    <xf numFmtId="43" fontId="19" fillId="0" borderId="0" xfId="56" applyFont="1" applyBorder="1"/>
    <xf numFmtId="0" fontId="20" fillId="0" borderId="22" xfId="0" applyFont="1" applyBorder="1"/>
    <xf numFmtId="0" fontId="4" fillId="0" borderId="11" xfId="0" applyFont="1" applyBorder="1"/>
    <xf numFmtId="0" fontId="4" fillId="0" borderId="15" xfId="0" applyFont="1" applyBorder="1"/>
    <xf numFmtId="0" fontId="4" fillId="0" borderId="12" xfId="0" applyFont="1" applyBorder="1"/>
    <xf numFmtId="0" fontId="4" fillId="0" borderId="24" xfId="0" applyFont="1" applyBorder="1"/>
    <xf numFmtId="0" fontId="4" fillId="0" borderId="0" xfId="658" applyFont="1"/>
    <xf numFmtId="0" fontId="4" fillId="0" borderId="0" xfId="658" applyFont="1" applyAlignment="1">
      <alignment horizontal="center"/>
    </xf>
    <xf numFmtId="1" fontId="4" fillId="0" borderId="13" xfId="658" applyNumberFormat="1" applyFont="1" applyBorder="1"/>
    <xf numFmtId="9" fontId="4" fillId="0" borderId="13" xfId="697" applyFont="1" applyBorder="1"/>
    <xf numFmtId="9" fontId="4" fillId="22" borderId="13" xfId="697" applyFont="1" applyFill="1" applyBorder="1"/>
    <xf numFmtId="9" fontId="4" fillId="0" borderId="13" xfId="697" applyFont="1" applyBorder="1" applyAlignment="1">
      <alignment horizontal="center"/>
    </xf>
    <xf numFmtId="0" fontId="4" fillId="0" borderId="25" xfId="658" applyFont="1" applyBorder="1" applyAlignment="1">
      <alignment horizontal="center" vertical="center" textRotation="90"/>
    </xf>
    <xf numFmtId="9" fontId="4" fillId="0" borderId="0" xfId="697" applyFont="1" applyBorder="1" applyAlignment="1">
      <alignment horizontal="center"/>
    </xf>
    <xf numFmtId="0" fontId="15" fillId="0" borderId="25" xfId="658" applyFont="1" applyBorder="1" applyAlignment="1">
      <alignment horizontal="center" vertical="center"/>
    </xf>
    <xf numFmtId="0" fontId="4" fillId="0" borderId="13" xfId="658" applyFont="1" applyBorder="1" applyAlignment="1">
      <alignment horizontal="center" vertical="distributed" textRotation="90"/>
    </xf>
    <xf numFmtId="0" fontId="15" fillId="0" borderId="13" xfId="658" applyFont="1" applyBorder="1" applyAlignment="1">
      <alignment horizontal="center" vertical="center"/>
    </xf>
    <xf numFmtId="0" fontId="4" fillId="0" borderId="0" xfId="658" applyFont="1" applyAlignment="1">
      <alignment vertical="center"/>
    </xf>
    <xf numFmtId="0" fontId="15" fillId="10" borderId="13" xfId="658" applyFont="1" applyFill="1" applyBorder="1" applyAlignment="1">
      <alignment horizontal="center" vertical="center"/>
    </xf>
    <xf numFmtId="0" fontId="4" fillId="0" borderId="10" xfId="658" applyFont="1" applyBorder="1"/>
    <xf numFmtId="166" fontId="4" fillId="0" borderId="13" xfId="53" applyNumberFormat="1" applyFont="1" applyBorder="1" applyAlignment="1">
      <alignment horizontal="right"/>
    </xf>
    <xf numFmtId="9" fontId="4" fillId="0" borderId="13" xfId="697" applyFont="1" applyBorder="1" applyAlignment="1">
      <alignment horizontal="right"/>
    </xf>
    <xf numFmtId="0" fontId="4" fillId="9" borderId="10" xfId="658" applyFont="1" applyFill="1" applyBorder="1"/>
    <xf numFmtId="0" fontId="4" fillId="0" borderId="12" xfId="658" applyFont="1" applyBorder="1"/>
    <xf numFmtId="0" fontId="4" fillId="0" borderId="11" xfId="658" applyFont="1" applyBorder="1" applyAlignment="1">
      <alignment horizontal="center"/>
    </xf>
    <xf numFmtId="0" fontId="15" fillId="9" borderId="10" xfId="658" applyFont="1" applyFill="1" applyBorder="1"/>
    <xf numFmtId="173" fontId="4" fillId="9" borderId="10" xfId="699" applyNumberFormat="1" applyFont="1" applyFill="1" applyBorder="1"/>
    <xf numFmtId="0" fontId="4" fillId="9" borderId="14" xfId="658" applyFont="1" applyFill="1" applyBorder="1"/>
    <xf numFmtId="173" fontId="4" fillId="0" borderId="0" xfId="699" applyNumberFormat="1" applyFont="1" applyBorder="1"/>
    <xf numFmtId="168" fontId="29" fillId="0" borderId="13" xfId="607" applyNumberFormat="1" applyFont="1" applyBorder="1" applyAlignment="1" applyProtection="1">
      <alignment vertical="top" wrapText="1" readingOrder="1"/>
      <protection locked="0"/>
    </xf>
    <xf numFmtId="17" fontId="49" fillId="0" borderId="66" xfId="53" applyNumberFormat="1" applyFont="1" applyBorder="1"/>
    <xf numFmtId="176" fontId="5" fillId="12" borderId="66" xfId="54" applyNumberFormat="1" applyFont="1" applyFill="1" applyBorder="1" applyAlignment="1" applyProtection="1"/>
    <xf numFmtId="4" fontId="63" fillId="0" borderId="66" xfId="0" applyNumberFormat="1" applyFont="1" applyBorder="1" applyAlignment="1">
      <alignment wrapText="1" readingOrder="1"/>
    </xf>
    <xf numFmtId="0" fontId="63" fillId="0" borderId="66" xfId="0" applyFont="1" applyBorder="1" applyAlignment="1">
      <alignment wrapText="1" readingOrder="1"/>
    </xf>
    <xf numFmtId="168" fontId="35" fillId="13" borderId="66" xfId="0" applyNumberFormat="1" applyFont="1" applyFill="1" applyBorder="1" applyAlignment="1" applyProtection="1">
      <alignment vertical="top" wrapText="1" readingOrder="1"/>
      <protection locked="0"/>
    </xf>
    <xf numFmtId="176" fontId="5" fillId="12" borderId="66" xfId="54" applyNumberFormat="1" applyFont="1" applyFill="1" applyBorder="1" applyAlignment="1" applyProtection="1">
      <protection locked="0"/>
    </xf>
    <xf numFmtId="43" fontId="43" fillId="0" borderId="66" xfId="53" applyFont="1" applyBorder="1"/>
    <xf numFmtId="174" fontId="33" fillId="12" borderId="66" xfId="0" applyNumberFormat="1" applyFont="1" applyFill="1" applyBorder="1" applyAlignment="1" applyProtection="1">
      <alignment horizontal="right" vertical="center"/>
      <protection locked="0"/>
    </xf>
    <xf numFmtId="17" fontId="49" fillId="0" borderId="12" xfId="53" applyNumberFormat="1" applyFont="1" applyBorder="1"/>
    <xf numFmtId="168" fontId="42" fillId="0" borderId="12" xfId="0" applyNumberFormat="1" applyFont="1" applyBorder="1" applyAlignment="1" applyProtection="1">
      <alignment vertical="top" wrapText="1" readingOrder="1"/>
      <protection locked="0"/>
    </xf>
    <xf numFmtId="168" fontId="42" fillId="0" borderId="50" xfId="0" applyNumberFormat="1" applyFont="1" applyBorder="1" applyAlignment="1" applyProtection="1">
      <alignment vertical="top" wrapText="1" readingOrder="1"/>
      <protection locked="0"/>
    </xf>
    <xf numFmtId="168" fontId="35" fillId="13" borderId="50" xfId="0" applyNumberFormat="1" applyFont="1" applyFill="1" applyBorder="1" applyAlignment="1" applyProtection="1">
      <alignment vertical="top" wrapText="1" readingOrder="1"/>
      <protection locked="0"/>
    </xf>
    <xf numFmtId="168" fontId="29" fillId="0" borderId="12" xfId="0" applyNumberFormat="1" applyFont="1" applyBorder="1" applyAlignment="1" applyProtection="1">
      <alignment vertical="top" wrapText="1" readingOrder="1"/>
      <protection locked="0"/>
    </xf>
    <xf numFmtId="176" fontId="5" fillId="12" borderId="12" xfId="54" applyNumberFormat="1" applyFont="1" applyFill="1" applyBorder="1" applyAlignment="1" applyProtection="1">
      <protection locked="0"/>
    </xf>
    <xf numFmtId="174" fontId="33" fillId="12" borderId="12" xfId="0" applyNumberFormat="1" applyFont="1" applyFill="1" applyBorder="1" applyAlignment="1" applyProtection="1">
      <alignment horizontal="right" vertical="center"/>
      <protection locked="0"/>
    </xf>
    <xf numFmtId="0" fontId="64" fillId="0" borderId="0" xfId="0" applyFont="1"/>
    <xf numFmtId="43" fontId="64" fillId="0" borderId="0" xfId="53" applyFont="1"/>
    <xf numFmtId="0" fontId="65" fillId="0" borderId="0" xfId="0" applyFont="1"/>
    <xf numFmtId="17" fontId="65" fillId="0" borderId="0" xfId="0" applyNumberFormat="1" applyFont="1"/>
    <xf numFmtId="17" fontId="65" fillId="0" borderId="0" xfId="53" applyNumberFormat="1" applyFont="1"/>
    <xf numFmtId="17" fontId="65" fillId="0" borderId="13" xfId="0" applyNumberFormat="1" applyFont="1" applyBorder="1"/>
    <xf numFmtId="17" fontId="65" fillId="0" borderId="13" xfId="0" applyNumberFormat="1" applyFont="1" applyBorder="1" applyAlignment="1">
      <alignment horizontal="right"/>
    </xf>
    <xf numFmtId="0" fontId="66" fillId="0" borderId="26" xfId="0" applyFont="1" applyBorder="1"/>
    <xf numFmtId="0" fontId="66" fillId="0" borderId="0" xfId="0" applyFont="1"/>
    <xf numFmtId="43" fontId="66" fillId="0" borderId="0" xfId="53" applyFont="1" applyBorder="1"/>
    <xf numFmtId="0" fontId="64" fillId="0" borderId="13" xfId="0" applyFont="1" applyBorder="1"/>
    <xf numFmtId="0" fontId="53" fillId="0" borderId="26" xfId="0" applyFont="1" applyBorder="1"/>
    <xf numFmtId="167" fontId="66" fillId="11" borderId="26" xfId="54" applyFont="1" applyFill="1" applyBorder="1" applyAlignment="1" applyProtection="1"/>
    <xf numFmtId="43" fontId="66" fillId="11" borderId="26" xfId="53" applyFont="1" applyFill="1" applyBorder="1" applyAlignment="1" applyProtection="1"/>
    <xf numFmtId="167" fontId="67" fillId="11" borderId="26" xfId="54" applyFont="1" applyFill="1" applyBorder="1" applyAlignment="1" applyProtection="1"/>
    <xf numFmtId="167" fontId="66" fillId="11" borderId="13" xfId="54" applyFont="1" applyFill="1" applyBorder="1" applyAlignment="1" applyProtection="1"/>
    <xf numFmtId="167" fontId="66" fillId="11" borderId="26" xfId="54" applyFont="1" applyFill="1" applyBorder="1"/>
    <xf numFmtId="167" fontId="66" fillId="11" borderId="42" xfId="54" applyFont="1" applyFill="1" applyBorder="1" applyAlignment="1" applyProtection="1"/>
    <xf numFmtId="167" fontId="68" fillId="0" borderId="26" xfId="54" applyFont="1" applyFill="1" applyBorder="1" applyAlignment="1" applyProtection="1">
      <protection locked="0"/>
    </xf>
    <xf numFmtId="43" fontId="69" fillId="0" borderId="27" xfId="53" applyFont="1" applyBorder="1" applyAlignment="1" applyProtection="1">
      <alignment vertical="top" wrapText="1" readingOrder="1"/>
      <protection locked="0"/>
    </xf>
    <xf numFmtId="168" fontId="69" fillId="0" borderId="27" xfId="0" applyNumberFormat="1" applyFont="1" applyBorder="1" applyAlignment="1" applyProtection="1">
      <alignment vertical="top" wrapText="1" readingOrder="1"/>
      <protection locked="0"/>
    </xf>
    <xf numFmtId="167" fontId="53" fillId="0" borderId="26" xfId="54" applyFont="1" applyFill="1" applyBorder="1" applyAlignment="1" applyProtection="1">
      <protection locked="0"/>
    </xf>
    <xf numFmtId="43" fontId="64" fillId="0" borderId="13" xfId="53" applyFont="1" applyBorder="1"/>
    <xf numFmtId="43" fontId="53" fillId="0" borderId="26" xfId="53" applyFont="1" applyFill="1" applyBorder="1" applyAlignment="1" applyProtection="1">
      <protection locked="0"/>
    </xf>
    <xf numFmtId="174" fontId="52" fillId="0" borderId="13" xfId="0" applyNumberFormat="1" applyFont="1" applyBorder="1" applyAlignment="1" applyProtection="1">
      <alignment horizontal="right" vertical="center"/>
      <protection locked="0"/>
    </xf>
    <xf numFmtId="168" fontId="69" fillId="0" borderId="13" xfId="575" applyNumberFormat="1" applyFont="1" applyBorder="1" applyAlignment="1" applyProtection="1">
      <alignment vertical="top" wrapText="1" readingOrder="1"/>
      <protection locked="0"/>
    </xf>
    <xf numFmtId="167" fontId="53" fillId="0" borderId="26" xfId="54" applyFont="1" applyBorder="1" applyProtection="1">
      <protection locked="0"/>
    </xf>
    <xf numFmtId="167" fontId="53" fillId="0" borderId="42" xfId="54" applyFont="1" applyFill="1" applyBorder="1" applyAlignment="1" applyProtection="1">
      <protection locked="0"/>
    </xf>
    <xf numFmtId="167" fontId="53" fillId="0" borderId="13" xfId="54" applyFont="1" applyFill="1" applyBorder="1" applyAlignment="1" applyProtection="1">
      <protection locked="0"/>
    </xf>
    <xf numFmtId="168" fontId="69" fillId="0" borderId="13" xfId="0" applyNumberFormat="1" applyFont="1" applyBorder="1" applyAlignment="1" applyProtection="1">
      <alignment vertical="top" wrapText="1" readingOrder="1"/>
      <protection locked="0"/>
    </xf>
    <xf numFmtId="43" fontId="64" fillId="0" borderId="13" xfId="53" applyFont="1" applyFill="1" applyBorder="1"/>
    <xf numFmtId="4" fontId="70" fillId="0" borderId="64" xfId="0" applyNumberFormat="1" applyFont="1" applyBorder="1" applyAlignment="1">
      <alignment wrapText="1" readingOrder="1"/>
    </xf>
    <xf numFmtId="176" fontId="53" fillId="0" borderId="13" xfId="54" applyNumberFormat="1" applyFont="1" applyBorder="1" applyAlignment="1" applyProtection="1">
      <alignment horizontal="right" vertical="center"/>
      <protection locked="0"/>
    </xf>
    <xf numFmtId="4" fontId="70" fillId="0" borderId="65" xfId="0" applyNumberFormat="1" applyFont="1" applyBorder="1" applyAlignment="1">
      <alignment wrapText="1" readingOrder="1"/>
    </xf>
    <xf numFmtId="166" fontId="71" fillId="25" borderId="13" xfId="184" applyNumberFormat="1" applyFont="1" applyFill="1" applyBorder="1"/>
    <xf numFmtId="167" fontId="67" fillId="11" borderId="26" xfId="54" applyFont="1" applyFill="1" applyBorder="1" applyAlignment="1" applyProtection="1">
      <protection locked="0"/>
    </xf>
    <xf numFmtId="43" fontId="65" fillId="0" borderId="13" xfId="53" applyFont="1" applyBorder="1"/>
    <xf numFmtId="43" fontId="65" fillId="0" borderId="45" xfId="53" applyFont="1" applyFill="1" applyBorder="1"/>
    <xf numFmtId="43" fontId="65" fillId="0" borderId="0" xfId="53" applyFont="1"/>
    <xf numFmtId="167" fontId="53" fillId="0" borderId="47" xfId="54" applyFont="1" applyFill="1" applyBorder="1" applyAlignment="1" applyProtection="1">
      <protection locked="0"/>
    </xf>
    <xf numFmtId="168" fontId="69" fillId="0" borderId="48" xfId="0" applyNumberFormat="1" applyFont="1" applyBorder="1" applyAlignment="1" applyProtection="1">
      <alignment vertical="top" wrapText="1" readingOrder="1"/>
      <protection locked="0"/>
    </xf>
    <xf numFmtId="167" fontId="53" fillId="0" borderId="49" xfId="54" applyFont="1" applyFill="1" applyBorder="1" applyAlignment="1" applyProtection="1">
      <protection locked="0"/>
    </xf>
    <xf numFmtId="43" fontId="64" fillId="0" borderId="25" xfId="53" applyFont="1" applyBorder="1"/>
    <xf numFmtId="168" fontId="69" fillId="0" borderId="50" xfId="0" applyNumberFormat="1" applyFont="1" applyBorder="1" applyAlignment="1" applyProtection="1">
      <alignment vertical="top" wrapText="1" readingOrder="1"/>
      <protection locked="0"/>
    </xf>
    <xf numFmtId="168" fontId="69" fillId="0" borderId="40" xfId="0" applyNumberFormat="1" applyFont="1" applyBorder="1" applyAlignment="1" applyProtection="1">
      <alignment vertical="top" wrapText="1" readingOrder="1"/>
      <protection locked="0"/>
    </xf>
    <xf numFmtId="43" fontId="64" fillId="0" borderId="12" xfId="53" applyFont="1" applyBorder="1"/>
    <xf numFmtId="4" fontId="70" fillId="0" borderId="66" xfId="0" applyNumberFormat="1" applyFont="1" applyBorder="1" applyAlignment="1">
      <alignment wrapText="1" readingOrder="1"/>
    </xf>
    <xf numFmtId="174" fontId="52" fillId="0" borderId="0" xfId="0" applyNumberFormat="1" applyFont="1" applyAlignment="1" applyProtection="1">
      <alignment horizontal="right" vertical="center"/>
      <protection locked="0"/>
    </xf>
    <xf numFmtId="168" fontId="69" fillId="0" borderId="12" xfId="0" applyNumberFormat="1" applyFont="1" applyBorder="1" applyAlignment="1" applyProtection="1">
      <alignment vertical="top" wrapText="1" readingOrder="1"/>
      <protection locked="0"/>
    </xf>
    <xf numFmtId="168" fontId="69" fillId="0" borderId="66" xfId="0" applyNumberFormat="1" applyFont="1" applyBorder="1" applyAlignment="1" applyProtection="1">
      <alignment vertical="top" wrapText="1" readingOrder="1"/>
      <protection locked="0"/>
    </xf>
    <xf numFmtId="167" fontId="66" fillId="11" borderId="46" xfId="54" applyFont="1" applyFill="1" applyBorder="1" applyAlignment="1" applyProtection="1"/>
    <xf numFmtId="43" fontId="64" fillId="0" borderId="45" xfId="53" applyFont="1" applyFill="1" applyBorder="1"/>
    <xf numFmtId="43" fontId="64" fillId="22" borderId="45" xfId="53" applyFont="1" applyFill="1" applyBorder="1"/>
    <xf numFmtId="168" fontId="69" fillId="13" borderId="27" xfId="0" applyNumberFormat="1" applyFont="1" applyFill="1" applyBorder="1" applyAlignment="1" applyProtection="1">
      <alignment vertical="top" wrapText="1" readingOrder="1"/>
      <protection locked="0"/>
    </xf>
    <xf numFmtId="168" fontId="69" fillId="13" borderId="13" xfId="575" applyNumberFormat="1" applyFont="1" applyFill="1" applyBorder="1" applyAlignment="1" applyProtection="1">
      <alignment vertical="top" wrapText="1" readingOrder="1"/>
      <protection locked="0"/>
    </xf>
    <xf numFmtId="3" fontId="72" fillId="0" borderId="13" xfId="0" applyNumberFormat="1" applyFont="1" applyBorder="1"/>
    <xf numFmtId="168" fontId="69" fillId="22" borderId="27" xfId="0" applyNumberFormat="1" applyFont="1" applyFill="1" applyBorder="1" applyAlignment="1" applyProtection="1">
      <alignment vertical="top" wrapText="1" readingOrder="1"/>
      <protection locked="0"/>
    </xf>
    <xf numFmtId="4" fontId="64" fillId="0" borderId="13" xfId="0" applyNumberFormat="1" applyFont="1" applyBorder="1"/>
    <xf numFmtId="0" fontId="66" fillId="0" borderId="43" xfId="0" applyFont="1" applyBorder="1"/>
    <xf numFmtId="167" fontId="66" fillId="11" borderId="43" xfId="54" applyFont="1" applyFill="1" applyBorder="1" applyAlignment="1" applyProtection="1"/>
    <xf numFmtId="43" fontId="66" fillId="11" borderId="43" xfId="53" applyFont="1" applyFill="1" applyBorder="1" applyAlignment="1" applyProtection="1"/>
    <xf numFmtId="167" fontId="67" fillId="11" borderId="43" xfId="54" applyFont="1" applyFill="1" applyBorder="1" applyAlignment="1" applyProtection="1"/>
    <xf numFmtId="167" fontId="66" fillId="11" borderId="40" xfId="54" applyFont="1" applyFill="1" applyBorder="1" applyAlignment="1" applyProtection="1"/>
    <xf numFmtId="167" fontId="66" fillId="11" borderId="43" xfId="54" applyFont="1" applyFill="1" applyBorder="1"/>
    <xf numFmtId="0" fontId="66" fillId="0" borderId="13" xfId="0" applyFont="1" applyBorder="1"/>
    <xf numFmtId="167" fontId="68" fillId="0" borderId="13" xfId="54" applyFont="1" applyFill="1" applyBorder="1" applyAlignment="1" applyProtection="1">
      <protection locked="0"/>
    </xf>
    <xf numFmtId="167" fontId="53" fillId="0" borderId="13" xfId="54" applyFont="1" applyBorder="1" applyProtection="1">
      <protection locked="0"/>
    </xf>
    <xf numFmtId="0" fontId="64" fillId="0" borderId="66" xfId="0" applyFont="1" applyBorder="1"/>
    <xf numFmtId="0" fontId="53" fillId="0" borderId="13" xfId="0" applyFont="1" applyBorder="1"/>
    <xf numFmtId="43" fontId="69" fillId="0" borderId="13" xfId="53" applyFont="1" applyBorder="1" applyAlignment="1" applyProtection="1">
      <alignment vertical="top" wrapText="1" readingOrder="1"/>
      <protection locked="0"/>
    </xf>
    <xf numFmtId="43" fontId="64" fillId="0" borderId="68" xfId="53" applyFont="1" applyBorder="1"/>
    <xf numFmtId="4" fontId="70" fillId="0" borderId="69" xfId="0" applyNumberFormat="1" applyFont="1" applyBorder="1" applyAlignment="1">
      <alignment wrapText="1" readingOrder="1"/>
    </xf>
    <xf numFmtId="167" fontId="67" fillId="11" borderId="13" xfId="54" applyFont="1" applyFill="1" applyBorder="1" applyAlignment="1" applyProtection="1"/>
    <xf numFmtId="167" fontId="66" fillId="11" borderId="13" xfId="54" applyFont="1" applyFill="1" applyBorder="1"/>
    <xf numFmtId="167" fontId="66" fillId="11" borderId="25" xfId="54" applyFont="1" applyFill="1" applyBorder="1" applyAlignment="1" applyProtection="1"/>
    <xf numFmtId="167" fontId="66" fillId="12" borderId="13" xfId="54" applyFont="1" applyFill="1" applyBorder="1" applyAlignment="1" applyProtection="1"/>
    <xf numFmtId="43" fontId="66" fillId="12" borderId="13" xfId="53" applyFont="1" applyFill="1" applyBorder="1" applyAlignment="1" applyProtection="1"/>
    <xf numFmtId="167" fontId="67" fillId="24" borderId="13" xfId="54" applyFont="1" applyFill="1" applyBorder="1" applyAlignment="1" applyProtection="1"/>
    <xf numFmtId="167" fontId="66" fillId="12" borderId="13" xfId="54" applyFont="1" applyFill="1" applyBorder="1"/>
    <xf numFmtId="167" fontId="66" fillId="12" borderId="40" xfId="54" applyFont="1" applyFill="1" applyBorder="1" applyAlignment="1" applyProtection="1"/>
    <xf numFmtId="3" fontId="64" fillId="0" borderId="13" xfId="0" applyNumberFormat="1" applyFont="1" applyBorder="1"/>
    <xf numFmtId="43" fontId="66" fillId="11" borderId="13" xfId="53" applyFont="1" applyFill="1" applyBorder="1" applyAlignment="1" applyProtection="1"/>
    <xf numFmtId="167" fontId="66" fillId="11" borderId="12" xfId="54" applyFont="1" applyFill="1" applyBorder="1" applyAlignment="1" applyProtection="1"/>
    <xf numFmtId="167" fontId="66" fillId="11" borderId="67" xfId="54" applyFont="1" applyFill="1" applyBorder="1" applyAlignment="1" applyProtection="1"/>
    <xf numFmtId="0" fontId="72" fillId="0" borderId="0" xfId="0" applyFont="1" applyAlignment="1">
      <alignment horizontal="right" vertical="center" wrapText="1"/>
    </xf>
    <xf numFmtId="168" fontId="69" fillId="0" borderId="68" xfId="0" applyNumberFormat="1" applyFont="1" applyBorder="1" applyAlignment="1" applyProtection="1">
      <alignment vertical="top" wrapText="1" readingOrder="1"/>
      <protection locked="0"/>
    </xf>
    <xf numFmtId="0" fontId="70" fillId="0" borderId="66" xfId="0" applyFont="1" applyBorder="1" applyAlignment="1">
      <alignment wrapText="1" readingOrder="1"/>
    </xf>
    <xf numFmtId="167" fontId="66" fillId="12" borderId="45" xfId="54" applyFont="1" applyFill="1" applyBorder="1" applyAlignment="1" applyProtection="1"/>
    <xf numFmtId="43" fontId="72" fillId="0" borderId="13" xfId="53" applyFont="1" applyBorder="1" applyAlignment="1">
      <alignment horizontal="right" vertical="center" wrapText="1"/>
    </xf>
    <xf numFmtId="43" fontId="69" fillId="0" borderId="12" xfId="53" applyFont="1" applyBorder="1" applyAlignment="1" applyProtection="1">
      <alignment vertical="top" wrapText="1" readingOrder="1"/>
      <protection locked="0"/>
    </xf>
    <xf numFmtId="43" fontId="69" fillId="0" borderId="66" xfId="53" applyFont="1" applyBorder="1" applyAlignment="1" applyProtection="1">
      <alignment vertical="top" wrapText="1" readingOrder="1"/>
      <protection locked="0"/>
    </xf>
    <xf numFmtId="175" fontId="69" fillId="0" borderId="13" xfId="0" applyNumberFormat="1" applyFont="1" applyBorder="1" applyAlignment="1" applyProtection="1">
      <alignment vertical="top" wrapText="1" readingOrder="1"/>
      <protection locked="0"/>
    </xf>
    <xf numFmtId="175" fontId="69" fillId="0" borderId="27" xfId="0" applyNumberFormat="1" applyFont="1" applyBorder="1" applyAlignment="1" applyProtection="1">
      <alignment vertical="top" wrapText="1" readingOrder="1"/>
      <protection locked="0"/>
    </xf>
    <xf numFmtId="175" fontId="69" fillId="0" borderId="50" xfId="0" applyNumberFormat="1" applyFont="1" applyBorder="1" applyAlignment="1" applyProtection="1">
      <alignment vertical="top" wrapText="1" readingOrder="1"/>
      <protection locked="0"/>
    </xf>
    <xf numFmtId="175" fontId="69" fillId="0" borderId="12" xfId="0" applyNumberFormat="1" applyFont="1" applyBorder="1" applyAlignment="1" applyProtection="1">
      <alignment vertical="top" wrapText="1" readingOrder="1"/>
      <protection locked="0"/>
    </xf>
    <xf numFmtId="175" fontId="69" fillId="0" borderId="66" xfId="0" applyNumberFormat="1" applyFont="1" applyBorder="1" applyAlignment="1" applyProtection="1">
      <alignment vertical="top" wrapText="1" readingOrder="1"/>
      <protection locked="0"/>
    </xf>
    <xf numFmtId="167" fontId="66" fillId="11" borderId="66" xfId="54" applyFont="1" applyFill="1" applyBorder="1" applyAlignment="1" applyProtection="1"/>
    <xf numFmtId="43" fontId="64" fillId="0" borderId="0" xfId="0" applyNumberFormat="1" applyFont="1"/>
    <xf numFmtId="43" fontId="73" fillId="0" borderId="0" xfId="0" applyNumberFormat="1" applyFont="1"/>
    <xf numFmtId="43" fontId="64" fillId="0" borderId="0" xfId="53" applyFont="1" applyFill="1" applyBorder="1"/>
    <xf numFmtId="168" fontId="29" fillId="13" borderId="27" xfId="0" applyNumberFormat="1" applyFont="1" applyFill="1" applyBorder="1" applyAlignment="1" applyProtection="1">
      <alignment vertical="top" wrapText="1" readingOrder="1"/>
      <protection locked="0"/>
    </xf>
    <xf numFmtId="43" fontId="66" fillId="11" borderId="46" xfId="53" applyFont="1" applyFill="1" applyBorder="1" applyAlignment="1" applyProtection="1"/>
    <xf numFmtId="43" fontId="66" fillId="11" borderId="25" xfId="53" applyFont="1" applyFill="1" applyBorder="1" applyAlignment="1" applyProtection="1"/>
    <xf numFmtId="43" fontId="66" fillId="12" borderId="40" xfId="53" applyFont="1" applyFill="1" applyBorder="1" applyAlignment="1" applyProtection="1"/>
    <xf numFmtId="43" fontId="66" fillId="11" borderId="67" xfId="53" applyFont="1" applyFill="1" applyBorder="1" applyAlignment="1" applyProtection="1"/>
    <xf numFmtId="43" fontId="66" fillId="12" borderId="45" xfId="53" applyFont="1" applyFill="1" applyBorder="1" applyAlignment="1" applyProtection="1"/>
    <xf numFmtId="43" fontId="66" fillId="11" borderId="66" xfId="53" applyFont="1" applyFill="1" applyBorder="1" applyAlignment="1" applyProtection="1"/>
    <xf numFmtId="43" fontId="64" fillId="22" borderId="0" xfId="53" applyFont="1" applyFill="1"/>
    <xf numFmtId="164" fontId="64" fillId="0" borderId="0" xfId="0" applyNumberFormat="1" applyFont="1"/>
    <xf numFmtId="164" fontId="4" fillId="0" borderId="0" xfId="0" applyNumberFormat="1" applyFont="1"/>
    <xf numFmtId="9" fontId="4" fillId="0" borderId="0" xfId="697" applyFont="1"/>
    <xf numFmtId="3" fontId="20" fillId="0" borderId="0" xfId="0" applyNumberFormat="1" applyFont="1"/>
    <xf numFmtId="43" fontId="65" fillId="0" borderId="13" xfId="53" applyFont="1" applyBorder="1" applyAlignment="1">
      <alignment horizontal="right"/>
    </xf>
    <xf numFmtId="0" fontId="74" fillId="0" borderId="0" xfId="0" applyFont="1"/>
    <xf numFmtId="0" fontId="75" fillId="0" borderId="0" xfId="658" applyFont="1"/>
    <xf numFmtId="166" fontId="76" fillId="0" borderId="13" xfId="56" applyNumberFormat="1" applyFont="1" applyBorder="1"/>
    <xf numFmtId="0" fontId="76" fillId="0" borderId="13" xfId="0" applyFont="1" applyBorder="1"/>
    <xf numFmtId="0" fontId="75" fillId="0" borderId="13" xfId="658" applyFont="1" applyBorder="1"/>
    <xf numFmtId="166" fontId="76" fillId="0" borderId="13" xfId="56" applyNumberFormat="1" applyFont="1" applyBorder="1" applyAlignment="1">
      <alignment horizontal="left"/>
    </xf>
    <xf numFmtId="0" fontId="75" fillId="0" borderId="25" xfId="658" applyFont="1" applyBorder="1"/>
    <xf numFmtId="0" fontId="75" fillId="0" borderId="0" xfId="658" applyFont="1" applyAlignment="1">
      <alignment horizontal="center"/>
    </xf>
    <xf numFmtId="0" fontId="75" fillId="0" borderId="13" xfId="658" applyFont="1" applyBorder="1" applyAlignment="1">
      <alignment horizontal="center"/>
    </xf>
    <xf numFmtId="9" fontId="75" fillId="0" borderId="13" xfId="697" applyFont="1" applyBorder="1" applyAlignment="1">
      <alignment horizontal="center"/>
    </xf>
    <xf numFmtId="9" fontId="75" fillId="0" borderId="25" xfId="697" applyFont="1" applyBorder="1" applyAlignment="1">
      <alignment horizontal="center"/>
    </xf>
    <xf numFmtId="0" fontId="75" fillId="0" borderId="25" xfId="658" applyFont="1" applyBorder="1" applyAlignment="1">
      <alignment horizontal="center"/>
    </xf>
    <xf numFmtId="0" fontId="77" fillId="0" borderId="0" xfId="0" applyFont="1"/>
    <xf numFmtId="0" fontId="75" fillId="0" borderId="25" xfId="658" applyFont="1" applyBorder="1" applyAlignment="1">
      <alignment horizontal="left" vertical="center"/>
    </xf>
    <xf numFmtId="1" fontId="3" fillId="0" borderId="13" xfId="658" applyNumberFormat="1" applyFont="1" applyBorder="1"/>
    <xf numFmtId="9" fontId="3" fillId="0" borderId="13" xfId="697" applyFont="1" applyBorder="1"/>
    <xf numFmtId="0" fontId="3" fillId="0" borderId="13" xfId="658" applyFont="1" applyBorder="1"/>
    <xf numFmtId="9" fontId="3" fillId="0" borderId="13" xfId="697" applyFont="1" applyFill="1" applyBorder="1"/>
    <xf numFmtId="9" fontId="3" fillId="22" borderId="13" xfId="697" applyFont="1" applyFill="1" applyBorder="1"/>
    <xf numFmtId="9" fontId="3" fillId="0" borderId="13" xfId="697" applyFont="1" applyBorder="1" applyAlignment="1">
      <alignment horizontal="center"/>
    </xf>
    <xf numFmtId="0" fontId="3" fillId="0" borderId="0" xfId="658" applyFont="1"/>
    <xf numFmtId="9" fontId="3" fillId="0" borderId="0" xfId="697" applyFont="1" applyBorder="1" applyAlignment="1">
      <alignment horizontal="center"/>
    </xf>
    <xf numFmtId="0" fontId="5" fillId="0" borderId="25" xfId="658" applyFont="1" applyBorder="1" applyAlignment="1">
      <alignment horizontal="center" vertical="center"/>
    </xf>
    <xf numFmtId="0" fontId="5" fillId="0" borderId="13" xfId="658" applyFont="1" applyBorder="1" applyAlignment="1">
      <alignment horizontal="center" vertical="center"/>
    </xf>
    <xf numFmtId="0" fontId="3" fillId="0" borderId="0" xfId="658" applyFont="1" applyAlignment="1">
      <alignment vertical="center"/>
    </xf>
    <xf numFmtId="0" fontId="5" fillId="10" borderId="13" xfId="658" applyFont="1" applyFill="1" applyBorder="1" applyAlignment="1">
      <alignment horizontal="center" vertical="center"/>
    </xf>
    <xf numFmtId="0" fontId="75" fillId="0" borderId="13" xfId="658" applyFont="1" applyBorder="1" applyAlignment="1">
      <alignment horizontal="center" vertical="center"/>
    </xf>
    <xf numFmtId="0" fontId="15" fillId="0" borderId="40" xfId="658" applyFont="1" applyBorder="1" applyAlignment="1">
      <alignment horizontal="center" vertical="center" textRotation="90" wrapText="1"/>
    </xf>
    <xf numFmtId="0" fontId="15" fillId="0" borderId="45" xfId="658" applyFont="1" applyBorder="1" applyAlignment="1">
      <alignment horizontal="center" vertical="center" textRotation="90" wrapText="1"/>
    </xf>
    <xf numFmtId="0" fontId="15" fillId="0" borderId="25" xfId="658" applyFont="1" applyBorder="1" applyAlignment="1">
      <alignment horizontal="center" vertical="center" textRotation="90" wrapText="1"/>
    </xf>
    <xf numFmtId="0" fontId="75" fillId="0" borderId="13" xfId="658" applyFont="1" applyBorder="1" applyAlignment="1">
      <alignment horizontal="left" vertical="center"/>
    </xf>
    <xf numFmtId="0" fontId="15" fillId="0" borderId="13" xfId="658" applyFont="1" applyBorder="1" applyAlignment="1">
      <alignment horizontal="center" vertical="center" textRotation="90"/>
    </xf>
    <xf numFmtId="0" fontId="4" fillId="0" borderId="13" xfId="658" applyFont="1" applyBorder="1" applyAlignment="1">
      <alignment horizontal="center" vertical="distributed" textRotation="90"/>
    </xf>
    <xf numFmtId="0" fontId="4" fillId="0" borderId="13" xfId="658" applyFont="1" applyBorder="1" applyAlignment="1">
      <alignment horizontal="center" vertical="center" textRotation="90"/>
    </xf>
    <xf numFmtId="0" fontId="4" fillId="0" borderId="25" xfId="658" applyFont="1" applyBorder="1" applyAlignment="1">
      <alignment horizontal="center" vertical="distributed" textRotation="90"/>
    </xf>
    <xf numFmtId="43" fontId="5" fillId="0" borderId="26" xfId="53" applyFont="1" applyBorder="1" applyAlignment="1">
      <alignment horizontal="center" wrapText="1"/>
    </xf>
    <xf numFmtId="43" fontId="3" fillId="0" borderId="26" xfId="53" applyFont="1" applyBorder="1" applyAlignment="1">
      <alignment horizontal="center" wrapText="1"/>
    </xf>
    <xf numFmtId="43" fontId="3" fillId="0" borderId="47" xfId="53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47" xfId="0" applyFont="1" applyBorder="1" applyAlignment="1">
      <alignment horizontal="center" wrapText="1"/>
    </xf>
    <xf numFmtId="0" fontId="60" fillId="0" borderId="51" xfId="0" applyFont="1" applyBorder="1" applyAlignment="1">
      <alignment horizontal="center" wrapText="1"/>
    </xf>
    <xf numFmtId="0" fontId="60" fillId="0" borderId="52" xfId="0" applyFont="1" applyBorder="1" applyAlignment="1">
      <alignment horizontal="center" wrapText="1"/>
    </xf>
    <xf numFmtId="0" fontId="49" fillId="0" borderId="40" xfId="0" applyFont="1" applyBorder="1" applyAlignment="1">
      <alignment horizontal="center" wrapText="1"/>
    </xf>
    <xf numFmtId="0" fontId="49" fillId="0" borderId="25" xfId="0" applyFont="1" applyBorder="1" applyAlignment="1">
      <alignment horizontal="center" wrapText="1"/>
    </xf>
    <xf numFmtId="0" fontId="49" fillId="0" borderId="19" xfId="0" applyFont="1" applyBorder="1" applyAlignment="1" applyProtection="1">
      <alignment horizontal="center"/>
      <protection locked="0"/>
    </xf>
    <xf numFmtId="0" fontId="49" fillId="0" borderId="20" xfId="0" applyFont="1" applyBorder="1" applyAlignment="1" applyProtection="1">
      <alignment horizontal="center"/>
      <protection locked="0"/>
    </xf>
    <xf numFmtId="0" fontId="49" fillId="0" borderId="53" xfId="0" applyFont="1" applyBorder="1" applyAlignment="1" applyProtection="1">
      <alignment horizontal="center"/>
      <protection locked="0"/>
    </xf>
    <xf numFmtId="0" fontId="49" fillId="0" borderId="32" xfId="0" applyFont="1" applyBorder="1" applyAlignment="1" applyProtection="1">
      <alignment horizontal="center"/>
      <protection locked="0"/>
    </xf>
    <xf numFmtId="0" fontId="49" fillId="0" borderId="18" xfId="0" applyFont="1" applyBorder="1" applyAlignment="1" applyProtection="1">
      <alignment horizontal="center"/>
      <protection locked="0"/>
    </xf>
    <xf numFmtId="0" fontId="49" fillId="0" borderId="13" xfId="0" applyFont="1" applyBorder="1" applyAlignment="1" applyProtection="1">
      <alignment horizontal="center"/>
      <protection locked="0"/>
    </xf>
    <xf numFmtId="0" fontId="49" fillId="0" borderId="12" xfId="0" applyFont="1" applyBorder="1" applyAlignment="1" applyProtection="1">
      <alignment horizontal="center"/>
      <protection locked="0"/>
    </xf>
    <xf numFmtId="0" fontId="49" fillId="0" borderId="39" xfId="0" applyFon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49" fillId="0" borderId="54" xfId="0" applyFont="1" applyBorder="1" applyAlignment="1" applyProtection="1">
      <alignment horizontal="center"/>
      <protection locked="0"/>
    </xf>
    <xf numFmtId="0" fontId="49" fillId="0" borderId="55" xfId="0" applyFont="1" applyBorder="1" applyAlignment="1" applyProtection="1">
      <alignment horizontal="center"/>
      <protection locked="0"/>
    </xf>
    <xf numFmtId="17" fontId="49" fillId="0" borderId="51" xfId="0" applyNumberFormat="1" applyFont="1" applyBorder="1" applyAlignment="1" applyProtection="1">
      <alignment horizontal="center" wrapText="1"/>
      <protection locked="0"/>
    </xf>
    <xf numFmtId="17" fontId="49" fillId="0" borderId="52" xfId="0" applyNumberFormat="1" applyFont="1" applyBorder="1" applyAlignment="1" applyProtection="1">
      <alignment horizontal="center" wrapText="1"/>
      <protection locked="0"/>
    </xf>
    <xf numFmtId="0" fontId="60" fillId="26" borderId="18" xfId="0" applyFont="1" applyFill="1" applyBorder="1" applyAlignment="1">
      <alignment horizontal="left"/>
    </xf>
    <xf numFmtId="0" fontId="60" fillId="26" borderId="13" xfId="0" applyFont="1" applyFill="1" applyBorder="1" applyAlignment="1">
      <alignment horizontal="left"/>
    </xf>
    <xf numFmtId="0" fontId="60" fillId="26" borderId="12" xfId="0" applyFont="1" applyFill="1" applyBorder="1" applyAlignment="1">
      <alignment horizontal="left"/>
    </xf>
    <xf numFmtId="0" fontId="60" fillId="26" borderId="39" xfId="0" applyFont="1" applyFill="1" applyBorder="1" applyAlignment="1">
      <alignment horizontal="left"/>
    </xf>
    <xf numFmtId="0" fontId="61" fillId="27" borderId="56" xfId="0" applyFont="1" applyFill="1" applyBorder="1" applyAlignment="1">
      <alignment horizontal="left"/>
    </xf>
    <xf numFmtId="0" fontId="61" fillId="27" borderId="57" xfId="0" applyFont="1" applyFill="1" applyBorder="1" applyAlignment="1">
      <alignment horizontal="left"/>
    </xf>
    <xf numFmtId="0" fontId="61" fillId="27" borderId="58" xfId="0" applyFont="1" applyFill="1" applyBorder="1" applyAlignment="1">
      <alignment horizontal="left"/>
    </xf>
  </cellXfs>
  <cellStyles count="712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0 2 2" xfId="57" xr:uid="{00000000-0005-0000-0000-000038000000}"/>
    <cellStyle name="Comma 10 11" xfId="58" xr:uid="{00000000-0005-0000-0000-000039000000}"/>
    <cellStyle name="Comma 10 11 2" xfId="59" xr:uid="{00000000-0005-0000-0000-00003A000000}"/>
    <cellStyle name="Comma 10 12" xfId="60" xr:uid="{00000000-0005-0000-0000-00003B000000}"/>
    <cellStyle name="Comma 10 12 2" xfId="61" xr:uid="{00000000-0005-0000-0000-00003C000000}"/>
    <cellStyle name="Comma 10 13" xfId="62" xr:uid="{00000000-0005-0000-0000-00003D000000}"/>
    <cellStyle name="Comma 10 13 2" xfId="63" xr:uid="{00000000-0005-0000-0000-00003E000000}"/>
    <cellStyle name="Comma 10 14" xfId="64" xr:uid="{00000000-0005-0000-0000-00003F000000}"/>
    <cellStyle name="Comma 10 14 2" xfId="65" xr:uid="{00000000-0005-0000-0000-000040000000}"/>
    <cellStyle name="Comma 10 15" xfId="66" xr:uid="{00000000-0005-0000-0000-000041000000}"/>
    <cellStyle name="Comma 10 15 2" xfId="67" xr:uid="{00000000-0005-0000-0000-000042000000}"/>
    <cellStyle name="Comma 10 16" xfId="68" xr:uid="{00000000-0005-0000-0000-000043000000}"/>
    <cellStyle name="Comma 10 16 2" xfId="69" xr:uid="{00000000-0005-0000-0000-000044000000}"/>
    <cellStyle name="Comma 10 17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28" xfId="224" xr:uid="{00000000-0005-0000-0000-0000DF000000}"/>
    <cellStyle name="Comma 2 29" xfId="225" xr:uid="{00000000-0005-0000-0000-0000E0000000}"/>
    <cellStyle name="Comma 2 3" xfId="226" xr:uid="{00000000-0005-0000-0000-0000E1000000}"/>
    <cellStyle name="Comma 2 3 2" xfId="227" xr:uid="{00000000-0005-0000-0000-0000E2000000}"/>
    <cellStyle name="Comma 2 4" xfId="228" xr:uid="{00000000-0005-0000-0000-0000E3000000}"/>
    <cellStyle name="Comma 2 4 2" xfId="229" xr:uid="{00000000-0005-0000-0000-0000E4000000}"/>
    <cellStyle name="Comma 2 5" xfId="230" xr:uid="{00000000-0005-0000-0000-0000E5000000}"/>
    <cellStyle name="Comma 2 5 2" xfId="231" xr:uid="{00000000-0005-0000-0000-0000E6000000}"/>
    <cellStyle name="Comma 2 6" xfId="232" xr:uid="{00000000-0005-0000-0000-0000E7000000}"/>
    <cellStyle name="Comma 2 6 2" xfId="233" xr:uid="{00000000-0005-0000-0000-0000E8000000}"/>
    <cellStyle name="Comma 2 7" xfId="234" xr:uid="{00000000-0005-0000-0000-0000E9000000}"/>
    <cellStyle name="Comma 2 7 2" xfId="235" xr:uid="{00000000-0005-0000-0000-0000EA000000}"/>
    <cellStyle name="Comma 2 8" xfId="236" xr:uid="{00000000-0005-0000-0000-0000EB000000}"/>
    <cellStyle name="Comma 2 8 2" xfId="237" xr:uid="{00000000-0005-0000-0000-0000EC000000}"/>
    <cellStyle name="Comma 2 9" xfId="238" xr:uid="{00000000-0005-0000-0000-0000ED000000}"/>
    <cellStyle name="Comma 2 9 2" xfId="239" xr:uid="{00000000-0005-0000-0000-0000EE000000}"/>
    <cellStyle name="Comma 20" xfId="240" xr:uid="{00000000-0005-0000-0000-0000EF000000}"/>
    <cellStyle name="Comma 21" xfId="241" xr:uid="{00000000-0005-0000-0000-0000F0000000}"/>
    <cellStyle name="Comma 24" xfId="242" xr:uid="{00000000-0005-0000-0000-0000F1000000}"/>
    <cellStyle name="Comma 24 2" xfId="243" xr:uid="{00000000-0005-0000-0000-0000F2000000}"/>
    <cellStyle name="Comma 3" xfId="244" xr:uid="{00000000-0005-0000-0000-0000F3000000}"/>
    <cellStyle name="Comma 3 10" xfId="245" xr:uid="{00000000-0005-0000-0000-0000F4000000}"/>
    <cellStyle name="Comma 3 10 2" xfId="246" xr:uid="{00000000-0005-0000-0000-0000F5000000}"/>
    <cellStyle name="Comma 3 11" xfId="247" xr:uid="{00000000-0005-0000-0000-0000F6000000}"/>
    <cellStyle name="Comma 3 11 2" xfId="248" xr:uid="{00000000-0005-0000-0000-0000F7000000}"/>
    <cellStyle name="Comma 3 12" xfId="249" xr:uid="{00000000-0005-0000-0000-0000F8000000}"/>
    <cellStyle name="Comma 3 12 2" xfId="250" xr:uid="{00000000-0005-0000-0000-0000F9000000}"/>
    <cellStyle name="Comma 3 13" xfId="251" xr:uid="{00000000-0005-0000-0000-0000FA000000}"/>
    <cellStyle name="Comma 3 13 2" xfId="252" xr:uid="{00000000-0005-0000-0000-0000FB000000}"/>
    <cellStyle name="Comma 3 14" xfId="253" xr:uid="{00000000-0005-0000-0000-0000FC000000}"/>
    <cellStyle name="Comma 3 14 2" xfId="254" xr:uid="{00000000-0005-0000-0000-0000FD000000}"/>
    <cellStyle name="Comma 3 15" xfId="255" xr:uid="{00000000-0005-0000-0000-0000FE000000}"/>
    <cellStyle name="Comma 3 15 2" xfId="256" xr:uid="{00000000-0005-0000-0000-0000FF000000}"/>
    <cellStyle name="Comma 3 16" xfId="257" xr:uid="{00000000-0005-0000-0000-000000010000}"/>
    <cellStyle name="Comma 3 16 2" xfId="258" xr:uid="{00000000-0005-0000-0000-000001010000}"/>
    <cellStyle name="Comma 3 17" xfId="259" xr:uid="{00000000-0005-0000-0000-000002010000}"/>
    <cellStyle name="Comma 3 17 2" xfId="260" xr:uid="{00000000-0005-0000-0000-000003010000}"/>
    <cellStyle name="Comma 3 18" xfId="261" xr:uid="{00000000-0005-0000-0000-000004010000}"/>
    <cellStyle name="Comma 3 18 2" xfId="262" xr:uid="{00000000-0005-0000-0000-000005010000}"/>
    <cellStyle name="Comma 3 19" xfId="263" xr:uid="{00000000-0005-0000-0000-000006010000}"/>
    <cellStyle name="Comma 3 19 2" xfId="264" xr:uid="{00000000-0005-0000-0000-000007010000}"/>
    <cellStyle name="Comma 3 2" xfId="265" xr:uid="{00000000-0005-0000-0000-000008010000}"/>
    <cellStyle name="Comma 3 2 2" xfId="266" xr:uid="{00000000-0005-0000-0000-000009010000}"/>
    <cellStyle name="Comma 3 20" xfId="267" xr:uid="{00000000-0005-0000-0000-00000A010000}"/>
    <cellStyle name="Comma 3 20 2" xfId="268" xr:uid="{00000000-0005-0000-0000-00000B010000}"/>
    <cellStyle name="Comma 3 21" xfId="269" xr:uid="{00000000-0005-0000-0000-00000C010000}"/>
    <cellStyle name="Comma 3 22" xfId="270" xr:uid="{00000000-0005-0000-0000-00000D010000}"/>
    <cellStyle name="Comma 3 3" xfId="271" xr:uid="{00000000-0005-0000-0000-00000E010000}"/>
    <cellStyle name="Comma 3 3 2" xfId="272" xr:uid="{00000000-0005-0000-0000-00000F010000}"/>
    <cellStyle name="Comma 3 4" xfId="273" xr:uid="{00000000-0005-0000-0000-000010010000}"/>
    <cellStyle name="Comma 3 4 2" xfId="274" xr:uid="{00000000-0005-0000-0000-000011010000}"/>
    <cellStyle name="Comma 3 5" xfId="275" xr:uid="{00000000-0005-0000-0000-000012010000}"/>
    <cellStyle name="Comma 3 5 2" xfId="276" xr:uid="{00000000-0005-0000-0000-000013010000}"/>
    <cellStyle name="Comma 3 6" xfId="277" xr:uid="{00000000-0005-0000-0000-000014010000}"/>
    <cellStyle name="Comma 3 6 2" xfId="278" xr:uid="{00000000-0005-0000-0000-000015010000}"/>
    <cellStyle name="Comma 3 7" xfId="279" xr:uid="{00000000-0005-0000-0000-000016010000}"/>
    <cellStyle name="Comma 3 7 2" xfId="280" xr:uid="{00000000-0005-0000-0000-000017010000}"/>
    <cellStyle name="Comma 3 8" xfId="281" xr:uid="{00000000-0005-0000-0000-000018010000}"/>
    <cellStyle name="Comma 3 8 2" xfId="282" xr:uid="{00000000-0005-0000-0000-000019010000}"/>
    <cellStyle name="Comma 3 9" xfId="283" xr:uid="{00000000-0005-0000-0000-00001A010000}"/>
    <cellStyle name="Comma 3 9 2" xfId="284" xr:uid="{00000000-0005-0000-0000-00001B010000}"/>
    <cellStyle name="Comma 4" xfId="285" xr:uid="{00000000-0005-0000-0000-00001C010000}"/>
    <cellStyle name="Comma 4 2" xfId="286" xr:uid="{00000000-0005-0000-0000-00001D010000}"/>
    <cellStyle name="Comma 4 3" xfId="287" xr:uid="{00000000-0005-0000-0000-00001E010000}"/>
    <cellStyle name="Comma 5" xfId="288" xr:uid="{00000000-0005-0000-0000-00001F010000}"/>
    <cellStyle name="Comma 5 10" xfId="289" xr:uid="{00000000-0005-0000-0000-000020010000}"/>
    <cellStyle name="Comma 5 10 2" xfId="290" xr:uid="{00000000-0005-0000-0000-000021010000}"/>
    <cellStyle name="Comma 5 11" xfId="291" xr:uid="{00000000-0005-0000-0000-000022010000}"/>
    <cellStyle name="Comma 5 11 2" xfId="292" xr:uid="{00000000-0005-0000-0000-000023010000}"/>
    <cellStyle name="Comma 5 12" xfId="293" xr:uid="{00000000-0005-0000-0000-000024010000}"/>
    <cellStyle name="Comma 5 12 2" xfId="294" xr:uid="{00000000-0005-0000-0000-000025010000}"/>
    <cellStyle name="Comma 5 13" xfId="295" xr:uid="{00000000-0005-0000-0000-000026010000}"/>
    <cellStyle name="Comma 5 13 2" xfId="296" xr:uid="{00000000-0005-0000-0000-000027010000}"/>
    <cellStyle name="Comma 5 14" xfId="297" xr:uid="{00000000-0005-0000-0000-000028010000}"/>
    <cellStyle name="Comma 5 14 2" xfId="298" xr:uid="{00000000-0005-0000-0000-000029010000}"/>
    <cellStyle name="Comma 5 15" xfId="299" xr:uid="{00000000-0005-0000-0000-00002A010000}"/>
    <cellStyle name="Comma 5 15 2" xfId="300" xr:uid="{00000000-0005-0000-0000-00002B010000}"/>
    <cellStyle name="Comma 5 16" xfId="301" xr:uid="{00000000-0005-0000-0000-00002C010000}"/>
    <cellStyle name="Comma 5 16 2" xfId="302" xr:uid="{00000000-0005-0000-0000-00002D010000}"/>
    <cellStyle name="Comma 5 17" xfId="303" xr:uid="{00000000-0005-0000-0000-00002E010000}"/>
    <cellStyle name="Comma 5 17 2" xfId="304" xr:uid="{00000000-0005-0000-0000-00002F010000}"/>
    <cellStyle name="Comma 5 18" xfId="305" xr:uid="{00000000-0005-0000-0000-000030010000}"/>
    <cellStyle name="Comma 5 18 2" xfId="306" xr:uid="{00000000-0005-0000-0000-000031010000}"/>
    <cellStyle name="Comma 5 19" xfId="307" xr:uid="{00000000-0005-0000-0000-000032010000}"/>
    <cellStyle name="Comma 5 19 2" xfId="308" xr:uid="{00000000-0005-0000-0000-000033010000}"/>
    <cellStyle name="Comma 5 2" xfId="309" xr:uid="{00000000-0005-0000-0000-000034010000}"/>
    <cellStyle name="Comma 5 2 2" xfId="310" xr:uid="{00000000-0005-0000-0000-000035010000}"/>
    <cellStyle name="Comma 5 20" xfId="311" xr:uid="{00000000-0005-0000-0000-000036010000}"/>
    <cellStyle name="Comma 5 20 2" xfId="312" xr:uid="{00000000-0005-0000-0000-000037010000}"/>
    <cellStyle name="Comma 5 21" xfId="313" xr:uid="{00000000-0005-0000-0000-000038010000}"/>
    <cellStyle name="Comma 5 22" xfId="314" xr:uid="{00000000-0005-0000-0000-000039010000}"/>
    <cellStyle name="Comma 5 3" xfId="315" xr:uid="{00000000-0005-0000-0000-00003A010000}"/>
    <cellStyle name="Comma 5 3 2" xfId="316" xr:uid="{00000000-0005-0000-0000-00003B010000}"/>
    <cellStyle name="Comma 5 4" xfId="317" xr:uid="{00000000-0005-0000-0000-00003C010000}"/>
    <cellStyle name="Comma 5 4 2" xfId="318" xr:uid="{00000000-0005-0000-0000-00003D010000}"/>
    <cellStyle name="Comma 5 5" xfId="319" xr:uid="{00000000-0005-0000-0000-00003E010000}"/>
    <cellStyle name="Comma 5 5 2" xfId="320" xr:uid="{00000000-0005-0000-0000-00003F010000}"/>
    <cellStyle name="Comma 5 6" xfId="321" xr:uid="{00000000-0005-0000-0000-000040010000}"/>
    <cellStyle name="Comma 5 6 2" xfId="322" xr:uid="{00000000-0005-0000-0000-000041010000}"/>
    <cellStyle name="Comma 5 7" xfId="323" xr:uid="{00000000-0005-0000-0000-000042010000}"/>
    <cellStyle name="Comma 5 7 2" xfId="324" xr:uid="{00000000-0005-0000-0000-000043010000}"/>
    <cellStyle name="Comma 5 8" xfId="325" xr:uid="{00000000-0005-0000-0000-000044010000}"/>
    <cellStyle name="Comma 5 8 2" xfId="326" xr:uid="{00000000-0005-0000-0000-000045010000}"/>
    <cellStyle name="Comma 5 9" xfId="327" xr:uid="{00000000-0005-0000-0000-000046010000}"/>
    <cellStyle name="Comma 5 9 2" xfId="328" xr:uid="{00000000-0005-0000-0000-000047010000}"/>
    <cellStyle name="Comma 6" xfId="329" xr:uid="{00000000-0005-0000-0000-000048010000}"/>
    <cellStyle name="Comma 6 10" xfId="330" xr:uid="{00000000-0005-0000-0000-000049010000}"/>
    <cellStyle name="Comma 6 10 2" xfId="331" xr:uid="{00000000-0005-0000-0000-00004A010000}"/>
    <cellStyle name="Comma 6 11" xfId="332" xr:uid="{00000000-0005-0000-0000-00004B010000}"/>
    <cellStyle name="Comma 6 11 2" xfId="333" xr:uid="{00000000-0005-0000-0000-00004C010000}"/>
    <cellStyle name="Comma 6 12" xfId="334" xr:uid="{00000000-0005-0000-0000-00004D010000}"/>
    <cellStyle name="Comma 6 12 2" xfId="335" xr:uid="{00000000-0005-0000-0000-00004E010000}"/>
    <cellStyle name="Comma 6 13" xfId="336" xr:uid="{00000000-0005-0000-0000-00004F010000}"/>
    <cellStyle name="Comma 6 13 2" xfId="337" xr:uid="{00000000-0005-0000-0000-000050010000}"/>
    <cellStyle name="Comma 6 14" xfId="338" xr:uid="{00000000-0005-0000-0000-000051010000}"/>
    <cellStyle name="Comma 6 14 2" xfId="339" xr:uid="{00000000-0005-0000-0000-000052010000}"/>
    <cellStyle name="Comma 6 15" xfId="340" xr:uid="{00000000-0005-0000-0000-000053010000}"/>
    <cellStyle name="Comma 6 15 2" xfId="341" xr:uid="{00000000-0005-0000-0000-000054010000}"/>
    <cellStyle name="Comma 6 16" xfId="342" xr:uid="{00000000-0005-0000-0000-000055010000}"/>
    <cellStyle name="Comma 6 16 2" xfId="343" xr:uid="{00000000-0005-0000-0000-000056010000}"/>
    <cellStyle name="Comma 6 17" xfId="344" xr:uid="{00000000-0005-0000-0000-000057010000}"/>
    <cellStyle name="Comma 6 17 2" xfId="345" xr:uid="{00000000-0005-0000-0000-000058010000}"/>
    <cellStyle name="Comma 6 18" xfId="346" xr:uid="{00000000-0005-0000-0000-000059010000}"/>
    <cellStyle name="Comma 6 18 2" xfId="347" xr:uid="{00000000-0005-0000-0000-00005A010000}"/>
    <cellStyle name="Comma 6 19" xfId="348" xr:uid="{00000000-0005-0000-0000-00005B010000}"/>
    <cellStyle name="Comma 6 19 2" xfId="349" xr:uid="{00000000-0005-0000-0000-00005C010000}"/>
    <cellStyle name="Comma 6 2" xfId="350" xr:uid="{00000000-0005-0000-0000-00005D010000}"/>
    <cellStyle name="Comma 6 2 2" xfId="351" xr:uid="{00000000-0005-0000-0000-00005E010000}"/>
    <cellStyle name="Comma 6 20" xfId="352" xr:uid="{00000000-0005-0000-0000-00005F010000}"/>
    <cellStyle name="Comma 6 21" xfId="353" xr:uid="{00000000-0005-0000-0000-000060010000}"/>
    <cellStyle name="Comma 6 22" xfId="354" xr:uid="{00000000-0005-0000-0000-000061010000}"/>
    <cellStyle name="Comma 6 3" xfId="355" xr:uid="{00000000-0005-0000-0000-000062010000}"/>
    <cellStyle name="Comma 6 3 2" xfId="356" xr:uid="{00000000-0005-0000-0000-000063010000}"/>
    <cellStyle name="Comma 6 4" xfId="357" xr:uid="{00000000-0005-0000-0000-000064010000}"/>
    <cellStyle name="Comma 6 4 2" xfId="358" xr:uid="{00000000-0005-0000-0000-000065010000}"/>
    <cellStyle name="Comma 6 5" xfId="359" xr:uid="{00000000-0005-0000-0000-000066010000}"/>
    <cellStyle name="Comma 6 5 2" xfId="360" xr:uid="{00000000-0005-0000-0000-000067010000}"/>
    <cellStyle name="Comma 6 6" xfId="361" xr:uid="{00000000-0005-0000-0000-000068010000}"/>
    <cellStyle name="Comma 6 6 2" xfId="362" xr:uid="{00000000-0005-0000-0000-000069010000}"/>
    <cellStyle name="Comma 6 7" xfId="363" xr:uid="{00000000-0005-0000-0000-00006A010000}"/>
    <cellStyle name="Comma 6 7 2" xfId="364" xr:uid="{00000000-0005-0000-0000-00006B010000}"/>
    <cellStyle name="Comma 6 8" xfId="365" xr:uid="{00000000-0005-0000-0000-00006C010000}"/>
    <cellStyle name="Comma 6 8 2" xfId="366" xr:uid="{00000000-0005-0000-0000-00006D010000}"/>
    <cellStyle name="Comma 6 9" xfId="367" xr:uid="{00000000-0005-0000-0000-00006E010000}"/>
    <cellStyle name="Comma 6 9 2" xfId="368" xr:uid="{00000000-0005-0000-0000-00006F010000}"/>
    <cellStyle name="Comma 7" xfId="369" xr:uid="{00000000-0005-0000-0000-000070010000}"/>
    <cellStyle name="Comma 7 10" xfId="370" xr:uid="{00000000-0005-0000-0000-000071010000}"/>
    <cellStyle name="Comma 7 10 2" xfId="371" xr:uid="{00000000-0005-0000-0000-000072010000}"/>
    <cellStyle name="Comma 7 11" xfId="372" xr:uid="{00000000-0005-0000-0000-000073010000}"/>
    <cellStyle name="Comma 7 11 2" xfId="373" xr:uid="{00000000-0005-0000-0000-000074010000}"/>
    <cellStyle name="Comma 7 12" xfId="374" xr:uid="{00000000-0005-0000-0000-000075010000}"/>
    <cellStyle name="Comma 7 12 2" xfId="375" xr:uid="{00000000-0005-0000-0000-000076010000}"/>
    <cellStyle name="Comma 7 13" xfId="376" xr:uid="{00000000-0005-0000-0000-000077010000}"/>
    <cellStyle name="Comma 7 13 2" xfId="377" xr:uid="{00000000-0005-0000-0000-000078010000}"/>
    <cellStyle name="Comma 7 14" xfId="378" xr:uid="{00000000-0005-0000-0000-000079010000}"/>
    <cellStyle name="Comma 7 14 2" xfId="379" xr:uid="{00000000-0005-0000-0000-00007A010000}"/>
    <cellStyle name="Comma 7 15" xfId="380" xr:uid="{00000000-0005-0000-0000-00007B010000}"/>
    <cellStyle name="Comma 7 15 2" xfId="381" xr:uid="{00000000-0005-0000-0000-00007C010000}"/>
    <cellStyle name="Comma 7 16" xfId="382" xr:uid="{00000000-0005-0000-0000-00007D010000}"/>
    <cellStyle name="Comma 7 16 2" xfId="383" xr:uid="{00000000-0005-0000-0000-00007E010000}"/>
    <cellStyle name="Comma 7 17" xfId="384" xr:uid="{00000000-0005-0000-0000-00007F010000}"/>
    <cellStyle name="Comma 7 17 2" xfId="385" xr:uid="{00000000-0005-0000-0000-000080010000}"/>
    <cellStyle name="Comma 7 18" xfId="386" xr:uid="{00000000-0005-0000-0000-000081010000}"/>
    <cellStyle name="Comma 7 18 2" xfId="387" xr:uid="{00000000-0005-0000-0000-000082010000}"/>
    <cellStyle name="Comma 7 19" xfId="388" xr:uid="{00000000-0005-0000-0000-000083010000}"/>
    <cellStyle name="Comma 7 19 2" xfId="389" xr:uid="{00000000-0005-0000-0000-000084010000}"/>
    <cellStyle name="Comma 7 2" xfId="390" xr:uid="{00000000-0005-0000-0000-000085010000}"/>
    <cellStyle name="Comma 7 2 2" xfId="391" xr:uid="{00000000-0005-0000-0000-000086010000}"/>
    <cellStyle name="Comma 7 20" xfId="392" xr:uid="{00000000-0005-0000-0000-000087010000}"/>
    <cellStyle name="Comma 7 3" xfId="393" xr:uid="{00000000-0005-0000-0000-000088010000}"/>
    <cellStyle name="Comma 7 3 2" xfId="394" xr:uid="{00000000-0005-0000-0000-000089010000}"/>
    <cellStyle name="Comma 7 4" xfId="395" xr:uid="{00000000-0005-0000-0000-00008A010000}"/>
    <cellStyle name="Comma 7 4 2" xfId="396" xr:uid="{00000000-0005-0000-0000-00008B010000}"/>
    <cellStyle name="Comma 7 5" xfId="397" xr:uid="{00000000-0005-0000-0000-00008C010000}"/>
    <cellStyle name="Comma 7 5 2" xfId="398" xr:uid="{00000000-0005-0000-0000-00008D010000}"/>
    <cellStyle name="Comma 7 6" xfId="399" xr:uid="{00000000-0005-0000-0000-00008E010000}"/>
    <cellStyle name="Comma 7 6 2" xfId="400" xr:uid="{00000000-0005-0000-0000-00008F010000}"/>
    <cellStyle name="Comma 7 7" xfId="401" xr:uid="{00000000-0005-0000-0000-000090010000}"/>
    <cellStyle name="Comma 7 7 2" xfId="402" xr:uid="{00000000-0005-0000-0000-000091010000}"/>
    <cellStyle name="Comma 7 8" xfId="403" xr:uid="{00000000-0005-0000-0000-000092010000}"/>
    <cellStyle name="Comma 7 8 2" xfId="404" xr:uid="{00000000-0005-0000-0000-000093010000}"/>
    <cellStyle name="Comma 7 9" xfId="405" xr:uid="{00000000-0005-0000-0000-000094010000}"/>
    <cellStyle name="Comma 7 9 2" xfId="406" xr:uid="{00000000-0005-0000-0000-000095010000}"/>
    <cellStyle name="Comma 8" xfId="407" xr:uid="{00000000-0005-0000-0000-000096010000}"/>
    <cellStyle name="Comma 8 10" xfId="408" xr:uid="{00000000-0005-0000-0000-000097010000}"/>
    <cellStyle name="Comma 8 10 2" xfId="409" xr:uid="{00000000-0005-0000-0000-000098010000}"/>
    <cellStyle name="Comma 8 11" xfId="410" xr:uid="{00000000-0005-0000-0000-000099010000}"/>
    <cellStyle name="Comma 8 11 2" xfId="411" xr:uid="{00000000-0005-0000-0000-00009A010000}"/>
    <cellStyle name="Comma 8 12" xfId="412" xr:uid="{00000000-0005-0000-0000-00009B010000}"/>
    <cellStyle name="Comma 8 12 2" xfId="413" xr:uid="{00000000-0005-0000-0000-00009C010000}"/>
    <cellStyle name="Comma 8 13" xfId="414" xr:uid="{00000000-0005-0000-0000-00009D010000}"/>
    <cellStyle name="Comma 8 13 2" xfId="415" xr:uid="{00000000-0005-0000-0000-00009E010000}"/>
    <cellStyle name="Comma 8 14" xfId="416" xr:uid="{00000000-0005-0000-0000-00009F010000}"/>
    <cellStyle name="Comma 8 14 2" xfId="417" xr:uid="{00000000-0005-0000-0000-0000A0010000}"/>
    <cellStyle name="Comma 8 15" xfId="418" xr:uid="{00000000-0005-0000-0000-0000A1010000}"/>
    <cellStyle name="Comma 8 15 2" xfId="419" xr:uid="{00000000-0005-0000-0000-0000A2010000}"/>
    <cellStyle name="Comma 8 16" xfId="420" xr:uid="{00000000-0005-0000-0000-0000A3010000}"/>
    <cellStyle name="Comma 8 16 2" xfId="421" xr:uid="{00000000-0005-0000-0000-0000A4010000}"/>
    <cellStyle name="Comma 8 17" xfId="422" xr:uid="{00000000-0005-0000-0000-0000A5010000}"/>
    <cellStyle name="Comma 8 17 2" xfId="423" xr:uid="{00000000-0005-0000-0000-0000A6010000}"/>
    <cellStyle name="Comma 8 18" xfId="424" xr:uid="{00000000-0005-0000-0000-0000A7010000}"/>
    <cellStyle name="Comma 8 18 2" xfId="425" xr:uid="{00000000-0005-0000-0000-0000A8010000}"/>
    <cellStyle name="Comma 8 19" xfId="426" xr:uid="{00000000-0005-0000-0000-0000A9010000}"/>
    <cellStyle name="Comma 8 19 2" xfId="427" xr:uid="{00000000-0005-0000-0000-0000AA010000}"/>
    <cellStyle name="Comma 8 2" xfId="428" xr:uid="{00000000-0005-0000-0000-0000AB010000}"/>
    <cellStyle name="Comma 8 2 2" xfId="429" xr:uid="{00000000-0005-0000-0000-0000AC010000}"/>
    <cellStyle name="Comma 8 20" xfId="430" xr:uid="{00000000-0005-0000-0000-0000AD010000}"/>
    <cellStyle name="Comma 8 3" xfId="431" xr:uid="{00000000-0005-0000-0000-0000AE010000}"/>
    <cellStyle name="Comma 8 3 2" xfId="432" xr:uid="{00000000-0005-0000-0000-0000AF010000}"/>
    <cellStyle name="Comma 8 4" xfId="433" xr:uid="{00000000-0005-0000-0000-0000B0010000}"/>
    <cellStyle name="Comma 8 4 2" xfId="434" xr:uid="{00000000-0005-0000-0000-0000B1010000}"/>
    <cellStyle name="Comma 8 5" xfId="435" xr:uid="{00000000-0005-0000-0000-0000B2010000}"/>
    <cellStyle name="Comma 8 5 2" xfId="436" xr:uid="{00000000-0005-0000-0000-0000B3010000}"/>
    <cellStyle name="Comma 8 6" xfId="437" xr:uid="{00000000-0005-0000-0000-0000B4010000}"/>
    <cellStyle name="Comma 8 6 2" xfId="438" xr:uid="{00000000-0005-0000-0000-0000B5010000}"/>
    <cellStyle name="Comma 8 7" xfId="439" xr:uid="{00000000-0005-0000-0000-0000B6010000}"/>
    <cellStyle name="Comma 8 7 2" xfId="440" xr:uid="{00000000-0005-0000-0000-0000B7010000}"/>
    <cellStyle name="Comma 8 8" xfId="441" xr:uid="{00000000-0005-0000-0000-0000B8010000}"/>
    <cellStyle name="Comma 8 8 2" xfId="442" xr:uid="{00000000-0005-0000-0000-0000B9010000}"/>
    <cellStyle name="Comma 8 9" xfId="443" xr:uid="{00000000-0005-0000-0000-0000BA010000}"/>
    <cellStyle name="Comma 8 9 2" xfId="444" xr:uid="{00000000-0005-0000-0000-0000BB010000}"/>
    <cellStyle name="Comma 9" xfId="445" xr:uid="{00000000-0005-0000-0000-0000BC010000}"/>
    <cellStyle name="Comma 9 10" xfId="446" xr:uid="{00000000-0005-0000-0000-0000BD010000}"/>
    <cellStyle name="Comma 9 10 2" xfId="447" xr:uid="{00000000-0005-0000-0000-0000BE010000}"/>
    <cellStyle name="Comma 9 11" xfId="448" xr:uid="{00000000-0005-0000-0000-0000BF010000}"/>
    <cellStyle name="Comma 9 11 2" xfId="449" xr:uid="{00000000-0005-0000-0000-0000C0010000}"/>
    <cellStyle name="Comma 9 12" xfId="450" xr:uid="{00000000-0005-0000-0000-0000C1010000}"/>
    <cellStyle name="Comma 9 12 2" xfId="451" xr:uid="{00000000-0005-0000-0000-0000C2010000}"/>
    <cellStyle name="Comma 9 13" xfId="452" xr:uid="{00000000-0005-0000-0000-0000C3010000}"/>
    <cellStyle name="Comma 9 13 2" xfId="453" xr:uid="{00000000-0005-0000-0000-0000C4010000}"/>
    <cellStyle name="Comma 9 14" xfId="454" xr:uid="{00000000-0005-0000-0000-0000C5010000}"/>
    <cellStyle name="Comma 9 14 2" xfId="455" xr:uid="{00000000-0005-0000-0000-0000C6010000}"/>
    <cellStyle name="Comma 9 15" xfId="456" xr:uid="{00000000-0005-0000-0000-0000C7010000}"/>
    <cellStyle name="Comma 9 15 2" xfId="457" xr:uid="{00000000-0005-0000-0000-0000C8010000}"/>
    <cellStyle name="Comma 9 16" xfId="458" xr:uid="{00000000-0005-0000-0000-0000C9010000}"/>
    <cellStyle name="Comma 9 16 2" xfId="459" xr:uid="{00000000-0005-0000-0000-0000CA010000}"/>
    <cellStyle name="Comma 9 17" xfId="460" xr:uid="{00000000-0005-0000-0000-0000CB010000}"/>
    <cellStyle name="Comma 9 17 2" xfId="461" xr:uid="{00000000-0005-0000-0000-0000CC010000}"/>
    <cellStyle name="Comma 9 18" xfId="462" xr:uid="{00000000-0005-0000-0000-0000CD010000}"/>
    <cellStyle name="Comma 9 18 2" xfId="463" xr:uid="{00000000-0005-0000-0000-0000CE010000}"/>
    <cellStyle name="Comma 9 19" xfId="464" xr:uid="{00000000-0005-0000-0000-0000CF010000}"/>
    <cellStyle name="Comma 9 19 2" xfId="465" xr:uid="{00000000-0005-0000-0000-0000D0010000}"/>
    <cellStyle name="Comma 9 2" xfId="466" xr:uid="{00000000-0005-0000-0000-0000D1010000}"/>
    <cellStyle name="Comma 9 2 2" xfId="467" xr:uid="{00000000-0005-0000-0000-0000D2010000}"/>
    <cellStyle name="Comma 9 20" xfId="468" xr:uid="{00000000-0005-0000-0000-0000D3010000}"/>
    <cellStyle name="Comma 9 3" xfId="469" xr:uid="{00000000-0005-0000-0000-0000D4010000}"/>
    <cellStyle name="Comma 9 3 2" xfId="470" xr:uid="{00000000-0005-0000-0000-0000D5010000}"/>
    <cellStyle name="Comma 9 4" xfId="471" xr:uid="{00000000-0005-0000-0000-0000D6010000}"/>
    <cellStyle name="Comma 9 4 2" xfId="472" xr:uid="{00000000-0005-0000-0000-0000D7010000}"/>
    <cellStyle name="Comma 9 5" xfId="473" xr:uid="{00000000-0005-0000-0000-0000D8010000}"/>
    <cellStyle name="Comma 9 5 2" xfId="474" xr:uid="{00000000-0005-0000-0000-0000D9010000}"/>
    <cellStyle name="Comma 9 6" xfId="475" xr:uid="{00000000-0005-0000-0000-0000DA010000}"/>
    <cellStyle name="Comma 9 6 2" xfId="476" xr:uid="{00000000-0005-0000-0000-0000DB010000}"/>
    <cellStyle name="Comma 9 7" xfId="477" xr:uid="{00000000-0005-0000-0000-0000DC010000}"/>
    <cellStyle name="Comma 9 7 2" xfId="478" xr:uid="{00000000-0005-0000-0000-0000DD010000}"/>
    <cellStyle name="Comma 9 8" xfId="479" xr:uid="{00000000-0005-0000-0000-0000DE010000}"/>
    <cellStyle name="Comma 9 8 2" xfId="480" xr:uid="{00000000-0005-0000-0000-0000DF010000}"/>
    <cellStyle name="Comma 9 9" xfId="481" xr:uid="{00000000-0005-0000-0000-0000E0010000}"/>
    <cellStyle name="Comma 9 9 2" xfId="482" xr:uid="{00000000-0005-0000-0000-0000E1010000}"/>
    <cellStyle name="Input 2" xfId="483" xr:uid="{00000000-0005-0000-0000-0000E2010000}"/>
    <cellStyle name="Input 2 2" xfId="484" xr:uid="{00000000-0005-0000-0000-0000E3010000}"/>
    <cellStyle name="Jun" xfId="485" xr:uid="{00000000-0005-0000-0000-0000E4010000}"/>
    <cellStyle name="Normal" xfId="0" builtinId="0"/>
    <cellStyle name="Normal 10" xfId="486" xr:uid="{00000000-0005-0000-0000-0000E6010000}"/>
    <cellStyle name="Normal 10 2" xfId="487" xr:uid="{00000000-0005-0000-0000-0000E7010000}"/>
    <cellStyle name="Normal 10 3" xfId="488" xr:uid="{00000000-0005-0000-0000-0000E8010000}"/>
    <cellStyle name="Normal 10 4" xfId="489" xr:uid="{00000000-0005-0000-0000-0000E9010000}"/>
    <cellStyle name="Normal 10 5" xfId="490" xr:uid="{00000000-0005-0000-0000-0000EA010000}"/>
    <cellStyle name="Normal 11" xfId="491" xr:uid="{00000000-0005-0000-0000-0000EB010000}"/>
    <cellStyle name="Normal 12" xfId="492" xr:uid="{00000000-0005-0000-0000-0000EC010000}"/>
    <cellStyle name="Normal 12 2" xfId="493" xr:uid="{00000000-0005-0000-0000-0000ED010000}"/>
    <cellStyle name="Normal 12 3" xfId="494" xr:uid="{00000000-0005-0000-0000-0000EE010000}"/>
    <cellStyle name="Normal 12 4" xfId="495" xr:uid="{00000000-0005-0000-0000-0000EF010000}"/>
    <cellStyle name="Normal 12 5" xfId="496" xr:uid="{00000000-0005-0000-0000-0000F0010000}"/>
    <cellStyle name="Normal 13" xfId="497" xr:uid="{00000000-0005-0000-0000-0000F1010000}"/>
    <cellStyle name="Normal 13 2" xfId="498" xr:uid="{00000000-0005-0000-0000-0000F2010000}"/>
    <cellStyle name="Normal 13 3" xfId="499" xr:uid="{00000000-0005-0000-0000-0000F3010000}"/>
    <cellStyle name="Normal 13 4" xfId="500" xr:uid="{00000000-0005-0000-0000-0000F4010000}"/>
    <cellStyle name="Normal 13 5" xfId="501" xr:uid="{00000000-0005-0000-0000-0000F5010000}"/>
    <cellStyle name="Normal 14" xfId="502" xr:uid="{00000000-0005-0000-0000-0000F6010000}"/>
    <cellStyle name="Normal 14 10" xfId="503" xr:uid="{00000000-0005-0000-0000-0000F7010000}"/>
    <cellStyle name="Normal 14 11" xfId="504" xr:uid="{00000000-0005-0000-0000-0000F8010000}"/>
    <cellStyle name="Normal 14 12" xfId="505" xr:uid="{00000000-0005-0000-0000-0000F9010000}"/>
    <cellStyle name="Normal 14 2" xfId="506" xr:uid="{00000000-0005-0000-0000-0000FA010000}"/>
    <cellStyle name="Normal 14 3" xfId="507" xr:uid="{00000000-0005-0000-0000-0000FB010000}"/>
    <cellStyle name="Normal 14 4" xfId="508" xr:uid="{00000000-0005-0000-0000-0000FC010000}"/>
    <cellStyle name="Normal 14 5" xfId="509" xr:uid="{00000000-0005-0000-0000-0000FD010000}"/>
    <cellStyle name="Normal 14 6" xfId="510" xr:uid="{00000000-0005-0000-0000-0000FE010000}"/>
    <cellStyle name="Normal 14 7" xfId="511" xr:uid="{00000000-0005-0000-0000-0000FF010000}"/>
    <cellStyle name="Normal 14 8" xfId="512" xr:uid="{00000000-0005-0000-0000-000000020000}"/>
    <cellStyle name="Normal 14 9" xfId="513" xr:uid="{00000000-0005-0000-0000-000001020000}"/>
    <cellStyle name="Normal 15" xfId="514" xr:uid="{00000000-0005-0000-0000-000002020000}"/>
    <cellStyle name="Normal 15 2" xfId="515" xr:uid="{00000000-0005-0000-0000-000003020000}"/>
    <cellStyle name="Normal 16" xfId="516" xr:uid="{00000000-0005-0000-0000-000004020000}"/>
    <cellStyle name="Normal 17" xfId="517" xr:uid="{00000000-0005-0000-0000-000005020000}"/>
    <cellStyle name="Normal 17 2" xfId="518" xr:uid="{00000000-0005-0000-0000-000006020000}"/>
    <cellStyle name="Normal 17 2 2" xfId="519" xr:uid="{00000000-0005-0000-0000-000007020000}"/>
    <cellStyle name="Normal 17 3" xfId="520" xr:uid="{00000000-0005-0000-0000-000008020000}"/>
    <cellStyle name="Normal 17 3 2" xfId="521" xr:uid="{00000000-0005-0000-0000-000009020000}"/>
    <cellStyle name="Normal 17 4" xfId="522" xr:uid="{00000000-0005-0000-0000-00000A020000}"/>
    <cellStyle name="Normal 17 4 2" xfId="523" xr:uid="{00000000-0005-0000-0000-00000B020000}"/>
    <cellStyle name="Normal 17 5" xfId="524" xr:uid="{00000000-0005-0000-0000-00000C020000}"/>
    <cellStyle name="Normal 17 5 2" xfId="525" xr:uid="{00000000-0005-0000-0000-00000D020000}"/>
    <cellStyle name="Normal 17 6" xfId="526" xr:uid="{00000000-0005-0000-0000-00000E020000}"/>
    <cellStyle name="Normal 18" xfId="527" xr:uid="{00000000-0005-0000-0000-00000F020000}"/>
    <cellStyle name="Normal 19" xfId="528" xr:uid="{00000000-0005-0000-0000-000010020000}"/>
    <cellStyle name="Normal 2" xfId="529" xr:uid="{00000000-0005-0000-0000-000011020000}"/>
    <cellStyle name="Normal 2 10" xfId="530" xr:uid="{00000000-0005-0000-0000-000012020000}"/>
    <cellStyle name="Normal 2 11" xfId="531" xr:uid="{00000000-0005-0000-0000-000013020000}"/>
    <cellStyle name="Normal 2 12" xfId="532" xr:uid="{00000000-0005-0000-0000-000014020000}"/>
    <cellStyle name="Normal 2 13" xfId="533" xr:uid="{00000000-0005-0000-0000-000015020000}"/>
    <cellStyle name="Normal 2 14" xfId="534" xr:uid="{00000000-0005-0000-0000-000016020000}"/>
    <cellStyle name="Normal 2 15" xfId="535" xr:uid="{00000000-0005-0000-0000-000017020000}"/>
    <cellStyle name="Normal 2 16" xfId="536" xr:uid="{00000000-0005-0000-0000-000018020000}"/>
    <cellStyle name="Normal 2 17" xfId="537" xr:uid="{00000000-0005-0000-0000-000019020000}"/>
    <cellStyle name="Normal 2 18" xfId="538" xr:uid="{00000000-0005-0000-0000-00001A020000}"/>
    <cellStyle name="Normal 2 19" xfId="539" xr:uid="{00000000-0005-0000-0000-00001B020000}"/>
    <cellStyle name="Normal 2 2" xfId="540" xr:uid="{00000000-0005-0000-0000-00001C020000}"/>
    <cellStyle name="Normal 2 20" xfId="541" xr:uid="{00000000-0005-0000-0000-00001D020000}"/>
    <cellStyle name="Normal 2 21" xfId="542" xr:uid="{00000000-0005-0000-0000-00001E020000}"/>
    <cellStyle name="Normal 2 3" xfId="543" xr:uid="{00000000-0005-0000-0000-00001F020000}"/>
    <cellStyle name="Normal 2 4" xfId="544" xr:uid="{00000000-0005-0000-0000-000020020000}"/>
    <cellStyle name="Normal 2 5" xfId="545" xr:uid="{00000000-0005-0000-0000-000021020000}"/>
    <cellStyle name="Normal 2 6" xfId="546" xr:uid="{00000000-0005-0000-0000-000022020000}"/>
    <cellStyle name="Normal 2 7" xfId="547" xr:uid="{00000000-0005-0000-0000-000023020000}"/>
    <cellStyle name="Normal 2 8" xfId="548" xr:uid="{00000000-0005-0000-0000-000024020000}"/>
    <cellStyle name="Normal 2 9" xfId="549" xr:uid="{00000000-0005-0000-0000-000025020000}"/>
    <cellStyle name="Normal 2_deposits mobilized" xfId="550" xr:uid="{00000000-0005-0000-0000-000026020000}"/>
    <cellStyle name="Normal 20" xfId="551" xr:uid="{00000000-0005-0000-0000-000027020000}"/>
    <cellStyle name="Normal 21" xfId="552" xr:uid="{00000000-0005-0000-0000-000028020000}"/>
    <cellStyle name="Normal 21 10" xfId="553" xr:uid="{00000000-0005-0000-0000-000029020000}"/>
    <cellStyle name="Normal 21 11" xfId="554" xr:uid="{00000000-0005-0000-0000-00002A020000}"/>
    <cellStyle name="Normal 21 12" xfId="555" xr:uid="{00000000-0005-0000-0000-00002B020000}"/>
    <cellStyle name="Normal 21 13" xfId="556" xr:uid="{00000000-0005-0000-0000-00002C020000}"/>
    <cellStyle name="Normal 21 14" xfId="557" xr:uid="{00000000-0005-0000-0000-00002D020000}"/>
    <cellStyle name="Normal 21 15" xfId="558" xr:uid="{00000000-0005-0000-0000-00002E020000}"/>
    <cellStyle name="Normal 21 16" xfId="559" xr:uid="{00000000-0005-0000-0000-00002F020000}"/>
    <cellStyle name="Normal 21 2" xfId="560" xr:uid="{00000000-0005-0000-0000-000030020000}"/>
    <cellStyle name="Normal 21 3" xfId="561" xr:uid="{00000000-0005-0000-0000-000031020000}"/>
    <cellStyle name="Normal 21 4" xfId="562" xr:uid="{00000000-0005-0000-0000-000032020000}"/>
    <cellStyle name="Normal 21 5" xfId="563" xr:uid="{00000000-0005-0000-0000-000033020000}"/>
    <cellStyle name="Normal 21 6" xfId="564" xr:uid="{00000000-0005-0000-0000-000034020000}"/>
    <cellStyle name="Normal 21 7" xfId="565" xr:uid="{00000000-0005-0000-0000-000035020000}"/>
    <cellStyle name="Normal 21 8" xfId="566" xr:uid="{00000000-0005-0000-0000-000036020000}"/>
    <cellStyle name="Normal 21 9" xfId="567" xr:uid="{00000000-0005-0000-0000-000037020000}"/>
    <cellStyle name="Normal 22" xfId="568" xr:uid="{00000000-0005-0000-0000-000038020000}"/>
    <cellStyle name="Normal 23" xfId="569" xr:uid="{00000000-0005-0000-0000-000039020000}"/>
    <cellStyle name="Normal 24" xfId="570" xr:uid="{00000000-0005-0000-0000-00003A020000}"/>
    <cellStyle name="Normal 25" xfId="571" xr:uid="{00000000-0005-0000-0000-00003B020000}"/>
    <cellStyle name="Normal 26" xfId="572" xr:uid="{00000000-0005-0000-0000-00003C020000}"/>
    <cellStyle name="Normal 27" xfId="573" xr:uid="{00000000-0005-0000-0000-00003D020000}"/>
    <cellStyle name="Normal 28" xfId="574" xr:uid="{00000000-0005-0000-0000-00003E020000}"/>
    <cellStyle name="Normal 29" xfId="575" xr:uid="{00000000-0005-0000-0000-00003F020000}"/>
    <cellStyle name="Normal 3" xfId="576" xr:uid="{00000000-0005-0000-0000-000040020000}"/>
    <cellStyle name="Normal 3 10" xfId="577" xr:uid="{00000000-0005-0000-0000-000041020000}"/>
    <cellStyle name="Normal 3 11" xfId="578" xr:uid="{00000000-0005-0000-0000-000042020000}"/>
    <cellStyle name="Normal 3 12" xfId="579" xr:uid="{00000000-0005-0000-0000-000043020000}"/>
    <cellStyle name="Normal 3 13" xfId="580" xr:uid="{00000000-0005-0000-0000-000044020000}"/>
    <cellStyle name="Normal 3 14" xfId="581" xr:uid="{00000000-0005-0000-0000-000045020000}"/>
    <cellStyle name="Normal 3 15" xfId="582" xr:uid="{00000000-0005-0000-0000-000046020000}"/>
    <cellStyle name="Normal 3 16" xfId="583" xr:uid="{00000000-0005-0000-0000-000047020000}"/>
    <cellStyle name="Normal 3 17" xfId="584" xr:uid="{00000000-0005-0000-0000-000048020000}"/>
    <cellStyle name="Normal 3 18" xfId="585" xr:uid="{00000000-0005-0000-0000-000049020000}"/>
    <cellStyle name="Normal 3 19" xfId="586" xr:uid="{00000000-0005-0000-0000-00004A020000}"/>
    <cellStyle name="Normal 3 2" xfId="587" xr:uid="{00000000-0005-0000-0000-00004B020000}"/>
    <cellStyle name="Normal 3 20" xfId="588" xr:uid="{00000000-0005-0000-0000-00004C020000}"/>
    <cellStyle name="Normal 3 21" xfId="589" xr:uid="{00000000-0005-0000-0000-00004D020000}"/>
    <cellStyle name="Normal 3 22" xfId="590" xr:uid="{00000000-0005-0000-0000-00004E020000}"/>
    <cellStyle name="Normal 3 23" xfId="591" xr:uid="{00000000-0005-0000-0000-00004F020000}"/>
    <cellStyle name="Normal 3 24" xfId="592" xr:uid="{00000000-0005-0000-0000-000050020000}"/>
    <cellStyle name="Normal 3 25" xfId="593" xr:uid="{00000000-0005-0000-0000-000051020000}"/>
    <cellStyle name="Normal 3 26" xfId="594" xr:uid="{00000000-0005-0000-0000-000052020000}"/>
    <cellStyle name="Normal 3 27" xfId="595" xr:uid="{00000000-0005-0000-0000-000053020000}"/>
    <cellStyle name="Normal 3 28" xfId="596" xr:uid="{00000000-0005-0000-0000-000054020000}"/>
    <cellStyle name="Normal 3 29" xfId="597" xr:uid="{00000000-0005-0000-0000-000055020000}"/>
    <cellStyle name="Normal 3 3" xfId="598" xr:uid="{00000000-0005-0000-0000-000056020000}"/>
    <cellStyle name="Normal 3 30" xfId="599" xr:uid="{00000000-0005-0000-0000-000057020000}"/>
    <cellStyle name="Normal 3 4" xfId="600" xr:uid="{00000000-0005-0000-0000-000058020000}"/>
    <cellStyle name="Normal 3 5" xfId="601" xr:uid="{00000000-0005-0000-0000-000059020000}"/>
    <cellStyle name="Normal 3 6" xfId="602" xr:uid="{00000000-0005-0000-0000-00005A020000}"/>
    <cellStyle name="Normal 3 7" xfId="603" xr:uid="{00000000-0005-0000-0000-00005B020000}"/>
    <cellStyle name="Normal 3 8" xfId="604" xr:uid="{00000000-0005-0000-0000-00005C020000}"/>
    <cellStyle name="Normal 3 9" xfId="605" xr:uid="{00000000-0005-0000-0000-00005D020000}"/>
    <cellStyle name="Normal 3_deposits mobilized" xfId="606" xr:uid="{00000000-0005-0000-0000-00005E020000}"/>
    <cellStyle name="Normal 30" xfId="607" xr:uid="{00000000-0005-0000-0000-00005F020000}"/>
    <cellStyle name="Normal 4" xfId="608" xr:uid="{00000000-0005-0000-0000-000060020000}"/>
    <cellStyle name="Normal 4 10" xfId="609" xr:uid="{00000000-0005-0000-0000-000061020000}"/>
    <cellStyle name="Normal 4 11" xfId="610" xr:uid="{00000000-0005-0000-0000-000062020000}"/>
    <cellStyle name="Normal 4 12" xfId="611" xr:uid="{00000000-0005-0000-0000-000063020000}"/>
    <cellStyle name="Normal 4 13" xfId="612" xr:uid="{00000000-0005-0000-0000-000064020000}"/>
    <cellStyle name="Normal 4 14" xfId="613" xr:uid="{00000000-0005-0000-0000-000065020000}"/>
    <cellStyle name="Normal 4 15" xfId="614" xr:uid="{00000000-0005-0000-0000-000066020000}"/>
    <cellStyle name="Normal 4 16" xfId="615" xr:uid="{00000000-0005-0000-0000-000067020000}"/>
    <cellStyle name="Normal 4 17" xfId="616" xr:uid="{00000000-0005-0000-0000-000068020000}"/>
    <cellStyle name="Normal 4 18" xfId="617" xr:uid="{00000000-0005-0000-0000-000069020000}"/>
    <cellStyle name="Normal 4 19" xfId="618" xr:uid="{00000000-0005-0000-0000-00006A020000}"/>
    <cellStyle name="Normal 4 2" xfId="619" xr:uid="{00000000-0005-0000-0000-00006B020000}"/>
    <cellStyle name="Normal 4 20" xfId="620" xr:uid="{00000000-0005-0000-0000-00006C020000}"/>
    <cellStyle name="Normal 4 21" xfId="621" xr:uid="{00000000-0005-0000-0000-00006D020000}"/>
    <cellStyle name="Normal 4 22" xfId="622" xr:uid="{00000000-0005-0000-0000-00006E020000}"/>
    <cellStyle name="Normal 4 23" xfId="623" xr:uid="{00000000-0005-0000-0000-00006F020000}"/>
    <cellStyle name="Normal 4 24" xfId="624" xr:uid="{00000000-0005-0000-0000-000070020000}"/>
    <cellStyle name="Normal 4 25" xfId="625" xr:uid="{00000000-0005-0000-0000-000071020000}"/>
    <cellStyle name="Normal 4 26" xfId="626" xr:uid="{00000000-0005-0000-0000-000072020000}"/>
    <cellStyle name="Normal 4 27" xfId="627" xr:uid="{00000000-0005-0000-0000-000073020000}"/>
    <cellStyle name="Normal 4 28" xfId="628" xr:uid="{00000000-0005-0000-0000-000074020000}"/>
    <cellStyle name="Normal 4 29" xfId="629" xr:uid="{00000000-0005-0000-0000-000075020000}"/>
    <cellStyle name="Normal 4 3" xfId="630" xr:uid="{00000000-0005-0000-0000-000076020000}"/>
    <cellStyle name="Normal 4 30" xfId="631" xr:uid="{00000000-0005-0000-0000-000077020000}"/>
    <cellStyle name="Normal 4 4" xfId="632" xr:uid="{00000000-0005-0000-0000-000078020000}"/>
    <cellStyle name="Normal 4 5" xfId="633" xr:uid="{00000000-0005-0000-0000-000079020000}"/>
    <cellStyle name="Normal 4 6" xfId="634" xr:uid="{00000000-0005-0000-0000-00007A020000}"/>
    <cellStyle name="Normal 4 7" xfId="635" xr:uid="{00000000-0005-0000-0000-00007B020000}"/>
    <cellStyle name="Normal 4 8" xfId="636" xr:uid="{00000000-0005-0000-0000-00007C020000}"/>
    <cellStyle name="Normal 4 9" xfId="637" xr:uid="{00000000-0005-0000-0000-00007D020000}"/>
    <cellStyle name="Normal 5" xfId="638" xr:uid="{00000000-0005-0000-0000-00007E020000}"/>
    <cellStyle name="Normal 5 10" xfId="639" xr:uid="{00000000-0005-0000-0000-00007F020000}"/>
    <cellStyle name="Normal 5 11" xfId="640" xr:uid="{00000000-0005-0000-0000-000080020000}"/>
    <cellStyle name="Normal 5 12" xfId="641" xr:uid="{00000000-0005-0000-0000-000081020000}"/>
    <cellStyle name="Normal 5 13" xfId="642" xr:uid="{00000000-0005-0000-0000-000082020000}"/>
    <cellStyle name="Normal 5 14" xfId="643" xr:uid="{00000000-0005-0000-0000-000083020000}"/>
    <cellStyle name="Normal 5 15" xfId="644" xr:uid="{00000000-0005-0000-0000-000084020000}"/>
    <cellStyle name="Normal 5 2" xfId="645" xr:uid="{00000000-0005-0000-0000-000085020000}"/>
    <cellStyle name="Normal 5 3" xfId="646" xr:uid="{00000000-0005-0000-0000-000086020000}"/>
    <cellStyle name="Normal 5 4" xfId="647" xr:uid="{00000000-0005-0000-0000-000087020000}"/>
    <cellStyle name="Normal 5 5" xfId="648" xr:uid="{00000000-0005-0000-0000-000088020000}"/>
    <cellStyle name="Normal 5 6" xfId="649" xr:uid="{00000000-0005-0000-0000-000089020000}"/>
    <cellStyle name="Normal 5 7" xfId="650" xr:uid="{00000000-0005-0000-0000-00008A020000}"/>
    <cellStyle name="Normal 5 8" xfId="651" xr:uid="{00000000-0005-0000-0000-00008B020000}"/>
    <cellStyle name="Normal 5 9" xfId="652" xr:uid="{00000000-0005-0000-0000-00008C020000}"/>
    <cellStyle name="Normal 6" xfId="653" xr:uid="{00000000-0005-0000-0000-00008D020000}"/>
    <cellStyle name="Normal 6 2" xfId="654" xr:uid="{00000000-0005-0000-0000-00008E020000}"/>
    <cellStyle name="Normal 6 3" xfId="655" xr:uid="{00000000-0005-0000-0000-00008F020000}"/>
    <cellStyle name="Normal 6 4" xfId="656" xr:uid="{00000000-0005-0000-0000-000090020000}"/>
    <cellStyle name="Normal 6 5" xfId="657" xr:uid="{00000000-0005-0000-0000-000091020000}"/>
    <cellStyle name="Normal 7" xfId="658" xr:uid="{00000000-0005-0000-0000-000092020000}"/>
    <cellStyle name="Normal 7 2" xfId="659" xr:uid="{00000000-0005-0000-0000-000093020000}"/>
    <cellStyle name="Normal 7 3" xfId="660" xr:uid="{00000000-0005-0000-0000-000094020000}"/>
    <cellStyle name="Normal 7 4" xfId="661" xr:uid="{00000000-0005-0000-0000-000095020000}"/>
    <cellStyle name="Normal 7 5" xfId="662" xr:uid="{00000000-0005-0000-0000-000096020000}"/>
    <cellStyle name="Normal 8" xfId="663" xr:uid="{00000000-0005-0000-0000-000097020000}"/>
    <cellStyle name="Normal 9" xfId="664" xr:uid="{00000000-0005-0000-0000-000098020000}"/>
    <cellStyle name="Normal 9 10" xfId="665" xr:uid="{00000000-0005-0000-0000-000099020000}"/>
    <cellStyle name="Normal 9 10 2" xfId="666" xr:uid="{00000000-0005-0000-0000-00009A020000}"/>
    <cellStyle name="Normal 9 11" xfId="667" xr:uid="{00000000-0005-0000-0000-00009B020000}"/>
    <cellStyle name="Normal 9 11 2" xfId="668" xr:uid="{00000000-0005-0000-0000-00009C020000}"/>
    <cellStyle name="Normal 9 12" xfId="669" xr:uid="{00000000-0005-0000-0000-00009D020000}"/>
    <cellStyle name="Normal 9 12 2" xfId="670" xr:uid="{00000000-0005-0000-0000-00009E020000}"/>
    <cellStyle name="Normal 9 13" xfId="671" xr:uid="{00000000-0005-0000-0000-00009F020000}"/>
    <cellStyle name="Normal 9 14" xfId="672" xr:uid="{00000000-0005-0000-0000-0000A0020000}"/>
    <cellStyle name="Normal 9 15" xfId="673" xr:uid="{00000000-0005-0000-0000-0000A1020000}"/>
    <cellStyle name="Normal 9 2" xfId="674" xr:uid="{00000000-0005-0000-0000-0000A2020000}"/>
    <cellStyle name="Normal 9 2 2" xfId="675" xr:uid="{00000000-0005-0000-0000-0000A3020000}"/>
    <cellStyle name="Normal 9 2 2 2" xfId="676" xr:uid="{00000000-0005-0000-0000-0000A4020000}"/>
    <cellStyle name="Normal 9 2 3" xfId="677" xr:uid="{00000000-0005-0000-0000-0000A5020000}"/>
    <cellStyle name="Normal 9 2 3 2" xfId="678" xr:uid="{00000000-0005-0000-0000-0000A6020000}"/>
    <cellStyle name="Normal 9 2 4" xfId="679" xr:uid="{00000000-0005-0000-0000-0000A7020000}"/>
    <cellStyle name="Normal 9 2 4 2" xfId="680" xr:uid="{00000000-0005-0000-0000-0000A8020000}"/>
    <cellStyle name="Normal 9 3" xfId="681" xr:uid="{00000000-0005-0000-0000-0000A9020000}"/>
    <cellStyle name="Normal 9 3 2" xfId="682" xr:uid="{00000000-0005-0000-0000-0000AA020000}"/>
    <cellStyle name="Normal 9 4" xfId="683" xr:uid="{00000000-0005-0000-0000-0000AB020000}"/>
    <cellStyle name="Normal 9 4 2" xfId="684" xr:uid="{00000000-0005-0000-0000-0000AC020000}"/>
    <cellStyle name="Normal 9 5" xfId="685" xr:uid="{00000000-0005-0000-0000-0000AD020000}"/>
    <cellStyle name="Normal 9 5 2" xfId="686" xr:uid="{00000000-0005-0000-0000-0000AE020000}"/>
    <cellStyle name="Normal 9 6" xfId="687" xr:uid="{00000000-0005-0000-0000-0000AF020000}"/>
    <cellStyle name="Normal 9 6 2" xfId="688" xr:uid="{00000000-0005-0000-0000-0000B0020000}"/>
    <cellStyle name="Normal 9 7" xfId="689" xr:uid="{00000000-0005-0000-0000-0000B1020000}"/>
    <cellStyle name="Normal 9 7 2" xfId="690" xr:uid="{00000000-0005-0000-0000-0000B2020000}"/>
    <cellStyle name="Normal 9 8" xfId="691" xr:uid="{00000000-0005-0000-0000-0000B3020000}"/>
    <cellStyle name="Normal 9 8 2" xfId="692" xr:uid="{00000000-0005-0000-0000-0000B4020000}"/>
    <cellStyle name="Normal 9 9" xfId="693" xr:uid="{00000000-0005-0000-0000-0000B5020000}"/>
    <cellStyle name="Normal 9 9 2" xfId="694" xr:uid="{00000000-0005-0000-0000-0000B6020000}"/>
    <cellStyle name="Note 2" xfId="695" xr:uid="{00000000-0005-0000-0000-0000B7020000}"/>
    <cellStyle name="Note 2 2" xfId="696" xr:uid="{00000000-0005-0000-0000-0000B8020000}"/>
    <cellStyle name="Percent" xfId="697" builtinId="5"/>
    <cellStyle name="Percent 2" xfId="698" xr:uid="{00000000-0005-0000-0000-0000BA020000}"/>
    <cellStyle name="Percent 2 2" xfId="699" xr:uid="{00000000-0005-0000-0000-0000BB020000}"/>
    <cellStyle name="Percent 3" xfId="700" xr:uid="{00000000-0005-0000-0000-0000BC020000}"/>
    <cellStyle name="Percent 3 2" xfId="701" xr:uid="{00000000-0005-0000-0000-0000BD020000}"/>
    <cellStyle name="Percent 3 3" xfId="702" xr:uid="{00000000-0005-0000-0000-0000BE020000}"/>
    <cellStyle name="Percent 3 4" xfId="703" xr:uid="{00000000-0005-0000-0000-0000BF020000}"/>
    <cellStyle name="Percent 4" xfId="704" xr:uid="{00000000-0005-0000-0000-0000C0020000}"/>
    <cellStyle name="Percent 5" xfId="705" xr:uid="{00000000-0005-0000-0000-0000C1020000}"/>
    <cellStyle name="Percent 5 2" xfId="706" xr:uid="{00000000-0005-0000-0000-0000C2020000}"/>
    <cellStyle name="Percent 6" xfId="707" xr:uid="{00000000-0005-0000-0000-0000C3020000}"/>
    <cellStyle name="Total 2" xfId="708" xr:uid="{00000000-0005-0000-0000-0000C4020000}"/>
    <cellStyle name="Total 2 2" xfId="709" xr:uid="{00000000-0005-0000-0000-0000C5020000}"/>
    <cellStyle name="Total 2 2 2" xfId="710" xr:uid="{00000000-0005-0000-0000-0000C6020000}"/>
    <cellStyle name="Total 2 3" xfId="711" xr:uid="{00000000-0005-0000-0000-0000C7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5"/>
  <sheetViews>
    <sheetView workbookViewId="0">
      <pane xSplit="2" ySplit="3" topLeftCell="AD4" activePane="bottomRight" state="frozen"/>
      <selection pane="bottomRight" activeCell="BF5" sqref="BF5"/>
      <selection pane="bottomLeft" activeCell="A4" sqref="A4"/>
      <selection pane="topRight" activeCell="C1" sqref="C1"/>
    </sheetView>
  </sheetViews>
  <sheetFormatPr defaultColWidth="9.140625" defaultRowHeight="12.75"/>
  <cols>
    <col min="1" max="1" width="5" style="31" bestFit="1" customWidth="1"/>
    <col min="2" max="2" width="46" style="31" bestFit="1" customWidth="1"/>
    <col min="3" max="3" width="14.85546875" style="31" hidden="1" customWidth="1"/>
    <col min="4" max="4" width="13.140625" style="31" hidden="1" customWidth="1"/>
    <col min="5" max="13" width="12.7109375" style="31" hidden="1" customWidth="1"/>
    <col min="14" max="14" width="18.140625" style="31" hidden="1" customWidth="1"/>
    <col min="15" max="15" width="15.140625" style="31" hidden="1" customWidth="1"/>
    <col min="16" max="16" width="14.28515625" style="31" hidden="1" customWidth="1"/>
    <col min="17" max="19" width="13.140625" style="31" hidden="1" customWidth="1"/>
    <col min="20" max="23" width="12" style="31" hidden="1" customWidth="1"/>
    <col min="24" max="24" width="10.7109375" style="31" hidden="1" customWidth="1"/>
    <col min="25" max="25" width="12" style="31" hidden="1" customWidth="1"/>
    <col min="26" max="29" width="13.140625" style="31" hidden="1" customWidth="1"/>
    <col min="30" max="30" width="13.140625" style="31" bestFit="1" customWidth="1"/>
    <col min="31" max="42" width="0" style="31" hidden="1" customWidth="1"/>
    <col min="43" max="43" width="14.28515625" style="31" bestFit="1" customWidth="1"/>
    <col min="44" max="45" width="13.7109375" style="31" hidden="1" customWidth="1"/>
    <col min="46" max="46" width="13.7109375" style="31" bestFit="1" customWidth="1"/>
    <col min="47" max="48" width="13.7109375" style="31" hidden="1" customWidth="1"/>
    <col min="49" max="49" width="13.7109375" style="31" bestFit="1" customWidth="1"/>
    <col min="50" max="50" width="13.140625" style="31" hidden="1" customWidth="1"/>
    <col min="51" max="51" width="13.5703125" style="31" hidden="1" customWidth="1"/>
    <col min="52" max="52" width="13.5703125" style="31" bestFit="1" customWidth="1"/>
    <col min="53" max="54" width="13.5703125" style="31" hidden="1" customWidth="1"/>
    <col min="55" max="55" width="13.5703125" style="31" bestFit="1" customWidth="1"/>
    <col min="56" max="56" width="14.85546875" style="31" customWidth="1"/>
    <col min="57" max="16384" width="9.140625" style="31"/>
  </cols>
  <sheetData>
    <row r="1" spans="1:59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</row>
    <row r="2" spans="1:59">
      <c r="A2" s="213"/>
      <c r="B2" s="214" t="s">
        <v>0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</row>
    <row r="3" spans="1:59" ht="15">
      <c r="A3" s="215"/>
      <c r="B3" s="216" t="s">
        <v>1</v>
      </c>
      <c r="C3" s="80" t="s">
        <v>2</v>
      </c>
      <c r="D3" s="81" t="s">
        <v>3</v>
      </c>
      <c r="E3" s="81">
        <v>43466</v>
      </c>
      <c r="F3" s="81">
        <v>43497</v>
      </c>
      <c r="G3" s="81">
        <v>43525</v>
      </c>
      <c r="H3" s="81">
        <v>43556</v>
      </c>
      <c r="I3" s="81">
        <v>43586</v>
      </c>
      <c r="J3" s="81">
        <v>43617</v>
      </c>
      <c r="K3" s="81">
        <v>43647</v>
      </c>
      <c r="L3" s="81">
        <v>43678</v>
      </c>
      <c r="M3" s="81">
        <v>43709</v>
      </c>
      <c r="N3" s="81">
        <v>43739</v>
      </c>
      <c r="O3" s="81">
        <v>43770</v>
      </c>
      <c r="P3" s="81">
        <v>43800</v>
      </c>
      <c r="Q3" s="81" t="s">
        <v>4</v>
      </c>
      <c r="R3" s="81">
        <v>43831</v>
      </c>
      <c r="S3" s="81">
        <v>43862</v>
      </c>
      <c r="T3" s="81">
        <v>43891</v>
      </c>
      <c r="U3" s="81">
        <v>43922</v>
      </c>
      <c r="V3" s="81">
        <v>43952</v>
      </c>
      <c r="W3" s="81">
        <v>43983</v>
      </c>
      <c r="X3" s="81">
        <v>44013</v>
      </c>
      <c r="Y3" s="81">
        <v>44044</v>
      </c>
      <c r="Z3" s="81">
        <v>44075</v>
      </c>
      <c r="AA3" s="81">
        <v>44105</v>
      </c>
      <c r="AB3" s="81">
        <v>44136</v>
      </c>
      <c r="AC3" s="81">
        <v>44166</v>
      </c>
      <c r="AD3" s="81" t="s">
        <v>5</v>
      </c>
      <c r="AE3" s="81">
        <v>44197</v>
      </c>
      <c r="AF3" s="81">
        <v>44228</v>
      </c>
      <c r="AG3" s="81">
        <v>44256</v>
      </c>
      <c r="AH3" s="81">
        <v>44287</v>
      </c>
      <c r="AI3" s="81">
        <v>44317</v>
      </c>
      <c r="AJ3" s="81">
        <v>44348</v>
      </c>
      <c r="AK3" s="81">
        <v>44378</v>
      </c>
      <c r="AL3" s="81">
        <v>44409</v>
      </c>
      <c r="AM3" s="81">
        <v>44440</v>
      </c>
      <c r="AN3" s="81">
        <v>44470</v>
      </c>
      <c r="AO3" s="81">
        <v>44501</v>
      </c>
      <c r="AP3" s="81">
        <v>44531</v>
      </c>
      <c r="AQ3" s="81" t="s">
        <v>6</v>
      </c>
      <c r="AR3" s="81">
        <v>44562</v>
      </c>
      <c r="AS3" s="81">
        <v>44593</v>
      </c>
      <c r="AT3" s="81">
        <v>44621</v>
      </c>
      <c r="AU3" s="81">
        <v>44652</v>
      </c>
      <c r="AV3" s="81">
        <v>44682</v>
      </c>
      <c r="AW3" s="81">
        <v>44713</v>
      </c>
      <c r="AX3" s="81">
        <v>44743</v>
      </c>
      <c r="AY3" s="81">
        <v>44774</v>
      </c>
      <c r="AZ3" s="81">
        <v>44805</v>
      </c>
      <c r="BA3" s="81">
        <v>44835</v>
      </c>
      <c r="BB3" s="81">
        <v>44866</v>
      </c>
      <c r="BC3" s="81">
        <v>44896</v>
      </c>
      <c r="BD3" s="81" t="s">
        <v>7</v>
      </c>
      <c r="BE3" s="212"/>
      <c r="BF3" s="212"/>
      <c r="BG3" s="212"/>
    </row>
    <row r="4" spans="1:59">
      <c r="A4" s="217">
        <v>1</v>
      </c>
      <c r="B4" s="218" t="s">
        <v>8</v>
      </c>
      <c r="C4" s="219"/>
      <c r="D4" s="220"/>
      <c r="E4" s="220"/>
      <c r="F4" s="220"/>
      <c r="G4" s="220"/>
      <c r="H4" s="220"/>
      <c r="I4" s="220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397">
        <v>32447</v>
      </c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397">
        <v>33724</v>
      </c>
      <c r="BE4" s="212"/>
      <c r="BF4" s="212"/>
      <c r="BG4" s="212"/>
    </row>
    <row r="5" spans="1:59">
      <c r="A5" s="221">
        <v>2</v>
      </c>
      <c r="B5" s="222" t="s">
        <v>9</v>
      </c>
      <c r="C5" s="83">
        <f>SFP!U27</f>
        <v>8106353615</v>
      </c>
      <c r="D5" s="90">
        <f>SFP!V27</f>
        <v>8715310718</v>
      </c>
      <c r="E5" s="90">
        <f>SFP!W27</f>
        <v>8960270626</v>
      </c>
      <c r="F5" s="90">
        <f>SFP!X27</f>
        <v>8958482401</v>
      </c>
      <c r="G5" s="90">
        <f>SFP!Y27</f>
        <v>9048315222</v>
      </c>
      <c r="H5" s="90">
        <f>SFP!Z27</f>
        <v>8549803719</v>
      </c>
      <c r="I5" s="90">
        <f>SFP!AA27</f>
        <v>8553114064</v>
      </c>
      <c r="J5" s="90">
        <f>SFP!AB27</f>
        <v>8706983540</v>
      </c>
      <c r="K5" s="90">
        <f>SFP!AC27</f>
        <v>8797511157</v>
      </c>
      <c r="L5" s="90">
        <f>SFP!AD27</f>
        <v>9052000792</v>
      </c>
      <c r="M5" s="90">
        <f>SFP!AE27</f>
        <v>9167357277</v>
      </c>
      <c r="N5" s="90">
        <f>SFP!AF27</f>
        <v>9326105301</v>
      </c>
      <c r="O5" s="90">
        <f>SFP!AG27</f>
        <v>9160953768.9500008</v>
      </c>
      <c r="P5" s="90">
        <f>SFP!AH27</f>
        <v>9369626551</v>
      </c>
      <c r="Q5" s="90">
        <f>SFP!AI27</f>
        <v>9484832591</v>
      </c>
      <c r="R5" s="90">
        <f>SFP!AJ27</f>
        <v>9646643367</v>
      </c>
      <c r="S5" s="90">
        <f>SFP!AK27</f>
        <v>9730683423</v>
      </c>
      <c r="T5" s="90">
        <f>SFP!AL27</f>
        <v>9542932219</v>
      </c>
      <c r="U5" s="90">
        <f>SFP!AM27</f>
        <v>9619919514</v>
      </c>
      <c r="V5" s="90">
        <f>SFP!AN27</f>
        <v>9580075141.5</v>
      </c>
      <c r="W5" s="90">
        <f>SFP!AO27</f>
        <v>9689311006</v>
      </c>
      <c r="X5" s="90">
        <f>SFP!AP27</f>
        <v>0</v>
      </c>
      <c r="Y5" s="90">
        <f>SFP!AQ27</f>
        <v>9980306124</v>
      </c>
      <c r="Z5" s="90">
        <f>SFP!AR27</f>
        <v>10052241398</v>
      </c>
      <c r="AA5" s="90">
        <f>SFP!AS27</f>
        <v>10245579617</v>
      </c>
      <c r="AB5" s="90">
        <f>SFP!AT27</f>
        <v>10472913400</v>
      </c>
      <c r="AC5" s="90">
        <f>SFP!AU27</f>
        <v>10576303931</v>
      </c>
      <c r="AD5" s="90">
        <f>SFP!AV27</f>
        <v>10478130</v>
      </c>
      <c r="AE5" s="90">
        <f>SFP!AW27</f>
        <v>10470090526</v>
      </c>
      <c r="AF5" s="90">
        <f>SFP!AX27</f>
        <v>10293856423</v>
      </c>
      <c r="AG5" s="90">
        <f>SFP!AY27</f>
        <v>10144676279</v>
      </c>
      <c r="AH5" s="90">
        <f>SFP!AZ27</f>
        <v>10226973169</v>
      </c>
      <c r="AI5" s="90">
        <f>SFP!BA27</f>
        <v>10311228534</v>
      </c>
      <c r="AJ5" s="90">
        <f>SFP!BB27</f>
        <v>10569365021</v>
      </c>
      <c r="AK5" s="90">
        <f>SFP!BC27</f>
        <v>10953152991</v>
      </c>
      <c r="AL5" s="90">
        <f>SFP!BD27</f>
        <v>10929271219</v>
      </c>
      <c r="AM5" s="90">
        <f>SFP!BE27</f>
        <v>11053223241</v>
      </c>
      <c r="AN5" s="90">
        <f>SFP!BF27</f>
        <v>11169914026</v>
      </c>
      <c r="AO5" s="90">
        <f>SFP!BG27</f>
        <v>11394649214</v>
      </c>
      <c r="AP5" s="90">
        <f>SFP!BH27</f>
        <v>11690659107</v>
      </c>
      <c r="AQ5" s="90">
        <f>SFP!BI27</f>
        <v>11690659105.768642</v>
      </c>
      <c r="AR5" s="90">
        <f>SFP!BJ27</f>
        <v>11818135664</v>
      </c>
      <c r="AS5" s="90">
        <f>SFP!BK27</f>
        <v>11606972435</v>
      </c>
      <c r="AT5" s="90">
        <f>SFP!BL27</f>
        <v>11618406725</v>
      </c>
      <c r="AU5" s="90">
        <f>SFP!BM27</f>
        <v>11626795764</v>
      </c>
      <c r="AV5" s="90">
        <f>SFP!BN27</f>
        <v>11669577232</v>
      </c>
      <c r="AW5" s="90">
        <f>SFP!BO27</f>
        <v>11817464595</v>
      </c>
      <c r="AX5" s="90">
        <f>SFP!BP27</f>
        <v>12046853238</v>
      </c>
      <c r="AY5" s="90">
        <f>SFP!BQ27</f>
        <v>12073618396</v>
      </c>
      <c r="AZ5" s="90">
        <f>SFP!BR27</f>
        <v>12247837428</v>
      </c>
      <c r="BA5" s="90">
        <f>SFP!BS27</f>
        <v>12385705188</v>
      </c>
      <c r="BB5" s="90">
        <f>SFP!BT27</f>
        <v>12617464290</v>
      </c>
      <c r="BC5" s="90">
        <f>SFP!BU27</f>
        <v>12882187701</v>
      </c>
      <c r="BD5" s="90">
        <f>SFP!BV27</f>
        <v>12958024000</v>
      </c>
      <c r="BE5" s="212"/>
      <c r="BF5" s="212"/>
      <c r="BG5" s="212"/>
    </row>
    <row r="6" spans="1:59">
      <c r="A6" s="221">
        <v>3</v>
      </c>
      <c r="B6" s="222" t="s">
        <v>10</v>
      </c>
      <c r="C6" s="83">
        <f>SFP!U32</f>
        <v>4484295483</v>
      </c>
      <c r="D6" s="90">
        <f>SFP!V32</f>
        <v>4962987100</v>
      </c>
      <c r="E6" s="90">
        <f>SFP!W32</f>
        <v>4979841046</v>
      </c>
      <c r="F6" s="90">
        <f>SFP!X32</f>
        <v>5035187526</v>
      </c>
      <c r="G6" s="90">
        <f>SFP!Y32</f>
        <v>5144194841</v>
      </c>
      <c r="H6" s="90">
        <f>SFP!Z32</f>
        <v>5165409133</v>
      </c>
      <c r="I6" s="90">
        <f>SFP!AA32</f>
        <v>5144139209</v>
      </c>
      <c r="J6" s="90">
        <f>SFP!AB32</f>
        <v>5173463255</v>
      </c>
      <c r="K6" s="90">
        <f>SFP!AC32</f>
        <v>5179686945</v>
      </c>
      <c r="L6" s="90">
        <f>SFP!AD32</f>
        <v>5293737747</v>
      </c>
      <c r="M6" s="90">
        <f>SFP!AE32</f>
        <v>5381052331</v>
      </c>
      <c r="N6" s="90">
        <f>SFP!AF32</f>
        <v>5428644133</v>
      </c>
      <c r="O6" s="90">
        <f>SFP!AG32</f>
        <v>5180786101</v>
      </c>
      <c r="P6" s="90">
        <f>SFP!AH32</f>
        <v>5329529382</v>
      </c>
      <c r="Q6" s="90">
        <f>SFP!AI32</f>
        <v>5329529382</v>
      </c>
      <c r="R6" s="90">
        <f>SFP!AJ32</f>
        <v>5369727627</v>
      </c>
      <c r="S6" s="90">
        <f>SFP!AK32</f>
        <v>5359440404</v>
      </c>
      <c r="T6" s="90">
        <f>SFP!AL32</f>
        <v>5730096553</v>
      </c>
      <c r="U6" s="90">
        <f>SFP!AM32</f>
        <v>5721239336</v>
      </c>
      <c r="V6" s="90">
        <f>SFP!AN32</f>
        <v>5599874223</v>
      </c>
      <c r="W6" s="90">
        <f>SFP!AO32</f>
        <v>5660164755</v>
      </c>
      <c r="X6" s="90">
        <f>SFP!AP32</f>
        <v>0</v>
      </c>
      <c r="Y6" s="90">
        <f>SFP!AQ32</f>
        <v>5802305669</v>
      </c>
      <c r="Z6" s="90">
        <f>SFP!AR32</f>
        <v>5885931833</v>
      </c>
      <c r="AA6" s="90">
        <f>SFP!AS32</f>
        <v>5905890130</v>
      </c>
      <c r="AB6" s="90">
        <f>SFP!AT32</f>
        <v>5947945222</v>
      </c>
      <c r="AC6" s="90">
        <f>SFP!AU32</f>
        <v>5987418090</v>
      </c>
      <c r="AD6" s="90">
        <f>SFP!AV32</f>
        <v>5987418</v>
      </c>
      <c r="AE6" s="90">
        <f>SFP!AW32</f>
        <v>5919652022</v>
      </c>
      <c r="AF6" s="90">
        <f>SFP!AX32</f>
        <v>6317375841</v>
      </c>
      <c r="AG6" s="90">
        <f>SFP!AY32</f>
        <v>6046130126</v>
      </c>
      <c r="AH6" s="90">
        <f>SFP!AZ32</f>
        <v>6014882627</v>
      </c>
      <c r="AI6" s="90">
        <f>SFP!BA32</f>
        <v>5995083906</v>
      </c>
      <c r="AJ6" s="90">
        <f>SFP!BB32</f>
        <v>6108909193</v>
      </c>
      <c r="AK6" s="90">
        <f>SFP!BC32</f>
        <v>6376173895</v>
      </c>
      <c r="AL6" s="90">
        <f>SFP!BD32</f>
        <v>6316943488</v>
      </c>
      <c r="AM6" s="90">
        <f>SFP!BE32</f>
        <v>6334509142</v>
      </c>
      <c r="AN6" s="90">
        <f>SFP!BF32</f>
        <v>6343408294</v>
      </c>
      <c r="AO6" s="90">
        <f>SFP!BG32</f>
        <v>6433573643</v>
      </c>
      <c r="AP6" s="90">
        <f>SFP!BH32</f>
        <v>6448131536</v>
      </c>
      <c r="AQ6" s="90">
        <f>SFP!BI32</f>
        <v>6448131536</v>
      </c>
      <c r="AR6" s="90">
        <f>SFP!BJ32</f>
        <v>6401864672</v>
      </c>
      <c r="AS6" s="90">
        <f>SFP!BK32</f>
        <v>6872138559</v>
      </c>
      <c r="AT6" s="90">
        <f>SFP!BL32</f>
        <v>6784358818</v>
      </c>
      <c r="AU6" s="90">
        <f>SFP!BM32</f>
        <v>6707806977</v>
      </c>
      <c r="AV6" s="90">
        <f>SFP!BN32</f>
        <v>6705984081</v>
      </c>
      <c r="AW6" s="90">
        <f>SFP!BO32</f>
        <v>6732261948</v>
      </c>
      <c r="AX6" s="90">
        <f>SFP!BP32</f>
        <v>6823269360</v>
      </c>
      <c r="AY6" s="90">
        <f>SFP!BQ32</f>
        <v>6820671305</v>
      </c>
      <c r="AZ6" s="90">
        <f>SFP!BR32</f>
        <v>6851755911</v>
      </c>
      <c r="BA6" s="90">
        <f>SFP!BS32</f>
        <v>6880940332</v>
      </c>
      <c r="BB6" s="90">
        <f>SFP!BT32</f>
        <v>6972472734</v>
      </c>
      <c r="BC6" s="90">
        <f>SFP!BU32</f>
        <v>7044648508</v>
      </c>
      <c r="BD6" s="90">
        <f>SFP!BV32</f>
        <v>7044649000</v>
      </c>
      <c r="BE6" s="212"/>
      <c r="BF6" s="212"/>
      <c r="BG6" s="212"/>
    </row>
    <row r="7" spans="1:59">
      <c r="A7" s="221">
        <v>3.1</v>
      </c>
      <c r="B7" s="223" t="s">
        <v>11</v>
      </c>
      <c r="C7" s="83">
        <f>SFP!U31</f>
        <v>4085665384</v>
      </c>
      <c r="D7" s="90">
        <f>SFP!V31</f>
        <v>4454006657</v>
      </c>
      <c r="E7" s="90">
        <f>SFP!W31</f>
        <v>4412161292</v>
      </c>
      <c r="F7" s="90">
        <f>SFP!X31</f>
        <v>4456600587</v>
      </c>
      <c r="G7" s="90">
        <f>SFP!Y31</f>
        <v>4489078500</v>
      </c>
      <c r="H7" s="90">
        <f>SFP!Z31</f>
        <v>4535050198</v>
      </c>
      <c r="I7" s="90">
        <f>SFP!AA31</f>
        <v>4556535041</v>
      </c>
      <c r="J7" s="90">
        <f>SFP!AB31</f>
        <v>4602930363</v>
      </c>
      <c r="K7" s="90">
        <f>SFP!AC31</f>
        <v>4623389706</v>
      </c>
      <c r="L7" s="90">
        <f>SFP!AD31</f>
        <v>4586505949</v>
      </c>
      <c r="M7" s="90">
        <f>SFP!AE31</f>
        <v>4623512337</v>
      </c>
      <c r="N7" s="90">
        <f>SFP!AF31</f>
        <v>4670409980</v>
      </c>
      <c r="O7" s="90">
        <f>SFP!AG31</f>
        <v>4670299015</v>
      </c>
      <c r="P7" s="90">
        <f>SFP!AH31</f>
        <v>4718751110</v>
      </c>
      <c r="Q7" s="90">
        <f>SFP!AI31</f>
        <v>4718751110</v>
      </c>
      <c r="R7" s="90">
        <f>SFP!AJ31</f>
        <v>4661067125</v>
      </c>
      <c r="S7" s="90">
        <f>SFP!AK31</f>
        <v>4685056569</v>
      </c>
      <c r="T7" s="90">
        <f>SFP!AL31</f>
        <v>4731042974</v>
      </c>
      <c r="U7" s="90">
        <f>SFP!AM31</f>
        <v>4789569089</v>
      </c>
      <c r="V7" s="90">
        <f>SFP!AN31</f>
        <v>4839195666</v>
      </c>
      <c r="W7" s="90">
        <f>SFP!AO31</f>
        <v>4879367128</v>
      </c>
      <c r="X7" s="90">
        <f>SFP!AP31</f>
        <v>0</v>
      </c>
      <c r="Y7" s="90">
        <f>SFP!AQ31</f>
        <v>4939565750</v>
      </c>
      <c r="Z7" s="90">
        <f>SFP!AR31</f>
        <v>4972198718</v>
      </c>
      <c r="AA7" s="90">
        <f>SFP!AS31</f>
        <v>5012032513</v>
      </c>
      <c r="AB7" s="90">
        <f>SFP!AT31</f>
        <v>5047530654</v>
      </c>
      <c r="AC7" s="90">
        <f>SFP!AU31</f>
        <v>5051756877</v>
      </c>
      <c r="AD7" s="90">
        <f>SFP!AV31</f>
        <v>5051756</v>
      </c>
      <c r="AE7" s="90">
        <f>SFP!AW31</f>
        <v>5090529263</v>
      </c>
      <c r="AF7" s="90">
        <f>SFP!AX31</f>
        <v>5048320510</v>
      </c>
      <c r="AG7" s="90">
        <f>SFP!AY31</f>
        <v>5085588035</v>
      </c>
      <c r="AH7" s="90">
        <f>SFP!AZ31</f>
        <v>5111680118</v>
      </c>
      <c r="AI7" s="90">
        <f>SFP!BA31</f>
        <v>5155398544</v>
      </c>
      <c r="AJ7" s="90">
        <f>SFP!BB31</f>
        <v>5204538093</v>
      </c>
      <c r="AK7" s="90">
        <f>SFP!BC31</f>
        <v>5225184760</v>
      </c>
      <c r="AL7" s="90">
        <f>SFP!BD31</f>
        <v>5254730048</v>
      </c>
      <c r="AM7" s="90">
        <f>SFP!BE31</f>
        <v>5308695746</v>
      </c>
      <c r="AN7" s="90">
        <f>SFP!BF31</f>
        <v>5360122380</v>
      </c>
      <c r="AO7" s="90">
        <f>SFP!BG31</f>
        <v>5415306577</v>
      </c>
      <c r="AP7" s="90">
        <f>SFP!BH31</f>
        <v>5444572137</v>
      </c>
      <c r="AQ7" s="90">
        <f>SFP!BI31</f>
        <v>5444572137</v>
      </c>
      <c r="AR7" s="90">
        <f>SFP!BJ31</f>
        <v>5407733539</v>
      </c>
      <c r="AS7" s="90">
        <f>SFP!BK31</f>
        <v>5466555851</v>
      </c>
      <c r="AT7" s="90">
        <f>SFP!BL31</f>
        <v>5517370386</v>
      </c>
      <c r="AU7" s="90">
        <f>SFP!BM31</f>
        <v>5565337341</v>
      </c>
      <c r="AV7" s="90">
        <f>SFP!BN31</f>
        <v>5628109010</v>
      </c>
      <c r="AW7" s="90">
        <f>SFP!BO31</f>
        <v>5663861868</v>
      </c>
      <c r="AX7" s="90">
        <f>SFP!BP31</f>
        <v>5699668347</v>
      </c>
      <c r="AY7" s="90">
        <f>SFP!BQ31</f>
        <v>5742741145</v>
      </c>
      <c r="AZ7" s="90">
        <f>SFP!BR31</f>
        <v>5798774560</v>
      </c>
      <c r="BA7" s="90">
        <f>SFP!BS31</f>
        <v>5862798650</v>
      </c>
      <c r="BB7" s="90">
        <f>SFP!BT31</f>
        <v>5917566869</v>
      </c>
      <c r="BC7" s="90">
        <f>SFP!BU31</f>
        <v>5967689614</v>
      </c>
      <c r="BD7" s="90">
        <f>SFP!BV31</f>
        <v>5967690000</v>
      </c>
      <c r="BE7" s="212"/>
      <c r="BF7" s="212"/>
      <c r="BG7" s="212"/>
    </row>
    <row r="8" spans="1:59">
      <c r="A8" s="221">
        <v>3.2</v>
      </c>
      <c r="B8" s="223" t="s">
        <v>12</v>
      </c>
      <c r="C8" s="83">
        <f>SFP!U29</f>
        <v>272121207</v>
      </c>
      <c r="D8" s="90">
        <f>SFP!V29</f>
        <v>358299491</v>
      </c>
      <c r="E8" s="90">
        <f>SFP!W29</f>
        <v>420539519</v>
      </c>
      <c r="F8" s="90">
        <f>SFP!X29</f>
        <v>436535669</v>
      </c>
      <c r="G8" s="90">
        <f>SFP!Y29</f>
        <v>491265589</v>
      </c>
      <c r="H8" s="90">
        <f>SFP!Z29</f>
        <v>461506696</v>
      </c>
      <c r="I8" s="90">
        <f>SFP!AA29</f>
        <v>421211633</v>
      </c>
      <c r="J8" s="90">
        <f>SFP!AB29</f>
        <v>408643393</v>
      </c>
      <c r="K8" s="90">
        <f>SFP!AC29</f>
        <v>394100806</v>
      </c>
      <c r="L8" s="90">
        <f>SFP!AD29</f>
        <v>549096046</v>
      </c>
      <c r="M8" s="90">
        <f>SFP!AE29</f>
        <v>605230464</v>
      </c>
      <c r="N8" s="90">
        <f>SFP!AF29</f>
        <v>606930650</v>
      </c>
      <c r="O8" s="90">
        <f>SFP!AG29</f>
        <v>373155183</v>
      </c>
      <c r="P8" s="90">
        <f>SFP!AH29</f>
        <v>479423926</v>
      </c>
      <c r="Q8" s="90">
        <f>SFP!AI29</f>
        <v>479423926</v>
      </c>
      <c r="R8" s="90">
        <f>SFP!AJ29</f>
        <v>581806290</v>
      </c>
      <c r="S8" s="90">
        <f>SFP!AK29</f>
        <v>543775832</v>
      </c>
      <c r="T8" s="90">
        <f>SFP!AL29</f>
        <v>865829357</v>
      </c>
      <c r="U8" s="90">
        <f>SFP!AM29</f>
        <v>794599641</v>
      </c>
      <c r="V8" s="90">
        <f>SFP!AN29</f>
        <v>624454504</v>
      </c>
      <c r="W8" s="90">
        <f>SFP!AO29</f>
        <v>634894039</v>
      </c>
      <c r="X8" s="90">
        <f>SFP!AP29</f>
        <v>0</v>
      </c>
      <c r="Y8" s="90">
        <f>SFP!AQ29</f>
        <v>711768547</v>
      </c>
      <c r="Z8" s="90">
        <f>SFP!AR29</f>
        <v>760488230</v>
      </c>
      <c r="AA8" s="90">
        <f>SFP!AS29</f>
        <v>736244281</v>
      </c>
      <c r="AB8" s="90">
        <f>SFP!AT29</f>
        <v>739120872</v>
      </c>
      <c r="AC8" s="90">
        <f>SFP!AU29</f>
        <v>788925324</v>
      </c>
      <c r="AD8" s="90">
        <f>SFP!AV29</f>
        <v>788925</v>
      </c>
      <c r="AE8" s="90">
        <f>SFP!AW29</f>
        <v>690233341</v>
      </c>
      <c r="AF8" s="90">
        <f>SFP!AX29</f>
        <v>1122776019</v>
      </c>
      <c r="AG8" s="90">
        <f>SFP!AY29</f>
        <v>820457445</v>
      </c>
      <c r="AH8" s="90">
        <f>SFP!AZ29</f>
        <v>766083550</v>
      </c>
      <c r="AI8" s="90">
        <f>SFP!BA29</f>
        <v>701979787</v>
      </c>
      <c r="AJ8" s="90">
        <f>SFP!BB29</f>
        <v>764644248</v>
      </c>
      <c r="AK8" s="90">
        <f>SFP!BC29</f>
        <v>979433173</v>
      </c>
      <c r="AL8" s="90">
        <f>SFP!BD29</f>
        <v>888376284</v>
      </c>
      <c r="AM8" s="90">
        <f>SFP!BE29</f>
        <v>853007493</v>
      </c>
      <c r="AN8" s="90">
        <f>SFP!BF29</f>
        <v>810987981</v>
      </c>
      <c r="AO8" s="90">
        <f>SFP!BG29</f>
        <v>843035567</v>
      </c>
      <c r="AP8" s="90">
        <f>SFP!BH29</f>
        <v>839236589</v>
      </c>
      <c r="AQ8" s="90">
        <f>SFP!BI29</f>
        <v>839236589</v>
      </c>
      <c r="AR8" s="90">
        <f>SFP!BJ29</f>
        <v>843041059</v>
      </c>
      <c r="AS8" s="90">
        <f>SFP!BK29</f>
        <v>1257139856</v>
      </c>
      <c r="AT8" s="90">
        <f>SFP!BL29</f>
        <v>1112122326</v>
      </c>
      <c r="AU8" s="90">
        <f>SFP!BM29</f>
        <v>983861183</v>
      </c>
      <c r="AV8" s="90">
        <f>SFP!BN29</f>
        <v>915067611</v>
      </c>
      <c r="AW8" s="90">
        <f>SFP!BO29</f>
        <v>898385198</v>
      </c>
      <c r="AX8" s="90">
        <f>SFP!BP29</f>
        <v>954382871</v>
      </c>
      <c r="AY8" s="90">
        <f>SFP!BQ29</f>
        <v>915322466</v>
      </c>
      <c r="AZ8" s="90">
        <f>SFP!BR29</f>
        <v>889638483</v>
      </c>
      <c r="BA8" s="90">
        <f>SFP!BS29</f>
        <v>853181762</v>
      </c>
      <c r="BB8" s="90">
        <f>SFP!BT29</f>
        <v>922876820</v>
      </c>
      <c r="BC8" s="90">
        <f>SFP!BU29</f>
        <v>913891059</v>
      </c>
      <c r="BD8" s="90">
        <f>SFP!BV29</f>
        <v>913891000</v>
      </c>
      <c r="BE8" s="212"/>
      <c r="BF8" s="212"/>
      <c r="BG8" s="212"/>
    </row>
    <row r="9" spans="1:59">
      <c r="A9" s="221">
        <v>4</v>
      </c>
      <c r="B9" s="222" t="s">
        <v>13</v>
      </c>
      <c r="C9" s="84">
        <f>SFP!U39</f>
        <v>375000000</v>
      </c>
      <c r="D9" s="91">
        <f>SFP!V39</f>
        <v>275000000</v>
      </c>
      <c r="E9" s="91">
        <f>SFP!W39</f>
        <v>266666667</v>
      </c>
      <c r="F9" s="91">
        <f>SFP!X39</f>
        <v>200265525</v>
      </c>
      <c r="G9" s="91">
        <f>SFP!Y39</f>
        <v>95392958</v>
      </c>
      <c r="H9" s="91">
        <f>SFP!Z39</f>
        <v>91941390</v>
      </c>
      <c r="I9" s="91">
        <f>SFP!AA39</f>
        <v>0</v>
      </c>
      <c r="J9" s="91">
        <f>SFP!AB39</f>
        <v>0</v>
      </c>
      <c r="K9" s="91">
        <f>SFP!AC39</f>
        <v>0</v>
      </c>
      <c r="L9" s="91">
        <f>SFP!AD39</f>
        <v>0</v>
      </c>
      <c r="M9" s="91">
        <f>SFP!AE39</f>
        <v>0</v>
      </c>
      <c r="N9" s="91">
        <f>SFP!AF39</f>
        <v>0</v>
      </c>
      <c r="O9" s="91">
        <f>SFP!AG39</f>
        <v>0</v>
      </c>
      <c r="P9" s="91">
        <f>SFP!AH39</f>
        <v>0</v>
      </c>
      <c r="Q9" s="91">
        <f>SFP!AI39</f>
        <v>0</v>
      </c>
      <c r="R9" s="91">
        <f>SFP!AJ39</f>
        <v>0</v>
      </c>
      <c r="S9" s="91">
        <f>SFP!AK39</f>
        <v>0</v>
      </c>
      <c r="T9" s="91">
        <f>SFP!AL39</f>
        <v>0</v>
      </c>
      <c r="U9" s="91">
        <f>SFP!AM39</f>
        <v>0</v>
      </c>
      <c r="V9" s="91">
        <f>SFP!AN39</f>
        <v>0</v>
      </c>
      <c r="W9" s="91">
        <f>SFP!AO39</f>
        <v>0</v>
      </c>
      <c r="X9" s="91">
        <f>SFP!AP39</f>
        <v>0</v>
      </c>
      <c r="Y9" s="91">
        <f>SFP!AQ39</f>
        <v>0</v>
      </c>
      <c r="Z9" s="91">
        <f>SFP!AR39</f>
        <v>0</v>
      </c>
      <c r="AA9" s="91">
        <f>SFP!AS39</f>
        <v>0</v>
      </c>
      <c r="AB9" s="91">
        <f>SFP!AT39</f>
        <v>0</v>
      </c>
      <c r="AC9" s="91">
        <f>SFP!AU39</f>
        <v>0</v>
      </c>
      <c r="AD9" s="91">
        <f>SFP!AV39</f>
        <v>0</v>
      </c>
      <c r="AE9" s="91">
        <f>SFP!AW39</f>
        <v>0</v>
      </c>
      <c r="AF9" s="91">
        <f>SFP!AX39</f>
        <v>0</v>
      </c>
      <c r="AG9" s="91">
        <f>SFP!AY39</f>
        <v>0</v>
      </c>
      <c r="AH9" s="91">
        <f>SFP!AZ39</f>
        <v>0</v>
      </c>
      <c r="AI9" s="91">
        <f>SFP!BA39</f>
        <v>0</v>
      </c>
      <c r="AJ9" s="91">
        <f>SFP!BB39</f>
        <v>0</v>
      </c>
      <c r="AK9" s="91">
        <f>SFP!BC39</f>
        <v>0</v>
      </c>
      <c r="AL9" s="91">
        <f>SFP!BD39</f>
        <v>0</v>
      </c>
      <c r="AM9" s="91">
        <f>SFP!BE39</f>
        <v>0</v>
      </c>
      <c r="AN9" s="91">
        <f>SFP!BF39</f>
        <v>0</v>
      </c>
      <c r="AO9" s="91">
        <f>SFP!BG39</f>
        <v>0</v>
      </c>
      <c r="AP9" s="91">
        <f>SFP!BH39</f>
        <v>0</v>
      </c>
      <c r="AQ9" s="91">
        <f>SFP!BI39</f>
        <v>0</v>
      </c>
      <c r="AR9" s="91">
        <f>SFP!BJ39</f>
        <v>0</v>
      </c>
      <c r="AS9" s="91">
        <f>SFP!BK39</f>
        <v>0</v>
      </c>
      <c r="AT9" s="91">
        <f>SFP!BL39</f>
        <v>0</v>
      </c>
      <c r="AU9" s="91">
        <f>SFP!BM39</f>
        <v>0</v>
      </c>
      <c r="AV9" s="91">
        <f>SFP!BN39</f>
        <v>0</v>
      </c>
      <c r="AW9" s="91">
        <f>SFP!BO39</f>
        <v>0</v>
      </c>
      <c r="AX9" s="91">
        <f>SFP!BP39</f>
        <v>0</v>
      </c>
      <c r="AY9" s="91">
        <f>SFP!BQ39</f>
        <v>0</v>
      </c>
      <c r="AZ9" s="91">
        <f>SFP!BR39</f>
        <v>0</v>
      </c>
      <c r="BA9" s="91">
        <f>SFP!BS39</f>
        <v>0</v>
      </c>
      <c r="BB9" s="91">
        <f>SFP!BT39</f>
        <v>0</v>
      </c>
      <c r="BC9" s="91">
        <f>SFP!BU39</f>
        <v>0</v>
      </c>
      <c r="BD9" s="91">
        <f>SFP!BV39</f>
        <v>0</v>
      </c>
      <c r="BE9" s="212"/>
      <c r="BF9" s="212"/>
      <c r="BG9" s="212"/>
    </row>
    <row r="10" spans="1:59">
      <c r="A10" s="224">
        <v>4.0999999999999996</v>
      </c>
      <c r="B10" s="225" t="s">
        <v>14</v>
      </c>
      <c r="C10" s="82">
        <f>(SFP!U34+SFP!U35+SFP!U38)</f>
        <v>554554538</v>
      </c>
      <c r="D10" s="92">
        <f>(SFP!V34+SFP!V35+SFP!V38)</f>
        <v>588706903</v>
      </c>
      <c r="E10" s="92">
        <f>(SFP!W34+SFP!W35+SFP!W38)</f>
        <v>713678170.51999998</v>
      </c>
      <c r="F10" s="92">
        <f>(SFP!X34+SFP!X35+SFP!X38)</f>
        <v>771684661.40999997</v>
      </c>
      <c r="G10" s="92">
        <f>(SFP!Y34+SFP!Y35+SFP!Y38)</f>
        <v>830973117</v>
      </c>
      <c r="H10" s="92">
        <f>(SFP!Z34+SFP!Z35+SFP!Z38)</f>
        <v>274944616</v>
      </c>
      <c r="I10" s="92">
        <f>(SFP!AA34+SFP!AA35+SFP!AA38)</f>
        <v>334586425.45999998</v>
      </c>
      <c r="J10" s="92">
        <f>(SFP!AB34+SFP!AB35+SFP!AB38)</f>
        <v>396968427</v>
      </c>
      <c r="K10" s="92">
        <f>(SFP!AC34+SFP!AC35+SFP!AC38)</f>
        <v>457769145</v>
      </c>
      <c r="L10" s="92">
        <f>(SFP!AD34+SFP!AD35+SFP!AD38)</f>
        <v>464181744.11000001</v>
      </c>
      <c r="M10" s="92">
        <f>(SFP!AE34+SFP!AE35+SFP!AE38)</f>
        <v>508039987.92000002</v>
      </c>
      <c r="N10" s="92">
        <f>(SFP!AF34+SFP!AF35+SFP!AF38)</f>
        <v>573477066.25999999</v>
      </c>
      <c r="O10" s="92">
        <f>(SFP!AG34+SFP!AG35+SFP!AG38)</f>
        <v>637039939.84000003</v>
      </c>
      <c r="P10" s="92">
        <f>(SFP!AH34+SFP!AH35+SFP!AH38)</f>
        <v>694553130.79999995</v>
      </c>
      <c r="Q10" s="92">
        <f>(SFP!AI34+SFP!AI35+SFP!AI38)</f>
        <v>633602658</v>
      </c>
      <c r="R10" s="92">
        <f>(SFP!AJ34+SFP!AJ35+SFP!AJ38)</f>
        <v>760586890.64999998</v>
      </c>
      <c r="S10" s="92">
        <f>(SFP!AK34+SFP!AK35+SFP!AK38)</f>
        <v>771066042</v>
      </c>
      <c r="T10" s="92">
        <f>(SFP!AL34+SFP!AL35+SFP!AL38)</f>
        <v>211218029</v>
      </c>
      <c r="U10" s="92">
        <f>(SFP!AM34+SFP!AM35+SFP!AM38)</f>
        <v>275437399</v>
      </c>
      <c r="V10" s="92">
        <f>(SFP!AN34+SFP!AN35+SFP!AN38)</f>
        <v>336623375.14999998</v>
      </c>
      <c r="W10" s="92">
        <f>(SFP!AO34+SFP!AO35+SFP!AO38)</f>
        <v>401762937</v>
      </c>
      <c r="X10" s="92">
        <f>(SFP!AP34+SFP!AP35+SFP!AP38)</f>
        <v>0</v>
      </c>
      <c r="Y10" s="92">
        <f>(SFP!AQ34+SFP!AQ35+SFP!AQ38)</f>
        <v>424616575.44</v>
      </c>
      <c r="Z10" s="92">
        <f>(SFP!AR34+SFP!AR35+SFP!AR38)</f>
        <v>552142588.35000002</v>
      </c>
      <c r="AA10" s="92">
        <f>(SFP!AS34+SFP!AS35+SFP!AS38)</f>
        <v>605723946.30999994</v>
      </c>
      <c r="AB10" s="92">
        <f>(SFP!AT34+SFP!AT35+SFP!AT38)</f>
        <v>712037823.79999995</v>
      </c>
      <c r="AC10" s="92">
        <f>(SFP!AU34+SFP!AU35+SFP!AU38)</f>
        <v>774249836.95000005</v>
      </c>
      <c r="AD10" s="92">
        <f>(SFP!AV34+SFP!AV35+SFP!AV38)</f>
        <v>670507</v>
      </c>
      <c r="AE10" s="92">
        <f>(SFP!AW34+SFP!AW35+SFP!AW38)</f>
        <v>865252465</v>
      </c>
      <c r="AF10" s="92">
        <f>(SFP!AX34+SFP!AX35+SFP!AX38)</f>
        <v>163088006</v>
      </c>
      <c r="AG10" s="92">
        <f>(SFP!AY34+SFP!AY35+SFP!AY38)</f>
        <v>235372966.53</v>
      </c>
      <c r="AH10" s="92">
        <f>(SFP!AZ34+SFP!AZ35+SFP!AZ38)</f>
        <v>307140292.81</v>
      </c>
      <c r="AI10" s="92">
        <f>(SFP!BA34+SFP!BA35+SFP!BA38)</f>
        <v>310887955</v>
      </c>
      <c r="AJ10" s="92">
        <f>(SFP!BB34+SFP!BB35+SFP!BB38)</f>
        <v>455983952.72000003</v>
      </c>
      <c r="AK10" s="92">
        <f>(SFP!BC34+SFP!BC35+SFP!BC38)</f>
        <v>530038551.30000001</v>
      </c>
      <c r="AL10" s="92">
        <f>(SFP!BD34+SFP!BD35+SFP!BD38)</f>
        <v>529262344</v>
      </c>
      <c r="AM10" s="92">
        <f>(SFP!BE34+SFP!BE35+SFP!BE38)</f>
        <v>606921483.38999999</v>
      </c>
      <c r="AN10" s="92">
        <f>(SFP!BF34+SFP!BF35+SFP!BF38)</f>
        <v>687057599.41999996</v>
      </c>
      <c r="AO10" s="92">
        <f>(SFP!BG34+SFP!BG35+SFP!BG38)</f>
        <v>795666031.49000001</v>
      </c>
      <c r="AP10" s="92">
        <f>(SFP!BH34+SFP!BH35+SFP!BH38)</f>
        <v>732807895.99000001</v>
      </c>
      <c r="AQ10" s="92">
        <f>(SFP!BI34+SFP!BI35+SFP!BI38)</f>
        <v>732807895.56528389</v>
      </c>
      <c r="AR10" s="92">
        <f>(SFP!BJ34+SFP!BJ35+SFP!BJ38)</f>
        <v>988128390.97000003</v>
      </c>
      <c r="AS10" s="92">
        <f>(SFP!BK34+SFP!BK35+SFP!BK38)</f>
        <v>236274771.69</v>
      </c>
      <c r="AT10" s="92">
        <f>(SFP!BL34+SFP!BL35+SFP!BL38)</f>
        <v>366968862</v>
      </c>
      <c r="AU10" s="92">
        <f>(SFP!BM34+SFP!BM35+SFP!BM38)</f>
        <v>453993992.31</v>
      </c>
      <c r="AV10" s="92">
        <f>(SFP!BN34+SFP!BN35+SFP!BN38)</f>
        <v>408603943.30000001</v>
      </c>
      <c r="AW10" s="92">
        <f>(SFP!BO34+SFP!BO35+SFP!BO38)</f>
        <v>487482680.94</v>
      </c>
      <c r="AX10" s="92">
        <f>(SFP!BP34+SFP!BP35+SFP!BP38)</f>
        <v>567446448.07000005</v>
      </c>
      <c r="AY10" s="92">
        <f>(SFP!BQ34+SFP!BQ35+SFP!BQ38)</f>
        <v>554916152</v>
      </c>
      <c r="AZ10" s="92">
        <f>(SFP!BR34+SFP!BR35+SFP!BR38)</f>
        <v>507786570.23000002</v>
      </c>
      <c r="BA10" s="92">
        <f>(SFP!BS34+SFP!BS35+SFP!BS38)</f>
        <v>579134756</v>
      </c>
      <c r="BB10" s="92">
        <f>(SFP!BT34+SFP!BT35+SFP!BT38)</f>
        <v>665300277.27999997</v>
      </c>
      <c r="BC10" s="92">
        <f>(SFP!BU34+SFP!BU35+SFP!BU38)</f>
        <v>739484636.44000006</v>
      </c>
      <c r="BD10" s="92">
        <f>(SFP!BV34+SFP!BV35+SFP!BV38)</f>
        <v>814693000</v>
      </c>
      <c r="BE10" s="212"/>
      <c r="BF10" s="212"/>
      <c r="BG10" s="212"/>
    </row>
    <row r="11" spans="1:59">
      <c r="A11" s="226"/>
      <c r="B11" s="44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212"/>
      <c r="BF11" s="212"/>
      <c r="BG11" s="212"/>
    </row>
    <row r="12" spans="1:59">
      <c r="A12" s="227">
        <v>5</v>
      </c>
      <c r="B12" s="228" t="s">
        <v>15</v>
      </c>
      <c r="C12" s="41">
        <f>SFP!U42</f>
        <v>382449866</v>
      </c>
      <c r="D12" s="85">
        <f>SFP!V42</f>
        <v>421922225</v>
      </c>
      <c r="E12" s="85">
        <f>SFP!W42</f>
        <v>671803630</v>
      </c>
      <c r="F12" s="85">
        <f>SFP!X42</f>
        <v>675549493</v>
      </c>
      <c r="G12" s="85">
        <f>SFP!Y42</f>
        <v>682351864</v>
      </c>
      <c r="H12" s="85">
        <f>SFP!Z42</f>
        <v>694996501</v>
      </c>
      <c r="I12" s="85">
        <f>SFP!AA42</f>
        <v>699865703</v>
      </c>
      <c r="J12" s="85">
        <f>SFP!AB42</f>
        <v>704056427</v>
      </c>
      <c r="K12" s="85">
        <f>SFP!AC42</f>
        <v>706992079</v>
      </c>
      <c r="L12" s="85">
        <f>SFP!AD42</f>
        <v>788522873</v>
      </c>
      <c r="M12" s="85">
        <f>SFP!AE42</f>
        <v>792152555</v>
      </c>
      <c r="N12" s="85">
        <f>SFP!AF42</f>
        <v>798811574</v>
      </c>
      <c r="O12" s="85">
        <f>SFP!AG42</f>
        <v>803417610</v>
      </c>
      <c r="P12" s="85">
        <f>SFP!AH42</f>
        <v>808927628</v>
      </c>
      <c r="Q12" s="85">
        <f>SFP!AI42</f>
        <v>808927629</v>
      </c>
      <c r="R12" s="85">
        <f>SFP!AJ42</f>
        <v>889478087</v>
      </c>
      <c r="S12" s="85">
        <f>SFP!AK42</f>
        <v>895362245</v>
      </c>
      <c r="T12" s="85">
        <f>SFP!AL42</f>
        <v>903681549</v>
      </c>
      <c r="U12" s="85">
        <f>SFP!AM42</f>
        <v>908325219</v>
      </c>
      <c r="V12" s="85">
        <f>SFP!AN42</f>
        <v>913266833</v>
      </c>
      <c r="W12" s="85">
        <f>SFP!AO42</f>
        <v>917391488</v>
      </c>
      <c r="X12" s="85">
        <f>SFP!AP42</f>
        <v>0</v>
      </c>
      <c r="Y12" s="85">
        <f>SFP!AQ42</f>
        <v>927537895</v>
      </c>
      <c r="Z12" s="85">
        <f>SFP!AR42</f>
        <v>933059620</v>
      </c>
      <c r="AA12" s="85">
        <f>SFP!AS42</f>
        <v>939209221</v>
      </c>
      <c r="AB12" s="85">
        <f>SFP!AT42</f>
        <v>945621922</v>
      </c>
      <c r="AC12" s="85">
        <f>SFP!AU42</f>
        <v>951548799</v>
      </c>
      <c r="AD12" s="85">
        <f>SFP!AV42</f>
        <v>951549</v>
      </c>
      <c r="AE12" s="85">
        <f>SFP!AW42</f>
        <v>956552872</v>
      </c>
      <c r="AF12" s="85">
        <f>SFP!AX42</f>
        <v>1052526620</v>
      </c>
      <c r="AG12" s="85">
        <f>SFP!AY42</f>
        <v>1068575644</v>
      </c>
      <c r="AH12" s="85">
        <f>SFP!AZ42</f>
        <v>1077139670</v>
      </c>
      <c r="AI12" s="85">
        <f>SFP!BA42</f>
        <v>1084948139</v>
      </c>
      <c r="AJ12" s="85">
        <f>SFP!BB42</f>
        <v>1090053803</v>
      </c>
      <c r="AK12" s="85">
        <f>SFP!BC42</f>
        <v>1099912990</v>
      </c>
      <c r="AL12" s="85">
        <f>SFP!BD42</f>
        <v>1108761516</v>
      </c>
      <c r="AM12" s="85">
        <f>SFP!BE42</f>
        <v>1116734817</v>
      </c>
      <c r="AN12" s="85">
        <f>SFP!BF42</f>
        <v>1124039832</v>
      </c>
      <c r="AO12" s="85">
        <f>SFP!BG42</f>
        <v>1131591525</v>
      </c>
      <c r="AP12" s="85">
        <f>SFP!BH42</f>
        <v>1138732170</v>
      </c>
      <c r="AQ12" s="85">
        <f>SFP!BI42</f>
        <v>1138732170</v>
      </c>
      <c r="AR12" s="85">
        <f>SFP!BJ42</f>
        <v>1227167486</v>
      </c>
      <c r="AS12" s="85">
        <f>SFP!BK42</f>
        <v>1233529981</v>
      </c>
      <c r="AT12" s="85">
        <f>SFP!BL42</f>
        <v>1243165993</v>
      </c>
      <c r="AU12" s="85">
        <f>SFP!BM42</f>
        <v>1249880974</v>
      </c>
      <c r="AV12" s="85">
        <f>SFP!BN42</f>
        <v>1256607095</v>
      </c>
      <c r="AW12" s="85">
        <f>SFP!BO42</f>
        <v>1262839984</v>
      </c>
      <c r="AX12" s="85">
        <f>SFP!BP42</f>
        <v>1268441681</v>
      </c>
      <c r="AY12" s="85">
        <f>SFP!BQ42</f>
        <v>1274290526</v>
      </c>
      <c r="AZ12" s="85">
        <f>SFP!BR42</f>
        <v>1281308853</v>
      </c>
      <c r="BA12" s="85">
        <f>SFP!BS42</f>
        <v>1287614159</v>
      </c>
      <c r="BB12" s="85">
        <f>SFP!BT42</f>
        <v>1291670944</v>
      </c>
      <c r="BC12" s="85">
        <f>SFP!BU42</f>
        <v>1305240952</v>
      </c>
      <c r="BD12" s="85">
        <f>SFP!BV42</f>
        <v>1305241000</v>
      </c>
      <c r="BE12" s="212"/>
      <c r="BF12" s="212"/>
      <c r="BG12" s="212"/>
    </row>
    <row r="13" spans="1:59">
      <c r="A13" s="229">
        <v>5.0999999999999996</v>
      </c>
      <c r="B13" s="230" t="s">
        <v>16</v>
      </c>
      <c r="C13" s="94">
        <f>C16-C27</f>
        <v>2354877200</v>
      </c>
      <c r="D13" s="94">
        <f t="shared" ref="D13:P13" si="0">D16-D27</f>
        <v>2112253899</v>
      </c>
      <c r="E13" s="94">
        <f t="shared" si="0"/>
        <v>2260453672</v>
      </c>
      <c r="F13" s="94">
        <f t="shared" si="0"/>
        <v>2296490354</v>
      </c>
      <c r="G13" s="94">
        <f t="shared" si="0"/>
        <v>2316883115</v>
      </c>
      <c r="H13" s="94">
        <f t="shared" si="0"/>
        <v>2350463995</v>
      </c>
      <c r="I13" s="94">
        <f t="shared" si="0"/>
        <v>2401164231</v>
      </c>
      <c r="J13" s="94">
        <f t="shared" si="0"/>
        <v>2419093562</v>
      </c>
      <c r="K13" s="94">
        <f t="shared" si="0"/>
        <v>2415959544</v>
      </c>
      <c r="L13" s="94">
        <f t="shared" si="0"/>
        <v>2551807605</v>
      </c>
      <c r="M13" s="94">
        <f t="shared" si="0"/>
        <v>2528722187</v>
      </c>
      <c r="N13" s="94">
        <f t="shared" si="0"/>
        <v>2528956444</v>
      </c>
      <c r="O13" s="94">
        <f t="shared" si="0"/>
        <v>2530539441</v>
      </c>
      <c r="P13" s="94">
        <f t="shared" si="0"/>
        <v>2521988594</v>
      </c>
      <c r="Q13" s="94">
        <f>Q16-Q27</f>
        <v>3167289833</v>
      </c>
      <c r="R13" s="94">
        <f t="shared" ref="R13:AD13" si="1">R16-R27</f>
        <v>3262125964</v>
      </c>
      <c r="S13" s="94">
        <f t="shared" si="1"/>
        <v>3349139967</v>
      </c>
      <c r="T13" s="94">
        <f t="shared" si="1"/>
        <v>3334052434</v>
      </c>
      <c r="U13" s="94">
        <f t="shared" si="1"/>
        <v>3347268104</v>
      </c>
      <c r="V13" s="94">
        <f t="shared" si="1"/>
        <v>3359132084</v>
      </c>
      <c r="W13" s="94">
        <f t="shared" si="1"/>
        <v>3334436989</v>
      </c>
      <c r="X13" s="94">
        <f t="shared" si="1"/>
        <v>0</v>
      </c>
      <c r="Y13" s="94">
        <f t="shared" si="1"/>
        <v>3451521963</v>
      </c>
      <c r="Z13" s="94">
        <f t="shared" si="1"/>
        <v>3295054386</v>
      </c>
      <c r="AA13" s="94">
        <f t="shared" si="1"/>
        <v>3405790881</v>
      </c>
      <c r="AB13" s="94">
        <f t="shared" si="1"/>
        <v>3475545618</v>
      </c>
      <c r="AC13" s="94">
        <f t="shared" si="1"/>
        <v>3467916641</v>
      </c>
      <c r="AD13" s="94">
        <f t="shared" si="1"/>
        <v>3680360</v>
      </c>
      <c r="AE13" s="94">
        <f t="shared" ref="AE13:AQ13" si="2">AE16-AE27</f>
        <v>3529827009</v>
      </c>
      <c r="AF13" s="94">
        <f t="shared" si="2"/>
        <v>3645754782</v>
      </c>
      <c r="AG13" s="94">
        <f t="shared" si="2"/>
        <v>3685197615</v>
      </c>
      <c r="AH13" s="94">
        <f t="shared" si="2"/>
        <v>3716269055</v>
      </c>
      <c r="AI13" s="94">
        <f t="shared" si="2"/>
        <v>3816262285</v>
      </c>
      <c r="AJ13" s="94">
        <f t="shared" si="2"/>
        <v>3793938668</v>
      </c>
      <c r="AK13" s="94">
        <f t="shared" si="2"/>
        <v>3825188481</v>
      </c>
      <c r="AL13" s="94">
        <f t="shared" si="2"/>
        <v>3849814783</v>
      </c>
      <c r="AM13" s="94">
        <f t="shared" si="2"/>
        <v>3867111232</v>
      </c>
      <c r="AN13" s="94">
        <f t="shared" si="2"/>
        <v>3883008624</v>
      </c>
      <c r="AO13" s="94">
        <f t="shared" si="2"/>
        <v>3897148736</v>
      </c>
      <c r="AP13" s="94">
        <f t="shared" si="2"/>
        <v>4170978473</v>
      </c>
      <c r="AQ13" s="94">
        <f t="shared" si="2"/>
        <v>4162829084.1997795</v>
      </c>
      <c r="AR13" s="94">
        <f t="shared" ref="AR13:AX13" si="3">AR16-AR27</f>
        <v>4263257373</v>
      </c>
      <c r="AS13" s="94">
        <f t="shared" si="3"/>
        <v>4316108733</v>
      </c>
      <c r="AT13" s="94">
        <f t="shared" si="3"/>
        <v>4266744135</v>
      </c>
      <c r="AU13" s="94">
        <f t="shared" si="3"/>
        <v>4246667851</v>
      </c>
      <c r="AV13" s="94">
        <f t="shared" si="3"/>
        <v>4318479182</v>
      </c>
      <c r="AW13" s="94">
        <f t="shared" si="3"/>
        <v>4342878212.46</v>
      </c>
      <c r="AX13" s="94">
        <f t="shared" si="3"/>
        <v>4382849941</v>
      </c>
      <c r="AY13" s="94">
        <f>AY16-AY27</f>
        <v>4406110991</v>
      </c>
      <c r="AZ13" s="94">
        <f t="shared" ref="AZ13:BD13" si="4">AZ16-AZ27</f>
        <v>4577427713</v>
      </c>
      <c r="BA13" s="94">
        <f t="shared" si="4"/>
        <v>4595717738</v>
      </c>
      <c r="BB13" s="94">
        <f t="shared" si="4"/>
        <v>4630868535</v>
      </c>
      <c r="BC13" s="94">
        <f t="shared" si="4"/>
        <v>4728663239</v>
      </c>
      <c r="BD13" s="94">
        <f t="shared" si="4"/>
        <v>4484427000</v>
      </c>
      <c r="BE13" s="212"/>
      <c r="BF13" s="212"/>
      <c r="BG13" s="212"/>
    </row>
    <row r="14" spans="1:59">
      <c r="A14" s="231">
        <v>5.2</v>
      </c>
      <c r="B14" s="232" t="s">
        <v>17</v>
      </c>
      <c r="C14" s="95">
        <f t="shared" ref="C14:K14" si="5">(C13-C12)</f>
        <v>1972427334</v>
      </c>
      <c r="D14" s="96">
        <f t="shared" si="5"/>
        <v>1690331674</v>
      </c>
      <c r="E14" s="96">
        <f t="shared" si="5"/>
        <v>1588650042</v>
      </c>
      <c r="F14" s="96">
        <f t="shared" si="5"/>
        <v>1620940861</v>
      </c>
      <c r="G14" s="96">
        <f t="shared" si="5"/>
        <v>1634531251</v>
      </c>
      <c r="H14" s="96">
        <f t="shared" si="5"/>
        <v>1655467494</v>
      </c>
      <c r="I14" s="96">
        <f t="shared" si="5"/>
        <v>1701298528</v>
      </c>
      <c r="J14" s="96">
        <f t="shared" si="5"/>
        <v>1715037135</v>
      </c>
      <c r="K14" s="96">
        <f t="shared" si="5"/>
        <v>1708967465</v>
      </c>
      <c r="L14" s="96">
        <f t="shared" ref="L14:Q14" si="6">(L13-L12)</f>
        <v>1763284732</v>
      </c>
      <c r="M14" s="96">
        <f t="shared" si="6"/>
        <v>1736569632</v>
      </c>
      <c r="N14" s="96">
        <f t="shared" si="6"/>
        <v>1730144870</v>
      </c>
      <c r="O14" s="96">
        <f t="shared" si="6"/>
        <v>1727121831</v>
      </c>
      <c r="P14" s="96">
        <f t="shared" si="6"/>
        <v>1713060966</v>
      </c>
      <c r="Q14" s="96">
        <f t="shared" si="6"/>
        <v>2358362204</v>
      </c>
      <c r="R14" s="96">
        <f t="shared" ref="R14:AD14" si="7">(R13-R12)</f>
        <v>2372647877</v>
      </c>
      <c r="S14" s="96">
        <f t="shared" si="7"/>
        <v>2453777722</v>
      </c>
      <c r="T14" s="96">
        <f t="shared" si="7"/>
        <v>2430370885</v>
      </c>
      <c r="U14" s="96">
        <f t="shared" si="7"/>
        <v>2438942885</v>
      </c>
      <c r="V14" s="96">
        <f t="shared" si="7"/>
        <v>2445865251</v>
      </c>
      <c r="W14" s="96">
        <f t="shared" si="7"/>
        <v>2417045501</v>
      </c>
      <c r="X14" s="96">
        <f t="shared" si="7"/>
        <v>0</v>
      </c>
      <c r="Y14" s="96">
        <f t="shared" si="7"/>
        <v>2523984068</v>
      </c>
      <c r="Z14" s="96">
        <f t="shared" si="7"/>
        <v>2361994766</v>
      </c>
      <c r="AA14" s="96">
        <f t="shared" si="7"/>
        <v>2466581660</v>
      </c>
      <c r="AB14" s="96">
        <f t="shared" si="7"/>
        <v>2529923696</v>
      </c>
      <c r="AC14" s="96">
        <f t="shared" si="7"/>
        <v>2516367842</v>
      </c>
      <c r="AD14" s="96">
        <f t="shared" si="7"/>
        <v>2728811</v>
      </c>
      <c r="AE14" s="96">
        <f t="shared" ref="AE14:AQ14" si="8">(AE13-AE12)</f>
        <v>2573274137</v>
      </c>
      <c r="AF14" s="96">
        <f t="shared" si="8"/>
        <v>2593228162</v>
      </c>
      <c r="AG14" s="96">
        <f t="shared" si="8"/>
        <v>2616621971</v>
      </c>
      <c r="AH14" s="96">
        <f t="shared" si="8"/>
        <v>2639129385</v>
      </c>
      <c r="AI14" s="96">
        <f t="shared" si="8"/>
        <v>2731314146</v>
      </c>
      <c r="AJ14" s="96">
        <f t="shared" si="8"/>
        <v>2703884865</v>
      </c>
      <c r="AK14" s="96">
        <f t="shared" si="8"/>
        <v>2725275491</v>
      </c>
      <c r="AL14" s="96">
        <f t="shared" si="8"/>
        <v>2741053267</v>
      </c>
      <c r="AM14" s="96">
        <f t="shared" si="8"/>
        <v>2750376415</v>
      </c>
      <c r="AN14" s="96">
        <f t="shared" si="8"/>
        <v>2758968792</v>
      </c>
      <c r="AO14" s="96">
        <f t="shared" si="8"/>
        <v>2765557211</v>
      </c>
      <c r="AP14" s="96">
        <f t="shared" si="8"/>
        <v>3032246303</v>
      </c>
      <c r="AQ14" s="96">
        <f t="shared" si="8"/>
        <v>3024096914.1997795</v>
      </c>
      <c r="AR14" s="96">
        <f t="shared" ref="AR14:AX14" si="9">(AR13-AR12)</f>
        <v>3036089887</v>
      </c>
      <c r="AS14" s="96">
        <f t="shared" si="9"/>
        <v>3082578752</v>
      </c>
      <c r="AT14" s="96">
        <f t="shared" si="9"/>
        <v>3023578142</v>
      </c>
      <c r="AU14" s="96">
        <f t="shared" si="9"/>
        <v>2996786877</v>
      </c>
      <c r="AV14" s="96">
        <f t="shared" si="9"/>
        <v>3061872087</v>
      </c>
      <c r="AW14" s="96">
        <f t="shared" si="9"/>
        <v>3080038228.46</v>
      </c>
      <c r="AX14" s="96">
        <f t="shared" si="9"/>
        <v>3114408260</v>
      </c>
      <c r="AY14" s="96">
        <f>(AY13-AY12)</f>
        <v>3131820465</v>
      </c>
      <c r="AZ14" s="96">
        <f t="shared" ref="AZ14:BD14" si="10">(AZ13-AZ12)</f>
        <v>3296118860</v>
      </c>
      <c r="BA14" s="96">
        <f t="shared" si="10"/>
        <v>3308103579</v>
      </c>
      <c r="BB14" s="96">
        <f t="shared" si="10"/>
        <v>3339197591</v>
      </c>
      <c r="BC14" s="96">
        <f t="shared" si="10"/>
        <v>3423422287</v>
      </c>
      <c r="BD14" s="96">
        <f t="shared" si="10"/>
        <v>3179186000</v>
      </c>
      <c r="BE14" s="212"/>
      <c r="BF14" s="212"/>
      <c r="BG14" s="212"/>
    </row>
    <row r="15" spans="1:59">
      <c r="A15" s="233"/>
      <c r="B15" s="214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</row>
    <row r="16" spans="1:59">
      <c r="A16" s="227">
        <v>5.3</v>
      </c>
      <c r="B16" s="228" t="s">
        <v>18</v>
      </c>
      <c r="C16" s="41">
        <f t="shared" ref="C16:K16" si="11">SUM(C17:C20)</f>
        <v>2354877200</v>
      </c>
      <c r="D16" s="85">
        <f t="shared" si="11"/>
        <v>2593223115</v>
      </c>
      <c r="E16" s="85">
        <f t="shared" si="11"/>
        <v>2716051604</v>
      </c>
      <c r="F16" s="85">
        <f t="shared" si="11"/>
        <v>2725964420</v>
      </c>
      <c r="G16" s="85">
        <f t="shared" si="11"/>
        <v>2746357181</v>
      </c>
      <c r="H16" s="85">
        <f t="shared" si="11"/>
        <v>2779938061</v>
      </c>
      <c r="I16" s="85">
        <f t="shared" si="11"/>
        <v>2830638297</v>
      </c>
      <c r="J16" s="85">
        <f t="shared" si="11"/>
        <v>2886567629</v>
      </c>
      <c r="K16" s="85">
        <f t="shared" si="11"/>
        <v>2888603610</v>
      </c>
      <c r="L16" s="85">
        <f t="shared" ref="L16:Q16" si="12">SUM(L17:L20)</f>
        <v>3024451671</v>
      </c>
      <c r="M16" s="85">
        <f t="shared" si="12"/>
        <v>3001366253</v>
      </c>
      <c r="N16" s="85">
        <f t="shared" si="12"/>
        <v>3039341510</v>
      </c>
      <c r="O16" s="85">
        <f t="shared" si="12"/>
        <v>3050924507</v>
      </c>
      <c r="P16" s="85">
        <f t="shared" si="12"/>
        <v>3042373660</v>
      </c>
      <c r="Q16" s="85">
        <f t="shared" si="12"/>
        <v>3167289833</v>
      </c>
      <c r="R16" s="85">
        <f t="shared" ref="R16:AD16" si="13">SUM(R17:R20)</f>
        <v>3262125964</v>
      </c>
      <c r="S16" s="85">
        <f t="shared" si="13"/>
        <v>3349139967</v>
      </c>
      <c r="T16" s="85">
        <f t="shared" si="13"/>
        <v>3334052434</v>
      </c>
      <c r="U16" s="85">
        <f t="shared" si="13"/>
        <v>3347268104</v>
      </c>
      <c r="V16" s="85">
        <f t="shared" si="13"/>
        <v>3359132084</v>
      </c>
      <c r="W16" s="85">
        <f t="shared" si="13"/>
        <v>3334436989</v>
      </c>
      <c r="X16" s="85">
        <f t="shared" si="13"/>
        <v>0</v>
      </c>
      <c r="Y16" s="85">
        <f t="shared" si="13"/>
        <v>3451521963</v>
      </c>
      <c r="Z16" s="85">
        <f t="shared" si="13"/>
        <v>3295054386</v>
      </c>
      <c r="AA16" s="85">
        <f t="shared" si="13"/>
        <v>3405790881</v>
      </c>
      <c r="AB16" s="85">
        <f t="shared" si="13"/>
        <v>3475545618</v>
      </c>
      <c r="AC16" s="85">
        <f t="shared" si="13"/>
        <v>3467916641</v>
      </c>
      <c r="AD16" s="85">
        <f t="shared" si="13"/>
        <v>3680360</v>
      </c>
      <c r="AE16" s="85">
        <f t="shared" ref="AE16:AP16" si="14">SUM(AE17:AE20)</f>
        <v>3529827009</v>
      </c>
      <c r="AF16" s="85">
        <f t="shared" si="14"/>
        <v>3645754782</v>
      </c>
      <c r="AG16" s="85">
        <f t="shared" si="14"/>
        <v>3685197615</v>
      </c>
      <c r="AH16" s="85">
        <f t="shared" si="14"/>
        <v>3716269055</v>
      </c>
      <c r="AI16" s="85">
        <f t="shared" si="14"/>
        <v>3816262285</v>
      </c>
      <c r="AJ16" s="85">
        <f t="shared" si="14"/>
        <v>3793938668</v>
      </c>
      <c r="AK16" s="85">
        <f t="shared" si="14"/>
        <v>3825188481</v>
      </c>
      <c r="AL16" s="85">
        <f t="shared" si="14"/>
        <v>3849814783</v>
      </c>
      <c r="AM16" s="85">
        <f t="shared" si="14"/>
        <v>3867111232</v>
      </c>
      <c r="AN16" s="85">
        <f t="shared" si="14"/>
        <v>3883008624</v>
      </c>
      <c r="AO16" s="85">
        <f t="shared" si="14"/>
        <v>3897148736</v>
      </c>
      <c r="AP16" s="85">
        <f t="shared" si="14"/>
        <v>4170978473</v>
      </c>
      <c r="AQ16" s="85">
        <f>SUM(AQ17:AQ20)</f>
        <v>4162829084.1997795</v>
      </c>
      <c r="AR16" s="85">
        <f t="shared" ref="AR16:AX16" si="15">SUM(AR17:AR20)</f>
        <v>4263257373</v>
      </c>
      <c r="AS16" s="85">
        <f t="shared" si="15"/>
        <v>4316108733</v>
      </c>
      <c r="AT16" s="85">
        <f t="shared" si="15"/>
        <v>4266744135</v>
      </c>
      <c r="AU16" s="85">
        <f t="shared" si="15"/>
        <v>4246667851</v>
      </c>
      <c r="AV16" s="85">
        <f t="shared" si="15"/>
        <v>4318479182</v>
      </c>
      <c r="AW16" s="85">
        <f t="shared" si="15"/>
        <v>4342878212.46</v>
      </c>
      <c r="AX16" s="85">
        <f t="shared" si="15"/>
        <v>4382849941</v>
      </c>
      <c r="AY16" s="85">
        <f>SUM(AY17:AY20)</f>
        <v>4406110991</v>
      </c>
      <c r="AZ16" s="85">
        <f t="shared" ref="AZ16:BD16" si="16">SUM(AZ17:AZ20)</f>
        <v>4577427713</v>
      </c>
      <c r="BA16" s="85">
        <f t="shared" si="16"/>
        <v>4595717738</v>
      </c>
      <c r="BB16" s="85">
        <f t="shared" si="16"/>
        <v>4630868535</v>
      </c>
      <c r="BC16" s="85">
        <f t="shared" si="16"/>
        <v>4728663239</v>
      </c>
      <c r="BD16" s="85">
        <f t="shared" si="16"/>
        <v>4484427000</v>
      </c>
      <c r="BE16" s="212"/>
      <c r="BF16" s="212"/>
      <c r="BG16" s="212"/>
    </row>
    <row r="17" spans="1:59">
      <c r="A17" s="229" t="s">
        <v>19</v>
      </c>
      <c r="B17" s="234" t="s">
        <v>20</v>
      </c>
      <c r="C17" s="83">
        <f>SFP!U42</f>
        <v>382449866</v>
      </c>
      <c r="D17" s="90">
        <f>SFP!V42</f>
        <v>421922225</v>
      </c>
      <c r="E17" s="90">
        <f>SFP!W42</f>
        <v>671803630</v>
      </c>
      <c r="F17" s="90">
        <f>SFP!X42</f>
        <v>675549493</v>
      </c>
      <c r="G17" s="90">
        <f>SFP!Y42</f>
        <v>682351864</v>
      </c>
      <c r="H17" s="90">
        <f>SFP!Z42</f>
        <v>694996501</v>
      </c>
      <c r="I17" s="90">
        <f>SFP!AA42</f>
        <v>699865703</v>
      </c>
      <c r="J17" s="90">
        <f>SFP!AB42</f>
        <v>704056427</v>
      </c>
      <c r="K17" s="90">
        <f>SFP!AC42</f>
        <v>706992079</v>
      </c>
      <c r="L17" s="90">
        <f>SFP!AD42</f>
        <v>788522873</v>
      </c>
      <c r="M17" s="90">
        <f>SFP!AE42</f>
        <v>792152555</v>
      </c>
      <c r="N17" s="90">
        <f>SFP!AF42</f>
        <v>798811574</v>
      </c>
      <c r="O17" s="90">
        <f>SFP!AG42</f>
        <v>803417610</v>
      </c>
      <c r="P17" s="90">
        <f>SFP!AH42</f>
        <v>808927628</v>
      </c>
      <c r="Q17" s="90">
        <f>SFP!AI42</f>
        <v>808927629</v>
      </c>
      <c r="R17" s="90">
        <f>SFP!AJ42</f>
        <v>889478087</v>
      </c>
      <c r="S17" s="90">
        <f>SFP!AK42</f>
        <v>895362245</v>
      </c>
      <c r="T17" s="90">
        <f>SFP!AL42</f>
        <v>903681549</v>
      </c>
      <c r="U17" s="90">
        <f>SFP!AM42</f>
        <v>908325219</v>
      </c>
      <c r="V17" s="90">
        <f>SFP!AN42</f>
        <v>913266833</v>
      </c>
      <c r="W17" s="90">
        <f>SFP!AO42</f>
        <v>917391488</v>
      </c>
      <c r="X17" s="90">
        <f>SFP!AP42</f>
        <v>0</v>
      </c>
      <c r="Y17" s="90">
        <f>SFP!AQ42</f>
        <v>927537895</v>
      </c>
      <c r="Z17" s="90">
        <f>SFP!AR42</f>
        <v>933059620</v>
      </c>
      <c r="AA17" s="90">
        <f>SFP!AS42</f>
        <v>939209221</v>
      </c>
      <c r="AB17" s="90">
        <f>SFP!AT42</f>
        <v>945621922</v>
      </c>
      <c r="AC17" s="90">
        <f>SFP!AU42</f>
        <v>951548799</v>
      </c>
      <c r="AD17" s="90">
        <f>SFP!AV42</f>
        <v>951549</v>
      </c>
      <c r="AE17" s="90">
        <f>SFP!AW42</f>
        <v>956552872</v>
      </c>
      <c r="AF17" s="90">
        <f>SFP!AX42</f>
        <v>1052526620</v>
      </c>
      <c r="AG17" s="90">
        <f>SFP!AY42</f>
        <v>1068575644</v>
      </c>
      <c r="AH17" s="90">
        <f>SFP!AZ42</f>
        <v>1077139670</v>
      </c>
      <c r="AI17" s="90">
        <f>SFP!BA42</f>
        <v>1084948139</v>
      </c>
      <c r="AJ17" s="90">
        <f>SFP!BB42</f>
        <v>1090053803</v>
      </c>
      <c r="AK17" s="90">
        <f>SFP!BC42</f>
        <v>1099912990</v>
      </c>
      <c r="AL17" s="90">
        <f>SFP!BD42</f>
        <v>1108761516</v>
      </c>
      <c r="AM17" s="90">
        <f>SFP!BE42</f>
        <v>1116734817</v>
      </c>
      <c r="AN17" s="90">
        <f>SFP!BF42</f>
        <v>1124039832</v>
      </c>
      <c r="AO17" s="90">
        <f>SFP!BG42</f>
        <v>1131591525</v>
      </c>
      <c r="AP17" s="90">
        <f>SFP!BH42</f>
        <v>1138732170</v>
      </c>
      <c r="AQ17" s="90">
        <f>SFP!BI42</f>
        <v>1138732170</v>
      </c>
      <c r="AR17" s="90">
        <f>SFP!BJ42</f>
        <v>1227167486</v>
      </c>
      <c r="AS17" s="90">
        <f>SFP!BK42</f>
        <v>1233529981</v>
      </c>
      <c r="AT17" s="90">
        <f>SFP!BL42</f>
        <v>1243165993</v>
      </c>
      <c r="AU17" s="90">
        <f>SFP!BM42</f>
        <v>1249880974</v>
      </c>
      <c r="AV17" s="90">
        <f>SFP!BN42</f>
        <v>1256607095</v>
      </c>
      <c r="AW17" s="90">
        <f>SFP!BO42</f>
        <v>1262839984</v>
      </c>
      <c r="AX17" s="90">
        <f>SFP!BP42</f>
        <v>1268441681</v>
      </c>
      <c r="AY17" s="90">
        <f>SFP!BQ42</f>
        <v>1274290526</v>
      </c>
      <c r="AZ17" s="90">
        <f>SFP!BR42</f>
        <v>1281308853</v>
      </c>
      <c r="BA17" s="90">
        <f>SFP!BS42</f>
        <v>1287614159</v>
      </c>
      <c r="BB17" s="90">
        <f>SFP!BT42</f>
        <v>1291670944</v>
      </c>
      <c r="BC17" s="90">
        <f>SFP!BU42</f>
        <v>1305240952</v>
      </c>
      <c r="BD17" s="90">
        <f>SFP!BV42</f>
        <v>1305241000</v>
      </c>
      <c r="BE17" s="212"/>
      <c r="BF17" s="212"/>
      <c r="BG17" s="212"/>
    </row>
    <row r="18" spans="1:59">
      <c r="A18" s="229" t="s">
        <v>21</v>
      </c>
      <c r="B18" s="223" t="s">
        <v>22</v>
      </c>
      <c r="C18" s="83">
        <f>SFP!U44</f>
        <v>1244145530</v>
      </c>
      <c r="D18" s="90">
        <f>SFP!V44</f>
        <v>1354697707</v>
      </c>
      <c r="E18" s="90">
        <f>SFP!W44</f>
        <v>1433879611</v>
      </c>
      <c r="F18" s="90">
        <f>SFP!X44</f>
        <v>1407719966</v>
      </c>
      <c r="G18" s="90">
        <f>SFP!Y44</f>
        <v>1421155356</v>
      </c>
      <c r="H18" s="90">
        <f>SFP!Z44</f>
        <v>1442012599</v>
      </c>
      <c r="I18" s="90">
        <f>SFP!AA44</f>
        <v>1487770133</v>
      </c>
      <c r="J18" s="90">
        <f>SFP!AB44</f>
        <v>1539468741</v>
      </c>
      <c r="K18" s="90">
        <f>SFP!AC44</f>
        <v>1538528570</v>
      </c>
      <c r="L18" s="90">
        <f>SFP!AD44</f>
        <v>1592803322</v>
      </c>
      <c r="M18" s="90">
        <f>SFP!AE44</f>
        <v>1566053222</v>
      </c>
      <c r="N18" s="90">
        <f>SFP!AF44</f>
        <v>1597306460</v>
      </c>
      <c r="O18" s="90">
        <f>SFP!AG44</f>
        <v>1604244559</v>
      </c>
      <c r="P18" s="90">
        <f>SFP!AH44</f>
        <v>1590397374</v>
      </c>
      <c r="Q18" s="90">
        <f>SFP!AI44</f>
        <v>1690135345</v>
      </c>
      <c r="R18" s="90">
        <f>SFP!AJ44</f>
        <v>1703976273</v>
      </c>
      <c r="S18" s="90">
        <f>SFP!AK44</f>
        <v>1785454263</v>
      </c>
      <c r="T18" s="90">
        <f>SFP!AL44</f>
        <v>1761995926</v>
      </c>
      <c r="U18" s="90">
        <f>SFP!AM44</f>
        <v>1770544426</v>
      </c>
      <c r="V18" s="90">
        <f>SFP!AN44</f>
        <v>1777437292</v>
      </c>
      <c r="W18" s="90">
        <f>SFP!AO44</f>
        <v>1748563043</v>
      </c>
      <c r="X18" s="90">
        <f>SFP!AP44</f>
        <v>0</v>
      </c>
      <c r="Y18" s="90">
        <f>SFP!AQ44</f>
        <v>1855444109</v>
      </c>
      <c r="Z18" s="90">
        <f>SFP!AR44</f>
        <v>1693419307</v>
      </c>
      <c r="AA18" s="90">
        <f>SFP!AS44</f>
        <v>1797973701</v>
      </c>
      <c r="AB18" s="90">
        <f>SFP!AT44</f>
        <v>1861293737</v>
      </c>
      <c r="AC18" s="90">
        <f>SFP!AU44</f>
        <v>1847720183</v>
      </c>
      <c r="AD18" s="90">
        <f>SFP!AV44</f>
        <v>1863588</v>
      </c>
      <c r="AE18" s="90">
        <f>SFP!AW44</f>
        <v>1854665795</v>
      </c>
      <c r="AF18" s="90">
        <f>SFP!AX44</f>
        <v>1874572320</v>
      </c>
      <c r="AG18" s="90">
        <f>SFP!AY44</f>
        <v>1897904629</v>
      </c>
      <c r="AH18" s="90">
        <f>SFP!AZ44</f>
        <v>1920310543</v>
      </c>
      <c r="AI18" s="90">
        <f>SFP!BA44</f>
        <v>2012439804</v>
      </c>
      <c r="AJ18" s="90">
        <f>SFP!BB44</f>
        <v>1984919023</v>
      </c>
      <c r="AK18" s="90">
        <f>SFP!BC44</f>
        <v>2006222649</v>
      </c>
      <c r="AL18" s="90">
        <f>SFP!BD44</f>
        <v>2021919925</v>
      </c>
      <c r="AM18" s="90">
        <f>SFP!BE44</f>
        <v>2031191573</v>
      </c>
      <c r="AN18" s="90">
        <f>SFP!BF44</f>
        <v>2039724450</v>
      </c>
      <c r="AO18" s="90">
        <f>SFP!BG44</f>
        <v>2046258869</v>
      </c>
      <c r="AP18" s="90">
        <f>SFP!BH44</f>
        <v>1917600896</v>
      </c>
      <c r="AQ18" s="90">
        <f>SFP!BI44</f>
        <v>1956805622</v>
      </c>
      <c r="AR18" s="90">
        <f>SFP!BJ44</f>
        <v>1960549706</v>
      </c>
      <c r="AS18" s="90">
        <f>SFP!BK44</f>
        <v>2006983571</v>
      </c>
      <c r="AT18" s="90">
        <f>SFP!BL44</f>
        <v>1947903961</v>
      </c>
      <c r="AU18" s="90">
        <f>SFP!BM44</f>
        <v>1918057696</v>
      </c>
      <c r="AV18" s="90">
        <f>SFP!BN44</f>
        <v>1986101906</v>
      </c>
      <c r="AW18" s="90">
        <f>SFP!BO44</f>
        <v>2004221048</v>
      </c>
      <c r="AX18" s="90">
        <f>SFP!BP44</f>
        <v>2038554579</v>
      </c>
      <c r="AY18" s="90">
        <f>SFP!BQ44</f>
        <v>2055910284</v>
      </c>
      <c r="AZ18" s="90">
        <f>SFP!BR44</f>
        <v>2220162179</v>
      </c>
      <c r="BA18" s="90">
        <f>SFP!BS44</f>
        <v>2232082898</v>
      </c>
      <c r="BB18" s="90">
        <f>SFP!BT44</f>
        <v>2263176910</v>
      </c>
      <c r="BC18" s="90">
        <f>SFP!BU44</f>
        <v>2333950579</v>
      </c>
      <c r="BD18" s="90">
        <f>SFP!BV44</f>
        <v>1974689000</v>
      </c>
      <c r="BE18" s="212"/>
      <c r="BF18" s="212"/>
      <c r="BG18" s="212"/>
    </row>
    <row r="19" spans="1:59">
      <c r="A19" s="229" t="s">
        <v>23</v>
      </c>
      <c r="B19" s="223" t="s">
        <v>24</v>
      </c>
      <c r="C19" s="83">
        <f>SFP!U48</f>
        <v>450731709</v>
      </c>
      <c r="D19" s="90">
        <f>SFP!V48</f>
        <v>0</v>
      </c>
      <c r="E19" s="90">
        <f>SFP!W48</f>
        <v>494856977</v>
      </c>
      <c r="F19" s="90">
        <f>SFP!X48</f>
        <v>528921206</v>
      </c>
      <c r="G19" s="90">
        <f>SFP!Y48</f>
        <v>528921206</v>
      </c>
      <c r="H19" s="90">
        <f>SFP!Z48</f>
        <v>528921206</v>
      </c>
      <c r="I19" s="90">
        <f>SFP!AA48</f>
        <v>528921206</v>
      </c>
      <c r="J19" s="90">
        <f>SFP!AB48</f>
        <v>528921206</v>
      </c>
      <c r="K19" s="90">
        <f>SFP!AC48</f>
        <v>528921206</v>
      </c>
      <c r="L19" s="90">
        <f>SFP!AD48</f>
        <v>528921221</v>
      </c>
      <c r="M19" s="90">
        <f>SFP!AE48</f>
        <v>528921221</v>
      </c>
      <c r="N19" s="90">
        <f>SFP!AF48</f>
        <v>528921221</v>
      </c>
      <c r="O19" s="90">
        <f>SFP!AG48</f>
        <v>528921221</v>
      </c>
      <c r="P19" s="90">
        <f>SFP!AH48</f>
        <v>528921221</v>
      </c>
      <c r="Q19" s="90">
        <f>SFP!AI48</f>
        <v>628651036</v>
      </c>
      <c r="R19" s="90">
        <f>SFP!AJ48</f>
        <v>629050281</v>
      </c>
      <c r="S19" s="90">
        <f>SFP!AK48</f>
        <v>628651036</v>
      </c>
      <c r="T19" s="90">
        <f>SFP!AL48</f>
        <v>628651036</v>
      </c>
      <c r="U19" s="90">
        <f>SFP!AM48</f>
        <v>628651036</v>
      </c>
      <c r="V19" s="90">
        <f>SFP!AN48</f>
        <v>628651036</v>
      </c>
      <c r="W19" s="90">
        <f>SFP!AO48</f>
        <v>628651036</v>
      </c>
      <c r="X19" s="90">
        <f>SFP!AP48</f>
        <v>0</v>
      </c>
      <c r="Y19" s="90">
        <f>SFP!AQ48</f>
        <v>628651036</v>
      </c>
      <c r="Z19" s="90">
        <f>SFP!AR48</f>
        <v>628651036</v>
      </c>
      <c r="AA19" s="90">
        <f>SFP!AS48</f>
        <v>628651036</v>
      </c>
      <c r="AB19" s="90">
        <f>SFP!AT48</f>
        <v>628651036</v>
      </c>
      <c r="AC19" s="90">
        <f>SFP!AU48</f>
        <v>628651036</v>
      </c>
      <c r="AD19" s="90">
        <f>SFP!AV48</f>
        <v>707922</v>
      </c>
      <c r="AE19" s="90">
        <f>SFP!AW48</f>
        <v>707922660</v>
      </c>
      <c r="AF19" s="90">
        <f>SFP!AX48</f>
        <v>707922660</v>
      </c>
      <c r="AG19" s="90">
        <f>SFP!AY48</f>
        <v>707922660</v>
      </c>
      <c r="AH19" s="90">
        <f>SFP!AZ48</f>
        <v>707922660</v>
      </c>
      <c r="AI19" s="90">
        <f>SFP!BA48</f>
        <v>707922660</v>
      </c>
      <c r="AJ19" s="90">
        <f>SFP!BB48</f>
        <v>707922660</v>
      </c>
      <c r="AK19" s="90">
        <f>SFP!BC48</f>
        <v>707922660</v>
      </c>
      <c r="AL19" s="90">
        <f>SFP!BD48</f>
        <v>707922660</v>
      </c>
      <c r="AM19" s="90">
        <f>SFP!BE48</f>
        <v>707922660</v>
      </c>
      <c r="AN19" s="90">
        <f>SFP!BF48</f>
        <v>707922660</v>
      </c>
      <c r="AO19" s="90">
        <f>SFP!BG48</f>
        <v>707922660</v>
      </c>
      <c r="AP19" s="90">
        <f>SFP!BH48</f>
        <v>847099120</v>
      </c>
      <c r="AQ19" s="90">
        <f>SFP!BI48</f>
        <v>847099119.8496747</v>
      </c>
      <c r="AR19" s="90">
        <f>SFP!BJ48</f>
        <v>847099120</v>
      </c>
      <c r="AS19" s="90">
        <f>SFP!BK48</f>
        <v>847099120</v>
      </c>
      <c r="AT19" s="90">
        <f>SFP!BL48</f>
        <v>847099120</v>
      </c>
      <c r="AU19" s="90">
        <f>SFP!BM48</f>
        <v>847099120</v>
      </c>
      <c r="AV19" s="90">
        <f>SFP!BN48</f>
        <v>847099120</v>
      </c>
      <c r="AW19" s="90">
        <f>SFP!BO48</f>
        <v>847099120</v>
      </c>
      <c r="AX19" s="90">
        <f>SFP!BP48</f>
        <v>847099120</v>
      </c>
      <c r="AY19" s="90">
        <f>SFP!BQ48</f>
        <v>847099120</v>
      </c>
      <c r="AZ19" s="90">
        <f>SFP!BR48</f>
        <v>847099120</v>
      </c>
      <c r="BA19" s="90">
        <f>SFP!BS48</f>
        <v>847099120</v>
      </c>
      <c r="BB19" s="90">
        <f>SFP!BT48</f>
        <v>847099120</v>
      </c>
      <c r="BC19" s="90">
        <f>SFP!BU48</f>
        <v>847099120</v>
      </c>
      <c r="BD19" s="90">
        <f>SFP!BV48</f>
        <v>984947000</v>
      </c>
      <c r="BE19" s="212"/>
      <c r="BF19" s="212"/>
      <c r="BG19" s="212"/>
    </row>
    <row r="20" spans="1:59">
      <c r="A20" s="229" t="s">
        <v>25</v>
      </c>
      <c r="B20" s="223" t="s">
        <v>26</v>
      </c>
      <c r="C20" s="83">
        <f>SFP!U49</f>
        <v>277550095</v>
      </c>
      <c r="D20" s="90">
        <f>SFP!V49</f>
        <v>816603183</v>
      </c>
      <c r="E20" s="90">
        <f>SFP!W49</f>
        <v>115511386</v>
      </c>
      <c r="F20" s="90">
        <f>SFP!X49</f>
        <v>113773755</v>
      </c>
      <c r="G20" s="90">
        <f>SFP!Y49</f>
        <v>113928755</v>
      </c>
      <c r="H20" s="90">
        <f>SFP!Z49</f>
        <v>114007755</v>
      </c>
      <c r="I20" s="90">
        <f>SFP!AA49</f>
        <v>114081255</v>
      </c>
      <c r="J20" s="90">
        <f>SFP!AB49</f>
        <v>114121255</v>
      </c>
      <c r="K20" s="90">
        <f>SFP!AC49</f>
        <v>114161755</v>
      </c>
      <c r="L20" s="90">
        <f>SFP!AD49</f>
        <v>114204255</v>
      </c>
      <c r="M20" s="90">
        <f>SFP!AE49</f>
        <v>114239255</v>
      </c>
      <c r="N20" s="90">
        <f>SFP!AF49</f>
        <v>114302255</v>
      </c>
      <c r="O20" s="90">
        <f>SFP!AG49</f>
        <v>114341117</v>
      </c>
      <c r="P20" s="90">
        <f>SFP!AH49</f>
        <v>114127437</v>
      </c>
      <c r="Q20" s="90">
        <f>SFP!AI49</f>
        <v>39575823</v>
      </c>
      <c r="R20" s="90">
        <f>SFP!AJ49</f>
        <v>39621323</v>
      </c>
      <c r="S20" s="90">
        <f>SFP!AK49</f>
        <v>39672423</v>
      </c>
      <c r="T20" s="90">
        <f>SFP!AL49</f>
        <v>39723923</v>
      </c>
      <c r="U20" s="90">
        <f>SFP!AM49</f>
        <v>39747423</v>
      </c>
      <c r="V20" s="90">
        <f>SFP!AN49</f>
        <v>39776923</v>
      </c>
      <c r="W20" s="90">
        <f>SFP!AO49</f>
        <v>39831422</v>
      </c>
      <c r="X20" s="90">
        <f>SFP!AP49</f>
        <v>0</v>
      </c>
      <c r="Y20" s="90">
        <f>SFP!AQ49</f>
        <v>39888923</v>
      </c>
      <c r="Z20" s="90">
        <f>SFP!AR49</f>
        <v>39924423</v>
      </c>
      <c r="AA20" s="90">
        <f>SFP!AS49</f>
        <v>39956923</v>
      </c>
      <c r="AB20" s="90">
        <f>SFP!AT49</f>
        <v>39978923</v>
      </c>
      <c r="AC20" s="90">
        <f>SFP!AU49</f>
        <v>39996623</v>
      </c>
      <c r="AD20" s="90">
        <f>SFP!AV49</f>
        <v>157301</v>
      </c>
      <c r="AE20" s="90">
        <f>SFP!AW49</f>
        <v>10685682</v>
      </c>
      <c r="AF20" s="90">
        <f>SFP!AX49</f>
        <v>10733182</v>
      </c>
      <c r="AG20" s="90">
        <f>SFP!AY49</f>
        <v>10794682</v>
      </c>
      <c r="AH20" s="90">
        <f>SFP!AZ49</f>
        <v>10896182</v>
      </c>
      <c r="AI20" s="90">
        <f>SFP!BA49</f>
        <v>10951682</v>
      </c>
      <c r="AJ20" s="90">
        <f>SFP!BB49</f>
        <v>11043182</v>
      </c>
      <c r="AK20" s="90">
        <f>SFP!BC49</f>
        <v>11130182</v>
      </c>
      <c r="AL20" s="90">
        <f>SFP!BD49</f>
        <v>11210682</v>
      </c>
      <c r="AM20" s="90">
        <f>SFP!BE49</f>
        <v>11262182</v>
      </c>
      <c r="AN20" s="90">
        <f>SFP!BF49</f>
        <v>11321682</v>
      </c>
      <c r="AO20" s="90">
        <f>SFP!BG49</f>
        <v>11375682</v>
      </c>
      <c r="AP20" s="90">
        <f>SFP!BH49</f>
        <v>267546287</v>
      </c>
      <c r="AQ20" s="90">
        <f>SFP!BI49</f>
        <v>220192172.35010496</v>
      </c>
      <c r="AR20" s="90">
        <f>SFP!BJ49</f>
        <v>228441061</v>
      </c>
      <c r="AS20" s="90">
        <f>SFP!BK49</f>
        <v>228496061</v>
      </c>
      <c r="AT20" s="90">
        <f>SFP!BL49</f>
        <v>228575061</v>
      </c>
      <c r="AU20" s="90">
        <f>SFP!BM49</f>
        <v>231630061</v>
      </c>
      <c r="AV20" s="90">
        <f>SFP!BN49</f>
        <v>228671061</v>
      </c>
      <c r="AW20" s="90">
        <f>SFP!BO49</f>
        <v>228718060.46000001</v>
      </c>
      <c r="AX20" s="90">
        <f>SFP!BP49</f>
        <v>228754561</v>
      </c>
      <c r="AY20" s="90">
        <f>SFP!BQ49</f>
        <v>228811061</v>
      </c>
      <c r="AZ20" s="90">
        <f>SFP!BR49</f>
        <v>228857561</v>
      </c>
      <c r="BA20" s="90">
        <f>SFP!BS49</f>
        <v>228921561</v>
      </c>
      <c r="BB20" s="90">
        <f>SFP!BT49</f>
        <v>228921561</v>
      </c>
      <c r="BC20" s="90">
        <f>SFP!BU49</f>
        <v>242372588</v>
      </c>
      <c r="BD20" s="90">
        <f>SFP!BV49</f>
        <v>219550000</v>
      </c>
      <c r="BE20" s="212"/>
      <c r="BF20" s="212"/>
      <c r="BG20" s="212"/>
    </row>
    <row r="21" spans="1:59">
      <c r="A21" s="229" t="s">
        <v>27</v>
      </c>
      <c r="B21" s="32" t="s">
        <v>28</v>
      </c>
      <c r="C21" s="83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212"/>
      <c r="BF21" s="212"/>
      <c r="BG21" s="212"/>
    </row>
    <row r="22" spans="1:59">
      <c r="A22" s="235" t="s">
        <v>29</v>
      </c>
      <c r="B22" s="223" t="s">
        <v>30</v>
      </c>
      <c r="C22" s="83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212"/>
      <c r="BF22" s="212"/>
      <c r="BG22" s="212"/>
    </row>
    <row r="23" spans="1:59">
      <c r="A23" s="236" t="s">
        <v>31</v>
      </c>
      <c r="B23" s="237"/>
      <c r="C23" s="9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212"/>
      <c r="BF23" s="212"/>
      <c r="BG23" s="212"/>
    </row>
    <row r="24" spans="1:59">
      <c r="A24" s="226"/>
      <c r="B24" s="238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212"/>
      <c r="BF24" s="212"/>
      <c r="BG24" s="212"/>
    </row>
    <row r="25" spans="1:59">
      <c r="A25" s="227">
        <v>6</v>
      </c>
      <c r="B25" s="33" t="s">
        <v>32</v>
      </c>
      <c r="C25" s="41">
        <f t="shared" ref="C25:K25" si="17">SUM(C26:C28)</f>
        <v>438411690</v>
      </c>
      <c r="D25" s="85">
        <f t="shared" si="17"/>
        <v>480969216</v>
      </c>
      <c r="E25" s="85">
        <f t="shared" si="17"/>
        <v>504037257</v>
      </c>
      <c r="F25" s="85">
        <f t="shared" si="17"/>
        <v>478357566</v>
      </c>
      <c r="G25" s="85">
        <f t="shared" si="17"/>
        <v>478801741</v>
      </c>
      <c r="H25" s="85">
        <f t="shared" si="17"/>
        <v>479245916</v>
      </c>
      <c r="I25" s="85">
        <f t="shared" si="17"/>
        <v>483490091</v>
      </c>
      <c r="J25" s="85">
        <f t="shared" si="17"/>
        <v>521934267</v>
      </c>
      <c r="K25" s="85">
        <f t="shared" si="17"/>
        <v>527548441</v>
      </c>
      <c r="L25" s="85">
        <f t="shared" ref="L25:Q25" si="18">SUM(L26:L28)</f>
        <v>577992616</v>
      </c>
      <c r="M25" s="85">
        <f t="shared" si="18"/>
        <v>578436791</v>
      </c>
      <c r="N25" s="85">
        <f t="shared" si="18"/>
        <v>616621966</v>
      </c>
      <c r="O25" s="85">
        <f t="shared" si="18"/>
        <v>627066141</v>
      </c>
      <c r="P25" s="85">
        <f t="shared" si="18"/>
        <v>627510316</v>
      </c>
      <c r="Q25" s="85">
        <f t="shared" si="18"/>
        <v>1521547182</v>
      </c>
      <c r="R25" s="85">
        <f t="shared" ref="R25:AD25" si="19">SUM(R26:R28)</f>
        <v>659934799</v>
      </c>
      <c r="S25" s="85">
        <f t="shared" si="19"/>
        <v>660378974</v>
      </c>
      <c r="T25" s="85">
        <f t="shared" si="19"/>
        <v>670823149</v>
      </c>
      <c r="U25" s="85">
        <f t="shared" si="19"/>
        <v>671267324</v>
      </c>
      <c r="V25" s="85">
        <f t="shared" si="19"/>
        <v>771711499</v>
      </c>
      <c r="W25" s="85">
        <f t="shared" si="19"/>
        <v>772155674</v>
      </c>
      <c r="X25" s="85">
        <f t="shared" si="19"/>
        <v>0</v>
      </c>
      <c r="Y25" s="85">
        <f t="shared" si="19"/>
        <v>919746690</v>
      </c>
      <c r="Z25" s="85">
        <f t="shared" si="19"/>
        <v>920190865</v>
      </c>
      <c r="AA25" s="85">
        <f t="shared" si="19"/>
        <v>920635040</v>
      </c>
      <c r="AB25" s="85">
        <f t="shared" si="19"/>
        <v>921079215</v>
      </c>
      <c r="AC25" s="85">
        <f t="shared" si="19"/>
        <v>875296140</v>
      </c>
      <c r="AD25" s="85">
        <f t="shared" si="19"/>
        <v>789087</v>
      </c>
      <c r="AE25" s="85">
        <f t="shared" ref="AE25:AP25" si="20">SUM(AE26:AE28)</f>
        <v>758115271</v>
      </c>
      <c r="AF25" s="85">
        <f t="shared" si="20"/>
        <v>758559446</v>
      </c>
      <c r="AG25" s="85">
        <f t="shared" si="20"/>
        <v>759003621</v>
      </c>
      <c r="AH25" s="85">
        <f t="shared" si="20"/>
        <v>809447796.28999996</v>
      </c>
      <c r="AI25" s="85">
        <f t="shared" si="20"/>
        <v>830248868</v>
      </c>
      <c r="AJ25" s="85">
        <f t="shared" si="20"/>
        <v>840693043</v>
      </c>
      <c r="AK25" s="85">
        <f t="shared" si="20"/>
        <v>980636018</v>
      </c>
      <c r="AL25" s="85">
        <f t="shared" si="20"/>
        <v>999431026</v>
      </c>
      <c r="AM25" s="85">
        <f t="shared" si="20"/>
        <v>999875201</v>
      </c>
      <c r="AN25" s="85">
        <f t="shared" si="20"/>
        <v>1000319376</v>
      </c>
      <c r="AO25" s="85">
        <f t="shared" si="20"/>
        <v>1010763551</v>
      </c>
      <c r="AP25" s="85">
        <f t="shared" si="20"/>
        <v>1012049201</v>
      </c>
      <c r="AQ25" s="85">
        <f>SUM(AQ26:AQ28)</f>
        <v>577206451</v>
      </c>
      <c r="AR25" s="85">
        <f t="shared" ref="AR25:AX25" si="21">SUM(AR26:AR28)</f>
        <v>1021463176</v>
      </c>
      <c r="AS25" s="85">
        <f t="shared" si="21"/>
        <v>1059917975</v>
      </c>
      <c r="AT25" s="85">
        <f t="shared" si="21"/>
        <v>1060362150</v>
      </c>
      <c r="AU25" s="85">
        <f t="shared" si="21"/>
        <v>1120362150</v>
      </c>
      <c r="AV25" s="85">
        <f t="shared" si="21"/>
        <v>1341091163</v>
      </c>
      <c r="AW25" s="85">
        <f t="shared" si="21"/>
        <v>1341535338</v>
      </c>
      <c r="AX25" s="85">
        <f t="shared" si="21"/>
        <v>1341979513</v>
      </c>
      <c r="AY25" s="85">
        <f>SUM(AY26:AY28)</f>
        <v>1352423688</v>
      </c>
      <c r="AZ25" s="85">
        <f t="shared" ref="AZ25:BD25" si="22">SUM(AZ26:AZ28)</f>
        <v>1352867862</v>
      </c>
      <c r="BA25" s="85">
        <f t="shared" si="22"/>
        <v>1553312037</v>
      </c>
      <c r="BB25" s="85">
        <f t="shared" si="22"/>
        <v>1561720950</v>
      </c>
      <c r="BC25" s="85">
        <f t="shared" si="22"/>
        <v>1562609300</v>
      </c>
      <c r="BD25" s="85">
        <f t="shared" si="22"/>
        <v>1541829000</v>
      </c>
      <c r="BE25" s="212"/>
      <c r="BF25" s="212"/>
      <c r="BG25" s="212"/>
    </row>
    <row r="26" spans="1:59">
      <c r="A26" s="229">
        <v>6.1</v>
      </c>
      <c r="B26" s="223" t="s">
        <v>33</v>
      </c>
      <c r="C26" s="83">
        <f>SFP!U12</f>
        <v>0</v>
      </c>
      <c r="D26" s="83">
        <f>SFP!V12</f>
        <v>0</v>
      </c>
      <c r="E26" s="83">
        <f>SFP!W12</f>
        <v>0</v>
      </c>
      <c r="F26" s="83">
        <f>SFP!X12</f>
        <v>0</v>
      </c>
      <c r="G26" s="83">
        <f>SFP!Y12</f>
        <v>0</v>
      </c>
      <c r="H26" s="83">
        <f>SFP!Z12</f>
        <v>0</v>
      </c>
      <c r="I26" s="83">
        <f>SFP!AA12</f>
        <v>0</v>
      </c>
      <c r="J26" s="83">
        <f>SFP!AB12</f>
        <v>0</v>
      </c>
      <c r="K26" s="83">
        <f>SFP!AC12</f>
        <v>0</v>
      </c>
      <c r="L26" s="83">
        <f>SFP!AD12</f>
        <v>0</v>
      </c>
      <c r="M26" s="83">
        <f>SFP!AE12</f>
        <v>0</v>
      </c>
      <c r="N26" s="83">
        <f>SFP!AF12</f>
        <v>0</v>
      </c>
      <c r="O26" s="83">
        <f>SFP!AG12</f>
        <v>0</v>
      </c>
      <c r="P26" s="83">
        <f>SFP!AH12</f>
        <v>0</v>
      </c>
      <c r="Q26" s="83">
        <f>SFP!AI12</f>
        <v>549538367</v>
      </c>
      <c r="R26" s="83">
        <f>SFP!AJ12</f>
        <v>549538366</v>
      </c>
      <c r="S26" s="83">
        <f>SFP!AK12</f>
        <v>549538366</v>
      </c>
      <c r="T26" s="83">
        <f>SFP!AL12</f>
        <v>559538366</v>
      </c>
      <c r="U26" s="83">
        <f>SFP!AM12</f>
        <v>559538366</v>
      </c>
      <c r="V26" s="83">
        <f>SFP!AN12</f>
        <v>559538366</v>
      </c>
      <c r="W26" s="83">
        <f>SFP!AO12</f>
        <v>559538366</v>
      </c>
      <c r="X26" s="83">
        <f>SFP!AP12</f>
        <v>0</v>
      </c>
      <c r="Y26" s="83">
        <f>SFP!AQ12</f>
        <v>603074365</v>
      </c>
      <c r="Z26" s="83">
        <f>SFP!AR12</f>
        <v>603074365</v>
      </c>
      <c r="AA26" s="83">
        <f>SFP!AS12</f>
        <v>603074365</v>
      </c>
      <c r="AB26" s="83">
        <f>SFP!AT12</f>
        <v>603074365</v>
      </c>
      <c r="AC26" s="83">
        <f>SFP!AU12</f>
        <v>603074365</v>
      </c>
      <c r="AD26" s="83">
        <f>SFP!AV12</f>
        <v>516866</v>
      </c>
      <c r="AE26" s="83">
        <f>SFP!AW12</f>
        <v>496509279</v>
      </c>
      <c r="AF26" s="83">
        <f>SFP!AX12</f>
        <v>496509279</v>
      </c>
      <c r="AG26" s="83">
        <f>SFP!AY12</f>
        <v>496509279</v>
      </c>
      <c r="AH26" s="83">
        <f>SFP!AZ12</f>
        <v>496509279.29000002</v>
      </c>
      <c r="AI26" s="83">
        <f>SFP!BA12</f>
        <v>516866176</v>
      </c>
      <c r="AJ26" s="83">
        <f>SFP!BB12</f>
        <v>526866176</v>
      </c>
      <c r="AK26" s="83">
        <f>SFP!BC12</f>
        <v>566364976</v>
      </c>
      <c r="AL26" s="83">
        <f>SFP!BD12</f>
        <v>566364976</v>
      </c>
      <c r="AM26" s="83">
        <f>SFP!BE12</f>
        <v>566364976</v>
      </c>
      <c r="AN26" s="83">
        <f>SFP!BF12</f>
        <v>566364976</v>
      </c>
      <c r="AO26" s="83">
        <f>SFP!BG12</f>
        <v>576364976</v>
      </c>
      <c r="AP26" s="83">
        <f>SFP!BH12</f>
        <v>577206451</v>
      </c>
      <c r="AQ26" s="83">
        <f>SFP!BI12</f>
        <v>577206451</v>
      </c>
      <c r="AR26" s="83">
        <f>SFP!BJ12</f>
        <v>577206451</v>
      </c>
      <c r="AS26" s="83">
        <f>SFP!BK12</f>
        <v>626321450</v>
      </c>
      <c r="AT26" s="83">
        <f>SFP!BL12</f>
        <v>626321450</v>
      </c>
      <c r="AU26" s="83">
        <f>SFP!BM12</f>
        <v>636321450</v>
      </c>
      <c r="AV26" s="83">
        <f>SFP!BN12</f>
        <v>636321450</v>
      </c>
      <c r="AW26" s="83">
        <f>SFP!BO12</f>
        <v>636321450</v>
      </c>
      <c r="AX26" s="83">
        <f>SFP!BP12</f>
        <v>636321450</v>
      </c>
      <c r="AY26" s="83">
        <f>SFP!BQ12</f>
        <v>646321450</v>
      </c>
      <c r="AZ26" s="83">
        <f>SFP!BR12</f>
        <v>646321450</v>
      </c>
      <c r="BA26" s="83">
        <f>SFP!BS12</f>
        <v>646321450</v>
      </c>
      <c r="BB26" s="83">
        <f>SFP!BT12</f>
        <v>646321450</v>
      </c>
      <c r="BC26" s="83">
        <f>SFP!BU12</f>
        <v>646321450</v>
      </c>
      <c r="BD26" s="83">
        <f>SFP!BV12</f>
        <v>625541000</v>
      </c>
      <c r="BE26" s="212"/>
      <c r="BF26" s="212"/>
      <c r="BG26" s="212"/>
    </row>
    <row r="27" spans="1:59">
      <c r="A27" s="229">
        <v>6.2</v>
      </c>
      <c r="B27" s="223" t="s">
        <v>34</v>
      </c>
      <c r="C27" s="83">
        <f>SFP!U13</f>
        <v>0</v>
      </c>
      <c r="D27" s="83">
        <f>SFP!V13</f>
        <v>480969216</v>
      </c>
      <c r="E27" s="83">
        <f>SFP!W13</f>
        <v>455597932</v>
      </c>
      <c r="F27" s="83">
        <f>SFP!X13</f>
        <v>429474066</v>
      </c>
      <c r="G27" s="83">
        <f>SFP!Y13</f>
        <v>429474066</v>
      </c>
      <c r="H27" s="83">
        <f>SFP!Z13</f>
        <v>429474066</v>
      </c>
      <c r="I27" s="83">
        <f>SFP!AA13</f>
        <v>429474066</v>
      </c>
      <c r="J27" s="83">
        <f>SFP!AB13</f>
        <v>467474067</v>
      </c>
      <c r="K27" s="83">
        <f>SFP!AC13</f>
        <v>472644066</v>
      </c>
      <c r="L27" s="83">
        <f>SFP!AD13</f>
        <v>472644066</v>
      </c>
      <c r="M27" s="83">
        <f>SFP!AE13</f>
        <v>472644066</v>
      </c>
      <c r="N27" s="83">
        <f>SFP!AF13</f>
        <v>510385066</v>
      </c>
      <c r="O27" s="83">
        <f>SFP!AG13</f>
        <v>520385066</v>
      </c>
      <c r="P27" s="83">
        <f>SFP!AH13</f>
        <v>520385066</v>
      </c>
      <c r="Q27" s="83">
        <f>SFP!AI13</f>
        <v>0</v>
      </c>
      <c r="R27" s="83">
        <f>SFP!AJ13</f>
        <v>0</v>
      </c>
      <c r="S27" s="83">
        <f>SFP!AK13</f>
        <v>0</v>
      </c>
      <c r="T27" s="83">
        <f>SFP!AL13</f>
        <v>0</v>
      </c>
      <c r="U27" s="83">
        <f>SFP!AM13</f>
        <v>0</v>
      </c>
      <c r="V27" s="83">
        <f>SFP!AN13</f>
        <v>0</v>
      </c>
      <c r="W27" s="83">
        <f>SFP!AO13</f>
        <v>0</v>
      </c>
      <c r="X27" s="83">
        <f>SFP!AP13</f>
        <v>0</v>
      </c>
      <c r="Y27" s="83">
        <f>SFP!AQ13</f>
        <v>0</v>
      </c>
      <c r="Z27" s="83">
        <f>SFP!AR13</f>
        <v>0</v>
      </c>
      <c r="AA27" s="83">
        <f>SFP!AS13</f>
        <v>0</v>
      </c>
      <c r="AB27" s="83">
        <f>SFP!AT13</f>
        <v>0</v>
      </c>
      <c r="AC27" s="83">
        <f>SFP!AU13</f>
        <v>0</v>
      </c>
      <c r="AD27" s="83">
        <f>SFP!AV13</f>
        <v>0</v>
      </c>
      <c r="AE27" s="83">
        <f>SFP!AW13</f>
        <v>0</v>
      </c>
      <c r="AF27" s="83">
        <f>SFP!AX13</f>
        <v>0</v>
      </c>
      <c r="AG27" s="83">
        <f>SFP!AY13</f>
        <v>0</v>
      </c>
      <c r="AH27" s="83">
        <f>SFP!AZ13</f>
        <v>0</v>
      </c>
      <c r="AI27" s="83">
        <f>SFP!BA13</f>
        <v>0</v>
      </c>
      <c r="AJ27" s="83">
        <f>SFP!BB13</f>
        <v>0</v>
      </c>
      <c r="AK27" s="83">
        <f>SFP!BC13</f>
        <v>0</v>
      </c>
      <c r="AL27" s="83">
        <f>SFP!BD13</f>
        <v>0</v>
      </c>
      <c r="AM27" s="83">
        <f>SFP!BE13</f>
        <v>0</v>
      </c>
      <c r="AN27" s="83">
        <f>SFP!BF13</f>
        <v>0</v>
      </c>
      <c r="AO27" s="83">
        <f>SFP!BG13</f>
        <v>0</v>
      </c>
      <c r="AP27" s="83">
        <f>SFP!BH13</f>
        <v>0</v>
      </c>
      <c r="AQ27" s="83">
        <f>SFP!BI13</f>
        <v>0</v>
      </c>
      <c r="AR27" s="83">
        <f>SFP!BJ13</f>
        <v>0</v>
      </c>
      <c r="AS27" s="83">
        <f>SFP!BK13</f>
        <v>0</v>
      </c>
      <c r="AT27" s="83">
        <f>SFP!BL13</f>
        <v>0</v>
      </c>
      <c r="AU27" s="83">
        <f>SFP!BM13</f>
        <v>0</v>
      </c>
      <c r="AV27" s="83">
        <f>SFP!BN13</f>
        <v>0</v>
      </c>
      <c r="AW27" s="83">
        <f>SFP!BO13</f>
        <v>0</v>
      </c>
      <c r="AX27" s="83">
        <f>SFP!BP13</f>
        <v>0</v>
      </c>
      <c r="AY27" s="83">
        <f>SFP!BQ13</f>
        <v>0</v>
      </c>
      <c r="AZ27" s="83">
        <f>SFP!BR13</f>
        <v>0</v>
      </c>
      <c r="BA27" s="83">
        <f>SFP!BS13</f>
        <v>0</v>
      </c>
      <c r="BB27" s="83">
        <f>SFP!BT13</f>
        <v>0</v>
      </c>
      <c r="BC27" s="83">
        <f>SFP!BU13</f>
        <v>0</v>
      </c>
      <c r="BD27" s="83">
        <f>SFP!BV13</f>
        <v>0</v>
      </c>
      <c r="BE27" s="212"/>
      <c r="BF27" s="212"/>
      <c r="BG27" s="212"/>
    </row>
    <row r="28" spans="1:59">
      <c r="A28" s="231">
        <v>6.3</v>
      </c>
      <c r="B28" s="237" t="s">
        <v>35</v>
      </c>
      <c r="C28" s="97">
        <f>SFP!U11</f>
        <v>438411690</v>
      </c>
      <c r="D28" s="97">
        <f>SFP!V11</f>
        <v>0</v>
      </c>
      <c r="E28" s="97">
        <f>SFP!W11</f>
        <v>48439325</v>
      </c>
      <c r="F28" s="97">
        <f>SFP!X11</f>
        <v>48883500</v>
      </c>
      <c r="G28" s="97">
        <f>SFP!Y11</f>
        <v>49327675</v>
      </c>
      <c r="H28" s="97">
        <f>SFP!Z11</f>
        <v>49771850</v>
      </c>
      <c r="I28" s="97">
        <f>SFP!AA11</f>
        <v>54016025</v>
      </c>
      <c r="J28" s="97">
        <f>SFP!AB11</f>
        <v>54460200</v>
      </c>
      <c r="K28" s="97">
        <f>SFP!AC11</f>
        <v>54904375</v>
      </c>
      <c r="L28" s="97">
        <f>SFP!AD11</f>
        <v>105348550</v>
      </c>
      <c r="M28" s="97">
        <f>SFP!AE11</f>
        <v>105792725</v>
      </c>
      <c r="N28" s="97">
        <f>SFP!AF11</f>
        <v>106236900</v>
      </c>
      <c r="O28" s="97">
        <f>SFP!AG11</f>
        <v>106681075</v>
      </c>
      <c r="P28" s="97">
        <f>SFP!AH11</f>
        <v>107125250</v>
      </c>
      <c r="Q28" s="97">
        <f>SFP!AI11</f>
        <v>972008815</v>
      </c>
      <c r="R28" s="97">
        <f>SFP!AJ11</f>
        <v>110396433</v>
      </c>
      <c r="S28" s="97">
        <f>SFP!AK11</f>
        <v>110840608</v>
      </c>
      <c r="T28" s="97">
        <f>SFP!AL11</f>
        <v>111284783</v>
      </c>
      <c r="U28" s="97">
        <f>SFP!AM11</f>
        <v>111728958</v>
      </c>
      <c r="V28" s="97">
        <f>SFP!AN11</f>
        <v>212173133</v>
      </c>
      <c r="W28" s="97">
        <f>SFP!AO11</f>
        <v>212617308</v>
      </c>
      <c r="X28" s="97">
        <f>SFP!AP11</f>
        <v>0</v>
      </c>
      <c r="Y28" s="97">
        <f>SFP!AQ11</f>
        <v>316672325</v>
      </c>
      <c r="Z28" s="97">
        <f>SFP!AR11</f>
        <v>317116500</v>
      </c>
      <c r="AA28" s="97">
        <f>SFP!AS11</f>
        <v>317560675</v>
      </c>
      <c r="AB28" s="97">
        <f>SFP!AT11</f>
        <v>318004850</v>
      </c>
      <c r="AC28" s="97">
        <f>SFP!AU11</f>
        <v>272221775</v>
      </c>
      <c r="AD28" s="97">
        <f>SFP!AV11</f>
        <v>272221</v>
      </c>
      <c r="AE28" s="97">
        <f>SFP!AW11</f>
        <v>261605992</v>
      </c>
      <c r="AF28" s="97">
        <f>SFP!AX11</f>
        <v>262050167</v>
      </c>
      <c r="AG28" s="97">
        <f>SFP!AY11</f>
        <v>262494342</v>
      </c>
      <c r="AH28" s="97">
        <f>SFP!AZ11</f>
        <v>312938517</v>
      </c>
      <c r="AI28" s="97">
        <f>SFP!BA11</f>
        <v>313382692</v>
      </c>
      <c r="AJ28" s="97">
        <f>SFP!BB11</f>
        <v>313826867</v>
      </c>
      <c r="AK28" s="97">
        <f>SFP!BC11</f>
        <v>414271042</v>
      </c>
      <c r="AL28" s="97">
        <f>SFP!BD11</f>
        <v>433066050</v>
      </c>
      <c r="AM28" s="97">
        <f>SFP!BE11</f>
        <v>433510225</v>
      </c>
      <c r="AN28" s="97">
        <f>SFP!BF11</f>
        <v>433954400</v>
      </c>
      <c r="AO28" s="97">
        <f>SFP!BG11</f>
        <v>434398575</v>
      </c>
      <c r="AP28" s="97">
        <f>SFP!BH11</f>
        <v>434842750</v>
      </c>
      <c r="AQ28" s="97">
        <f>SFP!BI11</f>
        <v>0</v>
      </c>
      <c r="AR28" s="97">
        <f>SFP!BJ11</f>
        <v>444256725</v>
      </c>
      <c r="AS28" s="97">
        <f>SFP!BK11</f>
        <v>433596525</v>
      </c>
      <c r="AT28" s="97">
        <f>SFP!BL11</f>
        <v>434040700</v>
      </c>
      <c r="AU28" s="97">
        <f>SFP!BM11</f>
        <v>484040700</v>
      </c>
      <c r="AV28" s="97">
        <f>SFP!BN11</f>
        <v>704769713</v>
      </c>
      <c r="AW28" s="97">
        <f>SFP!BO11</f>
        <v>705213888</v>
      </c>
      <c r="AX28" s="97">
        <f>SFP!BP11</f>
        <v>705658063</v>
      </c>
      <c r="AY28" s="97">
        <f>SFP!BQ11</f>
        <v>706102238</v>
      </c>
      <c r="AZ28" s="97">
        <f>SFP!BR11</f>
        <v>706546412</v>
      </c>
      <c r="BA28" s="97">
        <f>SFP!BS11</f>
        <v>906990587</v>
      </c>
      <c r="BB28" s="97">
        <f>SFP!BT11</f>
        <v>915399500</v>
      </c>
      <c r="BC28" s="97">
        <f>SFP!BU11</f>
        <v>916287850</v>
      </c>
      <c r="BD28" s="97">
        <f>SFP!BV11</f>
        <v>916288000</v>
      </c>
      <c r="BE28" s="212"/>
      <c r="BF28" s="212"/>
      <c r="BG28" s="212"/>
    </row>
    <row r="29" spans="1:59">
      <c r="A29" s="226"/>
      <c r="B29" s="239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212"/>
      <c r="BF29" s="212"/>
      <c r="BG29" s="212"/>
    </row>
    <row r="30" spans="1:59">
      <c r="A30" s="227">
        <v>7</v>
      </c>
      <c r="B30" s="240" t="s">
        <v>36</v>
      </c>
      <c r="C30" s="41">
        <f t="shared" ref="C30:K30" si="23">C31-C32</f>
        <v>6527159792</v>
      </c>
      <c r="D30" s="85">
        <f t="shared" si="23"/>
        <v>6735591075</v>
      </c>
      <c r="E30" s="85">
        <f t="shared" si="23"/>
        <v>6723378302</v>
      </c>
      <c r="F30" s="85">
        <f t="shared" si="23"/>
        <v>6701926883</v>
      </c>
      <c r="G30" s="85">
        <f t="shared" si="23"/>
        <v>6625163637</v>
      </c>
      <c r="H30" s="85">
        <f t="shared" si="23"/>
        <v>6469028018</v>
      </c>
      <c r="I30" s="85">
        <f t="shared" si="23"/>
        <v>6388246711</v>
      </c>
      <c r="J30" s="85">
        <f t="shared" si="23"/>
        <v>6355553649</v>
      </c>
      <c r="K30" s="85">
        <f t="shared" si="23"/>
        <v>6346942941</v>
      </c>
      <c r="L30" s="85">
        <f t="shared" ref="L30:Q30" si="24">L31-L32</f>
        <v>6394045272</v>
      </c>
      <c r="M30" s="85">
        <f t="shared" si="24"/>
        <v>6313982778.6300001</v>
      </c>
      <c r="N30" s="85">
        <f t="shared" si="24"/>
        <v>6341689131</v>
      </c>
      <c r="O30" s="85">
        <f t="shared" si="24"/>
        <v>6352660812.9499998</v>
      </c>
      <c r="P30" s="85">
        <f t="shared" si="24"/>
        <v>6340733097</v>
      </c>
      <c r="Q30" s="85">
        <f t="shared" si="24"/>
        <v>6368366021</v>
      </c>
      <c r="R30" s="85">
        <f t="shared" ref="R30:AD30" si="25">R31-R32</f>
        <v>6389015306</v>
      </c>
      <c r="S30" s="85">
        <f t="shared" si="25"/>
        <v>6364846241</v>
      </c>
      <c r="T30" s="85">
        <f t="shared" si="25"/>
        <v>6260241748</v>
      </c>
      <c r="U30" s="85">
        <f t="shared" si="25"/>
        <v>6178091344.8000002</v>
      </c>
      <c r="V30" s="85">
        <f t="shared" si="25"/>
        <v>6141681091.5</v>
      </c>
      <c r="W30" s="85">
        <f t="shared" si="25"/>
        <v>6098387632</v>
      </c>
      <c r="X30" s="85">
        <f t="shared" si="25"/>
        <v>0</v>
      </c>
      <c r="Y30" s="85">
        <f t="shared" si="25"/>
        <v>6222297355</v>
      </c>
      <c r="Z30" s="85">
        <f t="shared" si="25"/>
        <v>6256443145</v>
      </c>
      <c r="AA30" s="85">
        <f t="shared" si="25"/>
        <v>6464645267</v>
      </c>
      <c r="AB30" s="85">
        <f t="shared" si="25"/>
        <v>6624669552</v>
      </c>
      <c r="AC30" s="85">
        <f t="shared" si="25"/>
        <v>6732078950</v>
      </c>
      <c r="AD30" s="85">
        <f t="shared" si="25"/>
        <v>6732078</v>
      </c>
      <c r="AE30" s="85">
        <f t="shared" ref="AE30:AP30" si="26">AE31-AE32</f>
        <v>6733831799</v>
      </c>
      <c r="AF30" s="85">
        <f t="shared" si="26"/>
        <v>6672266544</v>
      </c>
      <c r="AG30" s="85">
        <f t="shared" si="26"/>
        <v>6747800355</v>
      </c>
      <c r="AH30" s="85">
        <f t="shared" si="26"/>
        <v>6801079617.71</v>
      </c>
      <c r="AI30" s="85">
        <f t="shared" si="26"/>
        <v>6899205826</v>
      </c>
      <c r="AJ30" s="85">
        <f t="shared" si="26"/>
        <v>6982886917</v>
      </c>
      <c r="AK30" s="85">
        <f t="shared" si="26"/>
        <v>7086790390</v>
      </c>
      <c r="AL30" s="85">
        <f t="shared" si="26"/>
        <v>7135560977</v>
      </c>
      <c r="AM30" s="85">
        <f t="shared" si="26"/>
        <v>7232269175</v>
      </c>
      <c r="AN30" s="85">
        <f t="shared" si="26"/>
        <v>7343578969</v>
      </c>
      <c r="AO30" s="85">
        <f t="shared" si="26"/>
        <v>7343399060</v>
      </c>
      <c r="AP30" s="85">
        <f t="shared" si="26"/>
        <v>7438827348</v>
      </c>
      <c r="AQ30" s="85">
        <f>AQ31-AQ32</f>
        <v>7446976736.4698038</v>
      </c>
      <c r="AR30" s="85">
        <f t="shared" ref="AR30:AX30" si="27">AR31-AR32</f>
        <v>7478701521</v>
      </c>
      <c r="AS30" s="85">
        <f t="shared" si="27"/>
        <v>7457150563</v>
      </c>
      <c r="AT30" s="85">
        <f t="shared" si="27"/>
        <v>7593543219</v>
      </c>
      <c r="AU30" s="85">
        <f t="shared" si="27"/>
        <v>7771124084</v>
      </c>
      <c r="AV30" s="85">
        <f t="shared" si="27"/>
        <v>7846012244</v>
      </c>
      <c r="AW30" s="85">
        <f t="shared" si="27"/>
        <v>7939928093</v>
      </c>
      <c r="AX30" s="85">
        <f t="shared" si="27"/>
        <v>8018130164</v>
      </c>
      <c r="AY30" s="85">
        <f>AY31-AY32</f>
        <v>8126486567</v>
      </c>
      <c r="AZ30" s="85">
        <f t="shared" ref="AZ30:BD30" si="28">AZ31-AZ32</f>
        <v>8387637088</v>
      </c>
      <c r="BA30" s="85">
        <f t="shared" si="28"/>
        <v>8598391265</v>
      </c>
      <c r="BB30" s="85">
        <f t="shared" si="28"/>
        <v>8822263729</v>
      </c>
      <c r="BC30" s="85">
        <f t="shared" si="28"/>
        <v>9042201427</v>
      </c>
      <c r="BD30" s="85">
        <f t="shared" si="28"/>
        <v>9122098000</v>
      </c>
      <c r="BE30" s="212"/>
      <c r="BF30" s="212"/>
      <c r="BG30" s="212"/>
    </row>
    <row r="31" spans="1:59">
      <c r="A31" s="229">
        <v>7.1</v>
      </c>
      <c r="B31" s="222" t="s">
        <v>37</v>
      </c>
      <c r="C31" s="83">
        <f>SFP!U15</f>
        <v>6677545533</v>
      </c>
      <c r="D31" s="90">
        <f>SFP!V15</f>
        <v>7151001513</v>
      </c>
      <c r="E31" s="90">
        <f>SFP!W15</f>
        <v>7136929610</v>
      </c>
      <c r="F31" s="90">
        <f>SFP!X15</f>
        <v>7117337321</v>
      </c>
      <c r="G31" s="90">
        <f>SFP!Y15</f>
        <v>7040574075</v>
      </c>
      <c r="H31" s="90">
        <f>SFP!Z15</f>
        <v>6884438456</v>
      </c>
      <c r="I31" s="90">
        <f>SFP!AA15</f>
        <v>6803657149</v>
      </c>
      <c r="J31" s="90">
        <f>SFP!AB15</f>
        <v>6770964087</v>
      </c>
      <c r="K31" s="90">
        <f>SFP!AC15</f>
        <v>6762353379</v>
      </c>
      <c r="L31" s="90">
        <f>SFP!AD15</f>
        <v>6809455710</v>
      </c>
      <c r="M31" s="90">
        <f>SFP!AE15</f>
        <v>6760058286</v>
      </c>
      <c r="N31" s="90">
        <f>SFP!AF15</f>
        <v>6783625125</v>
      </c>
      <c r="O31" s="90">
        <f>SFP!AG15</f>
        <v>6803155329</v>
      </c>
      <c r="P31" s="90">
        <f>SFP!AH15</f>
        <v>6805841374</v>
      </c>
      <c r="Q31" s="90">
        <f>SFP!AI15</f>
        <v>6805841374</v>
      </c>
      <c r="R31" s="90">
        <f>SFP!AJ15</f>
        <v>6848465939</v>
      </c>
      <c r="S31" s="90">
        <f>SFP!AK15</f>
        <v>6821066296</v>
      </c>
      <c r="T31" s="90">
        <f>SFP!AL15</f>
        <v>6704742205</v>
      </c>
      <c r="U31" s="90">
        <f>SFP!AM15</f>
        <v>6655440429</v>
      </c>
      <c r="V31" s="90">
        <f>SFP!AN15</f>
        <v>6616637952</v>
      </c>
      <c r="W31" s="90">
        <f>SFP!AO15</f>
        <v>6603562072</v>
      </c>
      <c r="X31" s="90">
        <f>SFP!AP15</f>
        <v>0</v>
      </c>
      <c r="Y31" s="90">
        <f>SFP!AQ15</f>
        <v>6732689976</v>
      </c>
      <c r="Z31" s="90">
        <f>SFP!AR15</f>
        <v>6867846697</v>
      </c>
      <c r="AA31" s="90">
        <f>SFP!AS15</f>
        <v>7003597287</v>
      </c>
      <c r="AB31" s="90">
        <f>SFP!AT15</f>
        <v>7120495675</v>
      </c>
      <c r="AC31" s="90">
        <f>SFP!AU15</f>
        <v>7229275042</v>
      </c>
      <c r="AD31" s="90">
        <f>SFP!AV15</f>
        <v>7274066</v>
      </c>
      <c r="AE31" s="90">
        <f>SFP!AW15</f>
        <v>7297723771</v>
      </c>
      <c r="AF31" s="90">
        <f>SFP!AX15</f>
        <v>7160658834.1199999</v>
      </c>
      <c r="AG31" s="90">
        <f>SFP!AY15</f>
        <v>7229581575</v>
      </c>
      <c r="AH31" s="90">
        <f>SFP!AZ15</f>
        <v>7308003887</v>
      </c>
      <c r="AI31" s="90">
        <f>SFP!BA15</f>
        <v>7368192747</v>
      </c>
      <c r="AJ31" s="90">
        <f>SFP!BB15</f>
        <v>7446866860</v>
      </c>
      <c r="AK31" s="90">
        <f>SFP!BC15</f>
        <v>7540941445</v>
      </c>
      <c r="AL31" s="90">
        <f>SFP!BD15</f>
        <v>7588117975</v>
      </c>
      <c r="AM31" s="90">
        <f>SFP!BE15</f>
        <v>7675939066</v>
      </c>
      <c r="AN31" s="90">
        <f>SFP!BF15</f>
        <v>7814271733</v>
      </c>
      <c r="AO31" s="90">
        <f>SFP!BG15</f>
        <v>7834821082.8999996</v>
      </c>
      <c r="AP31" s="90">
        <f>SFP!BH15</f>
        <v>7941611446</v>
      </c>
      <c r="AQ31" s="90">
        <f>SFP!BI15</f>
        <v>7941611445.5600214</v>
      </c>
      <c r="AR31" s="90">
        <f>SFP!BJ15</f>
        <v>7972031193</v>
      </c>
      <c r="AS31" s="90">
        <f>SFP!BK15</f>
        <v>7867778659</v>
      </c>
      <c r="AT31" s="90">
        <f>SFP!BL15</f>
        <v>8051864876</v>
      </c>
      <c r="AU31" s="90">
        <f>SFP!BM15</f>
        <v>8195838726</v>
      </c>
      <c r="AV31" s="90">
        <f>SFP!BN15</f>
        <v>8286754921</v>
      </c>
      <c r="AW31" s="90">
        <f>SFP!BO15</f>
        <v>8370380038</v>
      </c>
      <c r="AX31" s="90">
        <f>SFP!BP15</f>
        <v>8438093132</v>
      </c>
      <c r="AY31" s="90">
        <f>SFP!BQ15</f>
        <v>8585165858</v>
      </c>
      <c r="AZ31" s="90">
        <f>SFP!BR15</f>
        <v>8825044494</v>
      </c>
      <c r="BA31" s="90">
        <f>SFP!BS15</f>
        <v>9034235212</v>
      </c>
      <c r="BB31" s="90">
        <f>SFP!BT15</f>
        <v>9259219948</v>
      </c>
      <c r="BC31" s="90">
        <f>SFP!BU15</f>
        <v>9515328520</v>
      </c>
      <c r="BD31" s="90">
        <f>SFP!BV15</f>
        <v>9515329000</v>
      </c>
      <c r="BE31" s="212"/>
      <c r="BF31" s="212"/>
      <c r="BG31" s="212"/>
    </row>
    <row r="32" spans="1:59">
      <c r="A32" s="229">
        <v>7.3</v>
      </c>
      <c r="B32" s="222" t="s">
        <v>38</v>
      </c>
      <c r="C32" s="83">
        <f>SFP!U16</f>
        <v>150385741</v>
      </c>
      <c r="D32" s="90">
        <f>SFP!V16</f>
        <v>415410438</v>
      </c>
      <c r="E32" s="90">
        <f>SFP!W16</f>
        <v>413551308</v>
      </c>
      <c r="F32" s="90">
        <f>SFP!X16</f>
        <v>415410438</v>
      </c>
      <c r="G32" s="90">
        <f>SFP!Y16</f>
        <v>415410438</v>
      </c>
      <c r="H32" s="90">
        <f>SFP!Z16</f>
        <v>415410438</v>
      </c>
      <c r="I32" s="90">
        <f>SFP!AA16</f>
        <v>415410438</v>
      </c>
      <c r="J32" s="90">
        <f>SFP!AB16</f>
        <v>415410438</v>
      </c>
      <c r="K32" s="90">
        <f>SFP!AC16</f>
        <v>415410438</v>
      </c>
      <c r="L32" s="90">
        <f>SFP!AD16</f>
        <v>415410438</v>
      </c>
      <c r="M32" s="90">
        <f>SFP!AE16</f>
        <v>446075507.37</v>
      </c>
      <c r="N32" s="90">
        <f>SFP!AF16</f>
        <v>441935994</v>
      </c>
      <c r="O32" s="90">
        <f>SFP!AG16</f>
        <v>450494516.05000001</v>
      </c>
      <c r="P32" s="90">
        <f>SFP!AH16</f>
        <v>465108277</v>
      </c>
      <c r="Q32" s="90">
        <f>SFP!AI16</f>
        <v>437475353</v>
      </c>
      <c r="R32" s="90">
        <f>SFP!AJ16</f>
        <v>459450633</v>
      </c>
      <c r="S32" s="90">
        <f>SFP!AK16</f>
        <v>456220055</v>
      </c>
      <c r="T32" s="90">
        <f>SFP!AL16</f>
        <v>444500457</v>
      </c>
      <c r="U32" s="90">
        <f>SFP!AM16</f>
        <v>477349084.19999999</v>
      </c>
      <c r="V32" s="90">
        <f>SFP!AN16</f>
        <v>474956860.5</v>
      </c>
      <c r="W32" s="90">
        <f>SFP!AO16</f>
        <v>505174440</v>
      </c>
      <c r="X32" s="90">
        <f>SFP!AP16</f>
        <v>0</v>
      </c>
      <c r="Y32" s="90">
        <f>SFP!AQ16</f>
        <v>510392621</v>
      </c>
      <c r="Z32" s="90">
        <f>SFP!AR16</f>
        <v>611403552</v>
      </c>
      <c r="AA32" s="90">
        <f>SFP!AS16</f>
        <v>538952020</v>
      </c>
      <c r="AB32" s="90">
        <f>SFP!AT16</f>
        <v>495826123</v>
      </c>
      <c r="AC32" s="90">
        <f>SFP!AU16</f>
        <v>497196092</v>
      </c>
      <c r="AD32" s="90">
        <f>SFP!AV16</f>
        <v>541988</v>
      </c>
      <c r="AE32" s="90">
        <f>SFP!AW16</f>
        <v>563891972</v>
      </c>
      <c r="AF32" s="90">
        <f>SFP!AX16</f>
        <v>488392290.12</v>
      </c>
      <c r="AG32" s="90">
        <f>SFP!AY16</f>
        <v>481781220</v>
      </c>
      <c r="AH32" s="90">
        <f>SFP!AZ16</f>
        <v>506924269.29000002</v>
      </c>
      <c r="AI32" s="90">
        <f>SFP!BA16</f>
        <v>468986921</v>
      </c>
      <c r="AJ32" s="90">
        <f>SFP!BB16</f>
        <v>463979943</v>
      </c>
      <c r="AK32" s="90">
        <f>SFP!BC16</f>
        <v>454151055</v>
      </c>
      <c r="AL32" s="90">
        <f>SFP!BD16</f>
        <v>452556998</v>
      </c>
      <c r="AM32" s="90">
        <f>SFP!BE16</f>
        <v>443669891</v>
      </c>
      <c r="AN32" s="90">
        <f>SFP!BF16</f>
        <v>470692764</v>
      </c>
      <c r="AO32" s="90">
        <f>SFP!BG16</f>
        <v>491422022.89999998</v>
      </c>
      <c r="AP32" s="90">
        <f>SFP!BH16</f>
        <v>502784098</v>
      </c>
      <c r="AQ32" s="90">
        <f>SFP!BI16</f>
        <v>494634709.09021765</v>
      </c>
      <c r="AR32" s="90">
        <f>SFP!BJ16</f>
        <v>493329672</v>
      </c>
      <c r="AS32" s="90">
        <f>SFP!BK16</f>
        <v>410628096</v>
      </c>
      <c r="AT32" s="90">
        <f>SFP!BL16</f>
        <v>458321657</v>
      </c>
      <c r="AU32" s="90">
        <f>SFP!BM16</f>
        <v>424714642</v>
      </c>
      <c r="AV32" s="90">
        <f>SFP!BN16</f>
        <v>440742677</v>
      </c>
      <c r="AW32" s="90">
        <f>SFP!BO16</f>
        <v>430451945</v>
      </c>
      <c r="AX32" s="90">
        <f>SFP!BP16</f>
        <v>419962968</v>
      </c>
      <c r="AY32" s="90">
        <f>SFP!BQ16</f>
        <v>458679291</v>
      </c>
      <c r="AZ32" s="90">
        <f>SFP!BR16</f>
        <v>437407406</v>
      </c>
      <c r="BA32" s="90">
        <f>SFP!BS16</f>
        <v>435843947</v>
      </c>
      <c r="BB32" s="90">
        <f>SFP!BT16</f>
        <v>436956219</v>
      </c>
      <c r="BC32" s="90">
        <f>SFP!BU16</f>
        <v>473127093</v>
      </c>
      <c r="BD32" s="90">
        <f>SFP!BV16</f>
        <v>393231000</v>
      </c>
      <c r="BE32" s="212"/>
      <c r="BF32" s="212"/>
      <c r="BG32" s="212"/>
    </row>
    <row r="33" spans="1:59">
      <c r="A33" s="224">
        <v>7.4</v>
      </c>
      <c r="B33" s="222" t="s">
        <v>39</v>
      </c>
      <c r="C33" s="99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212"/>
      <c r="BF33" s="212"/>
      <c r="BG33" s="212"/>
    </row>
    <row r="34" spans="1:59">
      <c r="A34" s="229">
        <v>7.56666666666667</v>
      </c>
      <c r="B34" s="222" t="s">
        <v>40</v>
      </c>
      <c r="C34" s="101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212"/>
      <c r="BF34" s="212"/>
      <c r="BG34" s="212"/>
    </row>
    <row r="35" spans="1:59">
      <c r="A35" s="229">
        <v>7.7166666666666703</v>
      </c>
      <c r="B35" s="34" t="s">
        <v>41</v>
      </c>
      <c r="C35" s="99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212"/>
      <c r="BF35" s="212"/>
      <c r="BG35" s="212"/>
    </row>
    <row r="36" spans="1:59">
      <c r="A36" s="231">
        <v>7.8666666666666698</v>
      </c>
      <c r="B36" s="86" t="s">
        <v>42</v>
      </c>
      <c r="C36" s="97">
        <f>SFP!U4</f>
        <v>429143643</v>
      </c>
      <c r="D36" s="98">
        <f>SFP!V4</f>
        <v>750100001</v>
      </c>
      <c r="E36" s="98">
        <f>SFP!W4</f>
        <v>812532694</v>
      </c>
      <c r="F36" s="98">
        <f>SFP!X4</f>
        <v>938755546</v>
      </c>
      <c r="G36" s="98">
        <f>SFP!Y4</f>
        <v>1105837097</v>
      </c>
      <c r="H36" s="98">
        <f>SFP!Z4</f>
        <v>799400736</v>
      </c>
      <c r="I36" s="98">
        <f>SFP!AA4</f>
        <v>883354226</v>
      </c>
      <c r="J36" s="98">
        <f>SFP!AB4</f>
        <v>1024877296</v>
      </c>
      <c r="K36" s="98">
        <f>SFP!AC4</f>
        <v>1065386619</v>
      </c>
      <c r="L36" s="98">
        <f>SFP!AD4</f>
        <v>1333964889</v>
      </c>
      <c r="M36" s="98">
        <f>SFP!AE4</f>
        <v>1359511226</v>
      </c>
      <c r="N36" s="98">
        <f>SFP!AF4</f>
        <v>1471260848</v>
      </c>
      <c r="O36" s="98">
        <f>SFP!AG4</f>
        <v>1445038122</v>
      </c>
      <c r="P36" s="98">
        <f>SFP!AH4</f>
        <v>1604702790</v>
      </c>
      <c r="Q36" s="98">
        <f>SFP!AI4</f>
        <v>779458417</v>
      </c>
      <c r="R36" s="98">
        <f>SFP!AJ4</f>
        <v>1731709527</v>
      </c>
      <c r="S36" s="98">
        <f>SFP!AK4</f>
        <v>1878580850</v>
      </c>
      <c r="T36" s="98">
        <f>SFP!AL4</f>
        <v>1738475270</v>
      </c>
      <c r="U36" s="98">
        <f>SFP!AM4</f>
        <v>1839857154</v>
      </c>
      <c r="V36" s="98">
        <f>SFP!AN4</f>
        <v>1810798881</v>
      </c>
      <c r="W36" s="98">
        <f>SFP!AO4</f>
        <v>2104482987</v>
      </c>
      <c r="X36" s="98">
        <f>SFP!AP4</f>
        <v>0</v>
      </c>
      <c r="Y36" s="98">
        <f>SFP!AQ4</f>
        <v>1954381498</v>
      </c>
      <c r="Z36" s="98">
        <f>SFP!AR4</f>
        <v>1975034505</v>
      </c>
      <c r="AA36" s="98">
        <f>SFP!AS4</f>
        <v>1966331526</v>
      </c>
      <c r="AB36" s="98">
        <f>SFP!AT4</f>
        <v>1989483393</v>
      </c>
      <c r="AC36" s="98">
        <f>SFP!AU4</f>
        <v>2082110709</v>
      </c>
      <c r="AD36" s="98">
        <f>SFP!AV4</f>
        <v>2082265</v>
      </c>
      <c r="AE36" s="98">
        <f>SFP!AW4</f>
        <v>2048221227</v>
      </c>
      <c r="AF36" s="98">
        <f>SFP!AX4</f>
        <v>2038457064</v>
      </c>
      <c r="AG36" s="98">
        <f>SFP!AY4</f>
        <v>1810637980</v>
      </c>
      <c r="AH36" s="98">
        <f>SFP!AZ4</f>
        <v>1833063801</v>
      </c>
      <c r="AI36" s="98">
        <f>SFP!BA4</f>
        <v>1800427693</v>
      </c>
      <c r="AJ36" s="98">
        <f>SFP!BB4</f>
        <v>2056758939</v>
      </c>
      <c r="AK36" s="98">
        <f>SFP!BC4</f>
        <v>2246653220</v>
      </c>
      <c r="AL36" s="98">
        <f>SFP!BD4</f>
        <v>2084437671</v>
      </c>
      <c r="AM36" s="98">
        <f>SFP!BE4</f>
        <v>2203129740</v>
      </c>
      <c r="AN36" s="98">
        <f>SFP!BF4</f>
        <v>2123102386</v>
      </c>
      <c r="AO36" s="98">
        <f>SFP!BG4</f>
        <v>2265007455</v>
      </c>
      <c r="AP36" s="98">
        <f>SFP!BH4</f>
        <v>2344714504</v>
      </c>
      <c r="AQ36" s="98">
        <f>SFP!BI4</f>
        <v>2779557254</v>
      </c>
      <c r="AR36" s="98">
        <f>SFP!BJ4</f>
        <v>2495445563</v>
      </c>
      <c r="AS36" s="98">
        <f>SFP!BK4</f>
        <v>2289708969</v>
      </c>
      <c r="AT36" s="98">
        <f>SFP!BL4</f>
        <v>2143754856</v>
      </c>
      <c r="AU36" s="98">
        <f>SFP!BM4</f>
        <v>1978466473</v>
      </c>
      <c r="AV36" s="98">
        <f>SFP!BN4</f>
        <v>1758812710</v>
      </c>
      <c r="AW36" s="98">
        <f>SFP!BO4</f>
        <v>2116457888</v>
      </c>
      <c r="AX36" s="98">
        <f>SFP!BP4</f>
        <v>2019243777</v>
      </c>
      <c r="AY36" s="98">
        <f>SFP!BQ4</f>
        <v>1911135605</v>
      </c>
      <c r="AZ36" s="98">
        <f>SFP!BR4</f>
        <v>1844438135</v>
      </c>
      <c r="BA36" s="98">
        <f>SFP!BS4</f>
        <v>1553585327</v>
      </c>
      <c r="BB36" s="98">
        <f>SFP!BT4</f>
        <v>1526807019</v>
      </c>
      <c r="BC36" s="98">
        <f>SFP!BU4</f>
        <v>1471318958</v>
      </c>
      <c r="BD36" s="98">
        <f>SFP!BV4</f>
        <v>1471320000</v>
      </c>
      <c r="BE36" s="212"/>
      <c r="BF36" s="212"/>
      <c r="BG36" s="212"/>
    </row>
    <row r="37" spans="1:59">
      <c r="A37" s="226"/>
      <c r="B37" s="24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212"/>
      <c r="BF37" s="212"/>
      <c r="BG37" s="212"/>
    </row>
    <row r="38" spans="1:59">
      <c r="A38" s="227">
        <v>8</v>
      </c>
      <c r="B38" s="240" t="s">
        <v>43</v>
      </c>
      <c r="C38" s="41">
        <f>SFP!U7+SFP!U17+SFP!U21-SFP!U22</f>
        <v>365513490</v>
      </c>
      <c r="D38" s="85">
        <f>SFP!V7+SFP!V17+SFP!V21-SFP!V22</f>
        <v>363650426</v>
      </c>
      <c r="E38" s="85">
        <f>SFP!W7+SFP!W17+SFP!W21-SFP!W22</f>
        <v>535322373</v>
      </c>
      <c r="F38" s="85">
        <f>SFP!X7+SFP!X17+SFP!X21-SFP!X22</f>
        <v>454442406</v>
      </c>
      <c r="G38" s="85">
        <f>SFP!Y7+SFP!Y17+SFP!Y21-SFP!Y22</f>
        <v>453512747</v>
      </c>
      <c r="H38" s="85">
        <f>SFP!Z7+SFP!Z17+SFP!Z21-SFP!Z22</f>
        <v>417129049</v>
      </c>
      <c r="I38" s="85">
        <f>SFP!AA7+SFP!AA17+SFP!AA21-SFP!AA22</f>
        <v>413023036</v>
      </c>
      <c r="J38" s="85">
        <f>SFP!AB7+SFP!AB17+SFP!AB21-SFP!AB22</f>
        <v>419618328</v>
      </c>
      <c r="K38" s="85">
        <f>SFP!AC7+SFP!AC17+SFP!AC21-SFP!AC22</f>
        <v>472633156</v>
      </c>
      <c r="L38" s="85">
        <f>SFP!AD7+SFP!AD17+SFP!AD21-SFP!AD22</f>
        <v>360998015</v>
      </c>
      <c r="M38" s="85">
        <f>SFP!AE7+SFP!AE17+SFP!AE21-SFP!AE22</f>
        <v>530426481.37</v>
      </c>
      <c r="N38" s="85">
        <f>SFP!AF7+SFP!AF17+SFP!AF21-SFP!AF22</f>
        <v>511533356</v>
      </c>
      <c r="O38" s="85">
        <f>SFP!AG7+SFP!AG17+SFP!AG21-SFP!AG22</f>
        <v>351188693</v>
      </c>
      <c r="P38" s="85">
        <f>SFP!AH7+SFP!AH17+SFP!AH21-SFP!AH22</f>
        <v>411680348</v>
      </c>
      <c r="Q38" s="85">
        <f>SFP!AI7+SFP!AI17+SFP!AI21-SFP!AI22</f>
        <v>415460971</v>
      </c>
      <c r="R38" s="85">
        <f>SFP!AJ7+SFP!AJ17+SFP!AJ21-SFP!AJ22</f>
        <v>465983735</v>
      </c>
      <c r="S38" s="85">
        <f>SFP!AK7+SFP!AK17+SFP!AK21-SFP!AK22</f>
        <v>426877358</v>
      </c>
      <c r="T38" s="85">
        <f>SFP!AL7+SFP!AL17+SFP!AL21-SFP!AL22</f>
        <v>473392052</v>
      </c>
      <c r="U38" s="85">
        <f>SFP!AM7+SFP!AM17+SFP!AM21-SFP!AM22</f>
        <v>530703691.20000005</v>
      </c>
      <c r="V38" s="85">
        <f>SFP!AN7+SFP!AN17+SFP!AN21-SFP!AN22</f>
        <v>455883670</v>
      </c>
      <c r="W38" s="85">
        <f>SFP!AO7+SFP!AO17+SFP!AO21-SFP!AO22</f>
        <v>314284713</v>
      </c>
      <c r="X38" s="85">
        <f>SFP!AQ7+SFP!AP17+SFP!AP21-SFP!AP22</f>
        <v>444754612</v>
      </c>
      <c r="Y38" s="85">
        <f>SFP!AR7+SFP!AQ17+SFP!AQ21-SFP!AQ22</f>
        <v>500888407</v>
      </c>
      <c r="Z38" s="85">
        <f>SFP!AS7+SFP!AR17+SFP!AR21-SFP!AR22</f>
        <v>494777306</v>
      </c>
      <c r="AA38" s="85">
        <f>SFP!AT7+SFP!AS17+SFP!AS21-SFP!AS22</f>
        <v>524507513</v>
      </c>
      <c r="AB38" s="85">
        <f>SFP!AU7+SFP!AT17+SFP!AT21-SFP!AT22</f>
        <v>481977030</v>
      </c>
      <c r="AC38" s="85" t="e">
        <f>SFP!#REF!+SFP!AU17+SFP!AU21-SFP!AU22</f>
        <v>#REF!</v>
      </c>
      <c r="AD38" s="85">
        <f>SFP!AV7+SFP!AV17+SFP!AV21-SFP!AV22</f>
        <v>570700</v>
      </c>
      <c r="AE38" s="85">
        <f>SFP!AW7+SFP!AW17+SFP!AW21-SFP!AW22</f>
        <v>625922229</v>
      </c>
      <c r="AF38" s="85">
        <f>SFP!AX7+SFP!AX17+SFP!AX21-SFP!AX22</f>
        <v>520573369</v>
      </c>
      <c r="AG38" s="85">
        <f>SFP!AY7+SFP!AY17+SFP!AY21-SFP!AY22</f>
        <v>523234323</v>
      </c>
      <c r="AH38" s="85">
        <f>SFP!AZ7+SFP!AZ17+SFP!AZ21-SFP!AZ22</f>
        <v>479381954</v>
      </c>
      <c r="AI38" s="85">
        <f>SFP!BA7+SFP!BA17+SFP!BA21-SFP!BA22</f>
        <v>477346147</v>
      </c>
      <c r="AJ38" s="85">
        <f>SFP!BB7+SFP!BB17+SFP!BB21-SFP!BB22</f>
        <v>385026122</v>
      </c>
      <c r="AK38" s="85">
        <f>SFP!BC7+SFP!BC17+SFP!BC21-SFP!BC22</f>
        <v>335073363</v>
      </c>
      <c r="AL38" s="85">
        <f>SFP!BD7+SFP!BD17+SFP!BD21-SFP!BD22</f>
        <v>405841545</v>
      </c>
      <c r="AM38" s="85">
        <f>SFP!BE7+SFP!BE17+SFP!BE21-SFP!BE22</f>
        <v>313949125</v>
      </c>
      <c r="AN38" s="85">
        <f>SFP!BF7+SFP!BF17+SFP!BF21-SFP!BF22</f>
        <v>398913295</v>
      </c>
      <c r="AO38" s="85">
        <f>SFP!BG7+SFP!BG17+SFP!BG21-SFP!BG22</f>
        <v>471479148</v>
      </c>
      <c r="AP38" s="85">
        <f>SFP!BH7+SFP!BH17+SFP!BH21-SFP!BH22</f>
        <v>589293054</v>
      </c>
      <c r="AQ38" s="85">
        <f>SFP!BI7+SFP!BI17+SFP!BI21-SFP!BI22</f>
        <v>581143664.29883814</v>
      </c>
      <c r="AR38" s="85">
        <f>SFP!BJ7+SFP!BJ17+SFP!BJ21-SFP!BJ22</f>
        <v>516750404</v>
      </c>
      <c r="AS38" s="85">
        <f>SFP!BK7+SFP!BK17+SFP!BK21-SFP!BK22</f>
        <v>494419928</v>
      </c>
      <c r="AT38" s="85">
        <f>SFP!BL7+SFP!BL17+SFP!BL21-SFP!BL22</f>
        <v>514971500</v>
      </c>
      <c r="AU38" s="85">
        <f>SFP!BM7+SFP!BM17+SFP!BM21-SFP!BM22</f>
        <v>451068057</v>
      </c>
      <c r="AV38" s="85">
        <f>SFP!BN7+SFP!BN17+SFP!BN21-SFP!BN22</f>
        <v>417886115</v>
      </c>
      <c r="AW38" s="85">
        <f>SFP!BO7+SFP!BO17+SFP!BO21-SFP!BO22</f>
        <v>111743276</v>
      </c>
      <c r="AX38" s="85">
        <f>SFP!BP7+SFP!BP17+SFP!BP21-SFP!BP22</f>
        <v>359699784</v>
      </c>
      <c r="AY38" s="85">
        <f>SFP!BQ7+SFP!BQ17+SFP!BQ21-SFP!BQ22</f>
        <v>375772536</v>
      </c>
      <c r="AZ38" s="85">
        <f>SFP!BR7+SFP!BR17+SFP!BR21-SFP!BR22</f>
        <v>355094343</v>
      </c>
      <c r="BA38" s="85">
        <f>SFP!BS7+SFP!BS17+SFP!BS21-SFP!BS22</f>
        <v>372616559</v>
      </c>
      <c r="BB38" s="85">
        <f>SFP!BT7+SFP!BT17+SFP!BT21-SFP!BT22</f>
        <v>398872592</v>
      </c>
      <c r="BC38" s="85">
        <f>SFP!BU7+SFP!BU17+SFP!BU21-SFP!BU22</f>
        <v>498258016</v>
      </c>
      <c r="BD38" s="85">
        <f>SFP!BV7+SFP!BV17+SFP!BV21-SFP!BV22</f>
        <v>514977000</v>
      </c>
      <c r="BE38" s="212"/>
      <c r="BF38" s="212"/>
      <c r="BG38" s="212"/>
    </row>
    <row r="39" spans="1:59">
      <c r="A39" s="229">
        <v>8.1</v>
      </c>
      <c r="B39" s="222" t="s">
        <v>44</v>
      </c>
      <c r="C39" s="83">
        <f>SFP!U23</f>
        <v>36326430</v>
      </c>
      <c r="D39" s="90">
        <f>SFP!V23</f>
        <v>32449324</v>
      </c>
      <c r="E39" s="90">
        <f>SFP!W23</f>
        <v>31896736</v>
      </c>
      <c r="F39" s="90">
        <f>SFP!X23</f>
        <v>32507453</v>
      </c>
      <c r="G39" s="90">
        <f>SFP!Y23</f>
        <v>32000246</v>
      </c>
      <c r="H39" s="90">
        <f>SFP!Z23</f>
        <v>31493038</v>
      </c>
      <c r="I39" s="90">
        <f>SFP!AA23</f>
        <v>32562424</v>
      </c>
      <c r="J39" s="90">
        <f>SFP!AB23</f>
        <v>32085699</v>
      </c>
      <c r="K39" s="90">
        <f>SFP!AC23</f>
        <v>31615018</v>
      </c>
      <c r="L39" s="90">
        <f>SFP!AD23</f>
        <v>31123306</v>
      </c>
      <c r="M39" s="90">
        <f>SFP!AE23</f>
        <v>30818436</v>
      </c>
      <c r="N39" s="90">
        <f>SFP!AF23</f>
        <v>30263500</v>
      </c>
      <c r="O39" s="90">
        <f>SFP!AG23</f>
        <v>30280027</v>
      </c>
      <c r="P39" s="90">
        <f>SFP!AH23</f>
        <v>29907812</v>
      </c>
      <c r="Q39" s="90">
        <f>SFP!AI23</f>
        <v>34491857</v>
      </c>
      <c r="R39" s="90">
        <f>SFP!AJ23</f>
        <v>28837877</v>
      </c>
      <c r="S39" s="90">
        <f>SFP!AK23</f>
        <v>28406139</v>
      </c>
      <c r="T39" s="90">
        <f>SFP!AL23</f>
        <v>30055457</v>
      </c>
      <c r="U39" s="90">
        <f>SFP!AM23</f>
        <v>29733651.199999999</v>
      </c>
      <c r="V39" s="90">
        <f>SFP!AN23</f>
        <v>29222411</v>
      </c>
      <c r="W39" s="90">
        <f>SFP!AO23</f>
        <v>28783987</v>
      </c>
      <c r="X39" s="90">
        <f>SFP!AP23</f>
        <v>0</v>
      </c>
      <c r="Y39" s="90">
        <f>SFP!AQ23</f>
        <v>29045904</v>
      </c>
      <c r="Z39" s="90">
        <f>SFP!AR23</f>
        <v>28500732</v>
      </c>
      <c r="AA39" s="90">
        <f>SFP!AS23</f>
        <v>27955561</v>
      </c>
      <c r="AB39" s="90">
        <f>SFP!AT23</f>
        <v>41657993</v>
      </c>
      <c r="AC39" s="90">
        <f>SFP!AU23</f>
        <v>41150633</v>
      </c>
      <c r="AD39" s="90">
        <f>SFP!AV23</f>
        <v>137151</v>
      </c>
      <c r="AE39" s="90">
        <f>SFP!AW23</f>
        <v>136607232</v>
      </c>
      <c r="AF39" s="90">
        <f>SFP!AX23</f>
        <v>131696263</v>
      </c>
      <c r="AG39" s="90">
        <f>SFP!AY23</f>
        <v>135520431</v>
      </c>
      <c r="AH39" s="90">
        <f>SFP!AZ23</f>
        <v>134977030</v>
      </c>
      <c r="AI39" s="90">
        <f>SFP!BA23</f>
        <v>136348677</v>
      </c>
      <c r="AJ39" s="90">
        <f>SFP!BB23</f>
        <v>135813414</v>
      </c>
      <c r="AK39" s="90">
        <f>SFP!BC23</f>
        <v>135224223</v>
      </c>
      <c r="AL39" s="90">
        <f>SFP!BD23</f>
        <v>134635032</v>
      </c>
      <c r="AM39" s="90">
        <f>SFP!BE23</f>
        <v>134045841</v>
      </c>
      <c r="AN39" s="90">
        <f>SFP!BF23</f>
        <v>133739668</v>
      </c>
      <c r="AO39" s="90">
        <f>SFP!BG23</f>
        <v>133904344</v>
      </c>
      <c r="AP39" s="90">
        <f>SFP!BH23</f>
        <v>136937775</v>
      </c>
      <c r="AQ39" s="90">
        <f>SFP!BI23</f>
        <v>136937774.81315413</v>
      </c>
      <c r="AR39" s="90">
        <f>SFP!BJ23</f>
        <v>136410265</v>
      </c>
      <c r="AS39" s="90">
        <f>SFP!BK23</f>
        <v>135882755</v>
      </c>
      <c r="AT39" s="90">
        <f>SFP!BL23</f>
        <v>135355245</v>
      </c>
      <c r="AU39" s="90">
        <f>SFP!BM23</f>
        <v>134827735</v>
      </c>
      <c r="AV39" s="90">
        <f>SFP!BN23</f>
        <v>134300226</v>
      </c>
      <c r="AW39" s="90">
        <f>SFP!BO23</f>
        <v>131747716</v>
      </c>
      <c r="AX39" s="90">
        <f>SFP!BP23</f>
        <v>131220206</v>
      </c>
      <c r="AY39" s="90">
        <f>SFP!BQ23</f>
        <v>130692696</v>
      </c>
      <c r="AZ39" s="90">
        <f>SFP!BR23</f>
        <v>131587359</v>
      </c>
      <c r="BA39" s="90">
        <f>SFP!BS23</f>
        <v>131023383</v>
      </c>
      <c r="BB39" s="90">
        <f>SFP!BT23</f>
        <v>133599380</v>
      </c>
      <c r="BC39" s="90">
        <f>SFP!BU23</f>
        <v>133616256</v>
      </c>
      <c r="BD39" s="90">
        <f>SFP!BV23</f>
        <v>133616000</v>
      </c>
      <c r="BE39" s="212"/>
      <c r="BF39" s="212"/>
      <c r="BG39" s="212"/>
    </row>
    <row r="40" spans="1:59">
      <c r="A40" s="231">
        <v>8.1999999999999993</v>
      </c>
      <c r="B40" s="242" t="s">
        <v>45</v>
      </c>
      <c r="C40" s="103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212"/>
      <c r="BF40" s="212"/>
      <c r="BG40" s="212"/>
    </row>
    <row r="41" spans="1:59">
      <c r="A41" s="226"/>
      <c r="B41" s="44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212"/>
      <c r="BF41" s="212"/>
      <c r="BG41" s="212"/>
    </row>
    <row r="42" spans="1:59">
      <c r="A42" s="227">
        <v>9</v>
      </c>
      <c r="B42" s="89" t="s">
        <v>46</v>
      </c>
      <c r="C42" s="41">
        <f t="shared" ref="C42:K42" si="29">SUM(C43:C45)</f>
        <v>1341798042</v>
      </c>
      <c r="D42" s="85">
        <f t="shared" si="29"/>
        <v>1367622498</v>
      </c>
      <c r="E42" s="85">
        <f t="shared" si="29"/>
        <v>123283534</v>
      </c>
      <c r="F42" s="85">
        <f t="shared" si="29"/>
        <v>237196091</v>
      </c>
      <c r="G42" s="85">
        <f t="shared" si="29"/>
        <v>357021027</v>
      </c>
      <c r="H42" s="85">
        <f t="shared" si="29"/>
        <v>473117791</v>
      </c>
      <c r="I42" s="85">
        <f t="shared" si="29"/>
        <v>604661545</v>
      </c>
      <c r="J42" s="85">
        <f t="shared" si="29"/>
        <v>741828590</v>
      </c>
      <c r="K42" s="85">
        <f t="shared" si="29"/>
        <v>859097512</v>
      </c>
      <c r="L42" s="85">
        <f t="shared" ref="L42:Q42" si="30">SUM(L43:L45)</f>
        <v>978100019</v>
      </c>
      <c r="M42" s="85">
        <f t="shared" si="30"/>
        <v>1084161888</v>
      </c>
      <c r="N42" s="85">
        <f t="shared" si="30"/>
        <v>1201481147</v>
      </c>
      <c r="O42" s="85">
        <f t="shared" si="30"/>
        <v>1297434805</v>
      </c>
      <c r="P42" s="85">
        <f t="shared" si="30"/>
        <v>1408820812</v>
      </c>
      <c r="Q42" s="85">
        <f t="shared" si="30"/>
        <v>1427100855</v>
      </c>
      <c r="R42" s="85">
        <f t="shared" ref="R42:AD42" si="31">SUM(R43:R45)</f>
        <v>171050968</v>
      </c>
      <c r="S42" s="85">
        <f t="shared" si="31"/>
        <v>338271550</v>
      </c>
      <c r="T42" s="85">
        <f t="shared" si="31"/>
        <v>366641214</v>
      </c>
      <c r="U42" s="85">
        <f t="shared" si="31"/>
        <v>507151383</v>
      </c>
      <c r="V42" s="85">
        <f t="shared" si="31"/>
        <v>605819049</v>
      </c>
      <c r="W42" s="85">
        <f t="shared" si="31"/>
        <v>696284730</v>
      </c>
      <c r="X42" s="85">
        <f t="shared" si="31"/>
        <v>0</v>
      </c>
      <c r="Y42" s="85">
        <f t="shared" si="31"/>
        <v>911874175</v>
      </c>
      <c r="Z42" s="85">
        <f t="shared" si="31"/>
        <v>1014379689</v>
      </c>
      <c r="AA42" s="85">
        <f t="shared" si="31"/>
        <v>1139994451</v>
      </c>
      <c r="AB42" s="85">
        <f t="shared" si="31"/>
        <v>1274709268</v>
      </c>
      <c r="AC42" s="85">
        <f t="shared" si="31"/>
        <v>1410031215</v>
      </c>
      <c r="AD42" s="85">
        <f t="shared" si="31"/>
        <v>1410031</v>
      </c>
      <c r="AE42" s="85">
        <f t="shared" ref="AE42:AP42" si="32">SUM(AE43:AE45)</f>
        <v>106729142</v>
      </c>
      <c r="AF42" s="85">
        <f t="shared" si="32"/>
        <v>228058413</v>
      </c>
      <c r="AG42" s="85">
        <f t="shared" si="32"/>
        <v>346635060</v>
      </c>
      <c r="AH42" s="85">
        <f t="shared" si="32"/>
        <v>496712121</v>
      </c>
      <c r="AI42" s="85">
        <f t="shared" si="32"/>
        <v>613559924</v>
      </c>
      <c r="AJ42" s="85">
        <f t="shared" si="32"/>
        <v>779737665</v>
      </c>
      <c r="AK42" s="85">
        <f t="shared" si="32"/>
        <v>906104458</v>
      </c>
      <c r="AL42" s="85">
        <f t="shared" si="32"/>
        <v>1025696532</v>
      </c>
      <c r="AM42" s="85">
        <f t="shared" si="32"/>
        <v>1147077065</v>
      </c>
      <c r="AN42" s="85">
        <f t="shared" si="32"/>
        <v>1267557855</v>
      </c>
      <c r="AO42" s="85">
        <f t="shared" si="32"/>
        <v>1396077765</v>
      </c>
      <c r="AP42" s="85">
        <f t="shared" si="32"/>
        <v>1658260637</v>
      </c>
      <c r="AQ42" s="85">
        <f>SUM(AQ43:AQ45)</f>
        <v>1658260636.7</v>
      </c>
      <c r="AR42" s="85">
        <f t="shared" ref="AR42:AX42" si="33">SUM(AR43:AR45)</f>
        <v>112835687</v>
      </c>
      <c r="AS42" s="85">
        <f t="shared" si="33"/>
        <v>272774648</v>
      </c>
      <c r="AT42" s="85">
        <f t="shared" si="33"/>
        <v>394930252</v>
      </c>
      <c r="AU42" s="85">
        <f t="shared" si="33"/>
        <v>518582284</v>
      </c>
      <c r="AV42" s="85">
        <f t="shared" si="33"/>
        <v>666892568</v>
      </c>
      <c r="AW42" s="85">
        <f t="shared" si="33"/>
        <v>826366726</v>
      </c>
      <c r="AX42" s="85">
        <f t="shared" si="33"/>
        <v>981079261</v>
      </c>
      <c r="AY42" s="85">
        <f>SUM(AY43:AY45)</f>
        <v>1118405473</v>
      </c>
      <c r="AZ42" s="85">
        <f t="shared" ref="AZ42:BD42" si="34">SUM(AZ43:AZ45)</f>
        <v>1286235251</v>
      </c>
      <c r="BA42" s="85">
        <f t="shared" si="34"/>
        <v>1413100256</v>
      </c>
      <c r="BB42" s="85">
        <f t="shared" si="34"/>
        <v>1559440914</v>
      </c>
      <c r="BC42" s="85">
        <f t="shared" si="34"/>
        <v>1763186880</v>
      </c>
      <c r="BD42" s="85">
        <f t="shared" si="34"/>
        <v>1763187000</v>
      </c>
      <c r="BE42" s="212"/>
      <c r="BF42" s="212"/>
      <c r="BG42" s="212"/>
    </row>
    <row r="43" spans="1:59">
      <c r="A43" s="229">
        <v>9.1</v>
      </c>
      <c r="B43" s="243" t="s">
        <v>47</v>
      </c>
      <c r="C43" s="83">
        <f>SCI!T5</f>
        <v>1239848635</v>
      </c>
      <c r="D43" s="90">
        <f>SCI!U5</f>
        <v>1246870335</v>
      </c>
      <c r="E43" s="90">
        <f>SCI!V5</f>
        <v>116892118</v>
      </c>
      <c r="F43" s="90">
        <f>SCI!W5</f>
        <v>226319507</v>
      </c>
      <c r="G43" s="90">
        <f>SCI!X5</f>
        <v>338628579</v>
      </c>
      <c r="H43" s="90">
        <f>SCI!Y5</f>
        <v>441339573</v>
      </c>
      <c r="I43" s="90">
        <f>SCI!Z5</f>
        <v>552042078</v>
      </c>
      <c r="J43" s="90">
        <f>SCI!AA5</f>
        <v>659271924</v>
      </c>
      <c r="K43" s="90">
        <f>SCI!AB5</f>
        <v>765650636</v>
      </c>
      <c r="L43" s="90">
        <f>SCI!AC5</f>
        <v>874103598</v>
      </c>
      <c r="M43" s="90">
        <f>SCI!AD5</f>
        <v>969262585</v>
      </c>
      <c r="N43" s="90">
        <f>SCI!AE5</f>
        <v>1078663805</v>
      </c>
      <c r="O43" s="90">
        <f>SCI!AF5</f>
        <v>1174408219</v>
      </c>
      <c r="P43" s="90">
        <f>SCI!AG5</f>
        <v>1262228351</v>
      </c>
      <c r="Q43" s="90">
        <f>SCI!AH5</f>
        <v>1268904530</v>
      </c>
      <c r="R43" s="90">
        <f>SCI!AI5</f>
        <v>161567247</v>
      </c>
      <c r="S43" s="90">
        <f>SCI!AJ5</f>
        <v>318027791</v>
      </c>
      <c r="T43" s="90">
        <f>SCI!AK5</f>
        <v>337777581</v>
      </c>
      <c r="U43" s="90">
        <f>SCI!AL5</f>
        <v>426420881</v>
      </c>
      <c r="V43" s="90">
        <f>SCI!AM5</f>
        <v>516263765</v>
      </c>
      <c r="W43" s="90">
        <f>SCI!AN5</f>
        <v>604741119</v>
      </c>
      <c r="X43" s="90">
        <f>SCI!AO5</f>
        <v>0</v>
      </c>
      <c r="Y43" s="90">
        <f>SCI!AP5</f>
        <v>803140139</v>
      </c>
      <c r="Z43" s="90">
        <f>SCI!AQ5</f>
        <v>900812162</v>
      </c>
      <c r="AA43" s="90">
        <f>SCI!AR5</f>
        <v>1000975635</v>
      </c>
      <c r="AB43" s="90">
        <f>SCI!AS5</f>
        <v>1105609467</v>
      </c>
      <c r="AC43" s="90">
        <f>SCI!AT5</f>
        <v>1217860781</v>
      </c>
      <c r="AD43" s="90">
        <f>SCI!AU5</f>
        <v>1217861</v>
      </c>
      <c r="AE43" s="90">
        <f>SCI!AV5</f>
        <v>98795883</v>
      </c>
      <c r="AF43" s="90">
        <f>SCI!AW5</f>
        <v>210901581</v>
      </c>
      <c r="AG43" s="90">
        <f>SCI!AX5</f>
        <v>316261645</v>
      </c>
      <c r="AH43" s="90">
        <f>SCI!AY5</f>
        <v>423936541</v>
      </c>
      <c r="AI43" s="90">
        <f>SCI!AZ5</f>
        <v>532784944</v>
      </c>
      <c r="AJ43" s="90">
        <f>SCI!BA5</f>
        <v>640048000</v>
      </c>
      <c r="AK43" s="90">
        <f>SCI!BB5</f>
        <v>760281663</v>
      </c>
      <c r="AL43" s="90">
        <f>SCI!BC5</f>
        <v>863048218</v>
      </c>
      <c r="AM43" s="90">
        <f>SCI!BD5</f>
        <v>976419816</v>
      </c>
      <c r="AN43" s="90">
        <f>SCI!BE5</f>
        <v>1089934217</v>
      </c>
      <c r="AO43" s="90">
        <f>SCI!BF5</f>
        <v>1205697536</v>
      </c>
      <c r="AP43" s="90">
        <f>SCI!BG5</f>
        <v>1313648179</v>
      </c>
      <c r="AQ43" s="90">
        <f>SCI!BH5</f>
        <v>1313648179.02</v>
      </c>
      <c r="AR43" s="90">
        <f>SCI!BI5</f>
        <v>106476900</v>
      </c>
      <c r="AS43" s="90">
        <f>SCI!BJ5</f>
        <v>247096178</v>
      </c>
      <c r="AT43" s="90">
        <f>SCI!BK5</f>
        <v>361377808</v>
      </c>
      <c r="AU43" s="90">
        <f>SCI!BL5</f>
        <v>477295869</v>
      </c>
      <c r="AV43" s="90">
        <f>SCI!BM5</f>
        <v>593072534</v>
      </c>
      <c r="AW43" s="90">
        <f>SCI!BN5</f>
        <v>701560174</v>
      </c>
      <c r="AX43" s="90">
        <f>SCI!BO5</f>
        <v>814798007</v>
      </c>
      <c r="AY43" s="90">
        <f>SCI!BP5</f>
        <v>941955189</v>
      </c>
      <c r="AZ43" s="90">
        <f>SCI!BQ5</f>
        <v>1059712465</v>
      </c>
      <c r="BA43" s="90">
        <f>SCI!BR5</f>
        <v>1177275594</v>
      </c>
      <c r="BB43" s="90">
        <f>SCI!BS5</f>
        <v>1306005477</v>
      </c>
      <c r="BC43" s="90">
        <f>SCI!BT5</f>
        <v>1424256218</v>
      </c>
      <c r="BD43" s="90">
        <f>SCI!BU5</f>
        <v>1424256000</v>
      </c>
      <c r="BE43" s="212"/>
      <c r="BF43" s="212"/>
      <c r="BG43" s="212"/>
    </row>
    <row r="44" spans="1:59">
      <c r="A44" s="229"/>
      <c r="B44" s="243" t="s">
        <v>48</v>
      </c>
      <c r="C44" s="83">
        <f>SCI!T7</f>
        <v>101949407</v>
      </c>
      <c r="D44" s="90">
        <f>SCI!U7</f>
        <v>120752163</v>
      </c>
      <c r="E44" s="90">
        <f>SCI!V7</f>
        <v>422941</v>
      </c>
      <c r="F44" s="90">
        <f>SCI!W7</f>
        <v>4908109</v>
      </c>
      <c r="G44" s="90">
        <f>SCI!X7</f>
        <v>16349047</v>
      </c>
      <c r="H44" s="90">
        <f>SCI!Y7</f>
        <v>29734817</v>
      </c>
      <c r="I44" s="90">
        <f>SCI!Z7</f>
        <v>50576066</v>
      </c>
      <c r="J44" s="90">
        <f>SCI!AA7</f>
        <v>79685544</v>
      </c>
      <c r="K44" s="90">
        <f>SCI!AB7</f>
        <v>90575754</v>
      </c>
      <c r="L44" s="90">
        <f>SCI!AC7</f>
        <v>99638817</v>
      </c>
      <c r="M44" s="90">
        <f>SCI!AD7</f>
        <v>110276917</v>
      </c>
      <c r="N44" s="90">
        <f>SCI!AE7</f>
        <v>118194956</v>
      </c>
      <c r="O44" s="90">
        <f>SCI!AF7</f>
        <v>118404200</v>
      </c>
      <c r="P44" s="90">
        <f>SCI!AG7</f>
        <v>141970075</v>
      </c>
      <c r="Q44" s="90">
        <f>SCI!AH7</f>
        <v>158196325</v>
      </c>
      <c r="R44" s="90">
        <f>SCI!AI7</f>
        <v>6758574</v>
      </c>
      <c r="S44" s="90">
        <f>SCI!AJ7</f>
        <v>13817611</v>
      </c>
      <c r="T44" s="90">
        <f>SCI!AK7</f>
        <v>28863633</v>
      </c>
      <c r="U44" s="90">
        <f>SCI!AL7</f>
        <v>80730502</v>
      </c>
      <c r="V44" s="90">
        <f>SCI!AM7</f>
        <v>89555284</v>
      </c>
      <c r="W44" s="90">
        <f>SCI!AN7</f>
        <v>91543611</v>
      </c>
      <c r="X44" s="90">
        <f>SCI!AO7</f>
        <v>0</v>
      </c>
      <c r="Y44" s="90">
        <f>SCI!AP7</f>
        <v>108734036</v>
      </c>
      <c r="Z44" s="90">
        <f>SCI!AQ7</f>
        <v>113567527</v>
      </c>
      <c r="AA44" s="90">
        <f>SCI!AR7</f>
        <v>139018816</v>
      </c>
      <c r="AB44" s="90">
        <f>SCI!AS7</f>
        <v>169099801</v>
      </c>
      <c r="AC44" s="90">
        <f>SCI!AT7</f>
        <v>192170434</v>
      </c>
      <c r="AD44" s="90">
        <f>SCI!AU7</f>
        <v>192170</v>
      </c>
      <c r="AE44" s="90">
        <f>SCI!AV7</f>
        <v>7933259</v>
      </c>
      <c r="AF44" s="90">
        <f>SCI!AW7</f>
        <v>17156832</v>
      </c>
      <c r="AG44" s="90">
        <f>SCI!AX7</f>
        <v>30373415</v>
      </c>
      <c r="AH44" s="90">
        <f>SCI!AY7</f>
        <v>72775580</v>
      </c>
      <c r="AI44" s="90">
        <f>SCI!AZ7</f>
        <v>80774980</v>
      </c>
      <c r="AJ44" s="90">
        <f>SCI!BA7</f>
        <v>139689665</v>
      </c>
      <c r="AK44" s="90">
        <f>SCI!BB7</f>
        <v>145822795</v>
      </c>
      <c r="AL44" s="90">
        <f>SCI!BC7</f>
        <v>162648314</v>
      </c>
      <c r="AM44" s="90">
        <f>SCI!BD7</f>
        <v>170657249</v>
      </c>
      <c r="AN44" s="90">
        <f>SCI!BE7</f>
        <v>177623638</v>
      </c>
      <c r="AO44" s="90">
        <f>SCI!BF7</f>
        <v>190380229</v>
      </c>
      <c r="AP44" s="90">
        <f>SCI!BG7</f>
        <v>344612458</v>
      </c>
      <c r="AQ44" s="90">
        <f>SCI!BH7</f>
        <v>344612457.68000001</v>
      </c>
      <c r="AR44" s="90">
        <f>SCI!BI7</f>
        <v>6358787</v>
      </c>
      <c r="AS44" s="90">
        <f>SCI!BJ7</f>
        <v>25678470</v>
      </c>
      <c r="AT44" s="90">
        <f>SCI!BK7</f>
        <v>33552444</v>
      </c>
      <c r="AU44" s="90">
        <f>SCI!BL7</f>
        <v>41286415</v>
      </c>
      <c r="AV44" s="90">
        <f>SCI!BM7</f>
        <v>73820034</v>
      </c>
      <c r="AW44" s="90">
        <f>SCI!BN7</f>
        <v>124806552</v>
      </c>
      <c r="AX44" s="90">
        <f>SCI!BO7</f>
        <v>166281254</v>
      </c>
      <c r="AY44" s="90">
        <f>SCI!BP7</f>
        <v>176450284</v>
      </c>
      <c r="AZ44" s="90">
        <f>SCI!BQ7</f>
        <v>226522786</v>
      </c>
      <c r="BA44" s="90">
        <f>SCI!BR7</f>
        <v>235824662</v>
      </c>
      <c r="BB44" s="90">
        <f>SCI!BS7</f>
        <v>253435437</v>
      </c>
      <c r="BC44" s="90">
        <f>SCI!BT7</f>
        <v>338930662</v>
      </c>
      <c r="BD44" s="90">
        <f>SCI!BU7</f>
        <v>338931000</v>
      </c>
      <c r="BE44" s="212"/>
      <c r="BF44" s="212"/>
      <c r="BG44" s="212"/>
    </row>
    <row r="45" spans="1:59">
      <c r="A45" s="229">
        <v>9.1999999999999993</v>
      </c>
      <c r="B45" s="243" t="s">
        <v>49</v>
      </c>
      <c r="C45" s="83">
        <f>SCI!T6</f>
        <v>0</v>
      </c>
      <c r="D45" s="90">
        <f>SCI!U6</f>
        <v>0</v>
      </c>
      <c r="E45" s="90">
        <f>SCI!V6</f>
        <v>5968475</v>
      </c>
      <c r="F45" s="90">
        <f>SCI!W6</f>
        <v>5968475</v>
      </c>
      <c r="G45" s="90">
        <f>SCI!X6</f>
        <v>2043401</v>
      </c>
      <c r="H45" s="90">
        <f>SCI!Y6</f>
        <v>2043401</v>
      </c>
      <c r="I45" s="90">
        <f>SCI!Z6</f>
        <v>2043401</v>
      </c>
      <c r="J45" s="90">
        <f>SCI!AA6</f>
        <v>2871122</v>
      </c>
      <c r="K45" s="90">
        <f>SCI!AB6</f>
        <v>2871122</v>
      </c>
      <c r="L45" s="90">
        <f>SCI!AC6</f>
        <v>4357604</v>
      </c>
      <c r="M45" s="90">
        <f>SCI!AD6</f>
        <v>4622386</v>
      </c>
      <c r="N45" s="90">
        <f>SCI!AE6</f>
        <v>4622386</v>
      </c>
      <c r="O45" s="90">
        <f>SCI!AF6</f>
        <v>4622386</v>
      </c>
      <c r="P45" s="90">
        <f>SCI!AG6</f>
        <v>4622386</v>
      </c>
      <c r="Q45" s="90">
        <f>SCI!AH6</f>
        <v>0</v>
      </c>
      <c r="R45" s="90">
        <f>SCI!AI6</f>
        <v>2725147</v>
      </c>
      <c r="S45" s="90">
        <f>SCI!AJ6</f>
        <v>6426148</v>
      </c>
      <c r="T45" s="90">
        <f>SCI!AK6</f>
        <v>0</v>
      </c>
      <c r="U45" s="90">
        <f>SCI!AL6</f>
        <v>0</v>
      </c>
      <c r="V45" s="90">
        <f>SCI!AM6</f>
        <v>0</v>
      </c>
      <c r="W45" s="90">
        <f>SCI!AN6</f>
        <v>0</v>
      </c>
      <c r="X45" s="90">
        <f>SCI!AO6</f>
        <v>0</v>
      </c>
      <c r="Y45" s="90">
        <f>SCI!AP6</f>
        <v>0</v>
      </c>
      <c r="Z45" s="90">
        <f>SCI!AQ6</f>
        <v>0</v>
      </c>
      <c r="AA45" s="90">
        <f>SCI!AR6</f>
        <v>0</v>
      </c>
      <c r="AB45" s="90">
        <f>SCI!AS6</f>
        <v>0</v>
      </c>
      <c r="AC45" s="90">
        <f>SCI!AT6</f>
        <v>0</v>
      </c>
      <c r="AD45" s="90">
        <f>SCI!AU6</f>
        <v>0</v>
      </c>
      <c r="AE45" s="90">
        <f>SCI!AV6</f>
        <v>0</v>
      </c>
      <c r="AF45" s="90">
        <f>SCI!AW6</f>
        <v>0</v>
      </c>
      <c r="AG45" s="90">
        <f>SCI!AX6</f>
        <v>0</v>
      </c>
      <c r="AH45" s="90">
        <f>SCI!AY6</f>
        <v>0</v>
      </c>
      <c r="AI45" s="90">
        <f>SCI!AZ6</f>
        <v>0</v>
      </c>
      <c r="AJ45" s="90">
        <f>SCI!BA6</f>
        <v>0</v>
      </c>
      <c r="AK45" s="90">
        <f>SCI!BB6</f>
        <v>0</v>
      </c>
      <c r="AL45" s="90">
        <f>SCI!BC6</f>
        <v>0</v>
      </c>
      <c r="AM45" s="90">
        <f>SCI!BD6</f>
        <v>0</v>
      </c>
      <c r="AN45" s="90">
        <f>SCI!BE6</f>
        <v>0</v>
      </c>
      <c r="AO45" s="90">
        <f>SCI!BF6</f>
        <v>0</v>
      </c>
      <c r="AP45" s="90">
        <f>SCI!BG6</f>
        <v>0</v>
      </c>
      <c r="AQ45" s="90">
        <f>SCI!BH6</f>
        <v>0</v>
      </c>
      <c r="AR45" s="90">
        <f>SCI!BI6</f>
        <v>0</v>
      </c>
      <c r="AS45" s="90">
        <f>SCI!BJ6</f>
        <v>0</v>
      </c>
      <c r="AT45" s="90">
        <f>SCI!BK6</f>
        <v>0</v>
      </c>
      <c r="AU45" s="90">
        <f>SCI!BL6</f>
        <v>0</v>
      </c>
      <c r="AV45" s="90">
        <f>SCI!BM6</f>
        <v>0</v>
      </c>
      <c r="AW45" s="90">
        <f>SCI!BN6</f>
        <v>0</v>
      </c>
      <c r="AX45" s="90">
        <f>SCI!BO6</f>
        <v>0</v>
      </c>
      <c r="AY45" s="90">
        <f>SCI!BP6</f>
        <v>0</v>
      </c>
      <c r="AZ45" s="90">
        <f>SCI!BQ6</f>
        <v>0</v>
      </c>
      <c r="BA45" s="90">
        <f>SCI!BR6</f>
        <v>0</v>
      </c>
      <c r="BB45" s="90">
        <f>SCI!BS6</f>
        <v>0</v>
      </c>
      <c r="BC45" s="90">
        <f>SCI!BT6</f>
        <v>0</v>
      </c>
      <c r="BD45" s="90">
        <f>SCI!BU6</f>
        <v>0</v>
      </c>
      <c r="BE45" s="212"/>
      <c r="BF45" s="212"/>
      <c r="BG45" s="212"/>
    </row>
    <row r="46" spans="1:59">
      <c r="A46" s="231"/>
      <c r="B46" s="244" t="s">
        <v>50</v>
      </c>
      <c r="C46" s="37">
        <f>SCI!T5/SFP!U15</f>
        <v>0.1856743063559429</v>
      </c>
      <c r="D46" s="87">
        <f>SCI!U5/SFP!V15</f>
        <v>0.17436303610526169</v>
      </c>
      <c r="E46" s="87">
        <f>SCI!V5/SFP!W15</f>
        <v>1.6378488283843393E-2</v>
      </c>
      <c r="F46" s="87">
        <f>SCI!W5/SFP!X15</f>
        <v>3.1798339293577511E-2</v>
      </c>
      <c r="G46" s="87">
        <f>SCI!X5/SFP!Y15</f>
        <v>4.80967283907172E-2</v>
      </c>
      <c r="H46" s="87">
        <f>SCI!Y5/SFP!Z15</f>
        <v>6.4106836864139441E-2</v>
      </c>
      <c r="I46" s="87">
        <f>SCI!Z5/SFP!AA15</f>
        <v>8.1139020663488173E-2</v>
      </c>
      <c r="J46" s="87">
        <f>SCI!AA5/SFP!AB15</f>
        <v>9.7367511558033165E-2</v>
      </c>
      <c r="K46" s="87">
        <f>SCI!AB5/SFP!AC15</f>
        <v>0.11322251191096767</v>
      </c>
      <c r="L46" s="87">
        <f>SCI!AC5/SFP!AD15</f>
        <v>0.12836614778422575</v>
      </c>
      <c r="M46" s="87">
        <f>SCI!AD5/SFP!AE15</f>
        <v>0.14338080294475142</v>
      </c>
      <c r="N46" s="87">
        <f>SCI!AE5/SFP!AF15</f>
        <v>0.15900993718310755</v>
      </c>
      <c r="O46" s="87">
        <f>SCI!AF5/SFP!AG15</f>
        <v>0.17262698883175831</v>
      </c>
      <c r="P46" s="87">
        <f>SCI!AG5/SFP!AH15</f>
        <v>0.18546249929098038</v>
      </c>
      <c r="Q46" s="87">
        <f>SCI!AH5/SFP!AI15</f>
        <v>0.18644344766064189</v>
      </c>
      <c r="R46" s="87">
        <f>SCI!AI5/SFP!AJ15</f>
        <v>2.3591742798912387E-2</v>
      </c>
      <c r="S46" s="87">
        <f>SCI!AJ5/SFP!AK15</f>
        <v>4.6624351266970884E-2</v>
      </c>
      <c r="T46" s="87">
        <f>SCI!AK5/SFP!AL15</f>
        <v>5.037890655185899E-2</v>
      </c>
      <c r="U46" s="87">
        <f>SCI!AL5/SFP!AM15</f>
        <v>6.4071023630823939E-2</v>
      </c>
      <c r="V46" s="87">
        <f>SCI!AM5/SFP!AN15</f>
        <v>7.8025088987066282E-2</v>
      </c>
      <c r="W46" s="87">
        <f>SCI!AN5/SFP!AO15</f>
        <v>9.1578016895485004E-2</v>
      </c>
      <c r="X46" s="87" t="e">
        <f>SCI!AO5/SFP!AP15</f>
        <v>#DIV/0!</v>
      </c>
      <c r="Y46" s="87">
        <f>SCI!AP5/SFP!AQ15</f>
        <v>0.11928963636569503</v>
      </c>
      <c r="Z46" s="87">
        <f>SCI!AQ5/SFP!AR15</f>
        <v>0.13116369682414303</v>
      </c>
      <c r="AA46" s="87">
        <f>SCI!AR5/SFP!AS15</f>
        <v>0.14292307138475821</v>
      </c>
      <c r="AB46" s="87">
        <f>SCI!AS5/SFP!AT15</f>
        <v>0.15527141893812049</v>
      </c>
      <c r="AC46" s="87">
        <f>SCI!AT5/SFP!AU15</f>
        <v>0.16846236640943671</v>
      </c>
      <c r="AD46" s="87">
        <f>SCI!AU5/SFP!AV15</f>
        <v>0.16742506873047344</v>
      </c>
      <c r="AE46" s="87">
        <f>SCI!AV5/SFP!AW15</f>
        <v>1.3537903886222608E-2</v>
      </c>
      <c r="AF46" s="87">
        <f>SCI!AW5/SFP!AX15</f>
        <v>2.9452817943939717E-2</v>
      </c>
      <c r="AG46" s="87">
        <f>SCI!AX5/SFP!AY15</f>
        <v>4.37454978160337E-2</v>
      </c>
      <c r="AH46" s="87">
        <f>SCI!AY5/SFP!AZ15</f>
        <v>5.8009895390741188E-2</v>
      </c>
      <c r="AI46" s="87">
        <f>SCI!AZ5/SFP!BA15</f>
        <v>7.230876855344566E-2</v>
      </c>
      <c r="AJ46" s="87">
        <f>SCI!BA5/SFP!BB15</f>
        <v>8.5948629407884974E-2</v>
      </c>
      <c r="AK46" s="87">
        <f>SCI!BB5/SFP!BC15</f>
        <v>0.1008205233451458</v>
      </c>
      <c r="AL46" s="87">
        <f>SCI!BC5/SFP!BD15</f>
        <v>0.11373679492641256</v>
      </c>
      <c r="AM46" s="87">
        <f>SCI!BD5/SFP!BE15</f>
        <v>0.12720525887509695</v>
      </c>
      <c r="AN46" s="87">
        <f>SCI!BE5/SFP!BF15</f>
        <v>0.1394799482589224</v>
      </c>
      <c r="AO46" s="87">
        <f>SCI!BF5/SFP!BG15</f>
        <v>0.15388960682605915</v>
      </c>
      <c r="AP46" s="87">
        <f>SCI!BG5/SFP!BH15</f>
        <v>0.16541330282050667</v>
      </c>
      <c r="AQ46" s="87">
        <f>SCI!BH5/SFP!BI15</f>
        <v>0.16541330283218925</v>
      </c>
      <c r="AR46" s="87">
        <f>SCI!BI5/SFP!BJ15</f>
        <v>1.3356307498331686E-2</v>
      </c>
      <c r="AS46" s="87">
        <f>SCI!BJ5/SFP!BK15</f>
        <v>3.1406091694934142E-2</v>
      </c>
      <c r="AT46" s="87">
        <f>SCI!BK5/SFP!BL15</f>
        <v>4.4881255903480216E-2</v>
      </c>
      <c r="AU46" s="87">
        <f>SCI!BL5/SFP!BM15</f>
        <v>5.8236366643703526E-2</v>
      </c>
      <c r="AV46" s="87">
        <f>SCI!BM5/SFP!BN15</f>
        <v>7.1568731023655185E-2</v>
      </c>
      <c r="AW46" s="87">
        <f>SCI!BN5/SFP!BO15</f>
        <v>8.3814614248701333E-2</v>
      </c>
      <c r="AX46" s="87">
        <f>SCI!BO5/SFP!BP15</f>
        <v>9.6561864659921837E-2</v>
      </c>
      <c r="AY46" s="87">
        <f>SCI!BP5/SFP!BQ15</f>
        <v>0.10971892734282455</v>
      </c>
      <c r="AZ46" s="87">
        <f>SCI!BQ5/SFP!BR15</f>
        <v>0.1200801271563538</v>
      </c>
      <c r="BA46" s="87">
        <f>SCI!BR5/SFP!BS15</f>
        <v>0.13031270122746502</v>
      </c>
      <c r="BB46" s="87">
        <f>SCI!BS5/SFP!BT15</f>
        <v>0.14104919035669936</v>
      </c>
      <c r="BC46" s="87">
        <f>SCI!BT5/SFP!BU15</f>
        <v>0.14968019391095075</v>
      </c>
      <c r="BD46" s="87">
        <f>SCI!BU5/SFP!BV15</f>
        <v>0.14968016344994481</v>
      </c>
      <c r="BE46" s="212"/>
      <c r="BF46" s="212"/>
      <c r="BG46" s="212"/>
    </row>
    <row r="47" spans="1:59">
      <c r="A47" s="233"/>
      <c r="B47" s="44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212"/>
      <c r="BF47" s="212"/>
      <c r="BG47" s="212"/>
    </row>
    <row r="48" spans="1:59">
      <c r="A48" s="35">
        <v>10</v>
      </c>
      <c r="B48" s="36" t="s">
        <v>51</v>
      </c>
      <c r="C48" s="42">
        <f t="shared" ref="C48:K48" si="35">SUM(C49:C55)</f>
        <v>814507555</v>
      </c>
      <c r="D48" s="88">
        <f t="shared" si="35"/>
        <v>863458557</v>
      </c>
      <c r="E48" s="88">
        <f t="shared" si="35"/>
        <v>83314316.24000001</v>
      </c>
      <c r="F48" s="88">
        <f t="shared" si="35"/>
        <v>165746664.37</v>
      </c>
      <c r="G48" s="88">
        <f t="shared" si="35"/>
        <v>261177070</v>
      </c>
      <c r="H48" s="88">
        <f t="shared" si="35"/>
        <v>352226614.87</v>
      </c>
      <c r="I48" s="88">
        <f t="shared" si="35"/>
        <v>433579314.16000003</v>
      </c>
      <c r="J48" s="88">
        <f t="shared" si="35"/>
        <v>514263151.75</v>
      </c>
      <c r="K48" s="88">
        <f t="shared" si="35"/>
        <v>623393692.00999999</v>
      </c>
      <c r="L48" s="88">
        <f t="shared" ref="L48:Q48" si="36">SUM(L49:L55)</f>
        <v>685998773.95000005</v>
      </c>
      <c r="M48" s="88">
        <f t="shared" si="36"/>
        <v>773004166.82999992</v>
      </c>
      <c r="N48" s="88">
        <f t="shared" si="36"/>
        <v>859199016.38</v>
      </c>
      <c r="O48" s="88">
        <f t="shared" si="36"/>
        <v>936636807.67999995</v>
      </c>
      <c r="P48" s="88">
        <f t="shared" si="36"/>
        <v>1027166201.17</v>
      </c>
      <c r="Q48" s="88">
        <f t="shared" si="36"/>
        <v>887592628</v>
      </c>
      <c r="R48" s="88">
        <f t="shared" ref="R48:AD48" si="37">SUM(R49:R55)</f>
        <v>78307888</v>
      </c>
      <c r="S48" s="88">
        <f t="shared" si="37"/>
        <v>154170286</v>
      </c>
      <c r="T48" s="88">
        <f t="shared" si="37"/>
        <v>285189007.33000004</v>
      </c>
      <c r="U48" s="88">
        <f t="shared" si="37"/>
        <v>383603831.85000002</v>
      </c>
      <c r="V48" s="88">
        <f t="shared" si="37"/>
        <v>477532255.88</v>
      </c>
      <c r="W48" s="88">
        <f t="shared" si="37"/>
        <v>566093569</v>
      </c>
      <c r="X48" s="88">
        <f t="shared" si="37"/>
        <v>0</v>
      </c>
      <c r="Y48" s="88">
        <f t="shared" si="37"/>
        <v>668405324.71000004</v>
      </c>
      <c r="Z48" s="88">
        <f t="shared" si="37"/>
        <v>830829937.90999997</v>
      </c>
      <c r="AA48" s="88">
        <f t="shared" si="37"/>
        <v>924219616.46000004</v>
      </c>
      <c r="AB48" s="88">
        <f t="shared" si="37"/>
        <v>1039141598.9299999</v>
      </c>
      <c r="AC48" s="88">
        <f t="shared" si="37"/>
        <v>1140214766.03</v>
      </c>
      <c r="AD48" s="88">
        <f t="shared" si="37"/>
        <v>905664</v>
      </c>
      <c r="AE48" s="88">
        <f t="shared" ref="AE48:AP48" si="38">SUM(AE49:AE55)</f>
        <v>97685679</v>
      </c>
      <c r="AF48" s="88">
        <f t="shared" si="38"/>
        <v>215202502.54000002</v>
      </c>
      <c r="AG48" s="88">
        <f t="shared" si="38"/>
        <v>310446841.08000004</v>
      </c>
      <c r="AH48" s="88">
        <f t="shared" si="38"/>
        <v>437153810.87</v>
      </c>
      <c r="AI48" s="88">
        <f t="shared" si="38"/>
        <v>461296755.38</v>
      </c>
      <c r="AJ48" s="88">
        <f t="shared" si="38"/>
        <v>654398326</v>
      </c>
      <c r="AK48" s="88">
        <f t="shared" si="38"/>
        <v>758304063.98000002</v>
      </c>
      <c r="AL48" s="88">
        <f t="shared" si="38"/>
        <v>861418227</v>
      </c>
      <c r="AM48" s="88">
        <f t="shared" si="38"/>
        <v>972797782.41999996</v>
      </c>
      <c r="AN48" s="88">
        <f t="shared" si="38"/>
        <v>1084662940.4400001</v>
      </c>
      <c r="AO48" s="88">
        <f t="shared" si="38"/>
        <v>1206859413.8299999</v>
      </c>
      <c r="AP48" s="88">
        <f t="shared" si="38"/>
        <v>1246634899.48</v>
      </c>
      <c r="AQ48" s="88">
        <f>SUM(AQ49:AQ55)</f>
        <v>1014732450.1525421</v>
      </c>
      <c r="AR48" s="88">
        <f t="shared" ref="AR48:AX48" si="39">SUM(AR49:AR55)</f>
        <v>108421329.12</v>
      </c>
      <c r="AS48" s="88">
        <f t="shared" si="39"/>
        <v>221231412.74000001</v>
      </c>
      <c r="AT48" s="88">
        <f t="shared" si="39"/>
        <v>401698215</v>
      </c>
      <c r="AU48" s="88">
        <f t="shared" si="39"/>
        <v>554904012.79999995</v>
      </c>
      <c r="AV48" s="88">
        <f t="shared" si="39"/>
        <v>634494363.13999999</v>
      </c>
      <c r="AW48" s="88">
        <f t="shared" si="39"/>
        <v>774538689.73000002</v>
      </c>
      <c r="AX48" s="88">
        <f t="shared" si="39"/>
        <v>894002138.33999991</v>
      </c>
      <c r="AY48" s="88">
        <f>SUM(AY49:AY55)</f>
        <v>1014476548.08</v>
      </c>
      <c r="AZ48" s="88">
        <f t="shared" ref="AZ48:BD48" si="40">SUM(AZ49:AZ55)</f>
        <v>1018009867.6900001</v>
      </c>
      <c r="BA48" s="88">
        <f t="shared" si="40"/>
        <v>1131811543.6199999</v>
      </c>
      <c r="BB48" s="88">
        <f t="shared" si="40"/>
        <v>1246972474</v>
      </c>
      <c r="BC48" s="88">
        <f t="shared" si="40"/>
        <v>1379353461.24</v>
      </c>
      <c r="BD48" s="88">
        <f t="shared" si="40"/>
        <v>1175350000</v>
      </c>
      <c r="BE48" s="212"/>
      <c r="BF48" s="212"/>
      <c r="BG48" s="212"/>
    </row>
    <row r="49" spans="1:59">
      <c r="A49" s="229">
        <v>10.1</v>
      </c>
      <c r="B49" s="245" t="s">
        <v>52</v>
      </c>
      <c r="C49" s="83">
        <f>SCI!T13</f>
        <v>506653751</v>
      </c>
      <c r="D49" s="90">
        <f>SCI!U13</f>
        <v>551167389</v>
      </c>
      <c r="E49" s="90">
        <f>SCI!V13</f>
        <v>54389865.240000002</v>
      </c>
      <c r="F49" s="90">
        <f>SCI!W13</f>
        <v>108681159.37</v>
      </c>
      <c r="G49" s="90">
        <f>SCI!X13</f>
        <v>163712365</v>
      </c>
      <c r="H49" s="90">
        <f>SCI!Y13</f>
        <v>220666178.87</v>
      </c>
      <c r="I49" s="90">
        <f>SCI!Z13</f>
        <v>276614978.16000003</v>
      </c>
      <c r="J49" s="90">
        <f>SCI!AA13</f>
        <v>334622563.75</v>
      </c>
      <c r="K49" s="90">
        <f>SCI!AB13</f>
        <v>403226737.00999999</v>
      </c>
      <c r="L49" s="90">
        <f>SCI!AC13</f>
        <v>454850564.94999999</v>
      </c>
      <c r="M49" s="90">
        <f>SCI!AD13</f>
        <v>513369822.82999998</v>
      </c>
      <c r="N49" s="90">
        <f>SCI!AE13</f>
        <v>573908044.38</v>
      </c>
      <c r="O49" s="90">
        <f>SCI!AF13</f>
        <v>625700395.67999995</v>
      </c>
      <c r="P49" s="90">
        <f>SCI!AG13</f>
        <v>688095247.16999996</v>
      </c>
      <c r="Q49" s="90">
        <f>SCI!AH13</f>
        <v>578430008</v>
      </c>
      <c r="R49" s="90">
        <f>SCI!AI13</f>
        <v>40984623</v>
      </c>
      <c r="S49" s="90">
        <f>SCI!AJ13</f>
        <v>82318515</v>
      </c>
      <c r="T49" s="90">
        <f>SCI!AK13</f>
        <v>171985381.33000001</v>
      </c>
      <c r="U49" s="90">
        <f>SCI!AL13</f>
        <v>231035995.84999999</v>
      </c>
      <c r="V49" s="90">
        <f>SCI!AM13</f>
        <v>291355636.88</v>
      </c>
      <c r="W49" s="90">
        <f>SCI!AN13</f>
        <v>352493379</v>
      </c>
      <c r="X49" s="90">
        <f>SCI!AO13</f>
        <v>0</v>
      </c>
      <c r="Y49" s="90">
        <f>SCI!AP13</f>
        <v>416247122.70999998</v>
      </c>
      <c r="Z49" s="90">
        <f>SCI!AQ13</f>
        <v>538857086.90999997</v>
      </c>
      <c r="AA49" s="90">
        <f>SCI!AR13</f>
        <v>603520884.46000004</v>
      </c>
      <c r="AB49" s="90">
        <f>SCI!AS13</f>
        <v>675998959.92999995</v>
      </c>
      <c r="AC49" s="90">
        <f>SCI!AT13</f>
        <v>738079666.92999995</v>
      </c>
      <c r="AD49" s="90">
        <f>SCI!AU13</f>
        <v>623569</v>
      </c>
      <c r="AE49" s="90">
        <f>SCI!AV13</f>
        <v>60512433</v>
      </c>
      <c r="AF49" s="90">
        <f>SCI!AW13</f>
        <v>129981754.54000001</v>
      </c>
      <c r="AG49" s="90">
        <f>SCI!AX13</f>
        <v>196378122.08000001</v>
      </c>
      <c r="AH49" s="90">
        <f>SCI!AY13</f>
        <v>263950068.87</v>
      </c>
      <c r="AI49" s="90">
        <f>SCI!AZ13</f>
        <v>267638235.38</v>
      </c>
      <c r="AJ49" s="90">
        <f>SCI!BA13</f>
        <v>404345440</v>
      </c>
      <c r="AK49" s="90">
        <f>SCI!BB13</f>
        <v>479565295.98000002</v>
      </c>
      <c r="AL49" s="90">
        <f>SCI!BC13</f>
        <v>550124844</v>
      </c>
      <c r="AM49" s="90">
        <f>SCI!BD13</f>
        <v>623345013.41999996</v>
      </c>
      <c r="AN49" s="90">
        <f>SCI!BE13</f>
        <v>700850707.44000006</v>
      </c>
      <c r="AO49" s="90">
        <f>SCI!BF13</f>
        <v>778540036.83000004</v>
      </c>
      <c r="AP49" s="90">
        <f>SCI!BG13</f>
        <v>672863674.48000002</v>
      </c>
      <c r="AQ49" s="90">
        <f>SCI!BH13</f>
        <v>672863674</v>
      </c>
      <c r="AR49" s="90">
        <f>SCI!BI13</f>
        <v>55970447.119999997</v>
      </c>
      <c r="AS49" s="90">
        <f>SCI!BJ13</f>
        <v>111724228.73999999</v>
      </c>
      <c r="AT49" s="90">
        <f>SCI!BK13</f>
        <v>237755340</v>
      </c>
      <c r="AU49" s="90">
        <f>SCI!BL13</f>
        <v>318636214.80000001</v>
      </c>
      <c r="AV49" s="90">
        <f>SCI!BM13</f>
        <v>358595875.13999999</v>
      </c>
      <c r="AW49" s="90">
        <f>SCI!BN13</f>
        <v>433020288.73000002</v>
      </c>
      <c r="AX49" s="90">
        <f>SCI!BO13</f>
        <v>508617108.33999997</v>
      </c>
      <c r="AY49" s="90">
        <f>SCI!BP13</f>
        <v>589277331.08000004</v>
      </c>
      <c r="AZ49" s="90">
        <f>SCI!BQ13</f>
        <v>538550792.69000006</v>
      </c>
      <c r="BA49" s="90">
        <f>SCI!BR13</f>
        <v>612507126.62</v>
      </c>
      <c r="BB49" s="90">
        <f>SCI!BS13</f>
        <v>672030497</v>
      </c>
      <c r="BC49" s="90">
        <f>SCI!BT13</f>
        <v>739757487.24000001</v>
      </c>
      <c r="BD49" s="90">
        <f>SCI!BU13</f>
        <v>751693000</v>
      </c>
      <c r="BE49" s="212"/>
      <c r="BF49" s="212"/>
      <c r="BG49" s="212"/>
    </row>
    <row r="50" spans="1:59">
      <c r="A50" s="229">
        <v>10.199999999999999</v>
      </c>
      <c r="B50" s="245" t="s">
        <v>53</v>
      </c>
      <c r="C50" s="99">
        <f>SCI!T15</f>
        <v>0</v>
      </c>
      <c r="D50" s="100">
        <f>SCI!U15</f>
        <v>0</v>
      </c>
      <c r="E50" s="100">
        <f>SCI!V15</f>
        <v>5799241</v>
      </c>
      <c r="F50" s="100">
        <f>SCI!W15</f>
        <v>11666498</v>
      </c>
      <c r="G50" s="100">
        <f>SCI!X15</f>
        <v>17683355</v>
      </c>
      <c r="H50" s="100">
        <f>SCI!Y15</f>
        <v>23856748</v>
      </c>
      <c r="I50" s="100">
        <f>SCI!Z15</f>
        <v>30036363</v>
      </c>
      <c r="J50" s="100">
        <f>SCI!AA15</f>
        <v>36270458</v>
      </c>
      <c r="K50" s="100">
        <f>SCI!AB15</f>
        <v>57737686</v>
      </c>
      <c r="L50" s="100">
        <f>SCI!AC15</f>
        <v>55915859</v>
      </c>
      <c r="M50" s="100">
        <f>SCI!AD15</f>
        <v>63184934</v>
      </c>
      <c r="N50" s="100">
        <f>SCI!AE15</f>
        <v>70928821</v>
      </c>
      <c r="O50" s="100">
        <f>SCI!AF15</f>
        <v>78489450</v>
      </c>
      <c r="P50" s="100">
        <f>SCI!AG15</f>
        <v>86235607</v>
      </c>
      <c r="Q50" s="100">
        <f>SCI!AH15</f>
        <v>0</v>
      </c>
      <c r="R50" s="100">
        <f>SCI!AI15</f>
        <v>4089203</v>
      </c>
      <c r="S50" s="100">
        <f>SCI!AJ15</f>
        <v>8178623</v>
      </c>
      <c r="T50" s="100">
        <f>SCI!AK15</f>
        <v>24698133</v>
      </c>
      <c r="U50" s="100">
        <f>SCI!AL15</f>
        <v>33107607</v>
      </c>
      <c r="V50" s="100">
        <f>SCI!AM15</f>
        <v>41578390</v>
      </c>
      <c r="W50" s="100">
        <f>SCI!AN15</f>
        <v>50079255</v>
      </c>
      <c r="X50" s="100">
        <f>SCI!AO15</f>
        <v>0</v>
      </c>
      <c r="Y50" s="100">
        <f>SCI!AP15</f>
        <v>58994484</v>
      </c>
      <c r="Z50" s="100">
        <f>SCI!AQ15</f>
        <v>76245523</v>
      </c>
      <c r="AA50" s="100">
        <f>SCI!AR15</f>
        <v>85307592</v>
      </c>
      <c r="AB50" s="100">
        <f>SCI!AS15</f>
        <v>94517667</v>
      </c>
      <c r="AC50" s="100">
        <f>SCI!AT15</f>
        <v>103851563.09999999</v>
      </c>
      <c r="AD50" s="100">
        <f>SCI!AU15</f>
        <v>0</v>
      </c>
      <c r="AE50" s="100">
        <f>SCI!AV15</f>
        <v>8700151</v>
      </c>
      <c r="AF50" s="100">
        <f>SCI!AW15</f>
        <v>20978913</v>
      </c>
      <c r="AG50" s="100">
        <f>SCI!AX15</f>
        <v>31316691</v>
      </c>
      <c r="AH50" s="100">
        <f>SCI!AY15</f>
        <v>42022314</v>
      </c>
      <c r="AI50" s="100">
        <f>SCI!AZ15</f>
        <v>42335507</v>
      </c>
      <c r="AJ50" s="100">
        <f>SCI!BA15</f>
        <v>63874326</v>
      </c>
      <c r="AK50" s="100">
        <f>SCI!BB15</f>
        <v>75093182</v>
      </c>
      <c r="AL50" s="100">
        <f>SCI!BC15</f>
        <v>86591723</v>
      </c>
      <c r="AM50" s="100">
        <f>SCI!BD15</f>
        <v>98022503</v>
      </c>
      <c r="AN50" s="100">
        <f>SCI!BE15</f>
        <v>109780628</v>
      </c>
      <c r="AO50" s="100">
        <f>SCI!BF15</f>
        <v>121601922</v>
      </c>
      <c r="AP50" s="100">
        <f>SCI!BG15</f>
        <v>191240845</v>
      </c>
      <c r="AQ50" s="100">
        <f>SCI!BH15</f>
        <v>0</v>
      </c>
      <c r="AR50" s="100">
        <f>SCI!BI15</f>
        <v>17384873</v>
      </c>
      <c r="AS50" s="100">
        <f>SCI!BJ15</f>
        <v>34950016</v>
      </c>
      <c r="AT50" s="100">
        <f>SCI!BK15</f>
        <v>52834555</v>
      </c>
      <c r="AU50" s="100">
        <f>SCI!BL15</f>
        <v>70826589</v>
      </c>
      <c r="AV50" s="100">
        <f>SCI!BM15</f>
        <v>89009669</v>
      </c>
      <c r="AW50" s="100">
        <f>SCI!BN15</f>
        <v>107341399</v>
      </c>
      <c r="AX50" s="100">
        <f>SCI!BO15</f>
        <v>125787133</v>
      </c>
      <c r="AY50" s="100">
        <f>SCI!BP15</f>
        <v>144419593</v>
      </c>
      <c r="AZ50" s="100">
        <f>SCI!BQ15</f>
        <v>163366879</v>
      </c>
      <c r="BA50" s="100">
        <f>SCI!BR15</f>
        <v>182412006</v>
      </c>
      <c r="BB50" s="100">
        <f>SCI!BS15</f>
        <v>201285389</v>
      </c>
      <c r="BC50" s="100">
        <f>SCI!BT15</f>
        <v>221890962</v>
      </c>
      <c r="BD50" s="100">
        <f>SCI!BU15</f>
        <v>0</v>
      </c>
      <c r="BE50" s="212"/>
      <c r="BF50" s="212"/>
      <c r="BG50" s="212"/>
    </row>
    <row r="51" spans="1:59">
      <c r="A51" s="229">
        <v>10.3</v>
      </c>
      <c r="B51" s="245" t="s">
        <v>54</v>
      </c>
      <c r="C51" s="84">
        <f>SCI!T14</f>
        <v>61841796</v>
      </c>
      <c r="D51" s="91">
        <f>SCI!U14</f>
        <v>45261304</v>
      </c>
      <c r="E51" s="91">
        <f>SCI!V14</f>
        <v>3036301</v>
      </c>
      <c r="F51" s="91">
        <f>SCI!W14</f>
        <v>7912785</v>
      </c>
      <c r="G51" s="91">
        <f>SCI!X14</f>
        <v>9999689</v>
      </c>
      <c r="H51" s="91">
        <f>SCI!Y14</f>
        <v>9999689</v>
      </c>
      <c r="I51" s="91">
        <f>SCI!Z14</f>
        <v>11383625</v>
      </c>
      <c r="J51" s="91">
        <f>SCI!AA14</f>
        <v>11383627</v>
      </c>
      <c r="K51" s="91">
        <f>SCI!AB14</f>
        <v>11383627</v>
      </c>
      <c r="L51" s="91">
        <f>SCI!AC14</f>
        <v>11383627</v>
      </c>
      <c r="M51" s="91">
        <f>SCI!AD14</f>
        <v>11383627</v>
      </c>
      <c r="N51" s="91">
        <f>SCI!AE14</f>
        <v>11383627</v>
      </c>
      <c r="O51" s="91">
        <f>SCI!AF14</f>
        <v>11383627</v>
      </c>
      <c r="P51" s="91">
        <f>SCI!AG14</f>
        <v>11383627</v>
      </c>
      <c r="Q51" s="91">
        <f>SCI!AH14</f>
        <v>11383627</v>
      </c>
      <c r="R51" s="91">
        <f>SCI!AI14</f>
        <v>0</v>
      </c>
      <c r="S51" s="91">
        <f>SCI!AJ14</f>
        <v>0</v>
      </c>
      <c r="T51" s="91">
        <f>SCI!AK14</f>
        <v>0</v>
      </c>
      <c r="U51" s="91">
        <f>SCI!AL14</f>
        <v>0</v>
      </c>
      <c r="V51" s="91">
        <f>SCI!AM14</f>
        <v>0</v>
      </c>
      <c r="W51" s="91">
        <f>SCI!AN14</f>
        <v>0</v>
      </c>
      <c r="X51" s="91">
        <f>SCI!AO14</f>
        <v>0</v>
      </c>
      <c r="Y51" s="91">
        <f>SCI!AP14</f>
        <v>0</v>
      </c>
      <c r="Z51" s="91">
        <f>SCI!AQ14</f>
        <v>0</v>
      </c>
      <c r="AA51" s="91">
        <f>SCI!AR14</f>
        <v>0</v>
      </c>
      <c r="AB51" s="91">
        <f>SCI!AS14</f>
        <v>0</v>
      </c>
      <c r="AC51" s="91">
        <f>SCI!AT14</f>
        <v>0</v>
      </c>
      <c r="AD51" s="91">
        <f>SCI!AU14</f>
        <v>0</v>
      </c>
      <c r="AE51" s="91">
        <f>SCI!AV14</f>
        <v>0</v>
      </c>
      <c r="AF51" s="91">
        <f>SCI!AW14</f>
        <v>0</v>
      </c>
      <c r="AG51" s="91">
        <f>SCI!AX14</f>
        <v>0</v>
      </c>
      <c r="AH51" s="91">
        <f>SCI!AY14</f>
        <v>0</v>
      </c>
      <c r="AI51" s="91">
        <f>SCI!AZ14</f>
        <v>0</v>
      </c>
      <c r="AJ51" s="91">
        <f>SCI!BA14</f>
        <v>0</v>
      </c>
      <c r="AK51" s="91">
        <f>SCI!BB14</f>
        <v>0</v>
      </c>
      <c r="AL51" s="91">
        <f>SCI!BC14</f>
        <v>0</v>
      </c>
      <c r="AM51" s="91">
        <f>SCI!BD14</f>
        <v>0</v>
      </c>
      <c r="AN51" s="91">
        <f>SCI!BE14</f>
        <v>0</v>
      </c>
      <c r="AO51" s="91">
        <f>SCI!BF14</f>
        <v>0</v>
      </c>
      <c r="AP51" s="91">
        <f>SCI!BG14</f>
        <v>0</v>
      </c>
      <c r="AQ51" s="91">
        <f>SCI!BH14</f>
        <v>0</v>
      </c>
      <c r="AR51" s="91">
        <f>SCI!BI14</f>
        <v>0</v>
      </c>
      <c r="AS51" s="91">
        <f>SCI!BJ14</f>
        <v>0</v>
      </c>
      <c r="AT51" s="91">
        <f>SCI!BK14</f>
        <v>0</v>
      </c>
      <c r="AU51" s="91">
        <f>SCI!BL14</f>
        <v>0</v>
      </c>
      <c r="AV51" s="91">
        <f>SCI!BM14</f>
        <v>0</v>
      </c>
      <c r="AW51" s="91">
        <f>SCI!BN14</f>
        <v>0</v>
      </c>
      <c r="AX51" s="91">
        <f>SCI!BO14</f>
        <v>0</v>
      </c>
      <c r="AY51" s="91">
        <f>SCI!BP14</f>
        <v>0</v>
      </c>
      <c r="AZ51" s="91">
        <f>SCI!BQ14</f>
        <v>0</v>
      </c>
      <c r="BA51" s="91">
        <f>SCI!BR14</f>
        <v>0</v>
      </c>
      <c r="BB51" s="91">
        <f>SCI!BS14</f>
        <v>0</v>
      </c>
      <c r="BC51" s="91">
        <f>SCI!BT14</f>
        <v>0</v>
      </c>
      <c r="BD51" s="91">
        <f>SCI!BU14</f>
        <v>0</v>
      </c>
      <c r="BE51" s="212"/>
      <c r="BF51" s="212"/>
      <c r="BG51" s="212"/>
    </row>
    <row r="52" spans="1:59">
      <c r="A52" s="229">
        <v>10.4</v>
      </c>
      <c r="B52" s="245" t="s">
        <v>55</v>
      </c>
      <c r="C52" s="99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212"/>
      <c r="BF52" s="212"/>
      <c r="BG52" s="212"/>
    </row>
    <row r="53" spans="1:59">
      <c r="A53" s="229">
        <v>10.5</v>
      </c>
      <c r="B53" s="246" t="s">
        <v>56</v>
      </c>
      <c r="C53" s="83">
        <f>SCI!T28</f>
        <v>106447541</v>
      </c>
      <c r="D53" s="90">
        <f>SCI!U28</f>
        <v>103826250</v>
      </c>
      <c r="E53" s="90">
        <f>SCI!V28</f>
        <v>3640084</v>
      </c>
      <c r="F53" s="90">
        <f>SCI!W28</f>
        <v>7150828</v>
      </c>
      <c r="G53" s="90">
        <f>SCI!X28</f>
        <v>10850760</v>
      </c>
      <c r="H53" s="90">
        <f>SCI!Y28</f>
        <v>13294215</v>
      </c>
      <c r="I53" s="90">
        <f>SCI!Z28</f>
        <v>15818957</v>
      </c>
      <c r="J53" s="90">
        <f>SCI!AA28</f>
        <v>18519596</v>
      </c>
      <c r="K53" s="90">
        <f>SCI!AB28</f>
        <v>20533250</v>
      </c>
      <c r="L53" s="90">
        <f>SCI!AC28</f>
        <v>23363571</v>
      </c>
      <c r="M53" s="90">
        <f>SCI!AD28</f>
        <v>25448107</v>
      </c>
      <c r="N53" s="90">
        <f>SCI!AE28</f>
        <v>28473661</v>
      </c>
      <c r="O53" s="90">
        <f>SCI!AF28</f>
        <v>33487100</v>
      </c>
      <c r="P53" s="90">
        <f>SCI!AG28</f>
        <v>34996195</v>
      </c>
      <c r="Q53" s="90">
        <f>SCI!AH28</f>
        <v>115231781</v>
      </c>
      <c r="R53" s="90">
        <f>SCI!AI28</f>
        <v>5932542</v>
      </c>
      <c r="S53" s="90">
        <f>SCI!AJ28</f>
        <v>9486275</v>
      </c>
      <c r="T53" s="90">
        <f>SCI!AK28</f>
        <v>39294795</v>
      </c>
      <c r="U53" s="90">
        <f>SCI!AL28</f>
        <v>50804378</v>
      </c>
      <c r="V53" s="90">
        <f>SCI!AM28</f>
        <v>65058444</v>
      </c>
      <c r="W53" s="90">
        <f>SCI!AN28</f>
        <v>76513313</v>
      </c>
      <c r="X53" s="90">
        <f>SCI!AO28</f>
        <v>0</v>
      </c>
      <c r="Y53" s="90">
        <f>SCI!AP28</f>
        <v>86392997</v>
      </c>
      <c r="Z53" s="90">
        <f>SCI!AQ28</f>
        <v>94303253</v>
      </c>
      <c r="AA53" s="90">
        <f>SCI!AR28</f>
        <v>100642205</v>
      </c>
      <c r="AB53" s="90">
        <f>SCI!AS28</f>
        <v>111905244</v>
      </c>
      <c r="AC53" s="90">
        <f>SCI!AT28</f>
        <v>125146960</v>
      </c>
      <c r="AD53" s="90">
        <f>SCI!AU28</f>
        <v>112174</v>
      </c>
      <c r="AE53" s="90">
        <f>SCI!AV28</f>
        <v>16855103</v>
      </c>
      <c r="AF53" s="90">
        <f>SCI!AW28</f>
        <v>23376051</v>
      </c>
      <c r="AG53" s="90">
        <f>SCI!AX28</f>
        <v>28355927</v>
      </c>
      <c r="AH53" s="90">
        <f>SCI!AY28</f>
        <v>47261063</v>
      </c>
      <c r="AI53" s="90">
        <f>SCI!AZ28</f>
        <v>54824357</v>
      </c>
      <c r="AJ53" s="90">
        <f>SCI!BA28</f>
        <v>77446759</v>
      </c>
      <c r="AK53" s="90">
        <f>SCI!BB28</f>
        <v>82527505</v>
      </c>
      <c r="AL53" s="90">
        <f>SCI!BC28</f>
        <v>90446103</v>
      </c>
      <c r="AM53" s="90">
        <f>SCI!BD28</f>
        <v>103707182</v>
      </c>
      <c r="AN53" s="90">
        <f>SCI!BE28</f>
        <v>109130459</v>
      </c>
      <c r="AO53" s="90">
        <f>SCI!BF28</f>
        <v>124876441</v>
      </c>
      <c r="AP53" s="90">
        <f>SCI!BG28</f>
        <v>152162572</v>
      </c>
      <c r="AQ53" s="90">
        <f>SCI!BH28</f>
        <v>125900767.95700711</v>
      </c>
      <c r="AR53" s="90">
        <f>SCI!BI28</f>
        <v>14442610</v>
      </c>
      <c r="AS53" s="90">
        <f>SCI!BJ28</f>
        <v>30567747</v>
      </c>
      <c r="AT53" s="90">
        <f>SCI!BK28</f>
        <v>39047857</v>
      </c>
      <c r="AU53" s="90">
        <f>SCI!BL28</f>
        <v>60062831</v>
      </c>
      <c r="AV53" s="90">
        <f>SCI!BM28</f>
        <v>66983967</v>
      </c>
      <c r="AW53" s="90">
        <f>SCI!BN28</f>
        <v>93870197</v>
      </c>
      <c r="AX53" s="90">
        <f>SCI!BO28</f>
        <v>100399119</v>
      </c>
      <c r="AY53" s="90">
        <f>SCI!BP28</f>
        <v>106398913</v>
      </c>
      <c r="AZ53" s="90">
        <f>SCI!BQ28</f>
        <v>126710055</v>
      </c>
      <c r="BA53" s="90">
        <f>SCI!BR28</f>
        <v>131453434</v>
      </c>
      <c r="BB53" s="90">
        <f>SCI!BS28</f>
        <v>138532532</v>
      </c>
      <c r="BC53" s="90">
        <f>SCI!BT28</f>
        <v>156706726</v>
      </c>
      <c r="BD53" s="90">
        <f>SCI!BU28</f>
        <v>151315000</v>
      </c>
      <c r="BE53" s="212"/>
      <c r="BF53" s="212"/>
      <c r="BG53" s="212"/>
    </row>
    <row r="54" spans="1:59">
      <c r="A54" s="229">
        <v>10.6</v>
      </c>
      <c r="B54" s="246" t="s">
        <v>57</v>
      </c>
      <c r="C54" s="83">
        <f>SCI!T25</f>
        <v>43709999</v>
      </c>
      <c r="D54" s="90">
        <f>SCI!U25</f>
        <v>58102205</v>
      </c>
      <c r="E54" s="90">
        <f>SCI!V25</f>
        <v>7395865</v>
      </c>
      <c r="F54" s="90">
        <f>SCI!W25</f>
        <v>13477375</v>
      </c>
      <c r="G54" s="90">
        <f>SCI!X25</f>
        <v>33249915</v>
      </c>
      <c r="H54" s="90">
        <f>SCI!Y25</f>
        <v>43457386</v>
      </c>
      <c r="I54" s="90">
        <f>SCI!Z25</f>
        <v>48705332</v>
      </c>
      <c r="J54" s="90">
        <f>SCI!AA25</f>
        <v>53087339</v>
      </c>
      <c r="K54" s="90">
        <f>SCI!AB25</f>
        <v>60772179</v>
      </c>
      <c r="L54" s="90">
        <f>SCI!AC25</f>
        <v>63211269</v>
      </c>
      <c r="M54" s="90">
        <f>SCI!AD25</f>
        <v>72805009</v>
      </c>
      <c r="N54" s="90">
        <f>SCI!AE25</f>
        <v>77613541</v>
      </c>
      <c r="O54" s="90">
        <f>SCI!AF25</f>
        <v>81718851</v>
      </c>
      <c r="P54" s="90">
        <f>SCI!AG25</f>
        <v>87321631</v>
      </c>
      <c r="Q54" s="90">
        <f>SCI!AH25</f>
        <v>59659971</v>
      </c>
      <c r="R54" s="90">
        <f>SCI!AI25</f>
        <v>570000</v>
      </c>
      <c r="S54" s="90">
        <f>SCI!AJ25</f>
        <v>1186023</v>
      </c>
      <c r="T54" s="90">
        <f>SCI!AK25</f>
        <v>24653069</v>
      </c>
      <c r="U54" s="90">
        <f>SCI!AL25</f>
        <v>26087399</v>
      </c>
      <c r="V54" s="90">
        <f>SCI!AM25</f>
        <v>27771749</v>
      </c>
      <c r="W54" s="90">
        <f>SCI!AN25</f>
        <v>29169299</v>
      </c>
      <c r="X54" s="90">
        <f>SCI!AO25</f>
        <v>0</v>
      </c>
      <c r="Y54" s="90">
        <f>SCI!AP25</f>
        <v>33640760</v>
      </c>
      <c r="Z54" s="90">
        <f>SCI!AQ25</f>
        <v>39215580</v>
      </c>
      <c r="AA54" s="90">
        <f>SCI!AR25</f>
        <v>42443175</v>
      </c>
      <c r="AB54" s="90">
        <f>SCI!AS25</f>
        <v>51354028</v>
      </c>
      <c r="AC54" s="90">
        <f>SCI!AT25</f>
        <v>58325128</v>
      </c>
      <c r="AD54" s="90">
        <f>SCI!AU25</f>
        <v>47113</v>
      </c>
      <c r="AE54" s="90">
        <f>SCI!AV25</f>
        <v>4905455</v>
      </c>
      <c r="AF54" s="90">
        <f>SCI!AW25</f>
        <v>22473259</v>
      </c>
      <c r="AG54" s="90">
        <f>SCI!AX25</f>
        <v>27167531</v>
      </c>
      <c r="AH54" s="90">
        <f>SCI!AY25</f>
        <v>36728305</v>
      </c>
      <c r="AI54" s="90">
        <f>SCI!AZ25</f>
        <v>39895027</v>
      </c>
      <c r="AJ54" s="90">
        <f>SCI!BA25</f>
        <v>43583447</v>
      </c>
      <c r="AK54" s="90">
        <f>SCI!BB25</f>
        <v>46461917</v>
      </c>
      <c r="AL54" s="90">
        <f>SCI!BC25</f>
        <v>49061632</v>
      </c>
      <c r="AM54" s="90">
        <f>SCI!BD25</f>
        <v>52188357</v>
      </c>
      <c r="AN54" s="90">
        <f>SCI!BE25</f>
        <v>57242407</v>
      </c>
      <c r="AO54" s="90">
        <f>SCI!BF25</f>
        <v>61068675</v>
      </c>
      <c r="AP54" s="90">
        <f>SCI!BG25</f>
        <v>74088340</v>
      </c>
      <c r="AQ54" s="90">
        <f>SCI!BH25</f>
        <v>59688740.200000003</v>
      </c>
      <c r="AR54" s="90">
        <f>SCI!BI25</f>
        <v>10931781</v>
      </c>
      <c r="AS54" s="90">
        <f>SCI!BJ25</f>
        <v>25190392</v>
      </c>
      <c r="AT54" s="90">
        <f>SCI!BK25</f>
        <v>40172247</v>
      </c>
      <c r="AU54" s="90">
        <f>SCI!BL25</f>
        <v>46316427</v>
      </c>
      <c r="AV54" s="90">
        <f>SCI!BM25</f>
        <v>49091094</v>
      </c>
      <c r="AW54" s="90">
        <f>SCI!BN25</f>
        <v>55948543</v>
      </c>
      <c r="AX54" s="90">
        <f>SCI!BO25</f>
        <v>63062103</v>
      </c>
      <c r="AY54" s="90">
        <f>SCI!BP25</f>
        <v>68688039</v>
      </c>
      <c r="AZ54" s="90">
        <f>SCI!BQ25</f>
        <v>74833812</v>
      </c>
      <c r="BA54" s="90">
        <f>SCI!BR25</f>
        <v>80007647</v>
      </c>
      <c r="BB54" s="90">
        <f>SCI!BS25</f>
        <v>96776733</v>
      </c>
      <c r="BC54" s="90">
        <f>SCI!BT25</f>
        <v>106099718</v>
      </c>
      <c r="BD54" s="90">
        <f>SCI!BU25</f>
        <v>96032000</v>
      </c>
      <c r="BE54" s="212"/>
      <c r="BF54" s="212"/>
      <c r="BG54" s="212"/>
    </row>
    <row r="55" spans="1:59">
      <c r="A55" s="231"/>
      <c r="B55" s="43" t="s">
        <v>58</v>
      </c>
      <c r="C55" s="106">
        <f>SCI!T24+SCI!T26+SCI!T27</f>
        <v>95854468</v>
      </c>
      <c r="D55" s="107">
        <f>SCI!U24+SCI!U26+SCI!U27</f>
        <v>105101409</v>
      </c>
      <c r="E55" s="107">
        <f>SCI!V24+SCI!V26+SCI!V27</f>
        <v>9052960</v>
      </c>
      <c r="F55" s="107">
        <f>SCI!W24+SCI!W26+SCI!W27</f>
        <v>16858019</v>
      </c>
      <c r="G55" s="107">
        <f>SCI!X24+SCI!X26+SCI!X27</f>
        <v>25680986</v>
      </c>
      <c r="H55" s="107">
        <f>SCI!Y24+SCI!Y26+SCI!Y27</f>
        <v>40952398</v>
      </c>
      <c r="I55" s="107">
        <f>SCI!Z24+SCI!Z26+SCI!Z27</f>
        <v>51020059</v>
      </c>
      <c r="J55" s="107">
        <f>SCI!AA24+SCI!AA26+SCI!AA27</f>
        <v>60379568</v>
      </c>
      <c r="K55" s="107">
        <f>SCI!AB24+SCI!AB26+SCI!AB27</f>
        <v>69740213</v>
      </c>
      <c r="L55" s="107">
        <f>SCI!AC24+SCI!AC26+SCI!AC27</f>
        <v>77273883</v>
      </c>
      <c r="M55" s="107">
        <f>SCI!AD24+SCI!AD26+SCI!AD27</f>
        <v>86812667</v>
      </c>
      <c r="N55" s="107">
        <f>SCI!AE24+SCI!AE26+SCI!AE27</f>
        <v>96891322</v>
      </c>
      <c r="O55" s="107">
        <f>SCI!AF24+SCI!AF26+SCI!AF27</f>
        <v>105857384</v>
      </c>
      <c r="P55" s="107">
        <f>SCI!AG24+SCI!AG26+SCI!AG27</f>
        <v>119133894</v>
      </c>
      <c r="Q55" s="107">
        <f>SCI!AH24+SCI!AH26+SCI!AH27</f>
        <v>122887241</v>
      </c>
      <c r="R55" s="107">
        <f>SCI!AI24+SCI!AI26+SCI!AI27</f>
        <v>26731520</v>
      </c>
      <c r="S55" s="107">
        <f>SCI!AJ24+SCI!AJ26+SCI!AJ27</f>
        <v>53000850</v>
      </c>
      <c r="T55" s="107">
        <f>SCI!AK24+SCI!AK26+SCI!AK27</f>
        <v>24557629</v>
      </c>
      <c r="U55" s="107">
        <f>SCI!AL24+SCI!AL26+SCI!AL27</f>
        <v>42568452</v>
      </c>
      <c r="V55" s="107">
        <f>SCI!AM24+SCI!AM26+SCI!AM27</f>
        <v>51768036</v>
      </c>
      <c r="W55" s="107">
        <f>SCI!AN24+SCI!AN26+SCI!AN27</f>
        <v>57838323</v>
      </c>
      <c r="X55" s="107">
        <f>SCI!AO24+SCI!AO26+SCI!AO27</f>
        <v>0</v>
      </c>
      <c r="Y55" s="107">
        <f>SCI!AP24+SCI!AP26+SCI!AP27</f>
        <v>73129961</v>
      </c>
      <c r="Z55" s="107">
        <f>SCI!AQ24+SCI!AQ26+SCI!AQ27</f>
        <v>82208495</v>
      </c>
      <c r="AA55" s="107">
        <f>SCI!AR24+SCI!AR26+SCI!AR27</f>
        <v>92305760</v>
      </c>
      <c r="AB55" s="107">
        <f>SCI!AS24+SCI!AS26+SCI!AS27</f>
        <v>105365700</v>
      </c>
      <c r="AC55" s="107">
        <f>SCI!AT24+SCI!AT26+SCI!AT27</f>
        <v>114811448</v>
      </c>
      <c r="AD55" s="107">
        <f>SCI!AU24+SCI!AU26+SCI!AU27</f>
        <v>122808</v>
      </c>
      <c r="AE55" s="107">
        <f>SCI!AV24+SCI!AV26+SCI!AV27</f>
        <v>6712537</v>
      </c>
      <c r="AF55" s="107">
        <f>SCI!AW24+SCI!AW26+SCI!AW27</f>
        <v>18392525</v>
      </c>
      <c r="AG55" s="107">
        <f>SCI!AX24+SCI!AX26+SCI!AX27</f>
        <v>27228570</v>
      </c>
      <c r="AH55" s="107">
        <f>SCI!AY24+SCI!AY26+SCI!AY27</f>
        <v>47192060</v>
      </c>
      <c r="AI55" s="107">
        <f>SCI!AZ24+SCI!AZ26+SCI!AZ27</f>
        <v>56603629</v>
      </c>
      <c r="AJ55" s="107">
        <f>SCI!BA24+SCI!BA26+SCI!BA27</f>
        <v>65148354</v>
      </c>
      <c r="AK55" s="107">
        <f>SCI!BB24+SCI!BB26+SCI!BB27</f>
        <v>74656164</v>
      </c>
      <c r="AL55" s="107">
        <f>SCI!BC24+SCI!BC26+SCI!BC27</f>
        <v>85193925</v>
      </c>
      <c r="AM55" s="107">
        <f>SCI!BD24+SCI!BD26+SCI!BD27</f>
        <v>95534727</v>
      </c>
      <c r="AN55" s="107">
        <f>SCI!BE24+SCI!BE26+SCI!BE27</f>
        <v>107658739</v>
      </c>
      <c r="AO55" s="107">
        <f>SCI!BF24+SCI!BF26+SCI!BF27</f>
        <v>120772339</v>
      </c>
      <c r="AP55" s="107">
        <f>SCI!BG24+SCI!BG26+SCI!BG27</f>
        <v>156279468</v>
      </c>
      <c r="AQ55" s="107">
        <f>SCI!BH24+SCI!BH26+SCI!BH27</f>
        <v>156279267.99553496</v>
      </c>
      <c r="AR55" s="107">
        <f>SCI!BI24+SCI!BI26+SCI!BI27</f>
        <v>9691618</v>
      </c>
      <c r="AS55" s="107">
        <f>SCI!BJ24+SCI!BJ26+SCI!BJ27</f>
        <v>18799029</v>
      </c>
      <c r="AT55" s="107">
        <f>SCI!BK24+SCI!BK26+SCI!BK27</f>
        <v>31888216</v>
      </c>
      <c r="AU55" s="107">
        <f>SCI!BL24+SCI!BL26+SCI!BL27</f>
        <v>59061951</v>
      </c>
      <c r="AV55" s="107">
        <f>SCI!BM24+SCI!BM26+SCI!BM27</f>
        <v>70813758</v>
      </c>
      <c r="AW55" s="107">
        <f>SCI!BN24+SCI!BN26+SCI!BN27</f>
        <v>84358262</v>
      </c>
      <c r="AX55" s="107">
        <f>SCI!BO24+SCI!BO26+SCI!BO27</f>
        <v>96136675</v>
      </c>
      <c r="AY55" s="107">
        <f>SCI!BP24+SCI!BP26+SCI!BP27</f>
        <v>105692672</v>
      </c>
      <c r="AZ55" s="107">
        <f>SCI!BQ24+SCI!BQ26+SCI!BQ27</f>
        <v>114548329</v>
      </c>
      <c r="BA55" s="107">
        <f>SCI!BR24+SCI!BR26+SCI!BR27</f>
        <v>125431330</v>
      </c>
      <c r="BB55" s="107">
        <f>SCI!BS24+SCI!BS26+SCI!BS27</f>
        <v>138347323</v>
      </c>
      <c r="BC55" s="107">
        <f>SCI!BT24+SCI!BT26+SCI!BT27</f>
        <v>154898568</v>
      </c>
      <c r="BD55" s="107">
        <f>SCI!BU24+SCI!BU26+SCI!BU27</f>
        <v>176310000</v>
      </c>
      <c r="BE55" s="212"/>
      <c r="BF55" s="212"/>
      <c r="BG55" s="212"/>
    </row>
  </sheetData>
  <pageMargins left="0.7" right="0.7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87"/>
  <sheetViews>
    <sheetView zoomScaleNormal="100" workbookViewId="0">
      <pane xSplit="3" ySplit="2" topLeftCell="D3" activePane="bottomRight" state="frozen"/>
      <selection pane="bottomRight" activeCell="B1" sqref="B1:BF27"/>
      <selection pane="bottomLeft" activeCell="A3" sqref="A3"/>
      <selection pane="topRight" activeCell="D1" sqref="D1"/>
    </sheetView>
  </sheetViews>
  <sheetFormatPr defaultRowHeight="15.75"/>
  <cols>
    <col min="2" max="2" width="24.85546875" style="399" bestFit="1" customWidth="1"/>
    <col min="3" max="3" width="19" style="399" customWidth="1"/>
    <col min="4" max="4" width="10.140625" style="399" customWidth="1"/>
    <col min="5" max="18" width="0" hidden="1" customWidth="1"/>
    <col min="19" max="19" width="12.28515625" customWidth="1"/>
    <col min="20" max="31" width="0" hidden="1" customWidth="1"/>
    <col min="32" max="32" width="13.5703125" customWidth="1"/>
    <col min="33" max="44" width="0" hidden="1" customWidth="1"/>
    <col min="45" max="45" width="13.140625" customWidth="1"/>
    <col min="46" max="47" width="0" hidden="1" customWidth="1"/>
    <col min="48" max="48" width="10.140625" bestFit="1" customWidth="1"/>
    <col min="49" max="50" width="0" hidden="1" customWidth="1"/>
    <col min="51" max="51" width="10.140625" bestFit="1" customWidth="1"/>
    <col min="52" max="53" width="0" hidden="1" customWidth="1"/>
    <col min="54" max="54" width="11.7109375" customWidth="1"/>
    <col min="55" max="56" width="0" hidden="1" customWidth="1"/>
    <col min="57" max="58" width="10.140625" bestFit="1" customWidth="1"/>
  </cols>
  <sheetData>
    <row r="1" spans="1:59">
      <c r="B1" s="411" t="s">
        <v>59</v>
      </c>
    </row>
    <row r="2" spans="1:59" ht="30.75">
      <c r="E2" s="75" t="s">
        <v>2</v>
      </c>
      <c r="F2" s="75" t="s">
        <v>3</v>
      </c>
      <c r="G2" s="75">
        <v>43466</v>
      </c>
      <c r="H2" s="75">
        <v>43497</v>
      </c>
      <c r="I2" s="75">
        <v>43525</v>
      </c>
      <c r="J2" s="75">
        <v>43556</v>
      </c>
      <c r="K2" s="75">
        <v>43586</v>
      </c>
      <c r="L2" s="75">
        <v>43617</v>
      </c>
      <c r="M2" s="75">
        <v>43647</v>
      </c>
      <c r="N2" s="75">
        <v>43678</v>
      </c>
      <c r="O2" s="75">
        <v>43709</v>
      </c>
      <c r="P2" s="75">
        <v>43739</v>
      </c>
      <c r="Q2" s="75">
        <v>43770</v>
      </c>
      <c r="R2" s="75">
        <v>43800</v>
      </c>
      <c r="S2" s="75" t="s">
        <v>60</v>
      </c>
      <c r="T2" s="75">
        <v>43831</v>
      </c>
      <c r="U2" s="75">
        <v>43862</v>
      </c>
      <c r="V2" s="75">
        <v>43891</v>
      </c>
      <c r="W2" s="75">
        <v>43922</v>
      </c>
      <c r="X2" s="75">
        <v>43952</v>
      </c>
      <c r="Y2" s="75">
        <v>43983</v>
      </c>
      <c r="Z2" s="75">
        <v>44013</v>
      </c>
      <c r="AA2" s="75">
        <v>44044</v>
      </c>
      <c r="AB2" s="75">
        <v>44075</v>
      </c>
      <c r="AC2" s="75">
        <v>44105</v>
      </c>
      <c r="AD2" s="75">
        <v>44136</v>
      </c>
      <c r="AE2" s="75">
        <v>44166</v>
      </c>
      <c r="AF2" s="75" t="s">
        <v>61</v>
      </c>
      <c r="AG2" s="38">
        <v>44197</v>
      </c>
      <c r="AH2" s="38">
        <v>44228</v>
      </c>
      <c r="AI2" s="38">
        <v>44256</v>
      </c>
      <c r="AJ2" s="38">
        <v>44287</v>
      </c>
      <c r="AK2" s="38">
        <v>44317</v>
      </c>
      <c r="AL2" s="38">
        <v>44348</v>
      </c>
      <c r="AM2" s="38">
        <v>44378</v>
      </c>
      <c r="AN2" s="38">
        <v>44409</v>
      </c>
      <c r="AO2" s="38">
        <v>44440</v>
      </c>
      <c r="AP2" s="38">
        <v>44470</v>
      </c>
      <c r="AQ2" s="38">
        <v>44501</v>
      </c>
      <c r="AR2" s="38">
        <v>44531</v>
      </c>
      <c r="AS2" s="40" t="s">
        <v>6</v>
      </c>
      <c r="AT2" s="126">
        <v>44562</v>
      </c>
      <c r="AU2" s="126">
        <v>44593</v>
      </c>
      <c r="AV2" s="126">
        <v>44621</v>
      </c>
      <c r="AW2" s="126">
        <v>44652</v>
      </c>
      <c r="AX2" s="126">
        <v>44682</v>
      </c>
      <c r="AY2" s="126">
        <v>44713</v>
      </c>
      <c r="AZ2" s="126">
        <v>44743</v>
      </c>
      <c r="BA2" s="126">
        <v>44774</v>
      </c>
      <c r="BB2" s="126">
        <v>44805</v>
      </c>
      <c r="BC2" s="126">
        <v>44835</v>
      </c>
      <c r="BD2" s="126">
        <v>44866</v>
      </c>
      <c r="BE2" s="126">
        <v>44896</v>
      </c>
      <c r="BF2" s="126" t="s">
        <v>62</v>
      </c>
    </row>
    <row r="3" spans="1:59" s="1" customFormat="1">
      <c r="A3" s="247"/>
      <c r="B3" s="400"/>
      <c r="C3" s="400"/>
      <c r="D3" s="406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7"/>
      <c r="AU3" s="247"/>
      <c r="AV3" s="247"/>
      <c r="AW3" s="247"/>
      <c r="AX3" s="247"/>
      <c r="AY3" s="247"/>
      <c r="AZ3" s="247"/>
      <c r="BA3" s="247"/>
      <c r="BB3" s="247"/>
      <c r="BC3" s="247"/>
      <c r="BD3" s="247"/>
      <c r="BE3" s="247"/>
      <c r="BF3" s="247"/>
      <c r="BG3" s="247"/>
    </row>
    <row r="4" spans="1:59" s="1" customFormat="1" ht="12.75" customHeight="1">
      <c r="A4" s="426" t="s">
        <v>63</v>
      </c>
      <c r="B4" s="425" t="s">
        <v>64</v>
      </c>
      <c r="C4" s="401" t="s">
        <v>65</v>
      </c>
      <c r="D4" s="407" t="s">
        <v>66</v>
      </c>
      <c r="E4" s="249">
        <f>Financials!C13/1000000</f>
        <v>2354.8771999999999</v>
      </c>
      <c r="F4" s="249">
        <f>Financials!D13/1000000</f>
        <v>2112.2538989999998</v>
      </c>
      <c r="G4" s="249">
        <f>Financials!E13/1000000</f>
        <v>2260.4536720000001</v>
      </c>
      <c r="H4" s="249">
        <f>Financials!F13/1000000</f>
        <v>2296.490354</v>
      </c>
      <c r="I4" s="249">
        <f>Financials!G13/1000000</f>
        <v>2316.8831150000001</v>
      </c>
      <c r="J4" s="249">
        <f>Financials!H13/1000000</f>
        <v>2350.4639950000001</v>
      </c>
      <c r="K4" s="249">
        <f>Financials!I13/1000000</f>
        <v>2401.1642310000002</v>
      </c>
      <c r="L4" s="249">
        <f>Financials!J13/1000000</f>
        <v>2419.093562</v>
      </c>
      <c r="M4" s="249">
        <f>Financials!K13/1000000</f>
        <v>2415.9595439999998</v>
      </c>
      <c r="N4" s="249">
        <f>Financials!L13/1000000</f>
        <v>2551.807605</v>
      </c>
      <c r="O4" s="249">
        <f>Financials!M13/1000000</f>
        <v>2528.7221869999998</v>
      </c>
      <c r="P4" s="249">
        <f>Financials!N13/1000000</f>
        <v>2528.9564439999999</v>
      </c>
      <c r="Q4" s="249">
        <f>Financials!O13/1000000</f>
        <v>2530.5394409999999</v>
      </c>
      <c r="R4" s="249">
        <f>Financials!P13/1000000</f>
        <v>2521.9885939999999</v>
      </c>
      <c r="S4" s="413">
        <f>Financials!Q13/1000000</f>
        <v>3167.2898329999998</v>
      </c>
      <c r="T4" s="413">
        <f>Financials!R13/1000000</f>
        <v>3262.1259639999998</v>
      </c>
      <c r="U4" s="413">
        <f>Financials!S13/1000000</f>
        <v>3349.1399670000001</v>
      </c>
      <c r="V4" s="413">
        <f>Financials!T13/1000000</f>
        <v>3334.0524340000002</v>
      </c>
      <c r="W4" s="413">
        <f>Financials!U13/1000000</f>
        <v>3347.2681040000002</v>
      </c>
      <c r="X4" s="413">
        <f>Financials!V13/1000000</f>
        <v>3359.1320839999998</v>
      </c>
      <c r="Y4" s="413">
        <f>Financials!W13/1000000</f>
        <v>3334.4369889999998</v>
      </c>
      <c r="Z4" s="413">
        <f>Financials!X13/1000000</f>
        <v>0</v>
      </c>
      <c r="AA4" s="413">
        <f>Financials!Y13/1000000</f>
        <v>3451.5219630000001</v>
      </c>
      <c r="AB4" s="413">
        <f>Financials!Z13/1000000</f>
        <v>3295.0543859999998</v>
      </c>
      <c r="AC4" s="413">
        <f>Financials!AA13/1000000</f>
        <v>3405.7908809999999</v>
      </c>
      <c r="AD4" s="413">
        <f>Financials!AB13/1000000</f>
        <v>3475.5456180000001</v>
      </c>
      <c r="AE4" s="413">
        <f>Financials!AC13/1000000</f>
        <v>3467.9166409999998</v>
      </c>
      <c r="AF4" s="413">
        <f>Financials!AD13/1000000</f>
        <v>3.6803599999999999</v>
      </c>
      <c r="AG4" s="54">
        <f>Financials!AE13/1000000</f>
        <v>3529.8270090000001</v>
      </c>
      <c r="AH4" s="54">
        <f>Financials!AF13/1000000</f>
        <v>3645.754782</v>
      </c>
      <c r="AI4" s="54">
        <f>Financials!AG13/1000000</f>
        <v>3685.197615</v>
      </c>
      <c r="AJ4" s="54">
        <f>Financials!AH13/1000000</f>
        <v>3716.2690550000002</v>
      </c>
      <c r="AK4" s="54">
        <f>Financials!AI13/1000000</f>
        <v>3816.2622849999998</v>
      </c>
      <c r="AL4" s="54">
        <f>Financials!AJ13/1000000</f>
        <v>3793.9386679999998</v>
      </c>
      <c r="AM4" s="54">
        <f>Financials!AK13/1000000</f>
        <v>3825.1884810000001</v>
      </c>
      <c r="AN4" s="54">
        <f>Financials!AL13/1000000</f>
        <v>3849.8147829999998</v>
      </c>
      <c r="AO4" s="54">
        <f>Financials!AM13/1000000</f>
        <v>3867.1112320000002</v>
      </c>
      <c r="AP4" s="54">
        <f>Financials!AN13/1000000</f>
        <v>3883.0086240000001</v>
      </c>
      <c r="AQ4" s="54">
        <f>Financials!AO13/1000000</f>
        <v>3897.1487360000001</v>
      </c>
      <c r="AR4" s="54">
        <f>Financials!AP13/1000000</f>
        <v>4170.9784730000001</v>
      </c>
      <c r="AS4" s="54">
        <f>Financials!AQ13/1000000</f>
        <v>4162.8290841997796</v>
      </c>
      <c r="AT4" s="54">
        <f>Financials!AR13/1000000</f>
        <v>4263.2573730000004</v>
      </c>
      <c r="AU4" s="54">
        <f>Financials!AS13/1000000</f>
        <v>4316.108733</v>
      </c>
      <c r="AV4" s="54">
        <f>Financials!AT13/1000000</f>
        <v>4266.7441349999999</v>
      </c>
      <c r="AW4" s="54">
        <f>Financials!AU13/1000000</f>
        <v>4246.6678510000002</v>
      </c>
      <c r="AX4" s="54">
        <f>Financials!AV13/1000000</f>
        <v>4318.479182</v>
      </c>
      <c r="AY4" s="54">
        <f>Financials!AW13/1000000</f>
        <v>4342.8782124600002</v>
      </c>
      <c r="AZ4" s="54">
        <f>Financials!AX13/1000000</f>
        <v>4382.8499410000004</v>
      </c>
      <c r="BA4" s="54">
        <f>Financials!AY13/1000000</f>
        <v>4406.1109909999996</v>
      </c>
      <c r="BB4" s="54">
        <f>Financials!AZ13/1000000</f>
        <v>4577.427713</v>
      </c>
      <c r="BC4" s="54">
        <f>Financials!BA13/1000000</f>
        <v>4595.7177380000003</v>
      </c>
      <c r="BD4" s="54">
        <f>Financials!BB13/1000000</f>
        <v>4630.8685349999996</v>
      </c>
      <c r="BE4" s="54">
        <f>Financials!BC13/1000000</f>
        <v>4728.6632390000004</v>
      </c>
      <c r="BF4" s="54">
        <f>Financials!BD13/1000000</f>
        <v>4484.4269999999997</v>
      </c>
      <c r="BG4" s="247"/>
    </row>
    <row r="5" spans="1:59" s="1" customFormat="1">
      <c r="A5" s="427"/>
      <c r="B5" s="425"/>
      <c r="C5" s="402" t="s">
        <v>67</v>
      </c>
      <c r="D5" s="407" t="s">
        <v>68</v>
      </c>
      <c r="E5" s="250">
        <f>Financials!C13/Financials!C5</f>
        <v>0.2904977147360725</v>
      </c>
      <c r="F5" s="250">
        <f>Financials!D13/Financials!D5</f>
        <v>0.24236128433579504</v>
      </c>
      <c r="G5" s="250">
        <f>Financials!E13/Financials!E5</f>
        <v>0.25227515622584501</v>
      </c>
      <c r="H5" s="250">
        <f>Financials!F13/Financials!F5</f>
        <v>0.25634814594753813</v>
      </c>
      <c r="I5" s="250">
        <f>Financials!G13/Financials!G5</f>
        <v>0.25605685237034503</v>
      </c>
      <c r="J5" s="250">
        <f>Financials!H13/Financials!H5</f>
        <v>0.27491438075667479</v>
      </c>
      <c r="K5" s="250">
        <f>Financials!I13/Financials!I5</f>
        <v>0.28073567276583911</v>
      </c>
      <c r="L5" s="250">
        <f>Financials!J13/Financials!J5</f>
        <v>0.2778337125465612</v>
      </c>
      <c r="M5" s="250">
        <f>Financials!K13/Financials!K5</f>
        <v>0.27461852572675288</v>
      </c>
      <c r="N5" s="250">
        <f>Financials!L13/Financials!L5</f>
        <v>0.28190536696099749</v>
      </c>
      <c r="O5" s="250">
        <f>Financials!M13/Financials!M5</f>
        <v>0.27583982063667528</v>
      </c>
      <c r="P5" s="250">
        <f>Financials!N13/Financials!N5</f>
        <v>0.27116962144195716</v>
      </c>
      <c r="Q5" s="250">
        <f>Financials!O13/Financials!O5</f>
        <v>0.27623100223220998</v>
      </c>
      <c r="R5" s="250">
        <f>Financials!P13/Financials!P5</f>
        <v>0.26916639422846939</v>
      </c>
      <c r="S5" s="414">
        <f>Financials!Q13/Financials!Q5</f>
        <v>0.33393207551236997</v>
      </c>
      <c r="T5" s="414">
        <f>Financials!R13/Financials!R5</f>
        <v>0.33816176673010823</v>
      </c>
      <c r="U5" s="414">
        <f>Financials!S13/Financials!S5</f>
        <v>0.34418342694037102</v>
      </c>
      <c r="V5" s="414">
        <f>Financials!T13/Financials!T5</f>
        <v>0.34937400344957853</v>
      </c>
      <c r="W5" s="414">
        <f>Financials!U13/Financials!U5</f>
        <v>0.34795177850798803</v>
      </c>
      <c r="X5" s="414">
        <f>Financials!V13/Financials!V5</f>
        <v>0.35063734202339919</v>
      </c>
      <c r="Y5" s="414">
        <f>Financials!W13/Financials!W5</f>
        <v>0.34413561366078416</v>
      </c>
      <c r="Z5" s="414" t="e">
        <f>Financials!X13/Financials!X5</f>
        <v>#DIV/0!</v>
      </c>
      <c r="AA5" s="414">
        <f>Financials!Y13/Financials!Y5</f>
        <v>0.34583327606555087</v>
      </c>
      <c r="AB5" s="414">
        <f>Financials!Z13/Financials!Z5</f>
        <v>0.32779300213140383</v>
      </c>
      <c r="AC5" s="414">
        <f>Financials!AA13/Financials!AA5</f>
        <v>0.3324156376032581</v>
      </c>
      <c r="AD5" s="414">
        <f>Financials!AB13/Financials!AB5</f>
        <v>0.3318604370394202</v>
      </c>
      <c r="AE5" s="414">
        <f>Financials!AC13/Financials!AC5</f>
        <v>0.32789494927762586</v>
      </c>
      <c r="AF5" s="414">
        <f>Financials!AD13/Financials!AD5</f>
        <v>0.35124206323074825</v>
      </c>
      <c r="AG5" s="414">
        <f>Financials!AE13/Financials!AE5</f>
        <v>0.33713433520316821</v>
      </c>
      <c r="AH5" s="414">
        <f>Financials!AF13/Financials!AF5</f>
        <v>0.35416802335168923</v>
      </c>
      <c r="AI5" s="414">
        <f>Financials!AG13/Financials!AG5</f>
        <v>0.36326419036441293</v>
      </c>
      <c r="AJ5" s="414">
        <f>Financials!AH13/Financials!AH5</f>
        <v>0.36337917324988728</v>
      </c>
      <c r="AK5" s="414">
        <f>Financials!AI13/Financials!AI5</f>
        <v>0.37010742923758766</v>
      </c>
      <c r="AL5" s="414">
        <f>Financials!AJ13/Financials!AJ5</f>
        <v>0.35895615871548769</v>
      </c>
      <c r="AM5" s="414">
        <f>Financials!AK13/Financials!AK5</f>
        <v>0.34923172205693515</v>
      </c>
      <c r="AN5" s="414">
        <f>Financials!AL13/Financials!AL5</f>
        <v>0.35224807819823217</v>
      </c>
      <c r="AO5" s="414">
        <f>Financials!AM13/Financials!AM5</f>
        <v>0.3498627638004837</v>
      </c>
      <c r="AP5" s="414">
        <f>Financials!AN13/Financials!AN5</f>
        <v>0.34763102159619075</v>
      </c>
      <c r="AQ5" s="414">
        <f>Financials!AO13/Financials!AO5</f>
        <v>0.34201568322189158</v>
      </c>
      <c r="AR5" s="414">
        <f>Financials!AP13/Financials!AP5</f>
        <v>0.35677872691562351</v>
      </c>
      <c r="AS5" s="414">
        <f>Financials!AQ13/Financials!AQ5</f>
        <v>0.35608164146584959</v>
      </c>
      <c r="AT5" s="414">
        <f>Financials!AR13/Financials!AR5</f>
        <v>0.36073857114253549</v>
      </c>
      <c r="AU5" s="414">
        <f>Financials!AS13/Financials!AS5</f>
        <v>0.3718548275332404</v>
      </c>
      <c r="AV5" s="414">
        <f>Financials!AT13/Financials!AT5</f>
        <v>0.36724003867234212</v>
      </c>
      <c r="AW5" s="414">
        <f>Financials!AU13/Financials!AU5</f>
        <v>0.36524833988646643</v>
      </c>
      <c r="AX5" s="414">
        <f>Financials!AV13/Financials!AV5</f>
        <v>0.37006303623047998</v>
      </c>
      <c r="AY5" s="414">
        <f>Financials!AW13/Financials!AW5</f>
        <v>0.36749661296192782</v>
      </c>
      <c r="AZ5" s="414">
        <f>Financials!AX13/Financials!AX5</f>
        <v>0.36381699472979001</v>
      </c>
      <c r="BA5" s="414">
        <f>Financials!AY13/Financials!AY5</f>
        <v>0.36493707573694295</v>
      </c>
      <c r="BB5" s="414">
        <f>Financials!AZ13/Financials!AZ5</f>
        <v>0.373733546016496</v>
      </c>
      <c r="BC5" s="414">
        <f>Financials!BA13/Financials!BA5</f>
        <v>0.37105014758889965</v>
      </c>
      <c r="BD5" s="414">
        <f>Financials!BB13/Financials!BB5</f>
        <v>0.36702053824477282</v>
      </c>
      <c r="BE5" s="414">
        <f>Financials!BC13/Financials!BC5</f>
        <v>0.36706989129128509</v>
      </c>
      <c r="BF5" s="414">
        <f>Financials!BD13/Financials!BD5</f>
        <v>0.34607336735909733</v>
      </c>
      <c r="BG5" s="247"/>
    </row>
    <row r="6" spans="1:59" s="1" customFormat="1">
      <c r="A6" s="427"/>
      <c r="B6" s="425"/>
      <c r="C6" s="402" t="s">
        <v>69</v>
      </c>
      <c r="D6" s="407" t="s">
        <v>70</v>
      </c>
      <c r="E6" s="250">
        <f>Financials!C14/Financials!C5</f>
        <v>0.24331868897875608</v>
      </c>
      <c r="F6" s="250">
        <f>Financials!D14/Financials!D5</f>
        <v>0.19394967416467504</v>
      </c>
      <c r="G6" s="250">
        <f>Financials!E14/Financials!E5</f>
        <v>0.17729933707473269</v>
      </c>
      <c r="H6" s="250">
        <f>Financials!F14/Financials!F5</f>
        <v>0.18093922479761312</v>
      </c>
      <c r="I6" s="250">
        <f>Financials!G14/Financials!G5</f>
        <v>0.18064481739382973</v>
      </c>
      <c r="J6" s="250">
        <f>Financials!H14/Financials!H5</f>
        <v>0.19362637417290632</v>
      </c>
      <c r="K6" s="250">
        <f>Financials!I14/Financials!I5</f>
        <v>0.19890983743111226</v>
      </c>
      <c r="L6" s="250">
        <f>Financials!J14/Financials!J5</f>
        <v>0.19697259413907195</v>
      </c>
      <c r="M6" s="250">
        <f>Financials!K14/Financials!K5</f>
        <v>0.19425578831351745</v>
      </c>
      <c r="N6" s="250">
        <f>Financials!L14/Financials!L5</f>
        <v>0.19479502626185807</v>
      </c>
      <c r="O6" s="250">
        <f>Financials!M14/Financials!M5</f>
        <v>0.18942968835270366</v>
      </c>
      <c r="P6" s="250">
        <f>Financials!N14/Financials!N5</f>
        <v>0.1855163344353922</v>
      </c>
      <c r="Q6" s="250">
        <f>Financials!O14/Financials!O5</f>
        <v>0.18853078779350255</v>
      </c>
      <c r="R6" s="250">
        <f>Financials!P14/Financials!P5</f>
        <v>0.18283129606880316</v>
      </c>
      <c r="S6" s="414">
        <f>Financials!Q14/Financials!Q5</f>
        <v>0.24864563305395718</v>
      </c>
      <c r="T6" s="414">
        <f>Financials!R14/Financials!R5</f>
        <v>0.24595579900015185</v>
      </c>
      <c r="U6" s="414">
        <f>Financials!S14/Financials!S5</f>
        <v>0.25216910419674232</v>
      </c>
      <c r="V6" s="414">
        <f>Financials!T14/Financials!T5</f>
        <v>0.25467758014262387</v>
      </c>
      <c r="W6" s="414">
        <f>Financials!U14/Financials!U5</f>
        <v>0.25353048759405661</v>
      </c>
      <c r="X6" s="414">
        <f>Financials!V14/Financials!V5</f>
        <v>0.25530752263150192</v>
      </c>
      <c r="Y6" s="414">
        <f>Financials!W14/Financials!W5</f>
        <v>0.24945483734635734</v>
      </c>
      <c r="Z6" s="414" t="e">
        <f>Financials!X14/Financials!X5</f>
        <v>#DIV/0!</v>
      </c>
      <c r="AA6" s="414">
        <f>Financials!Y14/Financials!Y5</f>
        <v>0.25289645794836746</v>
      </c>
      <c r="AB6" s="414">
        <f>Financials!Z14/Financials!Z5</f>
        <v>0.23497195028264481</v>
      </c>
      <c r="AC6" s="414">
        <f>Financials!AA14/Financials!AA5</f>
        <v>0.24074593651171469</v>
      </c>
      <c r="AD6" s="414">
        <f>Financials!AB14/Financials!AB5</f>
        <v>0.24156828184982415</v>
      </c>
      <c r="AE6" s="414">
        <f>Financials!AC14/Financials!AC5</f>
        <v>0.23792506894817222</v>
      </c>
      <c r="AF6" s="414">
        <f>Financials!AD14/Financials!AD5</f>
        <v>0.26042919872152759</v>
      </c>
      <c r="AG6" s="414">
        <f>Financials!AE14/Financials!AE5</f>
        <v>0.24577381930078643</v>
      </c>
      <c r="AH6" s="414">
        <f>Financials!AF14/Financials!AF5</f>
        <v>0.25191998561451084</v>
      </c>
      <c r="AI6" s="414">
        <f>Financials!AG14/Financials!AG5</f>
        <v>0.25793055382324437</v>
      </c>
      <c r="AJ6" s="414">
        <f>Financials!AH14/Financials!AH5</f>
        <v>0.25805576502339211</v>
      </c>
      <c r="AK6" s="414">
        <f>Financials!AI14/Financials!AI5</f>
        <v>0.26488736400263357</v>
      </c>
      <c r="AL6" s="414">
        <f>Financials!AJ14/Financials!AJ5</f>
        <v>0.25582282943466522</v>
      </c>
      <c r="AM6" s="414">
        <f>Financials!AK14/Financials!AK5</f>
        <v>0.2488119624768601</v>
      </c>
      <c r="AN6" s="414">
        <f>Financials!AL14/Financials!AL5</f>
        <v>0.25079927216325404</v>
      </c>
      <c r="AO6" s="414">
        <f>Financials!AM14/Financials!AM5</f>
        <v>0.24883026019034515</v>
      </c>
      <c r="AP6" s="414">
        <f>Financials!AN14/Financials!AN5</f>
        <v>0.24700000246895365</v>
      </c>
      <c r="AQ6" s="414">
        <f>Financials!AO14/Financials!AO5</f>
        <v>0.24270665634902625</v>
      </c>
      <c r="AR6" s="414">
        <f>Financials!AP14/Financials!AP5</f>
        <v>0.25937342584768264</v>
      </c>
      <c r="AS6" s="414">
        <f>Financials!AQ14/Financials!AQ5</f>
        <v>0.25867634038764914</v>
      </c>
      <c r="AT6" s="414">
        <f>Financials!AR14/Financials!AR5</f>
        <v>0.25690091680436816</v>
      </c>
      <c r="AU6" s="414">
        <f>Financials!AS14/Financials!AS5</f>
        <v>0.26557991494015293</v>
      </c>
      <c r="AV6" s="414">
        <f>Financials!AT14/Financials!AT5</f>
        <v>0.26024034220578551</v>
      </c>
      <c r="AW6" s="414">
        <f>Financials!AU14/Financials!AU5</f>
        <v>0.25774830295711731</v>
      </c>
      <c r="AX6" s="414">
        <f>Financials!AV14/Financials!AV5</f>
        <v>0.26238072092310394</v>
      </c>
      <c r="AY6" s="414">
        <f>Financials!AW14/Financials!AW5</f>
        <v>0.26063443674400111</v>
      </c>
      <c r="AZ6" s="414">
        <f>Financials!AX14/Financials!AX5</f>
        <v>0.25852462867033726</v>
      </c>
      <c r="BA6" s="414">
        <f>Financials!AY14/Financials!AY5</f>
        <v>0.25939369311502963</v>
      </c>
      <c r="BB6" s="414">
        <f>Financials!AZ14/Financials!AZ5</f>
        <v>0.26911843657107037</v>
      </c>
      <c r="BC6" s="414">
        <f>Financials!BA14/Financials!BA5</f>
        <v>0.26709045054657732</v>
      </c>
      <c r="BD6" s="414">
        <f>Financials!BB14/Financials!BB5</f>
        <v>0.26464886400720694</v>
      </c>
      <c r="BE6" s="414">
        <f>Financials!BC14/Financials!BC5</f>
        <v>0.26574851775636305</v>
      </c>
      <c r="BF6" s="414">
        <f>Financials!BD14/Financials!BD5</f>
        <v>0.2453449692638322</v>
      </c>
      <c r="BG6" s="247"/>
    </row>
    <row r="7" spans="1:59" s="1" customFormat="1">
      <c r="A7" s="427"/>
      <c r="B7" s="425"/>
      <c r="C7" s="402" t="s">
        <v>71</v>
      </c>
      <c r="D7" s="407" t="s">
        <v>70</v>
      </c>
      <c r="E7" s="250">
        <f>Financials!C13/Financials!C6</f>
        <v>0.52513872222010305</v>
      </c>
      <c r="F7" s="250">
        <f>Financials!D13/Financials!D6</f>
        <v>0.42560132767622949</v>
      </c>
      <c r="G7" s="250">
        <f>Financials!E13/Financials!E6</f>
        <v>0.45392084830010454</v>
      </c>
      <c r="H7" s="250">
        <f>Financials!F13/Financials!F6</f>
        <v>0.45608834668852016</v>
      </c>
      <c r="I7" s="250">
        <f>Financials!G13/Financials!G6</f>
        <v>0.45038790065533602</v>
      </c>
      <c r="J7" s="250">
        <f>Financials!H13/Financials!H6</f>
        <v>0.45503926881293955</v>
      </c>
      <c r="K7" s="250">
        <f>Financials!I13/Financials!I6</f>
        <v>0.4667766818594275</v>
      </c>
      <c r="L7" s="250">
        <f>Financials!J13/Financials!J6</f>
        <v>0.46759654853294208</v>
      </c>
      <c r="M7" s="250">
        <f>Financials!K13/Financials!K6</f>
        <v>0.46642964519933938</v>
      </c>
      <c r="N7" s="250">
        <f>Financials!L13/Financials!L6</f>
        <v>0.4820426940201426</v>
      </c>
      <c r="O7" s="250">
        <f>Financials!M13/Financials!M6</f>
        <v>0.46993079261321163</v>
      </c>
      <c r="P7" s="250">
        <f>Financials!N13/Financials!N6</f>
        <v>0.46585415843098144</v>
      </c>
      <c r="Q7" s="250">
        <f>Financials!O13/Financials!O6</f>
        <v>0.48844700237895422</v>
      </c>
      <c r="R7" s="250">
        <f>Financials!P13/Financials!P6</f>
        <v>0.47321037435646507</v>
      </c>
      <c r="S7" s="414">
        <f>Financials!Q13/Financials!Q6</f>
        <v>0.59429071611786832</v>
      </c>
      <c r="T7" s="414">
        <f>Financials!R13/Financials!R6</f>
        <v>0.60750305985678255</v>
      </c>
      <c r="U7" s="414">
        <f>Financials!S13/Financials!S6</f>
        <v>0.62490478754094936</v>
      </c>
      <c r="V7" s="414">
        <f>Financials!T13/Financials!T6</f>
        <v>0.58184925911142849</v>
      </c>
      <c r="W7" s="414">
        <f>Financials!U13/Financials!U6</f>
        <v>0.5850599682026657</v>
      </c>
      <c r="X7" s="414">
        <f>Financials!V13/Financials!V6</f>
        <v>0.59985848792875651</v>
      </c>
      <c r="Y7" s="414">
        <f>Financials!W13/Financials!W6</f>
        <v>0.58910599484837789</v>
      </c>
      <c r="Z7" s="414" t="e">
        <f>Financials!X13/Financials!X6</f>
        <v>#DIV/0!</v>
      </c>
      <c r="AA7" s="414">
        <f>Financials!Y13/Financials!Y6</f>
        <v>0.59485352201288866</v>
      </c>
      <c r="AB7" s="414">
        <f>Financials!Z13/Financials!Z6</f>
        <v>0.55981864545660975</v>
      </c>
      <c r="AC7" s="414">
        <f>Financials!AA13/Financials!AA6</f>
        <v>0.57667697942765483</v>
      </c>
      <c r="AD7" s="414">
        <f>Financials!AB13/Financials!AB6</f>
        <v>0.58432710596338444</v>
      </c>
      <c r="AE7" s="414">
        <f>Financials!AC13/Financials!AC6</f>
        <v>0.57920068197542562</v>
      </c>
      <c r="AF7" s="414">
        <f>Financials!AD13/Financials!AD6</f>
        <v>0.61468232216290897</v>
      </c>
      <c r="AG7" s="414">
        <f>Financials!AE13/Financials!AE6</f>
        <v>0.59628961227478039</v>
      </c>
      <c r="AH7" s="414">
        <f>Financials!AF13/Financials!AF6</f>
        <v>0.57709955427044857</v>
      </c>
      <c r="AI7" s="414">
        <f>Financials!AG13/Financials!AG6</f>
        <v>0.6095134471473993</v>
      </c>
      <c r="AJ7" s="414">
        <f>Financials!AH13/Financials!AH6</f>
        <v>0.61784564811259446</v>
      </c>
      <c r="AK7" s="414">
        <f>Financials!AI13/Financials!AI6</f>
        <v>0.63656528329496909</v>
      </c>
      <c r="AL7" s="414">
        <f>Financials!AJ13/Financials!AJ6</f>
        <v>0.62105010045776265</v>
      </c>
      <c r="AM7" s="414">
        <f>Financials!AK13/Financials!AK6</f>
        <v>0.59991909630940199</v>
      </c>
      <c r="AN7" s="414">
        <f>Financials!AL13/Financials!AL6</f>
        <v>0.6094426505972883</v>
      </c>
      <c r="AO7" s="414">
        <f>Financials!AM13/Financials!AM6</f>
        <v>0.61048317167303567</v>
      </c>
      <c r="AP7" s="414">
        <f>Financials!AN13/Financials!AN6</f>
        <v>0.61213285414290564</v>
      </c>
      <c r="AQ7" s="414">
        <f>Financials!AO13/Financials!AO6</f>
        <v>0.60575178777043492</v>
      </c>
      <c r="AR7" s="414">
        <f>Financials!AP13/Financials!AP6</f>
        <v>0.64685071166947739</v>
      </c>
      <c r="AS7" s="414">
        <f>Financials!AQ13/Financials!AQ6</f>
        <v>0.64558687442380047</v>
      </c>
      <c r="AT7" s="414">
        <f>Financials!AR13/Financials!AR6</f>
        <v>0.66593993960014775</v>
      </c>
      <c r="AU7" s="414">
        <f>Financials!AS13/Financials!AS6</f>
        <v>0.62805903809192976</v>
      </c>
      <c r="AV7" s="414">
        <f>Financials!AT13/Financials!AT6</f>
        <v>0.62890897275062141</v>
      </c>
      <c r="AW7" s="414">
        <f>Financials!AU13/Financials!AU6</f>
        <v>0.63309332924473627</v>
      </c>
      <c r="AX7" s="414">
        <f>Financials!AV13/Financials!AV6</f>
        <v>0.64397396859850975</v>
      </c>
      <c r="AY7" s="414">
        <f>Financials!AW13/Financials!AW6</f>
        <v>0.6450845564246307</v>
      </c>
      <c r="AZ7" s="414">
        <f>Financials!AX13/Financials!AX6</f>
        <v>0.64233869568356017</v>
      </c>
      <c r="BA7" s="414">
        <f>Financials!AY13/Financials!AY6</f>
        <v>0.64599374371992258</v>
      </c>
      <c r="BB7" s="414">
        <f>Financials!AZ13/Financials!AZ6</f>
        <v>0.66806637195748175</v>
      </c>
      <c r="BC7" s="414">
        <f>Financials!BA13/Financials!BA6</f>
        <v>0.66789094458899601</v>
      </c>
      <c r="BD7" s="414">
        <f>Financials!BB13/Financials!BB6</f>
        <v>0.66416445236399546</v>
      </c>
      <c r="BE7" s="414">
        <f>Financials!BC13/Financials!BC6</f>
        <v>0.67124189853192318</v>
      </c>
      <c r="BF7" s="414">
        <f>Financials!BD13/Financials!BD6</f>
        <v>0.63657209890797961</v>
      </c>
      <c r="BG7" s="247"/>
    </row>
    <row r="8" spans="1:59" s="1" customFormat="1">
      <c r="A8" s="427"/>
      <c r="B8" s="425"/>
      <c r="C8" s="402" t="s">
        <v>72</v>
      </c>
      <c r="D8" s="407"/>
      <c r="E8" s="250">
        <f>(Financials!C13-Financials!C33)/Financials!C5</f>
        <v>0.2904977147360725</v>
      </c>
      <c r="F8" s="250">
        <f>(Financials!D13-Financials!D33)/Financials!D5</f>
        <v>0.24236128433579504</v>
      </c>
      <c r="G8" s="250">
        <f>(Financials!E13-Financials!E33)/Financials!E5</f>
        <v>0.25227515622584501</v>
      </c>
      <c r="H8" s="250">
        <f>(Financials!F13-Financials!F33)/Financials!F5</f>
        <v>0.25634814594753813</v>
      </c>
      <c r="I8" s="250">
        <f>(Financials!G13-Financials!G33)/Financials!G5</f>
        <v>0.25605685237034503</v>
      </c>
      <c r="J8" s="250">
        <f>(Financials!H13-Financials!H33)/Financials!H5</f>
        <v>0.27491438075667479</v>
      </c>
      <c r="K8" s="250">
        <f>(Financials!I13-Financials!I33)/Financials!I5</f>
        <v>0.28073567276583911</v>
      </c>
      <c r="L8" s="250">
        <f>(Financials!J13-Financials!J33)/Financials!J5</f>
        <v>0.2778337125465612</v>
      </c>
      <c r="M8" s="250">
        <f>(Financials!K13-Financials!K33)/Financials!K5</f>
        <v>0.27461852572675288</v>
      </c>
      <c r="N8" s="250">
        <f>(Financials!L13-Financials!L33)/Financials!L5</f>
        <v>0.28190536696099749</v>
      </c>
      <c r="O8" s="250">
        <f>(Financials!M13-Financials!M33)/Financials!M5</f>
        <v>0.27583982063667528</v>
      </c>
      <c r="P8" s="250">
        <f>(Financials!N13-Financials!N33)/Financials!N5</f>
        <v>0.27116962144195716</v>
      </c>
      <c r="Q8" s="250">
        <f>(Financials!O13-Financials!O33)/Financials!O5</f>
        <v>0.27623100223220998</v>
      </c>
      <c r="R8" s="250">
        <f>(Financials!P13-Financials!P33)/Financials!P5</f>
        <v>0.26916639422846939</v>
      </c>
      <c r="S8" s="414">
        <f>(Financials!Q13-Financials!Q33)/Financials!Q5</f>
        <v>0.33393207551236997</v>
      </c>
      <c r="T8" s="414">
        <f>(Financials!R13-Financials!R33)/Financials!R5</f>
        <v>0.33816176673010823</v>
      </c>
      <c r="U8" s="414">
        <f>(Financials!S13-Financials!S33)/Financials!S5</f>
        <v>0.34418342694037102</v>
      </c>
      <c r="V8" s="414">
        <f>(Financials!T13-Financials!T33)/Financials!T5</f>
        <v>0.34937400344957853</v>
      </c>
      <c r="W8" s="414">
        <f>(Financials!U13-Financials!U33)/Financials!U5</f>
        <v>0.34795177850798803</v>
      </c>
      <c r="X8" s="414">
        <f>(Financials!V13-Financials!V33)/Financials!V5</f>
        <v>0.35063734202339919</v>
      </c>
      <c r="Y8" s="414">
        <f>(Financials!W13-Financials!W33)/Financials!W5</f>
        <v>0.34413561366078416</v>
      </c>
      <c r="Z8" s="414" t="e">
        <f>(Financials!X13-Financials!X33)/Financials!X5</f>
        <v>#DIV/0!</v>
      </c>
      <c r="AA8" s="414">
        <f>(Financials!Y13-Financials!Y33)/Financials!Y5</f>
        <v>0.34583327606555087</v>
      </c>
      <c r="AB8" s="414">
        <f>(Financials!Z13-Financials!Z33)/Financials!Z5</f>
        <v>0.32779300213140383</v>
      </c>
      <c r="AC8" s="414">
        <f>(Financials!AA13-Financials!AA33)/Financials!AA5</f>
        <v>0.3324156376032581</v>
      </c>
      <c r="AD8" s="414">
        <f>(Financials!AB13-Financials!AB33)/Financials!AB5</f>
        <v>0.3318604370394202</v>
      </c>
      <c r="AE8" s="414">
        <f>(Financials!AC13-Financials!AC33)/Financials!AC5</f>
        <v>0.32789494927762586</v>
      </c>
      <c r="AF8" s="414">
        <f>(Financials!AD13-Financials!AD33)/Financials!AD5</f>
        <v>0.35124206323074825</v>
      </c>
      <c r="AG8" s="414">
        <f>(Financials!AE13-Financials!AE33)/Financials!AE5</f>
        <v>0.33713433520316821</v>
      </c>
      <c r="AH8" s="414">
        <f>(Financials!AF13-Financials!AF33)/Financials!AF5</f>
        <v>0.35416802335168923</v>
      </c>
      <c r="AI8" s="414">
        <f>(Financials!AG13-Financials!AG33)/Financials!AG5</f>
        <v>0.36326419036441293</v>
      </c>
      <c r="AJ8" s="414">
        <f>(Financials!AH13-Financials!AH33)/Financials!AH5</f>
        <v>0.36337917324988728</v>
      </c>
      <c r="AK8" s="414">
        <f>(Financials!AI13-Financials!AI33)/Financials!AI5</f>
        <v>0.37010742923758766</v>
      </c>
      <c r="AL8" s="414">
        <f>(Financials!AJ13-Financials!AJ33)/Financials!AJ5</f>
        <v>0.35895615871548769</v>
      </c>
      <c r="AM8" s="414">
        <f>(Financials!AK13-Financials!AK33)/Financials!AK5</f>
        <v>0.34923172205693515</v>
      </c>
      <c r="AN8" s="414">
        <f>(Financials!AL13-Financials!AL33)/Financials!AL5</f>
        <v>0.35224807819823217</v>
      </c>
      <c r="AO8" s="414">
        <f>(Financials!AM13-Financials!AM33)/Financials!AM5</f>
        <v>0.3498627638004837</v>
      </c>
      <c r="AP8" s="414">
        <f>(Financials!AN13-Financials!AN33)/Financials!AN5</f>
        <v>0.34763102159619075</v>
      </c>
      <c r="AQ8" s="414">
        <f>(Financials!AO13-Financials!AO33)/Financials!AO5</f>
        <v>0.34201568322189158</v>
      </c>
      <c r="AR8" s="414">
        <f>(Financials!AP13-Financials!AP33)/Financials!AP5</f>
        <v>0.35677872691562351</v>
      </c>
      <c r="AS8" s="414">
        <f>(Financials!AQ13-Financials!AQ33)/Financials!AQ5</f>
        <v>0.35608164146584959</v>
      </c>
      <c r="AT8" s="414">
        <f>(Financials!AR13-Financials!AR33)/Financials!AR5</f>
        <v>0.36073857114253549</v>
      </c>
      <c r="AU8" s="414">
        <f>(Financials!AS13-Financials!AS33)/Financials!AS5</f>
        <v>0.3718548275332404</v>
      </c>
      <c r="AV8" s="414">
        <f>(Financials!AT13-Financials!AT33)/Financials!AT5</f>
        <v>0.36724003867234212</v>
      </c>
      <c r="AW8" s="414">
        <f>(Financials!AU13-Financials!AU33)/Financials!AU5</f>
        <v>0.36524833988646643</v>
      </c>
      <c r="AX8" s="414">
        <f>(Financials!AV13-Financials!AV33)/Financials!AV5</f>
        <v>0.37006303623047998</v>
      </c>
      <c r="AY8" s="414">
        <f>(Financials!AW13-Financials!AW33)/Financials!AW5</f>
        <v>0.36749661296192782</v>
      </c>
      <c r="AZ8" s="414">
        <f>(Financials!AX13-Financials!AX33)/Financials!AX5</f>
        <v>0.36381699472979001</v>
      </c>
      <c r="BA8" s="414">
        <f>(Financials!AY13-Financials!AY33)/Financials!AY5</f>
        <v>0.36493707573694295</v>
      </c>
      <c r="BB8" s="414">
        <f>(Financials!AZ13-Financials!AZ33)/Financials!AZ5</f>
        <v>0.373733546016496</v>
      </c>
      <c r="BC8" s="414">
        <f>(Financials!BA13-Financials!BA33)/Financials!BA5</f>
        <v>0.37105014758889965</v>
      </c>
      <c r="BD8" s="414">
        <f>(Financials!BB13-Financials!BB33)/Financials!BB5</f>
        <v>0.36702053824477282</v>
      </c>
      <c r="BE8" s="414">
        <f>(Financials!BC13-Financials!BC33)/Financials!BC5</f>
        <v>0.36706989129128509</v>
      </c>
      <c r="BF8" s="414">
        <f>(Financials!BD13-Financials!BD33)/Financials!BD5</f>
        <v>0.34607336735909733</v>
      </c>
      <c r="BG8" s="247"/>
    </row>
    <row r="9" spans="1:59" s="1" customFormat="1">
      <c r="A9" s="427"/>
      <c r="B9" s="403"/>
      <c r="C9" s="403"/>
      <c r="D9" s="407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415"/>
      <c r="AG9" s="415"/>
      <c r="AH9" s="415"/>
      <c r="AI9" s="415"/>
      <c r="AJ9" s="415"/>
      <c r="AK9" s="415"/>
      <c r="AL9" s="415"/>
      <c r="AM9" s="415"/>
      <c r="AN9" s="415"/>
      <c r="AO9" s="415"/>
      <c r="AP9" s="415"/>
      <c r="AQ9" s="415"/>
      <c r="AR9" s="415"/>
      <c r="AS9" s="415"/>
      <c r="AT9" s="415"/>
      <c r="AU9" s="415"/>
      <c r="AV9" s="415"/>
      <c r="AW9" s="415"/>
      <c r="AX9" s="415"/>
      <c r="AY9" s="415"/>
      <c r="AZ9" s="415"/>
      <c r="BA9" s="415"/>
      <c r="BB9" s="415"/>
      <c r="BC9" s="415"/>
      <c r="BD9" s="415"/>
      <c r="BE9" s="415"/>
      <c r="BF9" s="415"/>
      <c r="BG9" s="247"/>
    </row>
    <row r="10" spans="1:59" s="1" customFormat="1">
      <c r="A10" s="427"/>
      <c r="B10" s="425" t="s">
        <v>73</v>
      </c>
      <c r="C10" s="403" t="s">
        <v>74</v>
      </c>
      <c r="D10" s="407"/>
      <c r="E10" s="250"/>
      <c r="F10" s="250"/>
      <c r="G10" s="250"/>
      <c r="H10" s="250"/>
      <c r="I10" s="250">
        <f>'Form 4'!D28</f>
        <v>6.9808489976442262E-2</v>
      </c>
      <c r="J10" s="250"/>
      <c r="K10" s="250"/>
      <c r="L10" s="250">
        <f>'Form 4'!M28</f>
        <v>6.5020366358263179E-2</v>
      </c>
      <c r="M10" s="250"/>
      <c r="N10" s="250"/>
      <c r="O10" s="250">
        <f>'Form 4'!D54</f>
        <v>7.6137488018077293E-2</v>
      </c>
      <c r="P10" s="250"/>
      <c r="Q10" s="250"/>
      <c r="R10" s="250">
        <f>'Form 4'!M54</f>
        <v>7.2045972208342399E-2</v>
      </c>
      <c r="S10" s="414"/>
      <c r="T10" s="414"/>
      <c r="U10" s="414"/>
      <c r="V10" s="414"/>
      <c r="W10" s="414"/>
      <c r="X10" s="414"/>
      <c r="Y10" s="414"/>
      <c r="Z10" s="414"/>
      <c r="AA10" s="414"/>
      <c r="AB10" s="414"/>
      <c r="AC10" s="414"/>
      <c r="AD10" s="414"/>
      <c r="AE10" s="414"/>
      <c r="AF10" s="414"/>
      <c r="AG10" s="414"/>
      <c r="AH10" s="414"/>
      <c r="AI10" s="414"/>
      <c r="AJ10" s="414"/>
      <c r="AK10" s="414"/>
      <c r="AL10" s="414"/>
      <c r="AM10" s="414"/>
      <c r="AN10" s="414"/>
      <c r="AO10" s="414"/>
      <c r="AP10" s="414"/>
      <c r="AQ10" s="414"/>
      <c r="AR10" s="414"/>
      <c r="AS10" s="414"/>
      <c r="AT10" s="414"/>
      <c r="AU10" s="414"/>
      <c r="AV10" s="414"/>
      <c r="AW10" s="414"/>
      <c r="AX10" s="414"/>
      <c r="AY10" s="414"/>
      <c r="AZ10" s="414"/>
      <c r="BA10" s="414"/>
      <c r="BB10" s="414"/>
      <c r="BC10" s="414"/>
      <c r="BD10" s="414"/>
      <c r="BE10" s="414">
        <v>0.05</v>
      </c>
      <c r="BF10" s="414">
        <v>0.05</v>
      </c>
      <c r="BG10" s="247"/>
    </row>
    <row r="11" spans="1:59" s="1" customFormat="1">
      <c r="A11" s="427"/>
      <c r="B11" s="425"/>
      <c r="C11" s="403" t="s">
        <v>75</v>
      </c>
      <c r="D11" s="407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414"/>
      <c r="T11" s="414"/>
      <c r="U11" s="414"/>
      <c r="V11" s="414"/>
      <c r="W11" s="414"/>
      <c r="X11" s="414"/>
      <c r="Y11" s="414"/>
      <c r="Z11" s="414"/>
      <c r="AA11" s="414"/>
      <c r="AB11" s="414"/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  <c r="AW11" s="414"/>
      <c r="AX11" s="414"/>
      <c r="AY11" s="414"/>
      <c r="AZ11" s="414"/>
      <c r="BA11" s="414"/>
      <c r="BB11" s="414"/>
      <c r="BC11" s="414"/>
      <c r="BD11" s="414"/>
      <c r="BE11" s="414"/>
      <c r="BF11" s="414"/>
      <c r="BG11" s="247"/>
    </row>
    <row r="12" spans="1:59" s="1" customFormat="1">
      <c r="A12" s="427"/>
      <c r="B12" s="403"/>
      <c r="C12" s="403"/>
      <c r="D12" s="407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415"/>
      <c r="AG12" s="415"/>
      <c r="AH12" s="415"/>
      <c r="AI12" s="415"/>
      <c r="AJ12" s="415"/>
      <c r="AK12" s="415"/>
      <c r="AL12" s="415"/>
      <c r="AM12" s="415"/>
      <c r="AN12" s="415"/>
      <c r="AO12" s="415"/>
      <c r="AP12" s="415"/>
      <c r="AQ12" s="415"/>
      <c r="AR12" s="415"/>
      <c r="AS12" s="415"/>
      <c r="AT12" s="415"/>
      <c r="AU12" s="415"/>
      <c r="AV12" s="415"/>
      <c r="AW12" s="415"/>
      <c r="AX12" s="415"/>
      <c r="AY12" s="415"/>
      <c r="AZ12" s="415"/>
      <c r="BA12" s="415"/>
      <c r="BB12" s="415"/>
      <c r="BC12" s="415"/>
      <c r="BD12" s="415"/>
      <c r="BE12" s="415"/>
      <c r="BF12" s="415"/>
      <c r="BG12" s="247"/>
    </row>
    <row r="13" spans="1:59" s="1" customFormat="1">
      <c r="A13" s="427"/>
      <c r="B13" s="425" t="s">
        <v>76</v>
      </c>
      <c r="C13" s="403" t="s">
        <v>77</v>
      </c>
      <c r="D13" s="407"/>
      <c r="E13" s="250">
        <f>SCI!T37/SFP!U27</f>
        <v>6.0280468408853149E-2</v>
      </c>
      <c r="F13" s="250">
        <f>SCI!U37/SFP!V27</f>
        <v>3.8168181464026604E-2</v>
      </c>
      <c r="G13" s="250">
        <f>SCI!V37/SFP!W27</f>
        <v>2.9391628734495761E-3</v>
      </c>
      <c r="H13" s="250">
        <f>SCI!W37/SFP!X27</f>
        <v>5.9186652667957834E-3</v>
      </c>
      <c r="I13" s="250">
        <f>SCI!X37/SFP!Y27</f>
        <v>7.3447539535775024E-3</v>
      </c>
      <c r="J13" s="250">
        <f>SCI!Y37/SFP!Z27</f>
        <v>1.0212502532188247E-2</v>
      </c>
      <c r="K13" s="250">
        <f>SCI!Z37/SFP!AA27</f>
        <v>1.5558359896087547E-2</v>
      </c>
      <c r="L13" s="250">
        <f>SCI!AA37/SFP!AB27</f>
        <v>2.1221015682544864E-2</v>
      </c>
      <c r="M13" s="250">
        <f>SCI!AB37/SFP!AC27</f>
        <v>2.0895780603100406E-2</v>
      </c>
      <c r="N13" s="250">
        <f>SCI!AC37/SFP!AD27</f>
        <v>2.6304197328444065E-2</v>
      </c>
      <c r="O13" s="250">
        <f>SCI!AD37/SFP!AE27</f>
        <v>2.30552283262997E-2</v>
      </c>
      <c r="P13" s="250">
        <f>SCI!AE37/SFP!AF27</f>
        <v>2.6013941060046369E-2</v>
      </c>
      <c r="Q13" s="250">
        <f>SCI!AF37/SFP!AG27</f>
        <v>2.7240269693949378E-2</v>
      </c>
      <c r="R13" s="250">
        <f>SCI!AG37/SFP!AH27</f>
        <v>2.5155716350812759E-2</v>
      </c>
      <c r="S13" s="414">
        <f>SCI!AH37/SFP!AI27</f>
        <v>5.0052384525001679E-2</v>
      </c>
      <c r="T13" s="414">
        <f>SCI!AI37/SFP!AJ27</f>
        <v>8.2751886809749008E-3</v>
      </c>
      <c r="U13" s="414">
        <f>SCI!AJ37/SFP!AK27</f>
        <v>1.6479850081337909E-2</v>
      </c>
      <c r="V13" s="414">
        <f>SCI!AK37/SFP!AL27</f>
        <v>7.530241127242359E-3</v>
      </c>
      <c r="W13" s="414">
        <f>SCI!AL37/SFP!AM27</f>
        <v>8.3586022765553877E-3</v>
      </c>
      <c r="X13" s="414">
        <f>SCI!AM37/SFP!AN27</f>
        <v>9.1128666352329572E-3</v>
      </c>
      <c r="Y13" s="414">
        <f>SCI!AN37/SFP!AO27</f>
        <v>6.0301187529040283E-3</v>
      </c>
      <c r="Z13" s="414" t="e">
        <f>SCI!AO37/SFP!AP27</f>
        <v>#DIV/0!</v>
      </c>
      <c r="AA13" s="414">
        <f>SCI!AP37/SFP!AQ27</f>
        <v>1.6563532845197525E-2</v>
      </c>
      <c r="AB13" s="414">
        <f>SCI!AQ37/SFP!AR27</f>
        <v>3.2668953718654353E-4</v>
      </c>
      <c r="AC13" s="414">
        <f>SCI!AR37/SFP!AS27</f>
        <v>1.0525354403675604E-2</v>
      </c>
      <c r="AD13" s="414">
        <f>SCI!AS37/SFP!AT27</f>
        <v>1.6342958881909599E-2</v>
      </c>
      <c r="AE13" s="414">
        <f>SCI!AT37/SFP!AU27</f>
        <v>1.4899802331522088E-2</v>
      </c>
      <c r="AF13" s="414">
        <f>SCI!AU37/SFP!AV27</f>
        <v>3.5141194087112873E-2</v>
      </c>
      <c r="AG13" s="414">
        <f>SCI!AV37/SFP!AW27</f>
        <v>-8.0438062871434626E-4</v>
      </c>
      <c r="AH13" s="414">
        <f>SCI!AW37/SFP!AX27</f>
        <v>1.1156739503709685E-3</v>
      </c>
      <c r="AI13" s="414">
        <f>SCI!AX37/SFP!AY27</f>
        <v>3.4320361697566188E-3</v>
      </c>
      <c r="AJ13" s="414">
        <f>SCI!AY37/SFP!AZ27</f>
        <v>5.5952830993488646E-3</v>
      </c>
      <c r="AK13" s="414">
        <f>SCI!AZ37/SFP!BA27</f>
        <v>1.4484410963012801E-2</v>
      </c>
      <c r="AL13" s="414">
        <f>SCI!BA37/SFP!BB27</f>
        <v>1.1526831532257286E-2</v>
      </c>
      <c r="AM13" s="414">
        <f>SCI!BB37/SFP!BC27</f>
        <v>1.3067919085729128E-2</v>
      </c>
      <c r="AN13" s="414">
        <f>SCI!BC37/SFP!BD27</f>
        <v>1.4532734051276726E-2</v>
      </c>
      <c r="AO13" s="414">
        <f>SCI!BD37/SFP!BE27</f>
        <v>1.5208580874079176E-2</v>
      </c>
      <c r="AP13" s="414">
        <f>SCI!BE37/SFP!BF27</f>
        <v>1.5813614603375277E-2</v>
      </c>
      <c r="AQ13" s="414">
        <f>SCI!BF37/SFP!BG27</f>
        <v>1.6075188514355257E-2</v>
      </c>
      <c r="AR13" s="414">
        <f>SCI!BG37/SFP!BH27</f>
        <v>3.4592851679153831E-2</v>
      </c>
      <c r="AS13" s="414">
        <f>SCI!BH37/SFP!BI27</f>
        <v>4.5904304878493542E-3</v>
      </c>
      <c r="AT13" s="414">
        <f>SCI!BI37/SFP!BJ27</f>
        <v>3.1680833478710989E-4</v>
      </c>
      <c r="AU13" s="414">
        <f>SCI!BJ37/SFP!BK27</f>
        <v>4.3230867946831642E-3</v>
      </c>
      <c r="AV13" s="414">
        <f>SCI!BK37/SFP!BL27</f>
        <v>-7.6616882251555026E-4</v>
      </c>
      <c r="AW13" s="414">
        <f>SCI!BL37/SFP!BM27</f>
        <v>-3.332640186213218E-3</v>
      </c>
      <c r="AX13" s="414">
        <f>SCI!BM37/SFP!BN27</f>
        <v>2.5104838228127519E-3</v>
      </c>
      <c r="AY13" s="414">
        <f>SCI!BN37/SFP!BO27</f>
        <v>4.0123180305580578E-3</v>
      </c>
      <c r="AZ13" s="414">
        <f>SCI!BO37/SFP!BP27</f>
        <v>6.7859180356024595E-3</v>
      </c>
      <c r="BA13" s="414">
        <f>SCI!BP37/SFP!BQ27</f>
        <v>8.2083646898127426E-3</v>
      </c>
      <c r="BB13" s="414">
        <f>SCI!BQ37/SFP!BR27</f>
        <v>2.1502290413157821E-2</v>
      </c>
      <c r="BC13" s="414">
        <f>SCI!BR37/SFP!BS27</f>
        <v>2.2225401961505173E-2</v>
      </c>
      <c r="BD13" s="414">
        <f>SCI!BS37/SFP!BT27</f>
        <v>2.4281526062476376E-2</v>
      </c>
      <c r="BE13" s="414">
        <f>SCI!BT37/SFP!BU27</f>
        <v>2.9276468059126596E-2</v>
      </c>
      <c r="BF13" s="414">
        <f>SCI!BU37/SFP!BV27</f>
        <v>5.3190285802835371E-2</v>
      </c>
      <c r="BG13" s="247"/>
    </row>
    <row r="14" spans="1:59" s="1" customFormat="1">
      <c r="A14" s="427"/>
      <c r="B14" s="425"/>
      <c r="C14" s="403" t="s">
        <v>78</v>
      </c>
      <c r="D14" s="407"/>
      <c r="E14" s="250">
        <f>SCI!T23/SCI!T19</f>
        <v>0.3181316620477217</v>
      </c>
      <c r="F14" s="250">
        <f>SCI!U29/SCI!U23</f>
        <v>1.3202691740875845</v>
      </c>
      <c r="G14" s="250">
        <f>SCI!V29/SCI!V23</f>
        <v>1.3109569444512885</v>
      </c>
      <c r="H14" s="250">
        <f>SCI!W29/SCI!W23</f>
        <v>1.4144465833340045</v>
      </c>
      <c r="I14" s="250">
        <f>SCI!X29/SCI!X23</f>
        <v>0.95236553626890597</v>
      </c>
      <c r="J14" s="250">
        <f>SCI!Y29/SCI!Y23</f>
        <v>0.89366753688352096</v>
      </c>
      <c r="K14" s="250">
        <f>SCI!Z29/SCI!Z23</f>
        <v>1.1517000108045092</v>
      </c>
      <c r="L14" s="250">
        <f>SCI!AA29/SCI!AA23</f>
        <v>1.3999237046988056</v>
      </c>
      <c r="M14" s="250">
        <f>SCI!AB29/SCI!AB23</f>
        <v>1.217055060681592</v>
      </c>
      <c r="N14" s="250">
        <f>SCI!AC29/SCI!AC23</f>
        <v>1.4532039718734944</v>
      </c>
      <c r="O14" s="250">
        <f>SCI!AD29/SCI!AD23</f>
        <v>1.1420561475159354</v>
      </c>
      <c r="P14" s="250">
        <f>SCI!AE29/SCI!AE23</f>
        <v>1.1952434614215639</v>
      </c>
      <c r="Q14" s="250">
        <f>SCI!AF29/SCI!AF23</f>
        <v>1.1288477635606107</v>
      </c>
      <c r="R14" s="250">
        <f>SCI!AG29/SCI!AG23</f>
        <v>0.9761772160082357</v>
      </c>
      <c r="S14" s="414">
        <f>SCI!AH29/SCI!AH23</f>
        <v>1.6752469338896583</v>
      </c>
      <c r="T14" s="414">
        <f>SCI!AI29/SCI!AI23</f>
        <v>2.4507865755320553</v>
      </c>
      <c r="U14" s="414">
        <f>SCI!AJ29/SCI!AJ23</f>
        <v>2.5734732638003073</v>
      </c>
      <c r="V14" s="414">
        <f>SCI!AK29/SCI!AK23</f>
        <v>0.81193356744535605</v>
      </c>
      <c r="W14" s="414">
        <f>SCI!AL29/SCI!AL23</f>
        <v>0.67310335685025358</v>
      </c>
      <c r="X14" s="414">
        <f>SCI!AM29/SCI!AM23</f>
        <v>0.60375529993524335</v>
      </c>
      <c r="Y14" s="414">
        <f>SCI!AN29/SCI!AN23</f>
        <v>0.35731018783619356</v>
      </c>
      <c r="Z14" s="414" t="e">
        <f>SCI!AO29/SCI!AO23</f>
        <v>#DIV/0!</v>
      </c>
      <c r="AA14" s="414">
        <f>SCI!AP29/SCI!AP23</f>
        <v>0.85579802460625665</v>
      </c>
      <c r="AB14" s="414">
        <f>SCI!AQ29/SCI!AQ23</f>
        <v>1.5222744936608279E-2</v>
      </c>
      <c r="AC14" s="414">
        <f>SCI!AR29/SCI!AR23</f>
        <v>0.45812411010881704</v>
      </c>
      <c r="AD14" s="414">
        <f>SCI!AS29/SCI!AS23</f>
        <v>0.63716486146343854</v>
      </c>
      <c r="AE14" s="414">
        <f>SCI!AT29/SCI!AT23</f>
        <v>0.52830551790830327</v>
      </c>
      <c r="AF14" s="414">
        <f>SCI!AU29/SCI!AU23</f>
        <v>1.4050479448412769</v>
      </c>
      <c r="AG14" s="414">
        <f>SCI!AV29/SCI!AV23</f>
        <v>-0.2957858286919634</v>
      </c>
      <c r="AH14" s="414">
        <f>SCI!AW29/SCI!AW23</f>
        <v>0.17877116150246919</v>
      </c>
      <c r="AI14" s="414">
        <f>SCI!AX29/SCI!AX23</f>
        <v>0.42073767569780873</v>
      </c>
      <c r="AJ14" s="414">
        <f>SCI!AY29/SCI!AY23</f>
        <v>0.43621121527965068</v>
      </c>
      <c r="AK14" s="414">
        <f>SCI!AZ29/SCI!AZ23</f>
        <v>0.98697527004699548</v>
      </c>
      <c r="AL14" s="414">
        <f>SCI!BA29/SCI!BA23</f>
        <v>0.65437873190124574</v>
      </c>
      <c r="AM14" s="414">
        <f>SCI!BB29/SCI!BB23</f>
        <v>0.70286285026575523</v>
      </c>
      <c r="AN14" s="414">
        <f>SCI!BC29/SCI!BC23</f>
        <v>0.70685811577893998</v>
      </c>
      <c r="AO14" s="414">
        <f>SCI!BD29/SCI!BD23</f>
        <v>0.66859031036462424</v>
      </c>
      <c r="AP14" s="414">
        <f>SCI!BE29/SCI!BE23</f>
        <v>0.64458519505441692</v>
      </c>
      <c r="AQ14" s="414">
        <f>SCI!BF29/SCI!BF23</f>
        <v>0.59719827216876187</v>
      </c>
      <c r="AR14" s="414">
        <f>SCI!BG29/SCI!BG23</f>
        <v>1.0572055388646517</v>
      </c>
      <c r="AS14" s="414">
        <f>SCI!BH29/SCI!BH23</f>
        <v>0.29701268331727104</v>
      </c>
      <c r="AT14" s="414">
        <f>SCI!BI29/SCI!BI23</f>
        <v>0.10677245534272221</v>
      </c>
      <c r="AU14" s="414">
        <f>SCI!BJ29/SCI!BJ23</f>
        <v>0.67301307984230285</v>
      </c>
      <c r="AV14" s="414">
        <f>SCI!BK29/SCI!BK23</f>
        <v>-8.0116961538073836E-2</v>
      </c>
      <c r="AW14" s="414">
        <f>SCI!BL29/SCI!BL23</f>
        <v>-0.23420964482917925</v>
      </c>
      <c r="AX14" s="414">
        <f>SCI!BM29/SCI!BM23</f>
        <v>0.15675782541062563</v>
      </c>
      <c r="AY14" s="414">
        <f>SCI!BN29/SCI!BN23</f>
        <v>0.20247686948353699</v>
      </c>
      <c r="AZ14" s="414">
        <f>SCI!BO29/SCI!BO23</f>
        <v>0.31490608978238405</v>
      </c>
      <c r="BA14" s="414">
        <f>SCI!BP29/SCI!BP23</f>
        <v>0.35296244616382833</v>
      </c>
      <c r="BB14" s="414">
        <f>SCI!BQ29/SCI!BQ23</f>
        <v>0.83316374349843147</v>
      </c>
      <c r="BC14" s="414">
        <f>SCI!BR29/SCI!BR23</f>
        <v>0.81710738322330445</v>
      </c>
      <c r="BD14" s="414">
        <f>SCI!BS29/SCI!BS23</f>
        <v>0.81992743561636339</v>
      </c>
      <c r="BE14" s="414">
        <f>SCI!BT29/SCI!BT23</f>
        <v>0.90289784878137869</v>
      </c>
      <c r="BF14" s="416">
        <f>SCI!BU29/SCI!BU23</f>
        <v>1.6268844843824131</v>
      </c>
      <c r="BG14" s="247"/>
    </row>
    <row r="15" spans="1:59" s="1" customFormat="1">
      <c r="A15" s="427"/>
      <c r="B15" s="425"/>
      <c r="C15" s="403" t="s">
        <v>79</v>
      </c>
      <c r="D15" s="407"/>
      <c r="E15" s="250">
        <f>SCI!T23/SFP!U27</f>
        <v>3.0348047924381102E-2</v>
      </c>
      <c r="F15" s="250">
        <f>SCI!U23/SFP!V27</f>
        <v>3.0639167396349389E-2</v>
      </c>
      <c r="G15" s="250">
        <f>SCI!V23/SFP!W27</f>
        <v>2.2419980197593645E-3</v>
      </c>
      <c r="H15" s="250">
        <f>SCI!W23/SFP!X27</f>
        <v>4.1844388727956382E-3</v>
      </c>
      <c r="I15" s="250">
        <f>SCI!X23/SFP!Y27</f>
        <v>7.7121164866508453E-3</v>
      </c>
      <c r="J15" s="250">
        <f>SCI!Y23/SFP!Z27</f>
        <v>1.1427630646405954E-2</v>
      </c>
      <c r="K15" s="250">
        <f>SCI!Z23/SFP!AA27</f>
        <v>1.3509038595232278E-2</v>
      </c>
      <c r="L15" s="250">
        <f>SCI!AA23/SFP!AB27</f>
        <v>1.5158694442645058E-2</v>
      </c>
      <c r="M15" s="250">
        <f>SCI!AB23/SFP!AC27</f>
        <v>1.7169133326965555E-2</v>
      </c>
      <c r="N15" s="250">
        <f>SCI!AC23/SFP!AD27</f>
        <v>1.8100829503329988E-2</v>
      </c>
      <c r="O15" s="250">
        <f>SCI!AD23/SFP!AE27</f>
        <v>2.0187473598777685E-2</v>
      </c>
      <c r="P15" s="250">
        <f>SCI!AE23/SFP!AF27</f>
        <v>2.1764554167990731E-2</v>
      </c>
      <c r="Q15" s="250">
        <f>SCI!AF23/SFP!AG27</f>
        <v>2.4131039253714907E-2</v>
      </c>
      <c r="R15" s="250">
        <f>SCI!AG23/SFP!AH27</f>
        <v>2.5769620452400034E-2</v>
      </c>
      <c r="S15" s="414">
        <f>SCI!AH23/SFP!AI27</f>
        <v>3.1395281903294478E-2</v>
      </c>
      <c r="T15" s="414">
        <f>SCI!AI23/SFP!AJ27</f>
        <v>3.4451425988950421E-3</v>
      </c>
      <c r="U15" s="414">
        <f>SCI!AJ23/SFP!AK27</f>
        <v>6.5435432674233861E-3</v>
      </c>
      <c r="V15" s="414">
        <f>SCI!AK23/SFP!AL27</f>
        <v>9.2744547450295586E-3</v>
      </c>
      <c r="W15" s="414">
        <f>SCI!AL23/SFP!AM27</f>
        <v>1.2418007118058306E-2</v>
      </c>
      <c r="X15" s="414">
        <f>SCI!AM23/SFP!AN27</f>
        <v>1.5093642467752036E-2</v>
      </c>
      <c r="Y15" s="414">
        <f>SCI!AN23/SFP!AO27</f>
        <v>1.68764254650038E-2</v>
      </c>
      <c r="Z15" s="414" t="e">
        <f>SCI!AO23/SFP!AP27</f>
        <v>#DIV/0!</v>
      </c>
      <c r="AA15" s="414">
        <f>SCI!AP23/SFP!AQ27</f>
        <v>1.9354488289241176E-2</v>
      </c>
      <c r="AB15" s="414">
        <f>SCI!AQ23/SFP!AR27</f>
        <v>2.1460619523415072E-2</v>
      </c>
      <c r="AC15" s="414">
        <f>SCI!AR23/SFP!AS27</f>
        <v>2.297489735079768E-2</v>
      </c>
      <c r="AD15" s="414">
        <f>SCI!AS23/SFP!AT27</f>
        <v>2.5649498066125515E-2</v>
      </c>
      <c r="AE15" s="414">
        <f>SCI!AT23/SFP!AU27</f>
        <v>2.8203003425961208E-2</v>
      </c>
      <c r="AF15" s="414">
        <f>SCI!AU23/SFP!AV27</f>
        <v>2.6922265709625668E-2</v>
      </c>
      <c r="AG15" s="414">
        <f>SCI!AV23/SFP!AW27</f>
        <v>2.7194698010770571E-3</v>
      </c>
      <c r="AH15" s="414">
        <f>SCI!AW23/SFP!AX27</f>
        <v>6.2407937667035788E-3</v>
      </c>
      <c r="AI15" s="414">
        <f>SCI!AX23/SFP!AY27</f>
        <v>8.1571876444496254E-3</v>
      </c>
      <c r="AJ15" s="414">
        <f>SCI!AY23/SFP!AZ27</f>
        <v>1.2827004220333454E-2</v>
      </c>
      <c r="AK15" s="414">
        <f>SCI!AZ23/SFP!BA27</f>
        <v>1.4675556118364663E-2</v>
      </c>
      <c r="AL15" s="414">
        <f>SCI!BA23/SFP!BB27</f>
        <v>1.7614923851157246E-2</v>
      </c>
      <c r="AM15" s="414">
        <f>SCI!BB23/SFP!BC27</f>
        <v>1.8592416828956168E-2</v>
      </c>
      <c r="AN15" s="414">
        <f>SCI!BC23/SFP!BD27</f>
        <v>2.055961971273686E-2</v>
      </c>
      <c r="AO15" s="414">
        <f>SCI!BD23/SFP!BE27</f>
        <v>2.2747234948387124E-2</v>
      </c>
      <c r="AP15" s="414">
        <f>SCI!BE23/SFP!BF27</f>
        <v>2.4533009328643152E-2</v>
      </c>
      <c r="AQ15" s="414">
        <f>SCI!BF23/SFP!BG27</f>
        <v>2.6917674185454744E-2</v>
      </c>
      <c r="AR15" s="414">
        <f>SCI!BG23/SFP!BH27</f>
        <v>3.2721027659676848E-2</v>
      </c>
      <c r="AS15" s="414">
        <f>SCI!BH23/SFP!BI27</f>
        <v>2.9242900084551281E-2</v>
      </c>
      <c r="AT15" s="414">
        <f>SCI!BI23/SFP!BJ27</f>
        <v>2.967135426175287E-3</v>
      </c>
      <c r="AU15" s="414">
        <f>SCI!BJ23/SFP!BK27</f>
        <v>6.4234810944478653E-3</v>
      </c>
      <c r="AV15" s="414">
        <f>SCI!BK23/SFP!BL27</f>
        <v>9.5631288032740139E-3</v>
      </c>
      <c r="AW15" s="414">
        <f>SCI!BL23/SFP!BM27</f>
        <v>1.4229303787399013E-2</v>
      </c>
      <c r="AX15" s="414">
        <f>SCI!BM23/SFP!BN27</f>
        <v>1.6015046242422434E-2</v>
      </c>
      <c r="AY15" s="414">
        <f>SCI!BN23/SFP!BO27</f>
        <v>1.981617969890774E-2</v>
      </c>
      <c r="AZ15" s="414">
        <f>SCI!BO23/SFP!BP27</f>
        <v>2.1549021298037995E-2</v>
      </c>
      <c r="BA15" s="414">
        <f>SCI!BP23/SFP!BQ27</f>
        <v>2.3255631807364605E-2</v>
      </c>
      <c r="BB15" s="414">
        <f>SCI!BQ23/SFP!BR27</f>
        <v>2.5808000625267606E-2</v>
      </c>
      <c r="BC15" s="414">
        <f>SCI!BR23/SFP!BS27</f>
        <v>2.7200099298859561E-2</v>
      </c>
      <c r="BD15" s="414">
        <f>SCI!BS23/SFP!BT27</f>
        <v>2.9614237806572782E-2</v>
      </c>
      <c r="BE15" s="414">
        <f>SCI!BT23/SFP!BU27</f>
        <v>3.242500588371143E-2</v>
      </c>
      <c r="BF15" s="414">
        <f>SCI!BU23/SFP!BV27</f>
        <v>3.2694568245899218E-2</v>
      </c>
      <c r="BG15" s="247"/>
    </row>
    <row r="16" spans="1:59" s="1" customFormat="1">
      <c r="A16" s="427"/>
      <c r="B16" s="403"/>
      <c r="C16" s="403"/>
      <c r="D16" s="407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415"/>
      <c r="AG16" s="415"/>
      <c r="AH16" s="415"/>
      <c r="AI16" s="415"/>
      <c r="AJ16" s="415"/>
      <c r="AK16" s="415"/>
      <c r="AL16" s="415"/>
      <c r="AM16" s="415"/>
      <c r="AN16" s="415"/>
      <c r="AO16" s="415"/>
      <c r="AP16" s="415"/>
      <c r="AQ16" s="415"/>
      <c r="AR16" s="415"/>
      <c r="AS16" s="415"/>
      <c r="AT16" s="415"/>
      <c r="AU16" s="415"/>
      <c r="AV16" s="415"/>
      <c r="AW16" s="415"/>
      <c r="AX16" s="415"/>
      <c r="AY16" s="415"/>
      <c r="AZ16" s="415"/>
      <c r="BA16" s="415"/>
      <c r="BB16" s="415"/>
      <c r="BC16" s="415"/>
      <c r="BD16" s="415"/>
      <c r="BE16" s="415"/>
      <c r="BF16" s="415"/>
      <c r="BG16" s="247"/>
    </row>
    <row r="17" spans="1:59" s="1" customFormat="1">
      <c r="A17" s="427"/>
      <c r="B17" s="425" t="s">
        <v>80</v>
      </c>
      <c r="C17" s="403" t="s">
        <v>81</v>
      </c>
      <c r="D17" s="407" t="s">
        <v>82</v>
      </c>
      <c r="E17" s="250">
        <f>(SFP!U4+SFP!U11)/(SFP!U29+SFP!U30+SFP!U33-SFP!U39)</f>
        <v>0.88648678214642518</v>
      </c>
      <c r="F17" s="250">
        <f>(SFP!V4+SFP!V11)/(SFP!V29+SFP!V30+SFP!V33-SFP!V39)</f>
        <v>0.6830747613823891</v>
      </c>
      <c r="G17" s="250">
        <f>(SFP!W4+SFP!W11)/(SFP!W29+SFP!W30+SFP!W33-SFP!W39)</f>
        <v>0.67192156268321546</v>
      </c>
      <c r="H17" s="250">
        <f>(SFP!X4+SFP!X11)/(SFP!X29+SFP!X30+SFP!X33-SFP!X39)</f>
        <v>0.73143732394290961</v>
      </c>
      <c r="I17" s="250">
        <f>(SFP!Y4+SFP!Y11)/(SFP!Y29+SFP!Y30+SFP!Y33-SFP!Y39)</f>
        <v>0.77731846207605626</v>
      </c>
      <c r="J17" s="250">
        <f>(SFP!Z4+SFP!Z11)/(SFP!Z29+SFP!Z30+SFP!Z33-SFP!Z39)</f>
        <v>0.93799763080792331</v>
      </c>
      <c r="K17" s="250">
        <f>(SFP!AA4+SFP!AA11)/(SFP!AA29+SFP!AA30+SFP!AA33-SFP!AA39)</f>
        <v>1.0164604341528218</v>
      </c>
      <c r="L17" s="250">
        <f>(SFP!AB4+SFP!AB11)/(SFP!AB29+SFP!AB30+SFP!AB33-SFP!AB39)</f>
        <v>1.1155927902151004</v>
      </c>
      <c r="M17" s="250">
        <f>(SFP!AC4+SFP!AC11)/(SFP!AC29+SFP!AC30+SFP!AC33-SFP!AC39)</f>
        <v>1.1047511402369887</v>
      </c>
      <c r="N17" s="250">
        <f>(SFP!AD4+SFP!AD11)/(SFP!AD29+SFP!AD30+SFP!AD33-SFP!AD39)</f>
        <v>1.2286979681039432</v>
      </c>
      <c r="O17" s="250">
        <f>(SFP!AE4+SFP!AE11)/(SFP!AE29+SFP!AE30+SFP!AE33-SFP!AE39)</f>
        <v>1.157812206208414</v>
      </c>
      <c r="P17" s="250">
        <f>(SFP!AF4+SFP!AF11)/(SFP!AF29+SFP!AF30+SFP!AF33-SFP!AF39)</f>
        <v>1.1845644349805642</v>
      </c>
      <c r="Q17" s="250">
        <f>(SFP!AG4+SFP!AG11)/(SFP!AG29+SFP!AG30+SFP!AG33-SFP!AG39)</f>
        <v>1.3522288905258049</v>
      </c>
      <c r="R17" s="250">
        <f>(SFP!AH4+SFP!AH11)/(SFP!AH29+SFP!AH30+SFP!AH33-SFP!AH39)</f>
        <v>1.3081845528976015</v>
      </c>
      <c r="S17" s="414">
        <f>(SFP!AI4+SFP!AI11)/(SFP!AI29+SFP!AI30+SFP!AI33-SFP!AI39)</f>
        <v>1.4072509368517532</v>
      </c>
      <c r="T17" s="414">
        <f>(SFP!AJ4+SFP!AJ11)/(SFP!AJ29+SFP!AJ30+SFP!AJ33-SFP!AJ39)</f>
        <v>1.2510325988626239</v>
      </c>
      <c r="U17" s="414">
        <f>(SFP!AK4+SFP!AK11)/(SFP!AK29+SFP!AK30+SFP!AK33-SFP!AK39)</f>
        <v>1.3763337557778215</v>
      </c>
      <c r="V17" s="414">
        <f>(SFP!AL4+SFP!AL11)/(SFP!AL29+SFP!AL30+SFP!AL33-SFP!AL39)</f>
        <v>1.528384241002537</v>
      </c>
      <c r="W17" s="414">
        <f>(SFP!AM4+SFP!AM11)/(SFP!AM29+SFP!AM30+SFP!AM33-SFP!AM39)</f>
        <v>1.6167457131656675</v>
      </c>
      <c r="X17" s="414">
        <f>(SFP!AN4+SFP!AN11)/(SFP!AN29+SFP!AN30+SFP!AN33-SFP!AN39)</f>
        <v>1.8435873980794757</v>
      </c>
      <c r="Y17" s="414">
        <f>(SFP!AO4+SFP!AO11)/(SFP!AO29+SFP!AO30+SFP!AO33-SFP!AO39)</f>
        <v>1.959392495858673</v>
      </c>
      <c r="Z17" s="414" t="e">
        <f>(SFP!AP4+SFP!AP11)/(SFP!AP29+SFP!AP30+SFP!AP33-SFP!AP39)</f>
        <v>#DIV/0!</v>
      </c>
      <c r="AA17" s="414">
        <f>(SFP!AQ4+SFP!AQ11)/(SFP!AQ29+SFP!AQ30+SFP!AQ33-SFP!AQ39)</f>
        <v>1.7641219295575994</v>
      </c>
      <c r="AB17" s="414">
        <f>(SFP!AR4+SFP!AR11)/(SFP!AR29+SFP!AR30+SFP!AR33-SFP!AR39)</f>
        <v>1.5636735091261107</v>
      </c>
      <c r="AC17" s="414">
        <f>(SFP!AS4+SFP!AS11)/(SFP!AS29+SFP!AS30+SFP!AS33-SFP!AS39)</f>
        <v>1.5230196588699083</v>
      </c>
      <c r="AD17" s="414">
        <f>(SFP!AT4+SFP!AT11)/(SFP!AT29+SFP!AT30+SFP!AT33-SFP!AT39)</f>
        <v>1.4310427115458109</v>
      </c>
      <c r="AE17" s="414">
        <f>(SFP!AU4+SFP!AU11)/(SFP!AU29+SFP!AU30+SFP!AU33-SFP!AU39)</f>
        <v>1.3768742438788519</v>
      </c>
      <c r="AF17" s="414">
        <f>(SFP!AV4+SFP!AV11)/(SFP!AV29+SFP!AV30+SFP!AV33-SFP!AV39)</f>
        <v>1.4659017824400795</v>
      </c>
      <c r="AG17" s="414">
        <f>(SFP!AW4+SFP!AW11)/(SFP!AW29+SFP!AW30+SFP!AW33-SFP!AW39)</f>
        <v>1.3632324093756933</v>
      </c>
      <c r="AH17" s="414">
        <f>(SFP!AX4+SFP!AX11)/(SFP!AX29+SFP!AX30+SFP!AX33-SFP!AX39)</f>
        <v>1.6063386754422333</v>
      </c>
      <c r="AI17" s="414">
        <f>(SFP!AY4+SFP!AY11)/(SFP!AY29+SFP!AY30+SFP!AY33-SFP!AY39)</f>
        <v>1.7335113467688692</v>
      </c>
      <c r="AJ17" s="414">
        <f>(SFP!AZ4+SFP!AZ11)/(SFP!AZ29+SFP!AZ30+SFP!AZ33-SFP!AZ39)</f>
        <v>1.773053315796792</v>
      </c>
      <c r="AK17" s="414">
        <f>(SFP!BA4+SFP!BA11)/(SFP!BA29+SFP!BA30+SFP!BA33-SFP!BA39)</f>
        <v>1.837180085586845</v>
      </c>
      <c r="AL17" s="414">
        <f>(SFP!BB4+SFP!BB11)/(SFP!BB29+SFP!BB30+SFP!BB33-SFP!BB39)</f>
        <v>1.7426228551583396</v>
      </c>
      <c r="AM17" s="414">
        <f>(SFP!BC4+SFP!BC11)/(SFP!BC29+SFP!BC30+SFP!BC33-SFP!BC39)</f>
        <v>1.5829151915140591</v>
      </c>
      <c r="AN17" s="414">
        <f>(SFP!BD4+SFP!BD11)/(SFP!BD29+SFP!BD30+SFP!BD33-SFP!BD39)</f>
        <v>1.5818674379527977</v>
      </c>
      <c r="AO17" s="414">
        <f>(SFP!BE4+SFP!BE11)/(SFP!BE29+SFP!BE30+SFP!BE33-SFP!BE39)</f>
        <v>1.6148610520190918</v>
      </c>
      <c r="AP17" s="414">
        <f>(SFP!BF4+SFP!BF11)/(SFP!BF29+SFP!BF30+SFP!BF33-SFP!BF39)</f>
        <v>1.5308568360076242</v>
      </c>
      <c r="AQ17" s="414">
        <f>(SFP!BG4+SFP!BG11)/(SFP!BG29+SFP!BG30+SFP!BG33-SFP!BG39)</f>
        <v>1.4881508219543811</v>
      </c>
      <c r="AR17" s="414">
        <f>(SFP!BH4+SFP!BH11)/(SFP!BH29+SFP!BH30+SFP!BH33-SFP!BH39)</f>
        <v>1.60078876284986</v>
      </c>
      <c r="AS17" s="414">
        <f>(SFP!BI4+SFP!BI11)/(SFP!BI29+SFP!BI30+SFP!BI33-SFP!BI39)</f>
        <v>1.6007887632414137</v>
      </c>
      <c r="AT17" s="414">
        <f>(SFP!BJ4+SFP!BJ11)/(SFP!BJ29+SFP!BJ30+SFP!BJ33-SFP!BJ39)</f>
        <v>1.4830057580515326</v>
      </c>
      <c r="AU17" s="414">
        <f>(SFP!BK4+SFP!BK11)/(SFP!BK29+SFP!BK30+SFP!BK33-SFP!BK39)</f>
        <v>1.658673501011908</v>
      </c>
      <c r="AV17" s="414">
        <f>(SFP!BL4+SFP!BL11)/(SFP!BL29+SFP!BL30+SFP!BL33-SFP!BL39)</f>
        <v>1.5776394924554251</v>
      </c>
      <c r="AW17" s="414">
        <f>(SFP!BM4+SFP!BM11)/(SFP!BM29+SFP!BM30+SFP!BM33-SFP!BM39)</f>
        <v>1.5424762138845498</v>
      </c>
      <c r="AX17" s="414">
        <f>(SFP!BN4+SFP!BN11)/(SFP!BN29+SFP!BN30+SFP!BN33-SFP!BN39)</f>
        <v>1.6573274155236757</v>
      </c>
      <c r="AY17" s="414">
        <f>(SFP!BO4+SFP!BO11)/(SFP!BO29+SFP!BO30+SFP!BO33-SFP!BO39)</f>
        <v>1.8135503823535282</v>
      </c>
      <c r="AZ17" s="414">
        <f>(SFP!BP4+SFP!BP11)/(SFP!BP29+SFP!BP30+SFP!BP33-SFP!BP39)</f>
        <v>1.6113692269026172</v>
      </c>
      <c r="BA17" s="414">
        <f>(SFP!BQ4+SFP!BQ11)/(SFP!BQ29+SFP!BQ30+SFP!BQ33-SFP!BQ39)</f>
        <v>1.6028684535498403</v>
      </c>
      <c r="BB17" s="414">
        <f>(SFP!BR4+SFP!BR11)/(SFP!BR29+SFP!BR30+SFP!BR33-SFP!BR39)</f>
        <v>1.6344419386769793</v>
      </c>
      <c r="BC17" s="414">
        <f>(SFP!BS4+SFP!BS11)/(SFP!BS29+SFP!BS30+SFP!BS33-SFP!BS39)</f>
        <v>1.540482195480805</v>
      </c>
      <c r="BD17" s="414">
        <f>(SFP!BT4+SFP!BT11)/(SFP!BT29+SFP!BT30+SFP!BT33-SFP!BT39)</f>
        <v>1.4197173576900757</v>
      </c>
      <c r="BE17" s="414">
        <f>(SFP!BU4+SFP!BU11)/(SFP!BU29+SFP!BU30+SFP!BU33-SFP!BU39)</f>
        <v>1.3144404260239493</v>
      </c>
      <c r="BF17" s="414">
        <f>(SFP!BV4+SFP!BV11)/(SFP!BV29+SFP!BV30+SFP!BV33-SFP!BV39)</f>
        <v>1.2621814160321243</v>
      </c>
      <c r="BG17" s="247"/>
    </row>
    <row r="18" spans="1:59" s="1" customFormat="1">
      <c r="A18" s="427"/>
      <c r="B18" s="425"/>
      <c r="C18" s="403" t="s">
        <v>83</v>
      </c>
      <c r="D18" s="407"/>
      <c r="E18" s="250">
        <f>(SFP!U4+SFP!U11)/(SFP!U32+SFP!U33-SFP!U39)</f>
        <v>0.17130771387626287</v>
      </c>
      <c r="F18" s="250">
        <f>(SFP!V4+SFP!V11)/(SFP!V32+SFP!V33-SFP!V39)</f>
        <v>0.13510131573744741</v>
      </c>
      <c r="G18" s="250">
        <f>(SFP!W4+SFP!W11)/(SFP!W32+SFP!W33-SFP!W39)</f>
        <v>0.15121965628953199</v>
      </c>
      <c r="H18" s="250">
        <f>(SFP!X4+SFP!X11)/(SFP!X32+SFP!X33-SFP!X39)</f>
        <v>0.17008107189638524</v>
      </c>
      <c r="I18" s="250">
        <f>(SFP!Y4+SFP!Y11)/(SFP!Y32+SFP!Y33-SFP!Y39)</f>
        <v>0.19332758177171896</v>
      </c>
      <c r="J18" s="250">
        <f>(SFP!Z4+SFP!Z11)/(SFP!Z32+SFP!Z33-SFP!Z39)</f>
        <v>0.15608775185916685</v>
      </c>
      <c r="K18" s="250">
        <f>(SFP!AA4+SFP!AA11)/(SFP!AA32+SFP!AA33-SFP!AA39)</f>
        <v>0.17109275286649578</v>
      </c>
      <c r="L18" s="250">
        <f>(SFP!AB4+SFP!AB11)/(SFP!AB32+SFP!AB33-SFP!AB39)</f>
        <v>0.19376191247219035</v>
      </c>
      <c r="M18" s="250">
        <f>(SFP!AC4+SFP!AC11)/(SFP!AC32+SFP!AC33-SFP!AC39)</f>
        <v>0.19872278845545741</v>
      </c>
      <c r="N18" s="250">
        <f>(SFP!AD4+SFP!AD11)/(SFP!AD32+SFP!AD33-SFP!AD39)</f>
        <v>0.24997109480642152</v>
      </c>
      <c r="O18" s="250">
        <f>(SFP!AE4+SFP!AE11)/(SFP!AE32+SFP!AE33-SFP!AE39)</f>
        <v>0.24881660392593777</v>
      </c>
      <c r="P18" s="250">
        <f>(SFP!AF4+SFP!AF11)/(SFP!AF32+SFP!AF33-SFP!AF39)</f>
        <v>0.26282337454206844</v>
      </c>
      <c r="Q18" s="250">
        <f>(SFP!AG4+SFP!AG11)/(SFP!AG32+SFP!AG33-SFP!AG39)</f>
        <v>0.26671804658771764</v>
      </c>
      <c r="R18" s="250">
        <f>(SFP!AH4+SFP!AH11)/(SFP!AH32+SFP!AH33-SFP!AH39)</f>
        <v>0.284012251310166</v>
      </c>
      <c r="S18" s="414">
        <f>(SFP!AI4+SFP!AI11)/(SFP!AI32+SFP!AI33-SFP!AI39)</f>
        <v>0.29370510520705312</v>
      </c>
      <c r="T18" s="414">
        <f>(SFP!AJ4+SFP!AJ11)/(SFP!AJ32+SFP!AJ33-SFP!AJ39)</f>
        <v>0.30033346260066718</v>
      </c>
      <c r="U18" s="414">
        <f>(SFP!AK4+SFP!AK11)/(SFP!AK32+SFP!AK33-SFP!AK39)</f>
        <v>0.32451176350985605</v>
      </c>
      <c r="V18" s="414">
        <f>(SFP!AL4+SFP!AL11)/(SFP!AL32+SFP!AL33-SFP!AL39)</f>
        <v>0.31133851397199086</v>
      </c>
      <c r="W18" s="414">
        <f>(SFP!AM4+SFP!AM11)/(SFP!AM32+SFP!AM33-SFP!AM39)</f>
        <v>0.32544460844611461</v>
      </c>
      <c r="X18" s="414">
        <f>(SFP!AN4+SFP!AN11)/(SFP!AN32+SFP!AN33-SFP!AN39)</f>
        <v>0.3407686064979496</v>
      </c>
      <c r="Y18" s="414">
        <f>(SFP!AO4+SFP!AO11)/(SFP!AO32+SFP!AO33-SFP!AO39)</f>
        <v>0.38223819430540312</v>
      </c>
      <c r="Z18" s="414" t="e">
        <f>(SFP!AP4+SFP!AP11)/(SFP!AP32+SFP!AP33-SFP!AP39)</f>
        <v>#DIV/0!</v>
      </c>
      <c r="AA18" s="414">
        <f>(SFP!AQ4+SFP!AQ11)/(SFP!AQ32+SFP!AQ33-SFP!AQ39)</f>
        <v>0.36471530137184821</v>
      </c>
      <c r="AB18" s="414">
        <f>(SFP!AR4+SFP!AR11)/(SFP!AR32+SFP!AR33-SFP!AR39)</f>
        <v>0.35603052325688378</v>
      </c>
      <c r="AC18" s="414">
        <f>(SFP!AS4+SFP!AS11)/(SFP!AS32+SFP!AS33-SFP!AS39)</f>
        <v>0.35074133298363958</v>
      </c>
      <c r="AD18" s="414">
        <f>(SFP!AT4+SFP!AT11)/(SFP!AT32+SFP!AT33-SFP!AT39)</f>
        <v>0.34647058815790477</v>
      </c>
      <c r="AE18" s="414">
        <f>(SFP!AU4+SFP!AU11)/(SFP!AU32+SFP!AU33-SFP!AU39)</f>
        <v>0.34818812598239707</v>
      </c>
      <c r="AF18" s="414">
        <f>(SFP!AV4+SFP!AV11)/(SFP!AV32+SFP!AV33-SFP!AV39)</f>
        <v>0.35363660599961699</v>
      </c>
      <c r="AG18" s="414">
        <f>(SFP!AW4+SFP!AW11)/(SFP!AW32+SFP!AW33-SFP!AW39)</f>
        <v>0.34043621740374841</v>
      </c>
      <c r="AH18" s="414">
        <f>(SFP!AX4+SFP!AX11)/(SFP!AX32+SFP!AX33-SFP!AX39)</f>
        <v>0.35499113725709208</v>
      </c>
      <c r="AI18" s="414">
        <f>(SFP!AY4+SFP!AY11)/(SFP!AY32+SFP!AY33-SFP!AY39)</f>
        <v>0.3300376186179676</v>
      </c>
      <c r="AJ18" s="414">
        <f>(SFP!AZ4+SFP!AZ11)/(SFP!AZ32+SFP!AZ33-SFP!AZ39)</f>
        <v>0.33944867730161521</v>
      </c>
      <c r="AK18" s="414">
        <f>(SFP!BA4+SFP!BA11)/(SFP!BA32+SFP!BA33-SFP!BA39)</f>
        <v>0.33520770970658792</v>
      </c>
      <c r="AL18" s="414">
        <f>(SFP!BB4+SFP!BB11)/(SFP!BB32+SFP!BB33-SFP!BB39)</f>
        <v>0.36110044038500611</v>
      </c>
      <c r="AM18" s="414">
        <f>(SFP!BC4+SFP!BC11)/(SFP!BC32+SFP!BC33-SFP!BC39)</f>
        <v>0.38529429592418474</v>
      </c>
      <c r="AN18" s="414">
        <f>(SFP!BD4+SFP!BD11)/(SFP!BD32+SFP!BD33-SFP!BD39)</f>
        <v>0.3677224703401234</v>
      </c>
      <c r="AO18" s="414">
        <f>(SFP!BE4+SFP!BE11)/(SFP!BE32+SFP!BE33-SFP!BE39)</f>
        <v>0.37984100213518474</v>
      </c>
      <c r="AP18" s="414">
        <f>(SFP!BF4+SFP!BF11)/(SFP!BF32+SFP!BF33-SFP!BF39)</f>
        <v>0.36371085853545176</v>
      </c>
      <c r="AQ18" s="414">
        <f>(SFP!BG4+SFP!BG11)/(SFP!BG32+SFP!BG33-SFP!BG39)</f>
        <v>0.37340109770125096</v>
      </c>
      <c r="AR18" s="414">
        <f>(SFP!BH4+SFP!BH11)/(SFP!BH32+SFP!BH33-SFP!BH39)</f>
        <v>0.38707432089142718</v>
      </c>
      <c r="AS18" s="414">
        <f>(SFP!BI4+SFP!BI11)/(SFP!BI32+SFP!BI33-SFP!BI39)</f>
        <v>0.38707432091432065</v>
      </c>
      <c r="AT18" s="414">
        <f>(SFP!BJ4+SFP!BJ11)/(SFP!BJ32+SFP!BJ33-SFP!BJ39)</f>
        <v>0.39779499966384929</v>
      </c>
      <c r="AU18" s="414">
        <f>(SFP!BK4+SFP!BK11)/(SFP!BK32+SFP!BK33-SFP!BK39)</f>
        <v>0.38311017765980893</v>
      </c>
      <c r="AV18" s="414">
        <f>(SFP!BL4+SFP!BL11)/(SFP!BL32+SFP!BL33-SFP!BL39)</f>
        <v>0.36046391262552241</v>
      </c>
      <c r="AW18" s="414">
        <f>(SFP!BM4+SFP!BM11)/(SFP!BM32+SFP!BM33-SFP!BM39)</f>
        <v>0.34383909627654019</v>
      </c>
      <c r="AX18" s="414">
        <f>(SFP!BN4+SFP!BN11)/(SFP!BN32+SFP!BN33-SFP!BN39)</f>
        <v>0.3462719716989362</v>
      </c>
      <c r="AY18" s="414">
        <f>(SFP!BO4+SFP!BO11)/(SFP!BO32+SFP!BO33-SFP!BO39)</f>
        <v>0.39082708890969137</v>
      </c>
      <c r="AZ18" s="414">
        <f>(SFP!BP4+SFP!BP11)/(SFP!BP32+SFP!BP33-SFP!BP39)</f>
        <v>0.36869254761827686</v>
      </c>
      <c r="BA18" s="414">
        <f>(SFP!BQ4+SFP!BQ11)/(SFP!BQ32+SFP!BQ33-SFP!BQ39)</f>
        <v>0.35485144176767097</v>
      </c>
      <c r="BB18" s="414">
        <f>(SFP!BR4+SFP!BR11)/(SFP!BR32+SFP!BR33-SFP!BR39)</f>
        <v>0.3466227083417357</v>
      </c>
      <c r="BC18" s="414">
        <f>(SFP!BS4+SFP!BS11)/(SFP!BS32+SFP!BS33-SFP!BS39)</f>
        <v>0.32983259350271033</v>
      </c>
      <c r="BD18" s="414">
        <f>(SFP!BT4+SFP!BT11)/(SFP!BT32+SFP!BT33-SFP!BT39)</f>
        <v>0.31975374436935711</v>
      </c>
      <c r="BE18" s="414">
        <f>(SFP!BU4+SFP!BU11)/(SFP!BU32+SFP!BU33-SFP!BU39)</f>
        <v>0.30672738552852274</v>
      </c>
      <c r="BF18" s="414">
        <f>(SFP!BV4+SFP!BV11)/(SFP!BV32+SFP!BV33-SFP!BV39)</f>
        <v>0.30379235310029773</v>
      </c>
      <c r="BG18" s="247"/>
    </row>
    <row r="19" spans="1:59" s="1" customFormat="1">
      <c r="A19" s="427"/>
      <c r="B19" s="425"/>
      <c r="C19" s="403" t="s">
        <v>84</v>
      </c>
      <c r="D19" s="407" t="s">
        <v>85</v>
      </c>
      <c r="E19" s="250">
        <f>Financials!C9/Financials!C5</f>
        <v>4.6260010087161733E-2</v>
      </c>
      <c r="F19" s="250">
        <f>Financials!D9/Financials!D5</f>
        <v>3.1553665600474116E-2</v>
      </c>
      <c r="G19" s="250">
        <f>Financials!E9/Financials!E5</f>
        <v>2.9761005903796461E-2</v>
      </c>
      <c r="H19" s="250">
        <f>Financials!F9/Financials!F5</f>
        <v>2.2354849408159259E-2</v>
      </c>
      <c r="I19" s="250">
        <f>Financials!G9/Financials!G5</f>
        <v>1.0542620991813188E-2</v>
      </c>
      <c r="J19" s="250">
        <f>Financials!H9/Financials!H5</f>
        <v>1.0753625816658353E-2</v>
      </c>
      <c r="K19" s="250">
        <f>Financials!I9/Financials!I5</f>
        <v>0</v>
      </c>
      <c r="L19" s="250">
        <f>Financials!J9/Financials!J5</f>
        <v>0</v>
      </c>
      <c r="M19" s="250">
        <f>Financials!K9/Financials!K5</f>
        <v>0</v>
      </c>
      <c r="N19" s="250">
        <f>Financials!L9/Financials!L5</f>
        <v>0</v>
      </c>
      <c r="O19" s="250">
        <f>Financials!M9/Financials!M5</f>
        <v>0</v>
      </c>
      <c r="P19" s="250">
        <f>Financials!N9/Financials!N5</f>
        <v>0</v>
      </c>
      <c r="Q19" s="250">
        <f>Financials!O9/Financials!O5</f>
        <v>0</v>
      </c>
      <c r="R19" s="250">
        <f>Financials!P9/Financials!P5</f>
        <v>0</v>
      </c>
      <c r="S19" s="414">
        <f>Financials!Q9/Financials!Q5</f>
        <v>0</v>
      </c>
      <c r="T19" s="414">
        <f>Financials!R9/Financials!R5</f>
        <v>0</v>
      </c>
      <c r="U19" s="414">
        <f>Financials!S9/Financials!S5</f>
        <v>0</v>
      </c>
      <c r="V19" s="414">
        <f>Financials!T9/Financials!T5</f>
        <v>0</v>
      </c>
      <c r="W19" s="414">
        <f>Financials!U9/Financials!U5</f>
        <v>0</v>
      </c>
      <c r="X19" s="414">
        <f>Financials!V9/Financials!V5</f>
        <v>0</v>
      </c>
      <c r="Y19" s="414">
        <f>Financials!W9/Financials!W5</f>
        <v>0</v>
      </c>
      <c r="Z19" s="414" t="e">
        <f>Financials!X9/Financials!X5</f>
        <v>#DIV/0!</v>
      </c>
      <c r="AA19" s="414">
        <f>Financials!Y9/Financials!Y5</f>
        <v>0</v>
      </c>
      <c r="AB19" s="414">
        <f>Financials!Z9/Financials!Z5</f>
        <v>0</v>
      </c>
      <c r="AC19" s="414">
        <f>Financials!AA9/Financials!AA5</f>
        <v>0</v>
      </c>
      <c r="AD19" s="414">
        <f>Financials!AB9/Financials!AB5</f>
        <v>0</v>
      </c>
      <c r="AE19" s="414">
        <f>Financials!AC9/Financials!AC5</f>
        <v>0</v>
      </c>
      <c r="AF19" s="414">
        <f>Financials!AD9/Financials!AD5</f>
        <v>0</v>
      </c>
      <c r="AG19" s="414">
        <f>Financials!AE9/Financials!AE5</f>
        <v>0</v>
      </c>
      <c r="AH19" s="414">
        <f>Financials!AF9/Financials!AF5</f>
        <v>0</v>
      </c>
      <c r="AI19" s="414">
        <f>Financials!AG9/Financials!AG5</f>
        <v>0</v>
      </c>
      <c r="AJ19" s="414">
        <f>Financials!AH9/Financials!AH5</f>
        <v>0</v>
      </c>
      <c r="AK19" s="414">
        <f>Financials!AI9/Financials!AI5</f>
        <v>0</v>
      </c>
      <c r="AL19" s="414">
        <f>Financials!AJ9/Financials!AJ5</f>
        <v>0</v>
      </c>
      <c r="AM19" s="414">
        <f>Financials!AK9/Financials!AK5</f>
        <v>0</v>
      </c>
      <c r="AN19" s="414">
        <f>Financials!AL9/Financials!AL5</f>
        <v>0</v>
      </c>
      <c r="AO19" s="414">
        <f>Financials!AM9/Financials!AM5</f>
        <v>0</v>
      </c>
      <c r="AP19" s="414">
        <f>Financials!AN9/Financials!AN5</f>
        <v>0</v>
      </c>
      <c r="AQ19" s="414">
        <f>Financials!AO9/Financials!AO5</f>
        <v>0</v>
      </c>
      <c r="AR19" s="414">
        <f>Financials!AP9/Financials!AP5</f>
        <v>0</v>
      </c>
      <c r="AS19" s="414">
        <f>Financials!AQ9/Financials!AQ5</f>
        <v>0</v>
      </c>
      <c r="AT19" s="414">
        <f>Financials!AR9/Financials!AR5</f>
        <v>0</v>
      </c>
      <c r="AU19" s="414">
        <f>Financials!AS9/Financials!AS5</f>
        <v>0</v>
      </c>
      <c r="AV19" s="414">
        <f>Financials!AT9/Financials!AT5</f>
        <v>0</v>
      </c>
      <c r="AW19" s="414">
        <f>Financials!AU9/Financials!AU5</f>
        <v>0</v>
      </c>
      <c r="AX19" s="414">
        <f>Financials!AV9/Financials!AV5</f>
        <v>0</v>
      </c>
      <c r="AY19" s="414">
        <f>Financials!AW9/Financials!AW5</f>
        <v>0</v>
      </c>
      <c r="AZ19" s="414">
        <f>Financials!AX9/Financials!AX5</f>
        <v>0</v>
      </c>
      <c r="BA19" s="414">
        <f>Financials!AY9/Financials!AY5</f>
        <v>0</v>
      </c>
      <c r="BB19" s="414">
        <f>Financials!AZ9/Financials!AZ5</f>
        <v>0</v>
      </c>
      <c r="BC19" s="414">
        <f>Financials!BA9/Financials!BA5</f>
        <v>0</v>
      </c>
      <c r="BD19" s="414">
        <f>Financials!BB9/Financials!BB5</f>
        <v>0</v>
      </c>
      <c r="BE19" s="414">
        <f>Financials!BC9/Financials!BC5</f>
        <v>0</v>
      </c>
      <c r="BF19" s="414">
        <f>Financials!BD9/Financials!BD5</f>
        <v>0</v>
      </c>
      <c r="BG19" s="247"/>
    </row>
    <row r="20" spans="1:59" s="1" customFormat="1">
      <c r="A20" s="427"/>
      <c r="B20" s="425"/>
      <c r="C20" s="403" t="s">
        <v>86</v>
      </c>
      <c r="D20" s="400"/>
      <c r="E20" s="250">
        <f>(SFP!U4+SFP!U11)/SFP!U27</f>
        <v>0.10702164921533588</v>
      </c>
      <c r="F20" s="250">
        <f>(SFP!V4+SFP!V11)/SFP!V27</f>
        <v>8.6066925812615644E-2</v>
      </c>
      <c r="G20" s="250">
        <f>(SFP!W4+SFP!W11)/SFP!W27</f>
        <v>9.6087724906624941E-2</v>
      </c>
      <c r="H20" s="250">
        <f>(SFP!X4+SFP!X11)/SFP!X27</f>
        <v>0.11024624504366429</v>
      </c>
      <c r="I20" s="250">
        <f>(SFP!Y4+SFP!Y11)/SFP!Y27</f>
        <v>0.12766628302154437</v>
      </c>
      <c r="J20" s="250">
        <f>(SFP!Z4+SFP!Z11)/SFP!Z27</f>
        <v>9.9320711200995934E-2</v>
      </c>
      <c r="K20" s="250">
        <f>(SFP!AA4+SFP!AA11)/SFP!AA27</f>
        <v>0.10959403136518255</v>
      </c>
      <c r="L20" s="250">
        <f>(SFP!AB4+SFP!AB11)/SFP!AB27</f>
        <v>0.12396227591811894</v>
      </c>
      <c r="M20" s="250">
        <f>(SFP!AC4+SFP!AC11)/SFP!AC27</f>
        <v>0.12734180997413197</v>
      </c>
      <c r="N20" s="250">
        <f>(SFP!AD4+SFP!AD11)/SFP!AD27</f>
        <v>0.15900500586257571</v>
      </c>
      <c r="O20" s="250">
        <f>(SFP!AE4+SFP!AE11)/SFP!AE27</f>
        <v>0.15983929792681953</v>
      </c>
      <c r="P20" s="250">
        <f>(SFP!AF4+SFP!AF11)/SFP!AF27</f>
        <v>0.16914860995949202</v>
      </c>
      <c r="Q20" s="250">
        <f>(SFP!AG4+SFP!AG11)/SFP!AG27</f>
        <v>0.16938402224661081</v>
      </c>
      <c r="R20" s="250">
        <f>(SFP!AH4+SFP!AH11)/SFP!AH27</f>
        <v>0.18269970854039005</v>
      </c>
      <c r="S20" s="414">
        <f>(SFP!AI4+SFP!AI11)/SFP!AI27</f>
        <v>0.1846597939600893</v>
      </c>
      <c r="T20" s="414">
        <f>(SFP!AJ4+SFP!AJ11)/SFP!AJ27</f>
        <v>0.19095823178263452</v>
      </c>
      <c r="U20" s="414">
        <f>(SFP!AK4+SFP!AK11)/SFP!AK27</f>
        <v>0.20444827680835753</v>
      </c>
      <c r="V20" s="414">
        <f>(SFP!AL4+SFP!AL11)/SFP!AL27</f>
        <v>0.19383560634718996</v>
      </c>
      <c r="W20" s="414">
        <f>(SFP!AM4+SFP!AM11)/SFP!AM27</f>
        <v>0.20286927652147507</v>
      </c>
      <c r="X20" s="414">
        <f>(SFP!AN4+SFP!AN11)/SFP!AN27</f>
        <v>0.21116452471616556</v>
      </c>
      <c r="Y20" s="414">
        <f>(SFP!AO4+SFP!AO11)/SFP!AO27</f>
        <v>0.23913984116777354</v>
      </c>
      <c r="Z20" s="414" t="e">
        <f>(SFP!AP4+SFP!AP11)/SFP!AP27</f>
        <v>#DIV/0!</v>
      </c>
      <c r="AA20" s="414">
        <f>(SFP!AQ4+SFP!AQ11)/SFP!AQ27</f>
        <v>0.22755352338729526</v>
      </c>
      <c r="AB20" s="414">
        <f>(SFP!AR4+SFP!AR11)/SFP!AR27</f>
        <v>0.22802387191537679</v>
      </c>
      <c r="AC20" s="414">
        <f>(SFP!AS4+SFP!AS11)/SFP!AS27</f>
        <v>0.22291488489440334</v>
      </c>
      <c r="AD20" s="414">
        <f>(SFP!AT4+SFP!AT11)/SFP!AT27</f>
        <v>0.22032916294333152</v>
      </c>
      <c r="AE20" s="414">
        <f>(SFP!AU4+SFP!AU11)/SFP!AU27</f>
        <v>0.22260446554483571</v>
      </c>
      <c r="AF20" s="414">
        <f>(SFP!AV4+SFP!AV11)/SFP!AV27</f>
        <v>0.22470478988140061</v>
      </c>
      <c r="AG20" s="414">
        <f>(SFP!AW4+SFP!AW11)/SFP!AW27</f>
        <v>0.22061196254837426</v>
      </c>
      <c r="AH20" s="414">
        <f>(SFP!AX4+SFP!AX11)/SFP!AX27</f>
        <v>0.22348351642634914</v>
      </c>
      <c r="AI20" s="414">
        <f>(SFP!AY4+SFP!AY11)/SFP!AY27</f>
        <v>0.20435667585485109</v>
      </c>
      <c r="AJ20" s="414">
        <f>(SFP!AZ4+SFP!AZ11)/SFP!AZ27</f>
        <v>0.20983748392974785</v>
      </c>
      <c r="AK20" s="414">
        <f>(SFP!BA4+SFP!BA11)/SFP!BA27</f>
        <v>0.20500082778981882</v>
      </c>
      <c r="AL20" s="414">
        <f>(SFP!BB4+SFP!BB11)/SFP!BB27</f>
        <v>0.22428838452356825</v>
      </c>
      <c r="AM20" s="414">
        <f>(SFP!BC4+SFP!BC11)/SFP!BC27</f>
        <v>0.24293682962215823</v>
      </c>
      <c r="AN20" s="414">
        <f>(SFP!BD4+SFP!BD11)/SFP!BD27</f>
        <v>0.23034506789651663</v>
      </c>
      <c r="AO20" s="414">
        <f>(SFP!BE4+SFP!BE11)/SFP!BE27</f>
        <v>0.23854037030753572</v>
      </c>
      <c r="AP20" s="414">
        <f>(SFP!BF4+SFP!BF11)/SFP!BF27</f>
        <v>0.22892358706145693</v>
      </c>
      <c r="AQ20" s="414">
        <f>(SFP!BG4+SFP!BG11)/SFP!BG27</f>
        <v>0.2369011962810916</v>
      </c>
      <c r="AR20" s="414">
        <f>(SFP!BH4+SFP!BH11)/SFP!BH27</f>
        <v>0.23775881484181574</v>
      </c>
      <c r="AS20" s="414">
        <f>(SFP!BI4+SFP!BI11)/SFP!BI27</f>
        <v>0.23775881486685849</v>
      </c>
      <c r="AT20" s="414">
        <f>(SFP!BJ4+SFP!BJ11)/SFP!BJ27</f>
        <v>0.24874501119113232</v>
      </c>
      <c r="AU20" s="414">
        <f>(SFP!BK4+SFP!BK11)/SFP!BK27</f>
        <v>0.23462668747175328</v>
      </c>
      <c r="AV20" s="414">
        <f>(SFP!BL4+SFP!BL11)/SFP!BL27</f>
        <v>0.22187169179171595</v>
      </c>
      <c r="AW20" s="414">
        <f>(SFP!BM4+SFP!BM11)/SFP!BM27</f>
        <v>0.21179585699996992</v>
      </c>
      <c r="AX20" s="414">
        <f>(SFP!BN4+SFP!BN11)/SFP!BN27</f>
        <v>0.21111154020596656</v>
      </c>
      <c r="AY20" s="414">
        <f>(SFP!BO4+SFP!BO11)/SFP!BO27</f>
        <v>0.23877133316683316</v>
      </c>
      <c r="AZ20" s="414">
        <f>(SFP!BP4+SFP!BP11)/SFP!BP27</f>
        <v>0.22619200102850959</v>
      </c>
      <c r="BA20" s="414">
        <f>(SFP!BQ4+SFP!BQ11)/SFP!BQ27</f>
        <v>0.21677327849512729</v>
      </c>
      <c r="BB20" s="414">
        <f>(SFP!BR4+SFP!BR11)/SFP!BR27</f>
        <v>0.20828040558149055</v>
      </c>
      <c r="BC20" s="414">
        <f>(SFP!BS4+SFP!BS11)/SFP!BS27</f>
        <v>0.19866256112602701</v>
      </c>
      <c r="BD20" s="414">
        <f>(SFP!BT4+SFP!BT11)/SFP!BT27</f>
        <v>0.19355763272780382</v>
      </c>
      <c r="BE20" s="414">
        <f>(SFP!BU4+SFP!BU11)/SFP!BU27</f>
        <v>0.18534171861310936</v>
      </c>
      <c r="BF20" s="414">
        <f>(SFP!BV4+SFP!BV11)/SFP!BV27</f>
        <v>0.18425710586737606</v>
      </c>
      <c r="BG20" s="247"/>
    </row>
    <row r="21" spans="1:59" s="1" customFormat="1">
      <c r="A21" s="427"/>
      <c r="B21" s="403"/>
      <c r="C21" s="403"/>
      <c r="D21" s="407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415"/>
      <c r="AG21" s="415"/>
      <c r="AH21" s="415"/>
      <c r="AI21" s="415"/>
      <c r="AJ21" s="415"/>
      <c r="AK21" s="415"/>
      <c r="AL21" s="415"/>
      <c r="AM21" s="415"/>
      <c r="AN21" s="415"/>
      <c r="AO21" s="415"/>
      <c r="AP21" s="415"/>
      <c r="AQ21" s="415"/>
      <c r="AR21" s="415"/>
      <c r="AS21" s="415"/>
      <c r="AT21" s="415"/>
      <c r="AU21" s="415"/>
      <c r="AV21" s="415"/>
      <c r="AW21" s="415"/>
      <c r="AX21" s="415"/>
      <c r="AY21" s="415"/>
      <c r="AZ21" s="415"/>
      <c r="BA21" s="415"/>
      <c r="BB21" s="415"/>
      <c r="BC21" s="415"/>
      <c r="BD21" s="415"/>
      <c r="BE21" s="415"/>
      <c r="BF21" s="415"/>
      <c r="BG21" s="247"/>
    </row>
    <row r="22" spans="1:59" s="1" customFormat="1">
      <c r="A22" s="427"/>
      <c r="B22" s="425" t="s">
        <v>87</v>
      </c>
      <c r="C22" s="403" t="s">
        <v>88</v>
      </c>
      <c r="D22" s="407" t="s">
        <v>89</v>
      </c>
      <c r="E22" s="250">
        <f>Financials!C40/Financials!C5</f>
        <v>0</v>
      </c>
      <c r="F22" s="250">
        <f>Financials!D40/Financials!D5</f>
        <v>0</v>
      </c>
      <c r="G22" s="250">
        <f>Financials!E40/Financials!E5</f>
        <v>0</v>
      </c>
      <c r="H22" s="250">
        <f>Financials!F40/Financials!F5</f>
        <v>0</v>
      </c>
      <c r="I22" s="250">
        <f>Financials!G40/Financials!G5</f>
        <v>0</v>
      </c>
      <c r="J22" s="250">
        <f>Financials!H40/Financials!H5</f>
        <v>0</v>
      </c>
      <c r="K22" s="250">
        <f>Financials!I40/Financials!I5</f>
        <v>0</v>
      </c>
      <c r="L22" s="250">
        <f>Financials!J40/Financials!J5</f>
        <v>0</v>
      </c>
      <c r="M22" s="250">
        <f>Financials!K40/Financials!K5</f>
        <v>0</v>
      </c>
      <c r="N22" s="250">
        <f>Financials!L40/Financials!L5</f>
        <v>0</v>
      </c>
      <c r="O22" s="250">
        <f>Financials!M40/Financials!M5</f>
        <v>0</v>
      </c>
      <c r="P22" s="250">
        <f>Financials!N40/Financials!N5</f>
        <v>0</v>
      </c>
      <c r="Q22" s="250">
        <f>Financials!O40/Financials!O5</f>
        <v>0</v>
      </c>
      <c r="R22" s="250">
        <f>Financials!P40/Financials!P5</f>
        <v>0</v>
      </c>
      <c r="S22" s="414">
        <f>Financials!Q40/Financials!Q5</f>
        <v>0</v>
      </c>
      <c r="T22" s="414">
        <f>Financials!R40/Financials!R5</f>
        <v>0</v>
      </c>
      <c r="U22" s="414">
        <f>Financials!S40/Financials!S5</f>
        <v>0</v>
      </c>
      <c r="V22" s="414">
        <f>Financials!T40/Financials!T5</f>
        <v>0</v>
      </c>
      <c r="W22" s="414">
        <f>Financials!U40/Financials!U5</f>
        <v>0</v>
      </c>
      <c r="X22" s="414">
        <f>Financials!V40/Financials!V5</f>
        <v>0</v>
      </c>
      <c r="Y22" s="414">
        <f>Financials!W40/Financials!W5</f>
        <v>0</v>
      </c>
      <c r="Z22" s="414" t="e">
        <f>Financials!X40/Financials!X5</f>
        <v>#DIV/0!</v>
      </c>
      <c r="AA22" s="414">
        <f>Financials!Y40/Financials!Y5</f>
        <v>0</v>
      </c>
      <c r="AB22" s="414">
        <f>Financials!Z40/Financials!Z5</f>
        <v>0</v>
      </c>
      <c r="AC22" s="414">
        <f>Financials!AA40/Financials!AA5</f>
        <v>0</v>
      </c>
      <c r="AD22" s="414">
        <f>Financials!AB40/Financials!AB5</f>
        <v>0</v>
      </c>
      <c r="AE22" s="414">
        <f>Financials!AC40/Financials!AC5</f>
        <v>0</v>
      </c>
      <c r="AF22" s="414">
        <f>Financials!AD40/Financials!AD5</f>
        <v>0</v>
      </c>
      <c r="AG22" s="414">
        <f>Financials!AE40/Financials!AE5</f>
        <v>0</v>
      </c>
      <c r="AH22" s="414">
        <f>Financials!AF40/Financials!AF5</f>
        <v>0</v>
      </c>
      <c r="AI22" s="414">
        <f>Financials!AG40/Financials!AG5</f>
        <v>0</v>
      </c>
      <c r="AJ22" s="414">
        <f>Financials!AH40/Financials!AH5</f>
        <v>0</v>
      </c>
      <c r="AK22" s="414">
        <f>Financials!AI40/Financials!AI5</f>
        <v>0</v>
      </c>
      <c r="AL22" s="414">
        <f>Financials!AJ40/Financials!AJ5</f>
        <v>0</v>
      </c>
      <c r="AM22" s="414">
        <f>Financials!AK40/Financials!AK5</f>
        <v>0</v>
      </c>
      <c r="AN22" s="414">
        <f>Financials!AL40/Financials!AL5</f>
        <v>0</v>
      </c>
      <c r="AO22" s="414">
        <f>Financials!AM40/Financials!AM5</f>
        <v>0</v>
      </c>
      <c r="AP22" s="414">
        <f>Financials!AN40/Financials!AN5</f>
        <v>0</v>
      </c>
      <c r="AQ22" s="414">
        <f>Financials!AO40/Financials!AO5</f>
        <v>0</v>
      </c>
      <c r="AR22" s="414">
        <f>Financials!AP40/Financials!AP5</f>
        <v>0</v>
      </c>
      <c r="AS22" s="414">
        <f>Financials!AQ40/Financials!AQ5</f>
        <v>0</v>
      </c>
      <c r="AT22" s="414">
        <f>Financials!AR40/Financials!AR5</f>
        <v>0</v>
      </c>
      <c r="AU22" s="414">
        <f>Financials!AS40/Financials!AS5</f>
        <v>0</v>
      </c>
      <c r="AV22" s="414">
        <f>Financials!AT40/Financials!AT5</f>
        <v>0</v>
      </c>
      <c r="AW22" s="414">
        <f>Financials!AU40/Financials!AU5</f>
        <v>0</v>
      </c>
      <c r="AX22" s="414">
        <f>Financials!AV40/Financials!AV5</f>
        <v>0</v>
      </c>
      <c r="AY22" s="414">
        <f>Financials!AW40/Financials!AW5</f>
        <v>0</v>
      </c>
      <c r="AZ22" s="414">
        <f>Financials!AX40/Financials!AX5</f>
        <v>0</v>
      </c>
      <c r="BA22" s="414">
        <f>Financials!AY40/Financials!AY5</f>
        <v>0</v>
      </c>
      <c r="BB22" s="414">
        <f>Financials!AZ40/Financials!AZ5</f>
        <v>0</v>
      </c>
      <c r="BC22" s="414">
        <f>Financials!BA40/Financials!BA5</f>
        <v>0</v>
      </c>
      <c r="BD22" s="414">
        <f>Financials!BB40/Financials!BB5</f>
        <v>0</v>
      </c>
      <c r="BE22" s="414">
        <f>Financials!BC40/Financials!BC5</f>
        <v>0</v>
      </c>
      <c r="BF22" s="414">
        <f>Financials!BD40/Financials!BD5</f>
        <v>0</v>
      </c>
      <c r="BG22" s="247"/>
    </row>
    <row r="23" spans="1:59" s="1" customFormat="1">
      <c r="A23" s="427"/>
      <c r="B23" s="425"/>
      <c r="C23" s="403" t="s">
        <v>90</v>
      </c>
      <c r="D23" s="407" t="s">
        <v>91</v>
      </c>
      <c r="E23" s="250">
        <f>Financials!C25/Financials!C13</f>
        <v>0.18617178424420602</v>
      </c>
      <c r="F23" s="250">
        <f>Financials!D25/Financials!D13</f>
        <v>0.22770426236528868</v>
      </c>
      <c r="G23" s="250">
        <f>Financials!E25/Financials!E13</f>
        <v>0.22298057387481818</v>
      </c>
      <c r="H23" s="250">
        <f>Financials!F25/Financials!F13</f>
        <v>0.20829940137427636</v>
      </c>
      <c r="I23" s="250">
        <f>Financials!G25/Financials!G13</f>
        <v>0.20665770228119601</v>
      </c>
      <c r="J23" s="250">
        <f>Financials!H25/Financials!H13</f>
        <v>0.20389417452021</v>
      </c>
      <c r="K23" s="250">
        <f>Financials!I25/Financials!I13</f>
        <v>0.20135652728703338</v>
      </c>
      <c r="L23" s="250">
        <f>Financials!J25/Financials!J13</f>
        <v>0.21575613080813946</v>
      </c>
      <c r="M23" s="250">
        <f>Financials!K25/Financials!K13</f>
        <v>0.21835979924008198</v>
      </c>
      <c r="N23" s="250">
        <f>Financials!L25/Financials!L13</f>
        <v>0.22650321084845265</v>
      </c>
      <c r="O23" s="250">
        <f>Financials!M25/Financials!M13</f>
        <v>0.22874667449580138</v>
      </c>
      <c r="P23" s="250">
        <f>Financials!N25/Financials!N13</f>
        <v>0.24382466825909477</v>
      </c>
      <c r="Q23" s="250">
        <f>Financials!O25/Financials!O13</f>
        <v>0.24779939440588233</v>
      </c>
      <c r="R23" s="250">
        <f>Financials!P25/Financials!P13</f>
        <v>0.24881568358116055</v>
      </c>
      <c r="S23" s="414">
        <f>Financials!Q25/Financials!Q13</f>
        <v>0.48039404734830277</v>
      </c>
      <c r="T23" s="414">
        <f>Financials!R25/Financials!R13</f>
        <v>0.202302058928096</v>
      </c>
      <c r="U23" s="414">
        <f>Financials!S25/Financials!S13</f>
        <v>0.19717867288524701</v>
      </c>
      <c r="V23" s="414">
        <f>Financials!T25/Financials!T13</f>
        <v>0.20120353902028645</v>
      </c>
      <c r="W23" s="414">
        <f>Financials!U25/Financials!U13</f>
        <v>0.20054184581086668</v>
      </c>
      <c r="X23" s="414">
        <f>Financials!V25/Financials!V13</f>
        <v>0.2297353839331791</v>
      </c>
      <c r="Y23" s="414">
        <f>Financials!W25/Financials!W13</f>
        <v>0.23157003012720598</v>
      </c>
      <c r="Z23" s="414" t="e">
        <f>Financials!X25/Financials!X13</f>
        <v>#DIV/0!</v>
      </c>
      <c r="AA23" s="414">
        <f>Financials!Y25/Financials!Y13</f>
        <v>0.2664756880760431</v>
      </c>
      <c r="AB23" s="414">
        <f>Financials!Z25/Financials!Z13</f>
        <v>0.27926424186189441</v>
      </c>
      <c r="AC23" s="414">
        <f>Financials!AA25/Financials!AA13</f>
        <v>0.27031461183831856</v>
      </c>
      <c r="AD23" s="414">
        <f>Financials!AB25/Financials!AB13</f>
        <v>0.26501715593364428</v>
      </c>
      <c r="AE23" s="414">
        <f>Financials!AC25/Financials!AC13</f>
        <v>0.25239826403312904</v>
      </c>
      <c r="AF23" s="414">
        <f>Financials!AD25/Financials!AD13</f>
        <v>0.21440484083078828</v>
      </c>
      <c r="AG23" s="414">
        <f>Financials!AE25/Financials!AE13</f>
        <v>0.21477405806772781</v>
      </c>
      <c r="AH23" s="414">
        <f>Financials!AF25/Financials!AF13</f>
        <v>0.20806650237289601</v>
      </c>
      <c r="AI23" s="414">
        <f>Financials!AG25/Financials!AG13</f>
        <v>0.20596008689211093</v>
      </c>
      <c r="AJ23" s="414">
        <f>Financials!AH25/Financials!AH13</f>
        <v>0.21781194642000967</v>
      </c>
      <c r="AK23" s="414">
        <f>Financials!AI25/Financials!AI13</f>
        <v>0.2175555048360624</v>
      </c>
      <c r="AL23" s="414">
        <f>Financials!AJ25/Financials!AJ13</f>
        <v>0.22158846427614418</v>
      </c>
      <c r="AM23" s="414">
        <f>Financials!AK25/Financials!AK13</f>
        <v>0.25636279698919234</v>
      </c>
      <c r="AN23" s="414">
        <f>Financials!AL25/Financials!AL13</f>
        <v>0.2596049634422114</v>
      </c>
      <c r="AO23" s="414">
        <f>Financials!AM25/Financials!AM13</f>
        <v>0.25855868657878833</v>
      </c>
      <c r="AP23" s="414">
        <f>Financials!AN25/Financials!AN13</f>
        <v>0.25761451309102218</v>
      </c>
      <c r="AQ23" s="414">
        <f>Financials!AO25/Financials!AO13</f>
        <v>0.25935975747167378</v>
      </c>
      <c r="AR23" s="414">
        <f>Financials!AP25/Financials!AP13</f>
        <v>0.24264071549428973</v>
      </c>
      <c r="AS23" s="414">
        <f>Financials!AQ25/Financials!AQ13</f>
        <v>0.13865725431553633</v>
      </c>
      <c r="AT23" s="414">
        <f>Financials!AR25/Financials!AR13</f>
        <v>0.23959688253144551</v>
      </c>
      <c r="AU23" s="414">
        <f>Financials!AS25/Financials!AS13</f>
        <v>0.24557258414184627</v>
      </c>
      <c r="AV23" s="414">
        <f>Financials!AT25/Financials!AT13</f>
        <v>0.24851786665665623</v>
      </c>
      <c r="AW23" s="414">
        <f>Financials!AU25/Financials!AU13</f>
        <v>0.26382146881022928</v>
      </c>
      <c r="AX23" s="414">
        <f>Financials!AV25/Financials!AV13</f>
        <v>0.3105470945859477</v>
      </c>
      <c r="AY23" s="414">
        <f>Financials!AW25/Financials!AW13</f>
        <v>0.30890466468782107</v>
      </c>
      <c r="AZ23" s="414">
        <f>Financials!AX25/Financials!AX13</f>
        <v>0.30618878836034508</v>
      </c>
      <c r="BA23" s="414">
        <f>Financials!AY25/Financials!AY13</f>
        <v>0.30694271904690656</v>
      </c>
      <c r="BB23" s="414">
        <f>Financials!AZ25/Financials!AZ13</f>
        <v>0.29555198832694268</v>
      </c>
      <c r="BC23" s="414">
        <f>Financials!BA25/Financials!BA13</f>
        <v>0.33799117473127982</v>
      </c>
      <c r="BD23" s="414">
        <f>Financials!BB25/Financials!BB13</f>
        <v>0.33724147817985939</v>
      </c>
      <c r="BE23" s="414">
        <f>Financials!BC25/Financials!BC13</f>
        <v>0.33045476512521849</v>
      </c>
      <c r="BF23" s="414">
        <f>Financials!BD25/Financials!BD13</f>
        <v>0.34381850791639601</v>
      </c>
      <c r="BG23" s="247"/>
    </row>
    <row r="24" spans="1:59" s="1" customFormat="1">
      <c r="A24" s="427"/>
      <c r="B24" s="425"/>
      <c r="C24" s="403" t="s">
        <v>92</v>
      </c>
      <c r="D24" s="407" t="s">
        <v>89</v>
      </c>
      <c r="E24" s="251">
        <f>Financials!C25/Financials!C6</f>
        <v>9.7766012891439075E-2</v>
      </c>
      <c r="F24" s="251">
        <f>Financials!D25/Financials!D6</f>
        <v>9.6911236380203367E-2</v>
      </c>
      <c r="G24" s="251">
        <f>Financials!E25/Financials!E6</f>
        <v>0.10121553124770159</v>
      </c>
      <c r="H24" s="251">
        <f>Financials!F25/Financials!F6</f>
        <v>9.5002929589002166E-2</v>
      </c>
      <c r="I24" s="251">
        <f>Financials!G25/Financials!G6</f>
        <v>9.3076128684683304E-2</v>
      </c>
      <c r="J24" s="251">
        <f>Financials!H25/Financials!H6</f>
        <v>9.2779856088894247E-2</v>
      </c>
      <c r="K24" s="251">
        <f>Financials!I25/Financials!I6</f>
        <v>9.3988531677778708E-2</v>
      </c>
      <c r="L24" s="251">
        <f>Financials!J25/Financials!J6</f>
        <v>0.10088682209070798</v>
      </c>
      <c r="M24" s="251">
        <f>Financials!K25/Financials!K6</f>
        <v>0.10184948368535041</v>
      </c>
      <c r="N24" s="251">
        <f>Financials!L25/Financials!L6</f>
        <v>0.10918421796160051</v>
      </c>
      <c r="O24" s="251">
        <f>Financials!M25/Financials!M6</f>
        <v>0.10749510605344827</v>
      </c>
      <c r="P24" s="251">
        <f>Financials!N25/Financials!N6</f>
        <v>0.11358673563655383</v>
      </c>
      <c r="Q24" s="251">
        <f>Financials!O25/Financials!O6</f>
        <v>0.12103687138887342</v>
      </c>
      <c r="R24" s="251">
        <f>Financials!P25/Financials!P6</f>
        <v>0.11774216277320075</v>
      </c>
      <c r="S24" s="417">
        <f>Financials!Q25/Financials!Q6</f>
        <v>0.28549372241738397</v>
      </c>
      <c r="T24" s="417">
        <f>Financials!R25/Financials!R6</f>
        <v>0.12289911981414546</v>
      </c>
      <c r="U24" s="417">
        <f>Financials!S25/Financials!S6</f>
        <v>0.12321789668696165</v>
      </c>
      <c r="V24" s="417">
        <f>Financials!T25/Financials!T6</f>
        <v>0.11707013010955106</v>
      </c>
      <c r="W24" s="417">
        <f>Financials!U25/Financials!U6</f>
        <v>0.11732900593340953</v>
      </c>
      <c r="X24" s="417">
        <f>Financials!V25/Financials!V6</f>
        <v>0.13780872002988914</v>
      </c>
      <c r="Y24" s="417">
        <f>Financials!W25/Financials!W6</f>
        <v>0.13641929297515651</v>
      </c>
      <c r="Z24" s="417" t="e">
        <f>Financials!X25/Financials!X6</f>
        <v>#DIV/0!</v>
      </c>
      <c r="AA24" s="417">
        <f>Financials!Y25/Financials!Y6</f>
        <v>0.15851400158284215</v>
      </c>
      <c r="AB24" s="417">
        <f>Financials!Z25/Financials!Z6</f>
        <v>0.15633732960359278</v>
      </c>
      <c r="AC24" s="417">
        <f>Financials!AA25/Financials!AA6</f>
        <v>0.15588421385008056</v>
      </c>
      <c r="AD24" s="417">
        <f>Financials!AB25/Financials!AB6</f>
        <v>0.15485670775735333</v>
      </c>
      <c r="AE24" s="417">
        <f>Financials!AC25/Financials!AC6</f>
        <v>0.14618924665740188</v>
      </c>
      <c r="AF24" s="417">
        <f>Financials!AD25/Financials!AD6</f>
        <v>0.13179086544483781</v>
      </c>
      <c r="AG24" s="417">
        <f>Financials!AE25/Financials!AE6</f>
        <v>0.12806753981188659</v>
      </c>
      <c r="AH24" s="417">
        <f>Financials!AF25/Financials!AF6</f>
        <v>0.12007508577800952</v>
      </c>
      <c r="AI24" s="417">
        <f>Financials!AG25/Financials!AG6</f>
        <v>0.12553544253638843</v>
      </c>
      <c r="AJ24" s="417">
        <f>Financials!AH25/Financials!AH6</f>
        <v>0.13457416320253657</v>
      </c>
      <c r="AK24" s="417">
        <f>Financials!AI25/Financials!AI6</f>
        <v>0.13848828156834808</v>
      </c>
      <c r="AL24" s="417">
        <f>Financials!AJ25/Financials!AJ6</f>
        <v>0.13761753799898069</v>
      </c>
      <c r="AM24" s="417">
        <f>Financials!AK25/Financials!AK6</f>
        <v>0.15379693749710696</v>
      </c>
      <c r="AN24" s="417">
        <f>Financials!AL25/Financials!AL6</f>
        <v>0.15821433702843346</v>
      </c>
      <c r="AO24" s="417">
        <f>Financials!AM25/Financials!AM6</f>
        <v>0.15784572704623306</v>
      </c>
      <c r="AP24" s="417">
        <f>Financials!AN25/Financials!AN6</f>
        <v>0.15769430716704233</v>
      </c>
      <c r="AQ24" s="417">
        <f>Financials!AO25/Financials!AO6</f>
        <v>0.1571076367641728</v>
      </c>
      <c r="AR24" s="417">
        <f>Financials!AP25/Financials!AP6</f>
        <v>0.15695231949747249</v>
      </c>
      <c r="AS24" s="417">
        <f>Financials!AQ25/Financials!AQ6</f>
        <v>8.9515303429753112E-2</v>
      </c>
      <c r="AT24" s="417">
        <f>Financials!AR25/Financials!AR6</f>
        <v>0.15955713348137454</v>
      </c>
      <c r="AU24" s="417">
        <f>Financials!AS25/Financials!AS6</f>
        <v>0.15423408097787744</v>
      </c>
      <c r="AV24" s="417">
        <f>Financials!AT25/Financials!AT6</f>
        <v>0.15629511622921358</v>
      </c>
      <c r="AW24" s="417">
        <f>Financials!AU25/Financials!AU6</f>
        <v>0.16702361201530441</v>
      </c>
      <c r="AX24" s="417">
        <f>Financials!AV25/Financials!AV6</f>
        <v>0.19998424493724951</v>
      </c>
      <c r="AY24" s="417">
        <f>Financials!AW25/Financials!AW6</f>
        <v>0.19926962859764233</v>
      </c>
      <c r="AZ24" s="417">
        <f>Financials!AX25/Financials!AX6</f>
        <v>0.19667690694831372</v>
      </c>
      <c r="BA24" s="417">
        <f>Financials!AY25/Financials!AY6</f>
        <v>0.19828307618468355</v>
      </c>
      <c r="BB24" s="417">
        <f>Financials!AZ25/Financials!AZ6</f>
        <v>0.19744834456640059</v>
      </c>
      <c r="BC24" s="417">
        <f>Financials!BA25/Financials!BA6</f>
        <v>0.22574124495401887</v>
      </c>
      <c r="BD24" s="417">
        <f>Financials!BB25/Financials!BB6</f>
        <v>0.22398380166975063</v>
      </c>
      <c r="BE24" s="417">
        <f>Financials!BC25/Financials!BC6</f>
        <v>0.22181508392157243</v>
      </c>
      <c r="BF24" s="417">
        <f>Financials!BD25/Financials!BD6</f>
        <v>0.21886526922775001</v>
      </c>
      <c r="BG24" s="247"/>
    </row>
    <row r="25" spans="1:59" s="1" customFormat="1">
      <c r="A25" s="427"/>
      <c r="B25" s="425"/>
      <c r="C25" s="403" t="s">
        <v>93</v>
      </c>
      <c r="D25" s="403" t="s">
        <v>94</v>
      </c>
      <c r="E25" s="250">
        <f>Financials!C38/Financials!C5</f>
        <v>4.5089753958383175E-2</v>
      </c>
      <c r="F25" s="250">
        <f>Financials!D38/Financials!D5</f>
        <v>4.172546886354167E-2</v>
      </c>
      <c r="G25" s="250">
        <f>Financials!E38/Financials!E5</f>
        <v>5.9743996062647492E-2</v>
      </c>
      <c r="H25" s="250">
        <f>Financials!F38/Financials!F5</f>
        <v>5.0727610510154307E-2</v>
      </c>
      <c r="I25" s="250">
        <f>Financials!G38/Financials!G5</f>
        <v>5.0121236481387471E-2</v>
      </c>
      <c r="J25" s="250">
        <f>Financials!H38/Financials!H5</f>
        <v>4.878814329655607E-2</v>
      </c>
      <c r="K25" s="250">
        <f>Financials!I38/Financials!I5</f>
        <v>4.8289200039832419E-2</v>
      </c>
      <c r="L25" s="250">
        <f>Financials!J38/Financials!J5</f>
        <v>4.8193306679892953E-2</v>
      </c>
      <c r="M25" s="250">
        <f>Financials!K38/Financials!K5</f>
        <v>5.3723507429022745E-2</v>
      </c>
      <c r="N25" s="250">
        <f>Financials!L38/Financials!L5</f>
        <v>3.9880466572544244E-2</v>
      </c>
      <c r="O25" s="250">
        <f>Financials!M38/Financials!M5</f>
        <v>5.7860347899910916E-2</v>
      </c>
      <c r="P25" s="250">
        <f>Financials!N38/Financials!N5</f>
        <v>5.4849622590595282E-2</v>
      </c>
      <c r="Q25" s="250">
        <f>Financials!O38/Financials!O5</f>
        <v>3.8335385360235494E-2</v>
      </c>
      <c r="R25" s="250">
        <f>Financials!P38/Financials!P5</f>
        <v>4.3937754163324926E-2</v>
      </c>
      <c r="S25" s="414">
        <f>Financials!Q38/Financials!Q5</f>
        <v>4.3802667787117722E-2</v>
      </c>
      <c r="T25" s="414">
        <f>Financials!R38/Financials!R5</f>
        <v>4.8305272338985183E-2</v>
      </c>
      <c r="U25" s="414">
        <f>Financials!S38/Financials!S5</f>
        <v>4.3869206246193178E-2</v>
      </c>
      <c r="V25" s="414">
        <f>Financials!T38/Financials!T5</f>
        <v>4.9606561289147096E-2</v>
      </c>
      <c r="W25" s="414">
        <f>Financials!U38/Financials!U5</f>
        <v>5.5167165424581749E-2</v>
      </c>
      <c r="X25" s="414">
        <f>Financials!V38/Financials!V5</f>
        <v>4.758664867096439E-2</v>
      </c>
      <c r="Y25" s="414">
        <f>Financials!W38/Financials!W5</f>
        <v>3.243622924327464E-2</v>
      </c>
      <c r="Z25" s="414" t="e">
        <f>Financials!X38/Financials!X5</f>
        <v>#DIV/0!</v>
      </c>
      <c r="AA25" s="414">
        <f>Financials!Y38/Financials!Y5</f>
        <v>5.0187679694062258E-2</v>
      </c>
      <c r="AB25" s="414">
        <f>Financials!Z38/Financials!Z5</f>
        <v>4.9220595328962273E-2</v>
      </c>
      <c r="AC25" s="414">
        <f>Financials!AA38/Financials!AA5</f>
        <v>5.119354225013388E-2</v>
      </c>
      <c r="AD25" s="414">
        <f>Financials!AB38/Financials!AB5</f>
        <v>4.6021294322934059E-2</v>
      </c>
      <c r="AE25" s="414" t="e">
        <f>Financials!AC38/Financials!AC5</f>
        <v>#REF!</v>
      </c>
      <c r="AF25" s="414">
        <f>Financials!AD38/Financials!AD5</f>
        <v>5.4465825486036151E-2</v>
      </c>
      <c r="AG25" s="414">
        <f>Financials!AE38/Financials!AE5</f>
        <v>5.9781930962838362E-2</v>
      </c>
      <c r="AH25" s="414">
        <f>Financials!AF38/Financials!AF5</f>
        <v>5.0571267716233236E-2</v>
      </c>
      <c r="AI25" s="414">
        <f>Financials!AG38/Financials!AG5</f>
        <v>5.1577232097895706E-2</v>
      </c>
      <c r="AJ25" s="414">
        <f>Financials!AH38/Financials!AH5</f>
        <v>4.6874275123073808E-2</v>
      </c>
      <c r="AK25" s="414">
        <f>Financials!AI38/Financials!AI5</f>
        <v>4.6293818959206479E-2</v>
      </c>
      <c r="AL25" s="414">
        <f>Financials!AJ38/Financials!AJ5</f>
        <v>3.6428500788363488E-2</v>
      </c>
      <c r="AM25" s="414">
        <f>Financials!AK38/Financials!AK5</f>
        <v>3.0591498473117602E-2</v>
      </c>
      <c r="AN25" s="414">
        <f>Financials!AL38/Financials!AL5</f>
        <v>3.7133449876736925E-2</v>
      </c>
      <c r="AO25" s="414">
        <f>Financials!AM38/Financials!AM5</f>
        <v>2.8403400361576032E-2</v>
      </c>
      <c r="AP25" s="414">
        <f>Financials!AN38/Financials!AN5</f>
        <v>3.5713192963836335E-2</v>
      </c>
      <c r="AQ25" s="414">
        <f>Financials!AO38/Financials!AO5</f>
        <v>4.1377241119517627E-2</v>
      </c>
      <c r="AR25" s="414">
        <f>Financials!AP38/Financials!AP5</f>
        <v>5.0407171110408121E-2</v>
      </c>
      <c r="AS25" s="414">
        <f>Financials!AQ38/Financials!AQ5</f>
        <v>4.9710085551299535E-2</v>
      </c>
      <c r="AT25" s="414">
        <f>Financials!AR38/Financials!AR5</f>
        <v>4.3725204947012701E-2</v>
      </c>
      <c r="AU25" s="414">
        <f>Financials!AS38/Financials!AS5</f>
        <v>4.259680384086309E-2</v>
      </c>
      <c r="AV25" s="414">
        <f>Financials!AT38/Financials!AT5</f>
        <v>4.4323762473550347E-2</v>
      </c>
      <c r="AW25" s="414">
        <f>Financials!AU38/Financials!AU5</f>
        <v>3.8795560372414918E-2</v>
      </c>
      <c r="AX25" s="414">
        <f>Financials!AV38/Financials!AV5</f>
        <v>3.580987611565601E-2</v>
      </c>
      <c r="AY25" s="414">
        <f>Financials!AW38/Financials!AW5</f>
        <v>9.4557741300345319E-3</v>
      </c>
      <c r="AZ25" s="414">
        <f>Financials!AX38/Financials!AX5</f>
        <v>2.9858401766311948E-2</v>
      </c>
      <c r="BA25" s="414">
        <f>Financials!AY38/Financials!AY5</f>
        <v>3.1123439856645937E-2</v>
      </c>
      <c r="BB25" s="414">
        <f>Financials!AZ38/Financials!AZ5</f>
        <v>2.8992411524683737E-2</v>
      </c>
      <c r="BC25" s="414">
        <f>Financials!BA38/Financials!BA5</f>
        <v>3.0084404024165928E-2</v>
      </c>
      <c r="BD25" s="414">
        <f>Financials!BB38/Financials!BB5</f>
        <v>3.1612737934683707E-2</v>
      </c>
      <c r="BE25" s="414">
        <f>Financials!BC38/Financials!BC5</f>
        <v>3.8678059004009231E-2</v>
      </c>
      <c r="BF25" s="414">
        <f>Financials!BD38/Financials!BD5</f>
        <v>3.9741939048731502E-2</v>
      </c>
      <c r="BG25" s="247"/>
    </row>
    <row r="26" spans="1:59" s="1" customFormat="1">
      <c r="A26" s="428"/>
      <c r="B26" s="403"/>
      <c r="C26" s="403" t="s">
        <v>95</v>
      </c>
      <c r="D26" s="408"/>
      <c r="E26" s="252">
        <f>SFP!U14/SFP!U27</f>
        <v>0.8051906075158306</v>
      </c>
      <c r="F26" s="252">
        <f>SFP!V14/SFP!V27</f>
        <v>0.77284577600759274</v>
      </c>
      <c r="G26" s="252">
        <f>SFP!W14/SFP!W27</f>
        <v>0.75035437908435332</v>
      </c>
      <c r="H26" s="252">
        <f>SFP!X14/SFP!X27</f>
        <v>0.74810962203284459</v>
      </c>
      <c r="I26" s="252">
        <f>SFP!Y14/SFP!Y27</f>
        <v>0.73219858884796929</v>
      </c>
      <c r="J26" s="252">
        <f>SFP!Z14/SFP!Z27</f>
        <v>0.75662883390223945</v>
      </c>
      <c r="K26" s="252">
        <f>SFP!AA14/SFP!AA27</f>
        <v>0.74689132673771863</v>
      </c>
      <c r="L26" s="252">
        <f>SFP!AB14/SFP!AB27</f>
        <v>0.72993748291845284</v>
      </c>
      <c r="M26" s="252">
        <f>SFP!AC14/SFP!AC27</f>
        <v>0.7214475580346229</v>
      </c>
      <c r="N26" s="252">
        <f>SFP!AD14/SFP!AD27</f>
        <v>0.70636817416663789</v>
      </c>
      <c r="O26" s="252">
        <f>SFP!AE14/SFP!AE27</f>
        <v>0.68874623163986026</v>
      </c>
      <c r="P26" s="252">
        <f>SFP!AF14/SFP!AF27</f>
        <v>0.67999330120366608</v>
      </c>
      <c r="Q26" s="252">
        <f>SFP!AG14/SFP!AG27</f>
        <v>0.69344971857423987</v>
      </c>
      <c r="R26" s="252">
        <f>SFP!AH14/SFP!AH27</f>
        <v>0.67673274516189408</v>
      </c>
      <c r="S26" s="418">
        <f>SFP!AI14/SFP!AI27</f>
        <v>0.67142629665839715</v>
      </c>
      <c r="T26" s="418">
        <f>SFP!AJ14/SFP!AJ27</f>
        <v>0.66230449939261238</v>
      </c>
      <c r="U26" s="418">
        <f>SFP!AK14/SFP!AK27</f>
        <v>0.65410063860013012</v>
      </c>
      <c r="V26" s="418">
        <f>SFP!AL14/SFP!AL27</f>
        <v>0.65600819583899428</v>
      </c>
      <c r="W26" s="418">
        <f>SFP!AM14/SFP!AM27</f>
        <v>0.64221861064522834</v>
      </c>
      <c r="X26" s="418">
        <f>SFP!AN14/SFP!AN27</f>
        <v>0.64108903122218797</v>
      </c>
      <c r="Y26" s="418">
        <f>SFP!AO14/SFP!AO27</f>
        <v>0.62939332097232092</v>
      </c>
      <c r="Z26" s="418" t="e">
        <f>SFP!AP14/SFP!AP27</f>
        <v>#DIV/0!</v>
      </c>
      <c r="AA26" s="418">
        <f>SFP!AQ14/SFP!AQ27</f>
        <v>0.6234575650978299</v>
      </c>
      <c r="AB26" s="418">
        <f>SFP!AR14/SFP!AR27</f>
        <v>0.62239284725541766</v>
      </c>
      <c r="AC26" s="418">
        <f>SFP!AS14/SFP!AS27</f>
        <v>0.63096920903074372</v>
      </c>
      <c r="AD26" s="418">
        <f>SFP!AT14/SFP!AT27</f>
        <v>0.63255269083004162</v>
      </c>
      <c r="AE26" s="418">
        <f>SFP!AU14/SFP!AU27</f>
        <v>0.63652472488689871</v>
      </c>
      <c r="AF26" s="418">
        <f>SFP!AV14/SFP!AV27</f>
        <v>0.64248849747044556</v>
      </c>
      <c r="AG26" s="418">
        <f>SFP!AW14/SFP!AW27</f>
        <v>0.64314933880257452</v>
      </c>
      <c r="AH26" s="418">
        <f>SFP!AX14/SFP!AX27</f>
        <v>0.64817948393877656</v>
      </c>
      <c r="AI26" s="418">
        <f>SFP!AY14/SFP!AY27</f>
        <v>0.6651567945019885</v>
      </c>
      <c r="AJ26" s="418">
        <f>SFP!AZ14/SFP!AZ27</f>
        <v>0.66501392986200769</v>
      </c>
      <c r="AK26" s="418">
        <f>SFP!BA14/SFP!BA27</f>
        <v>0.66909639363056717</v>
      </c>
      <c r="AL26" s="418">
        <f>SFP!BB14/SFP!BB27</f>
        <v>0.66067232072370297</v>
      </c>
      <c r="AM26" s="418">
        <f>SFP!BC14/SFP!BC27</f>
        <v>0.64700916675071396</v>
      </c>
      <c r="AN26" s="418">
        <f>SFP!BD14/SFP!BD27</f>
        <v>0.65288534194257875</v>
      </c>
      <c r="AO26" s="418">
        <f>SFP!BE14/SFP!BE27</f>
        <v>0.65431313720084483</v>
      </c>
      <c r="AP26" s="418">
        <f>SFP!BF14/SFP!BF27</f>
        <v>0.65744274771555877</v>
      </c>
      <c r="AQ26" s="418">
        <f>SFP!BG14/SFP!BG27</f>
        <v>0.64446030080307837</v>
      </c>
      <c r="AR26" s="418">
        <f>SFP!BH14/SFP!BH27</f>
        <v>0.63630521426682118</v>
      </c>
      <c r="AS26" s="418">
        <f>SFP!BI14/SFP!BI27</f>
        <v>0.63700229979293177</v>
      </c>
      <c r="AT26" s="418">
        <f>SFP!BJ14/SFP!BJ27</f>
        <v>0.63281567699221497</v>
      </c>
      <c r="AU26" s="418">
        <f>SFP!BK14/SFP!BK27</f>
        <v>0.64247163545538311</v>
      </c>
      <c r="AV26" s="418">
        <f>SFP!BL14/SFP!BL27</f>
        <v>0.65357870478578894</v>
      </c>
      <c r="AW26" s="418">
        <f>SFP!BM14/SFP!BM27</f>
        <v>0.66838054454019913</v>
      </c>
      <c r="AX26" s="418">
        <f>SFP!BN14/SFP!BN27</f>
        <v>0.67234759991860515</v>
      </c>
      <c r="AY26" s="418">
        <f>SFP!BO14/SFP!BO27</f>
        <v>0.67188084458991348</v>
      </c>
      <c r="AZ26" s="418">
        <f>SFP!BP14/SFP!BP27</f>
        <v>0.6655788034926835</v>
      </c>
      <c r="BA26" s="418">
        <f>SFP!BQ14/SFP!BQ27</f>
        <v>0.67307797053551999</v>
      </c>
      <c r="BB26" s="418">
        <f>SFP!BR14/SFP!BR27</f>
        <v>0.68482596518017724</v>
      </c>
      <c r="BC26" s="418">
        <f>SFP!BS14/SFP!BS27</f>
        <v>0.6942189511607807</v>
      </c>
      <c r="BD26" s="418">
        <f>SFP!BT14/SFP!BT27</f>
        <v>0.69921051696513259</v>
      </c>
      <c r="BE26" s="418">
        <f>SFP!BU14/SFP!BU27</f>
        <v>0.7019150502129452</v>
      </c>
      <c r="BF26" s="418">
        <f>SFP!BV14/SFP!BV27</f>
        <v>0.70397292056257965</v>
      </c>
      <c r="BG26" s="247"/>
    </row>
    <row r="27" spans="1:59" s="1" customFormat="1">
      <c r="A27" s="247"/>
      <c r="B27" s="400"/>
      <c r="C27" s="400"/>
      <c r="D27" s="406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419"/>
      <c r="T27" s="419"/>
      <c r="U27" s="419"/>
      <c r="V27" s="419"/>
      <c r="W27" s="419"/>
      <c r="X27" s="419"/>
      <c r="Y27" s="419"/>
      <c r="Z27" s="419"/>
      <c r="AA27" s="419"/>
      <c r="AB27" s="419"/>
      <c r="AC27" s="419"/>
      <c r="AD27" s="419"/>
      <c r="AE27" s="419"/>
      <c r="AF27" s="419"/>
      <c r="AG27" s="419"/>
      <c r="AH27" s="419"/>
      <c r="AI27" s="419"/>
      <c r="AJ27" s="419"/>
      <c r="AK27" s="419"/>
      <c r="AL27" s="419"/>
      <c r="AM27" s="419"/>
      <c r="AN27" s="419"/>
      <c r="AO27" s="419"/>
      <c r="AP27" s="419"/>
      <c r="AQ27" s="419"/>
      <c r="AR27" s="419"/>
      <c r="AS27" s="419"/>
      <c r="AT27" s="419"/>
      <c r="AU27" s="419"/>
      <c r="AV27" s="419"/>
      <c r="AW27" s="419"/>
      <c r="AX27" s="419"/>
      <c r="AY27" s="419"/>
      <c r="AZ27" s="419"/>
      <c r="BA27" s="419"/>
      <c r="BB27" s="419"/>
      <c r="BC27" s="419"/>
      <c r="BD27" s="419"/>
      <c r="BE27" s="419"/>
      <c r="BF27" s="419"/>
      <c r="BG27" s="247"/>
    </row>
    <row r="28" spans="1:59" s="1" customFormat="1">
      <c r="A28" s="430" t="s">
        <v>96</v>
      </c>
      <c r="B28" s="425" t="s">
        <v>97</v>
      </c>
      <c r="C28" s="404" t="s">
        <v>65</v>
      </c>
      <c r="D28" s="407" t="s">
        <v>66</v>
      </c>
      <c r="E28" s="72">
        <f>IF(E4&gt;10,1,5)</f>
        <v>1</v>
      </c>
      <c r="F28" s="72">
        <f>IF(F4&gt;10,1,5)</f>
        <v>1</v>
      </c>
      <c r="G28" s="72">
        <f t="shared" ref="G28:M28" si="0">IF(G4&gt;10,1,5)</f>
        <v>1</v>
      </c>
      <c r="H28" s="72">
        <f t="shared" si="0"/>
        <v>1</v>
      </c>
      <c r="I28" s="72">
        <f t="shared" si="0"/>
        <v>1</v>
      </c>
      <c r="J28" s="72">
        <f t="shared" si="0"/>
        <v>1</v>
      </c>
      <c r="K28" s="72">
        <f t="shared" si="0"/>
        <v>1</v>
      </c>
      <c r="L28" s="72">
        <f t="shared" si="0"/>
        <v>1</v>
      </c>
      <c r="M28" s="72">
        <f t="shared" si="0"/>
        <v>1</v>
      </c>
      <c r="N28" s="72">
        <f t="shared" ref="N28:S28" si="1">IF(N4&gt;10,1,5)</f>
        <v>1</v>
      </c>
      <c r="O28" s="72">
        <f t="shared" si="1"/>
        <v>1</v>
      </c>
      <c r="P28" s="72">
        <f t="shared" si="1"/>
        <v>1</v>
      </c>
      <c r="Q28" s="72">
        <f t="shared" si="1"/>
        <v>1</v>
      </c>
      <c r="R28" s="72">
        <f t="shared" si="1"/>
        <v>1</v>
      </c>
      <c r="S28" s="415">
        <f t="shared" si="1"/>
        <v>1</v>
      </c>
      <c r="T28" s="415">
        <f t="shared" ref="T28:AF28" si="2">IF(T4&gt;10,1,5)</f>
        <v>1</v>
      </c>
      <c r="U28" s="415">
        <f t="shared" si="2"/>
        <v>1</v>
      </c>
      <c r="V28" s="415">
        <f t="shared" si="2"/>
        <v>1</v>
      </c>
      <c r="W28" s="415">
        <f t="shared" si="2"/>
        <v>1</v>
      </c>
      <c r="X28" s="415">
        <f t="shared" si="2"/>
        <v>1</v>
      </c>
      <c r="Y28" s="415">
        <f t="shared" si="2"/>
        <v>1</v>
      </c>
      <c r="Z28" s="415">
        <f t="shared" si="2"/>
        <v>5</v>
      </c>
      <c r="AA28" s="415">
        <f t="shared" si="2"/>
        <v>1</v>
      </c>
      <c r="AB28" s="415">
        <f t="shared" si="2"/>
        <v>1</v>
      </c>
      <c r="AC28" s="415">
        <f t="shared" si="2"/>
        <v>1</v>
      </c>
      <c r="AD28" s="415">
        <f t="shared" si="2"/>
        <v>1</v>
      </c>
      <c r="AE28" s="415">
        <f t="shared" si="2"/>
        <v>1</v>
      </c>
      <c r="AF28" s="415">
        <f t="shared" si="2"/>
        <v>5</v>
      </c>
      <c r="AG28" s="415">
        <f t="shared" ref="AG28:AS28" si="3">IF(AG4&gt;10,1,5)</f>
        <v>1</v>
      </c>
      <c r="AH28" s="415">
        <f t="shared" si="3"/>
        <v>1</v>
      </c>
      <c r="AI28" s="415">
        <f t="shared" si="3"/>
        <v>1</v>
      </c>
      <c r="AJ28" s="415">
        <f t="shared" si="3"/>
        <v>1</v>
      </c>
      <c r="AK28" s="415">
        <f t="shared" si="3"/>
        <v>1</v>
      </c>
      <c r="AL28" s="415">
        <f t="shared" si="3"/>
        <v>1</v>
      </c>
      <c r="AM28" s="415">
        <f t="shared" si="3"/>
        <v>1</v>
      </c>
      <c r="AN28" s="415">
        <f t="shared" si="3"/>
        <v>1</v>
      </c>
      <c r="AO28" s="415">
        <f t="shared" si="3"/>
        <v>1</v>
      </c>
      <c r="AP28" s="415">
        <f t="shared" si="3"/>
        <v>1</v>
      </c>
      <c r="AQ28" s="415">
        <f t="shared" si="3"/>
        <v>1</v>
      </c>
      <c r="AR28" s="415">
        <f t="shared" si="3"/>
        <v>1</v>
      </c>
      <c r="AS28" s="415">
        <f t="shared" si="3"/>
        <v>1</v>
      </c>
      <c r="AT28" s="415">
        <f t="shared" ref="AT28:AZ28" si="4">IF(AT4&gt;10,1,5)</f>
        <v>1</v>
      </c>
      <c r="AU28" s="415">
        <f t="shared" si="4"/>
        <v>1</v>
      </c>
      <c r="AV28" s="415">
        <f t="shared" si="4"/>
        <v>1</v>
      </c>
      <c r="AW28" s="415">
        <f t="shared" si="4"/>
        <v>1</v>
      </c>
      <c r="AX28" s="415">
        <f t="shared" si="4"/>
        <v>1</v>
      </c>
      <c r="AY28" s="415">
        <f t="shared" si="4"/>
        <v>1</v>
      </c>
      <c r="AZ28" s="415">
        <f t="shared" si="4"/>
        <v>1</v>
      </c>
      <c r="BA28" s="415">
        <f>IF(BA4&gt;10,1,5)</f>
        <v>1</v>
      </c>
      <c r="BB28" s="415">
        <f t="shared" ref="BB28:BF28" si="5">IF(BB4&gt;10,1,5)</f>
        <v>1</v>
      </c>
      <c r="BC28" s="415">
        <f t="shared" si="5"/>
        <v>1</v>
      </c>
      <c r="BD28" s="415">
        <f t="shared" si="5"/>
        <v>1</v>
      </c>
      <c r="BE28" s="415">
        <f t="shared" si="5"/>
        <v>1</v>
      </c>
      <c r="BF28" s="415">
        <f t="shared" si="5"/>
        <v>1</v>
      </c>
      <c r="BG28" s="247"/>
    </row>
    <row r="29" spans="1:59" s="1" customFormat="1">
      <c r="A29" s="430"/>
      <c r="B29" s="425"/>
      <c r="C29" s="402" t="s">
        <v>67</v>
      </c>
      <c r="D29" s="407" t="s">
        <v>68</v>
      </c>
      <c r="E29" s="72">
        <f>IF(E5&gt;20%,1,IF(E5&gt;15,2,IF(E5&gt;12,3,IF(E5&gt;10,4,5))))</f>
        <v>1</v>
      </c>
      <c r="F29" s="72">
        <f>IF(F5&gt;20%,1,IF(F5&gt;15,2,IF(F5&gt;12,3,IF(F5&gt;10,4,5))))</f>
        <v>1</v>
      </c>
      <c r="G29" s="72">
        <f t="shared" ref="G29:M29" si="6">IF(G5&gt;20%,1,IF(G5&gt;15,2,IF(G5&gt;12,3,IF(G5&gt;10,4,5))))</f>
        <v>1</v>
      </c>
      <c r="H29" s="72">
        <f t="shared" si="6"/>
        <v>1</v>
      </c>
      <c r="I29" s="72">
        <f t="shared" si="6"/>
        <v>1</v>
      </c>
      <c r="J29" s="72">
        <f t="shared" si="6"/>
        <v>1</v>
      </c>
      <c r="K29" s="72">
        <f t="shared" si="6"/>
        <v>1</v>
      </c>
      <c r="L29" s="72">
        <f t="shared" si="6"/>
        <v>1</v>
      </c>
      <c r="M29" s="72">
        <f t="shared" si="6"/>
        <v>1</v>
      </c>
      <c r="N29" s="72">
        <f t="shared" ref="N29:S29" si="7">IF(N5&gt;20%,1,IF(N5&gt;15,2,IF(N5&gt;12,3,IF(N5&gt;10,4,5))))</f>
        <v>1</v>
      </c>
      <c r="O29" s="72">
        <f t="shared" si="7"/>
        <v>1</v>
      </c>
      <c r="P29" s="72">
        <f t="shared" si="7"/>
        <v>1</v>
      </c>
      <c r="Q29" s="72">
        <f t="shared" si="7"/>
        <v>1</v>
      </c>
      <c r="R29" s="72">
        <f t="shared" si="7"/>
        <v>1</v>
      </c>
      <c r="S29" s="415">
        <f t="shared" si="7"/>
        <v>1</v>
      </c>
      <c r="T29" s="415">
        <f t="shared" ref="T29:AF29" si="8">IF(T5&gt;20%,1,IF(T5&gt;15,2,IF(T5&gt;12,3,IF(T5&gt;10,4,5))))</f>
        <v>1</v>
      </c>
      <c r="U29" s="415">
        <f t="shared" si="8"/>
        <v>1</v>
      </c>
      <c r="V29" s="415">
        <f t="shared" si="8"/>
        <v>1</v>
      </c>
      <c r="W29" s="415">
        <f t="shared" si="8"/>
        <v>1</v>
      </c>
      <c r="X29" s="415">
        <f t="shared" si="8"/>
        <v>1</v>
      </c>
      <c r="Y29" s="415">
        <f t="shared" si="8"/>
        <v>1</v>
      </c>
      <c r="Z29" s="415" t="e">
        <f t="shared" si="8"/>
        <v>#DIV/0!</v>
      </c>
      <c r="AA29" s="415">
        <f t="shared" si="8"/>
        <v>1</v>
      </c>
      <c r="AB29" s="415">
        <f t="shared" si="8"/>
        <v>1</v>
      </c>
      <c r="AC29" s="415">
        <f t="shared" si="8"/>
        <v>1</v>
      </c>
      <c r="AD29" s="415">
        <f t="shared" si="8"/>
        <v>1</v>
      </c>
      <c r="AE29" s="415">
        <f t="shared" si="8"/>
        <v>1</v>
      </c>
      <c r="AF29" s="415">
        <f t="shared" si="8"/>
        <v>1</v>
      </c>
      <c r="AG29" s="415">
        <f t="shared" ref="AG29:AS29" si="9">IF(AG5&gt;20%,1,IF(AG5&gt;15,2,IF(AG5&gt;12,3,IF(AG5&gt;10,4,5))))</f>
        <v>1</v>
      </c>
      <c r="AH29" s="415">
        <f t="shared" si="9"/>
        <v>1</v>
      </c>
      <c r="AI29" s="415">
        <f t="shared" si="9"/>
        <v>1</v>
      </c>
      <c r="AJ29" s="415">
        <f t="shared" si="9"/>
        <v>1</v>
      </c>
      <c r="AK29" s="415">
        <f t="shared" si="9"/>
        <v>1</v>
      </c>
      <c r="AL29" s="415">
        <f t="shared" si="9"/>
        <v>1</v>
      </c>
      <c r="AM29" s="415">
        <f t="shared" si="9"/>
        <v>1</v>
      </c>
      <c r="AN29" s="415">
        <f t="shared" si="9"/>
        <v>1</v>
      </c>
      <c r="AO29" s="415">
        <f t="shared" si="9"/>
        <v>1</v>
      </c>
      <c r="AP29" s="415">
        <f t="shared" si="9"/>
        <v>1</v>
      </c>
      <c r="AQ29" s="415">
        <f t="shared" si="9"/>
        <v>1</v>
      </c>
      <c r="AR29" s="415">
        <f t="shared" si="9"/>
        <v>1</v>
      </c>
      <c r="AS29" s="415">
        <f t="shared" si="9"/>
        <v>1</v>
      </c>
      <c r="AT29" s="415">
        <f t="shared" ref="AT29:AZ29" si="10">IF(AT5&gt;20%,1,IF(AT5&gt;15,2,IF(AT5&gt;12,3,IF(AT5&gt;10,4,5))))</f>
        <v>1</v>
      </c>
      <c r="AU29" s="415">
        <f t="shared" si="10"/>
        <v>1</v>
      </c>
      <c r="AV29" s="415">
        <f t="shared" si="10"/>
        <v>1</v>
      </c>
      <c r="AW29" s="415">
        <f t="shared" si="10"/>
        <v>1</v>
      </c>
      <c r="AX29" s="415">
        <f t="shared" si="10"/>
        <v>1</v>
      </c>
      <c r="AY29" s="415">
        <f t="shared" si="10"/>
        <v>1</v>
      </c>
      <c r="AZ29" s="415">
        <f t="shared" si="10"/>
        <v>1</v>
      </c>
      <c r="BA29" s="415">
        <f>IF(BA5&gt;20%,1,IF(BA5&gt;15,2,IF(BA5&gt;12,3,IF(BA5&gt;10,4,5))))</f>
        <v>1</v>
      </c>
      <c r="BB29" s="415">
        <f t="shared" ref="BB29:BF29" si="11">IF(BB5&gt;20%,1,IF(BB5&gt;15,2,IF(BB5&gt;12,3,IF(BB5&gt;10,4,5))))</f>
        <v>1</v>
      </c>
      <c r="BC29" s="415">
        <f t="shared" si="11"/>
        <v>1</v>
      </c>
      <c r="BD29" s="415">
        <f t="shared" si="11"/>
        <v>1</v>
      </c>
      <c r="BE29" s="415">
        <f t="shared" si="11"/>
        <v>1</v>
      </c>
      <c r="BF29" s="415">
        <f t="shared" si="11"/>
        <v>1</v>
      </c>
      <c r="BG29" s="247"/>
    </row>
    <row r="30" spans="1:59" s="1" customFormat="1">
      <c r="A30" s="430"/>
      <c r="B30" s="425"/>
      <c r="C30" s="402" t="s">
        <v>69</v>
      </c>
      <c r="D30" s="407" t="s">
        <v>70</v>
      </c>
      <c r="E30" s="72">
        <f>IF(E6&gt;15,1,IF(E6&gt;12,2,IF(E6&gt;10,3,IF(E6&gt;8,4,5))))</f>
        <v>5</v>
      </c>
      <c r="F30" s="72">
        <f>IF(F6&gt;15,1,IF(F6&gt;12,2,IF(F6&gt;10,3,IF(F6&gt;8,4,5))))</f>
        <v>5</v>
      </c>
      <c r="G30" s="72">
        <f t="shared" ref="G30:M30" si="12">IF(G6&gt;15,1,IF(G6&gt;12,2,IF(G6&gt;10,3,IF(G6&gt;8,4,5))))</f>
        <v>5</v>
      </c>
      <c r="H30" s="72">
        <f t="shared" si="12"/>
        <v>5</v>
      </c>
      <c r="I30" s="72">
        <f t="shared" si="12"/>
        <v>5</v>
      </c>
      <c r="J30" s="72">
        <f t="shared" si="12"/>
        <v>5</v>
      </c>
      <c r="K30" s="72">
        <f t="shared" si="12"/>
        <v>5</v>
      </c>
      <c r="L30" s="72">
        <f t="shared" si="12"/>
        <v>5</v>
      </c>
      <c r="M30" s="72">
        <f t="shared" si="12"/>
        <v>5</v>
      </c>
      <c r="N30" s="72">
        <f t="shared" ref="N30:S30" si="13">IF(N6&gt;15,1,IF(N6&gt;12,2,IF(N6&gt;10,3,IF(N6&gt;8,4,5))))</f>
        <v>5</v>
      </c>
      <c r="O30" s="72">
        <f t="shared" si="13"/>
        <v>5</v>
      </c>
      <c r="P30" s="72">
        <f t="shared" si="13"/>
        <v>5</v>
      </c>
      <c r="Q30" s="72">
        <f t="shared" si="13"/>
        <v>5</v>
      </c>
      <c r="R30" s="72">
        <f t="shared" si="13"/>
        <v>5</v>
      </c>
      <c r="S30" s="415">
        <f t="shared" si="13"/>
        <v>5</v>
      </c>
      <c r="T30" s="415">
        <f t="shared" ref="T30:AF30" si="14">IF(T6&gt;15,1,IF(T6&gt;12,2,IF(T6&gt;10,3,IF(T6&gt;8,4,5))))</f>
        <v>5</v>
      </c>
      <c r="U30" s="415">
        <f t="shared" si="14"/>
        <v>5</v>
      </c>
      <c r="V30" s="415">
        <f t="shared" si="14"/>
        <v>5</v>
      </c>
      <c r="W30" s="415">
        <f t="shared" si="14"/>
        <v>5</v>
      </c>
      <c r="X30" s="415">
        <f t="shared" si="14"/>
        <v>5</v>
      </c>
      <c r="Y30" s="415">
        <f t="shared" si="14"/>
        <v>5</v>
      </c>
      <c r="Z30" s="415" t="e">
        <f t="shared" si="14"/>
        <v>#DIV/0!</v>
      </c>
      <c r="AA30" s="415">
        <f t="shared" si="14"/>
        <v>5</v>
      </c>
      <c r="AB30" s="415">
        <f t="shared" si="14"/>
        <v>5</v>
      </c>
      <c r="AC30" s="415">
        <f t="shared" si="14"/>
        <v>5</v>
      </c>
      <c r="AD30" s="415">
        <f t="shared" si="14"/>
        <v>5</v>
      </c>
      <c r="AE30" s="415">
        <f t="shared" si="14"/>
        <v>5</v>
      </c>
      <c r="AF30" s="415">
        <f t="shared" si="14"/>
        <v>5</v>
      </c>
      <c r="AG30" s="415">
        <f t="shared" ref="AG30:AS30" si="15">IF(AG6&gt;15,1,IF(AG6&gt;12,2,IF(AG6&gt;10,3,IF(AG6&gt;8,4,5))))</f>
        <v>5</v>
      </c>
      <c r="AH30" s="415">
        <f t="shared" si="15"/>
        <v>5</v>
      </c>
      <c r="AI30" s="415">
        <f t="shared" si="15"/>
        <v>5</v>
      </c>
      <c r="AJ30" s="415">
        <f t="shared" si="15"/>
        <v>5</v>
      </c>
      <c r="AK30" s="415">
        <f t="shared" si="15"/>
        <v>5</v>
      </c>
      <c r="AL30" s="415">
        <f t="shared" si="15"/>
        <v>5</v>
      </c>
      <c r="AM30" s="415">
        <f t="shared" si="15"/>
        <v>5</v>
      </c>
      <c r="AN30" s="415">
        <f t="shared" si="15"/>
        <v>5</v>
      </c>
      <c r="AO30" s="415">
        <f t="shared" si="15"/>
        <v>5</v>
      </c>
      <c r="AP30" s="415">
        <f t="shared" si="15"/>
        <v>5</v>
      </c>
      <c r="AQ30" s="415">
        <f t="shared" si="15"/>
        <v>5</v>
      </c>
      <c r="AR30" s="415">
        <f t="shared" si="15"/>
        <v>5</v>
      </c>
      <c r="AS30" s="415">
        <f t="shared" si="15"/>
        <v>5</v>
      </c>
      <c r="AT30" s="415">
        <f t="shared" ref="AT30:AZ30" si="16">IF(AT6&gt;15,1,IF(AT6&gt;12,2,IF(AT6&gt;10,3,IF(AT6&gt;8,4,5))))</f>
        <v>5</v>
      </c>
      <c r="AU30" s="415">
        <f t="shared" si="16"/>
        <v>5</v>
      </c>
      <c r="AV30" s="415">
        <f t="shared" si="16"/>
        <v>5</v>
      </c>
      <c r="AW30" s="415">
        <f t="shared" si="16"/>
        <v>5</v>
      </c>
      <c r="AX30" s="415">
        <f t="shared" si="16"/>
        <v>5</v>
      </c>
      <c r="AY30" s="415">
        <f t="shared" si="16"/>
        <v>5</v>
      </c>
      <c r="AZ30" s="415">
        <f t="shared" si="16"/>
        <v>5</v>
      </c>
      <c r="BA30" s="415">
        <f>IF(BA6&gt;15,1,IF(BA6&gt;12,2,IF(BA6&gt;10,3,IF(BA6&gt;8,4,5))))</f>
        <v>5</v>
      </c>
      <c r="BB30" s="415">
        <f t="shared" ref="BB30:BF30" si="17">IF(BB6&gt;15,1,IF(BB6&gt;12,2,IF(BB6&gt;10,3,IF(BB6&gt;8,4,5))))</f>
        <v>5</v>
      </c>
      <c r="BC30" s="415">
        <f t="shared" si="17"/>
        <v>5</v>
      </c>
      <c r="BD30" s="415">
        <f t="shared" si="17"/>
        <v>5</v>
      </c>
      <c r="BE30" s="415">
        <f t="shared" si="17"/>
        <v>5</v>
      </c>
      <c r="BF30" s="415">
        <f t="shared" si="17"/>
        <v>5</v>
      </c>
      <c r="BG30" s="247"/>
    </row>
    <row r="31" spans="1:59" s="1" customFormat="1">
      <c r="A31" s="430"/>
      <c r="B31" s="425"/>
      <c r="C31" s="402" t="s">
        <v>71</v>
      </c>
      <c r="D31" s="407" t="s">
        <v>70</v>
      </c>
      <c r="E31" s="72">
        <f>IF(E7&gt;20%,1,IF(E7&gt;12%,2,IF(E7&gt;10%,3,IF(E7&gt;8%,4,5))))</f>
        <v>1</v>
      </c>
      <c r="F31" s="72">
        <f>IF(F7&gt;20%,1,IF(F7&gt;12%,2,IF(F7&gt;10%,3,IF(F7&gt;8%,4,5))))</f>
        <v>1</v>
      </c>
      <c r="G31" s="72">
        <f t="shared" ref="G31:M31" si="18">IF(G7&gt;20%,1,IF(G7&gt;12%,2,IF(G7&gt;10%,3,IF(G7&gt;8%,4,5))))</f>
        <v>1</v>
      </c>
      <c r="H31" s="72">
        <f t="shared" si="18"/>
        <v>1</v>
      </c>
      <c r="I31" s="72">
        <f t="shared" si="18"/>
        <v>1</v>
      </c>
      <c r="J31" s="72">
        <f t="shared" si="18"/>
        <v>1</v>
      </c>
      <c r="K31" s="72">
        <f t="shared" si="18"/>
        <v>1</v>
      </c>
      <c r="L31" s="72">
        <f t="shared" si="18"/>
        <v>1</v>
      </c>
      <c r="M31" s="72">
        <f t="shared" si="18"/>
        <v>1</v>
      </c>
      <c r="N31" s="72">
        <f t="shared" ref="N31:S31" si="19">IF(N7&gt;20%,1,IF(N7&gt;12%,2,IF(N7&gt;10%,3,IF(N7&gt;8%,4,5))))</f>
        <v>1</v>
      </c>
      <c r="O31" s="72">
        <f t="shared" si="19"/>
        <v>1</v>
      </c>
      <c r="P31" s="72">
        <f t="shared" si="19"/>
        <v>1</v>
      </c>
      <c r="Q31" s="72">
        <f t="shared" si="19"/>
        <v>1</v>
      </c>
      <c r="R31" s="72">
        <f t="shared" si="19"/>
        <v>1</v>
      </c>
      <c r="S31" s="415">
        <f t="shared" si="19"/>
        <v>1</v>
      </c>
      <c r="T31" s="415">
        <f t="shared" ref="T31:AF31" si="20">IF(T7&gt;20%,1,IF(T7&gt;12%,2,IF(T7&gt;10%,3,IF(T7&gt;8%,4,5))))</f>
        <v>1</v>
      </c>
      <c r="U31" s="415">
        <f t="shared" si="20"/>
        <v>1</v>
      </c>
      <c r="V31" s="415">
        <f t="shared" si="20"/>
        <v>1</v>
      </c>
      <c r="W31" s="415">
        <f t="shared" si="20"/>
        <v>1</v>
      </c>
      <c r="X31" s="415">
        <f t="shared" si="20"/>
        <v>1</v>
      </c>
      <c r="Y31" s="415">
        <f t="shared" si="20"/>
        <v>1</v>
      </c>
      <c r="Z31" s="415" t="e">
        <f t="shared" si="20"/>
        <v>#DIV/0!</v>
      </c>
      <c r="AA31" s="415">
        <f t="shared" si="20"/>
        <v>1</v>
      </c>
      <c r="AB31" s="415">
        <f t="shared" si="20"/>
        <v>1</v>
      </c>
      <c r="AC31" s="415">
        <f t="shared" si="20"/>
        <v>1</v>
      </c>
      <c r="AD31" s="415">
        <f t="shared" si="20"/>
        <v>1</v>
      </c>
      <c r="AE31" s="415">
        <f t="shared" si="20"/>
        <v>1</v>
      </c>
      <c r="AF31" s="415">
        <f t="shared" si="20"/>
        <v>1</v>
      </c>
      <c r="AG31" s="415">
        <f t="shared" ref="AG31:AS31" si="21">IF(AG7&gt;20%,1,IF(AG7&gt;12%,2,IF(AG7&gt;10%,3,IF(AG7&gt;8%,4,5))))</f>
        <v>1</v>
      </c>
      <c r="AH31" s="415">
        <f t="shared" si="21"/>
        <v>1</v>
      </c>
      <c r="AI31" s="415">
        <f t="shared" si="21"/>
        <v>1</v>
      </c>
      <c r="AJ31" s="415">
        <f t="shared" si="21"/>
        <v>1</v>
      </c>
      <c r="AK31" s="415">
        <f t="shared" si="21"/>
        <v>1</v>
      </c>
      <c r="AL31" s="415">
        <f t="shared" si="21"/>
        <v>1</v>
      </c>
      <c r="AM31" s="415">
        <f t="shared" si="21"/>
        <v>1</v>
      </c>
      <c r="AN31" s="415">
        <f t="shared" si="21"/>
        <v>1</v>
      </c>
      <c r="AO31" s="415">
        <f t="shared" si="21"/>
        <v>1</v>
      </c>
      <c r="AP31" s="415">
        <f t="shared" si="21"/>
        <v>1</v>
      </c>
      <c r="AQ31" s="415">
        <f t="shared" si="21"/>
        <v>1</v>
      </c>
      <c r="AR31" s="415">
        <f t="shared" si="21"/>
        <v>1</v>
      </c>
      <c r="AS31" s="415">
        <f t="shared" si="21"/>
        <v>1</v>
      </c>
      <c r="AT31" s="415">
        <f t="shared" ref="AT31:AZ31" si="22">IF(AT7&gt;20%,1,IF(AT7&gt;12%,2,IF(AT7&gt;10%,3,IF(AT7&gt;8%,4,5))))</f>
        <v>1</v>
      </c>
      <c r="AU31" s="415">
        <f t="shared" si="22"/>
        <v>1</v>
      </c>
      <c r="AV31" s="415">
        <f t="shared" si="22"/>
        <v>1</v>
      </c>
      <c r="AW31" s="415">
        <f t="shared" si="22"/>
        <v>1</v>
      </c>
      <c r="AX31" s="415">
        <f t="shared" si="22"/>
        <v>1</v>
      </c>
      <c r="AY31" s="415">
        <f t="shared" si="22"/>
        <v>1</v>
      </c>
      <c r="AZ31" s="415">
        <f t="shared" si="22"/>
        <v>1</v>
      </c>
      <c r="BA31" s="415">
        <f>IF(BA7&gt;20%,1,IF(BA7&gt;12%,2,IF(BA7&gt;10%,3,IF(BA7&gt;8%,4,5))))</f>
        <v>1</v>
      </c>
      <c r="BB31" s="415">
        <f t="shared" ref="BB31:BF31" si="23">IF(BB7&gt;20%,1,IF(BB7&gt;12%,2,IF(BB7&gt;10%,3,IF(BB7&gt;8%,4,5))))</f>
        <v>1</v>
      </c>
      <c r="BC31" s="415">
        <f t="shared" si="23"/>
        <v>1</v>
      </c>
      <c r="BD31" s="415">
        <f t="shared" si="23"/>
        <v>1</v>
      </c>
      <c r="BE31" s="415">
        <f t="shared" si="23"/>
        <v>1</v>
      </c>
      <c r="BF31" s="415">
        <f t="shared" si="23"/>
        <v>1</v>
      </c>
      <c r="BG31" s="247"/>
    </row>
    <row r="32" spans="1:59" s="1" customFormat="1">
      <c r="A32" s="430"/>
      <c r="B32" s="425"/>
      <c r="C32" s="402" t="s">
        <v>72</v>
      </c>
      <c r="D32" s="407"/>
      <c r="E32" s="72">
        <f>IF(E8&gt;20%,1,IF(E8&gt;15%,2,IF(E8&gt;12%,3,IF(E8&gt;10%,4,5))))</f>
        <v>1</v>
      </c>
      <c r="F32" s="72">
        <f>IF(F8&gt;20%,1,IF(F8&gt;15%,2,IF(F8&gt;12%,3,IF(F8&gt;10%,4,5))))</f>
        <v>1</v>
      </c>
      <c r="G32" s="72">
        <f t="shared" ref="G32:M32" si="24">IF(G8&gt;20%,1,IF(G8&gt;15%,2,IF(G8&gt;12%,3,IF(G8&gt;10%,4,5))))</f>
        <v>1</v>
      </c>
      <c r="H32" s="72">
        <f t="shared" si="24"/>
        <v>1</v>
      </c>
      <c r="I32" s="72">
        <f t="shared" si="24"/>
        <v>1</v>
      </c>
      <c r="J32" s="72">
        <f t="shared" si="24"/>
        <v>1</v>
      </c>
      <c r="K32" s="72">
        <f t="shared" si="24"/>
        <v>1</v>
      </c>
      <c r="L32" s="72">
        <f t="shared" si="24"/>
        <v>1</v>
      </c>
      <c r="M32" s="72">
        <f t="shared" si="24"/>
        <v>1</v>
      </c>
      <c r="N32" s="72">
        <f t="shared" ref="N32:S32" si="25">IF(N8&gt;20%,1,IF(N8&gt;15%,2,IF(N8&gt;12%,3,IF(N8&gt;10%,4,5))))</f>
        <v>1</v>
      </c>
      <c r="O32" s="72">
        <f t="shared" si="25"/>
        <v>1</v>
      </c>
      <c r="P32" s="72">
        <f t="shared" si="25"/>
        <v>1</v>
      </c>
      <c r="Q32" s="72">
        <f t="shared" si="25"/>
        <v>1</v>
      </c>
      <c r="R32" s="72">
        <f t="shared" si="25"/>
        <v>1</v>
      </c>
      <c r="S32" s="415">
        <f t="shared" si="25"/>
        <v>1</v>
      </c>
      <c r="T32" s="415">
        <f t="shared" ref="T32:AF32" si="26">IF(T8&gt;20%,1,IF(T8&gt;15%,2,IF(T8&gt;12%,3,IF(T8&gt;10%,4,5))))</f>
        <v>1</v>
      </c>
      <c r="U32" s="415">
        <f t="shared" si="26"/>
        <v>1</v>
      </c>
      <c r="V32" s="415">
        <f t="shared" si="26"/>
        <v>1</v>
      </c>
      <c r="W32" s="415">
        <f t="shared" si="26"/>
        <v>1</v>
      </c>
      <c r="X32" s="415">
        <f t="shared" si="26"/>
        <v>1</v>
      </c>
      <c r="Y32" s="415">
        <f t="shared" si="26"/>
        <v>1</v>
      </c>
      <c r="Z32" s="415" t="e">
        <f t="shared" si="26"/>
        <v>#DIV/0!</v>
      </c>
      <c r="AA32" s="415">
        <f t="shared" si="26"/>
        <v>1</v>
      </c>
      <c r="AB32" s="415">
        <f t="shared" si="26"/>
        <v>1</v>
      </c>
      <c r="AC32" s="415">
        <f t="shared" si="26"/>
        <v>1</v>
      </c>
      <c r="AD32" s="415">
        <f t="shared" si="26"/>
        <v>1</v>
      </c>
      <c r="AE32" s="415">
        <f t="shared" si="26"/>
        <v>1</v>
      </c>
      <c r="AF32" s="415">
        <f t="shared" si="26"/>
        <v>1</v>
      </c>
      <c r="AG32" s="415">
        <f t="shared" ref="AG32:AS32" si="27">IF(AG8&gt;20%,1,IF(AG8&gt;15%,2,IF(AG8&gt;12%,3,IF(AG8&gt;10%,4,5))))</f>
        <v>1</v>
      </c>
      <c r="AH32" s="415">
        <f t="shared" si="27"/>
        <v>1</v>
      </c>
      <c r="AI32" s="415">
        <f t="shared" si="27"/>
        <v>1</v>
      </c>
      <c r="AJ32" s="415">
        <f t="shared" si="27"/>
        <v>1</v>
      </c>
      <c r="AK32" s="415">
        <f t="shared" si="27"/>
        <v>1</v>
      </c>
      <c r="AL32" s="415">
        <f t="shared" si="27"/>
        <v>1</v>
      </c>
      <c r="AM32" s="415">
        <f t="shared" si="27"/>
        <v>1</v>
      </c>
      <c r="AN32" s="415">
        <f t="shared" si="27"/>
        <v>1</v>
      </c>
      <c r="AO32" s="415">
        <f t="shared" si="27"/>
        <v>1</v>
      </c>
      <c r="AP32" s="415">
        <f t="shared" si="27"/>
        <v>1</v>
      </c>
      <c r="AQ32" s="415">
        <f t="shared" si="27"/>
        <v>1</v>
      </c>
      <c r="AR32" s="415">
        <f t="shared" si="27"/>
        <v>1</v>
      </c>
      <c r="AS32" s="415">
        <f t="shared" si="27"/>
        <v>1</v>
      </c>
      <c r="AT32" s="415">
        <f t="shared" ref="AT32:AZ32" si="28">IF(AT8&gt;20%,1,IF(AT8&gt;15%,2,IF(AT8&gt;12%,3,IF(AT8&gt;10%,4,5))))</f>
        <v>1</v>
      </c>
      <c r="AU32" s="415">
        <f t="shared" si="28"/>
        <v>1</v>
      </c>
      <c r="AV32" s="415">
        <f t="shared" si="28"/>
        <v>1</v>
      </c>
      <c r="AW32" s="415">
        <f t="shared" si="28"/>
        <v>1</v>
      </c>
      <c r="AX32" s="415">
        <f t="shared" si="28"/>
        <v>1</v>
      </c>
      <c r="AY32" s="415">
        <f t="shared" si="28"/>
        <v>1</v>
      </c>
      <c r="AZ32" s="415">
        <f t="shared" si="28"/>
        <v>1</v>
      </c>
      <c r="BA32" s="415">
        <f>IF(BA8&gt;20%,1,IF(BA8&gt;15%,2,IF(BA8&gt;12%,3,IF(BA8&gt;10%,4,5))))</f>
        <v>1</v>
      </c>
      <c r="BB32" s="415">
        <f t="shared" ref="BB32:BF32" si="29">IF(BB8&gt;20%,1,IF(BB8&gt;15%,2,IF(BB8&gt;12%,3,IF(BB8&gt;10%,4,5))))</f>
        <v>1</v>
      </c>
      <c r="BC32" s="415">
        <f t="shared" si="29"/>
        <v>1</v>
      </c>
      <c r="BD32" s="415">
        <f t="shared" si="29"/>
        <v>1</v>
      </c>
      <c r="BE32" s="415">
        <f t="shared" si="29"/>
        <v>1</v>
      </c>
      <c r="BF32" s="415">
        <f t="shared" si="29"/>
        <v>1</v>
      </c>
      <c r="BG32" s="247"/>
    </row>
    <row r="33" spans="1:59" s="1" customFormat="1">
      <c r="A33" s="430"/>
      <c r="B33" s="403"/>
      <c r="C33" s="403"/>
      <c r="D33" s="407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415"/>
      <c r="T33" s="415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415"/>
      <c r="AF33" s="415"/>
      <c r="AG33" s="415"/>
      <c r="AH33" s="415"/>
      <c r="AI33" s="415"/>
      <c r="AJ33" s="415"/>
      <c r="AK33" s="415"/>
      <c r="AL33" s="415"/>
      <c r="AM33" s="415"/>
      <c r="AN33" s="415"/>
      <c r="AO33" s="415"/>
      <c r="AP33" s="415"/>
      <c r="AQ33" s="415"/>
      <c r="AR33" s="415"/>
      <c r="AS33" s="415"/>
      <c r="AT33" s="415"/>
      <c r="AU33" s="415"/>
      <c r="AV33" s="415"/>
      <c r="AW33" s="415"/>
      <c r="AX33" s="415"/>
      <c r="AY33" s="415"/>
      <c r="AZ33" s="415"/>
      <c r="BA33" s="415"/>
      <c r="BB33" s="415"/>
      <c r="BC33" s="415"/>
      <c r="BD33" s="415"/>
      <c r="BE33" s="415"/>
      <c r="BF33" s="415"/>
      <c r="BG33" s="247"/>
    </row>
    <row r="34" spans="1:59" s="1" customFormat="1">
      <c r="A34" s="430"/>
      <c r="B34" s="425" t="s">
        <v>73</v>
      </c>
      <c r="C34" s="403" t="s">
        <v>74</v>
      </c>
      <c r="D34" s="407"/>
      <c r="E34" s="72">
        <f>IF(E10&lt;4,1,IF(E10&lt;8,2,IF(E10&lt;12,3,IF(E10&lt;15,4,5))))</f>
        <v>1</v>
      </c>
      <c r="F34" s="72">
        <f>IF(F10&lt;4,1,IF(F10&lt;8,2,IF(F10&lt;12,3,IF(F10&lt;15,4,5))))</f>
        <v>1</v>
      </c>
      <c r="G34" s="72">
        <f t="shared" ref="G34:M34" si="30">IF(G10&lt;4,1,IF(G10&lt;8,2,IF(G10&lt;12,3,IF(G10&lt;15,4,5))))</f>
        <v>1</v>
      </c>
      <c r="H34" s="72">
        <f t="shared" si="30"/>
        <v>1</v>
      </c>
      <c r="I34" s="72">
        <f t="shared" si="30"/>
        <v>1</v>
      </c>
      <c r="J34" s="72">
        <f t="shared" si="30"/>
        <v>1</v>
      </c>
      <c r="K34" s="72">
        <f t="shared" si="30"/>
        <v>1</v>
      </c>
      <c r="L34" s="72">
        <f t="shared" si="30"/>
        <v>1</v>
      </c>
      <c r="M34" s="72">
        <f t="shared" si="30"/>
        <v>1</v>
      </c>
      <c r="N34" s="72">
        <f t="shared" ref="N34:S34" si="31">IF(N10&lt;4,1,IF(N10&lt;8,2,IF(N10&lt;12,3,IF(N10&lt;15,4,5))))</f>
        <v>1</v>
      </c>
      <c r="O34" s="72">
        <f t="shared" si="31"/>
        <v>1</v>
      </c>
      <c r="P34" s="72">
        <f t="shared" si="31"/>
        <v>1</v>
      </c>
      <c r="Q34" s="72">
        <f t="shared" si="31"/>
        <v>1</v>
      </c>
      <c r="R34" s="72">
        <f t="shared" si="31"/>
        <v>1</v>
      </c>
      <c r="S34" s="415">
        <f t="shared" si="31"/>
        <v>1</v>
      </c>
      <c r="T34" s="415">
        <f t="shared" ref="T34:AF34" si="32">IF(T10&lt;4,1,IF(T10&lt;8,2,IF(T10&lt;12,3,IF(T10&lt;15,4,5))))</f>
        <v>1</v>
      </c>
      <c r="U34" s="415">
        <f t="shared" si="32"/>
        <v>1</v>
      </c>
      <c r="V34" s="415">
        <f t="shared" si="32"/>
        <v>1</v>
      </c>
      <c r="W34" s="415">
        <f t="shared" si="32"/>
        <v>1</v>
      </c>
      <c r="X34" s="415">
        <f t="shared" si="32"/>
        <v>1</v>
      </c>
      <c r="Y34" s="415">
        <f t="shared" si="32"/>
        <v>1</v>
      </c>
      <c r="Z34" s="415">
        <f t="shared" si="32"/>
        <v>1</v>
      </c>
      <c r="AA34" s="415">
        <f t="shared" si="32"/>
        <v>1</v>
      </c>
      <c r="AB34" s="415">
        <f t="shared" si="32"/>
        <v>1</v>
      </c>
      <c r="AC34" s="415">
        <f t="shared" si="32"/>
        <v>1</v>
      </c>
      <c r="AD34" s="415">
        <f t="shared" si="32"/>
        <v>1</v>
      </c>
      <c r="AE34" s="415">
        <f t="shared" si="32"/>
        <v>1</v>
      </c>
      <c r="AF34" s="415">
        <f t="shared" si="32"/>
        <v>1</v>
      </c>
      <c r="AG34" s="415">
        <f t="shared" ref="AG34:AS34" si="33">IF(AG10&lt;4,1,IF(AG10&lt;8,2,IF(AG10&lt;12,3,IF(AG10&lt;15,4,5))))</f>
        <v>1</v>
      </c>
      <c r="AH34" s="415">
        <f t="shared" si="33"/>
        <v>1</v>
      </c>
      <c r="AI34" s="415">
        <f t="shared" si="33"/>
        <v>1</v>
      </c>
      <c r="AJ34" s="415">
        <f t="shared" si="33"/>
        <v>1</v>
      </c>
      <c r="AK34" s="415">
        <f t="shared" si="33"/>
        <v>1</v>
      </c>
      <c r="AL34" s="415">
        <f t="shared" si="33"/>
        <v>1</v>
      </c>
      <c r="AM34" s="415">
        <f t="shared" si="33"/>
        <v>1</v>
      </c>
      <c r="AN34" s="415">
        <f t="shared" si="33"/>
        <v>1</v>
      </c>
      <c r="AO34" s="415">
        <f t="shared" si="33"/>
        <v>1</v>
      </c>
      <c r="AP34" s="415">
        <f t="shared" si="33"/>
        <v>1</v>
      </c>
      <c r="AQ34" s="415">
        <f t="shared" si="33"/>
        <v>1</v>
      </c>
      <c r="AR34" s="415">
        <f t="shared" si="33"/>
        <v>1</v>
      </c>
      <c r="AS34" s="415">
        <f t="shared" si="33"/>
        <v>1</v>
      </c>
      <c r="AT34" s="415">
        <f t="shared" ref="AT34:AZ34" si="34">IF(AT10&lt;4,1,IF(AT10&lt;8,2,IF(AT10&lt;12,3,IF(AT10&lt;15,4,5))))</f>
        <v>1</v>
      </c>
      <c r="AU34" s="415">
        <f t="shared" si="34"/>
        <v>1</v>
      </c>
      <c r="AV34" s="415">
        <f t="shared" si="34"/>
        <v>1</v>
      </c>
      <c r="AW34" s="415">
        <f t="shared" si="34"/>
        <v>1</v>
      </c>
      <c r="AX34" s="415">
        <f t="shared" si="34"/>
        <v>1</v>
      </c>
      <c r="AY34" s="415">
        <f t="shared" si="34"/>
        <v>1</v>
      </c>
      <c r="AZ34" s="415">
        <f t="shared" si="34"/>
        <v>1</v>
      </c>
      <c r="BA34" s="415">
        <f>IF(BA10&lt;4,1,IF(BA10&lt;8,2,IF(BA10&lt;12,3,IF(BA10&lt;15,4,5))))</f>
        <v>1</v>
      </c>
      <c r="BB34" s="415">
        <f t="shared" ref="BB34:BF34" si="35">IF(BB10&lt;4,1,IF(BB10&lt;8,2,IF(BB10&lt;12,3,IF(BB10&lt;15,4,5))))</f>
        <v>1</v>
      </c>
      <c r="BC34" s="415">
        <f t="shared" si="35"/>
        <v>1</v>
      </c>
      <c r="BD34" s="415">
        <f t="shared" si="35"/>
        <v>1</v>
      </c>
      <c r="BE34" s="415">
        <f t="shared" si="35"/>
        <v>1</v>
      </c>
      <c r="BF34" s="415">
        <f t="shared" si="35"/>
        <v>1</v>
      </c>
      <c r="BG34" s="247"/>
    </row>
    <row r="35" spans="1:59" s="1" customFormat="1">
      <c r="A35" s="430"/>
      <c r="B35" s="425"/>
      <c r="C35" s="403" t="s">
        <v>75</v>
      </c>
      <c r="D35" s="407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415"/>
      <c r="T35" s="415"/>
      <c r="U35" s="415"/>
      <c r="V35" s="415"/>
      <c r="W35" s="415"/>
      <c r="X35" s="415"/>
      <c r="Y35" s="415"/>
      <c r="Z35" s="415"/>
      <c r="AA35" s="415"/>
      <c r="AB35" s="415"/>
      <c r="AC35" s="415"/>
      <c r="AD35" s="415"/>
      <c r="AE35" s="415"/>
      <c r="AF35" s="415"/>
      <c r="AG35" s="415"/>
      <c r="AH35" s="415"/>
      <c r="AI35" s="415"/>
      <c r="AJ35" s="415"/>
      <c r="AK35" s="415"/>
      <c r="AL35" s="415"/>
      <c r="AM35" s="415"/>
      <c r="AN35" s="415"/>
      <c r="AO35" s="415"/>
      <c r="AP35" s="415"/>
      <c r="AQ35" s="415"/>
      <c r="AR35" s="415"/>
      <c r="AS35" s="415"/>
      <c r="AT35" s="415"/>
      <c r="AU35" s="415"/>
      <c r="AV35" s="415"/>
      <c r="AW35" s="415"/>
      <c r="AX35" s="415"/>
      <c r="AY35" s="415"/>
      <c r="AZ35" s="415"/>
      <c r="BA35" s="415"/>
      <c r="BB35" s="415"/>
      <c r="BC35" s="415"/>
      <c r="BD35" s="415"/>
      <c r="BE35" s="415"/>
      <c r="BF35" s="415"/>
      <c r="BG35" s="247"/>
    </row>
    <row r="36" spans="1:59" s="1" customFormat="1">
      <c r="A36" s="430"/>
      <c r="B36" s="403"/>
      <c r="C36" s="403"/>
      <c r="D36" s="407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415"/>
      <c r="T36" s="415"/>
      <c r="U36" s="415"/>
      <c r="V36" s="415"/>
      <c r="W36" s="415"/>
      <c r="X36" s="415"/>
      <c r="Y36" s="415"/>
      <c r="Z36" s="415"/>
      <c r="AA36" s="415"/>
      <c r="AB36" s="415"/>
      <c r="AC36" s="415"/>
      <c r="AD36" s="415"/>
      <c r="AE36" s="415"/>
      <c r="AF36" s="415"/>
      <c r="AG36" s="415"/>
      <c r="AH36" s="415"/>
      <c r="AI36" s="415"/>
      <c r="AJ36" s="415"/>
      <c r="AK36" s="415"/>
      <c r="AL36" s="415"/>
      <c r="AM36" s="415"/>
      <c r="AN36" s="415"/>
      <c r="AO36" s="415"/>
      <c r="AP36" s="415"/>
      <c r="AQ36" s="415"/>
      <c r="AR36" s="415"/>
      <c r="AS36" s="415"/>
      <c r="AT36" s="415"/>
      <c r="AU36" s="415"/>
      <c r="AV36" s="415"/>
      <c r="AW36" s="415"/>
      <c r="AX36" s="415"/>
      <c r="AY36" s="415"/>
      <c r="AZ36" s="415"/>
      <c r="BA36" s="415"/>
      <c r="BB36" s="415"/>
      <c r="BC36" s="415"/>
      <c r="BD36" s="415"/>
      <c r="BE36" s="415"/>
      <c r="BF36" s="415"/>
      <c r="BG36" s="247"/>
    </row>
    <row r="37" spans="1:59" s="1" customFormat="1">
      <c r="A37" s="430"/>
      <c r="B37" s="425" t="s">
        <v>76</v>
      </c>
      <c r="C37" s="403" t="s">
        <v>77</v>
      </c>
      <c r="D37" s="407"/>
      <c r="E37" s="72">
        <f>IF(E17&gt;6,1,IF(E17&gt;4,2,IF(E17&gt;2,3,IF(E17&gt;0,4,5))))</f>
        <v>4</v>
      </c>
      <c r="F37" s="72">
        <f>IF(F17&gt;6,1,IF(F17&gt;4,2,IF(F17&gt;2,3,IF(F17&gt;0,4,5))))</f>
        <v>4</v>
      </c>
      <c r="G37" s="72">
        <f t="shared" ref="G37:M37" si="36">IF(G17&gt;6,1,IF(G17&gt;4,2,IF(G17&gt;2,3,IF(G17&gt;0,4,5))))</f>
        <v>4</v>
      </c>
      <c r="H37" s="72">
        <f t="shared" si="36"/>
        <v>4</v>
      </c>
      <c r="I37" s="72">
        <f t="shared" si="36"/>
        <v>4</v>
      </c>
      <c r="J37" s="72">
        <f t="shared" si="36"/>
        <v>4</v>
      </c>
      <c r="K37" s="72">
        <f t="shared" si="36"/>
        <v>4</v>
      </c>
      <c r="L37" s="72">
        <f t="shared" si="36"/>
        <v>4</v>
      </c>
      <c r="M37" s="72">
        <f t="shared" si="36"/>
        <v>4</v>
      </c>
      <c r="N37" s="72">
        <f t="shared" ref="N37:S37" si="37">IF(N17&gt;6,1,IF(N17&gt;4,2,IF(N17&gt;2,3,IF(N17&gt;0,4,5))))</f>
        <v>4</v>
      </c>
      <c r="O37" s="72">
        <f t="shared" si="37"/>
        <v>4</v>
      </c>
      <c r="P37" s="72">
        <f t="shared" si="37"/>
        <v>4</v>
      </c>
      <c r="Q37" s="72">
        <f t="shared" si="37"/>
        <v>4</v>
      </c>
      <c r="R37" s="72">
        <f t="shared" si="37"/>
        <v>4</v>
      </c>
      <c r="S37" s="415">
        <f t="shared" si="37"/>
        <v>4</v>
      </c>
      <c r="T37" s="415">
        <f t="shared" ref="T37:AF37" si="38">IF(T17&gt;6,1,IF(T17&gt;4,2,IF(T17&gt;2,3,IF(T17&gt;0,4,5))))</f>
        <v>4</v>
      </c>
      <c r="U37" s="415">
        <f t="shared" si="38"/>
        <v>4</v>
      </c>
      <c r="V37" s="415">
        <f t="shared" si="38"/>
        <v>4</v>
      </c>
      <c r="W37" s="415">
        <f t="shared" si="38"/>
        <v>4</v>
      </c>
      <c r="X37" s="415">
        <f t="shared" si="38"/>
        <v>4</v>
      </c>
      <c r="Y37" s="415">
        <f t="shared" si="38"/>
        <v>4</v>
      </c>
      <c r="Z37" s="415" t="e">
        <f t="shared" si="38"/>
        <v>#DIV/0!</v>
      </c>
      <c r="AA37" s="415">
        <f t="shared" si="38"/>
        <v>4</v>
      </c>
      <c r="AB37" s="415">
        <f t="shared" si="38"/>
        <v>4</v>
      </c>
      <c r="AC37" s="415">
        <f t="shared" si="38"/>
        <v>4</v>
      </c>
      <c r="AD37" s="415">
        <f t="shared" si="38"/>
        <v>4</v>
      </c>
      <c r="AE37" s="415">
        <f t="shared" si="38"/>
        <v>4</v>
      </c>
      <c r="AF37" s="415">
        <f t="shared" si="38"/>
        <v>4</v>
      </c>
      <c r="AG37" s="415">
        <f t="shared" ref="AG37:AS37" si="39">IF(AG17&gt;6,1,IF(AG17&gt;4,2,IF(AG17&gt;2,3,IF(AG17&gt;0,4,5))))</f>
        <v>4</v>
      </c>
      <c r="AH37" s="415">
        <f t="shared" si="39"/>
        <v>4</v>
      </c>
      <c r="AI37" s="415">
        <f t="shared" si="39"/>
        <v>4</v>
      </c>
      <c r="AJ37" s="415">
        <f t="shared" si="39"/>
        <v>4</v>
      </c>
      <c r="AK37" s="415">
        <f t="shared" si="39"/>
        <v>4</v>
      </c>
      <c r="AL37" s="415">
        <f t="shared" si="39"/>
        <v>4</v>
      </c>
      <c r="AM37" s="415">
        <f t="shared" si="39"/>
        <v>4</v>
      </c>
      <c r="AN37" s="415">
        <f t="shared" si="39"/>
        <v>4</v>
      </c>
      <c r="AO37" s="415">
        <f t="shared" si="39"/>
        <v>4</v>
      </c>
      <c r="AP37" s="415">
        <f t="shared" si="39"/>
        <v>4</v>
      </c>
      <c r="AQ37" s="415">
        <f t="shared" si="39"/>
        <v>4</v>
      </c>
      <c r="AR37" s="415">
        <f t="shared" si="39"/>
        <v>4</v>
      </c>
      <c r="AS37" s="415">
        <f t="shared" si="39"/>
        <v>4</v>
      </c>
      <c r="AT37" s="415">
        <f t="shared" ref="AT37:AZ37" si="40">IF(AT17&gt;6,1,IF(AT17&gt;4,2,IF(AT17&gt;2,3,IF(AT17&gt;0,4,5))))</f>
        <v>4</v>
      </c>
      <c r="AU37" s="415">
        <f t="shared" si="40"/>
        <v>4</v>
      </c>
      <c r="AV37" s="415">
        <f t="shared" si="40"/>
        <v>4</v>
      </c>
      <c r="AW37" s="415">
        <f t="shared" si="40"/>
        <v>4</v>
      </c>
      <c r="AX37" s="415">
        <f t="shared" si="40"/>
        <v>4</v>
      </c>
      <c r="AY37" s="415">
        <f t="shared" si="40"/>
        <v>4</v>
      </c>
      <c r="AZ37" s="415">
        <f t="shared" si="40"/>
        <v>4</v>
      </c>
      <c r="BA37" s="415">
        <f>IF(BA17&gt;6,1,IF(BA17&gt;4,2,IF(BA17&gt;2,3,IF(BA17&gt;0,4,5))))</f>
        <v>4</v>
      </c>
      <c r="BB37" s="415">
        <f t="shared" ref="BB37:BF37" si="41">IF(BB17&gt;6,1,IF(BB17&gt;4,2,IF(BB17&gt;2,3,IF(BB17&gt;0,4,5))))</f>
        <v>4</v>
      </c>
      <c r="BC37" s="415">
        <f t="shared" si="41"/>
        <v>4</v>
      </c>
      <c r="BD37" s="415">
        <f t="shared" si="41"/>
        <v>4</v>
      </c>
      <c r="BE37" s="415">
        <f t="shared" si="41"/>
        <v>4</v>
      </c>
      <c r="BF37" s="415">
        <f t="shared" si="41"/>
        <v>4</v>
      </c>
      <c r="BG37" s="247"/>
    </row>
    <row r="38" spans="1:59" s="1" customFormat="1">
      <c r="A38" s="430"/>
      <c r="B38" s="425"/>
      <c r="C38" s="403" t="s">
        <v>78</v>
      </c>
      <c r="D38" s="407"/>
      <c r="E38" s="72">
        <f>IF(E14&lt;60,1,IF(E14&lt;70,2,IF(E14&lt;80,3,IF(E14&lt;90,4,5))))</f>
        <v>1</v>
      </c>
      <c r="F38" s="72">
        <f>IF(F14&lt;60,1,IF(F14&lt;70,2,IF(F14&lt;80,3,IF(F14&lt;90,4,5))))</f>
        <v>1</v>
      </c>
      <c r="G38" s="72">
        <f t="shared" ref="G38:M38" si="42">IF(G14&lt;60,1,IF(G14&lt;70,2,IF(G14&lt;80,3,IF(G14&lt;90,4,5))))</f>
        <v>1</v>
      </c>
      <c r="H38" s="72">
        <f t="shared" si="42"/>
        <v>1</v>
      </c>
      <c r="I38" s="72">
        <f t="shared" si="42"/>
        <v>1</v>
      </c>
      <c r="J38" s="72">
        <f t="shared" si="42"/>
        <v>1</v>
      </c>
      <c r="K38" s="72">
        <f t="shared" si="42"/>
        <v>1</v>
      </c>
      <c r="L38" s="72">
        <f t="shared" si="42"/>
        <v>1</v>
      </c>
      <c r="M38" s="72">
        <f t="shared" si="42"/>
        <v>1</v>
      </c>
      <c r="N38" s="72">
        <f t="shared" ref="N38:S38" si="43">IF(N14&lt;60,1,IF(N14&lt;70,2,IF(N14&lt;80,3,IF(N14&lt;90,4,5))))</f>
        <v>1</v>
      </c>
      <c r="O38" s="72">
        <f t="shared" si="43"/>
        <v>1</v>
      </c>
      <c r="P38" s="72">
        <f t="shared" si="43"/>
        <v>1</v>
      </c>
      <c r="Q38" s="72">
        <f t="shared" si="43"/>
        <v>1</v>
      </c>
      <c r="R38" s="72">
        <f t="shared" si="43"/>
        <v>1</v>
      </c>
      <c r="S38" s="415">
        <f t="shared" si="43"/>
        <v>1</v>
      </c>
      <c r="T38" s="415">
        <f t="shared" ref="T38:AF38" si="44">IF(T14&lt;60,1,IF(T14&lt;70,2,IF(T14&lt;80,3,IF(T14&lt;90,4,5))))</f>
        <v>1</v>
      </c>
      <c r="U38" s="415">
        <f t="shared" si="44"/>
        <v>1</v>
      </c>
      <c r="V38" s="415">
        <f t="shared" si="44"/>
        <v>1</v>
      </c>
      <c r="W38" s="415">
        <f t="shared" si="44"/>
        <v>1</v>
      </c>
      <c r="X38" s="415">
        <f t="shared" si="44"/>
        <v>1</v>
      </c>
      <c r="Y38" s="415">
        <f t="shared" si="44"/>
        <v>1</v>
      </c>
      <c r="Z38" s="415" t="e">
        <f t="shared" si="44"/>
        <v>#DIV/0!</v>
      </c>
      <c r="AA38" s="415">
        <f t="shared" si="44"/>
        <v>1</v>
      </c>
      <c r="AB38" s="415">
        <f t="shared" si="44"/>
        <v>1</v>
      </c>
      <c r="AC38" s="415">
        <f t="shared" si="44"/>
        <v>1</v>
      </c>
      <c r="AD38" s="415">
        <f t="shared" si="44"/>
        <v>1</v>
      </c>
      <c r="AE38" s="415">
        <f t="shared" si="44"/>
        <v>1</v>
      </c>
      <c r="AF38" s="415">
        <f t="shared" si="44"/>
        <v>1</v>
      </c>
      <c r="AG38" s="415">
        <f t="shared" ref="AG38:AS38" si="45">IF(AG14&lt;60,1,IF(AG14&lt;70,2,IF(AG14&lt;80,3,IF(AG14&lt;90,4,5))))</f>
        <v>1</v>
      </c>
      <c r="AH38" s="415">
        <f t="shared" si="45"/>
        <v>1</v>
      </c>
      <c r="AI38" s="415">
        <f t="shared" si="45"/>
        <v>1</v>
      </c>
      <c r="AJ38" s="415">
        <f t="shared" si="45"/>
        <v>1</v>
      </c>
      <c r="AK38" s="415">
        <f t="shared" si="45"/>
        <v>1</v>
      </c>
      <c r="AL38" s="415">
        <f t="shared" si="45"/>
        <v>1</v>
      </c>
      <c r="AM38" s="415">
        <f t="shared" si="45"/>
        <v>1</v>
      </c>
      <c r="AN38" s="415">
        <f t="shared" si="45"/>
        <v>1</v>
      </c>
      <c r="AO38" s="415">
        <f t="shared" si="45"/>
        <v>1</v>
      </c>
      <c r="AP38" s="415">
        <f t="shared" si="45"/>
        <v>1</v>
      </c>
      <c r="AQ38" s="415">
        <f t="shared" si="45"/>
        <v>1</v>
      </c>
      <c r="AR38" s="415">
        <f t="shared" si="45"/>
        <v>1</v>
      </c>
      <c r="AS38" s="415">
        <f t="shared" si="45"/>
        <v>1</v>
      </c>
      <c r="AT38" s="415">
        <f t="shared" ref="AT38:AZ38" si="46">IF(AT14&lt;60,1,IF(AT14&lt;70,2,IF(AT14&lt;80,3,IF(AT14&lt;90,4,5))))</f>
        <v>1</v>
      </c>
      <c r="AU38" s="415">
        <f t="shared" si="46"/>
        <v>1</v>
      </c>
      <c r="AV38" s="415">
        <f t="shared" si="46"/>
        <v>1</v>
      </c>
      <c r="AW38" s="415">
        <f t="shared" si="46"/>
        <v>1</v>
      </c>
      <c r="AX38" s="415">
        <f t="shared" si="46"/>
        <v>1</v>
      </c>
      <c r="AY38" s="415">
        <f t="shared" si="46"/>
        <v>1</v>
      </c>
      <c r="AZ38" s="415">
        <f t="shared" si="46"/>
        <v>1</v>
      </c>
      <c r="BA38" s="415">
        <f>IF(BA14&lt;60,1,IF(BA14&lt;70,2,IF(BA14&lt;80,3,IF(BA14&lt;90,4,5))))</f>
        <v>1</v>
      </c>
      <c r="BB38" s="415">
        <f t="shared" ref="BB38:BF38" si="47">IF(BB14&lt;60,1,IF(BB14&lt;70,2,IF(BB14&lt;80,3,IF(BB14&lt;90,4,5))))</f>
        <v>1</v>
      </c>
      <c r="BC38" s="415">
        <f t="shared" si="47"/>
        <v>1</v>
      </c>
      <c r="BD38" s="415">
        <f t="shared" si="47"/>
        <v>1</v>
      </c>
      <c r="BE38" s="415">
        <f t="shared" si="47"/>
        <v>1</v>
      </c>
      <c r="BF38" s="415">
        <f t="shared" si="47"/>
        <v>1</v>
      </c>
      <c r="BG38" s="247"/>
    </row>
    <row r="39" spans="1:59" s="1" customFormat="1">
      <c r="A39" s="430"/>
      <c r="B39" s="425"/>
      <c r="C39" s="403" t="s">
        <v>79</v>
      </c>
      <c r="D39" s="407"/>
      <c r="E39" s="72">
        <f>IF(E15&lt;4,1,IF(E15&lt;6,2,IF(E15&lt;8,3,IF(E15&lt;10,4,5))))</f>
        <v>1</v>
      </c>
      <c r="F39" s="72">
        <f>IF(F15&lt;4,1,IF(F15&lt;6,2,IF(F15&lt;8,3,IF(F15&lt;10,4,5))))</f>
        <v>1</v>
      </c>
      <c r="G39" s="72">
        <f t="shared" ref="G39:M39" si="48">IF(G15&lt;4,1,IF(G15&lt;6,2,IF(G15&lt;8,3,IF(G15&lt;10,4,5))))</f>
        <v>1</v>
      </c>
      <c r="H39" s="72">
        <f t="shared" si="48"/>
        <v>1</v>
      </c>
      <c r="I39" s="72">
        <f t="shared" si="48"/>
        <v>1</v>
      </c>
      <c r="J39" s="72">
        <f t="shared" si="48"/>
        <v>1</v>
      </c>
      <c r="K39" s="72">
        <f t="shared" si="48"/>
        <v>1</v>
      </c>
      <c r="L39" s="72">
        <f t="shared" si="48"/>
        <v>1</v>
      </c>
      <c r="M39" s="72">
        <f t="shared" si="48"/>
        <v>1</v>
      </c>
      <c r="N39" s="72">
        <f t="shared" ref="N39:S39" si="49">IF(N15&lt;4,1,IF(N15&lt;6,2,IF(N15&lt;8,3,IF(N15&lt;10,4,5))))</f>
        <v>1</v>
      </c>
      <c r="O39" s="72">
        <f t="shared" si="49"/>
        <v>1</v>
      </c>
      <c r="P39" s="72">
        <f t="shared" si="49"/>
        <v>1</v>
      </c>
      <c r="Q39" s="72">
        <f t="shared" si="49"/>
        <v>1</v>
      </c>
      <c r="R39" s="72">
        <f t="shared" si="49"/>
        <v>1</v>
      </c>
      <c r="S39" s="415">
        <f t="shared" si="49"/>
        <v>1</v>
      </c>
      <c r="T39" s="415">
        <f t="shared" ref="T39:AF39" si="50">IF(T15&lt;4,1,IF(T15&lt;6,2,IF(T15&lt;8,3,IF(T15&lt;10,4,5))))</f>
        <v>1</v>
      </c>
      <c r="U39" s="415">
        <f t="shared" si="50"/>
        <v>1</v>
      </c>
      <c r="V39" s="415">
        <f t="shared" si="50"/>
        <v>1</v>
      </c>
      <c r="W39" s="415">
        <f t="shared" si="50"/>
        <v>1</v>
      </c>
      <c r="X39" s="415">
        <f t="shared" si="50"/>
        <v>1</v>
      </c>
      <c r="Y39" s="415">
        <f t="shared" si="50"/>
        <v>1</v>
      </c>
      <c r="Z39" s="415" t="e">
        <f t="shared" si="50"/>
        <v>#DIV/0!</v>
      </c>
      <c r="AA39" s="415">
        <f t="shared" si="50"/>
        <v>1</v>
      </c>
      <c r="AB39" s="415">
        <f t="shared" si="50"/>
        <v>1</v>
      </c>
      <c r="AC39" s="415">
        <f t="shared" si="50"/>
        <v>1</v>
      </c>
      <c r="AD39" s="415">
        <f t="shared" si="50"/>
        <v>1</v>
      </c>
      <c r="AE39" s="415">
        <f t="shared" si="50"/>
        <v>1</v>
      </c>
      <c r="AF39" s="415">
        <f t="shared" si="50"/>
        <v>1</v>
      </c>
      <c r="AG39" s="415">
        <f t="shared" ref="AG39:AS39" si="51">IF(AG15&lt;4,1,IF(AG15&lt;6,2,IF(AG15&lt;8,3,IF(AG15&lt;10,4,5))))</f>
        <v>1</v>
      </c>
      <c r="AH39" s="415">
        <f t="shared" si="51"/>
        <v>1</v>
      </c>
      <c r="AI39" s="415">
        <f t="shared" si="51"/>
        <v>1</v>
      </c>
      <c r="AJ39" s="415">
        <f t="shared" si="51"/>
        <v>1</v>
      </c>
      <c r="AK39" s="415">
        <f t="shared" si="51"/>
        <v>1</v>
      </c>
      <c r="AL39" s="415">
        <f t="shared" si="51"/>
        <v>1</v>
      </c>
      <c r="AM39" s="415">
        <f t="shared" si="51"/>
        <v>1</v>
      </c>
      <c r="AN39" s="415">
        <f t="shared" si="51"/>
        <v>1</v>
      </c>
      <c r="AO39" s="415">
        <f t="shared" si="51"/>
        <v>1</v>
      </c>
      <c r="AP39" s="415">
        <f t="shared" si="51"/>
        <v>1</v>
      </c>
      <c r="AQ39" s="415">
        <f t="shared" si="51"/>
        <v>1</v>
      </c>
      <c r="AR39" s="415">
        <f t="shared" si="51"/>
        <v>1</v>
      </c>
      <c r="AS39" s="415">
        <f t="shared" si="51"/>
        <v>1</v>
      </c>
      <c r="AT39" s="415">
        <f t="shared" ref="AT39:AZ39" si="52">IF(AT15&lt;4,1,IF(AT15&lt;6,2,IF(AT15&lt;8,3,IF(AT15&lt;10,4,5))))</f>
        <v>1</v>
      </c>
      <c r="AU39" s="415">
        <f t="shared" si="52"/>
        <v>1</v>
      </c>
      <c r="AV39" s="415">
        <f t="shared" si="52"/>
        <v>1</v>
      </c>
      <c r="AW39" s="415">
        <f t="shared" si="52"/>
        <v>1</v>
      </c>
      <c r="AX39" s="415">
        <f t="shared" si="52"/>
        <v>1</v>
      </c>
      <c r="AY39" s="415">
        <f t="shared" si="52"/>
        <v>1</v>
      </c>
      <c r="AZ39" s="415">
        <f t="shared" si="52"/>
        <v>1</v>
      </c>
      <c r="BA39" s="415">
        <f>IF(BA15&lt;4,1,IF(BA15&lt;6,2,IF(BA15&lt;8,3,IF(BA15&lt;10,4,5))))</f>
        <v>1</v>
      </c>
      <c r="BB39" s="415">
        <f t="shared" ref="BB39:BF39" si="53">IF(BB15&lt;4,1,IF(BB15&lt;6,2,IF(BB15&lt;8,3,IF(BB15&lt;10,4,5))))</f>
        <v>1</v>
      </c>
      <c r="BC39" s="415">
        <f t="shared" si="53"/>
        <v>1</v>
      </c>
      <c r="BD39" s="415">
        <f t="shared" si="53"/>
        <v>1</v>
      </c>
      <c r="BE39" s="415">
        <f t="shared" si="53"/>
        <v>1</v>
      </c>
      <c r="BF39" s="415">
        <f t="shared" si="53"/>
        <v>1</v>
      </c>
      <c r="BG39" s="247"/>
    </row>
    <row r="40" spans="1:59" s="1" customFormat="1">
      <c r="A40" s="430"/>
      <c r="B40" s="403"/>
      <c r="C40" s="403"/>
      <c r="D40" s="407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  <c r="AC40" s="415"/>
      <c r="AD40" s="415"/>
      <c r="AE40" s="415"/>
      <c r="AF40" s="415"/>
      <c r="AG40" s="415"/>
      <c r="AH40" s="415"/>
      <c r="AI40" s="415"/>
      <c r="AJ40" s="415"/>
      <c r="AK40" s="415"/>
      <c r="AL40" s="415"/>
      <c r="AM40" s="415"/>
      <c r="AN40" s="415"/>
      <c r="AO40" s="415"/>
      <c r="AP40" s="415"/>
      <c r="AQ40" s="415"/>
      <c r="AR40" s="415"/>
      <c r="AS40" s="415"/>
      <c r="AT40" s="415"/>
      <c r="AU40" s="415"/>
      <c r="AV40" s="415"/>
      <c r="AW40" s="415"/>
      <c r="AX40" s="415"/>
      <c r="AY40" s="415"/>
      <c r="AZ40" s="415"/>
      <c r="BA40" s="415"/>
      <c r="BB40" s="415"/>
      <c r="BC40" s="415"/>
      <c r="BD40" s="415"/>
      <c r="BE40" s="415"/>
      <c r="BF40" s="415"/>
      <c r="BG40" s="247"/>
    </row>
    <row r="41" spans="1:59" s="1" customFormat="1">
      <c r="A41" s="430"/>
      <c r="B41" s="425" t="s">
        <v>80</v>
      </c>
      <c r="C41" s="403" t="s">
        <v>81</v>
      </c>
      <c r="D41" s="407" t="s">
        <v>82</v>
      </c>
      <c r="E41" s="72">
        <f>IF(E17&gt;30,1,IF(E17&gt;25,2,IF(E17&gt;20,3,IF(E17&gt;15,4,5))))</f>
        <v>5</v>
      </c>
      <c r="F41" s="72">
        <f t="shared" ref="F41:M42" si="54">IF(F17&gt;30,1,IF(F17&gt;25,2,IF(F17&gt;20,3,IF(F17&gt;15,4,5))))</f>
        <v>5</v>
      </c>
      <c r="G41" s="72">
        <f t="shared" si="54"/>
        <v>5</v>
      </c>
      <c r="H41" s="72">
        <f t="shared" si="54"/>
        <v>5</v>
      </c>
      <c r="I41" s="72">
        <f t="shared" si="54"/>
        <v>5</v>
      </c>
      <c r="J41" s="72">
        <f t="shared" si="54"/>
        <v>5</v>
      </c>
      <c r="K41" s="72">
        <f t="shared" si="54"/>
        <v>5</v>
      </c>
      <c r="L41" s="72">
        <f t="shared" si="54"/>
        <v>5</v>
      </c>
      <c r="M41" s="72">
        <f t="shared" si="54"/>
        <v>5</v>
      </c>
      <c r="N41" s="72">
        <f t="shared" ref="N41:R42" si="55">IF(N17&gt;30,1,IF(N17&gt;25,2,IF(N17&gt;20,3,IF(N17&gt;15,4,5))))</f>
        <v>5</v>
      </c>
      <c r="O41" s="72">
        <f t="shared" si="55"/>
        <v>5</v>
      </c>
      <c r="P41" s="72">
        <f t="shared" si="55"/>
        <v>5</v>
      </c>
      <c r="Q41" s="72">
        <f t="shared" si="55"/>
        <v>5</v>
      </c>
      <c r="R41" s="72">
        <f t="shared" si="55"/>
        <v>5</v>
      </c>
      <c r="S41" s="415">
        <f>IF(S17&gt;30,1,IF(S17&gt;25,2,IF(S17&gt;20,3,IF(S17&gt;15,4,5))))</f>
        <v>5</v>
      </c>
      <c r="T41" s="415">
        <f>IF(T17&gt;30,1,IF(T17&gt;25,2,IF(T17&gt;20,3,IF(T17&gt;15,4,5))))</f>
        <v>5</v>
      </c>
      <c r="U41" s="415">
        <f t="shared" ref="U41:AF41" si="56">IF(U17&gt;30,1,IF(U17&gt;25,2,IF(U17&gt;20,3,IF(U17&gt;15,4,5))))</f>
        <v>5</v>
      </c>
      <c r="V41" s="415">
        <f t="shared" si="56"/>
        <v>5</v>
      </c>
      <c r="W41" s="415">
        <f t="shared" si="56"/>
        <v>5</v>
      </c>
      <c r="X41" s="415">
        <f t="shared" si="56"/>
        <v>5</v>
      </c>
      <c r="Y41" s="415">
        <f t="shared" si="56"/>
        <v>5</v>
      </c>
      <c r="Z41" s="415" t="e">
        <f t="shared" si="56"/>
        <v>#DIV/0!</v>
      </c>
      <c r="AA41" s="415">
        <f t="shared" si="56"/>
        <v>5</v>
      </c>
      <c r="AB41" s="415">
        <f t="shared" si="56"/>
        <v>5</v>
      </c>
      <c r="AC41" s="415">
        <f t="shared" si="56"/>
        <v>5</v>
      </c>
      <c r="AD41" s="415">
        <f t="shared" si="56"/>
        <v>5</v>
      </c>
      <c r="AE41" s="415">
        <f t="shared" si="56"/>
        <v>5</v>
      </c>
      <c r="AF41" s="415">
        <f t="shared" si="56"/>
        <v>5</v>
      </c>
      <c r="AG41" s="415">
        <f t="shared" ref="AG41:AS41" si="57">IF(AG17&gt;30,1,IF(AG17&gt;25,2,IF(AG17&gt;20,3,IF(AG17&gt;15,4,5))))</f>
        <v>5</v>
      </c>
      <c r="AH41" s="415">
        <f t="shared" si="57"/>
        <v>5</v>
      </c>
      <c r="AI41" s="415">
        <f t="shared" si="57"/>
        <v>5</v>
      </c>
      <c r="AJ41" s="415">
        <f t="shared" si="57"/>
        <v>5</v>
      </c>
      <c r="AK41" s="415">
        <f t="shared" si="57"/>
        <v>5</v>
      </c>
      <c r="AL41" s="415">
        <f t="shared" si="57"/>
        <v>5</v>
      </c>
      <c r="AM41" s="415">
        <f t="shared" si="57"/>
        <v>5</v>
      </c>
      <c r="AN41" s="415">
        <f t="shared" si="57"/>
        <v>5</v>
      </c>
      <c r="AO41" s="415">
        <f t="shared" si="57"/>
        <v>5</v>
      </c>
      <c r="AP41" s="415">
        <f t="shared" si="57"/>
        <v>5</v>
      </c>
      <c r="AQ41" s="415">
        <f t="shared" si="57"/>
        <v>5</v>
      </c>
      <c r="AR41" s="415">
        <f t="shared" si="57"/>
        <v>5</v>
      </c>
      <c r="AS41" s="415">
        <f t="shared" si="57"/>
        <v>5</v>
      </c>
      <c r="AT41" s="415">
        <f t="shared" ref="AT41:AZ41" si="58">IF(AT17&gt;30,1,IF(AT17&gt;25,2,IF(AT17&gt;20,3,IF(AT17&gt;15,4,5))))</f>
        <v>5</v>
      </c>
      <c r="AU41" s="415">
        <f t="shared" si="58"/>
        <v>5</v>
      </c>
      <c r="AV41" s="415">
        <f t="shared" si="58"/>
        <v>5</v>
      </c>
      <c r="AW41" s="415">
        <f t="shared" si="58"/>
        <v>5</v>
      </c>
      <c r="AX41" s="415">
        <f t="shared" si="58"/>
        <v>5</v>
      </c>
      <c r="AY41" s="415">
        <f t="shared" si="58"/>
        <v>5</v>
      </c>
      <c r="AZ41" s="415">
        <f t="shared" si="58"/>
        <v>5</v>
      </c>
      <c r="BA41" s="415">
        <f>IF(BA17&gt;30,1,IF(BA17&gt;25,2,IF(BA17&gt;20,3,IF(BA17&gt;15,4,5))))</f>
        <v>5</v>
      </c>
      <c r="BB41" s="415">
        <f t="shared" ref="BB41:BF41" si="59">IF(BB17&gt;30,1,IF(BB17&gt;25,2,IF(BB17&gt;20,3,IF(BB17&gt;15,4,5))))</f>
        <v>5</v>
      </c>
      <c r="BC41" s="415">
        <f t="shared" si="59"/>
        <v>5</v>
      </c>
      <c r="BD41" s="415">
        <f t="shared" si="59"/>
        <v>5</v>
      </c>
      <c r="BE41" s="415">
        <f t="shared" si="59"/>
        <v>5</v>
      </c>
      <c r="BF41" s="415">
        <f t="shared" si="59"/>
        <v>5</v>
      </c>
      <c r="BG41" s="247"/>
    </row>
    <row r="42" spans="1:59" s="1" customFormat="1">
      <c r="A42" s="430"/>
      <c r="B42" s="425"/>
      <c r="C42" s="403" t="s">
        <v>83</v>
      </c>
      <c r="D42" s="407"/>
      <c r="E42" s="72">
        <f>IF(E18&gt;30,1,IF(E18&gt;25,2,IF(E18&gt;20,3,IF(E18&gt;15,4,5))))</f>
        <v>5</v>
      </c>
      <c r="F42" s="72">
        <f t="shared" si="54"/>
        <v>5</v>
      </c>
      <c r="G42" s="72">
        <f t="shared" si="54"/>
        <v>5</v>
      </c>
      <c r="H42" s="72">
        <f t="shared" si="54"/>
        <v>5</v>
      </c>
      <c r="I42" s="72">
        <f t="shared" si="54"/>
        <v>5</v>
      </c>
      <c r="J42" s="72">
        <f t="shared" si="54"/>
        <v>5</v>
      </c>
      <c r="K42" s="72">
        <f t="shared" si="54"/>
        <v>5</v>
      </c>
      <c r="L42" s="72">
        <f t="shared" si="54"/>
        <v>5</v>
      </c>
      <c r="M42" s="72">
        <f t="shared" si="54"/>
        <v>5</v>
      </c>
      <c r="N42" s="72">
        <f t="shared" si="55"/>
        <v>5</v>
      </c>
      <c r="O42" s="72">
        <f t="shared" si="55"/>
        <v>5</v>
      </c>
      <c r="P42" s="72">
        <f t="shared" si="55"/>
        <v>5</v>
      </c>
      <c r="Q42" s="72">
        <f t="shared" si="55"/>
        <v>5</v>
      </c>
      <c r="R42" s="72">
        <f t="shared" si="55"/>
        <v>5</v>
      </c>
      <c r="S42" s="415">
        <f>IF(S18&gt;30,1,IF(S18&gt;25,2,IF(S18&gt;20,3,IF(S18&gt;15,4,5))))</f>
        <v>5</v>
      </c>
      <c r="T42" s="415">
        <f>IF(T18&gt;30,1,IF(T18&gt;25,2,IF(T18&gt;20,3,IF(T18&gt;15,4,5))))</f>
        <v>5</v>
      </c>
      <c r="U42" s="415">
        <f t="shared" ref="U42:AF42" si="60">IF(U18&gt;30,1,IF(U18&gt;25,2,IF(U18&gt;20,3,IF(U18&gt;15,4,5))))</f>
        <v>5</v>
      </c>
      <c r="V42" s="415">
        <f t="shared" si="60"/>
        <v>5</v>
      </c>
      <c r="W42" s="415">
        <f t="shared" si="60"/>
        <v>5</v>
      </c>
      <c r="X42" s="415">
        <f t="shared" si="60"/>
        <v>5</v>
      </c>
      <c r="Y42" s="415">
        <f t="shared" si="60"/>
        <v>5</v>
      </c>
      <c r="Z42" s="415" t="e">
        <f t="shared" si="60"/>
        <v>#DIV/0!</v>
      </c>
      <c r="AA42" s="415">
        <f t="shared" si="60"/>
        <v>5</v>
      </c>
      <c r="AB42" s="415">
        <f t="shared" si="60"/>
        <v>5</v>
      </c>
      <c r="AC42" s="415">
        <f t="shared" si="60"/>
        <v>5</v>
      </c>
      <c r="AD42" s="415">
        <f t="shared" si="60"/>
        <v>5</v>
      </c>
      <c r="AE42" s="415">
        <f t="shared" si="60"/>
        <v>5</v>
      </c>
      <c r="AF42" s="415">
        <f t="shared" si="60"/>
        <v>5</v>
      </c>
      <c r="AG42" s="415">
        <f t="shared" ref="AG42:AS42" si="61">IF(AG18&gt;30,1,IF(AG18&gt;25,2,IF(AG18&gt;20,3,IF(AG18&gt;15,4,5))))</f>
        <v>5</v>
      </c>
      <c r="AH42" s="415">
        <f t="shared" si="61"/>
        <v>5</v>
      </c>
      <c r="AI42" s="415">
        <f t="shared" si="61"/>
        <v>5</v>
      </c>
      <c r="AJ42" s="415">
        <f t="shared" si="61"/>
        <v>5</v>
      </c>
      <c r="AK42" s="415">
        <f t="shared" si="61"/>
        <v>5</v>
      </c>
      <c r="AL42" s="415">
        <f t="shared" si="61"/>
        <v>5</v>
      </c>
      <c r="AM42" s="415">
        <f t="shared" si="61"/>
        <v>5</v>
      </c>
      <c r="AN42" s="415">
        <f t="shared" si="61"/>
        <v>5</v>
      </c>
      <c r="AO42" s="415">
        <f t="shared" si="61"/>
        <v>5</v>
      </c>
      <c r="AP42" s="415">
        <f t="shared" si="61"/>
        <v>5</v>
      </c>
      <c r="AQ42" s="415">
        <f t="shared" si="61"/>
        <v>5</v>
      </c>
      <c r="AR42" s="415">
        <f t="shared" si="61"/>
        <v>5</v>
      </c>
      <c r="AS42" s="415">
        <f t="shared" si="61"/>
        <v>5</v>
      </c>
      <c r="AT42" s="415">
        <f t="shared" ref="AT42:AZ42" si="62">IF(AT18&gt;30,1,IF(AT18&gt;25,2,IF(AT18&gt;20,3,IF(AT18&gt;15,4,5))))</f>
        <v>5</v>
      </c>
      <c r="AU42" s="415">
        <f t="shared" si="62"/>
        <v>5</v>
      </c>
      <c r="AV42" s="415">
        <f t="shared" si="62"/>
        <v>5</v>
      </c>
      <c r="AW42" s="415">
        <f t="shared" si="62"/>
        <v>5</v>
      </c>
      <c r="AX42" s="415">
        <f t="shared" si="62"/>
        <v>5</v>
      </c>
      <c r="AY42" s="415">
        <f t="shared" si="62"/>
        <v>5</v>
      </c>
      <c r="AZ42" s="415">
        <f t="shared" si="62"/>
        <v>5</v>
      </c>
      <c r="BA42" s="415">
        <f>IF(BA18&gt;30,1,IF(BA18&gt;25,2,IF(BA18&gt;20,3,IF(BA18&gt;15,4,5))))</f>
        <v>5</v>
      </c>
      <c r="BB42" s="415">
        <f t="shared" ref="BB42:BF42" si="63">IF(BB18&gt;30,1,IF(BB18&gt;25,2,IF(BB18&gt;20,3,IF(BB18&gt;15,4,5))))</f>
        <v>5</v>
      </c>
      <c r="BC42" s="415">
        <f t="shared" si="63"/>
        <v>5</v>
      </c>
      <c r="BD42" s="415">
        <f t="shared" si="63"/>
        <v>5</v>
      </c>
      <c r="BE42" s="415">
        <f t="shared" si="63"/>
        <v>5</v>
      </c>
      <c r="BF42" s="415">
        <f t="shared" si="63"/>
        <v>5</v>
      </c>
      <c r="BG42" s="247"/>
    </row>
    <row r="43" spans="1:59" s="1" customFormat="1">
      <c r="A43" s="430"/>
      <c r="B43" s="425"/>
      <c r="C43" s="403" t="s">
        <v>84</v>
      </c>
      <c r="D43" s="407" t="s">
        <v>85</v>
      </c>
      <c r="E43" s="72">
        <f>IF(E19&lt;15,1,IF(E19&lt;18,2,IF(E19&lt;22,3,IF(E19&lt;25,4,5))))</f>
        <v>1</v>
      </c>
      <c r="F43" s="72">
        <f>IF(F19&lt;15,1,IF(F19&lt;18,2,IF(F19&lt;22,3,IF(F19&lt;25,4,5))))</f>
        <v>1</v>
      </c>
      <c r="G43" s="72">
        <f t="shared" ref="G43:M43" si="64">IF(G19&lt;15,1,IF(G19&lt;18,2,IF(G19&lt;22,3,IF(G19&lt;25,4,5))))</f>
        <v>1</v>
      </c>
      <c r="H43" s="72">
        <f t="shared" si="64"/>
        <v>1</v>
      </c>
      <c r="I43" s="72">
        <f t="shared" si="64"/>
        <v>1</v>
      </c>
      <c r="J43" s="72">
        <f t="shared" si="64"/>
        <v>1</v>
      </c>
      <c r="K43" s="72">
        <f t="shared" si="64"/>
        <v>1</v>
      </c>
      <c r="L43" s="72">
        <f t="shared" si="64"/>
        <v>1</v>
      </c>
      <c r="M43" s="72">
        <f t="shared" si="64"/>
        <v>1</v>
      </c>
      <c r="N43" s="72">
        <f t="shared" ref="N43:S43" si="65">IF(N19&lt;15,1,IF(N19&lt;18,2,IF(N19&lt;22,3,IF(N19&lt;25,4,5))))</f>
        <v>1</v>
      </c>
      <c r="O43" s="72">
        <f t="shared" si="65"/>
        <v>1</v>
      </c>
      <c r="P43" s="72">
        <f t="shared" si="65"/>
        <v>1</v>
      </c>
      <c r="Q43" s="72">
        <f t="shared" si="65"/>
        <v>1</v>
      </c>
      <c r="R43" s="72">
        <f t="shared" si="65"/>
        <v>1</v>
      </c>
      <c r="S43" s="415">
        <f t="shared" si="65"/>
        <v>1</v>
      </c>
      <c r="T43" s="415">
        <f t="shared" ref="T43:AF43" si="66">IF(T19&lt;15,1,IF(T19&lt;18,2,IF(T19&lt;22,3,IF(T19&lt;25,4,5))))</f>
        <v>1</v>
      </c>
      <c r="U43" s="415">
        <f t="shared" si="66"/>
        <v>1</v>
      </c>
      <c r="V43" s="415">
        <f t="shared" si="66"/>
        <v>1</v>
      </c>
      <c r="W43" s="415">
        <f t="shared" si="66"/>
        <v>1</v>
      </c>
      <c r="X43" s="415">
        <f t="shared" si="66"/>
        <v>1</v>
      </c>
      <c r="Y43" s="415">
        <f t="shared" si="66"/>
        <v>1</v>
      </c>
      <c r="Z43" s="415" t="e">
        <f t="shared" si="66"/>
        <v>#DIV/0!</v>
      </c>
      <c r="AA43" s="415">
        <f t="shared" si="66"/>
        <v>1</v>
      </c>
      <c r="AB43" s="415">
        <f t="shared" si="66"/>
        <v>1</v>
      </c>
      <c r="AC43" s="415">
        <f t="shared" si="66"/>
        <v>1</v>
      </c>
      <c r="AD43" s="415">
        <f t="shared" si="66"/>
        <v>1</v>
      </c>
      <c r="AE43" s="415">
        <f t="shared" si="66"/>
        <v>1</v>
      </c>
      <c r="AF43" s="415">
        <f t="shared" si="66"/>
        <v>1</v>
      </c>
      <c r="AG43" s="415">
        <f t="shared" ref="AG43:AS43" si="67">IF(AG19&lt;15,1,IF(AG19&lt;18,2,IF(AG19&lt;22,3,IF(AG19&lt;25,4,5))))</f>
        <v>1</v>
      </c>
      <c r="AH43" s="415">
        <f t="shared" si="67"/>
        <v>1</v>
      </c>
      <c r="AI43" s="415">
        <f t="shared" si="67"/>
        <v>1</v>
      </c>
      <c r="AJ43" s="415">
        <f t="shared" si="67"/>
        <v>1</v>
      </c>
      <c r="AK43" s="415">
        <f t="shared" si="67"/>
        <v>1</v>
      </c>
      <c r="AL43" s="415">
        <f t="shared" si="67"/>
        <v>1</v>
      </c>
      <c r="AM43" s="415">
        <f t="shared" si="67"/>
        <v>1</v>
      </c>
      <c r="AN43" s="415">
        <f t="shared" si="67"/>
        <v>1</v>
      </c>
      <c r="AO43" s="415">
        <f t="shared" si="67"/>
        <v>1</v>
      </c>
      <c r="AP43" s="415">
        <f t="shared" si="67"/>
        <v>1</v>
      </c>
      <c r="AQ43" s="415">
        <f t="shared" si="67"/>
        <v>1</v>
      </c>
      <c r="AR43" s="415">
        <f t="shared" si="67"/>
        <v>1</v>
      </c>
      <c r="AS43" s="415">
        <f t="shared" si="67"/>
        <v>1</v>
      </c>
      <c r="AT43" s="415">
        <f t="shared" ref="AT43:AZ43" si="68">IF(AT19&lt;15,1,IF(AT19&lt;18,2,IF(AT19&lt;22,3,IF(AT19&lt;25,4,5))))</f>
        <v>1</v>
      </c>
      <c r="AU43" s="415">
        <f t="shared" si="68"/>
        <v>1</v>
      </c>
      <c r="AV43" s="415">
        <f t="shared" si="68"/>
        <v>1</v>
      </c>
      <c r="AW43" s="415">
        <f t="shared" si="68"/>
        <v>1</v>
      </c>
      <c r="AX43" s="415">
        <f t="shared" si="68"/>
        <v>1</v>
      </c>
      <c r="AY43" s="415">
        <f t="shared" si="68"/>
        <v>1</v>
      </c>
      <c r="AZ43" s="415">
        <f t="shared" si="68"/>
        <v>1</v>
      </c>
      <c r="BA43" s="415">
        <f>IF(BA19&lt;15,1,IF(BA19&lt;18,2,IF(BA19&lt;22,3,IF(BA19&lt;25,4,5))))</f>
        <v>1</v>
      </c>
      <c r="BB43" s="415">
        <f t="shared" ref="BB43:BF43" si="69">IF(BB19&lt;15,1,IF(BB19&lt;18,2,IF(BB19&lt;22,3,IF(BB19&lt;25,4,5))))</f>
        <v>1</v>
      </c>
      <c r="BC43" s="415">
        <f t="shared" si="69"/>
        <v>1</v>
      </c>
      <c r="BD43" s="415">
        <f t="shared" si="69"/>
        <v>1</v>
      </c>
      <c r="BE43" s="415">
        <f t="shared" si="69"/>
        <v>1</v>
      </c>
      <c r="BF43" s="415">
        <f t="shared" si="69"/>
        <v>1</v>
      </c>
      <c r="BG43" s="247"/>
    </row>
    <row r="44" spans="1:59" s="1" customFormat="1">
      <c r="A44" s="430"/>
      <c r="B44" s="425"/>
      <c r="C44" s="403" t="s">
        <v>86</v>
      </c>
      <c r="D44" s="400"/>
      <c r="E44" s="72">
        <f>IF(E20&gt;15,1,IF(E20&gt;12,2,IF(E20&gt;9,3,IF(E20&gt;6,4,5))))</f>
        <v>5</v>
      </c>
      <c r="F44" s="72">
        <f>IF(F20&gt;15,1,IF(F20&gt;12,2,IF(F20&gt;9,3,IF(F20&gt;6,4,5))))</f>
        <v>5</v>
      </c>
      <c r="G44" s="72">
        <f t="shared" ref="G44:M44" si="70">IF(G20&gt;15,1,IF(G20&gt;12,2,IF(G20&gt;9,3,IF(G20&gt;6,4,5))))</f>
        <v>5</v>
      </c>
      <c r="H44" s="72">
        <f t="shared" si="70"/>
        <v>5</v>
      </c>
      <c r="I44" s="72">
        <f t="shared" si="70"/>
        <v>5</v>
      </c>
      <c r="J44" s="72">
        <f t="shared" si="70"/>
        <v>5</v>
      </c>
      <c r="K44" s="72">
        <f t="shared" si="70"/>
        <v>5</v>
      </c>
      <c r="L44" s="72">
        <f t="shared" si="70"/>
        <v>5</v>
      </c>
      <c r="M44" s="72">
        <f t="shared" si="70"/>
        <v>5</v>
      </c>
      <c r="N44" s="72">
        <f t="shared" ref="N44:S44" si="71">IF(N20&gt;15,1,IF(N20&gt;12,2,IF(N20&gt;9,3,IF(N20&gt;6,4,5))))</f>
        <v>5</v>
      </c>
      <c r="O44" s="72">
        <f t="shared" si="71"/>
        <v>5</v>
      </c>
      <c r="P44" s="72">
        <f t="shared" si="71"/>
        <v>5</v>
      </c>
      <c r="Q44" s="72">
        <f t="shared" si="71"/>
        <v>5</v>
      </c>
      <c r="R44" s="72">
        <f t="shared" si="71"/>
        <v>5</v>
      </c>
      <c r="S44" s="415">
        <f t="shared" si="71"/>
        <v>5</v>
      </c>
      <c r="T44" s="415">
        <f t="shared" ref="T44:AF44" si="72">IF(T20&gt;15,1,IF(T20&gt;12,2,IF(T20&gt;9,3,IF(T20&gt;6,4,5))))</f>
        <v>5</v>
      </c>
      <c r="U44" s="415">
        <f t="shared" si="72"/>
        <v>5</v>
      </c>
      <c r="V44" s="415">
        <f t="shared" si="72"/>
        <v>5</v>
      </c>
      <c r="W44" s="415">
        <f t="shared" si="72"/>
        <v>5</v>
      </c>
      <c r="X44" s="415">
        <f t="shared" si="72"/>
        <v>5</v>
      </c>
      <c r="Y44" s="415">
        <f t="shared" si="72"/>
        <v>5</v>
      </c>
      <c r="Z44" s="415" t="e">
        <f t="shared" si="72"/>
        <v>#DIV/0!</v>
      </c>
      <c r="AA44" s="415">
        <f t="shared" si="72"/>
        <v>5</v>
      </c>
      <c r="AB44" s="415">
        <f t="shared" si="72"/>
        <v>5</v>
      </c>
      <c r="AC44" s="415">
        <f t="shared" si="72"/>
        <v>5</v>
      </c>
      <c r="AD44" s="415">
        <f t="shared" si="72"/>
        <v>5</v>
      </c>
      <c r="AE44" s="415">
        <f t="shared" si="72"/>
        <v>5</v>
      </c>
      <c r="AF44" s="415">
        <f t="shared" si="72"/>
        <v>5</v>
      </c>
      <c r="AG44" s="415">
        <f t="shared" ref="AG44:AS44" si="73">IF(AG20&gt;15,1,IF(AG20&gt;12,2,IF(AG20&gt;9,3,IF(AG20&gt;6,4,5))))</f>
        <v>5</v>
      </c>
      <c r="AH44" s="415">
        <f t="shared" si="73"/>
        <v>5</v>
      </c>
      <c r="AI44" s="415">
        <f t="shared" si="73"/>
        <v>5</v>
      </c>
      <c r="AJ44" s="415">
        <f t="shared" si="73"/>
        <v>5</v>
      </c>
      <c r="AK44" s="415">
        <f t="shared" si="73"/>
        <v>5</v>
      </c>
      <c r="AL44" s="415">
        <f t="shared" si="73"/>
        <v>5</v>
      </c>
      <c r="AM44" s="415">
        <f t="shared" si="73"/>
        <v>5</v>
      </c>
      <c r="AN44" s="415">
        <f t="shared" si="73"/>
        <v>5</v>
      </c>
      <c r="AO44" s="415">
        <f t="shared" si="73"/>
        <v>5</v>
      </c>
      <c r="AP44" s="415">
        <f t="shared" si="73"/>
        <v>5</v>
      </c>
      <c r="AQ44" s="415">
        <f t="shared" si="73"/>
        <v>5</v>
      </c>
      <c r="AR44" s="415">
        <f t="shared" si="73"/>
        <v>5</v>
      </c>
      <c r="AS44" s="415">
        <f t="shared" si="73"/>
        <v>5</v>
      </c>
      <c r="AT44" s="415">
        <f t="shared" ref="AT44:AZ44" si="74">IF(AT20&gt;15,1,IF(AT20&gt;12,2,IF(AT20&gt;9,3,IF(AT20&gt;6,4,5))))</f>
        <v>5</v>
      </c>
      <c r="AU44" s="415">
        <f t="shared" si="74"/>
        <v>5</v>
      </c>
      <c r="AV44" s="415">
        <f t="shared" si="74"/>
        <v>5</v>
      </c>
      <c r="AW44" s="415">
        <f t="shared" si="74"/>
        <v>5</v>
      </c>
      <c r="AX44" s="415">
        <f t="shared" si="74"/>
        <v>5</v>
      </c>
      <c r="AY44" s="415">
        <f t="shared" si="74"/>
        <v>5</v>
      </c>
      <c r="AZ44" s="415">
        <f t="shared" si="74"/>
        <v>5</v>
      </c>
      <c r="BA44" s="415">
        <f>IF(BA20&gt;15,1,IF(BA20&gt;12,2,IF(BA20&gt;9,3,IF(BA20&gt;6,4,5))))</f>
        <v>5</v>
      </c>
      <c r="BB44" s="415">
        <f t="shared" ref="BB44:BF44" si="75">IF(BB20&gt;15,1,IF(BB20&gt;12,2,IF(BB20&gt;9,3,IF(BB20&gt;6,4,5))))</f>
        <v>5</v>
      </c>
      <c r="BC44" s="415">
        <f t="shared" si="75"/>
        <v>5</v>
      </c>
      <c r="BD44" s="415">
        <f t="shared" si="75"/>
        <v>5</v>
      </c>
      <c r="BE44" s="415">
        <f t="shared" si="75"/>
        <v>5</v>
      </c>
      <c r="BF44" s="415">
        <f t="shared" si="75"/>
        <v>5</v>
      </c>
      <c r="BG44" s="247"/>
    </row>
    <row r="45" spans="1:59" s="1" customFormat="1">
      <c r="A45" s="430"/>
      <c r="B45" s="403"/>
      <c r="C45" s="403"/>
      <c r="D45" s="407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415"/>
      <c r="T45" s="415"/>
      <c r="U45" s="415"/>
      <c r="V45" s="415"/>
      <c r="W45" s="415"/>
      <c r="X45" s="415"/>
      <c r="Y45" s="415"/>
      <c r="Z45" s="415"/>
      <c r="AA45" s="415"/>
      <c r="AB45" s="415"/>
      <c r="AC45" s="415"/>
      <c r="AD45" s="415"/>
      <c r="AE45" s="415"/>
      <c r="AF45" s="415"/>
      <c r="AG45" s="415"/>
      <c r="AH45" s="415"/>
      <c r="AI45" s="415"/>
      <c r="AJ45" s="415"/>
      <c r="AK45" s="415"/>
      <c r="AL45" s="415"/>
      <c r="AM45" s="415"/>
      <c r="AN45" s="415"/>
      <c r="AO45" s="415"/>
      <c r="AP45" s="415"/>
      <c r="AQ45" s="415"/>
      <c r="AR45" s="415"/>
      <c r="AS45" s="415"/>
      <c r="AT45" s="415"/>
      <c r="AU45" s="415"/>
      <c r="AV45" s="415"/>
      <c r="AW45" s="415"/>
      <c r="AX45" s="415"/>
      <c r="AY45" s="415"/>
      <c r="AZ45" s="415"/>
      <c r="BA45" s="415"/>
      <c r="BB45" s="415"/>
      <c r="BC45" s="415"/>
      <c r="BD45" s="415"/>
      <c r="BE45" s="415"/>
      <c r="BF45" s="415"/>
      <c r="BG45" s="247"/>
    </row>
    <row r="46" spans="1:59" s="1" customFormat="1">
      <c r="A46" s="430"/>
      <c r="B46" s="425" t="s">
        <v>87</v>
      </c>
      <c r="C46" s="403" t="s">
        <v>88</v>
      </c>
      <c r="D46" s="407" t="s">
        <v>89</v>
      </c>
      <c r="E46" s="72">
        <f>IF(E22&lt;2,1,IF(E22&lt;3,2,IF(E22&lt;4,3,IF(E22&lt;5,4,5))))</f>
        <v>1</v>
      </c>
      <c r="F46" s="72">
        <f>IF(F22&lt;2,1,IF(F22&lt;3,2,IF(F22&lt;4,3,IF(F22&lt;5,4,5))))</f>
        <v>1</v>
      </c>
      <c r="G46" s="72">
        <f t="shared" ref="G46:M46" si="76">IF(G22&lt;2,1,IF(G22&lt;3,2,IF(G22&lt;4,3,IF(G22&lt;5,4,5))))</f>
        <v>1</v>
      </c>
      <c r="H46" s="72">
        <f t="shared" si="76"/>
        <v>1</v>
      </c>
      <c r="I46" s="72">
        <f t="shared" si="76"/>
        <v>1</v>
      </c>
      <c r="J46" s="72">
        <f t="shared" si="76"/>
        <v>1</v>
      </c>
      <c r="K46" s="72">
        <f t="shared" si="76"/>
        <v>1</v>
      </c>
      <c r="L46" s="72">
        <f t="shared" si="76"/>
        <v>1</v>
      </c>
      <c r="M46" s="72">
        <f t="shared" si="76"/>
        <v>1</v>
      </c>
      <c r="N46" s="72">
        <f t="shared" ref="N46:S46" si="77">IF(N22&lt;2,1,IF(N22&lt;3,2,IF(N22&lt;4,3,IF(N22&lt;5,4,5))))</f>
        <v>1</v>
      </c>
      <c r="O46" s="72">
        <f t="shared" si="77"/>
        <v>1</v>
      </c>
      <c r="P46" s="72">
        <f t="shared" si="77"/>
        <v>1</v>
      </c>
      <c r="Q46" s="72">
        <f t="shared" si="77"/>
        <v>1</v>
      </c>
      <c r="R46" s="72">
        <f t="shared" si="77"/>
        <v>1</v>
      </c>
      <c r="S46" s="415">
        <f t="shared" si="77"/>
        <v>1</v>
      </c>
      <c r="T46" s="415">
        <f t="shared" ref="T46:AF46" si="78">IF(T22&lt;2,1,IF(T22&lt;3,2,IF(T22&lt;4,3,IF(T22&lt;5,4,5))))</f>
        <v>1</v>
      </c>
      <c r="U46" s="415">
        <f t="shared" si="78"/>
        <v>1</v>
      </c>
      <c r="V46" s="415">
        <f t="shared" si="78"/>
        <v>1</v>
      </c>
      <c r="W46" s="415">
        <f t="shared" si="78"/>
        <v>1</v>
      </c>
      <c r="X46" s="415">
        <f t="shared" si="78"/>
        <v>1</v>
      </c>
      <c r="Y46" s="415">
        <f t="shared" si="78"/>
        <v>1</v>
      </c>
      <c r="Z46" s="415" t="e">
        <f t="shared" si="78"/>
        <v>#DIV/0!</v>
      </c>
      <c r="AA46" s="415">
        <f t="shared" si="78"/>
        <v>1</v>
      </c>
      <c r="AB46" s="415">
        <f t="shared" si="78"/>
        <v>1</v>
      </c>
      <c r="AC46" s="415">
        <f t="shared" si="78"/>
        <v>1</v>
      </c>
      <c r="AD46" s="415">
        <f t="shared" si="78"/>
        <v>1</v>
      </c>
      <c r="AE46" s="415">
        <f t="shared" si="78"/>
        <v>1</v>
      </c>
      <c r="AF46" s="415">
        <f t="shared" si="78"/>
        <v>1</v>
      </c>
      <c r="AG46" s="415">
        <f t="shared" ref="AG46:AS46" si="79">IF(AG22&lt;2,1,IF(AG22&lt;3,2,IF(AG22&lt;4,3,IF(AG22&lt;5,4,5))))</f>
        <v>1</v>
      </c>
      <c r="AH46" s="415">
        <f t="shared" si="79"/>
        <v>1</v>
      </c>
      <c r="AI46" s="415">
        <f t="shared" si="79"/>
        <v>1</v>
      </c>
      <c r="AJ46" s="415">
        <f t="shared" si="79"/>
        <v>1</v>
      </c>
      <c r="AK46" s="415">
        <f t="shared" si="79"/>
        <v>1</v>
      </c>
      <c r="AL46" s="415">
        <f t="shared" si="79"/>
        <v>1</v>
      </c>
      <c r="AM46" s="415">
        <f t="shared" si="79"/>
        <v>1</v>
      </c>
      <c r="AN46" s="415">
        <f t="shared" si="79"/>
        <v>1</v>
      </c>
      <c r="AO46" s="415">
        <f t="shared" si="79"/>
        <v>1</v>
      </c>
      <c r="AP46" s="415">
        <f t="shared" si="79"/>
        <v>1</v>
      </c>
      <c r="AQ46" s="415">
        <f t="shared" si="79"/>
        <v>1</v>
      </c>
      <c r="AR46" s="415">
        <f t="shared" si="79"/>
        <v>1</v>
      </c>
      <c r="AS46" s="415">
        <f t="shared" si="79"/>
        <v>1</v>
      </c>
      <c r="AT46" s="415">
        <f t="shared" ref="AT46:AZ46" si="80">IF(AT22&lt;2,1,IF(AT22&lt;3,2,IF(AT22&lt;4,3,IF(AT22&lt;5,4,5))))</f>
        <v>1</v>
      </c>
      <c r="AU46" s="415">
        <f t="shared" si="80"/>
        <v>1</v>
      </c>
      <c r="AV46" s="415">
        <f t="shared" si="80"/>
        <v>1</v>
      </c>
      <c r="AW46" s="415">
        <f t="shared" si="80"/>
        <v>1</v>
      </c>
      <c r="AX46" s="415">
        <f t="shared" si="80"/>
        <v>1</v>
      </c>
      <c r="AY46" s="415">
        <f t="shared" si="80"/>
        <v>1</v>
      </c>
      <c r="AZ46" s="415">
        <f t="shared" si="80"/>
        <v>1</v>
      </c>
      <c r="BA46" s="415">
        <f>IF(BA22&lt;2,1,IF(BA22&lt;3,2,IF(BA22&lt;4,3,IF(BA22&lt;5,4,5))))</f>
        <v>1</v>
      </c>
      <c r="BB46" s="415">
        <f t="shared" ref="BB46:BF46" si="81">IF(BB22&lt;2,1,IF(BB22&lt;3,2,IF(BB22&lt;4,3,IF(BB22&lt;5,4,5))))</f>
        <v>1</v>
      </c>
      <c r="BC46" s="415">
        <f t="shared" si="81"/>
        <v>1</v>
      </c>
      <c r="BD46" s="415">
        <f t="shared" si="81"/>
        <v>1</v>
      </c>
      <c r="BE46" s="415">
        <f t="shared" si="81"/>
        <v>1</v>
      </c>
      <c r="BF46" s="415">
        <f t="shared" si="81"/>
        <v>1</v>
      </c>
      <c r="BG46" s="247"/>
    </row>
    <row r="47" spans="1:59" s="1" customFormat="1">
      <c r="A47" s="430"/>
      <c r="B47" s="425"/>
      <c r="C47" s="403" t="s">
        <v>90</v>
      </c>
      <c r="D47" s="407" t="s">
        <v>91</v>
      </c>
      <c r="E47" s="72">
        <f>IF(E23&lt;20,1,IF(E23&lt;25,2,IF(E23&lt;30,3,IF(E23&lt;40,4,5))))</f>
        <v>1</v>
      </c>
      <c r="F47" s="72">
        <f>IF(F23&lt;20,1,IF(F23&lt;25,2,IF(F23&lt;30,3,IF(F23&lt;40,4,5))))</f>
        <v>1</v>
      </c>
      <c r="G47" s="72">
        <f t="shared" ref="G47:M47" si="82">IF(G23&lt;20,1,IF(G23&lt;25,2,IF(G23&lt;30,3,IF(G23&lt;40,4,5))))</f>
        <v>1</v>
      </c>
      <c r="H47" s="72">
        <f t="shared" si="82"/>
        <v>1</v>
      </c>
      <c r="I47" s="72">
        <f t="shared" si="82"/>
        <v>1</v>
      </c>
      <c r="J47" s="72">
        <f t="shared" si="82"/>
        <v>1</v>
      </c>
      <c r="K47" s="72">
        <f t="shared" si="82"/>
        <v>1</v>
      </c>
      <c r="L47" s="72">
        <f t="shared" si="82"/>
        <v>1</v>
      </c>
      <c r="M47" s="72">
        <f t="shared" si="82"/>
        <v>1</v>
      </c>
      <c r="N47" s="72">
        <f t="shared" ref="N47:S47" si="83">IF(N23&lt;20,1,IF(N23&lt;25,2,IF(N23&lt;30,3,IF(N23&lt;40,4,5))))</f>
        <v>1</v>
      </c>
      <c r="O47" s="72">
        <f t="shared" si="83"/>
        <v>1</v>
      </c>
      <c r="P47" s="72">
        <f t="shared" si="83"/>
        <v>1</v>
      </c>
      <c r="Q47" s="72">
        <f t="shared" si="83"/>
        <v>1</v>
      </c>
      <c r="R47" s="72">
        <f t="shared" si="83"/>
        <v>1</v>
      </c>
      <c r="S47" s="415">
        <f t="shared" si="83"/>
        <v>1</v>
      </c>
      <c r="T47" s="415">
        <f t="shared" ref="T47:AF47" si="84">IF(T23&lt;20,1,IF(T23&lt;25,2,IF(T23&lt;30,3,IF(T23&lt;40,4,5))))</f>
        <v>1</v>
      </c>
      <c r="U47" s="415">
        <f t="shared" si="84"/>
        <v>1</v>
      </c>
      <c r="V47" s="415">
        <f t="shared" si="84"/>
        <v>1</v>
      </c>
      <c r="W47" s="415">
        <f t="shared" si="84"/>
        <v>1</v>
      </c>
      <c r="X47" s="415">
        <f t="shared" si="84"/>
        <v>1</v>
      </c>
      <c r="Y47" s="415">
        <f t="shared" si="84"/>
        <v>1</v>
      </c>
      <c r="Z47" s="415" t="e">
        <f t="shared" si="84"/>
        <v>#DIV/0!</v>
      </c>
      <c r="AA47" s="415">
        <f t="shared" si="84"/>
        <v>1</v>
      </c>
      <c r="AB47" s="415">
        <f t="shared" si="84"/>
        <v>1</v>
      </c>
      <c r="AC47" s="415">
        <f t="shared" si="84"/>
        <v>1</v>
      </c>
      <c r="AD47" s="415">
        <f t="shared" si="84"/>
        <v>1</v>
      </c>
      <c r="AE47" s="415">
        <f t="shared" si="84"/>
        <v>1</v>
      </c>
      <c r="AF47" s="415">
        <f t="shared" si="84"/>
        <v>1</v>
      </c>
      <c r="AG47" s="415">
        <f t="shared" ref="AG47:AS47" si="85">IF(AG23&lt;20,1,IF(AG23&lt;25,2,IF(AG23&lt;30,3,IF(AG23&lt;40,4,5))))</f>
        <v>1</v>
      </c>
      <c r="AH47" s="415">
        <f t="shared" si="85"/>
        <v>1</v>
      </c>
      <c r="AI47" s="415">
        <f t="shared" si="85"/>
        <v>1</v>
      </c>
      <c r="AJ47" s="415">
        <f t="shared" si="85"/>
        <v>1</v>
      </c>
      <c r="AK47" s="415">
        <f t="shared" si="85"/>
        <v>1</v>
      </c>
      <c r="AL47" s="415">
        <f t="shared" si="85"/>
        <v>1</v>
      </c>
      <c r="AM47" s="415">
        <f t="shared" si="85"/>
        <v>1</v>
      </c>
      <c r="AN47" s="415">
        <f t="shared" si="85"/>
        <v>1</v>
      </c>
      <c r="AO47" s="415">
        <f t="shared" si="85"/>
        <v>1</v>
      </c>
      <c r="AP47" s="415">
        <f t="shared" si="85"/>
        <v>1</v>
      </c>
      <c r="AQ47" s="415">
        <f t="shared" si="85"/>
        <v>1</v>
      </c>
      <c r="AR47" s="415">
        <f t="shared" si="85"/>
        <v>1</v>
      </c>
      <c r="AS47" s="415">
        <f t="shared" si="85"/>
        <v>1</v>
      </c>
      <c r="AT47" s="415">
        <f t="shared" ref="AT47:AZ47" si="86">IF(AT23&lt;20,1,IF(AT23&lt;25,2,IF(AT23&lt;30,3,IF(AT23&lt;40,4,5))))</f>
        <v>1</v>
      </c>
      <c r="AU47" s="415">
        <f t="shared" si="86"/>
        <v>1</v>
      </c>
      <c r="AV47" s="415">
        <f t="shared" si="86"/>
        <v>1</v>
      </c>
      <c r="AW47" s="415">
        <f t="shared" si="86"/>
        <v>1</v>
      </c>
      <c r="AX47" s="415">
        <f t="shared" si="86"/>
        <v>1</v>
      </c>
      <c r="AY47" s="415">
        <f t="shared" si="86"/>
        <v>1</v>
      </c>
      <c r="AZ47" s="415">
        <f t="shared" si="86"/>
        <v>1</v>
      </c>
      <c r="BA47" s="415">
        <f>IF(BA23&lt;20,1,IF(BA23&lt;25,2,IF(BA23&lt;30,3,IF(BA23&lt;40,4,5))))</f>
        <v>1</v>
      </c>
      <c r="BB47" s="415">
        <f t="shared" ref="BB47:BF47" si="87">IF(BB23&lt;20,1,IF(BB23&lt;25,2,IF(BB23&lt;30,3,IF(BB23&lt;40,4,5))))</f>
        <v>1</v>
      </c>
      <c r="BC47" s="415">
        <f t="shared" si="87"/>
        <v>1</v>
      </c>
      <c r="BD47" s="415">
        <f t="shared" si="87"/>
        <v>1</v>
      </c>
      <c r="BE47" s="415">
        <f t="shared" si="87"/>
        <v>1</v>
      </c>
      <c r="BF47" s="415">
        <f t="shared" si="87"/>
        <v>1</v>
      </c>
      <c r="BG47" s="247"/>
    </row>
    <row r="48" spans="1:59" s="1" customFormat="1">
      <c r="A48" s="430"/>
      <c r="B48" s="425"/>
      <c r="C48" s="403" t="s">
        <v>92</v>
      </c>
      <c r="D48" s="407" t="s">
        <v>89</v>
      </c>
      <c r="E48" s="72">
        <f>IF(E23&lt;2,1,IF(E23&lt;3,2,IF(E23&lt;4,3,IF(E23&lt;5,4,5))))</f>
        <v>1</v>
      </c>
      <c r="F48" s="72">
        <f>IF(F23&lt;2,1,IF(F23&lt;3,2,IF(F23&lt;4,3,IF(F23&lt;5,4,5))))</f>
        <v>1</v>
      </c>
      <c r="G48" s="72">
        <f t="shared" ref="G48:M48" si="88">IF(G23&lt;2,1,IF(G23&lt;3,2,IF(G23&lt;4,3,IF(G23&lt;5,4,5))))</f>
        <v>1</v>
      </c>
      <c r="H48" s="72">
        <f t="shared" si="88"/>
        <v>1</v>
      </c>
      <c r="I48" s="72">
        <f t="shared" si="88"/>
        <v>1</v>
      </c>
      <c r="J48" s="72">
        <f t="shared" si="88"/>
        <v>1</v>
      </c>
      <c r="K48" s="72">
        <f t="shared" si="88"/>
        <v>1</v>
      </c>
      <c r="L48" s="72">
        <f t="shared" si="88"/>
        <v>1</v>
      </c>
      <c r="M48" s="72">
        <f t="shared" si="88"/>
        <v>1</v>
      </c>
      <c r="N48" s="72">
        <f t="shared" ref="N48:S48" si="89">IF(N23&lt;2,1,IF(N23&lt;3,2,IF(N23&lt;4,3,IF(N23&lt;5,4,5))))</f>
        <v>1</v>
      </c>
      <c r="O48" s="72">
        <f t="shared" si="89"/>
        <v>1</v>
      </c>
      <c r="P48" s="72">
        <f t="shared" si="89"/>
        <v>1</v>
      </c>
      <c r="Q48" s="72">
        <f t="shared" si="89"/>
        <v>1</v>
      </c>
      <c r="R48" s="72">
        <f t="shared" si="89"/>
        <v>1</v>
      </c>
      <c r="S48" s="415">
        <f t="shared" si="89"/>
        <v>1</v>
      </c>
      <c r="T48" s="415">
        <f t="shared" ref="T48:AF48" si="90">IF(T23&lt;2,1,IF(T23&lt;3,2,IF(T23&lt;4,3,IF(T23&lt;5,4,5))))</f>
        <v>1</v>
      </c>
      <c r="U48" s="415">
        <f t="shared" si="90"/>
        <v>1</v>
      </c>
      <c r="V48" s="415">
        <f t="shared" si="90"/>
        <v>1</v>
      </c>
      <c r="W48" s="415">
        <f t="shared" si="90"/>
        <v>1</v>
      </c>
      <c r="X48" s="415">
        <f t="shared" si="90"/>
        <v>1</v>
      </c>
      <c r="Y48" s="415">
        <f t="shared" si="90"/>
        <v>1</v>
      </c>
      <c r="Z48" s="415" t="e">
        <f t="shared" si="90"/>
        <v>#DIV/0!</v>
      </c>
      <c r="AA48" s="415">
        <f t="shared" si="90"/>
        <v>1</v>
      </c>
      <c r="AB48" s="415">
        <f t="shared" si="90"/>
        <v>1</v>
      </c>
      <c r="AC48" s="415">
        <f t="shared" si="90"/>
        <v>1</v>
      </c>
      <c r="AD48" s="415">
        <f t="shared" si="90"/>
        <v>1</v>
      </c>
      <c r="AE48" s="415">
        <f t="shared" si="90"/>
        <v>1</v>
      </c>
      <c r="AF48" s="415">
        <f t="shared" si="90"/>
        <v>1</v>
      </c>
      <c r="AG48" s="415">
        <f t="shared" ref="AG48:AS48" si="91">IF(AG23&lt;2,1,IF(AG23&lt;3,2,IF(AG23&lt;4,3,IF(AG23&lt;5,4,5))))</f>
        <v>1</v>
      </c>
      <c r="AH48" s="415">
        <f t="shared" si="91"/>
        <v>1</v>
      </c>
      <c r="AI48" s="415">
        <f t="shared" si="91"/>
        <v>1</v>
      </c>
      <c r="AJ48" s="415">
        <f t="shared" si="91"/>
        <v>1</v>
      </c>
      <c r="AK48" s="415">
        <f t="shared" si="91"/>
        <v>1</v>
      </c>
      <c r="AL48" s="415">
        <f t="shared" si="91"/>
        <v>1</v>
      </c>
      <c r="AM48" s="415">
        <f t="shared" si="91"/>
        <v>1</v>
      </c>
      <c r="AN48" s="415">
        <f t="shared" si="91"/>
        <v>1</v>
      </c>
      <c r="AO48" s="415">
        <f t="shared" si="91"/>
        <v>1</v>
      </c>
      <c r="AP48" s="415">
        <f t="shared" si="91"/>
        <v>1</v>
      </c>
      <c r="AQ48" s="415">
        <f t="shared" si="91"/>
        <v>1</v>
      </c>
      <c r="AR48" s="415">
        <f t="shared" si="91"/>
        <v>1</v>
      </c>
      <c r="AS48" s="415">
        <f t="shared" si="91"/>
        <v>1</v>
      </c>
      <c r="AT48" s="415">
        <f t="shared" ref="AT48:AZ48" si="92">IF(AT23&lt;2,1,IF(AT23&lt;3,2,IF(AT23&lt;4,3,IF(AT23&lt;5,4,5))))</f>
        <v>1</v>
      </c>
      <c r="AU48" s="415">
        <f t="shared" si="92"/>
        <v>1</v>
      </c>
      <c r="AV48" s="415">
        <f t="shared" si="92"/>
        <v>1</v>
      </c>
      <c r="AW48" s="415">
        <f t="shared" si="92"/>
        <v>1</v>
      </c>
      <c r="AX48" s="415">
        <f t="shared" si="92"/>
        <v>1</v>
      </c>
      <c r="AY48" s="415">
        <f t="shared" si="92"/>
        <v>1</v>
      </c>
      <c r="AZ48" s="415">
        <f t="shared" si="92"/>
        <v>1</v>
      </c>
      <c r="BA48" s="415">
        <f>IF(BA23&lt;2,1,IF(BA23&lt;3,2,IF(BA23&lt;4,3,IF(BA23&lt;5,4,5))))</f>
        <v>1</v>
      </c>
      <c r="BB48" s="415">
        <f t="shared" ref="BB48:BF48" si="93">IF(BB23&lt;2,1,IF(BB23&lt;3,2,IF(BB23&lt;4,3,IF(BB23&lt;5,4,5))))</f>
        <v>1</v>
      </c>
      <c r="BC48" s="415">
        <f t="shared" si="93"/>
        <v>1</v>
      </c>
      <c r="BD48" s="415">
        <f t="shared" si="93"/>
        <v>1</v>
      </c>
      <c r="BE48" s="415">
        <f t="shared" si="93"/>
        <v>1</v>
      </c>
      <c r="BF48" s="415">
        <f t="shared" si="93"/>
        <v>1</v>
      </c>
      <c r="BG48" s="247"/>
    </row>
    <row r="49" spans="1:59" s="1" customFormat="1">
      <c r="A49" s="430"/>
      <c r="B49" s="425"/>
      <c r="C49" s="403" t="s">
        <v>93</v>
      </c>
      <c r="D49" s="403" t="s">
        <v>94</v>
      </c>
      <c r="E49" s="72">
        <f>IF(E25&lt;6,1,IF(E25&lt;7,2,IF(E25&lt;8,3,IF(E25&lt;10,4,5))))</f>
        <v>1</v>
      </c>
      <c r="F49" s="72">
        <f>IF(F25&lt;6,1,IF(F25&lt;7,2,IF(F25&lt;8,3,IF(F25&lt;10,4,5))))</f>
        <v>1</v>
      </c>
      <c r="G49" s="72">
        <f t="shared" ref="G49:M49" si="94">IF(G25&lt;6,1,IF(G25&lt;7,2,IF(G25&lt;8,3,IF(G25&lt;10,4,5))))</f>
        <v>1</v>
      </c>
      <c r="H49" s="72">
        <f t="shared" si="94"/>
        <v>1</v>
      </c>
      <c r="I49" s="72">
        <f t="shared" si="94"/>
        <v>1</v>
      </c>
      <c r="J49" s="72">
        <f t="shared" si="94"/>
        <v>1</v>
      </c>
      <c r="K49" s="72">
        <f t="shared" si="94"/>
        <v>1</v>
      </c>
      <c r="L49" s="72">
        <f t="shared" si="94"/>
        <v>1</v>
      </c>
      <c r="M49" s="72">
        <f t="shared" si="94"/>
        <v>1</v>
      </c>
      <c r="N49" s="72">
        <f t="shared" ref="N49:S49" si="95">IF(N25&lt;6,1,IF(N25&lt;7,2,IF(N25&lt;8,3,IF(N25&lt;10,4,5))))</f>
        <v>1</v>
      </c>
      <c r="O49" s="72">
        <f t="shared" si="95"/>
        <v>1</v>
      </c>
      <c r="P49" s="72">
        <f t="shared" si="95"/>
        <v>1</v>
      </c>
      <c r="Q49" s="72">
        <f t="shared" si="95"/>
        <v>1</v>
      </c>
      <c r="R49" s="72">
        <f t="shared" si="95"/>
        <v>1</v>
      </c>
      <c r="S49" s="415">
        <f t="shared" si="95"/>
        <v>1</v>
      </c>
      <c r="T49" s="415">
        <f t="shared" ref="T49:AF49" si="96">IF(T25&lt;6,1,IF(T25&lt;7,2,IF(T25&lt;8,3,IF(T25&lt;10,4,5))))</f>
        <v>1</v>
      </c>
      <c r="U49" s="415">
        <f t="shared" si="96"/>
        <v>1</v>
      </c>
      <c r="V49" s="415">
        <f t="shared" si="96"/>
        <v>1</v>
      </c>
      <c r="W49" s="415">
        <f t="shared" si="96"/>
        <v>1</v>
      </c>
      <c r="X49" s="415">
        <f t="shared" si="96"/>
        <v>1</v>
      </c>
      <c r="Y49" s="415">
        <f t="shared" si="96"/>
        <v>1</v>
      </c>
      <c r="Z49" s="415" t="e">
        <f t="shared" si="96"/>
        <v>#DIV/0!</v>
      </c>
      <c r="AA49" s="415">
        <f t="shared" si="96"/>
        <v>1</v>
      </c>
      <c r="AB49" s="415">
        <f t="shared" si="96"/>
        <v>1</v>
      </c>
      <c r="AC49" s="415">
        <f t="shared" si="96"/>
        <v>1</v>
      </c>
      <c r="AD49" s="415">
        <f t="shared" si="96"/>
        <v>1</v>
      </c>
      <c r="AE49" s="415" t="e">
        <f t="shared" si="96"/>
        <v>#REF!</v>
      </c>
      <c r="AF49" s="415">
        <f t="shared" si="96"/>
        <v>1</v>
      </c>
      <c r="AG49" s="415">
        <f t="shared" ref="AG49:AS49" si="97">IF(AG25&lt;6,1,IF(AG25&lt;7,2,IF(AG25&lt;8,3,IF(AG25&lt;10,4,5))))</f>
        <v>1</v>
      </c>
      <c r="AH49" s="415">
        <f t="shared" si="97"/>
        <v>1</v>
      </c>
      <c r="AI49" s="415">
        <f t="shared" si="97"/>
        <v>1</v>
      </c>
      <c r="AJ49" s="415">
        <f t="shared" si="97"/>
        <v>1</v>
      </c>
      <c r="AK49" s="415">
        <f t="shared" si="97"/>
        <v>1</v>
      </c>
      <c r="AL49" s="415">
        <f t="shared" si="97"/>
        <v>1</v>
      </c>
      <c r="AM49" s="415">
        <f t="shared" si="97"/>
        <v>1</v>
      </c>
      <c r="AN49" s="415">
        <f t="shared" si="97"/>
        <v>1</v>
      </c>
      <c r="AO49" s="415">
        <f t="shared" si="97"/>
        <v>1</v>
      </c>
      <c r="AP49" s="415">
        <f t="shared" si="97"/>
        <v>1</v>
      </c>
      <c r="AQ49" s="415">
        <f t="shared" si="97"/>
        <v>1</v>
      </c>
      <c r="AR49" s="415">
        <f t="shared" si="97"/>
        <v>1</v>
      </c>
      <c r="AS49" s="415">
        <f t="shared" si="97"/>
        <v>1</v>
      </c>
      <c r="AT49" s="415">
        <f t="shared" ref="AT49:AZ49" si="98">IF(AT25&lt;6,1,IF(AT25&lt;7,2,IF(AT25&lt;8,3,IF(AT25&lt;10,4,5))))</f>
        <v>1</v>
      </c>
      <c r="AU49" s="415">
        <f t="shared" si="98"/>
        <v>1</v>
      </c>
      <c r="AV49" s="415">
        <f t="shared" si="98"/>
        <v>1</v>
      </c>
      <c r="AW49" s="415">
        <f t="shared" si="98"/>
        <v>1</v>
      </c>
      <c r="AX49" s="415">
        <f t="shared" si="98"/>
        <v>1</v>
      </c>
      <c r="AY49" s="415">
        <f t="shared" si="98"/>
        <v>1</v>
      </c>
      <c r="AZ49" s="415">
        <f t="shared" si="98"/>
        <v>1</v>
      </c>
      <c r="BA49" s="415">
        <f>IF(BA25&lt;6,1,IF(BA25&lt;7,2,IF(BA25&lt;8,3,IF(BA25&lt;10,4,5))))</f>
        <v>1</v>
      </c>
      <c r="BB49" s="415">
        <f t="shared" ref="BB49:BF49" si="99">IF(BB25&lt;6,1,IF(BB25&lt;7,2,IF(BB25&lt;8,3,IF(BB25&lt;10,4,5))))</f>
        <v>1</v>
      </c>
      <c r="BC49" s="415">
        <f t="shared" si="99"/>
        <v>1</v>
      </c>
      <c r="BD49" s="415">
        <f t="shared" si="99"/>
        <v>1</v>
      </c>
      <c r="BE49" s="415">
        <f t="shared" si="99"/>
        <v>1</v>
      </c>
      <c r="BF49" s="415">
        <f t="shared" si="99"/>
        <v>1</v>
      </c>
      <c r="BG49" s="247"/>
    </row>
    <row r="50" spans="1:59" s="1" customFormat="1">
      <c r="A50" s="247"/>
      <c r="B50" s="400"/>
      <c r="C50" s="400"/>
      <c r="D50" s="406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419"/>
      <c r="T50" s="419"/>
      <c r="U50" s="419"/>
      <c r="V50" s="419"/>
      <c r="W50" s="419"/>
      <c r="X50" s="419"/>
      <c r="Y50" s="419"/>
      <c r="Z50" s="419"/>
      <c r="AA50" s="419"/>
      <c r="AB50" s="419"/>
      <c r="AC50" s="419"/>
      <c r="AD50" s="419"/>
      <c r="AE50" s="419"/>
      <c r="AF50" s="419"/>
      <c r="AG50" s="419"/>
      <c r="AH50" s="419"/>
      <c r="AI50" s="419"/>
      <c r="AJ50" s="419"/>
      <c r="AK50" s="419"/>
      <c r="AL50" s="419"/>
      <c r="AM50" s="419"/>
      <c r="AN50" s="419"/>
      <c r="AO50" s="419"/>
      <c r="AP50" s="419"/>
      <c r="AQ50" s="419"/>
      <c r="AR50" s="419"/>
      <c r="AS50" s="419"/>
      <c r="AT50" s="419"/>
      <c r="AU50" s="419"/>
      <c r="AV50" s="419"/>
      <c r="AW50" s="419"/>
      <c r="AX50" s="419"/>
      <c r="AY50" s="419"/>
      <c r="AZ50" s="419"/>
      <c r="BA50" s="419"/>
      <c r="BB50" s="419"/>
      <c r="BC50" s="419"/>
      <c r="BD50" s="419"/>
      <c r="BE50" s="419"/>
      <c r="BF50" s="419"/>
      <c r="BG50" s="247"/>
    </row>
    <row r="51" spans="1:59" s="1" customFormat="1">
      <c r="A51" s="247"/>
      <c r="B51" s="400"/>
      <c r="C51" s="400"/>
      <c r="D51" s="406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419"/>
      <c r="T51" s="419"/>
      <c r="U51" s="419"/>
      <c r="V51" s="419"/>
      <c r="W51" s="419"/>
      <c r="X51" s="419"/>
      <c r="Y51" s="419"/>
      <c r="Z51" s="419"/>
      <c r="AA51" s="419"/>
      <c r="AB51" s="419"/>
      <c r="AC51" s="419"/>
      <c r="AD51" s="419"/>
      <c r="AE51" s="419"/>
      <c r="AF51" s="419"/>
      <c r="AG51" s="419"/>
      <c r="AH51" s="419"/>
      <c r="AI51" s="419"/>
      <c r="AJ51" s="419"/>
      <c r="AK51" s="419"/>
      <c r="AL51" s="419"/>
      <c r="AM51" s="419"/>
      <c r="AN51" s="419"/>
      <c r="AO51" s="419"/>
      <c r="AP51" s="419"/>
      <c r="AQ51" s="419"/>
      <c r="AR51" s="419"/>
      <c r="AS51" s="419"/>
      <c r="AT51" s="419"/>
      <c r="AU51" s="419"/>
      <c r="AV51" s="419"/>
      <c r="AW51" s="419"/>
      <c r="AX51" s="419"/>
      <c r="AY51" s="419"/>
      <c r="AZ51" s="419"/>
      <c r="BA51" s="419"/>
      <c r="BB51" s="419"/>
      <c r="BC51" s="419"/>
      <c r="BD51" s="419"/>
      <c r="BE51" s="419"/>
      <c r="BF51" s="419"/>
      <c r="BG51" s="247"/>
    </row>
    <row r="52" spans="1:59" s="1" customFormat="1" ht="12.75" customHeight="1">
      <c r="A52" s="432" t="s">
        <v>98</v>
      </c>
      <c r="B52" s="429" t="s">
        <v>97</v>
      </c>
      <c r="C52" s="403" t="s">
        <v>65</v>
      </c>
      <c r="D52" s="408"/>
      <c r="E52" s="252">
        <v>0.01</v>
      </c>
      <c r="F52" s="252">
        <v>0.01</v>
      </c>
      <c r="G52" s="252">
        <v>0.01</v>
      </c>
      <c r="H52" s="252">
        <v>0.01</v>
      </c>
      <c r="I52" s="252">
        <v>0.01</v>
      </c>
      <c r="J52" s="252">
        <v>0.01</v>
      </c>
      <c r="K52" s="252">
        <v>0.01</v>
      </c>
      <c r="L52" s="252">
        <v>0.01</v>
      </c>
      <c r="M52" s="252">
        <v>0.01</v>
      </c>
      <c r="N52" s="252">
        <v>0.01</v>
      </c>
      <c r="O52" s="252">
        <v>0.01</v>
      </c>
      <c r="P52" s="252">
        <v>0.01</v>
      </c>
      <c r="Q52" s="252">
        <v>0.01</v>
      </c>
      <c r="R52" s="252">
        <v>0.01</v>
      </c>
      <c r="S52" s="418">
        <v>0.01</v>
      </c>
      <c r="T52" s="418">
        <v>0.01</v>
      </c>
      <c r="U52" s="418">
        <v>0.01</v>
      </c>
      <c r="V52" s="418">
        <v>0.01</v>
      </c>
      <c r="W52" s="418">
        <v>0.01</v>
      </c>
      <c r="X52" s="418">
        <v>0.01</v>
      </c>
      <c r="Y52" s="418">
        <v>0.01</v>
      </c>
      <c r="Z52" s="418">
        <v>0.01</v>
      </c>
      <c r="AA52" s="418">
        <v>0.01</v>
      </c>
      <c r="AB52" s="418">
        <v>0.01</v>
      </c>
      <c r="AC52" s="418">
        <v>0.01</v>
      </c>
      <c r="AD52" s="418">
        <v>0.01</v>
      </c>
      <c r="AE52" s="418">
        <v>0.01</v>
      </c>
      <c r="AF52" s="418">
        <v>0.01</v>
      </c>
      <c r="AG52" s="418">
        <v>0.01</v>
      </c>
      <c r="AH52" s="418">
        <v>0.01</v>
      </c>
      <c r="AI52" s="418">
        <v>0.01</v>
      </c>
      <c r="AJ52" s="418">
        <v>0.01</v>
      </c>
      <c r="AK52" s="418">
        <v>0.01</v>
      </c>
      <c r="AL52" s="418">
        <v>0.01</v>
      </c>
      <c r="AM52" s="418">
        <v>0.01</v>
      </c>
      <c r="AN52" s="418">
        <v>0.01</v>
      </c>
      <c r="AO52" s="418">
        <v>0.01</v>
      </c>
      <c r="AP52" s="418">
        <v>0.01</v>
      </c>
      <c r="AQ52" s="418">
        <v>0.01</v>
      </c>
      <c r="AR52" s="418">
        <v>0.01</v>
      </c>
      <c r="AS52" s="418">
        <v>0.01</v>
      </c>
      <c r="AT52" s="418">
        <v>0.01</v>
      </c>
      <c r="AU52" s="418">
        <v>0.01</v>
      </c>
      <c r="AV52" s="418">
        <v>0.01</v>
      </c>
      <c r="AW52" s="418">
        <v>0.01</v>
      </c>
      <c r="AX52" s="418">
        <v>0.01</v>
      </c>
      <c r="AY52" s="418">
        <v>0.01</v>
      </c>
      <c r="AZ52" s="418">
        <v>0.01</v>
      </c>
      <c r="BA52" s="418">
        <v>0.01</v>
      </c>
      <c r="BB52" s="418">
        <v>0.01</v>
      </c>
      <c r="BC52" s="418">
        <v>0.01</v>
      </c>
      <c r="BD52" s="418">
        <v>0.01</v>
      </c>
      <c r="BE52" s="418">
        <v>0.01</v>
      </c>
      <c r="BF52" s="418">
        <v>0.01</v>
      </c>
      <c r="BG52" s="247"/>
    </row>
    <row r="53" spans="1:59" s="1" customFormat="1">
      <c r="A53" s="432"/>
      <c r="B53" s="429"/>
      <c r="C53" s="403" t="s">
        <v>99</v>
      </c>
      <c r="D53" s="408"/>
      <c r="E53" s="252">
        <v>0.2</v>
      </c>
      <c r="F53" s="252">
        <v>0.2</v>
      </c>
      <c r="G53" s="252">
        <v>0.2</v>
      </c>
      <c r="H53" s="252">
        <v>0.2</v>
      </c>
      <c r="I53" s="252">
        <v>0.2</v>
      </c>
      <c r="J53" s="252">
        <v>0.2</v>
      </c>
      <c r="K53" s="252">
        <v>0.2</v>
      </c>
      <c r="L53" s="252">
        <v>0.2</v>
      </c>
      <c r="M53" s="252">
        <v>0.2</v>
      </c>
      <c r="N53" s="252">
        <v>0.2</v>
      </c>
      <c r="O53" s="252">
        <v>0.2</v>
      </c>
      <c r="P53" s="252">
        <v>0.2</v>
      </c>
      <c r="Q53" s="252">
        <v>0.2</v>
      </c>
      <c r="R53" s="252">
        <v>0.2</v>
      </c>
      <c r="S53" s="418">
        <v>0.2</v>
      </c>
      <c r="T53" s="418">
        <v>0.2</v>
      </c>
      <c r="U53" s="418">
        <v>0.2</v>
      </c>
      <c r="V53" s="418">
        <v>0.2</v>
      </c>
      <c r="W53" s="418">
        <v>0.2</v>
      </c>
      <c r="X53" s="418">
        <v>0.2</v>
      </c>
      <c r="Y53" s="418">
        <v>0.2</v>
      </c>
      <c r="Z53" s="418">
        <v>0.2</v>
      </c>
      <c r="AA53" s="418">
        <v>0.2</v>
      </c>
      <c r="AB53" s="418">
        <v>0.2</v>
      </c>
      <c r="AC53" s="418">
        <v>0.2</v>
      </c>
      <c r="AD53" s="418">
        <v>0.2</v>
      </c>
      <c r="AE53" s="418">
        <v>0.2</v>
      </c>
      <c r="AF53" s="418">
        <v>0.2</v>
      </c>
      <c r="AG53" s="418">
        <v>0.2</v>
      </c>
      <c r="AH53" s="418">
        <v>0.2</v>
      </c>
      <c r="AI53" s="418">
        <v>0.2</v>
      </c>
      <c r="AJ53" s="418">
        <v>0.2</v>
      </c>
      <c r="AK53" s="418">
        <v>0.2</v>
      </c>
      <c r="AL53" s="418">
        <v>0.2</v>
      </c>
      <c r="AM53" s="418">
        <v>0.2</v>
      </c>
      <c r="AN53" s="418">
        <v>0.2</v>
      </c>
      <c r="AO53" s="418">
        <v>0.2</v>
      </c>
      <c r="AP53" s="418">
        <v>0.2</v>
      </c>
      <c r="AQ53" s="418">
        <v>0.2</v>
      </c>
      <c r="AR53" s="418">
        <v>0.2</v>
      </c>
      <c r="AS53" s="418">
        <v>0.2</v>
      </c>
      <c r="AT53" s="418">
        <v>0.2</v>
      </c>
      <c r="AU53" s="418">
        <v>0.2</v>
      </c>
      <c r="AV53" s="418">
        <v>0.2</v>
      </c>
      <c r="AW53" s="418">
        <v>0.2</v>
      </c>
      <c r="AX53" s="418">
        <v>0.2</v>
      </c>
      <c r="AY53" s="418">
        <v>0.2</v>
      </c>
      <c r="AZ53" s="418">
        <v>0.2</v>
      </c>
      <c r="BA53" s="418">
        <v>0.2</v>
      </c>
      <c r="BB53" s="418">
        <v>0.2</v>
      </c>
      <c r="BC53" s="418">
        <v>0.2</v>
      </c>
      <c r="BD53" s="418">
        <v>0.2</v>
      </c>
      <c r="BE53" s="418">
        <v>0.2</v>
      </c>
      <c r="BF53" s="418">
        <v>0.2</v>
      </c>
      <c r="BG53" s="247"/>
    </row>
    <row r="54" spans="1:59" s="1" customFormat="1">
      <c r="A54" s="432"/>
      <c r="B54" s="429"/>
      <c r="C54" s="403" t="s">
        <v>100</v>
      </c>
      <c r="D54" s="408"/>
      <c r="E54" s="252">
        <v>0.2</v>
      </c>
      <c r="F54" s="252">
        <v>0.2</v>
      </c>
      <c r="G54" s="252">
        <v>0.2</v>
      </c>
      <c r="H54" s="252">
        <v>0.2</v>
      </c>
      <c r="I54" s="252">
        <v>0.2</v>
      </c>
      <c r="J54" s="252">
        <v>0.2</v>
      </c>
      <c r="K54" s="252">
        <v>0.2</v>
      </c>
      <c r="L54" s="252">
        <v>0.2</v>
      </c>
      <c r="M54" s="252">
        <v>0.2</v>
      </c>
      <c r="N54" s="252">
        <v>0.2</v>
      </c>
      <c r="O54" s="252">
        <v>0.2</v>
      </c>
      <c r="P54" s="252">
        <v>0.2</v>
      </c>
      <c r="Q54" s="252">
        <v>0.2</v>
      </c>
      <c r="R54" s="252">
        <v>0.2</v>
      </c>
      <c r="S54" s="418">
        <v>0.2</v>
      </c>
      <c r="T54" s="418">
        <v>0.2</v>
      </c>
      <c r="U54" s="418">
        <v>0.2</v>
      </c>
      <c r="V54" s="418">
        <v>0.2</v>
      </c>
      <c r="W54" s="418">
        <v>0.2</v>
      </c>
      <c r="X54" s="418">
        <v>0.2</v>
      </c>
      <c r="Y54" s="418">
        <v>0.2</v>
      </c>
      <c r="Z54" s="418">
        <v>0.2</v>
      </c>
      <c r="AA54" s="418">
        <v>0.2</v>
      </c>
      <c r="AB54" s="418">
        <v>0.2</v>
      </c>
      <c r="AC54" s="418">
        <v>0.2</v>
      </c>
      <c r="AD54" s="418">
        <v>0.2</v>
      </c>
      <c r="AE54" s="418">
        <v>0.2</v>
      </c>
      <c r="AF54" s="418">
        <v>0.2</v>
      </c>
      <c r="AG54" s="418">
        <v>0.2</v>
      </c>
      <c r="AH54" s="418">
        <v>0.2</v>
      </c>
      <c r="AI54" s="418">
        <v>0.2</v>
      </c>
      <c r="AJ54" s="418">
        <v>0.2</v>
      </c>
      <c r="AK54" s="418">
        <v>0.2</v>
      </c>
      <c r="AL54" s="418">
        <v>0.2</v>
      </c>
      <c r="AM54" s="418">
        <v>0.2</v>
      </c>
      <c r="AN54" s="418">
        <v>0.2</v>
      </c>
      <c r="AO54" s="418">
        <v>0.2</v>
      </c>
      <c r="AP54" s="418">
        <v>0.2</v>
      </c>
      <c r="AQ54" s="418">
        <v>0.2</v>
      </c>
      <c r="AR54" s="418">
        <v>0.2</v>
      </c>
      <c r="AS54" s="418">
        <v>0.2</v>
      </c>
      <c r="AT54" s="418">
        <v>0.2</v>
      </c>
      <c r="AU54" s="418">
        <v>0.2</v>
      </c>
      <c r="AV54" s="418">
        <v>0.2</v>
      </c>
      <c r="AW54" s="418">
        <v>0.2</v>
      </c>
      <c r="AX54" s="418">
        <v>0.2</v>
      </c>
      <c r="AY54" s="418">
        <v>0.2</v>
      </c>
      <c r="AZ54" s="418">
        <v>0.2</v>
      </c>
      <c r="BA54" s="418">
        <v>0.2</v>
      </c>
      <c r="BB54" s="418">
        <v>0.2</v>
      </c>
      <c r="BC54" s="418">
        <v>0.2</v>
      </c>
      <c r="BD54" s="418">
        <v>0.2</v>
      </c>
      <c r="BE54" s="418">
        <v>0.2</v>
      </c>
      <c r="BF54" s="418">
        <v>0.2</v>
      </c>
      <c r="BG54" s="247"/>
    </row>
    <row r="55" spans="1:59" s="1" customFormat="1">
      <c r="A55" s="432"/>
      <c r="B55" s="429"/>
      <c r="C55" s="403" t="s">
        <v>101</v>
      </c>
      <c r="D55" s="408"/>
      <c r="E55" s="252">
        <v>0.2</v>
      </c>
      <c r="F55" s="252">
        <v>0.2</v>
      </c>
      <c r="G55" s="252">
        <v>0.2</v>
      </c>
      <c r="H55" s="252">
        <v>0.2</v>
      </c>
      <c r="I55" s="252">
        <v>0.2</v>
      </c>
      <c r="J55" s="252">
        <v>0.2</v>
      </c>
      <c r="K55" s="252">
        <v>0.2</v>
      </c>
      <c r="L55" s="252">
        <v>0.2</v>
      </c>
      <c r="M55" s="252">
        <v>0.2</v>
      </c>
      <c r="N55" s="252">
        <v>0.2</v>
      </c>
      <c r="O55" s="252">
        <v>0.2</v>
      </c>
      <c r="P55" s="252">
        <v>0.2</v>
      </c>
      <c r="Q55" s="252">
        <v>0.2</v>
      </c>
      <c r="R55" s="252">
        <v>0.2</v>
      </c>
      <c r="S55" s="418">
        <v>0.2</v>
      </c>
      <c r="T55" s="418">
        <v>0.2</v>
      </c>
      <c r="U55" s="418">
        <v>0.2</v>
      </c>
      <c r="V55" s="418">
        <v>0.2</v>
      </c>
      <c r="W55" s="418">
        <v>0.2</v>
      </c>
      <c r="X55" s="418">
        <v>0.2</v>
      </c>
      <c r="Y55" s="418">
        <v>0.2</v>
      </c>
      <c r="Z55" s="418">
        <v>0.2</v>
      </c>
      <c r="AA55" s="418">
        <v>0.2</v>
      </c>
      <c r="AB55" s="418">
        <v>0.2</v>
      </c>
      <c r="AC55" s="418">
        <v>0.2</v>
      </c>
      <c r="AD55" s="418">
        <v>0.2</v>
      </c>
      <c r="AE55" s="418">
        <v>0.2</v>
      </c>
      <c r="AF55" s="418">
        <v>0.2</v>
      </c>
      <c r="AG55" s="418">
        <v>0.2</v>
      </c>
      <c r="AH55" s="418">
        <v>0.2</v>
      </c>
      <c r="AI55" s="418">
        <v>0.2</v>
      </c>
      <c r="AJ55" s="418">
        <v>0.2</v>
      </c>
      <c r="AK55" s="418">
        <v>0.2</v>
      </c>
      <c r="AL55" s="418">
        <v>0.2</v>
      </c>
      <c r="AM55" s="418">
        <v>0.2</v>
      </c>
      <c r="AN55" s="418">
        <v>0.2</v>
      </c>
      <c r="AO55" s="418">
        <v>0.2</v>
      </c>
      <c r="AP55" s="418">
        <v>0.2</v>
      </c>
      <c r="AQ55" s="418">
        <v>0.2</v>
      </c>
      <c r="AR55" s="418">
        <v>0.2</v>
      </c>
      <c r="AS55" s="418">
        <v>0.2</v>
      </c>
      <c r="AT55" s="418">
        <v>0.2</v>
      </c>
      <c r="AU55" s="418">
        <v>0.2</v>
      </c>
      <c r="AV55" s="418">
        <v>0.2</v>
      </c>
      <c r="AW55" s="418">
        <v>0.2</v>
      </c>
      <c r="AX55" s="418">
        <v>0.2</v>
      </c>
      <c r="AY55" s="418">
        <v>0.2</v>
      </c>
      <c r="AZ55" s="418">
        <v>0.2</v>
      </c>
      <c r="BA55" s="418">
        <v>0.2</v>
      </c>
      <c r="BB55" s="418">
        <v>0.2</v>
      </c>
      <c r="BC55" s="418">
        <v>0.2</v>
      </c>
      <c r="BD55" s="418">
        <v>0.2</v>
      </c>
      <c r="BE55" s="418">
        <v>0.2</v>
      </c>
      <c r="BF55" s="418">
        <v>0.2</v>
      </c>
      <c r="BG55" s="247"/>
    </row>
    <row r="56" spans="1:59" s="1" customFormat="1">
      <c r="A56" s="432"/>
      <c r="B56" s="429"/>
      <c r="C56" s="403" t="s">
        <v>72</v>
      </c>
      <c r="D56" s="408"/>
      <c r="E56" s="252">
        <v>0.39</v>
      </c>
      <c r="F56" s="252">
        <v>0.39</v>
      </c>
      <c r="G56" s="252">
        <v>0.39</v>
      </c>
      <c r="H56" s="252">
        <v>0.39</v>
      </c>
      <c r="I56" s="252">
        <v>0.39</v>
      </c>
      <c r="J56" s="252">
        <v>0.39</v>
      </c>
      <c r="K56" s="252">
        <v>0.39</v>
      </c>
      <c r="L56" s="252">
        <v>0.39</v>
      </c>
      <c r="M56" s="252">
        <v>0.39</v>
      </c>
      <c r="N56" s="252">
        <v>0.39</v>
      </c>
      <c r="O56" s="252">
        <v>0.39</v>
      </c>
      <c r="P56" s="252">
        <v>0.39</v>
      </c>
      <c r="Q56" s="252">
        <v>0.39</v>
      </c>
      <c r="R56" s="252">
        <v>0.39</v>
      </c>
      <c r="S56" s="418">
        <v>0.39</v>
      </c>
      <c r="T56" s="418">
        <v>0.39</v>
      </c>
      <c r="U56" s="418">
        <v>0.39</v>
      </c>
      <c r="V56" s="418">
        <v>0.39</v>
      </c>
      <c r="W56" s="418">
        <v>0.39</v>
      </c>
      <c r="X56" s="418">
        <v>0.39</v>
      </c>
      <c r="Y56" s="418">
        <v>0.39</v>
      </c>
      <c r="Z56" s="418">
        <v>0.39</v>
      </c>
      <c r="AA56" s="418">
        <v>0.39</v>
      </c>
      <c r="AB56" s="418">
        <v>0.39</v>
      </c>
      <c r="AC56" s="418">
        <v>0.39</v>
      </c>
      <c r="AD56" s="418">
        <v>0.39</v>
      </c>
      <c r="AE56" s="418">
        <v>0.39</v>
      </c>
      <c r="AF56" s="418">
        <v>0.39</v>
      </c>
      <c r="AG56" s="418">
        <v>0.39</v>
      </c>
      <c r="AH56" s="418">
        <v>0.39</v>
      </c>
      <c r="AI56" s="418">
        <v>0.39</v>
      </c>
      <c r="AJ56" s="418">
        <v>0.39</v>
      </c>
      <c r="AK56" s="418">
        <v>0.39</v>
      </c>
      <c r="AL56" s="418">
        <v>0.39</v>
      </c>
      <c r="AM56" s="418">
        <v>0.39</v>
      </c>
      <c r="AN56" s="418">
        <v>0.39</v>
      </c>
      <c r="AO56" s="418">
        <v>0.39</v>
      </c>
      <c r="AP56" s="418">
        <v>0.39</v>
      </c>
      <c r="AQ56" s="418">
        <v>0.39</v>
      </c>
      <c r="AR56" s="418">
        <v>0.39</v>
      </c>
      <c r="AS56" s="418">
        <v>0.39</v>
      </c>
      <c r="AT56" s="418">
        <v>0.39</v>
      </c>
      <c r="AU56" s="418">
        <v>0.39</v>
      </c>
      <c r="AV56" s="418">
        <v>0.39</v>
      </c>
      <c r="AW56" s="418">
        <v>0.39</v>
      </c>
      <c r="AX56" s="418">
        <v>0.39</v>
      </c>
      <c r="AY56" s="418">
        <v>0.39</v>
      </c>
      <c r="AZ56" s="418">
        <v>0.39</v>
      </c>
      <c r="BA56" s="418">
        <v>0.39</v>
      </c>
      <c r="BB56" s="418">
        <v>0.39</v>
      </c>
      <c r="BC56" s="418">
        <v>0.39</v>
      </c>
      <c r="BD56" s="418">
        <v>0.39</v>
      </c>
      <c r="BE56" s="418">
        <v>0.39</v>
      </c>
      <c r="BF56" s="418">
        <v>0.39</v>
      </c>
      <c r="BG56" s="247"/>
    </row>
    <row r="57" spans="1:59" s="1" customFormat="1">
      <c r="A57" s="432"/>
      <c r="B57" s="429" t="s">
        <v>73</v>
      </c>
      <c r="C57" s="403" t="s">
        <v>74</v>
      </c>
      <c r="D57" s="408"/>
      <c r="E57" s="252">
        <v>0.7</v>
      </c>
      <c r="F57" s="252">
        <v>0.7</v>
      </c>
      <c r="G57" s="252">
        <v>0.7</v>
      </c>
      <c r="H57" s="252">
        <v>0.7</v>
      </c>
      <c r="I57" s="252">
        <v>0.7</v>
      </c>
      <c r="J57" s="252">
        <v>0.7</v>
      </c>
      <c r="K57" s="252">
        <v>0.7</v>
      </c>
      <c r="L57" s="252">
        <v>0.7</v>
      </c>
      <c r="M57" s="252">
        <v>0.7</v>
      </c>
      <c r="N57" s="252">
        <v>0.7</v>
      </c>
      <c r="O57" s="252">
        <v>0.7</v>
      </c>
      <c r="P57" s="252">
        <v>0.7</v>
      </c>
      <c r="Q57" s="252">
        <v>0.7</v>
      </c>
      <c r="R57" s="252">
        <v>0.7</v>
      </c>
      <c r="S57" s="418">
        <v>0.7</v>
      </c>
      <c r="T57" s="418">
        <v>0.7</v>
      </c>
      <c r="U57" s="418">
        <v>0.7</v>
      </c>
      <c r="V57" s="418">
        <v>0.7</v>
      </c>
      <c r="W57" s="418">
        <v>0.7</v>
      </c>
      <c r="X57" s="418">
        <v>0.7</v>
      </c>
      <c r="Y57" s="418">
        <v>0.7</v>
      </c>
      <c r="Z57" s="418">
        <v>0.7</v>
      </c>
      <c r="AA57" s="418">
        <v>0.7</v>
      </c>
      <c r="AB57" s="418">
        <v>0.7</v>
      </c>
      <c r="AC57" s="418">
        <v>0.7</v>
      </c>
      <c r="AD57" s="418">
        <v>0.7</v>
      </c>
      <c r="AE57" s="418">
        <v>0.7</v>
      </c>
      <c r="AF57" s="418">
        <v>0.7</v>
      </c>
      <c r="AG57" s="418">
        <v>0.7</v>
      </c>
      <c r="AH57" s="418">
        <v>0.7</v>
      </c>
      <c r="AI57" s="418">
        <v>0.7</v>
      </c>
      <c r="AJ57" s="418">
        <v>0.7</v>
      </c>
      <c r="AK57" s="418">
        <v>0.7</v>
      </c>
      <c r="AL57" s="418">
        <v>0.7</v>
      </c>
      <c r="AM57" s="418">
        <v>0.7</v>
      </c>
      <c r="AN57" s="418">
        <v>0.7</v>
      </c>
      <c r="AO57" s="418">
        <v>0.7</v>
      </c>
      <c r="AP57" s="418">
        <v>0.7</v>
      </c>
      <c r="AQ57" s="418">
        <v>0.7</v>
      </c>
      <c r="AR57" s="418">
        <v>0.7</v>
      </c>
      <c r="AS57" s="418">
        <v>0.7</v>
      </c>
      <c r="AT57" s="418">
        <v>0.7</v>
      </c>
      <c r="AU57" s="418">
        <v>0.7</v>
      </c>
      <c r="AV57" s="418">
        <v>0.7</v>
      </c>
      <c r="AW57" s="418">
        <v>0.7</v>
      </c>
      <c r="AX57" s="418">
        <v>0.7</v>
      </c>
      <c r="AY57" s="418">
        <v>0.7</v>
      </c>
      <c r="AZ57" s="418">
        <v>0.7</v>
      </c>
      <c r="BA57" s="418">
        <v>0.7</v>
      </c>
      <c r="BB57" s="418">
        <v>0.7</v>
      </c>
      <c r="BC57" s="418">
        <v>0.7</v>
      </c>
      <c r="BD57" s="418">
        <v>0.7</v>
      </c>
      <c r="BE57" s="418">
        <v>0.7</v>
      </c>
      <c r="BF57" s="418">
        <v>0.7</v>
      </c>
      <c r="BG57" s="247"/>
    </row>
    <row r="58" spans="1:59" s="1" customFormat="1">
      <c r="A58" s="432"/>
      <c r="B58" s="429"/>
      <c r="C58" s="403" t="s">
        <v>75</v>
      </c>
      <c r="D58" s="408"/>
      <c r="E58" s="252">
        <v>0.3</v>
      </c>
      <c r="F58" s="252">
        <v>0.3</v>
      </c>
      <c r="G58" s="252">
        <v>0.3</v>
      </c>
      <c r="H58" s="252">
        <v>0.3</v>
      </c>
      <c r="I58" s="252">
        <v>0.3</v>
      </c>
      <c r="J58" s="252">
        <v>0.3</v>
      </c>
      <c r="K58" s="252">
        <v>0.3</v>
      </c>
      <c r="L58" s="252">
        <v>0.3</v>
      </c>
      <c r="M58" s="252">
        <v>0.3</v>
      </c>
      <c r="N58" s="252">
        <v>0.3</v>
      </c>
      <c r="O58" s="252">
        <v>0.3</v>
      </c>
      <c r="P58" s="252">
        <v>0.3</v>
      </c>
      <c r="Q58" s="252">
        <v>0.3</v>
      </c>
      <c r="R58" s="252">
        <v>0.3</v>
      </c>
      <c r="S58" s="418">
        <v>0.3</v>
      </c>
      <c r="T58" s="418">
        <v>0.3</v>
      </c>
      <c r="U58" s="418">
        <v>0.3</v>
      </c>
      <c r="V58" s="418">
        <v>0.3</v>
      </c>
      <c r="W58" s="418">
        <v>0.3</v>
      </c>
      <c r="X58" s="418">
        <v>0.3</v>
      </c>
      <c r="Y58" s="418">
        <v>0.3</v>
      </c>
      <c r="Z58" s="418">
        <v>0.3</v>
      </c>
      <c r="AA58" s="418">
        <v>0.3</v>
      </c>
      <c r="AB58" s="418">
        <v>0.3</v>
      </c>
      <c r="AC58" s="418">
        <v>0.3</v>
      </c>
      <c r="AD58" s="418">
        <v>0.3</v>
      </c>
      <c r="AE58" s="418">
        <v>0.3</v>
      </c>
      <c r="AF58" s="418">
        <v>0.3</v>
      </c>
      <c r="AG58" s="418">
        <v>0.3</v>
      </c>
      <c r="AH58" s="418">
        <v>0.3</v>
      </c>
      <c r="AI58" s="418">
        <v>0.3</v>
      </c>
      <c r="AJ58" s="418">
        <v>0.3</v>
      </c>
      <c r="AK58" s="418">
        <v>0.3</v>
      </c>
      <c r="AL58" s="418">
        <v>0.3</v>
      </c>
      <c r="AM58" s="418">
        <v>0.3</v>
      </c>
      <c r="AN58" s="418">
        <v>0.3</v>
      </c>
      <c r="AO58" s="418">
        <v>0.3</v>
      </c>
      <c r="AP58" s="418">
        <v>0.3</v>
      </c>
      <c r="AQ58" s="418">
        <v>0.3</v>
      </c>
      <c r="AR58" s="418">
        <v>0.3</v>
      </c>
      <c r="AS58" s="418">
        <v>0.3</v>
      </c>
      <c r="AT58" s="418">
        <v>0.3</v>
      </c>
      <c r="AU58" s="418">
        <v>0.3</v>
      </c>
      <c r="AV58" s="418">
        <v>0.3</v>
      </c>
      <c r="AW58" s="418">
        <v>0.3</v>
      </c>
      <c r="AX58" s="418">
        <v>0.3</v>
      </c>
      <c r="AY58" s="418">
        <v>0.3</v>
      </c>
      <c r="AZ58" s="418">
        <v>0.3</v>
      </c>
      <c r="BA58" s="418">
        <v>0.3</v>
      </c>
      <c r="BB58" s="418">
        <v>0.3</v>
      </c>
      <c r="BC58" s="418">
        <v>0.3</v>
      </c>
      <c r="BD58" s="418">
        <v>0.3</v>
      </c>
      <c r="BE58" s="418">
        <v>0.3</v>
      </c>
      <c r="BF58" s="418">
        <v>0.3</v>
      </c>
      <c r="BG58" s="247"/>
    </row>
    <row r="59" spans="1:59" s="1" customFormat="1">
      <c r="A59" s="432"/>
      <c r="B59" s="429" t="s">
        <v>76</v>
      </c>
      <c r="C59" s="403" t="s">
        <v>77</v>
      </c>
      <c r="D59" s="408"/>
      <c r="E59" s="252">
        <v>0.5</v>
      </c>
      <c r="F59" s="252">
        <v>0.5</v>
      </c>
      <c r="G59" s="252">
        <v>0.5</v>
      </c>
      <c r="H59" s="252">
        <v>0.5</v>
      </c>
      <c r="I59" s="252">
        <v>0.5</v>
      </c>
      <c r="J59" s="252">
        <v>0.5</v>
      </c>
      <c r="K59" s="252">
        <v>0.5</v>
      </c>
      <c r="L59" s="252">
        <v>0.5</v>
      </c>
      <c r="M59" s="252">
        <v>0.5</v>
      </c>
      <c r="N59" s="252">
        <v>0.5</v>
      </c>
      <c r="O59" s="252">
        <v>0.5</v>
      </c>
      <c r="P59" s="252">
        <v>0.5</v>
      </c>
      <c r="Q59" s="252">
        <v>0.5</v>
      </c>
      <c r="R59" s="252">
        <v>0.5</v>
      </c>
      <c r="S59" s="418">
        <v>0.5</v>
      </c>
      <c r="T59" s="418">
        <v>0.5</v>
      </c>
      <c r="U59" s="418">
        <v>0.5</v>
      </c>
      <c r="V59" s="418">
        <v>0.5</v>
      </c>
      <c r="W59" s="418">
        <v>0.5</v>
      </c>
      <c r="X59" s="418">
        <v>0.5</v>
      </c>
      <c r="Y59" s="418">
        <v>0.5</v>
      </c>
      <c r="Z59" s="418">
        <v>0.5</v>
      </c>
      <c r="AA59" s="418">
        <v>0.5</v>
      </c>
      <c r="AB59" s="418">
        <v>0.5</v>
      </c>
      <c r="AC59" s="418">
        <v>0.5</v>
      </c>
      <c r="AD59" s="418">
        <v>0.5</v>
      </c>
      <c r="AE59" s="418">
        <v>0.5</v>
      </c>
      <c r="AF59" s="418">
        <v>0.5</v>
      </c>
      <c r="AG59" s="418">
        <v>0.5</v>
      </c>
      <c r="AH59" s="418">
        <v>0.5</v>
      </c>
      <c r="AI59" s="418">
        <v>0.5</v>
      </c>
      <c r="AJ59" s="418">
        <v>0.5</v>
      </c>
      <c r="AK59" s="418">
        <v>0.5</v>
      </c>
      <c r="AL59" s="418">
        <v>0.5</v>
      </c>
      <c r="AM59" s="418">
        <v>0.5</v>
      </c>
      <c r="AN59" s="418">
        <v>0.5</v>
      </c>
      <c r="AO59" s="418">
        <v>0.5</v>
      </c>
      <c r="AP59" s="418">
        <v>0.5</v>
      </c>
      <c r="AQ59" s="418">
        <v>0.5</v>
      </c>
      <c r="AR59" s="418">
        <v>0.5</v>
      </c>
      <c r="AS59" s="418">
        <v>0.5</v>
      </c>
      <c r="AT59" s="418">
        <v>0.5</v>
      </c>
      <c r="AU59" s="418">
        <v>0.5</v>
      </c>
      <c r="AV59" s="418">
        <v>0.5</v>
      </c>
      <c r="AW59" s="418">
        <v>0.5</v>
      </c>
      <c r="AX59" s="418">
        <v>0.5</v>
      </c>
      <c r="AY59" s="418">
        <v>0.5</v>
      </c>
      <c r="AZ59" s="418">
        <v>0.5</v>
      </c>
      <c r="BA59" s="418">
        <v>0.5</v>
      </c>
      <c r="BB59" s="418">
        <v>0.5</v>
      </c>
      <c r="BC59" s="418">
        <v>0.5</v>
      </c>
      <c r="BD59" s="418">
        <v>0.5</v>
      </c>
      <c r="BE59" s="418">
        <v>0.5</v>
      </c>
      <c r="BF59" s="418">
        <v>0.5</v>
      </c>
      <c r="BG59" s="247"/>
    </row>
    <row r="60" spans="1:59" s="1" customFormat="1">
      <c r="A60" s="432"/>
      <c r="B60" s="429"/>
      <c r="C60" s="403" t="s">
        <v>78</v>
      </c>
      <c r="D60" s="408"/>
      <c r="E60" s="252">
        <v>0.25</v>
      </c>
      <c r="F60" s="252">
        <v>0.25</v>
      </c>
      <c r="G60" s="252">
        <v>0.25</v>
      </c>
      <c r="H60" s="252">
        <v>0.25</v>
      </c>
      <c r="I60" s="252">
        <v>0.25</v>
      </c>
      <c r="J60" s="252">
        <v>0.25</v>
      </c>
      <c r="K60" s="252">
        <v>0.25</v>
      </c>
      <c r="L60" s="252">
        <v>0.25</v>
      </c>
      <c r="M60" s="252">
        <v>0.25</v>
      </c>
      <c r="N60" s="252">
        <v>0.25</v>
      </c>
      <c r="O60" s="252">
        <v>0.25</v>
      </c>
      <c r="P60" s="252">
        <v>0.25</v>
      </c>
      <c r="Q60" s="252">
        <v>0.25</v>
      </c>
      <c r="R60" s="252">
        <v>0.25</v>
      </c>
      <c r="S60" s="418">
        <v>0.25</v>
      </c>
      <c r="T60" s="418">
        <v>0.25</v>
      </c>
      <c r="U60" s="418">
        <v>0.25</v>
      </c>
      <c r="V60" s="418">
        <v>0.25</v>
      </c>
      <c r="W60" s="418">
        <v>0.25</v>
      </c>
      <c r="X60" s="418">
        <v>0.25</v>
      </c>
      <c r="Y60" s="418">
        <v>0.25</v>
      </c>
      <c r="Z60" s="418">
        <v>0.25</v>
      </c>
      <c r="AA60" s="418">
        <v>0.25</v>
      </c>
      <c r="AB60" s="418">
        <v>0.25</v>
      </c>
      <c r="AC60" s="418">
        <v>0.25</v>
      </c>
      <c r="AD60" s="418">
        <v>0.25</v>
      </c>
      <c r="AE60" s="418">
        <v>0.25</v>
      </c>
      <c r="AF60" s="418">
        <v>0.25</v>
      </c>
      <c r="AG60" s="418">
        <v>0.25</v>
      </c>
      <c r="AH60" s="418">
        <v>0.25</v>
      </c>
      <c r="AI60" s="418">
        <v>0.25</v>
      </c>
      <c r="AJ60" s="418">
        <v>0.25</v>
      </c>
      <c r="AK60" s="418">
        <v>0.25</v>
      </c>
      <c r="AL60" s="418">
        <v>0.25</v>
      </c>
      <c r="AM60" s="418">
        <v>0.25</v>
      </c>
      <c r="AN60" s="418">
        <v>0.25</v>
      </c>
      <c r="AO60" s="418">
        <v>0.25</v>
      </c>
      <c r="AP60" s="418">
        <v>0.25</v>
      </c>
      <c r="AQ60" s="418">
        <v>0.25</v>
      </c>
      <c r="AR60" s="418">
        <v>0.25</v>
      </c>
      <c r="AS60" s="418">
        <v>0.25</v>
      </c>
      <c r="AT60" s="418">
        <v>0.25</v>
      </c>
      <c r="AU60" s="418">
        <v>0.25</v>
      </c>
      <c r="AV60" s="418">
        <v>0.25</v>
      </c>
      <c r="AW60" s="418">
        <v>0.25</v>
      </c>
      <c r="AX60" s="418">
        <v>0.25</v>
      </c>
      <c r="AY60" s="418">
        <v>0.25</v>
      </c>
      <c r="AZ60" s="418">
        <v>0.25</v>
      </c>
      <c r="BA60" s="418">
        <v>0.25</v>
      </c>
      <c r="BB60" s="418">
        <v>0.25</v>
      </c>
      <c r="BC60" s="418">
        <v>0.25</v>
      </c>
      <c r="BD60" s="418">
        <v>0.25</v>
      </c>
      <c r="BE60" s="418">
        <v>0.25</v>
      </c>
      <c r="BF60" s="418">
        <v>0.25</v>
      </c>
      <c r="BG60" s="247"/>
    </row>
    <row r="61" spans="1:59" s="1" customFormat="1">
      <c r="A61" s="432"/>
      <c r="B61" s="429"/>
      <c r="C61" s="403" t="s">
        <v>79</v>
      </c>
      <c r="D61" s="408"/>
      <c r="E61" s="252">
        <v>0.25</v>
      </c>
      <c r="F61" s="252">
        <v>0.25</v>
      </c>
      <c r="G61" s="252">
        <v>0.25</v>
      </c>
      <c r="H61" s="252">
        <v>0.25</v>
      </c>
      <c r="I61" s="252">
        <v>0.25</v>
      </c>
      <c r="J61" s="252">
        <v>0.25</v>
      </c>
      <c r="K61" s="252">
        <v>0.25</v>
      </c>
      <c r="L61" s="252">
        <v>0.25</v>
      </c>
      <c r="M61" s="252">
        <v>0.25</v>
      </c>
      <c r="N61" s="252">
        <v>0.25</v>
      </c>
      <c r="O61" s="252">
        <v>0.25</v>
      </c>
      <c r="P61" s="252">
        <v>0.25</v>
      </c>
      <c r="Q61" s="252">
        <v>0.25</v>
      </c>
      <c r="R61" s="252">
        <v>0.25</v>
      </c>
      <c r="S61" s="418">
        <v>0.25</v>
      </c>
      <c r="T61" s="418">
        <v>0.25</v>
      </c>
      <c r="U61" s="418">
        <v>0.25</v>
      </c>
      <c r="V61" s="418">
        <v>0.25</v>
      </c>
      <c r="W61" s="418">
        <v>0.25</v>
      </c>
      <c r="X61" s="418">
        <v>0.25</v>
      </c>
      <c r="Y61" s="418">
        <v>0.25</v>
      </c>
      <c r="Z61" s="418">
        <v>0.25</v>
      </c>
      <c r="AA61" s="418">
        <v>0.25</v>
      </c>
      <c r="AB61" s="418">
        <v>0.25</v>
      </c>
      <c r="AC61" s="418">
        <v>0.25</v>
      </c>
      <c r="AD61" s="418">
        <v>0.25</v>
      </c>
      <c r="AE61" s="418">
        <v>0.25</v>
      </c>
      <c r="AF61" s="418">
        <v>0.25</v>
      </c>
      <c r="AG61" s="418">
        <v>0.25</v>
      </c>
      <c r="AH61" s="418">
        <v>0.25</v>
      </c>
      <c r="AI61" s="418">
        <v>0.25</v>
      </c>
      <c r="AJ61" s="418">
        <v>0.25</v>
      </c>
      <c r="AK61" s="418">
        <v>0.25</v>
      </c>
      <c r="AL61" s="418">
        <v>0.25</v>
      </c>
      <c r="AM61" s="418">
        <v>0.25</v>
      </c>
      <c r="AN61" s="418">
        <v>0.25</v>
      </c>
      <c r="AO61" s="418">
        <v>0.25</v>
      </c>
      <c r="AP61" s="418">
        <v>0.25</v>
      </c>
      <c r="AQ61" s="418">
        <v>0.25</v>
      </c>
      <c r="AR61" s="418">
        <v>0.25</v>
      </c>
      <c r="AS61" s="418">
        <v>0.25</v>
      </c>
      <c r="AT61" s="418">
        <v>0.25</v>
      </c>
      <c r="AU61" s="418">
        <v>0.25</v>
      </c>
      <c r="AV61" s="418">
        <v>0.25</v>
      </c>
      <c r="AW61" s="418">
        <v>0.25</v>
      </c>
      <c r="AX61" s="418">
        <v>0.25</v>
      </c>
      <c r="AY61" s="418">
        <v>0.25</v>
      </c>
      <c r="AZ61" s="418">
        <v>0.25</v>
      </c>
      <c r="BA61" s="418">
        <v>0.25</v>
      </c>
      <c r="BB61" s="418">
        <v>0.25</v>
      </c>
      <c r="BC61" s="418">
        <v>0.25</v>
      </c>
      <c r="BD61" s="418">
        <v>0.25</v>
      </c>
      <c r="BE61" s="418">
        <v>0.25</v>
      </c>
      <c r="BF61" s="418">
        <v>0.25</v>
      </c>
      <c r="BG61" s="247"/>
    </row>
    <row r="62" spans="1:59" s="1" customFormat="1">
      <c r="A62" s="432"/>
      <c r="B62" s="429" t="s">
        <v>80</v>
      </c>
      <c r="C62" s="403" t="s">
        <v>81</v>
      </c>
      <c r="D62" s="408"/>
      <c r="E62" s="252">
        <v>0.4</v>
      </c>
      <c r="F62" s="252">
        <v>0.4</v>
      </c>
      <c r="G62" s="252">
        <v>0.4</v>
      </c>
      <c r="H62" s="252">
        <v>0.4</v>
      </c>
      <c r="I62" s="252">
        <v>0.4</v>
      </c>
      <c r="J62" s="252">
        <v>0.4</v>
      </c>
      <c r="K62" s="252">
        <v>0.4</v>
      </c>
      <c r="L62" s="252">
        <v>0.4</v>
      </c>
      <c r="M62" s="252">
        <v>0.4</v>
      </c>
      <c r="N62" s="252">
        <v>0.4</v>
      </c>
      <c r="O62" s="252">
        <v>0.4</v>
      </c>
      <c r="P62" s="252">
        <v>0.4</v>
      </c>
      <c r="Q62" s="252">
        <v>0.4</v>
      </c>
      <c r="R62" s="252">
        <v>0.4</v>
      </c>
      <c r="S62" s="418">
        <v>0.4</v>
      </c>
      <c r="T62" s="418">
        <v>0.4</v>
      </c>
      <c r="U62" s="418">
        <v>0.4</v>
      </c>
      <c r="V62" s="418">
        <v>0.4</v>
      </c>
      <c r="W62" s="418">
        <v>0.4</v>
      </c>
      <c r="X62" s="418">
        <v>0.4</v>
      </c>
      <c r="Y62" s="418">
        <v>0.4</v>
      </c>
      <c r="Z62" s="418">
        <v>0.4</v>
      </c>
      <c r="AA62" s="418">
        <v>0.4</v>
      </c>
      <c r="AB62" s="418">
        <v>0.4</v>
      </c>
      <c r="AC62" s="418">
        <v>0.4</v>
      </c>
      <c r="AD62" s="418">
        <v>0.4</v>
      </c>
      <c r="AE62" s="418">
        <v>0.4</v>
      </c>
      <c r="AF62" s="418">
        <v>0.4</v>
      </c>
      <c r="AG62" s="418">
        <v>0.4</v>
      </c>
      <c r="AH62" s="418">
        <v>0.4</v>
      </c>
      <c r="AI62" s="418">
        <v>0.4</v>
      </c>
      <c r="AJ62" s="418">
        <v>0.4</v>
      </c>
      <c r="AK62" s="418">
        <v>0.4</v>
      </c>
      <c r="AL62" s="418">
        <v>0.4</v>
      </c>
      <c r="AM62" s="418">
        <v>0.4</v>
      </c>
      <c r="AN62" s="418">
        <v>0.4</v>
      </c>
      <c r="AO62" s="418">
        <v>0.4</v>
      </c>
      <c r="AP62" s="418">
        <v>0.4</v>
      </c>
      <c r="AQ62" s="418">
        <v>0.4</v>
      </c>
      <c r="AR62" s="418">
        <v>0.4</v>
      </c>
      <c r="AS62" s="418">
        <v>0.4</v>
      </c>
      <c r="AT62" s="418">
        <v>0.4</v>
      </c>
      <c r="AU62" s="418">
        <v>0.4</v>
      </c>
      <c r="AV62" s="418">
        <v>0.4</v>
      </c>
      <c r="AW62" s="418">
        <v>0.4</v>
      </c>
      <c r="AX62" s="418">
        <v>0.4</v>
      </c>
      <c r="AY62" s="418">
        <v>0.4</v>
      </c>
      <c r="AZ62" s="418">
        <v>0.4</v>
      </c>
      <c r="BA62" s="418">
        <v>0.4</v>
      </c>
      <c r="BB62" s="418">
        <v>0.4</v>
      </c>
      <c r="BC62" s="418">
        <v>0.4</v>
      </c>
      <c r="BD62" s="418">
        <v>0.4</v>
      </c>
      <c r="BE62" s="418">
        <v>0.4</v>
      </c>
      <c r="BF62" s="418">
        <v>0.4</v>
      </c>
      <c r="BG62" s="247"/>
    </row>
    <row r="63" spans="1:59" s="1" customFormat="1">
      <c r="A63" s="432"/>
      <c r="B63" s="429"/>
      <c r="C63" s="403" t="s">
        <v>83</v>
      </c>
      <c r="D63" s="408"/>
      <c r="E63" s="252">
        <v>0.2</v>
      </c>
      <c r="F63" s="252">
        <v>0.2</v>
      </c>
      <c r="G63" s="252">
        <v>0.2</v>
      </c>
      <c r="H63" s="252">
        <v>0.2</v>
      </c>
      <c r="I63" s="252">
        <v>0.2</v>
      </c>
      <c r="J63" s="252">
        <v>0.2</v>
      </c>
      <c r="K63" s="252">
        <v>0.2</v>
      </c>
      <c r="L63" s="252">
        <v>0.2</v>
      </c>
      <c r="M63" s="252">
        <v>0.2</v>
      </c>
      <c r="N63" s="252">
        <v>0.2</v>
      </c>
      <c r="O63" s="252">
        <v>0.2</v>
      </c>
      <c r="P63" s="252">
        <v>0.2</v>
      </c>
      <c r="Q63" s="252">
        <v>0.2</v>
      </c>
      <c r="R63" s="252">
        <v>0.2</v>
      </c>
      <c r="S63" s="418">
        <v>0.2</v>
      </c>
      <c r="T63" s="418">
        <v>0.2</v>
      </c>
      <c r="U63" s="418">
        <v>0.2</v>
      </c>
      <c r="V63" s="418">
        <v>0.2</v>
      </c>
      <c r="W63" s="418">
        <v>0.2</v>
      </c>
      <c r="X63" s="418">
        <v>0.2</v>
      </c>
      <c r="Y63" s="418">
        <v>0.2</v>
      </c>
      <c r="Z63" s="418">
        <v>0.2</v>
      </c>
      <c r="AA63" s="418">
        <v>0.2</v>
      </c>
      <c r="AB63" s="418">
        <v>0.2</v>
      </c>
      <c r="AC63" s="418">
        <v>0.2</v>
      </c>
      <c r="AD63" s="418">
        <v>0.2</v>
      </c>
      <c r="AE63" s="418">
        <v>0.2</v>
      </c>
      <c r="AF63" s="418">
        <v>0.2</v>
      </c>
      <c r="AG63" s="418">
        <v>0.2</v>
      </c>
      <c r="AH63" s="418">
        <v>0.2</v>
      </c>
      <c r="AI63" s="418">
        <v>0.2</v>
      </c>
      <c r="AJ63" s="418">
        <v>0.2</v>
      </c>
      <c r="AK63" s="418">
        <v>0.2</v>
      </c>
      <c r="AL63" s="418">
        <v>0.2</v>
      </c>
      <c r="AM63" s="418">
        <v>0.2</v>
      </c>
      <c r="AN63" s="418">
        <v>0.2</v>
      </c>
      <c r="AO63" s="418">
        <v>0.2</v>
      </c>
      <c r="AP63" s="418">
        <v>0.2</v>
      </c>
      <c r="AQ63" s="418">
        <v>0.2</v>
      </c>
      <c r="AR63" s="418">
        <v>0.2</v>
      </c>
      <c r="AS63" s="418">
        <v>0.2</v>
      </c>
      <c r="AT63" s="418">
        <v>0.2</v>
      </c>
      <c r="AU63" s="418">
        <v>0.2</v>
      </c>
      <c r="AV63" s="418">
        <v>0.2</v>
      </c>
      <c r="AW63" s="418">
        <v>0.2</v>
      </c>
      <c r="AX63" s="418">
        <v>0.2</v>
      </c>
      <c r="AY63" s="418">
        <v>0.2</v>
      </c>
      <c r="AZ63" s="418">
        <v>0.2</v>
      </c>
      <c r="BA63" s="418">
        <v>0.2</v>
      </c>
      <c r="BB63" s="418">
        <v>0.2</v>
      </c>
      <c r="BC63" s="418">
        <v>0.2</v>
      </c>
      <c r="BD63" s="418">
        <v>0.2</v>
      </c>
      <c r="BE63" s="418">
        <v>0.2</v>
      </c>
      <c r="BF63" s="418">
        <v>0.2</v>
      </c>
      <c r="BG63" s="247"/>
    </row>
    <row r="64" spans="1:59" s="1" customFormat="1">
      <c r="A64" s="432"/>
      <c r="B64" s="429"/>
      <c r="C64" s="403" t="s">
        <v>84</v>
      </c>
      <c r="D64" s="408"/>
      <c r="E64" s="252">
        <v>0.2</v>
      </c>
      <c r="F64" s="252">
        <v>0.2</v>
      </c>
      <c r="G64" s="252">
        <v>0.2</v>
      </c>
      <c r="H64" s="252">
        <v>0.2</v>
      </c>
      <c r="I64" s="252">
        <v>0.2</v>
      </c>
      <c r="J64" s="252">
        <v>0.2</v>
      </c>
      <c r="K64" s="252">
        <v>0.2</v>
      </c>
      <c r="L64" s="252">
        <v>0.2</v>
      </c>
      <c r="M64" s="252">
        <v>0.2</v>
      </c>
      <c r="N64" s="252">
        <v>0.2</v>
      </c>
      <c r="O64" s="252">
        <v>0.2</v>
      </c>
      <c r="P64" s="252">
        <v>0.2</v>
      </c>
      <c r="Q64" s="252">
        <v>0.2</v>
      </c>
      <c r="R64" s="252">
        <v>0.2</v>
      </c>
      <c r="S64" s="418">
        <v>0.2</v>
      </c>
      <c r="T64" s="418">
        <v>0.2</v>
      </c>
      <c r="U64" s="418">
        <v>0.2</v>
      </c>
      <c r="V64" s="418">
        <v>0.2</v>
      </c>
      <c r="W64" s="418">
        <v>0.2</v>
      </c>
      <c r="X64" s="418">
        <v>0.2</v>
      </c>
      <c r="Y64" s="418">
        <v>0.2</v>
      </c>
      <c r="Z64" s="418">
        <v>0.2</v>
      </c>
      <c r="AA64" s="418">
        <v>0.2</v>
      </c>
      <c r="AB64" s="418">
        <v>0.2</v>
      </c>
      <c r="AC64" s="418">
        <v>0.2</v>
      </c>
      <c r="AD64" s="418">
        <v>0.2</v>
      </c>
      <c r="AE64" s="418">
        <v>0.2</v>
      </c>
      <c r="AF64" s="418">
        <v>0.2</v>
      </c>
      <c r="AG64" s="418">
        <v>0.2</v>
      </c>
      <c r="AH64" s="418">
        <v>0.2</v>
      </c>
      <c r="AI64" s="418">
        <v>0.2</v>
      </c>
      <c r="AJ64" s="418">
        <v>0.2</v>
      </c>
      <c r="AK64" s="418">
        <v>0.2</v>
      </c>
      <c r="AL64" s="418">
        <v>0.2</v>
      </c>
      <c r="AM64" s="418">
        <v>0.2</v>
      </c>
      <c r="AN64" s="418">
        <v>0.2</v>
      </c>
      <c r="AO64" s="418">
        <v>0.2</v>
      </c>
      <c r="AP64" s="418">
        <v>0.2</v>
      </c>
      <c r="AQ64" s="418">
        <v>0.2</v>
      </c>
      <c r="AR64" s="418">
        <v>0.2</v>
      </c>
      <c r="AS64" s="418">
        <v>0.2</v>
      </c>
      <c r="AT64" s="418">
        <v>0.2</v>
      </c>
      <c r="AU64" s="418">
        <v>0.2</v>
      </c>
      <c r="AV64" s="418">
        <v>0.2</v>
      </c>
      <c r="AW64" s="418">
        <v>0.2</v>
      </c>
      <c r="AX64" s="418">
        <v>0.2</v>
      </c>
      <c r="AY64" s="418">
        <v>0.2</v>
      </c>
      <c r="AZ64" s="418">
        <v>0.2</v>
      </c>
      <c r="BA64" s="418">
        <v>0.2</v>
      </c>
      <c r="BB64" s="418">
        <v>0.2</v>
      </c>
      <c r="BC64" s="418">
        <v>0.2</v>
      </c>
      <c r="BD64" s="418">
        <v>0.2</v>
      </c>
      <c r="BE64" s="418">
        <v>0.2</v>
      </c>
      <c r="BF64" s="418">
        <v>0.2</v>
      </c>
      <c r="BG64" s="247"/>
    </row>
    <row r="65" spans="1:59" s="1" customFormat="1">
      <c r="A65" s="432"/>
      <c r="B65" s="429"/>
      <c r="C65" s="403" t="s">
        <v>86</v>
      </c>
      <c r="D65" s="408"/>
      <c r="E65" s="252">
        <v>0.2</v>
      </c>
      <c r="F65" s="252">
        <v>0.2</v>
      </c>
      <c r="G65" s="252">
        <v>0.2</v>
      </c>
      <c r="H65" s="252">
        <v>0.2</v>
      </c>
      <c r="I65" s="252">
        <v>0.2</v>
      </c>
      <c r="J65" s="252">
        <v>0.2</v>
      </c>
      <c r="K65" s="252">
        <v>0.2</v>
      </c>
      <c r="L65" s="252">
        <v>0.2</v>
      </c>
      <c r="M65" s="252">
        <v>0.2</v>
      </c>
      <c r="N65" s="252">
        <v>0.2</v>
      </c>
      <c r="O65" s="252">
        <v>0.2</v>
      </c>
      <c r="P65" s="252">
        <v>0.2</v>
      </c>
      <c r="Q65" s="252">
        <v>0.2</v>
      </c>
      <c r="R65" s="252">
        <v>0.2</v>
      </c>
      <c r="S65" s="418">
        <v>0.2</v>
      </c>
      <c r="T65" s="418">
        <v>0.2</v>
      </c>
      <c r="U65" s="418">
        <v>0.2</v>
      </c>
      <c r="V65" s="418">
        <v>0.2</v>
      </c>
      <c r="W65" s="418">
        <v>0.2</v>
      </c>
      <c r="X65" s="418">
        <v>0.2</v>
      </c>
      <c r="Y65" s="418">
        <v>0.2</v>
      </c>
      <c r="Z65" s="418">
        <v>0.2</v>
      </c>
      <c r="AA65" s="418">
        <v>0.2</v>
      </c>
      <c r="AB65" s="418">
        <v>0.2</v>
      </c>
      <c r="AC65" s="418">
        <v>0.2</v>
      </c>
      <c r="AD65" s="418">
        <v>0.2</v>
      </c>
      <c r="AE65" s="418">
        <v>0.2</v>
      </c>
      <c r="AF65" s="418">
        <v>0.2</v>
      </c>
      <c r="AG65" s="418">
        <v>0.2</v>
      </c>
      <c r="AH65" s="418">
        <v>0.2</v>
      </c>
      <c r="AI65" s="418">
        <v>0.2</v>
      </c>
      <c r="AJ65" s="418">
        <v>0.2</v>
      </c>
      <c r="AK65" s="418">
        <v>0.2</v>
      </c>
      <c r="AL65" s="418">
        <v>0.2</v>
      </c>
      <c r="AM65" s="418">
        <v>0.2</v>
      </c>
      <c r="AN65" s="418">
        <v>0.2</v>
      </c>
      <c r="AO65" s="418">
        <v>0.2</v>
      </c>
      <c r="AP65" s="418">
        <v>0.2</v>
      </c>
      <c r="AQ65" s="418">
        <v>0.2</v>
      </c>
      <c r="AR65" s="418">
        <v>0.2</v>
      </c>
      <c r="AS65" s="418">
        <v>0.2</v>
      </c>
      <c r="AT65" s="418">
        <v>0.2</v>
      </c>
      <c r="AU65" s="418">
        <v>0.2</v>
      </c>
      <c r="AV65" s="418">
        <v>0.2</v>
      </c>
      <c r="AW65" s="418">
        <v>0.2</v>
      </c>
      <c r="AX65" s="418">
        <v>0.2</v>
      </c>
      <c r="AY65" s="418">
        <v>0.2</v>
      </c>
      <c r="AZ65" s="418">
        <v>0.2</v>
      </c>
      <c r="BA65" s="418">
        <v>0.2</v>
      </c>
      <c r="BB65" s="418">
        <v>0.2</v>
      </c>
      <c r="BC65" s="418">
        <v>0.2</v>
      </c>
      <c r="BD65" s="418">
        <v>0.2</v>
      </c>
      <c r="BE65" s="418">
        <v>0.2</v>
      </c>
      <c r="BF65" s="418">
        <v>0.2</v>
      </c>
      <c r="BG65" s="247"/>
    </row>
    <row r="66" spans="1:59" s="1" customFormat="1">
      <c r="A66" s="432"/>
      <c r="B66" s="429" t="s">
        <v>87</v>
      </c>
      <c r="C66" s="403" t="s">
        <v>102</v>
      </c>
      <c r="D66" s="408"/>
      <c r="E66" s="252">
        <v>0.25</v>
      </c>
      <c r="F66" s="252">
        <v>0.25</v>
      </c>
      <c r="G66" s="252">
        <v>0.25</v>
      </c>
      <c r="H66" s="252">
        <v>0.25</v>
      </c>
      <c r="I66" s="252">
        <v>0.25</v>
      </c>
      <c r="J66" s="252">
        <v>0.25</v>
      </c>
      <c r="K66" s="252">
        <v>0.25</v>
      </c>
      <c r="L66" s="252">
        <v>0.25</v>
      </c>
      <c r="M66" s="252">
        <v>0.25</v>
      </c>
      <c r="N66" s="252">
        <v>0.25</v>
      </c>
      <c r="O66" s="252">
        <v>0.25</v>
      </c>
      <c r="P66" s="252">
        <v>0.25</v>
      </c>
      <c r="Q66" s="252">
        <v>0.25</v>
      </c>
      <c r="R66" s="252">
        <v>0.25</v>
      </c>
      <c r="S66" s="418">
        <v>0.25</v>
      </c>
      <c r="T66" s="418">
        <v>0.25</v>
      </c>
      <c r="U66" s="418">
        <v>0.25</v>
      </c>
      <c r="V66" s="418">
        <v>0.25</v>
      </c>
      <c r="W66" s="418">
        <v>0.25</v>
      </c>
      <c r="X66" s="418">
        <v>0.25</v>
      </c>
      <c r="Y66" s="418">
        <v>0.25</v>
      </c>
      <c r="Z66" s="418">
        <v>0.25</v>
      </c>
      <c r="AA66" s="418">
        <v>0.25</v>
      </c>
      <c r="AB66" s="418">
        <v>0.25</v>
      </c>
      <c r="AC66" s="418">
        <v>0.25</v>
      </c>
      <c r="AD66" s="418">
        <v>0.25</v>
      </c>
      <c r="AE66" s="418">
        <v>0.25</v>
      </c>
      <c r="AF66" s="418">
        <v>0.25</v>
      </c>
      <c r="AG66" s="418">
        <v>0.25</v>
      </c>
      <c r="AH66" s="418">
        <v>0.25</v>
      </c>
      <c r="AI66" s="418">
        <v>0.25</v>
      </c>
      <c r="AJ66" s="418">
        <v>0.25</v>
      </c>
      <c r="AK66" s="418">
        <v>0.25</v>
      </c>
      <c r="AL66" s="418">
        <v>0.25</v>
      </c>
      <c r="AM66" s="418">
        <v>0.25</v>
      </c>
      <c r="AN66" s="418">
        <v>0.25</v>
      </c>
      <c r="AO66" s="418">
        <v>0.25</v>
      </c>
      <c r="AP66" s="418">
        <v>0.25</v>
      </c>
      <c r="AQ66" s="418">
        <v>0.25</v>
      </c>
      <c r="AR66" s="418">
        <v>0.25</v>
      </c>
      <c r="AS66" s="418">
        <v>0.25</v>
      </c>
      <c r="AT66" s="418">
        <v>0.25</v>
      </c>
      <c r="AU66" s="418">
        <v>0.25</v>
      </c>
      <c r="AV66" s="418">
        <v>0.25</v>
      </c>
      <c r="AW66" s="418">
        <v>0.25</v>
      </c>
      <c r="AX66" s="418">
        <v>0.25</v>
      </c>
      <c r="AY66" s="418">
        <v>0.25</v>
      </c>
      <c r="AZ66" s="418">
        <v>0.25</v>
      </c>
      <c r="BA66" s="418">
        <v>0.25</v>
      </c>
      <c r="BB66" s="418">
        <v>0.25</v>
      </c>
      <c r="BC66" s="418">
        <v>0.25</v>
      </c>
      <c r="BD66" s="418">
        <v>0.25</v>
      </c>
      <c r="BE66" s="418">
        <v>0.25</v>
      </c>
      <c r="BF66" s="418">
        <v>0.25</v>
      </c>
      <c r="BG66" s="247"/>
    </row>
    <row r="67" spans="1:59" s="1" customFormat="1">
      <c r="A67" s="432"/>
      <c r="B67" s="429"/>
      <c r="C67" s="403" t="s">
        <v>103</v>
      </c>
      <c r="D67" s="408"/>
      <c r="E67" s="252">
        <v>0.25</v>
      </c>
      <c r="F67" s="252">
        <v>0.25</v>
      </c>
      <c r="G67" s="252">
        <v>0.25</v>
      </c>
      <c r="H67" s="252">
        <v>0.25</v>
      </c>
      <c r="I67" s="252">
        <v>0.25</v>
      </c>
      <c r="J67" s="252">
        <v>0.25</v>
      </c>
      <c r="K67" s="252">
        <v>0.25</v>
      </c>
      <c r="L67" s="252">
        <v>0.25</v>
      </c>
      <c r="M67" s="252">
        <v>0.25</v>
      </c>
      <c r="N67" s="252">
        <v>0.25</v>
      </c>
      <c r="O67" s="252">
        <v>0.25</v>
      </c>
      <c r="P67" s="252">
        <v>0.25</v>
      </c>
      <c r="Q67" s="252">
        <v>0.25</v>
      </c>
      <c r="R67" s="252">
        <v>0.25</v>
      </c>
      <c r="S67" s="418">
        <v>0.25</v>
      </c>
      <c r="T67" s="418">
        <v>0.25</v>
      </c>
      <c r="U67" s="418">
        <v>0.25</v>
      </c>
      <c r="V67" s="418">
        <v>0.25</v>
      </c>
      <c r="W67" s="418">
        <v>0.25</v>
      </c>
      <c r="X67" s="418">
        <v>0.25</v>
      </c>
      <c r="Y67" s="418">
        <v>0.25</v>
      </c>
      <c r="Z67" s="418">
        <v>0.25</v>
      </c>
      <c r="AA67" s="418">
        <v>0.25</v>
      </c>
      <c r="AB67" s="418">
        <v>0.25</v>
      </c>
      <c r="AC67" s="418">
        <v>0.25</v>
      </c>
      <c r="AD67" s="418">
        <v>0.25</v>
      </c>
      <c r="AE67" s="418">
        <v>0.25</v>
      </c>
      <c r="AF67" s="418">
        <v>0.25</v>
      </c>
      <c r="AG67" s="418">
        <v>0.25</v>
      </c>
      <c r="AH67" s="418">
        <v>0.25</v>
      </c>
      <c r="AI67" s="418">
        <v>0.25</v>
      </c>
      <c r="AJ67" s="418">
        <v>0.25</v>
      </c>
      <c r="AK67" s="418">
        <v>0.25</v>
      </c>
      <c r="AL67" s="418">
        <v>0.25</v>
      </c>
      <c r="AM67" s="418">
        <v>0.25</v>
      </c>
      <c r="AN67" s="418">
        <v>0.25</v>
      </c>
      <c r="AO67" s="418">
        <v>0.25</v>
      </c>
      <c r="AP67" s="418">
        <v>0.25</v>
      </c>
      <c r="AQ67" s="418">
        <v>0.25</v>
      </c>
      <c r="AR67" s="418">
        <v>0.25</v>
      </c>
      <c r="AS67" s="418">
        <v>0.25</v>
      </c>
      <c r="AT67" s="418">
        <v>0.25</v>
      </c>
      <c r="AU67" s="418">
        <v>0.25</v>
      </c>
      <c r="AV67" s="418">
        <v>0.25</v>
      </c>
      <c r="AW67" s="418">
        <v>0.25</v>
      </c>
      <c r="AX67" s="418">
        <v>0.25</v>
      </c>
      <c r="AY67" s="418">
        <v>0.25</v>
      </c>
      <c r="AZ67" s="418">
        <v>0.25</v>
      </c>
      <c r="BA67" s="418">
        <v>0.25</v>
      </c>
      <c r="BB67" s="418">
        <v>0.25</v>
      </c>
      <c r="BC67" s="418">
        <v>0.25</v>
      </c>
      <c r="BD67" s="418">
        <v>0.25</v>
      </c>
      <c r="BE67" s="418">
        <v>0.25</v>
      </c>
      <c r="BF67" s="418">
        <v>0.25</v>
      </c>
      <c r="BG67" s="247"/>
    </row>
    <row r="68" spans="1:59" s="1" customFormat="1">
      <c r="A68" s="432"/>
      <c r="B68" s="429"/>
      <c r="C68" s="403" t="s">
        <v>104</v>
      </c>
      <c r="D68" s="408"/>
      <c r="E68" s="252">
        <v>0.25</v>
      </c>
      <c r="F68" s="252">
        <v>0.25</v>
      </c>
      <c r="G68" s="252">
        <v>0.25</v>
      </c>
      <c r="H68" s="252">
        <v>0.25</v>
      </c>
      <c r="I68" s="252">
        <v>0.25</v>
      </c>
      <c r="J68" s="252">
        <v>0.25</v>
      </c>
      <c r="K68" s="252">
        <v>0.25</v>
      </c>
      <c r="L68" s="252">
        <v>0.25</v>
      </c>
      <c r="M68" s="252">
        <v>0.25</v>
      </c>
      <c r="N68" s="252">
        <v>0.25</v>
      </c>
      <c r="O68" s="252">
        <v>0.25</v>
      </c>
      <c r="P68" s="252">
        <v>0.25</v>
      </c>
      <c r="Q68" s="252">
        <v>0.25</v>
      </c>
      <c r="R68" s="252">
        <v>0.25</v>
      </c>
      <c r="S68" s="418">
        <v>0.25</v>
      </c>
      <c r="T68" s="418">
        <v>0.25</v>
      </c>
      <c r="U68" s="418">
        <v>0.25</v>
      </c>
      <c r="V68" s="418">
        <v>0.25</v>
      </c>
      <c r="W68" s="418">
        <v>0.25</v>
      </c>
      <c r="X68" s="418">
        <v>0.25</v>
      </c>
      <c r="Y68" s="418">
        <v>0.25</v>
      </c>
      <c r="Z68" s="418">
        <v>0.25</v>
      </c>
      <c r="AA68" s="418">
        <v>0.25</v>
      </c>
      <c r="AB68" s="418">
        <v>0.25</v>
      </c>
      <c r="AC68" s="418">
        <v>0.25</v>
      </c>
      <c r="AD68" s="418">
        <v>0.25</v>
      </c>
      <c r="AE68" s="418">
        <v>0.25</v>
      </c>
      <c r="AF68" s="418">
        <v>0.25</v>
      </c>
      <c r="AG68" s="418">
        <v>0.25</v>
      </c>
      <c r="AH68" s="418">
        <v>0.25</v>
      </c>
      <c r="AI68" s="418">
        <v>0.25</v>
      </c>
      <c r="AJ68" s="418">
        <v>0.25</v>
      </c>
      <c r="AK68" s="418">
        <v>0.25</v>
      </c>
      <c r="AL68" s="418">
        <v>0.25</v>
      </c>
      <c r="AM68" s="418">
        <v>0.25</v>
      </c>
      <c r="AN68" s="418">
        <v>0.25</v>
      </c>
      <c r="AO68" s="418">
        <v>0.25</v>
      </c>
      <c r="AP68" s="418">
        <v>0.25</v>
      </c>
      <c r="AQ68" s="418">
        <v>0.25</v>
      </c>
      <c r="AR68" s="418">
        <v>0.25</v>
      </c>
      <c r="AS68" s="418">
        <v>0.25</v>
      </c>
      <c r="AT68" s="418">
        <v>0.25</v>
      </c>
      <c r="AU68" s="418">
        <v>0.25</v>
      </c>
      <c r="AV68" s="418">
        <v>0.25</v>
      </c>
      <c r="AW68" s="418">
        <v>0.25</v>
      </c>
      <c r="AX68" s="418">
        <v>0.25</v>
      </c>
      <c r="AY68" s="418">
        <v>0.25</v>
      </c>
      <c r="AZ68" s="418">
        <v>0.25</v>
      </c>
      <c r="BA68" s="418">
        <v>0.25</v>
      </c>
      <c r="BB68" s="418">
        <v>0.25</v>
      </c>
      <c r="BC68" s="418">
        <v>0.25</v>
      </c>
      <c r="BD68" s="418">
        <v>0.25</v>
      </c>
      <c r="BE68" s="418">
        <v>0.25</v>
      </c>
      <c r="BF68" s="418">
        <v>0.25</v>
      </c>
      <c r="BG68" s="247"/>
    </row>
    <row r="69" spans="1:59" s="1" customFormat="1">
      <c r="A69" s="432"/>
      <c r="B69" s="429"/>
      <c r="C69" s="403" t="s">
        <v>105</v>
      </c>
      <c r="D69" s="408"/>
      <c r="E69" s="252">
        <v>0.25</v>
      </c>
      <c r="F69" s="252">
        <v>0.25</v>
      </c>
      <c r="G69" s="252">
        <v>0.25</v>
      </c>
      <c r="H69" s="252">
        <v>0.25</v>
      </c>
      <c r="I69" s="252">
        <v>0.25</v>
      </c>
      <c r="J69" s="252">
        <v>0.25</v>
      </c>
      <c r="K69" s="252">
        <v>0.25</v>
      </c>
      <c r="L69" s="252">
        <v>0.25</v>
      </c>
      <c r="M69" s="252">
        <v>0.25</v>
      </c>
      <c r="N69" s="252">
        <v>0.25</v>
      </c>
      <c r="O69" s="252">
        <v>0.25</v>
      </c>
      <c r="P69" s="252">
        <v>0.25</v>
      </c>
      <c r="Q69" s="252">
        <v>0.25</v>
      </c>
      <c r="R69" s="252">
        <v>0.25</v>
      </c>
      <c r="S69" s="418">
        <v>0.25</v>
      </c>
      <c r="T69" s="418">
        <v>0.25</v>
      </c>
      <c r="U69" s="418">
        <v>0.25</v>
      </c>
      <c r="V69" s="418">
        <v>0.25</v>
      </c>
      <c r="W69" s="418">
        <v>0.25</v>
      </c>
      <c r="X69" s="418">
        <v>0.25</v>
      </c>
      <c r="Y69" s="418">
        <v>0.25</v>
      </c>
      <c r="Z69" s="418">
        <v>0.25</v>
      </c>
      <c r="AA69" s="418">
        <v>0.25</v>
      </c>
      <c r="AB69" s="418">
        <v>0.25</v>
      </c>
      <c r="AC69" s="418">
        <v>0.25</v>
      </c>
      <c r="AD69" s="418">
        <v>0.25</v>
      </c>
      <c r="AE69" s="418">
        <v>0.25</v>
      </c>
      <c r="AF69" s="418">
        <v>0.25</v>
      </c>
      <c r="AG69" s="418">
        <v>0.25</v>
      </c>
      <c r="AH69" s="418">
        <v>0.25</v>
      </c>
      <c r="AI69" s="418">
        <v>0.25</v>
      </c>
      <c r="AJ69" s="418">
        <v>0.25</v>
      </c>
      <c r="AK69" s="418">
        <v>0.25</v>
      </c>
      <c r="AL69" s="418">
        <v>0.25</v>
      </c>
      <c r="AM69" s="418">
        <v>0.25</v>
      </c>
      <c r="AN69" s="418">
        <v>0.25</v>
      </c>
      <c r="AO69" s="418">
        <v>0.25</v>
      </c>
      <c r="AP69" s="418">
        <v>0.25</v>
      </c>
      <c r="AQ69" s="418">
        <v>0.25</v>
      </c>
      <c r="AR69" s="418">
        <v>0.25</v>
      </c>
      <c r="AS69" s="418">
        <v>0.25</v>
      </c>
      <c r="AT69" s="418">
        <v>0.25</v>
      </c>
      <c r="AU69" s="418">
        <v>0.25</v>
      </c>
      <c r="AV69" s="418">
        <v>0.25</v>
      </c>
      <c r="AW69" s="418">
        <v>0.25</v>
      </c>
      <c r="AX69" s="418">
        <v>0.25</v>
      </c>
      <c r="AY69" s="418">
        <v>0.25</v>
      </c>
      <c r="AZ69" s="418">
        <v>0.25</v>
      </c>
      <c r="BA69" s="418">
        <v>0.25</v>
      </c>
      <c r="BB69" s="418">
        <v>0.25</v>
      </c>
      <c r="BC69" s="418">
        <v>0.25</v>
      </c>
      <c r="BD69" s="418">
        <v>0.25</v>
      </c>
      <c r="BE69" s="418">
        <v>0.25</v>
      </c>
      <c r="BF69" s="418">
        <v>0.25</v>
      </c>
      <c r="BG69" s="247"/>
    </row>
    <row r="70" spans="1:59" s="1" customFormat="1">
      <c r="A70" s="253"/>
      <c r="B70" s="412"/>
      <c r="C70" s="405"/>
      <c r="D70" s="409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420"/>
      <c r="T70" s="420"/>
      <c r="U70" s="420"/>
      <c r="V70" s="420"/>
      <c r="W70" s="420"/>
      <c r="X70" s="420"/>
      <c r="Y70" s="420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  <c r="AK70" s="420"/>
      <c r="AL70" s="420"/>
      <c r="AM70" s="420"/>
      <c r="AN70" s="420"/>
      <c r="AO70" s="420"/>
      <c r="AP70" s="420"/>
      <c r="AQ70" s="420"/>
      <c r="AR70" s="420"/>
      <c r="AS70" s="420"/>
      <c r="AT70" s="420"/>
      <c r="AU70" s="420"/>
      <c r="AV70" s="420"/>
      <c r="AW70" s="420"/>
      <c r="AX70" s="420"/>
      <c r="AY70" s="420"/>
      <c r="AZ70" s="420"/>
      <c r="BA70" s="420"/>
      <c r="BB70" s="420"/>
      <c r="BC70" s="420"/>
      <c r="BD70" s="420"/>
      <c r="BE70" s="420"/>
      <c r="BF70" s="420"/>
      <c r="BG70" s="247"/>
    </row>
    <row r="71" spans="1:59" s="1" customFormat="1">
      <c r="A71" s="433" t="s">
        <v>106</v>
      </c>
      <c r="B71" s="405" t="s">
        <v>97</v>
      </c>
      <c r="C71" s="405"/>
      <c r="D71" s="410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421"/>
      <c r="T71" s="421"/>
      <c r="U71" s="421"/>
      <c r="V71" s="421"/>
      <c r="W71" s="421"/>
      <c r="X71" s="421"/>
      <c r="Y71" s="421"/>
      <c r="Z71" s="421"/>
      <c r="AA71" s="421"/>
      <c r="AB71" s="421"/>
      <c r="AC71" s="421"/>
      <c r="AD71" s="421"/>
      <c r="AE71" s="421"/>
      <c r="AF71" s="421"/>
      <c r="AG71" s="421"/>
      <c r="AH71" s="421"/>
      <c r="AI71" s="421"/>
      <c r="AJ71" s="421"/>
      <c r="AK71" s="421"/>
      <c r="AL71" s="421"/>
      <c r="AM71" s="421"/>
      <c r="AN71" s="421"/>
      <c r="AO71" s="421"/>
      <c r="AP71" s="421"/>
      <c r="AQ71" s="421"/>
      <c r="AR71" s="421"/>
      <c r="AS71" s="421"/>
      <c r="AT71" s="421"/>
      <c r="AU71" s="421"/>
      <c r="AV71" s="421"/>
      <c r="AW71" s="421"/>
      <c r="AX71" s="421"/>
      <c r="AY71" s="421"/>
      <c r="AZ71" s="421"/>
      <c r="BA71" s="421"/>
      <c r="BB71" s="421"/>
      <c r="BC71" s="421"/>
      <c r="BD71" s="421"/>
      <c r="BE71" s="421"/>
      <c r="BF71" s="421"/>
      <c r="BG71" s="247"/>
    </row>
    <row r="72" spans="1:59" s="1" customFormat="1">
      <c r="A72" s="431"/>
      <c r="B72" s="403" t="s">
        <v>73</v>
      </c>
      <c r="C72" s="403"/>
      <c r="D72" s="407"/>
      <c r="E72" s="257">
        <f t="shared" ref="E72:AZ72" si="100">IF(MAX(E33:E34)-E78&gt;1,MAX(E33:E34)-1,E78)</f>
        <v>1</v>
      </c>
      <c r="F72" s="257">
        <f t="shared" si="100"/>
        <v>1</v>
      </c>
      <c r="G72" s="257">
        <f t="shared" si="100"/>
        <v>1</v>
      </c>
      <c r="H72" s="257">
        <f t="shared" si="100"/>
        <v>1</v>
      </c>
      <c r="I72" s="257">
        <f t="shared" si="100"/>
        <v>1</v>
      </c>
      <c r="J72" s="257">
        <f t="shared" si="100"/>
        <v>1</v>
      </c>
      <c r="K72" s="257">
        <f t="shared" si="100"/>
        <v>1</v>
      </c>
      <c r="L72" s="257">
        <f t="shared" si="100"/>
        <v>1</v>
      </c>
      <c r="M72" s="257">
        <f t="shared" si="100"/>
        <v>1</v>
      </c>
      <c r="N72" s="257">
        <f t="shared" si="100"/>
        <v>1</v>
      </c>
      <c r="O72" s="257">
        <f t="shared" si="100"/>
        <v>1</v>
      </c>
      <c r="P72" s="257">
        <f t="shared" si="100"/>
        <v>1</v>
      </c>
      <c r="Q72" s="257">
        <f t="shared" si="100"/>
        <v>1</v>
      </c>
      <c r="R72" s="257">
        <f t="shared" si="100"/>
        <v>1</v>
      </c>
      <c r="S72" s="422">
        <f t="shared" si="100"/>
        <v>1</v>
      </c>
      <c r="T72" s="422">
        <f t="shared" si="100"/>
        <v>1</v>
      </c>
      <c r="U72" s="422">
        <f t="shared" si="100"/>
        <v>1</v>
      </c>
      <c r="V72" s="422">
        <f t="shared" si="100"/>
        <v>1</v>
      </c>
      <c r="W72" s="422">
        <f t="shared" si="100"/>
        <v>1</v>
      </c>
      <c r="X72" s="422">
        <f t="shared" si="100"/>
        <v>1</v>
      </c>
      <c r="Y72" s="422">
        <f t="shared" si="100"/>
        <v>1</v>
      </c>
      <c r="Z72" s="422">
        <f t="shared" si="100"/>
        <v>1</v>
      </c>
      <c r="AA72" s="422">
        <f t="shared" si="100"/>
        <v>1</v>
      </c>
      <c r="AB72" s="422">
        <f t="shared" si="100"/>
        <v>1</v>
      </c>
      <c r="AC72" s="422">
        <f t="shared" si="100"/>
        <v>1</v>
      </c>
      <c r="AD72" s="422">
        <f t="shared" si="100"/>
        <v>1</v>
      </c>
      <c r="AE72" s="422">
        <f t="shared" si="100"/>
        <v>1</v>
      </c>
      <c r="AF72" s="422">
        <f t="shared" si="100"/>
        <v>1</v>
      </c>
      <c r="AG72" s="422">
        <f t="shared" si="100"/>
        <v>1</v>
      </c>
      <c r="AH72" s="422">
        <f t="shared" si="100"/>
        <v>1</v>
      </c>
      <c r="AI72" s="422">
        <f t="shared" si="100"/>
        <v>1</v>
      </c>
      <c r="AJ72" s="422">
        <f t="shared" si="100"/>
        <v>1</v>
      </c>
      <c r="AK72" s="422">
        <f t="shared" si="100"/>
        <v>1</v>
      </c>
      <c r="AL72" s="422">
        <f t="shared" si="100"/>
        <v>1</v>
      </c>
      <c r="AM72" s="422">
        <f t="shared" si="100"/>
        <v>1</v>
      </c>
      <c r="AN72" s="422">
        <f t="shared" si="100"/>
        <v>1</v>
      </c>
      <c r="AO72" s="422">
        <f t="shared" si="100"/>
        <v>1</v>
      </c>
      <c r="AP72" s="422">
        <f t="shared" si="100"/>
        <v>1</v>
      </c>
      <c r="AQ72" s="422">
        <f t="shared" si="100"/>
        <v>1</v>
      </c>
      <c r="AR72" s="422">
        <f t="shared" si="100"/>
        <v>1</v>
      </c>
      <c r="AS72" s="422">
        <f t="shared" si="100"/>
        <v>1</v>
      </c>
      <c r="AT72" s="422">
        <f t="shared" si="100"/>
        <v>1</v>
      </c>
      <c r="AU72" s="422">
        <f t="shared" si="100"/>
        <v>1</v>
      </c>
      <c r="AV72" s="422">
        <f t="shared" si="100"/>
        <v>1</v>
      </c>
      <c r="AW72" s="422">
        <f t="shared" si="100"/>
        <v>1</v>
      </c>
      <c r="AX72" s="422">
        <f t="shared" si="100"/>
        <v>1</v>
      </c>
      <c r="AY72" s="422">
        <f t="shared" si="100"/>
        <v>1</v>
      </c>
      <c r="AZ72" s="422">
        <f t="shared" si="100"/>
        <v>1</v>
      </c>
      <c r="BA72" s="422">
        <f>IF(MAX(BA33:BA34)-BA78&gt;1,MAX(BA33:BA34)-1,BA78)</f>
        <v>1</v>
      </c>
      <c r="BB72" s="422">
        <f t="shared" ref="BB72:BF72" si="101">IF(MAX(BB33:BB34)-BB78&gt;1,MAX(BB33:BB34)-1,BB78)</f>
        <v>1</v>
      </c>
      <c r="BC72" s="422">
        <f t="shared" si="101"/>
        <v>1</v>
      </c>
      <c r="BD72" s="422">
        <f t="shared" si="101"/>
        <v>1</v>
      </c>
      <c r="BE72" s="422">
        <f t="shared" si="101"/>
        <v>1</v>
      </c>
      <c r="BF72" s="422">
        <f t="shared" si="101"/>
        <v>1</v>
      </c>
      <c r="BG72" s="247"/>
    </row>
    <row r="73" spans="1:59" s="1" customFormat="1">
      <c r="A73" s="431"/>
      <c r="B73" s="403" t="s">
        <v>76</v>
      </c>
      <c r="C73" s="403"/>
      <c r="D73" s="407"/>
      <c r="E73" s="257">
        <f t="shared" ref="E73:AZ73" si="102">IF(MAX(E37:E39)-E79&gt;1,MAX(E37:E39)-1,E79)</f>
        <v>3</v>
      </c>
      <c r="F73" s="257">
        <f t="shared" si="102"/>
        <v>3</v>
      </c>
      <c r="G73" s="257">
        <f t="shared" si="102"/>
        <v>3</v>
      </c>
      <c r="H73" s="257">
        <f t="shared" si="102"/>
        <v>3</v>
      </c>
      <c r="I73" s="257">
        <f t="shared" si="102"/>
        <v>3</v>
      </c>
      <c r="J73" s="257">
        <f t="shared" si="102"/>
        <v>3</v>
      </c>
      <c r="K73" s="257">
        <f t="shared" si="102"/>
        <v>3</v>
      </c>
      <c r="L73" s="257">
        <f t="shared" si="102"/>
        <v>3</v>
      </c>
      <c r="M73" s="257">
        <f t="shared" si="102"/>
        <v>3</v>
      </c>
      <c r="N73" s="257">
        <f t="shared" si="102"/>
        <v>3</v>
      </c>
      <c r="O73" s="257">
        <f t="shared" si="102"/>
        <v>3</v>
      </c>
      <c r="P73" s="257">
        <f t="shared" si="102"/>
        <v>3</v>
      </c>
      <c r="Q73" s="257">
        <f t="shared" si="102"/>
        <v>3</v>
      </c>
      <c r="R73" s="257">
        <f t="shared" si="102"/>
        <v>3</v>
      </c>
      <c r="S73" s="422">
        <f t="shared" si="102"/>
        <v>3</v>
      </c>
      <c r="T73" s="422">
        <f t="shared" si="102"/>
        <v>3</v>
      </c>
      <c r="U73" s="422">
        <f t="shared" si="102"/>
        <v>3</v>
      </c>
      <c r="V73" s="422">
        <f t="shared" si="102"/>
        <v>3</v>
      </c>
      <c r="W73" s="422">
        <f t="shared" si="102"/>
        <v>3</v>
      </c>
      <c r="X73" s="422">
        <f t="shared" si="102"/>
        <v>3</v>
      </c>
      <c r="Y73" s="422">
        <f t="shared" si="102"/>
        <v>3</v>
      </c>
      <c r="Z73" s="422" t="e">
        <f t="shared" si="102"/>
        <v>#DIV/0!</v>
      </c>
      <c r="AA73" s="422">
        <f t="shared" si="102"/>
        <v>3</v>
      </c>
      <c r="AB73" s="422">
        <f t="shared" si="102"/>
        <v>3</v>
      </c>
      <c r="AC73" s="422">
        <f t="shared" si="102"/>
        <v>3</v>
      </c>
      <c r="AD73" s="422">
        <f t="shared" si="102"/>
        <v>3</v>
      </c>
      <c r="AE73" s="422">
        <f t="shared" si="102"/>
        <v>3</v>
      </c>
      <c r="AF73" s="422">
        <f t="shared" si="102"/>
        <v>3</v>
      </c>
      <c r="AG73" s="422">
        <f t="shared" si="102"/>
        <v>3</v>
      </c>
      <c r="AH73" s="422">
        <f t="shared" si="102"/>
        <v>3</v>
      </c>
      <c r="AI73" s="422">
        <f t="shared" si="102"/>
        <v>3</v>
      </c>
      <c r="AJ73" s="422">
        <f t="shared" si="102"/>
        <v>3</v>
      </c>
      <c r="AK73" s="422">
        <f t="shared" si="102"/>
        <v>3</v>
      </c>
      <c r="AL73" s="422">
        <f t="shared" si="102"/>
        <v>3</v>
      </c>
      <c r="AM73" s="422">
        <f t="shared" si="102"/>
        <v>3</v>
      </c>
      <c r="AN73" s="422">
        <f t="shared" si="102"/>
        <v>3</v>
      </c>
      <c r="AO73" s="422">
        <f t="shared" si="102"/>
        <v>3</v>
      </c>
      <c r="AP73" s="422">
        <f t="shared" si="102"/>
        <v>3</v>
      </c>
      <c r="AQ73" s="422">
        <f t="shared" si="102"/>
        <v>3</v>
      </c>
      <c r="AR73" s="422">
        <f t="shared" si="102"/>
        <v>3</v>
      </c>
      <c r="AS73" s="422">
        <f t="shared" si="102"/>
        <v>3</v>
      </c>
      <c r="AT73" s="422">
        <f t="shared" si="102"/>
        <v>3</v>
      </c>
      <c r="AU73" s="422">
        <f t="shared" si="102"/>
        <v>3</v>
      </c>
      <c r="AV73" s="422">
        <f t="shared" si="102"/>
        <v>3</v>
      </c>
      <c r="AW73" s="422">
        <f t="shared" si="102"/>
        <v>3</v>
      </c>
      <c r="AX73" s="422">
        <f t="shared" si="102"/>
        <v>3</v>
      </c>
      <c r="AY73" s="422">
        <f t="shared" si="102"/>
        <v>3</v>
      </c>
      <c r="AZ73" s="422">
        <f t="shared" si="102"/>
        <v>3</v>
      </c>
      <c r="BA73" s="422">
        <f>IF(MAX(BA37:BA39)-BA79&gt;1,MAX(BA37:BA39)-1,BA79)</f>
        <v>3</v>
      </c>
      <c r="BB73" s="422">
        <f t="shared" ref="BB73:BF73" si="103">IF(MAX(BB37:BB39)-BB79&gt;1,MAX(BB37:BB39)-1,BB79)</f>
        <v>3</v>
      </c>
      <c r="BC73" s="422">
        <f t="shared" si="103"/>
        <v>3</v>
      </c>
      <c r="BD73" s="422">
        <f t="shared" si="103"/>
        <v>3</v>
      </c>
      <c r="BE73" s="422">
        <f t="shared" si="103"/>
        <v>3</v>
      </c>
      <c r="BF73" s="422">
        <f t="shared" si="103"/>
        <v>3</v>
      </c>
      <c r="BG73" s="247"/>
    </row>
    <row r="74" spans="1:59" s="1" customFormat="1">
      <c r="A74" s="431"/>
      <c r="B74" s="403" t="s">
        <v>80</v>
      </c>
      <c r="C74" s="403"/>
      <c r="D74" s="407"/>
      <c r="E74" s="257">
        <f t="shared" ref="E74:AZ74" si="104">IF(MAX(E43:E44)-E80&gt;1,MAX(E43:E44),E80)</f>
        <v>4</v>
      </c>
      <c r="F74" s="257">
        <f t="shared" si="104"/>
        <v>4</v>
      </c>
      <c r="G74" s="257">
        <f t="shared" si="104"/>
        <v>4</v>
      </c>
      <c r="H74" s="257">
        <f t="shared" si="104"/>
        <v>4</v>
      </c>
      <c r="I74" s="257">
        <f t="shared" si="104"/>
        <v>4</v>
      </c>
      <c r="J74" s="257">
        <f t="shared" si="104"/>
        <v>4</v>
      </c>
      <c r="K74" s="257">
        <f t="shared" si="104"/>
        <v>4</v>
      </c>
      <c r="L74" s="257">
        <f t="shared" si="104"/>
        <v>4</v>
      </c>
      <c r="M74" s="257">
        <f t="shared" si="104"/>
        <v>4</v>
      </c>
      <c r="N74" s="257">
        <f t="shared" si="104"/>
        <v>4</v>
      </c>
      <c r="O74" s="257">
        <f t="shared" si="104"/>
        <v>4</v>
      </c>
      <c r="P74" s="257">
        <f t="shared" si="104"/>
        <v>4</v>
      </c>
      <c r="Q74" s="257">
        <f t="shared" si="104"/>
        <v>4</v>
      </c>
      <c r="R74" s="257">
        <f t="shared" si="104"/>
        <v>4</v>
      </c>
      <c r="S74" s="422">
        <f t="shared" si="104"/>
        <v>4</v>
      </c>
      <c r="T74" s="422">
        <f t="shared" si="104"/>
        <v>4</v>
      </c>
      <c r="U74" s="422">
        <f t="shared" si="104"/>
        <v>4</v>
      </c>
      <c r="V74" s="422">
        <f t="shared" si="104"/>
        <v>4</v>
      </c>
      <c r="W74" s="422">
        <f t="shared" si="104"/>
        <v>4</v>
      </c>
      <c r="X74" s="422">
        <f t="shared" si="104"/>
        <v>4</v>
      </c>
      <c r="Y74" s="422">
        <f t="shared" si="104"/>
        <v>4</v>
      </c>
      <c r="Z74" s="422" t="e">
        <f t="shared" si="104"/>
        <v>#DIV/0!</v>
      </c>
      <c r="AA74" s="422">
        <f t="shared" si="104"/>
        <v>4</v>
      </c>
      <c r="AB74" s="422">
        <f t="shared" si="104"/>
        <v>4</v>
      </c>
      <c r="AC74" s="422">
        <f t="shared" si="104"/>
        <v>4</v>
      </c>
      <c r="AD74" s="422">
        <f t="shared" si="104"/>
        <v>4</v>
      </c>
      <c r="AE74" s="422">
        <f t="shared" si="104"/>
        <v>4</v>
      </c>
      <c r="AF74" s="422">
        <f t="shared" si="104"/>
        <v>4</v>
      </c>
      <c r="AG74" s="422">
        <f t="shared" si="104"/>
        <v>4</v>
      </c>
      <c r="AH74" s="422">
        <f t="shared" si="104"/>
        <v>4</v>
      </c>
      <c r="AI74" s="422">
        <f t="shared" si="104"/>
        <v>4</v>
      </c>
      <c r="AJ74" s="422">
        <f t="shared" si="104"/>
        <v>4</v>
      </c>
      <c r="AK74" s="422">
        <f t="shared" si="104"/>
        <v>4</v>
      </c>
      <c r="AL74" s="422">
        <f t="shared" si="104"/>
        <v>4</v>
      </c>
      <c r="AM74" s="422">
        <f t="shared" si="104"/>
        <v>4</v>
      </c>
      <c r="AN74" s="422">
        <f t="shared" si="104"/>
        <v>4</v>
      </c>
      <c r="AO74" s="422">
        <f t="shared" si="104"/>
        <v>4</v>
      </c>
      <c r="AP74" s="422">
        <f t="shared" si="104"/>
        <v>4</v>
      </c>
      <c r="AQ74" s="422">
        <f t="shared" si="104"/>
        <v>4</v>
      </c>
      <c r="AR74" s="422">
        <f t="shared" si="104"/>
        <v>4</v>
      </c>
      <c r="AS74" s="422">
        <f t="shared" si="104"/>
        <v>4</v>
      </c>
      <c r="AT74" s="422">
        <f t="shared" si="104"/>
        <v>4</v>
      </c>
      <c r="AU74" s="422">
        <f t="shared" si="104"/>
        <v>4</v>
      </c>
      <c r="AV74" s="422">
        <f t="shared" si="104"/>
        <v>4</v>
      </c>
      <c r="AW74" s="422">
        <f t="shared" si="104"/>
        <v>4</v>
      </c>
      <c r="AX74" s="422">
        <f t="shared" si="104"/>
        <v>4</v>
      </c>
      <c r="AY74" s="422">
        <f t="shared" si="104"/>
        <v>4</v>
      </c>
      <c r="AZ74" s="422">
        <f t="shared" si="104"/>
        <v>4</v>
      </c>
      <c r="BA74" s="422">
        <f>IF(MAX(BA43:BA44)-BA80&gt;1,MAX(BA43:BA44),BA80)</f>
        <v>4</v>
      </c>
      <c r="BB74" s="422">
        <f t="shared" ref="BB74:BF74" si="105">IF(MAX(BB43:BB44)-BB80&gt;1,MAX(BB43:BB44),BB80)</f>
        <v>4</v>
      </c>
      <c r="BC74" s="422">
        <f t="shared" si="105"/>
        <v>4</v>
      </c>
      <c r="BD74" s="422">
        <f t="shared" si="105"/>
        <v>4</v>
      </c>
      <c r="BE74" s="422">
        <f t="shared" si="105"/>
        <v>4</v>
      </c>
      <c r="BF74" s="422">
        <f t="shared" si="105"/>
        <v>4</v>
      </c>
      <c r="BG74" s="247"/>
    </row>
    <row r="75" spans="1:59" s="1" customFormat="1">
      <c r="A75" s="431"/>
      <c r="B75" s="403" t="s">
        <v>107</v>
      </c>
      <c r="C75" s="403"/>
      <c r="D75" s="407"/>
      <c r="E75" s="257">
        <f t="shared" ref="E75:AZ75" si="106">IF(MAX(E46:E49)-E81&gt;1,MAX(E46:E49)-1,E81)</f>
        <v>1</v>
      </c>
      <c r="F75" s="257">
        <f t="shared" si="106"/>
        <v>1</v>
      </c>
      <c r="G75" s="257">
        <f t="shared" si="106"/>
        <v>1</v>
      </c>
      <c r="H75" s="257">
        <f t="shared" si="106"/>
        <v>1</v>
      </c>
      <c r="I75" s="257">
        <f t="shared" si="106"/>
        <v>1</v>
      </c>
      <c r="J75" s="257">
        <f t="shared" si="106"/>
        <v>1</v>
      </c>
      <c r="K75" s="257">
        <f t="shared" si="106"/>
        <v>1</v>
      </c>
      <c r="L75" s="257">
        <f t="shared" si="106"/>
        <v>1</v>
      </c>
      <c r="M75" s="257">
        <f t="shared" si="106"/>
        <v>1</v>
      </c>
      <c r="N75" s="257">
        <f t="shared" si="106"/>
        <v>1</v>
      </c>
      <c r="O75" s="257">
        <f t="shared" si="106"/>
        <v>1</v>
      </c>
      <c r="P75" s="257">
        <f t="shared" si="106"/>
        <v>1</v>
      </c>
      <c r="Q75" s="257">
        <f t="shared" si="106"/>
        <v>1</v>
      </c>
      <c r="R75" s="257">
        <f t="shared" si="106"/>
        <v>1</v>
      </c>
      <c r="S75" s="422">
        <f t="shared" si="106"/>
        <v>1</v>
      </c>
      <c r="T75" s="422">
        <f t="shared" si="106"/>
        <v>1</v>
      </c>
      <c r="U75" s="422">
        <f t="shared" si="106"/>
        <v>1</v>
      </c>
      <c r="V75" s="422">
        <f t="shared" si="106"/>
        <v>1</v>
      </c>
      <c r="W75" s="422">
        <f t="shared" si="106"/>
        <v>1</v>
      </c>
      <c r="X75" s="422">
        <f t="shared" si="106"/>
        <v>1</v>
      </c>
      <c r="Y75" s="422">
        <f t="shared" si="106"/>
        <v>1</v>
      </c>
      <c r="Z75" s="422" t="e">
        <f t="shared" si="106"/>
        <v>#DIV/0!</v>
      </c>
      <c r="AA75" s="422">
        <f t="shared" si="106"/>
        <v>1</v>
      </c>
      <c r="AB75" s="422">
        <f t="shared" si="106"/>
        <v>1</v>
      </c>
      <c r="AC75" s="422">
        <f t="shared" si="106"/>
        <v>1</v>
      </c>
      <c r="AD75" s="422">
        <f t="shared" si="106"/>
        <v>1</v>
      </c>
      <c r="AE75" s="422" t="e">
        <f t="shared" si="106"/>
        <v>#REF!</v>
      </c>
      <c r="AF75" s="422">
        <f t="shared" si="106"/>
        <v>1</v>
      </c>
      <c r="AG75" s="422">
        <f t="shared" si="106"/>
        <v>1</v>
      </c>
      <c r="AH75" s="422">
        <f t="shared" si="106"/>
        <v>1</v>
      </c>
      <c r="AI75" s="422">
        <f t="shared" si="106"/>
        <v>1</v>
      </c>
      <c r="AJ75" s="422">
        <f t="shared" si="106"/>
        <v>1</v>
      </c>
      <c r="AK75" s="422">
        <f t="shared" si="106"/>
        <v>1</v>
      </c>
      <c r="AL75" s="422">
        <f t="shared" si="106"/>
        <v>1</v>
      </c>
      <c r="AM75" s="422">
        <f t="shared" si="106"/>
        <v>1</v>
      </c>
      <c r="AN75" s="422">
        <f t="shared" si="106"/>
        <v>1</v>
      </c>
      <c r="AO75" s="422">
        <f t="shared" si="106"/>
        <v>1</v>
      </c>
      <c r="AP75" s="422">
        <f t="shared" si="106"/>
        <v>1</v>
      </c>
      <c r="AQ75" s="422">
        <f t="shared" si="106"/>
        <v>1</v>
      </c>
      <c r="AR75" s="422">
        <f t="shared" si="106"/>
        <v>1</v>
      </c>
      <c r="AS75" s="422">
        <f t="shared" si="106"/>
        <v>1</v>
      </c>
      <c r="AT75" s="422">
        <f t="shared" si="106"/>
        <v>1</v>
      </c>
      <c r="AU75" s="422">
        <f t="shared" si="106"/>
        <v>1</v>
      </c>
      <c r="AV75" s="422">
        <f t="shared" si="106"/>
        <v>1</v>
      </c>
      <c r="AW75" s="422">
        <f t="shared" si="106"/>
        <v>1</v>
      </c>
      <c r="AX75" s="422">
        <f t="shared" si="106"/>
        <v>1</v>
      </c>
      <c r="AY75" s="422">
        <f t="shared" si="106"/>
        <v>1</v>
      </c>
      <c r="AZ75" s="422">
        <f t="shared" si="106"/>
        <v>1</v>
      </c>
      <c r="BA75" s="422">
        <f>IF(MAX(BA46:BA49)-BA81&gt;1,MAX(BA46:BA49)-1,BA81)</f>
        <v>1</v>
      </c>
      <c r="BB75" s="422">
        <f t="shared" ref="BB75:BF75" si="107">IF(MAX(BB46:BB49)-BB81&gt;1,MAX(BB46:BB49)-1,BB81)</f>
        <v>1</v>
      </c>
      <c r="BC75" s="422">
        <f t="shared" si="107"/>
        <v>1</v>
      </c>
      <c r="BD75" s="422">
        <f t="shared" si="107"/>
        <v>1</v>
      </c>
      <c r="BE75" s="422">
        <f t="shared" si="107"/>
        <v>1</v>
      </c>
      <c r="BF75" s="422">
        <f t="shared" si="107"/>
        <v>1</v>
      </c>
      <c r="BG75" s="247"/>
    </row>
    <row r="76" spans="1:59" s="1" customFormat="1">
      <c r="A76" s="256"/>
      <c r="B76" s="403"/>
      <c r="C76" s="403"/>
      <c r="D76" s="407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  <c r="AD76" s="423"/>
      <c r="AE76" s="423"/>
      <c r="AF76" s="423"/>
      <c r="AG76" s="423"/>
      <c r="AH76" s="423"/>
      <c r="AI76" s="423"/>
      <c r="AJ76" s="423"/>
      <c r="AK76" s="423"/>
      <c r="AL76" s="423"/>
      <c r="AM76" s="423"/>
      <c r="AN76" s="423"/>
      <c r="AO76" s="423"/>
      <c r="AP76" s="423"/>
      <c r="AQ76" s="423"/>
      <c r="AR76" s="423"/>
      <c r="AS76" s="423"/>
      <c r="AT76" s="423"/>
      <c r="AU76" s="423"/>
      <c r="AV76" s="423"/>
      <c r="AW76" s="423"/>
      <c r="AX76" s="423"/>
      <c r="AY76" s="423"/>
      <c r="AZ76" s="423"/>
      <c r="BA76" s="423"/>
      <c r="BB76" s="423"/>
      <c r="BC76" s="423"/>
      <c r="BD76" s="423"/>
      <c r="BE76" s="423"/>
      <c r="BF76" s="423"/>
      <c r="BG76" s="247"/>
    </row>
    <row r="77" spans="1:59" s="1" customFormat="1">
      <c r="A77" s="431" t="s">
        <v>108</v>
      </c>
      <c r="B77" s="403" t="s">
        <v>97</v>
      </c>
      <c r="C77" s="403"/>
      <c r="D77" s="407"/>
      <c r="E77" s="257">
        <f t="shared" ref="E77:AZ77" si="108">ROUND(SUMPRODUCT(E28:E32,E52:E56),0)</f>
        <v>2</v>
      </c>
      <c r="F77" s="257">
        <f t="shared" si="108"/>
        <v>2</v>
      </c>
      <c r="G77" s="257">
        <f t="shared" si="108"/>
        <v>2</v>
      </c>
      <c r="H77" s="257">
        <f t="shared" si="108"/>
        <v>2</v>
      </c>
      <c r="I77" s="257">
        <f t="shared" si="108"/>
        <v>2</v>
      </c>
      <c r="J77" s="257">
        <f t="shared" si="108"/>
        <v>2</v>
      </c>
      <c r="K77" s="257">
        <f t="shared" si="108"/>
        <v>2</v>
      </c>
      <c r="L77" s="257">
        <f t="shared" si="108"/>
        <v>2</v>
      </c>
      <c r="M77" s="257">
        <f t="shared" si="108"/>
        <v>2</v>
      </c>
      <c r="N77" s="257">
        <f t="shared" si="108"/>
        <v>2</v>
      </c>
      <c r="O77" s="257">
        <f t="shared" si="108"/>
        <v>2</v>
      </c>
      <c r="P77" s="257">
        <f t="shared" si="108"/>
        <v>2</v>
      </c>
      <c r="Q77" s="257">
        <f t="shared" si="108"/>
        <v>2</v>
      </c>
      <c r="R77" s="257">
        <f t="shared" si="108"/>
        <v>2</v>
      </c>
      <c r="S77" s="422">
        <f t="shared" si="108"/>
        <v>2</v>
      </c>
      <c r="T77" s="422">
        <f t="shared" si="108"/>
        <v>2</v>
      </c>
      <c r="U77" s="422">
        <f t="shared" si="108"/>
        <v>2</v>
      </c>
      <c r="V77" s="422">
        <f t="shared" si="108"/>
        <v>2</v>
      </c>
      <c r="W77" s="422">
        <f t="shared" si="108"/>
        <v>2</v>
      </c>
      <c r="X77" s="422">
        <f t="shared" si="108"/>
        <v>2</v>
      </c>
      <c r="Y77" s="422">
        <f t="shared" si="108"/>
        <v>2</v>
      </c>
      <c r="Z77" s="422" t="e">
        <f t="shared" si="108"/>
        <v>#DIV/0!</v>
      </c>
      <c r="AA77" s="422">
        <f t="shared" si="108"/>
        <v>2</v>
      </c>
      <c r="AB77" s="422">
        <f t="shared" si="108"/>
        <v>2</v>
      </c>
      <c r="AC77" s="422">
        <f t="shared" si="108"/>
        <v>2</v>
      </c>
      <c r="AD77" s="422">
        <f t="shared" si="108"/>
        <v>2</v>
      </c>
      <c r="AE77" s="422">
        <f t="shared" si="108"/>
        <v>2</v>
      </c>
      <c r="AF77" s="422">
        <f t="shared" si="108"/>
        <v>2</v>
      </c>
      <c r="AG77" s="422">
        <f t="shared" si="108"/>
        <v>2</v>
      </c>
      <c r="AH77" s="422">
        <f t="shared" si="108"/>
        <v>2</v>
      </c>
      <c r="AI77" s="422">
        <f t="shared" si="108"/>
        <v>2</v>
      </c>
      <c r="AJ77" s="422">
        <f t="shared" si="108"/>
        <v>2</v>
      </c>
      <c r="AK77" s="422">
        <f t="shared" si="108"/>
        <v>2</v>
      </c>
      <c r="AL77" s="422">
        <f t="shared" si="108"/>
        <v>2</v>
      </c>
      <c r="AM77" s="422">
        <f t="shared" si="108"/>
        <v>2</v>
      </c>
      <c r="AN77" s="422">
        <f t="shared" si="108"/>
        <v>2</v>
      </c>
      <c r="AO77" s="422">
        <f t="shared" si="108"/>
        <v>2</v>
      </c>
      <c r="AP77" s="422">
        <f t="shared" si="108"/>
        <v>2</v>
      </c>
      <c r="AQ77" s="422">
        <f t="shared" si="108"/>
        <v>2</v>
      </c>
      <c r="AR77" s="422">
        <f t="shared" si="108"/>
        <v>2</v>
      </c>
      <c r="AS77" s="422">
        <f t="shared" si="108"/>
        <v>2</v>
      </c>
      <c r="AT77" s="422">
        <f t="shared" si="108"/>
        <v>2</v>
      </c>
      <c r="AU77" s="422">
        <f t="shared" si="108"/>
        <v>2</v>
      </c>
      <c r="AV77" s="422">
        <f t="shared" si="108"/>
        <v>2</v>
      </c>
      <c r="AW77" s="422">
        <f t="shared" si="108"/>
        <v>2</v>
      </c>
      <c r="AX77" s="422">
        <f t="shared" si="108"/>
        <v>2</v>
      </c>
      <c r="AY77" s="422">
        <f t="shared" si="108"/>
        <v>2</v>
      </c>
      <c r="AZ77" s="422">
        <f t="shared" si="108"/>
        <v>2</v>
      </c>
      <c r="BA77" s="422">
        <f>ROUND(SUMPRODUCT(BA28:BA32,BA52:BA56),0)</f>
        <v>2</v>
      </c>
      <c r="BB77" s="422">
        <f t="shared" ref="BB77:BF77" si="109">ROUND(SUMPRODUCT(BB28:BB32,BB52:BB56),0)</f>
        <v>2</v>
      </c>
      <c r="BC77" s="422">
        <f t="shared" si="109"/>
        <v>2</v>
      </c>
      <c r="BD77" s="422">
        <f t="shared" si="109"/>
        <v>2</v>
      </c>
      <c r="BE77" s="422">
        <f t="shared" si="109"/>
        <v>2</v>
      </c>
      <c r="BF77" s="422">
        <f t="shared" si="109"/>
        <v>2</v>
      </c>
      <c r="BG77" s="247"/>
    </row>
    <row r="78" spans="1:59" s="1" customFormat="1" ht="17.25" customHeight="1">
      <c r="A78" s="431"/>
      <c r="B78" s="403" t="s">
        <v>73</v>
      </c>
      <c r="C78" s="403"/>
      <c r="D78" s="407"/>
      <c r="E78" s="257">
        <f t="shared" ref="E78:AZ78" si="110">ROUND(SUMPRODUCT(E34:E35,E57:E58),0)</f>
        <v>1</v>
      </c>
      <c r="F78" s="257">
        <f t="shared" si="110"/>
        <v>1</v>
      </c>
      <c r="G78" s="257">
        <f t="shared" si="110"/>
        <v>1</v>
      </c>
      <c r="H78" s="257">
        <f t="shared" si="110"/>
        <v>1</v>
      </c>
      <c r="I78" s="257">
        <f t="shared" si="110"/>
        <v>1</v>
      </c>
      <c r="J78" s="257">
        <f t="shared" si="110"/>
        <v>1</v>
      </c>
      <c r="K78" s="257">
        <f t="shared" si="110"/>
        <v>1</v>
      </c>
      <c r="L78" s="257">
        <f t="shared" si="110"/>
        <v>1</v>
      </c>
      <c r="M78" s="257">
        <f t="shared" si="110"/>
        <v>1</v>
      </c>
      <c r="N78" s="257">
        <f t="shared" si="110"/>
        <v>1</v>
      </c>
      <c r="O78" s="257">
        <f t="shared" si="110"/>
        <v>1</v>
      </c>
      <c r="P78" s="257">
        <f t="shared" si="110"/>
        <v>1</v>
      </c>
      <c r="Q78" s="257">
        <f t="shared" si="110"/>
        <v>1</v>
      </c>
      <c r="R78" s="257">
        <f t="shared" si="110"/>
        <v>1</v>
      </c>
      <c r="S78" s="422">
        <f t="shared" si="110"/>
        <v>1</v>
      </c>
      <c r="T78" s="422">
        <f t="shared" si="110"/>
        <v>1</v>
      </c>
      <c r="U78" s="422">
        <f t="shared" si="110"/>
        <v>1</v>
      </c>
      <c r="V78" s="422">
        <f t="shared" si="110"/>
        <v>1</v>
      </c>
      <c r="W78" s="422">
        <f t="shared" si="110"/>
        <v>1</v>
      </c>
      <c r="X78" s="422">
        <f t="shared" si="110"/>
        <v>1</v>
      </c>
      <c r="Y78" s="422">
        <f t="shared" si="110"/>
        <v>1</v>
      </c>
      <c r="Z78" s="422">
        <f t="shared" si="110"/>
        <v>1</v>
      </c>
      <c r="AA78" s="422">
        <f t="shared" si="110"/>
        <v>1</v>
      </c>
      <c r="AB78" s="422">
        <f t="shared" si="110"/>
        <v>1</v>
      </c>
      <c r="AC78" s="422">
        <f t="shared" si="110"/>
        <v>1</v>
      </c>
      <c r="AD78" s="422">
        <f t="shared" si="110"/>
        <v>1</v>
      </c>
      <c r="AE78" s="422">
        <f t="shared" si="110"/>
        <v>1</v>
      </c>
      <c r="AF78" s="422">
        <f t="shared" si="110"/>
        <v>1</v>
      </c>
      <c r="AG78" s="422">
        <f t="shared" si="110"/>
        <v>1</v>
      </c>
      <c r="AH78" s="422">
        <f t="shared" si="110"/>
        <v>1</v>
      </c>
      <c r="AI78" s="422">
        <f t="shared" si="110"/>
        <v>1</v>
      </c>
      <c r="AJ78" s="422">
        <f t="shared" si="110"/>
        <v>1</v>
      </c>
      <c r="AK78" s="422">
        <f t="shared" si="110"/>
        <v>1</v>
      </c>
      <c r="AL78" s="422">
        <f t="shared" si="110"/>
        <v>1</v>
      </c>
      <c r="AM78" s="422">
        <f t="shared" si="110"/>
        <v>1</v>
      </c>
      <c r="AN78" s="422">
        <f t="shared" si="110"/>
        <v>1</v>
      </c>
      <c r="AO78" s="422">
        <f t="shared" si="110"/>
        <v>1</v>
      </c>
      <c r="AP78" s="422">
        <f t="shared" si="110"/>
        <v>1</v>
      </c>
      <c r="AQ78" s="422">
        <f t="shared" si="110"/>
        <v>1</v>
      </c>
      <c r="AR78" s="422">
        <f t="shared" si="110"/>
        <v>1</v>
      </c>
      <c r="AS78" s="422">
        <f t="shared" si="110"/>
        <v>1</v>
      </c>
      <c r="AT78" s="422">
        <f t="shared" si="110"/>
        <v>1</v>
      </c>
      <c r="AU78" s="422">
        <f t="shared" si="110"/>
        <v>1</v>
      </c>
      <c r="AV78" s="422">
        <f t="shared" si="110"/>
        <v>1</v>
      </c>
      <c r="AW78" s="422">
        <f t="shared" si="110"/>
        <v>1</v>
      </c>
      <c r="AX78" s="422">
        <f t="shared" si="110"/>
        <v>1</v>
      </c>
      <c r="AY78" s="422">
        <f t="shared" si="110"/>
        <v>1</v>
      </c>
      <c r="AZ78" s="422">
        <f t="shared" si="110"/>
        <v>1</v>
      </c>
      <c r="BA78" s="422">
        <f>ROUND(SUMPRODUCT(BA34:BA35,BA57:BA58),0)</f>
        <v>1</v>
      </c>
      <c r="BB78" s="422">
        <f t="shared" ref="BB78:BF78" si="111">ROUND(SUMPRODUCT(BB34:BB35,BB57:BB58),0)</f>
        <v>1</v>
      </c>
      <c r="BC78" s="422">
        <f t="shared" si="111"/>
        <v>1</v>
      </c>
      <c r="BD78" s="422">
        <f t="shared" si="111"/>
        <v>1</v>
      </c>
      <c r="BE78" s="422">
        <f t="shared" si="111"/>
        <v>1</v>
      </c>
      <c r="BF78" s="422">
        <f t="shared" si="111"/>
        <v>1</v>
      </c>
      <c r="BG78" s="247"/>
    </row>
    <row r="79" spans="1:59" s="1" customFormat="1" ht="17.25" customHeight="1">
      <c r="A79" s="431"/>
      <c r="B79" s="403" t="s">
        <v>76</v>
      </c>
      <c r="C79" s="403"/>
      <c r="D79" s="407"/>
      <c r="E79" s="257">
        <f t="shared" ref="E79:AZ79" si="112">ROUND(SUMPRODUCT(E37:E39,E59:E61),0)</f>
        <v>3</v>
      </c>
      <c r="F79" s="257">
        <f t="shared" si="112"/>
        <v>3</v>
      </c>
      <c r="G79" s="257">
        <f t="shared" si="112"/>
        <v>3</v>
      </c>
      <c r="H79" s="257">
        <f t="shared" si="112"/>
        <v>3</v>
      </c>
      <c r="I79" s="257">
        <f t="shared" si="112"/>
        <v>3</v>
      </c>
      <c r="J79" s="257">
        <f t="shared" si="112"/>
        <v>3</v>
      </c>
      <c r="K79" s="257">
        <f t="shared" si="112"/>
        <v>3</v>
      </c>
      <c r="L79" s="257">
        <f t="shared" si="112"/>
        <v>3</v>
      </c>
      <c r="M79" s="257">
        <f t="shared" si="112"/>
        <v>3</v>
      </c>
      <c r="N79" s="257">
        <f t="shared" si="112"/>
        <v>3</v>
      </c>
      <c r="O79" s="257">
        <f t="shared" si="112"/>
        <v>3</v>
      </c>
      <c r="P79" s="257">
        <f t="shared" si="112"/>
        <v>3</v>
      </c>
      <c r="Q79" s="257">
        <f t="shared" si="112"/>
        <v>3</v>
      </c>
      <c r="R79" s="257">
        <f t="shared" si="112"/>
        <v>3</v>
      </c>
      <c r="S79" s="422">
        <f t="shared" si="112"/>
        <v>3</v>
      </c>
      <c r="T79" s="422">
        <f t="shared" si="112"/>
        <v>3</v>
      </c>
      <c r="U79" s="422">
        <f t="shared" si="112"/>
        <v>3</v>
      </c>
      <c r="V79" s="422">
        <f t="shared" si="112"/>
        <v>3</v>
      </c>
      <c r="W79" s="422">
        <f t="shared" si="112"/>
        <v>3</v>
      </c>
      <c r="X79" s="422">
        <f t="shared" si="112"/>
        <v>3</v>
      </c>
      <c r="Y79" s="422">
        <f t="shared" si="112"/>
        <v>3</v>
      </c>
      <c r="Z79" s="422" t="e">
        <f t="shared" si="112"/>
        <v>#DIV/0!</v>
      </c>
      <c r="AA79" s="422">
        <f t="shared" si="112"/>
        <v>3</v>
      </c>
      <c r="AB79" s="422">
        <f t="shared" si="112"/>
        <v>3</v>
      </c>
      <c r="AC79" s="422">
        <f t="shared" si="112"/>
        <v>3</v>
      </c>
      <c r="AD79" s="422">
        <f t="shared" si="112"/>
        <v>3</v>
      </c>
      <c r="AE79" s="422">
        <f t="shared" si="112"/>
        <v>3</v>
      </c>
      <c r="AF79" s="422">
        <f t="shared" si="112"/>
        <v>3</v>
      </c>
      <c r="AG79" s="422">
        <f t="shared" si="112"/>
        <v>3</v>
      </c>
      <c r="AH79" s="422">
        <f t="shared" si="112"/>
        <v>3</v>
      </c>
      <c r="AI79" s="422">
        <f t="shared" si="112"/>
        <v>3</v>
      </c>
      <c r="AJ79" s="422">
        <f t="shared" si="112"/>
        <v>3</v>
      </c>
      <c r="AK79" s="422">
        <f t="shared" si="112"/>
        <v>3</v>
      </c>
      <c r="AL79" s="422">
        <f t="shared" si="112"/>
        <v>3</v>
      </c>
      <c r="AM79" s="422">
        <f t="shared" si="112"/>
        <v>3</v>
      </c>
      <c r="AN79" s="422">
        <f t="shared" si="112"/>
        <v>3</v>
      </c>
      <c r="AO79" s="422">
        <f t="shared" si="112"/>
        <v>3</v>
      </c>
      <c r="AP79" s="422">
        <f t="shared" si="112"/>
        <v>3</v>
      </c>
      <c r="AQ79" s="422">
        <f t="shared" si="112"/>
        <v>3</v>
      </c>
      <c r="AR79" s="422">
        <f t="shared" si="112"/>
        <v>3</v>
      </c>
      <c r="AS79" s="422">
        <f t="shared" si="112"/>
        <v>3</v>
      </c>
      <c r="AT79" s="422">
        <f t="shared" si="112"/>
        <v>3</v>
      </c>
      <c r="AU79" s="422">
        <f t="shared" si="112"/>
        <v>3</v>
      </c>
      <c r="AV79" s="422">
        <f t="shared" si="112"/>
        <v>3</v>
      </c>
      <c r="AW79" s="422">
        <f t="shared" si="112"/>
        <v>3</v>
      </c>
      <c r="AX79" s="422">
        <f t="shared" si="112"/>
        <v>3</v>
      </c>
      <c r="AY79" s="422">
        <f t="shared" si="112"/>
        <v>3</v>
      </c>
      <c r="AZ79" s="422">
        <f t="shared" si="112"/>
        <v>3</v>
      </c>
      <c r="BA79" s="422">
        <f>ROUND(SUMPRODUCT(BA37:BA39,BA59:BA61),0)</f>
        <v>3</v>
      </c>
      <c r="BB79" s="422">
        <f t="shared" ref="BB79:BF79" si="113">ROUND(SUMPRODUCT(BB37:BB39,BB59:BB61),0)</f>
        <v>3</v>
      </c>
      <c r="BC79" s="422">
        <f t="shared" si="113"/>
        <v>3</v>
      </c>
      <c r="BD79" s="422">
        <f t="shared" si="113"/>
        <v>3</v>
      </c>
      <c r="BE79" s="422">
        <f t="shared" si="113"/>
        <v>3</v>
      </c>
      <c r="BF79" s="422">
        <f t="shared" si="113"/>
        <v>3</v>
      </c>
      <c r="BG79" s="247"/>
    </row>
    <row r="80" spans="1:59" s="1" customFormat="1" ht="16.5" customHeight="1">
      <c r="A80" s="431"/>
      <c r="B80" s="403" t="s">
        <v>80</v>
      </c>
      <c r="C80" s="403"/>
      <c r="D80" s="407"/>
      <c r="E80" s="257">
        <f t="shared" ref="E80:AZ80" si="114">ROUND(SUMPRODUCT(E41:E44,E62:E65),0)</f>
        <v>4</v>
      </c>
      <c r="F80" s="257">
        <f t="shared" si="114"/>
        <v>4</v>
      </c>
      <c r="G80" s="257">
        <f t="shared" si="114"/>
        <v>4</v>
      </c>
      <c r="H80" s="257">
        <f t="shared" si="114"/>
        <v>4</v>
      </c>
      <c r="I80" s="257">
        <f t="shared" si="114"/>
        <v>4</v>
      </c>
      <c r="J80" s="257">
        <f t="shared" si="114"/>
        <v>4</v>
      </c>
      <c r="K80" s="257">
        <f t="shared" si="114"/>
        <v>4</v>
      </c>
      <c r="L80" s="257">
        <f t="shared" si="114"/>
        <v>4</v>
      </c>
      <c r="M80" s="257">
        <f t="shared" si="114"/>
        <v>4</v>
      </c>
      <c r="N80" s="257">
        <f t="shared" si="114"/>
        <v>4</v>
      </c>
      <c r="O80" s="257">
        <f t="shared" si="114"/>
        <v>4</v>
      </c>
      <c r="P80" s="257">
        <f t="shared" si="114"/>
        <v>4</v>
      </c>
      <c r="Q80" s="257">
        <f t="shared" si="114"/>
        <v>4</v>
      </c>
      <c r="R80" s="257">
        <f t="shared" si="114"/>
        <v>4</v>
      </c>
      <c r="S80" s="422">
        <f t="shared" si="114"/>
        <v>4</v>
      </c>
      <c r="T80" s="422">
        <f t="shared" si="114"/>
        <v>4</v>
      </c>
      <c r="U80" s="422">
        <f t="shared" si="114"/>
        <v>4</v>
      </c>
      <c r="V80" s="422">
        <f t="shared" si="114"/>
        <v>4</v>
      </c>
      <c r="W80" s="422">
        <f t="shared" si="114"/>
        <v>4</v>
      </c>
      <c r="X80" s="422">
        <f t="shared" si="114"/>
        <v>4</v>
      </c>
      <c r="Y80" s="422">
        <f t="shared" si="114"/>
        <v>4</v>
      </c>
      <c r="Z80" s="422" t="e">
        <f t="shared" si="114"/>
        <v>#DIV/0!</v>
      </c>
      <c r="AA80" s="422">
        <f t="shared" si="114"/>
        <v>4</v>
      </c>
      <c r="AB80" s="422">
        <f t="shared" si="114"/>
        <v>4</v>
      </c>
      <c r="AC80" s="422">
        <f t="shared" si="114"/>
        <v>4</v>
      </c>
      <c r="AD80" s="422">
        <f t="shared" si="114"/>
        <v>4</v>
      </c>
      <c r="AE80" s="422">
        <f t="shared" si="114"/>
        <v>4</v>
      </c>
      <c r="AF80" s="422">
        <f t="shared" si="114"/>
        <v>4</v>
      </c>
      <c r="AG80" s="422">
        <f t="shared" si="114"/>
        <v>4</v>
      </c>
      <c r="AH80" s="422">
        <f t="shared" si="114"/>
        <v>4</v>
      </c>
      <c r="AI80" s="422">
        <f t="shared" si="114"/>
        <v>4</v>
      </c>
      <c r="AJ80" s="422">
        <f t="shared" si="114"/>
        <v>4</v>
      </c>
      <c r="AK80" s="422">
        <f t="shared" si="114"/>
        <v>4</v>
      </c>
      <c r="AL80" s="422">
        <f t="shared" si="114"/>
        <v>4</v>
      </c>
      <c r="AM80" s="422">
        <f t="shared" si="114"/>
        <v>4</v>
      </c>
      <c r="AN80" s="422">
        <f t="shared" si="114"/>
        <v>4</v>
      </c>
      <c r="AO80" s="422">
        <f t="shared" si="114"/>
        <v>4</v>
      </c>
      <c r="AP80" s="422">
        <f t="shared" si="114"/>
        <v>4</v>
      </c>
      <c r="AQ80" s="422">
        <f t="shared" si="114"/>
        <v>4</v>
      </c>
      <c r="AR80" s="422">
        <f t="shared" si="114"/>
        <v>4</v>
      </c>
      <c r="AS80" s="422">
        <f t="shared" si="114"/>
        <v>4</v>
      </c>
      <c r="AT80" s="422">
        <f t="shared" si="114"/>
        <v>4</v>
      </c>
      <c r="AU80" s="422">
        <f t="shared" si="114"/>
        <v>4</v>
      </c>
      <c r="AV80" s="422">
        <f t="shared" si="114"/>
        <v>4</v>
      </c>
      <c r="AW80" s="422">
        <f t="shared" si="114"/>
        <v>4</v>
      </c>
      <c r="AX80" s="422">
        <f t="shared" si="114"/>
        <v>4</v>
      </c>
      <c r="AY80" s="422">
        <f t="shared" si="114"/>
        <v>4</v>
      </c>
      <c r="AZ80" s="422">
        <f t="shared" si="114"/>
        <v>4</v>
      </c>
      <c r="BA80" s="422">
        <f>ROUND(SUMPRODUCT(BA41:BA44,BA62:BA65),0)</f>
        <v>4</v>
      </c>
      <c r="BB80" s="422">
        <f t="shared" ref="BB80:BF80" si="115">ROUND(SUMPRODUCT(BB41:BB44,BB62:BB65),0)</f>
        <v>4</v>
      </c>
      <c r="BC80" s="422">
        <f t="shared" si="115"/>
        <v>4</v>
      </c>
      <c r="BD80" s="422">
        <f t="shared" si="115"/>
        <v>4</v>
      </c>
      <c r="BE80" s="422">
        <f t="shared" si="115"/>
        <v>4</v>
      </c>
      <c r="BF80" s="422">
        <f t="shared" si="115"/>
        <v>4</v>
      </c>
      <c r="BG80" s="247"/>
    </row>
    <row r="81" spans="1:59" s="1" customFormat="1" ht="17.25" customHeight="1">
      <c r="A81" s="431"/>
      <c r="B81" s="403" t="s">
        <v>107</v>
      </c>
      <c r="C81" s="403"/>
      <c r="D81" s="407"/>
      <c r="E81" s="257">
        <f t="shared" ref="E81:AZ81" si="116">ROUND(SUMPRODUCT(E46:E49,E66:E69),0)</f>
        <v>1</v>
      </c>
      <c r="F81" s="257">
        <f t="shared" si="116"/>
        <v>1</v>
      </c>
      <c r="G81" s="257">
        <f t="shared" si="116"/>
        <v>1</v>
      </c>
      <c r="H81" s="257">
        <f t="shared" si="116"/>
        <v>1</v>
      </c>
      <c r="I81" s="257">
        <f t="shared" si="116"/>
        <v>1</v>
      </c>
      <c r="J81" s="257">
        <f t="shared" si="116"/>
        <v>1</v>
      </c>
      <c r="K81" s="257">
        <f t="shared" si="116"/>
        <v>1</v>
      </c>
      <c r="L81" s="257">
        <f t="shared" si="116"/>
        <v>1</v>
      </c>
      <c r="M81" s="257">
        <f t="shared" si="116"/>
        <v>1</v>
      </c>
      <c r="N81" s="257">
        <f t="shared" si="116"/>
        <v>1</v>
      </c>
      <c r="O81" s="257">
        <f t="shared" si="116"/>
        <v>1</v>
      </c>
      <c r="P81" s="257">
        <f t="shared" si="116"/>
        <v>1</v>
      </c>
      <c r="Q81" s="257">
        <f t="shared" si="116"/>
        <v>1</v>
      </c>
      <c r="R81" s="257">
        <f t="shared" si="116"/>
        <v>1</v>
      </c>
      <c r="S81" s="422">
        <f t="shared" si="116"/>
        <v>1</v>
      </c>
      <c r="T81" s="422">
        <f t="shared" si="116"/>
        <v>1</v>
      </c>
      <c r="U81" s="422">
        <f t="shared" si="116"/>
        <v>1</v>
      </c>
      <c r="V81" s="422">
        <f t="shared" si="116"/>
        <v>1</v>
      </c>
      <c r="W81" s="422">
        <f t="shared" si="116"/>
        <v>1</v>
      </c>
      <c r="X81" s="422">
        <f t="shared" si="116"/>
        <v>1</v>
      </c>
      <c r="Y81" s="422">
        <f t="shared" si="116"/>
        <v>1</v>
      </c>
      <c r="Z81" s="422" t="e">
        <f t="shared" si="116"/>
        <v>#DIV/0!</v>
      </c>
      <c r="AA81" s="422">
        <f t="shared" si="116"/>
        <v>1</v>
      </c>
      <c r="AB81" s="422">
        <f t="shared" si="116"/>
        <v>1</v>
      </c>
      <c r="AC81" s="422">
        <f t="shared" si="116"/>
        <v>1</v>
      </c>
      <c r="AD81" s="422">
        <f t="shared" si="116"/>
        <v>1</v>
      </c>
      <c r="AE81" s="422" t="e">
        <f t="shared" si="116"/>
        <v>#REF!</v>
      </c>
      <c r="AF81" s="422">
        <f t="shared" si="116"/>
        <v>1</v>
      </c>
      <c r="AG81" s="422">
        <f t="shared" si="116"/>
        <v>1</v>
      </c>
      <c r="AH81" s="422">
        <f t="shared" si="116"/>
        <v>1</v>
      </c>
      <c r="AI81" s="422">
        <f t="shared" si="116"/>
        <v>1</v>
      </c>
      <c r="AJ81" s="422">
        <f t="shared" si="116"/>
        <v>1</v>
      </c>
      <c r="AK81" s="422">
        <f t="shared" si="116"/>
        <v>1</v>
      </c>
      <c r="AL81" s="422">
        <f t="shared" si="116"/>
        <v>1</v>
      </c>
      <c r="AM81" s="422">
        <f t="shared" si="116"/>
        <v>1</v>
      </c>
      <c r="AN81" s="422">
        <f t="shared" si="116"/>
        <v>1</v>
      </c>
      <c r="AO81" s="422">
        <f t="shared" si="116"/>
        <v>1</v>
      </c>
      <c r="AP81" s="422">
        <f t="shared" si="116"/>
        <v>1</v>
      </c>
      <c r="AQ81" s="422">
        <f t="shared" si="116"/>
        <v>1</v>
      </c>
      <c r="AR81" s="422">
        <f t="shared" si="116"/>
        <v>1</v>
      </c>
      <c r="AS81" s="422">
        <f t="shared" si="116"/>
        <v>1</v>
      </c>
      <c r="AT81" s="422">
        <f t="shared" si="116"/>
        <v>1</v>
      </c>
      <c r="AU81" s="422">
        <f t="shared" si="116"/>
        <v>1</v>
      </c>
      <c r="AV81" s="422">
        <f t="shared" si="116"/>
        <v>1</v>
      </c>
      <c r="AW81" s="422">
        <f t="shared" si="116"/>
        <v>1</v>
      </c>
      <c r="AX81" s="422">
        <f t="shared" si="116"/>
        <v>1</v>
      </c>
      <c r="AY81" s="422">
        <f t="shared" si="116"/>
        <v>1</v>
      </c>
      <c r="AZ81" s="422">
        <f t="shared" si="116"/>
        <v>1</v>
      </c>
      <c r="BA81" s="422">
        <f>ROUND(SUMPRODUCT(BA46:BA49,BA66:BA69),0)</f>
        <v>1</v>
      </c>
      <c r="BB81" s="422">
        <f t="shared" ref="BB81:BF81" si="117">ROUND(SUMPRODUCT(BB46:BB49,BB66:BB69),0)</f>
        <v>1</v>
      </c>
      <c r="BC81" s="422">
        <f t="shared" si="117"/>
        <v>1</v>
      </c>
      <c r="BD81" s="422">
        <f t="shared" si="117"/>
        <v>1</v>
      </c>
      <c r="BE81" s="422">
        <f t="shared" si="117"/>
        <v>1</v>
      </c>
      <c r="BF81" s="422">
        <f t="shared" si="117"/>
        <v>1</v>
      </c>
      <c r="BG81" s="247"/>
    </row>
    <row r="82" spans="1:59" s="1" customFormat="1">
      <c r="A82" s="72"/>
      <c r="B82" s="403"/>
      <c r="C82" s="403"/>
      <c r="D82" s="407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423"/>
      <c r="T82" s="423"/>
      <c r="U82" s="423"/>
      <c r="V82" s="423"/>
      <c r="W82" s="423"/>
      <c r="X82" s="423"/>
      <c r="Y82" s="423"/>
      <c r="Z82" s="423"/>
      <c r="AA82" s="423"/>
      <c r="AB82" s="423"/>
      <c r="AC82" s="423"/>
      <c r="AD82" s="423"/>
      <c r="AE82" s="423"/>
      <c r="AF82" s="423"/>
      <c r="AG82" s="423"/>
      <c r="AH82" s="423"/>
      <c r="AI82" s="423"/>
      <c r="AJ82" s="423"/>
      <c r="AK82" s="423"/>
      <c r="AL82" s="423"/>
      <c r="AM82" s="423"/>
      <c r="AN82" s="423"/>
      <c r="AO82" s="423"/>
      <c r="AP82" s="423"/>
      <c r="AQ82" s="423"/>
      <c r="AR82" s="423"/>
      <c r="AS82" s="423"/>
      <c r="AT82" s="423"/>
      <c r="AU82" s="423"/>
      <c r="AV82" s="423"/>
      <c r="AW82" s="423"/>
      <c r="AX82" s="423"/>
      <c r="AY82" s="423"/>
      <c r="AZ82" s="423"/>
      <c r="BA82" s="423"/>
      <c r="BB82" s="423"/>
      <c r="BC82" s="423"/>
      <c r="BD82" s="423"/>
      <c r="BE82" s="423"/>
      <c r="BF82" s="423"/>
      <c r="BG82" s="247"/>
    </row>
    <row r="83" spans="1:59" s="1" customFormat="1">
      <c r="A83" s="431" t="s">
        <v>109</v>
      </c>
      <c r="B83" s="403" t="s">
        <v>110</v>
      </c>
      <c r="C83" s="403"/>
      <c r="D83" s="407"/>
      <c r="E83" s="257">
        <f>AVERAGE(E77:E81)</f>
        <v>2.2000000000000002</v>
      </c>
      <c r="F83" s="257">
        <f>AVERAGE(F77:F81)</f>
        <v>2.2000000000000002</v>
      </c>
      <c r="G83" s="257">
        <f t="shared" ref="G83:M83" si="118">AVERAGE(G77:G81)</f>
        <v>2.2000000000000002</v>
      </c>
      <c r="H83" s="257">
        <f t="shared" si="118"/>
        <v>2.2000000000000002</v>
      </c>
      <c r="I83" s="257">
        <f t="shared" si="118"/>
        <v>2.2000000000000002</v>
      </c>
      <c r="J83" s="257">
        <f t="shared" si="118"/>
        <v>2.2000000000000002</v>
      </c>
      <c r="K83" s="257">
        <f t="shared" si="118"/>
        <v>2.2000000000000002</v>
      </c>
      <c r="L83" s="257">
        <f t="shared" si="118"/>
        <v>2.2000000000000002</v>
      </c>
      <c r="M83" s="257">
        <f t="shared" si="118"/>
        <v>2.2000000000000002</v>
      </c>
      <c r="N83" s="257">
        <f t="shared" ref="N83:S83" si="119">AVERAGE(N77:N81)</f>
        <v>2.2000000000000002</v>
      </c>
      <c r="O83" s="257">
        <f t="shared" si="119"/>
        <v>2.2000000000000002</v>
      </c>
      <c r="P83" s="257">
        <f t="shared" si="119"/>
        <v>2.2000000000000002</v>
      </c>
      <c r="Q83" s="257">
        <f t="shared" si="119"/>
        <v>2.2000000000000002</v>
      </c>
      <c r="R83" s="257">
        <f t="shared" si="119"/>
        <v>2.2000000000000002</v>
      </c>
      <c r="S83" s="422">
        <f t="shared" si="119"/>
        <v>2.2000000000000002</v>
      </c>
      <c r="T83" s="422">
        <f t="shared" ref="T83:AF83" si="120">AVERAGE(T77:T81)</f>
        <v>2.2000000000000002</v>
      </c>
      <c r="U83" s="422">
        <f t="shared" si="120"/>
        <v>2.2000000000000002</v>
      </c>
      <c r="V83" s="422">
        <f t="shared" si="120"/>
        <v>2.2000000000000002</v>
      </c>
      <c r="W83" s="422">
        <f t="shared" si="120"/>
        <v>2.2000000000000002</v>
      </c>
      <c r="X83" s="422">
        <f t="shared" si="120"/>
        <v>2.2000000000000002</v>
      </c>
      <c r="Y83" s="422">
        <f t="shared" si="120"/>
        <v>2.2000000000000002</v>
      </c>
      <c r="Z83" s="422" t="e">
        <f t="shared" si="120"/>
        <v>#DIV/0!</v>
      </c>
      <c r="AA83" s="422">
        <f t="shared" si="120"/>
        <v>2.2000000000000002</v>
      </c>
      <c r="AB83" s="422">
        <f t="shared" si="120"/>
        <v>2.2000000000000002</v>
      </c>
      <c r="AC83" s="422">
        <f t="shared" si="120"/>
        <v>2.2000000000000002</v>
      </c>
      <c r="AD83" s="422">
        <f t="shared" si="120"/>
        <v>2.2000000000000002</v>
      </c>
      <c r="AE83" s="422" t="e">
        <f t="shared" si="120"/>
        <v>#REF!</v>
      </c>
      <c r="AF83" s="422">
        <f t="shared" si="120"/>
        <v>2.2000000000000002</v>
      </c>
      <c r="AG83" s="422">
        <f t="shared" ref="AG83:AS83" si="121">AVERAGE(AG77:AG81)</f>
        <v>2.2000000000000002</v>
      </c>
      <c r="AH83" s="422">
        <f t="shared" si="121"/>
        <v>2.2000000000000002</v>
      </c>
      <c r="AI83" s="422">
        <f t="shared" si="121"/>
        <v>2.2000000000000002</v>
      </c>
      <c r="AJ83" s="422">
        <f t="shared" si="121"/>
        <v>2.2000000000000002</v>
      </c>
      <c r="AK83" s="422">
        <f t="shared" si="121"/>
        <v>2.2000000000000002</v>
      </c>
      <c r="AL83" s="422">
        <f t="shared" si="121"/>
        <v>2.2000000000000002</v>
      </c>
      <c r="AM83" s="422">
        <f t="shared" si="121"/>
        <v>2.2000000000000002</v>
      </c>
      <c r="AN83" s="422">
        <f t="shared" si="121"/>
        <v>2.2000000000000002</v>
      </c>
      <c r="AO83" s="422">
        <f t="shared" si="121"/>
        <v>2.2000000000000002</v>
      </c>
      <c r="AP83" s="422">
        <f t="shared" si="121"/>
        <v>2.2000000000000002</v>
      </c>
      <c r="AQ83" s="422">
        <f t="shared" si="121"/>
        <v>2.2000000000000002</v>
      </c>
      <c r="AR83" s="422">
        <f t="shared" si="121"/>
        <v>2.2000000000000002</v>
      </c>
      <c r="AS83" s="422">
        <f t="shared" si="121"/>
        <v>2.2000000000000002</v>
      </c>
      <c r="AT83" s="422">
        <f t="shared" ref="AT83:AZ83" si="122">AVERAGE(AT77:AT81)</f>
        <v>2.2000000000000002</v>
      </c>
      <c r="AU83" s="422">
        <f t="shared" si="122"/>
        <v>2.2000000000000002</v>
      </c>
      <c r="AV83" s="422">
        <f t="shared" si="122"/>
        <v>2.2000000000000002</v>
      </c>
      <c r="AW83" s="422">
        <f t="shared" si="122"/>
        <v>2.2000000000000002</v>
      </c>
      <c r="AX83" s="422">
        <f t="shared" si="122"/>
        <v>2.2000000000000002</v>
      </c>
      <c r="AY83" s="422">
        <f t="shared" si="122"/>
        <v>2.2000000000000002</v>
      </c>
      <c r="AZ83" s="422">
        <f t="shared" si="122"/>
        <v>2.2000000000000002</v>
      </c>
      <c r="BA83" s="422">
        <f>AVERAGE(BA77:BA81)</f>
        <v>2.2000000000000002</v>
      </c>
      <c r="BB83" s="422">
        <f t="shared" ref="BB83:BF83" si="123">AVERAGE(BB77:BB81)</f>
        <v>2.2000000000000002</v>
      </c>
      <c r="BC83" s="422">
        <f t="shared" si="123"/>
        <v>2.2000000000000002</v>
      </c>
      <c r="BD83" s="422">
        <f t="shared" si="123"/>
        <v>2.2000000000000002</v>
      </c>
      <c r="BE83" s="422">
        <f t="shared" si="123"/>
        <v>2.2000000000000002</v>
      </c>
      <c r="BF83" s="422">
        <f t="shared" si="123"/>
        <v>2.2000000000000002</v>
      </c>
      <c r="BG83" s="247"/>
    </row>
    <row r="84" spans="1:59" s="1" customFormat="1">
      <c r="A84" s="431"/>
      <c r="B84" s="403" t="s">
        <v>111</v>
      </c>
      <c r="C84" s="403"/>
      <c r="D84" s="407"/>
      <c r="E84" s="257">
        <f>AVERAGE(E71:E75)</f>
        <v>2.25</v>
      </c>
      <c r="F84" s="257">
        <f>AVERAGE(F71:F75)</f>
        <v>2.25</v>
      </c>
      <c r="G84" s="257">
        <f t="shared" ref="G84:M84" si="124">AVERAGE(G71:G75)</f>
        <v>2.25</v>
      </c>
      <c r="H84" s="257">
        <f t="shared" si="124"/>
        <v>2.25</v>
      </c>
      <c r="I84" s="257">
        <f t="shared" si="124"/>
        <v>2.25</v>
      </c>
      <c r="J84" s="257">
        <f t="shared" si="124"/>
        <v>2.25</v>
      </c>
      <c r="K84" s="257">
        <f t="shared" si="124"/>
        <v>2.25</v>
      </c>
      <c r="L84" s="257">
        <f t="shared" si="124"/>
        <v>2.25</v>
      </c>
      <c r="M84" s="257">
        <f t="shared" si="124"/>
        <v>2.25</v>
      </c>
      <c r="N84" s="257">
        <f t="shared" ref="N84:S84" si="125">AVERAGE(N71:N75)</f>
        <v>2.25</v>
      </c>
      <c r="O84" s="257">
        <f t="shared" si="125"/>
        <v>2.25</v>
      </c>
      <c r="P84" s="257">
        <f t="shared" si="125"/>
        <v>2.25</v>
      </c>
      <c r="Q84" s="257">
        <f t="shared" si="125"/>
        <v>2.25</v>
      </c>
      <c r="R84" s="257">
        <f t="shared" si="125"/>
        <v>2.25</v>
      </c>
      <c r="S84" s="422">
        <f t="shared" si="125"/>
        <v>2.25</v>
      </c>
      <c r="T84" s="422">
        <f t="shared" ref="T84:AF84" si="126">AVERAGE(T71:T75)</f>
        <v>2.25</v>
      </c>
      <c r="U84" s="422">
        <f t="shared" si="126"/>
        <v>2.25</v>
      </c>
      <c r="V84" s="422">
        <f t="shared" si="126"/>
        <v>2.25</v>
      </c>
      <c r="W84" s="422">
        <f t="shared" si="126"/>
        <v>2.25</v>
      </c>
      <c r="X84" s="422">
        <f t="shared" si="126"/>
        <v>2.25</v>
      </c>
      <c r="Y84" s="422">
        <f t="shared" si="126"/>
        <v>2.25</v>
      </c>
      <c r="Z84" s="422" t="e">
        <f t="shared" si="126"/>
        <v>#DIV/0!</v>
      </c>
      <c r="AA84" s="422">
        <f t="shared" si="126"/>
        <v>2.25</v>
      </c>
      <c r="AB84" s="422">
        <f t="shared" si="126"/>
        <v>2.25</v>
      </c>
      <c r="AC84" s="422">
        <f t="shared" si="126"/>
        <v>2.25</v>
      </c>
      <c r="AD84" s="422">
        <f t="shared" si="126"/>
        <v>2.25</v>
      </c>
      <c r="AE84" s="422" t="e">
        <f t="shared" si="126"/>
        <v>#REF!</v>
      </c>
      <c r="AF84" s="422">
        <f t="shared" si="126"/>
        <v>2.25</v>
      </c>
      <c r="AG84" s="422">
        <f t="shared" ref="AG84:AS84" si="127">AVERAGE(AG71:AG75)</f>
        <v>2.25</v>
      </c>
      <c r="AH84" s="422">
        <f t="shared" si="127"/>
        <v>2.25</v>
      </c>
      <c r="AI84" s="422">
        <f t="shared" si="127"/>
        <v>2.25</v>
      </c>
      <c r="AJ84" s="422">
        <f t="shared" si="127"/>
        <v>2.25</v>
      </c>
      <c r="AK84" s="422">
        <f t="shared" si="127"/>
        <v>2.25</v>
      </c>
      <c r="AL84" s="422">
        <f t="shared" si="127"/>
        <v>2.25</v>
      </c>
      <c r="AM84" s="422">
        <f t="shared" si="127"/>
        <v>2.25</v>
      </c>
      <c r="AN84" s="422">
        <f t="shared" si="127"/>
        <v>2.25</v>
      </c>
      <c r="AO84" s="422">
        <f t="shared" si="127"/>
        <v>2.25</v>
      </c>
      <c r="AP84" s="422">
        <f t="shared" si="127"/>
        <v>2.25</v>
      </c>
      <c r="AQ84" s="422">
        <f t="shared" si="127"/>
        <v>2.25</v>
      </c>
      <c r="AR84" s="422">
        <f t="shared" si="127"/>
        <v>2.25</v>
      </c>
      <c r="AS84" s="422">
        <f t="shared" si="127"/>
        <v>2.25</v>
      </c>
      <c r="AT84" s="422">
        <f t="shared" ref="AT84:AZ84" si="128">AVERAGE(AT71:AT75)</f>
        <v>2.25</v>
      </c>
      <c r="AU84" s="422">
        <f t="shared" si="128"/>
        <v>2.25</v>
      </c>
      <c r="AV84" s="422">
        <f t="shared" si="128"/>
        <v>2.25</v>
      </c>
      <c r="AW84" s="422">
        <f t="shared" si="128"/>
        <v>2.25</v>
      </c>
      <c r="AX84" s="422">
        <f t="shared" si="128"/>
        <v>2.25</v>
      </c>
      <c r="AY84" s="422">
        <f t="shared" si="128"/>
        <v>2.25</v>
      </c>
      <c r="AZ84" s="422">
        <f t="shared" si="128"/>
        <v>2.25</v>
      </c>
      <c r="BA84" s="422">
        <f>AVERAGE(BA71:BA75)</f>
        <v>2.25</v>
      </c>
      <c r="BB84" s="422">
        <f t="shared" ref="BB84:BF84" si="129">AVERAGE(BB71:BB75)</f>
        <v>2.25</v>
      </c>
      <c r="BC84" s="422">
        <f t="shared" si="129"/>
        <v>2.25</v>
      </c>
      <c r="BD84" s="422">
        <f t="shared" si="129"/>
        <v>2.25</v>
      </c>
      <c r="BE84" s="422">
        <f t="shared" si="129"/>
        <v>2.25</v>
      </c>
      <c r="BF84" s="422">
        <f t="shared" si="129"/>
        <v>2.25</v>
      </c>
      <c r="BG84" s="247"/>
    </row>
    <row r="85" spans="1:59" s="1" customFormat="1" ht="18.75" customHeight="1">
      <c r="A85" s="431"/>
      <c r="B85" s="403" t="s">
        <v>112</v>
      </c>
      <c r="C85" s="403"/>
      <c r="D85" s="407"/>
      <c r="E85" s="257">
        <f>IF(MAX(E71:E75)-E84&gt;1,MAX(E71:E75)-1,E84)</f>
        <v>3</v>
      </c>
      <c r="F85" s="257">
        <f>IF(MAX(F71:F75)-F84&gt;1,MAX(F71:F75)-1,F84)</f>
        <v>3</v>
      </c>
      <c r="G85" s="257">
        <f t="shared" ref="G85:M85" si="130">IF(MAX(G71:G75)-G84&gt;1,MAX(G71:G75)-1,G84)</f>
        <v>3</v>
      </c>
      <c r="H85" s="257">
        <f t="shared" si="130"/>
        <v>3</v>
      </c>
      <c r="I85" s="257">
        <f t="shared" si="130"/>
        <v>3</v>
      </c>
      <c r="J85" s="257">
        <f t="shared" si="130"/>
        <v>3</v>
      </c>
      <c r="K85" s="257">
        <f t="shared" si="130"/>
        <v>3</v>
      </c>
      <c r="L85" s="257">
        <f t="shared" si="130"/>
        <v>3</v>
      </c>
      <c r="M85" s="257">
        <f t="shared" si="130"/>
        <v>3</v>
      </c>
      <c r="N85" s="257">
        <f t="shared" ref="N85:S85" si="131">IF(MAX(N71:N75)-N84&gt;1,MAX(N71:N75)-1,N84)</f>
        <v>3</v>
      </c>
      <c r="O85" s="257">
        <f t="shared" si="131"/>
        <v>3</v>
      </c>
      <c r="P85" s="257">
        <f t="shared" si="131"/>
        <v>3</v>
      </c>
      <c r="Q85" s="257">
        <f t="shared" si="131"/>
        <v>3</v>
      </c>
      <c r="R85" s="257">
        <f t="shared" si="131"/>
        <v>3</v>
      </c>
      <c r="S85" s="422">
        <f t="shared" si="131"/>
        <v>3</v>
      </c>
      <c r="T85" s="422">
        <f t="shared" ref="T85:AF85" si="132">IF(MAX(T71:T75)-T84&gt;1,MAX(T71:T75)-1,T84)</f>
        <v>3</v>
      </c>
      <c r="U85" s="422">
        <f t="shared" si="132"/>
        <v>3</v>
      </c>
      <c r="V85" s="422">
        <f t="shared" si="132"/>
        <v>3</v>
      </c>
      <c r="W85" s="422">
        <f t="shared" si="132"/>
        <v>3</v>
      </c>
      <c r="X85" s="422">
        <f t="shared" si="132"/>
        <v>3</v>
      </c>
      <c r="Y85" s="422">
        <f t="shared" si="132"/>
        <v>3</v>
      </c>
      <c r="Z85" s="422" t="e">
        <f t="shared" si="132"/>
        <v>#DIV/0!</v>
      </c>
      <c r="AA85" s="422">
        <f t="shared" si="132"/>
        <v>3</v>
      </c>
      <c r="AB85" s="422">
        <f t="shared" si="132"/>
        <v>3</v>
      </c>
      <c r="AC85" s="422">
        <f t="shared" si="132"/>
        <v>3</v>
      </c>
      <c r="AD85" s="422">
        <f t="shared" si="132"/>
        <v>3</v>
      </c>
      <c r="AE85" s="422" t="e">
        <f t="shared" si="132"/>
        <v>#REF!</v>
      </c>
      <c r="AF85" s="422">
        <f t="shared" si="132"/>
        <v>3</v>
      </c>
      <c r="AG85" s="422">
        <f t="shared" ref="AG85:AS85" si="133">IF(MAX(AG71:AG75)-AG84&gt;1,MAX(AG71:AG75)-1,AG84)</f>
        <v>3</v>
      </c>
      <c r="AH85" s="422">
        <f t="shared" si="133"/>
        <v>3</v>
      </c>
      <c r="AI85" s="422">
        <f t="shared" si="133"/>
        <v>3</v>
      </c>
      <c r="AJ85" s="422">
        <f t="shared" si="133"/>
        <v>3</v>
      </c>
      <c r="AK85" s="422">
        <f t="shared" si="133"/>
        <v>3</v>
      </c>
      <c r="AL85" s="422">
        <f t="shared" si="133"/>
        <v>3</v>
      </c>
      <c r="AM85" s="422">
        <f t="shared" si="133"/>
        <v>3</v>
      </c>
      <c r="AN85" s="422">
        <f t="shared" si="133"/>
        <v>3</v>
      </c>
      <c r="AO85" s="422">
        <f t="shared" si="133"/>
        <v>3</v>
      </c>
      <c r="AP85" s="422">
        <f t="shared" si="133"/>
        <v>3</v>
      </c>
      <c r="AQ85" s="422">
        <f t="shared" si="133"/>
        <v>3</v>
      </c>
      <c r="AR85" s="422">
        <f t="shared" si="133"/>
        <v>3</v>
      </c>
      <c r="AS85" s="422">
        <f t="shared" si="133"/>
        <v>3</v>
      </c>
      <c r="AT85" s="422">
        <f t="shared" ref="AT85:AZ85" si="134">IF(MAX(AT71:AT75)-AT84&gt;1,MAX(AT71:AT75)-1,AT84)</f>
        <v>3</v>
      </c>
      <c r="AU85" s="422">
        <f t="shared" si="134"/>
        <v>3</v>
      </c>
      <c r="AV85" s="422">
        <f t="shared" si="134"/>
        <v>3</v>
      </c>
      <c r="AW85" s="422">
        <f t="shared" si="134"/>
        <v>3</v>
      </c>
      <c r="AX85" s="422">
        <f t="shared" si="134"/>
        <v>3</v>
      </c>
      <c r="AY85" s="422">
        <f t="shared" si="134"/>
        <v>3</v>
      </c>
      <c r="AZ85" s="422">
        <f t="shared" si="134"/>
        <v>3</v>
      </c>
      <c r="BA85" s="422">
        <f>IF(MAX(BA71:BA75)-BA84&gt;1,MAX(BA71:BA75)-1,BA84)</f>
        <v>3</v>
      </c>
      <c r="BB85" s="422">
        <f t="shared" ref="BB85:BF85" si="135">IF(MAX(BB71:BB75)-BB84&gt;1,MAX(BB71:BB75)-1,BB84)</f>
        <v>3</v>
      </c>
      <c r="BC85" s="422">
        <f t="shared" si="135"/>
        <v>3</v>
      </c>
      <c r="BD85" s="422">
        <f t="shared" si="135"/>
        <v>3</v>
      </c>
      <c r="BE85" s="422">
        <f t="shared" si="135"/>
        <v>3</v>
      </c>
      <c r="BF85" s="422">
        <f t="shared" si="135"/>
        <v>3</v>
      </c>
      <c r="BG85" s="247"/>
    </row>
    <row r="86" spans="1:59" s="1" customFormat="1" ht="19.5" customHeight="1">
      <c r="A86" s="431"/>
      <c r="B86" s="403" t="s">
        <v>113</v>
      </c>
      <c r="C86" s="403" t="s">
        <v>114</v>
      </c>
      <c r="D86" s="407"/>
      <c r="E86" s="259">
        <f t="shared" ref="E86:AZ86" si="136">IF(MAX(E28,E29,E30,E31,E41,E43,E46,E47,E48,E49)-E83&gt;1,MAX(E28,E29,E30,E31,E41,E43,E46,E47,E48,E49)-1,E83)</f>
        <v>4</v>
      </c>
      <c r="F86" s="259">
        <f t="shared" si="136"/>
        <v>4</v>
      </c>
      <c r="G86" s="259">
        <f t="shared" si="136"/>
        <v>4</v>
      </c>
      <c r="H86" s="259">
        <f t="shared" si="136"/>
        <v>4</v>
      </c>
      <c r="I86" s="259">
        <f t="shared" si="136"/>
        <v>4</v>
      </c>
      <c r="J86" s="259">
        <f t="shared" si="136"/>
        <v>4</v>
      </c>
      <c r="K86" s="259">
        <f t="shared" si="136"/>
        <v>4</v>
      </c>
      <c r="L86" s="259">
        <f t="shared" si="136"/>
        <v>4</v>
      </c>
      <c r="M86" s="259">
        <f t="shared" si="136"/>
        <v>4</v>
      </c>
      <c r="N86" s="259">
        <f t="shared" si="136"/>
        <v>4</v>
      </c>
      <c r="O86" s="259">
        <f t="shared" si="136"/>
        <v>4</v>
      </c>
      <c r="P86" s="259">
        <f t="shared" si="136"/>
        <v>4</v>
      </c>
      <c r="Q86" s="259">
        <f t="shared" si="136"/>
        <v>4</v>
      </c>
      <c r="R86" s="259">
        <f t="shared" si="136"/>
        <v>4</v>
      </c>
      <c r="S86" s="424">
        <f t="shared" si="136"/>
        <v>4</v>
      </c>
      <c r="T86" s="424">
        <f t="shared" si="136"/>
        <v>4</v>
      </c>
      <c r="U86" s="424">
        <f t="shared" si="136"/>
        <v>4</v>
      </c>
      <c r="V86" s="424">
        <f t="shared" si="136"/>
        <v>4</v>
      </c>
      <c r="W86" s="424">
        <f t="shared" si="136"/>
        <v>4</v>
      </c>
      <c r="X86" s="424">
        <f t="shared" si="136"/>
        <v>4</v>
      </c>
      <c r="Y86" s="424">
        <f t="shared" si="136"/>
        <v>4</v>
      </c>
      <c r="Z86" s="424" t="e">
        <f t="shared" si="136"/>
        <v>#DIV/0!</v>
      </c>
      <c r="AA86" s="424">
        <f t="shared" si="136"/>
        <v>4</v>
      </c>
      <c r="AB86" s="424">
        <f t="shared" si="136"/>
        <v>4</v>
      </c>
      <c r="AC86" s="424">
        <f t="shared" si="136"/>
        <v>4</v>
      </c>
      <c r="AD86" s="424">
        <f t="shared" si="136"/>
        <v>4</v>
      </c>
      <c r="AE86" s="424" t="e">
        <f t="shared" si="136"/>
        <v>#REF!</v>
      </c>
      <c r="AF86" s="424">
        <f t="shared" si="136"/>
        <v>4</v>
      </c>
      <c r="AG86" s="424">
        <f t="shared" si="136"/>
        <v>4</v>
      </c>
      <c r="AH86" s="424">
        <f t="shared" si="136"/>
        <v>4</v>
      </c>
      <c r="AI86" s="424">
        <f t="shared" si="136"/>
        <v>4</v>
      </c>
      <c r="AJ86" s="424">
        <f t="shared" si="136"/>
        <v>4</v>
      </c>
      <c r="AK86" s="424">
        <f t="shared" si="136"/>
        <v>4</v>
      </c>
      <c r="AL86" s="424">
        <f t="shared" si="136"/>
        <v>4</v>
      </c>
      <c r="AM86" s="424">
        <f t="shared" si="136"/>
        <v>4</v>
      </c>
      <c r="AN86" s="424">
        <f t="shared" si="136"/>
        <v>4</v>
      </c>
      <c r="AO86" s="424">
        <f t="shared" si="136"/>
        <v>4</v>
      </c>
      <c r="AP86" s="424">
        <f t="shared" si="136"/>
        <v>4</v>
      </c>
      <c r="AQ86" s="424">
        <f t="shared" si="136"/>
        <v>4</v>
      </c>
      <c r="AR86" s="424">
        <f t="shared" si="136"/>
        <v>4</v>
      </c>
      <c r="AS86" s="424">
        <f t="shared" si="136"/>
        <v>4</v>
      </c>
      <c r="AT86" s="424">
        <f t="shared" si="136"/>
        <v>4</v>
      </c>
      <c r="AU86" s="424">
        <f t="shared" si="136"/>
        <v>4</v>
      </c>
      <c r="AV86" s="424">
        <f t="shared" si="136"/>
        <v>4</v>
      </c>
      <c r="AW86" s="424">
        <f t="shared" si="136"/>
        <v>4</v>
      </c>
      <c r="AX86" s="424">
        <f t="shared" si="136"/>
        <v>4</v>
      </c>
      <c r="AY86" s="424">
        <f t="shared" si="136"/>
        <v>4</v>
      </c>
      <c r="AZ86" s="424">
        <f t="shared" si="136"/>
        <v>4</v>
      </c>
      <c r="BA86" s="424">
        <f>IF(MAX(BA28,BA29,BA30,BA31,BA41,BA43,BA46,BA47,BA48,BA49)-BA83&gt;1,MAX(BA28,BA29,BA30,BA31,BA41,BA43,BA46,BA47,BA48,BA49)-1,BA83)</f>
        <v>4</v>
      </c>
      <c r="BB86" s="424">
        <f t="shared" ref="BB86:BF86" si="137">IF(MAX(BB28,BB29,BB30,BB31,BB41,BB43,BB46,BB47,BB48,BB49)-BB83&gt;1,MAX(BB28,BB29,BB30,BB31,BB41,BB43,BB46,BB47,BB48,BB49)-1,BB83)</f>
        <v>4</v>
      </c>
      <c r="BC86" s="424">
        <f t="shared" si="137"/>
        <v>4</v>
      </c>
      <c r="BD86" s="424">
        <f t="shared" si="137"/>
        <v>4</v>
      </c>
      <c r="BE86" s="424">
        <f t="shared" si="137"/>
        <v>4</v>
      </c>
      <c r="BF86" s="424">
        <f t="shared" si="137"/>
        <v>4</v>
      </c>
      <c r="BG86" s="247"/>
    </row>
    <row r="87" spans="1:59" s="1" customFormat="1" ht="8.25" customHeight="1">
      <c r="A87" s="247"/>
      <c r="B87" s="400"/>
      <c r="C87" s="400"/>
      <c r="D87" s="406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  <c r="AD87" s="247"/>
      <c r="AE87" s="247"/>
      <c r="AF87" s="247"/>
      <c r="AG87" s="247"/>
      <c r="AH87" s="247"/>
      <c r="AI87" s="247"/>
      <c r="AJ87" s="247"/>
      <c r="AK87" s="247"/>
      <c r="AL87" s="247"/>
      <c r="AM87" s="247"/>
      <c r="AN87" s="247"/>
      <c r="AO87" s="247"/>
      <c r="AP87" s="247"/>
      <c r="AQ87" s="247"/>
      <c r="AR87" s="247"/>
      <c r="AS87" s="247"/>
      <c r="AT87" s="247"/>
      <c r="AU87" s="247"/>
      <c r="AV87" s="247"/>
      <c r="AW87" s="247"/>
      <c r="AX87" s="247"/>
      <c r="AY87" s="247"/>
      <c r="AZ87" s="247"/>
      <c r="BA87" s="247"/>
      <c r="BB87" s="247"/>
      <c r="BC87" s="247"/>
      <c r="BD87" s="247"/>
      <c r="BE87" s="247"/>
      <c r="BF87" s="247"/>
      <c r="BG87" s="247"/>
    </row>
  </sheetData>
  <mergeCells count="21">
    <mergeCell ref="A83:A86"/>
    <mergeCell ref="A52:A69"/>
    <mergeCell ref="A71:A75"/>
    <mergeCell ref="B66:B69"/>
    <mergeCell ref="A77:A81"/>
    <mergeCell ref="B62:B65"/>
    <mergeCell ref="B59:B61"/>
    <mergeCell ref="B37:B39"/>
    <mergeCell ref="B41:B44"/>
    <mergeCell ref="B57:B58"/>
    <mergeCell ref="A28:A49"/>
    <mergeCell ref="B52:B56"/>
    <mergeCell ref="B46:B49"/>
    <mergeCell ref="B13:B15"/>
    <mergeCell ref="B4:B8"/>
    <mergeCell ref="B34:B35"/>
    <mergeCell ref="B17:B20"/>
    <mergeCell ref="A4:A26"/>
    <mergeCell ref="B10:B11"/>
    <mergeCell ref="B22:B25"/>
    <mergeCell ref="B28:B3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51"/>
  <sheetViews>
    <sheetView zoomScaleNormal="100" workbookViewId="0">
      <pane xSplit="1" topLeftCell="BL1" activePane="topRight" state="frozen"/>
      <selection pane="topRight" activeCell="BL7" sqref="BL7"/>
    </sheetView>
  </sheetViews>
  <sheetFormatPr defaultColWidth="9.140625" defaultRowHeight="13.15"/>
  <cols>
    <col min="1" max="1" width="34" style="1" customWidth="1"/>
    <col min="2" max="2" width="10.42578125" style="2" bestFit="1" customWidth="1"/>
    <col min="3" max="3" width="5.85546875" style="1" bestFit="1" customWidth="1"/>
    <col min="4" max="4" width="9.140625" style="1"/>
    <col min="5" max="16" width="0" style="1" hidden="1" customWidth="1"/>
    <col min="17" max="30" width="9.140625" style="1"/>
    <col min="31" max="42" width="0" style="1" hidden="1" customWidth="1"/>
    <col min="43" max="43" width="12.140625" style="1" customWidth="1"/>
    <col min="44" max="55" width="0" style="1" hidden="1" customWidth="1"/>
    <col min="56" max="56" width="13.28515625" style="1" customWidth="1"/>
    <col min="57" max="63" width="9.140625" style="1"/>
    <col min="64" max="64" width="11.42578125" style="1" customWidth="1"/>
    <col min="65" max="16384" width="9.140625" style="1"/>
  </cols>
  <sheetData>
    <row r="1" spans="1:78">
      <c r="A1" s="77" t="s">
        <v>115</v>
      </c>
      <c r="B1" s="248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7"/>
      <c r="BC1" s="247"/>
      <c r="BD1" s="247"/>
      <c r="BE1" s="247"/>
      <c r="BF1" s="247"/>
      <c r="BG1" s="247"/>
      <c r="BH1" s="247"/>
      <c r="BI1" s="247"/>
      <c r="BJ1" s="247"/>
      <c r="BK1" s="247"/>
      <c r="BL1" s="247"/>
      <c r="BM1" s="247"/>
      <c r="BN1" s="247"/>
      <c r="BO1" s="247"/>
      <c r="BP1" s="247"/>
      <c r="BQ1" s="247"/>
      <c r="BR1" s="247"/>
      <c r="BS1" s="247"/>
      <c r="BT1" s="247"/>
      <c r="BU1" s="247"/>
      <c r="BV1" s="247"/>
      <c r="BW1" s="247"/>
      <c r="BX1" s="247"/>
      <c r="BY1" s="247"/>
      <c r="BZ1" s="247"/>
    </row>
    <row r="2" spans="1:78" ht="13.9" thickBot="1">
      <c r="A2" s="3" t="s">
        <v>116</v>
      </c>
      <c r="B2" s="248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7"/>
      <c r="AQ2" s="247"/>
      <c r="AR2" s="247"/>
      <c r="AS2" s="247"/>
      <c r="AT2" s="247"/>
      <c r="AU2" s="247"/>
      <c r="AV2" s="247"/>
      <c r="AW2" s="247"/>
      <c r="AX2" s="247"/>
      <c r="AY2" s="247"/>
      <c r="AZ2" s="247"/>
      <c r="BA2" s="247"/>
      <c r="BB2" s="247"/>
      <c r="BC2" s="247"/>
      <c r="BD2" s="247"/>
      <c r="BE2" s="247"/>
      <c r="BF2" s="247"/>
      <c r="BG2" s="247"/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247"/>
      <c r="BU2" s="247"/>
      <c r="BV2" s="247"/>
      <c r="BW2" s="247"/>
      <c r="BX2" s="247"/>
      <c r="BY2" s="247"/>
      <c r="BZ2" s="247"/>
    </row>
    <row r="3" spans="1:78" s="3" customFormat="1" ht="15" customHeight="1">
      <c r="A3" s="4"/>
      <c r="B3" s="5"/>
      <c r="C3" s="6"/>
    </row>
    <row r="4" spans="1:78" s="3" customFormat="1" ht="28.9">
      <c r="A4" s="7" t="s">
        <v>117</v>
      </c>
      <c r="B4" s="8" t="s">
        <v>118</v>
      </c>
      <c r="C4" s="9" t="s">
        <v>119</v>
      </c>
      <c r="D4" s="76" t="s">
        <v>2</v>
      </c>
      <c r="E4" s="79">
        <v>43101</v>
      </c>
      <c r="F4" s="79">
        <v>43132</v>
      </c>
      <c r="G4" s="79">
        <v>43160</v>
      </c>
      <c r="H4" s="79">
        <v>43191</v>
      </c>
      <c r="I4" s="79">
        <v>43221</v>
      </c>
      <c r="J4" s="79">
        <v>43252</v>
      </c>
      <c r="K4" s="79">
        <v>43282</v>
      </c>
      <c r="L4" s="79">
        <v>43313</v>
      </c>
      <c r="M4" s="79">
        <v>43344</v>
      </c>
      <c r="N4" s="79">
        <v>43374</v>
      </c>
      <c r="O4" s="79">
        <v>43405</v>
      </c>
      <c r="P4" s="79">
        <v>43435</v>
      </c>
      <c r="Q4" s="127" t="s">
        <v>3</v>
      </c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</row>
    <row r="5" spans="1:78" s="3" customFormat="1">
      <c r="A5" s="10" t="s">
        <v>120</v>
      </c>
      <c r="B5" s="11"/>
      <c r="C5" s="12"/>
      <c r="D5" s="78"/>
      <c r="AE5" s="198">
        <v>43831</v>
      </c>
      <c r="AF5" s="198">
        <v>43862</v>
      </c>
      <c r="AG5" s="198">
        <v>43891</v>
      </c>
      <c r="AH5" s="198">
        <v>43922</v>
      </c>
      <c r="AI5" s="198">
        <v>43952</v>
      </c>
      <c r="AJ5" s="198">
        <v>43983</v>
      </c>
      <c r="AK5" s="198">
        <v>44013</v>
      </c>
      <c r="AL5" s="198">
        <v>44044</v>
      </c>
      <c r="AM5" s="198">
        <v>44075</v>
      </c>
      <c r="AN5" s="198">
        <v>44105</v>
      </c>
      <c r="AO5" s="198">
        <v>44136</v>
      </c>
      <c r="AP5" s="198">
        <v>44166</v>
      </c>
      <c r="AQ5" s="3" t="s">
        <v>61</v>
      </c>
      <c r="AR5" s="198">
        <v>44197</v>
      </c>
      <c r="AS5" s="198">
        <v>44228</v>
      </c>
      <c r="AT5" s="198">
        <v>44256</v>
      </c>
      <c r="AU5" s="198">
        <v>44287</v>
      </c>
      <c r="AV5" s="198">
        <v>44317</v>
      </c>
      <c r="AW5" s="198">
        <v>44348</v>
      </c>
      <c r="AX5" s="198">
        <v>44378</v>
      </c>
      <c r="AY5" s="198">
        <v>44409</v>
      </c>
      <c r="AZ5" s="198">
        <v>44440</v>
      </c>
      <c r="BA5" s="198">
        <v>44470</v>
      </c>
      <c r="BB5" s="198">
        <v>44501</v>
      </c>
      <c r="BC5" s="198">
        <v>44531</v>
      </c>
      <c r="BD5" s="3" t="s">
        <v>6</v>
      </c>
      <c r="BE5" s="198">
        <v>44562</v>
      </c>
      <c r="BF5" s="198">
        <v>44593</v>
      </c>
      <c r="BG5" s="198">
        <v>44621</v>
      </c>
      <c r="BH5" s="198">
        <v>44652</v>
      </c>
      <c r="BI5" s="198">
        <v>44682</v>
      </c>
      <c r="BJ5" s="198">
        <v>44713</v>
      </c>
      <c r="BK5" s="198">
        <v>44743</v>
      </c>
      <c r="BL5" s="198">
        <v>44774</v>
      </c>
    </row>
    <row r="6" spans="1:78" s="3" customFormat="1">
      <c r="A6" s="260" t="s">
        <v>121</v>
      </c>
      <c r="B6" s="14" t="s">
        <v>122</v>
      </c>
      <c r="C6" s="15" t="s">
        <v>123</v>
      </c>
      <c r="D6" s="261">
        <f>CAELS!E4</f>
        <v>2354.8771999999999</v>
      </c>
      <c r="E6" s="261" t="e">
        <f>CAELS!#REF!</f>
        <v>#REF!</v>
      </c>
      <c r="F6" s="261" t="e">
        <f>CAELS!#REF!</f>
        <v>#REF!</v>
      </c>
      <c r="G6" s="261" t="e">
        <f>CAELS!#REF!</f>
        <v>#REF!</v>
      </c>
      <c r="H6" s="261" t="e">
        <f>CAELS!#REF!</f>
        <v>#REF!</v>
      </c>
      <c r="I6" s="261" t="e">
        <f>CAELS!#REF!</f>
        <v>#REF!</v>
      </c>
      <c r="J6" s="261" t="e">
        <f>CAELS!#REF!</f>
        <v>#REF!</v>
      </c>
      <c r="K6" s="261" t="e">
        <f>CAELS!#REF!</f>
        <v>#REF!</v>
      </c>
      <c r="L6" s="261" t="e">
        <f>CAELS!#REF!</f>
        <v>#REF!</v>
      </c>
      <c r="M6" s="261" t="e">
        <f>CAELS!#REF!</f>
        <v>#REF!</v>
      </c>
      <c r="N6" s="261" t="e">
        <f>CAELS!#REF!</f>
        <v>#REF!</v>
      </c>
      <c r="O6" s="261" t="e">
        <f>CAELS!#REF!</f>
        <v>#REF!</v>
      </c>
      <c r="P6" s="261" t="e">
        <f>CAELS!#REF!</f>
        <v>#REF!</v>
      </c>
      <c r="Q6" s="261">
        <f>CAELS!F4</f>
        <v>2112.2538989999998</v>
      </c>
      <c r="R6" s="261">
        <f>CAELS!G4</f>
        <v>2260.4536720000001</v>
      </c>
      <c r="S6" s="261">
        <f>CAELS!H4</f>
        <v>2296.490354</v>
      </c>
      <c r="T6" s="261">
        <f>CAELS!I4</f>
        <v>2316.8831150000001</v>
      </c>
      <c r="U6" s="261">
        <f>CAELS!J4</f>
        <v>2350.4639950000001</v>
      </c>
      <c r="V6" s="261">
        <f>CAELS!K4</f>
        <v>2401.1642310000002</v>
      </c>
      <c r="W6" s="261">
        <f>CAELS!L4</f>
        <v>2419.093562</v>
      </c>
      <c r="X6" s="261">
        <f>CAELS!M4</f>
        <v>2415.9595439999998</v>
      </c>
      <c r="Y6" s="261">
        <f>CAELS!N4</f>
        <v>2551.807605</v>
      </c>
      <c r="Z6" s="261">
        <f>CAELS!O4</f>
        <v>2528.7221869999998</v>
      </c>
      <c r="AA6" s="261">
        <f>CAELS!P4</f>
        <v>2528.9564439999999</v>
      </c>
      <c r="AB6" s="261">
        <f>CAELS!Q4</f>
        <v>2530.5394409999999</v>
      </c>
      <c r="AC6" s="261">
        <f>CAELS!R4</f>
        <v>2521.9885939999999</v>
      </c>
      <c r="AD6" s="261">
        <f>CAELS!S4</f>
        <v>3167.2898329999998</v>
      </c>
      <c r="AE6" s="261">
        <f>CAELS!T4</f>
        <v>3262.1259639999998</v>
      </c>
      <c r="AF6" s="261">
        <f>CAELS!U4</f>
        <v>3349.1399670000001</v>
      </c>
      <c r="AG6" s="261">
        <f>CAELS!V4</f>
        <v>3334.0524340000002</v>
      </c>
      <c r="AH6" s="261">
        <f>CAELS!W4</f>
        <v>3347.2681040000002</v>
      </c>
      <c r="AI6" s="261">
        <f>CAELS!X4</f>
        <v>3359.1320839999998</v>
      </c>
      <c r="AJ6" s="261">
        <f>CAELS!Y4</f>
        <v>3334.4369889999998</v>
      </c>
      <c r="AK6" s="261">
        <f>CAELS!Z4</f>
        <v>0</v>
      </c>
      <c r="AL6" s="261">
        <f>CAELS!AA4</f>
        <v>3451.5219630000001</v>
      </c>
      <c r="AM6" s="261">
        <f>CAELS!AB4</f>
        <v>3295.0543859999998</v>
      </c>
      <c r="AN6" s="261">
        <f>CAELS!AC4</f>
        <v>3405.7908809999999</v>
      </c>
      <c r="AO6" s="261">
        <f>CAELS!AD4</f>
        <v>3475.5456180000001</v>
      </c>
      <c r="AP6" s="261">
        <f>CAELS!AE4</f>
        <v>3467.9166409999998</v>
      </c>
      <c r="AQ6" s="261">
        <f>CAELS!AF4</f>
        <v>3.6803599999999999</v>
      </c>
      <c r="AR6" s="261">
        <f>CAELS!AG4</f>
        <v>3529.8270090000001</v>
      </c>
      <c r="AS6" s="261">
        <f>CAELS!AH4</f>
        <v>3645.754782</v>
      </c>
      <c r="AT6" s="261">
        <f>CAELS!AI4</f>
        <v>3685.197615</v>
      </c>
      <c r="AU6" s="261">
        <f>CAELS!AJ4</f>
        <v>3716.2690550000002</v>
      </c>
      <c r="AV6" s="261">
        <f>CAELS!AK4</f>
        <v>3816.2622849999998</v>
      </c>
      <c r="AW6" s="261">
        <f>CAELS!AL4</f>
        <v>3793.9386679999998</v>
      </c>
      <c r="AX6" s="261">
        <f>CAELS!AM4</f>
        <v>3825.1884810000001</v>
      </c>
      <c r="AY6" s="261">
        <f>CAELS!AN4</f>
        <v>3849.8147829999998</v>
      </c>
      <c r="AZ6" s="261">
        <f>CAELS!AO4</f>
        <v>3867.1112320000002</v>
      </c>
      <c r="BA6" s="261">
        <f>CAELS!AP4</f>
        <v>3883.0086240000001</v>
      </c>
      <c r="BB6" s="261">
        <f>CAELS!AQ4</f>
        <v>3897.1487360000001</v>
      </c>
      <c r="BC6" s="261">
        <f>CAELS!AR4</f>
        <v>4170.9784730000001</v>
      </c>
      <c r="BD6" s="261">
        <f>CAELS!AS4</f>
        <v>4162.8290841997796</v>
      </c>
      <c r="BE6" s="261">
        <f>CAELS!AT4</f>
        <v>4263.2573730000004</v>
      </c>
      <c r="BF6" s="261">
        <f>CAELS!AU4</f>
        <v>4316.108733</v>
      </c>
      <c r="BG6" s="261">
        <f>CAELS!AV4</f>
        <v>4266.7441349999999</v>
      </c>
      <c r="BH6" s="261">
        <f>CAELS!AW4</f>
        <v>4246.6678510000002</v>
      </c>
      <c r="BI6" s="261">
        <f>CAELS!AX4</f>
        <v>4318.479182</v>
      </c>
      <c r="BJ6" s="261">
        <f>CAELS!AY4</f>
        <v>4342.8782124600002</v>
      </c>
      <c r="BK6" s="261">
        <f>CAELS!AZ4</f>
        <v>4382.8499410000004</v>
      </c>
      <c r="BL6" s="261">
        <f>CAELS!BA4</f>
        <v>4406.1109909999996</v>
      </c>
      <c r="BM6" s="261">
        <f>CAELS!BB4</f>
        <v>4577.427713</v>
      </c>
      <c r="BN6" s="261">
        <f>CAELS!BC4</f>
        <v>4595.7177380000003</v>
      </c>
      <c r="BO6" s="261">
        <f>CAELS!BD4</f>
        <v>4630.8685349999996</v>
      </c>
      <c r="BP6" s="261">
        <f>CAELS!BE4</f>
        <v>4728.6632390000004</v>
      </c>
      <c r="BQ6" s="261">
        <f>CAELS!BF4</f>
        <v>4484.4269999999997</v>
      </c>
      <c r="BR6" s="261" t="e">
        <f>CAELS!#REF!</f>
        <v>#REF!</v>
      </c>
      <c r="BS6" s="261">
        <f>CAELS!BG4</f>
        <v>0</v>
      </c>
      <c r="BT6" s="261">
        <f>CAELS!BH4</f>
        <v>0</v>
      </c>
      <c r="BU6" s="261">
        <f>CAELS!BI4</f>
        <v>0</v>
      </c>
      <c r="BV6" s="261">
        <f>CAELS!BJ4</f>
        <v>0</v>
      </c>
      <c r="BW6" s="261">
        <f>CAELS!BK4</f>
        <v>0</v>
      </c>
      <c r="BX6" s="261">
        <f>CAELS!BL4</f>
        <v>0</v>
      </c>
      <c r="BY6" s="261">
        <f>CAELS!BM4</f>
        <v>0</v>
      </c>
      <c r="BZ6" s="261">
        <f>CAELS!BN4</f>
        <v>0</v>
      </c>
    </row>
    <row r="7" spans="1:78" s="3" customFormat="1">
      <c r="A7" s="260" t="s">
        <v>124</v>
      </c>
      <c r="B7" s="14" t="s">
        <v>125</v>
      </c>
      <c r="C7" s="15" t="s">
        <v>126</v>
      </c>
      <c r="D7" s="262">
        <f>CAELS!E5</f>
        <v>0.2904977147360725</v>
      </c>
      <c r="E7" s="262" t="e">
        <f>CAELS!#REF!</f>
        <v>#REF!</v>
      </c>
      <c r="F7" s="262" t="e">
        <f>CAELS!#REF!</f>
        <v>#REF!</v>
      </c>
      <c r="G7" s="262" t="e">
        <f>CAELS!#REF!</f>
        <v>#REF!</v>
      </c>
      <c r="H7" s="262" t="e">
        <f>CAELS!#REF!</f>
        <v>#REF!</v>
      </c>
      <c r="I7" s="262" t="e">
        <f>CAELS!#REF!</f>
        <v>#REF!</v>
      </c>
      <c r="J7" s="262" t="e">
        <f>CAELS!#REF!</f>
        <v>#REF!</v>
      </c>
      <c r="K7" s="262" t="e">
        <f>CAELS!#REF!</f>
        <v>#REF!</v>
      </c>
      <c r="L7" s="262" t="e">
        <f>CAELS!#REF!</f>
        <v>#REF!</v>
      </c>
      <c r="M7" s="262" t="e">
        <f>CAELS!#REF!</f>
        <v>#REF!</v>
      </c>
      <c r="N7" s="262" t="e">
        <f>CAELS!#REF!</f>
        <v>#REF!</v>
      </c>
      <c r="O7" s="262" t="e">
        <f>CAELS!#REF!</f>
        <v>#REF!</v>
      </c>
      <c r="P7" s="262" t="e">
        <f>CAELS!#REF!</f>
        <v>#REF!</v>
      </c>
      <c r="Q7" s="262">
        <f>CAELS!F5</f>
        <v>0.24236128433579504</v>
      </c>
      <c r="R7" s="262">
        <f>CAELS!G5</f>
        <v>0.25227515622584501</v>
      </c>
      <c r="S7" s="262">
        <f>CAELS!H5</f>
        <v>0.25634814594753813</v>
      </c>
      <c r="T7" s="262">
        <f>CAELS!I5</f>
        <v>0.25605685237034503</v>
      </c>
      <c r="U7" s="262">
        <f>CAELS!J5</f>
        <v>0.27491438075667479</v>
      </c>
      <c r="V7" s="262">
        <f>CAELS!K5</f>
        <v>0.28073567276583911</v>
      </c>
      <c r="W7" s="262">
        <f>CAELS!L5</f>
        <v>0.2778337125465612</v>
      </c>
      <c r="X7" s="262">
        <f>CAELS!M5</f>
        <v>0.27461852572675288</v>
      </c>
      <c r="Y7" s="262">
        <f>CAELS!N5</f>
        <v>0.28190536696099749</v>
      </c>
      <c r="Z7" s="262">
        <f>CAELS!O5</f>
        <v>0.27583982063667528</v>
      </c>
      <c r="AA7" s="262">
        <f>CAELS!P5</f>
        <v>0.27116962144195716</v>
      </c>
      <c r="AB7" s="262">
        <f>CAELS!Q5</f>
        <v>0.27623100223220998</v>
      </c>
      <c r="AC7" s="262">
        <f>CAELS!R5</f>
        <v>0.26916639422846939</v>
      </c>
      <c r="AD7" s="262">
        <f>CAELS!S5</f>
        <v>0.33393207551236997</v>
      </c>
      <c r="AE7" s="262">
        <f>CAELS!T5</f>
        <v>0.33816176673010823</v>
      </c>
      <c r="AF7" s="262">
        <f>CAELS!U5</f>
        <v>0.34418342694037102</v>
      </c>
      <c r="AG7" s="262">
        <f>CAELS!V5</f>
        <v>0.34937400344957853</v>
      </c>
      <c r="AH7" s="262">
        <f>CAELS!W5</f>
        <v>0.34795177850798803</v>
      </c>
      <c r="AI7" s="262">
        <f>CAELS!X5</f>
        <v>0.35063734202339919</v>
      </c>
      <c r="AJ7" s="262">
        <f>CAELS!Y5</f>
        <v>0.34413561366078416</v>
      </c>
      <c r="AK7" s="262" t="e">
        <f>CAELS!Z5</f>
        <v>#DIV/0!</v>
      </c>
      <c r="AL7" s="262">
        <f>CAELS!AA5</f>
        <v>0.34583327606555087</v>
      </c>
      <c r="AM7" s="262">
        <f>CAELS!AB5</f>
        <v>0.32779300213140383</v>
      </c>
      <c r="AN7" s="262">
        <f>CAELS!AC5</f>
        <v>0.3324156376032581</v>
      </c>
      <c r="AO7" s="262">
        <f>CAELS!AD5</f>
        <v>0.3318604370394202</v>
      </c>
      <c r="AP7" s="262">
        <f>CAELS!AE5</f>
        <v>0.32789494927762586</v>
      </c>
      <c r="AQ7" s="262">
        <f>CAELS!AF5</f>
        <v>0.35124206323074825</v>
      </c>
      <c r="AR7" s="262">
        <f>CAELS!AG5</f>
        <v>0.33713433520316821</v>
      </c>
      <c r="AS7" s="262">
        <f>CAELS!AH5</f>
        <v>0.35416802335168923</v>
      </c>
      <c r="AT7" s="262">
        <f>CAELS!AI5</f>
        <v>0.36326419036441293</v>
      </c>
      <c r="AU7" s="262">
        <f>CAELS!AJ5</f>
        <v>0.36337917324988728</v>
      </c>
      <c r="AV7" s="262">
        <f>CAELS!AK5</f>
        <v>0.37010742923758766</v>
      </c>
      <c r="AW7" s="262">
        <f>CAELS!AL5</f>
        <v>0.35895615871548769</v>
      </c>
      <c r="AX7" s="262">
        <f>CAELS!AM5</f>
        <v>0.34923172205693515</v>
      </c>
      <c r="AY7" s="262">
        <f>CAELS!AN5</f>
        <v>0.35224807819823217</v>
      </c>
      <c r="AZ7" s="262">
        <f>CAELS!AO5</f>
        <v>0.3498627638004837</v>
      </c>
      <c r="BA7" s="262">
        <f>CAELS!AP5</f>
        <v>0.34763102159619075</v>
      </c>
      <c r="BB7" s="262">
        <f>CAELS!AQ5</f>
        <v>0.34201568322189158</v>
      </c>
      <c r="BC7" s="262">
        <f>CAELS!AR5</f>
        <v>0.35677872691562351</v>
      </c>
      <c r="BD7" s="262">
        <f>CAELS!AS5</f>
        <v>0.35608164146584959</v>
      </c>
      <c r="BE7" s="262">
        <f>CAELS!AT5</f>
        <v>0.36073857114253549</v>
      </c>
      <c r="BF7" s="262">
        <f>CAELS!AU5</f>
        <v>0.3718548275332404</v>
      </c>
      <c r="BG7" s="262">
        <f>CAELS!AV5</f>
        <v>0.36724003867234212</v>
      </c>
      <c r="BH7" s="262">
        <f>CAELS!AW5</f>
        <v>0.36524833988646643</v>
      </c>
      <c r="BI7" s="262">
        <f>CAELS!AX5</f>
        <v>0.37006303623047998</v>
      </c>
      <c r="BJ7" s="262">
        <f>CAELS!AY5</f>
        <v>0.36749661296192782</v>
      </c>
      <c r="BK7" s="262">
        <f>CAELS!AZ5</f>
        <v>0.36381699472979001</v>
      </c>
      <c r="BL7" s="262">
        <f>CAELS!BA5</f>
        <v>0.36493707573694295</v>
      </c>
      <c r="BM7" s="262">
        <f>CAELS!BB5</f>
        <v>0.373733546016496</v>
      </c>
      <c r="BN7" s="262">
        <f>CAELS!BC5</f>
        <v>0.37105014758889965</v>
      </c>
      <c r="BO7" s="262">
        <f>CAELS!BD5</f>
        <v>0.36702053824477282</v>
      </c>
      <c r="BP7" s="262">
        <f>CAELS!BE5</f>
        <v>0.36706989129128509</v>
      </c>
      <c r="BQ7" s="262">
        <f>CAELS!BF5</f>
        <v>0.34607336735909733</v>
      </c>
      <c r="BR7" s="262" t="e">
        <f>CAELS!#REF!</f>
        <v>#REF!</v>
      </c>
      <c r="BS7" s="262">
        <f>CAELS!BG5</f>
        <v>0</v>
      </c>
      <c r="BT7" s="262">
        <f>CAELS!BH5</f>
        <v>0</v>
      </c>
      <c r="BU7" s="262">
        <f>CAELS!BI5</f>
        <v>0</v>
      </c>
      <c r="BV7" s="262">
        <f>CAELS!BJ5</f>
        <v>0</v>
      </c>
      <c r="BW7" s="262">
        <f>CAELS!BK5</f>
        <v>0</v>
      </c>
      <c r="BX7" s="262">
        <f>CAELS!BL5</f>
        <v>0</v>
      </c>
      <c r="BY7" s="262">
        <f>CAELS!BM5</f>
        <v>0</v>
      </c>
      <c r="BZ7" s="262">
        <f>CAELS!BN5</f>
        <v>0</v>
      </c>
    </row>
    <row r="8" spans="1:78" s="3" customFormat="1">
      <c r="A8" s="260" t="s">
        <v>127</v>
      </c>
      <c r="B8" s="14" t="s">
        <v>128</v>
      </c>
      <c r="C8" s="15" t="s">
        <v>129</v>
      </c>
      <c r="D8" s="262">
        <f>CAELS!E6</f>
        <v>0.24331868897875608</v>
      </c>
      <c r="E8" s="262" t="e">
        <f>CAELS!#REF!</f>
        <v>#REF!</v>
      </c>
      <c r="F8" s="262" t="e">
        <f>CAELS!#REF!</f>
        <v>#REF!</v>
      </c>
      <c r="G8" s="262" t="e">
        <f>CAELS!#REF!</f>
        <v>#REF!</v>
      </c>
      <c r="H8" s="262" t="e">
        <f>CAELS!#REF!</f>
        <v>#REF!</v>
      </c>
      <c r="I8" s="262" t="e">
        <f>CAELS!#REF!</f>
        <v>#REF!</v>
      </c>
      <c r="J8" s="262" t="e">
        <f>CAELS!#REF!</f>
        <v>#REF!</v>
      </c>
      <c r="K8" s="262" t="e">
        <f>CAELS!#REF!</f>
        <v>#REF!</v>
      </c>
      <c r="L8" s="262" t="e">
        <f>CAELS!#REF!</f>
        <v>#REF!</v>
      </c>
      <c r="M8" s="262" t="e">
        <f>CAELS!#REF!</f>
        <v>#REF!</v>
      </c>
      <c r="N8" s="262" t="e">
        <f>CAELS!#REF!</f>
        <v>#REF!</v>
      </c>
      <c r="O8" s="262" t="e">
        <f>CAELS!#REF!</f>
        <v>#REF!</v>
      </c>
      <c r="P8" s="262" t="e">
        <f>CAELS!#REF!</f>
        <v>#REF!</v>
      </c>
      <c r="Q8" s="262">
        <f>CAELS!F6</f>
        <v>0.19394967416467504</v>
      </c>
      <c r="R8" s="262">
        <f>CAELS!G6</f>
        <v>0.17729933707473269</v>
      </c>
      <c r="S8" s="262">
        <f>CAELS!H6</f>
        <v>0.18093922479761312</v>
      </c>
      <c r="T8" s="262">
        <f>CAELS!I6</f>
        <v>0.18064481739382973</v>
      </c>
      <c r="U8" s="262">
        <f>CAELS!J6</f>
        <v>0.19362637417290632</v>
      </c>
      <c r="V8" s="262">
        <f>CAELS!K6</f>
        <v>0.19890983743111226</v>
      </c>
      <c r="W8" s="262">
        <f>CAELS!L6</f>
        <v>0.19697259413907195</v>
      </c>
      <c r="X8" s="262">
        <f>CAELS!M6</f>
        <v>0.19425578831351745</v>
      </c>
      <c r="Y8" s="262">
        <f>CAELS!N6</f>
        <v>0.19479502626185807</v>
      </c>
      <c r="Z8" s="262">
        <f>CAELS!O6</f>
        <v>0.18942968835270366</v>
      </c>
      <c r="AA8" s="262">
        <f>CAELS!P6</f>
        <v>0.1855163344353922</v>
      </c>
      <c r="AB8" s="262">
        <f>CAELS!Q6</f>
        <v>0.18853078779350255</v>
      </c>
      <c r="AC8" s="262">
        <f>CAELS!R6</f>
        <v>0.18283129606880316</v>
      </c>
      <c r="AD8" s="262">
        <f>CAELS!S6</f>
        <v>0.24864563305395718</v>
      </c>
      <c r="AE8" s="262">
        <f>CAELS!T6</f>
        <v>0.24595579900015185</v>
      </c>
      <c r="AF8" s="262">
        <f>CAELS!U6</f>
        <v>0.25216910419674232</v>
      </c>
      <c r="AG8" s="262">
        <f>CAELS!V6</f>
        <v>0.25467758014262387</v>
      </c>
      <c r="AH8" s="262">
        <f>CAELS!W6</f>
        <v>0.25353048759405661</v>
      </c>
      <c r="AI8" s="262">
        <f>CAELS!X6</f>
        <v>0.25530752263150192</v>
      </c>
      <c r="AJ8" s="262">
        <f>CAELS!Y6</f>
        <v>0.24945483734635734</v>
      </c>
      <c r="AK8" s="262" t="e">
        <f>CAELS!Z6</f>
        <v>#DIV/0!</v>
      </c>
      <c r="AL8" s="262">
        <f>CAELS!AA6</f>
        <v>0.25289645794836746</v>
      </c>
      <c r="AM8" s="262">
        <f>CAELS!AB6</f>
        <v>0.23497195028264481</v>
      </c>
      <c r="AN8" s="262">
        <f>CAELS!AC6</f>
        <v>0.24074593651171469</v>
      </c>
      <c r="AO8" s="262">
        <f>CAELS!AD6</f>
        <v>0.24156828184982415</v>
      </c>
      <c r="AP8" s="262">
        <f>CAELS!AE6</f>
        <v>0.23792506894817222</v>
      </c>
      <c r="AQ8" s="262">
        <f>CAELS!AF6</f>
        <v>0.26042919872152759</v>
      </c>
      <c r="AR8" s="262">
        <f>CAELS!AG6</f>
        <v>0.24577381930078643</v>
      </c>
      <c r="AS8" s="262">
        <f>CAELS!AH6</f>
        <v>0.25191998561451084</v>
      </c>
      <c r="AT8" s="262">
        <f>CAELS!AI6</f>
        <v>0.25793055382324437</v>
      </c>
      <c r="AU8" s="262">
        <f>CAELS!AJ6</f>
        <v>0.25805576502339211</v>
      </c>
      <c r="AV8" s="262">
        <f>CAELS!AK6</f>
        <v>0.26488736400263357</v>
      </c>
      <c r="AW8" s="262">
        <f>CAELS!AL6</f>
        <v>0.25582282943466522</v>
      </c>
      <c r="AX8" s="262">
        <f>CAELS!AM6</f>
        <v>0.2488119624768601</v>
      </c>
      <c r="AY8" s="262">
        <f>CAELS!AN6</f>
        <v>0.25079927216325404</v>
      </c>
      <c r="AZ8" s="262">
        <f>CAELS!AO6</f>
        <v>0.24883026019034515</v>
      </c>
      <c r="BA8" s="262">
        <f>CAELS!AP6</f>
        <v>0.24700000246895365</v>
      </c>
      <c r="BB8" s="262">
        <f>CAELS!AQ6</f>
        <v>0.24270665634902625</v>
      </c>
      <c r="BC8" s="262">
        <f>CAELS!AR6</f>
        <v>0.25937342584768264</v>
      </c>
      <c r="BD8" s="262">
        <f>CAELS!AS6</f>
        <v>0.25867634038764914</v>
      </c>
      <c r="BE8" s="262">
        <f>CAELS!AT6</f>
        <v>0.25690091680436816</v>
      </c>
      <c r="BF8" s="262">
        <f>CAELS!AU6</f>
        <v>0.26557991494015293</v>
      </c>
      <c r="BG8" s="262">
        <f>CAELS!AV6</f>
        <v>0.26024034220578551</v>
      </c>
      <c r="BH8" s="262">
        <f>CAELS!AW6</f>
        <v>0.25774830295711731</v>
      </c>
      <c r="BI8" s="262">
        <f>CAELS!AX6</f>
        <v>0.26238072092310394</v>
      </c>
      <c r="BJ8" s="262">
        <f>CAELS!AY6</f>
        <v>0.26063443674400111</v>
      </c>
      <c r="BK8" s="262">
        <f>CAELS!AZ6</f>
        <v>0.25852462867033726</v>
      </c>
      <c r="BL8" s="262">
        <f>CAELS!BA6</f>
        <v>0.25939369311502963</v>
      </c>
      <c r="BM8" s="262">
        <f>CAELS!BB6</f>
        <v>0.26911843657107037</v>
      </c>
      <c r="BN8" s="262">
        <f>CAELS!BC6</f>
        <v>0.26709045054657732</v>
      </c>
      <c r="BO8" s="262">
        <f>CAELS!BD6</f>
        <v>0.26464886400720694</v>
      </c>
      <c r="BP8" s="262">
        <f>CAELS!BE6</f>
        <v>0.26574851775636305</v>
      </c>
      <c r="BQ8" s="262">
        <f>CAELS!BF6</f>
        <v>0.2453449692638322</v>
      </c>
      <c r="BR8" s="262" t="e">
        <f>CAELS!#REF!</f>
        <v>#REF!</v>
      </c>
      <c r="BS8" s="262">
        <f>CAELS!BG6</f>
        <v>0</v>
      </c>
      <c r="BT8" s="262">
        <f>CAELS!BH6</f>
        <v>0</v>
      </c>
      <c r="BU8" s="262">
        <f>CAELS!BI6</f>
        <v>0</v>
      </c>
      <c r="BV8" s="262">
        <f>CAELS!BJ6</f>
        <v>0</v>
      </c>
      <c r="BW8" s="262">
        <f>CAELS!BK6</f>
        <v>0</v>
      </c>
      <c r="BX8" s="262">
        <f>CAELS!BL6</f>
        <v>0</v>
      </c>
      <c r="BY8" s="262">
        <f>CAELS!BM6</f>
        <v>0</v>
      </c>
      <c r="BZ8" s="262">
        <f>CAELS!BN6</f>
        <v>0</v>
      </c>
    </row>
    <row r="9" spans="1:78" s="3" customFormat="1">
      <c r="A9" s="263" t="s">
        <v>130</v>
      </c>
      <c r="B9" s="14" t="s">
        <v>131</v>
      </c>
      <c r="C9" s="15" t="s">
        <v>132</v>
      </c>
      <c r="D9" s="262">
        <f>CAELS!E7</f>
        <v>0.52513872222010305</v>
      </c>
      <c r="E9" s="262" t="e">
        <f>CAELS!#REF!</f>
        <v>#REF!</v>
      </c>
      <c r="F9" s="262" t="e">
        <f>CAELS!#REF!</f>
        <v>#REF!</v>
      </c>
      <c r="G9" s="262" t="e">
        <f>CAELS!#REF!</f>
        <v>#REF!</v>
      </c>
      <c r="H9" s="262" t="e">
        <f>CAELS!#REF!</f>
        <v>#REF!</v>
      </c>
      <c r="I9" s="262" t="e">
        <f>CAELS!#REF!</f>
        <v>#REF!</v>
      </c>
      <c r="J9" s="262" t="e">
        <f>CAELS!#REF!</f>
        <v>#REF!</v>
      </c>
      <c r="K9" s="262" t="e">
        <f>CAELS!#REF!</f>
        <v>#REF!</v>
      </c>
      <c r="L9" s="262" t="e">
        <f>CAELS!#REF!</f>
        <v>#REF!</v>
      </c>
      <c r="M9" s="262" t="e">
        <f>CAELS!#REF!</f>
        <v>#REF!</v>
      </c>
      <c r="N9" s="262" t="e">
        <f>CAELS!#REF!</f>
        <v>#REF!</v>
      </c>
      <c r="O9" s="262" t="e">
        <f>CAELS!#REF!</f>
        <v>#REF!</v>
      </c>
      <c r="P9" s="262" t="e">
        <f>CAELS!#REF!</f>
        <v>#REF!</v>
      </c>
      <c r="Q9" s="262">
        <f>CAELS!F7</f>
        <v>0.42560132767622949</v>
      </c>
      <c r="R9" s="262">
        <f>CAELS!G7</f>
        <v>0.45392084830010454</v>
      </c>
      <c r="S9" s="262">
        <f>CAELS!H7</f>
        <v>0.45608834668852016</v>
      </c>
      <c r="T9" s="262">
        <f>CAELS!I7</f>
        <v>0.45038790065533602</v>
      </c>
      <c r="U9" s="262">
        <f>CAELS!J7</f>
        <v>0.45503926881293955</v>
      </c>
      <c r="V9" s="262">
        <f>CAELS!K7</f>
        <v>0.4667766818594275</v>
      </c>
      <c r="W9" s="262">
        <f>CAELS!L7</f>
        <v>0.46759654853294208</v>
      </c>
      <c r="X9" s="262">
        <f>CAELS!M7</f>
        <v>0.46642964519933938</v>
      </c>
      <c r="Y9" s="262">
        <f>CAELS!N7</f>
        <v>0.4820426940201426</v>
      </c>
      <c r="Z9" s="262">
        <f>CAELS!O7</f>
        <v>0.46993079261321163</v>
      </c>
      <c r="AA9" s="262">
        <f>CAELS!P7</f>
        <v>0.46585415843098144</v>
      </c>
      <c r="AB9" s="262">
        <f>CAELS!Q7</f>
        <v>0.48844700237895422</v>
      </c>
      <c r="AC9" s="262">
        <f>CAELS!R7</f>
        <v>0.47321037435646507</v>
      </c>
      <c r="AD9" s="262">
        <f>CAELS!S7</f>
        <v>0.59429071611786832</v>
      </c>
      <c r="AE9" s="262">
        <f>CAELS!T7</f>
        <v>0.60750305985678255</v>
      </c>
      <c r="AF9" s="262">
        <f>CAELS!U7</f>
        <v>0.62490478754094936</v>
      </c>
      <c r="AG9" s="262">
        <f>CAELS!V7</f>
        <v>0.58184925911142849</v>
      </c>
      <c r="AH9" s="262">
        <f>CAELS!W7</f>
        <v>0.5850599682026657</v>
      </c>
      <c r="AI9" s="262">
        <f>CAELS!X7</f>
        <v>0.59985848792875651</v>
      </c>
      <c r="AJ9" s="262">
        <f>CAELS!Y7</f>
        <v>0.58910599484837789</v>
      </c>
      <c r="AK9" s="262" t="e">
        <f>CAELS!Z7</f>
        <v>#DIV/0!</v>
      </c>
      <c r="AL9" s="262">
        <f>CAELS!AA7</f>
        <v>0.59485352201288866</v>
      </c>
      <c r="AM9" s="262">
        <f>CAELS!AB7</f>
        <v>0.55981864545660975</v>
      </c>
      <c r="AN9" s="262">
        <f>CAELS!AC7</f>
        <v>0.57667697942765483</v>
      </c>
      <c r="AO9" s="262">
        <f>CAELS!AD7</f>
        <v>0.58432710596338444</v>
      </c>
      <c r="AP9" s="262">
        <f>CAELS!AE7</f>
        <v>0.57920068197542562</v>
      </c>
      <c r="AQ9" s="262">
        <f>CAELS!AF7</f>
        <v>0.61468232216290897</v>
      </c>
      <c r="AR9" s="262">
        <f>CAELS!AG7</f>
        <v>0.59628961227478039</v>
      </c>
      <c r="AS9" s="262">
        <f>CAELS!AH7</f>
        <v>0.57709955427044857</v>
      </c>
      <c r="AT9" s="262">
        <f>CAELS!AI7</f>
        <v>0.6095134471473993</v>
      </c>
      <c r="AU9" s="262">
        <f>CAELS!AJ7</f>
        <v>0.61784564811259446</v>
      </c>
      <c r="AV9" s="262">
        <f>CAELS!AK7</f>
        <v>0.63656528329496909</v>
      </c>
      <c r="AW9" s="262">
        <f>CAELS!AL7</f>
        <v>0.62105010045776265</v>
      </c>
      <c r="AX9" s="262">
        <f>CAELS!AM7</f>
        <v>0.59991909630940199</v>
      </c>
      <c r="AY9" s="262">
        <f>CAELS!AN7</f>
        <v>0.6094426505972883</v>
      </c>
      <c r="AZ9" s="262">
        <f>CAELS!AO7</f>
        <v>0.61048317167303567</v>
      </c>
      <c r="BA9" s="262">
        <f>CAELS!AP7</f>
        <v>0.61213285414290564</v>
      </c>
      <c r="BB9" s="262">
        <f>CAELS!AQ7</f>
        <v>0.60575178777043492</v>
      </c>
      <c r="BC9" s="262">
        <f>CAELS!AR7</f>
        <v>0.64685071166947739</v>
      </c>
      <c r="BD9" s="262">
        <f>CAELS!AS7</f>
        <v>0.64558687442380047</v>
      </c>
      <c r="BE9" s="262">
        <f>CAELS!AT7</f>
        <v>0.66593993960014775</v>
      </c>
      <c r="BF9" s="262">
        <f>CAELS!AU7</f>
        <v>0.62805903809192976</v>
      </c>
      <c r="BG9" s="262">
        <f>CAELS!AV7</f>
        <v>0.62890897275062141</v>
      </c>
      <c r="BH9" s="262">
        <f>CAELS!AW7</f>
        <v>0.63309332924473627</v>
      </c>
      <c r="BI9" s="262">
        <f>CAELS!AX7</f>
        <v>0.64397396859850975</v>
      </c>
      <c r="BJ9" s="262">
        <f>CAELS!AY7</f>
        <v>0.6450845564246307</v>
      </c>
      <c r="BK9" s="262">
        <f>CAELS!AZ7</f>
        <v>0.64233869568356017</v>
      </c>
      <c r="BL9" s="262">
        <f>CAELS!BA7</f>
        <v>0.64599374371992258</v>
      </c>
      <c r="BM9" s="262">
        <f>CAELS!BB7</f>
        <v>0.66806637195748175</v>
      </c>
      <c r="BN9" s="262">
        <f>CAELS!BC7</f>
        <v>0.66789094458899601</v>
      </c>
      <c r="BO9" s="262">
        <f>CAELS!BD7</f>
        <v>0.66416445236399546</v>
      </c>
      <c r="BP9" s="262">
        <f>CAELS!BE7</f>
        <v>0.67124189853192318</v>
      </c>
      <c r="BQ9" s="262">
        <f>CAELS!BF7</f>
        <v>0.63657209890797961</v>
      </c>
      <c r="BR9" s="262" t="e">
        <f>CAELS!#REF!</f>
        <v>#REF!</v>
      </c>
      <c r="BS9" s="262">
        <f>CAELS!BG7</f>
        <v>0</v>
      </c>
      <c r="BT9" s="262">
        <f>CAELS!BH7</f>
        <v>0</v>
      </c>
      <c r="BU9" s="262">
        <f>CAELS!BI7</f>
        <v>0</v>
      </c>
      <c r="BV9" s="262">
        <f>CAELS!BJ7</f>
        <v>0</v>
      </c>
      <c r="BW9" s="262">
        <f>CAELS!BK7</f>
        <v>0</v>
      </c>
      <c r="BX9" s="262">
        <f>CAELS!BL7</f>
        <v>0</v>
      </c>
      <c r="BY9" s="262">
        <f>CAELS!BM7</f>
        <v>0</v>
      </c>
      <c r="BZ9" s="262">
        <f>CAELS!BN7</f>
        <v>0</v>
      </c>
    </row>
    <row r="10" spans="1:78" s="3" customFormat="1">
      <c r="A10" s="263" t="s">
        <v>133</v>
      </c>
      <c r="B10" s="14" t="s">
        <v>128</v>
      </c>
      <c r="C10" s="15" t="s">
        <v>132</v>
      </c>
      <c r="D10" s="262">
        <f>CAELS!E8</f>
        <v>0.2904977147360725</v>
      </c>
      <c r="E10" s="262" t="e">
        <f>CAELS!#REF!</f>
        <v>#REF!</v>
      </c>
      <c r="F10" s="262" t="e">
        <f>CAELS!#REF!</f>
        <v>#REF!</v>
      </c>
      <c r="G10" s="262" t="e">
        <f>CAELS!#REF!</f>
        <v>#REF!</v>
      </c>
      <c r="H10" s="262" t="e">
        <f>CAELS!#REF!</f>
        <v>#REF!</v>
      </c>
      <c r="I10" s="262" t="e">
        <f>CAELS!#REF!</f>
        <v>#REF!</v>
      </c>
      <c r="J10" s="262" t="e">
        <f>CAELS!#REF!</f>
        <v>#REF!</v>
      </c>
      <c r="K10" s="262" t="e">
        <f>CAELS!#REF!</f>
        <v>#REF!</v>
      </c>
      <c r="L10" s="262" t="e">
        <f>CAELS!#REF!</f>
        <v>#REF!</v>
      </c>
      <c r="M10" s="262" t="e">
        <f>CAELS!#REF!</f>
        <v>#REF!</v>
      </c>
      <c r="N10" s="262" t="e">
        <f>CAELS!#REF!</f>
        <v>#REF!</v>
      </c>
      <c r="O10" s="262" t="e">
        <f>CAELS!#REF!</f>
        <v>#REF!</v>
      </c>
      <c r="P10" s="262" t="e">
        <f>CAELS!#REF!</f>
        <v>#REF!</v>
      </c>
      <c r="Q10" s="262">
        <f>CAELS!F8</f>
        <v>0.24236128433579504</v>
      </c>
      <c r="R10" s="262">
        <f>CAELS!G8</f>
        <v>0.25227515622584501</v>
      </c>
      <c r="S10" s="262">
        <f>CAELS!H8</f>
        <v>0.25634814594753813</v>
      </c>
      <c r="T10" s="262">
        <f>CAELS!I8</f>
        <v>0.25605685237034503</v>
      </c>
      <c r="U10" s="262">
        <f>CAELS!J8</f>
        <v>0.27491438075667479</v>
      </c>
      <c r="V10" s="262">
        <f>CAELS!K8</f>
        <v>0.28073567276583911</v>
      </c>
      <c r="W10" s="262">
        <f>CAELS!L8</f>
        <v>0.2778337125465612</v>
      </c>
      <c r="X10" s="262">
        <f>CAELS!M8</f>
        <v>0.27461852572675288</v>
      </c>
      <c r="Y10" s="262">
        <f>CAELS!N8</f>
        <v>0.28190536696099749</v>
      </c>
      <c r="Z10" s="262">
        <f>CAELS!O8</f>
        <v>0.27583982063667528</v>
      </c>
      <c r="AA10" s="262">
        <f>CAELS!P8</f>
        <v>0.27116962144195716</v>
      </c>
      <c r="AB10" s="262">
        <f>CAELS!Q8</f>
        <v>0.27623100223220998</v>
      </c>
      <c r="AC10" s="262">
        <f>CAELS!R8</f>
        <v>0.26916639422846939</v>
      </c>
      <c r="AD10" s="262">
        <f>CAELS!S8</f>
        <v>0.33393207551236997</v>
      </c>
      <c r="AE10" s="262">
        <f>CAELS!T8</f>
        <v>0.33816176673010823</v>
      </c>
      <c r="AF10" s="262">
        <f>CAELS!U8</f>
        <v>0.34418342694037102</v>
      </c>
      <c r="AG10" s="262">
        <f>CAELS!V8</f>
        <v>0.34937400344957853</v>
      </c>
      <c r="AH10" s="262">
        <f>CAELS!W8</f>
        <v>0.34795177850798803</v>
      </c>
      <c r="AI10" s="262">
        <f>CAELS!X8</f>
        <v>0.35063734202339919</v>
      </c>
      <c r="AJ10" s="262">
        <f>CAELS!Y8</f>
        <v>0.34413561366078416</v>
      </c>
      <c r="AK10" s="262" t="e">
        <f>CAELS!Z8</f>
        <v>#DIV/0!</v>
      </c>
      <c r="AL10" s="262">
        <f>CAELS!AA8</f>
        <v>0.34583327606555087</v>
      </c>
      <c r="AM10" s="262">
        <f>CAELS!AB8</f>
        <v>0.32779300213140383</v>
      </c>
      <c r="AN10" s="262">
        <f>CAELS!AC8</f>
        <v>0.3324156376032581</v>
      </c>
      <c r="AO10" s="262">
        <f>CAELS!AD8</f>
        <v>0.3318604370394202</v>
      </c>
      <c r="AP10" s="262">
        <f>CAELS!AE8</f>
        <v>0.32789494927762586</v>
      </c>
      <c r="AQ10" s="262">
        <f>CAELS!AF8</f>
        <v>0.35124206323074825</v>
      </c>
      <c r="AR10" s="262">
        <f>CAELS!AG8</f>
        <v>0.33713433520316821</v>
      </c>
      <c r="AS10" s="262">
        <f>CAELS!AH8</f>
        <v>0.35416802335168923</v>
      </c>
      <c r="AT10" s="262">
        <f>CAELS!AI8</f>
        <v>0.36326419036441293</v>
      </c>
      <c r="AU10" s="262">
        <f>CAELS!AJ8</f>
        <v>0.36337917324988728</v>
      </c>
      <c r="AV10" s="262">
        <f>CAELS!AK8</f>
        <v>0.37010742923758766</v>
      </c>
      <c r="AW10" s="262">
        <f>CAELS!AL8</f>
        <v>0.35895615871548769</v>
      </c>
      <c r="AX10" s="262">
        <f>CAELS!AM8</f>
        <v>0.34923172205693515</v>
      </c>
      <c r="AY10" s="262">
        <f>CAELS!AN8</f>
        <v>0.35224807819823217</v>
      </c>
      <c r="AZ10" s="262">
        <f>CAELS!AO8</f>
        <v>0.3498627638004837</v>
      </c>
      <c r="BA10" s="262">
        <f>CAELS!AP8</f>
        <v>0.34763102159619075</v>
      </c>
      <c r="BB10" s="262">
        <f>CAELS!AQ8</f>
        <v>0.34201568322189158</v>
      </c>
      <c r="BC10" s="262">
        <f>CAELS!AR8</f>
        <v>0.35677872691562351</v>
      </c>
      <c r="BD10" s="262">
        <f>CAELS!AS8</f>
        <v>0.35608164146584959</v>
      </c>
      <c r="BE10" s="262">
        <f>CAELS!AT8</f>
        <v>0.36073857114253549</v>
      </c>
      <c r="BF10" s="262">
        <f>CAELS!AU8</f>
        <v>0.3718548275332404</v>
      </c>
      <c r="BG10" s="262">
        <f>CAELS!AV8</f>
        <v>0.36724003867234212</v>
      </c>
      <c r="BH10" s="262">
        <f>CAELS!AW8</f>
        <v>0.36524833988646643</v>
      </c>
      <c r="BI10" s="262">
        <f>CAELS!AX8</f>
        <v>0.37006303623047998</v>
      </c>
      <c r="BJ10" s="262">
        <f>CAELS!AY8</f>
        <v>0.36749661296192782</v>
      </c>
      <c r="BK10" s="262">
        <f>CAELS!AZ8</f>
        <v>0.36381699472979001</v>
      </c>
      <c r="BL10" s="262">
        <f>CAELS!BA8</f>
        <v>0.36493707573694295</v>
      </c>
      <c r="BM10" s="262">
        <f>CAELS!BB8</f>
        <v>0.373733546016496</v>
      </c>
      <c r="BN10" s="262">
        <f>CAELS!BC8</f>
        <v>0.37105014758889965</v>
      </c>
      <c r="BO10" s="262">
        <f>CAELS!BD8</f>
        <v>0.36702053824477282</v>
      </c>
      <c r="BP10" s="262">
        <f>CAELS!BE8</f>
        <v>0.36706989129128509</v>
      </c>
      <c r="BQ10" s="262">
        <f>CAELS!BF8</f>
        <v>0.34607336735909733</v>
      </c>
      <c r="BR10" s="262" t="e">
        <f>CAELS!#REF!</f>
        <v>#REF!</v>
      </c>
      <c r="BS10" s="262">
        <f>CAELS!BG8</f>
        <v>0</v>
      </c>
      <c r="BT10" s="262">
        <f>CAELS!BH8</f>
        <v>0</v>
      </c>
      <c r="BU10" s="262">
        <f>CAELS!BI8</f>
        <v>0</v>
      </c>
      <c r="BV10" s="262">
        <f>CAELS!BJ8</f>
        <v>0</v>
      </c>
      <c r="BW10" s="262">
        <f>CAELS!BK8</f>
        <v>0</v>
      </c>
      <c r="BX10" s="262">
        <f>CAELS!BL8</f>
        <v>0</v>
      </c>
      <c r="BY10" s="262">
        <f>CAELS!BM8</f>
        <v>0</v>
      </c>
      <c r="BZ10" s="262">
        <f>CAELS!BN8</f>
        <v>0</v>
      </c>
    </row>
    <row r="11" spans="1:78" s="3" customFormat="1">
      <c r="A11" s="260"/>
      <c r="B11" s="17"/>
      <c r="C11" s="18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</row>
    <row r="12" spans="1:78" s="3" customFormat="1">
      <c r="A12" s="10" t="s">
        <v>134</v>
      </c>
      <c r="B12" s="11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</row>
    <row r="13" spans="1:78" s="3" customFormat="1">
      <c r="A13" s="10" t="s">
        <v>135</v>
      </c>
      <c r="B13" s="11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</row>
    <row r="14" spans="1:78" s="3" customFormat="1">
      <c r="A14" s="263" t="s">
        <v>136</v>
      </c>
      <c r="B14" s="14" t="s">
        <v>137</v>
      </c>
      <c r="C14" s="15">
        <v>48.1</v>
      </c>
      <c r="D14" s="16">
        <f>CAELS!E25</f>
        <v>4.5089753958383175E-2</v>
      </c>
      <c r="E14" s="16" t="e">
        <f>CAELS!#REF!</f>
        <v>#REF!</v>
      </c>
      <c r="F14" s="16" t="e">
        <f>CAELS!#REF!</f>
        <v>#REF!</v>
      </c>
      <c r="G14" s="16" t="e">
        <f>CAELS!#REF!</f>
        <v>#REF!</v>
      </c>
      <c r="H14" s="16" t="e">
        <f>CAELS!#REF!</f>
        <v>#REF!</v>
      </c>
      <c r="I14" s="16" t="e">
        <f>CAELS!#REF!</f>
        <v>#REF!</v>
      </c>
      <c r="J14" s="16" t="e">
        <f>CAELS!#REF!</f>
        <v>#REF!</v>
      </c>
      <c r="K14" s="16" t="e">
        <f>CAELS!#REF!</f>
        <v>#REF!</v>
      </c>
      <c r="L14" s="16" t="e">
        <f>CAELS!#REF!</f>
        <v>#REF!</v>
      </c>
      <c r="M14" s="16" t="e">
        <f>CAELS!#REF!</f>
        <v>#REF!</v>
      </c>
      <c r="N14" s="16" t="e">
        <f>CAELS!#REF!</f>
        <v>#REF!</v>
      </c>
      <c r="O14" s="16" t="e">
        <f>CAELS!#REF!</f>
        <v>#REF!</v>
      </c>
      <c r="P14" s="16" t="e">
        <f>CAELS!#REF!</f>
        <v>#REF!</v>
      </c>
      <c r="Q14" s="16">
        <f>CAELS!F25</f>
        <v>4.172546886354167E-2</v>
      </c>
      <c r="R14" s="16">
        <f>CAELS!G25</f>
        <v>5.9743996062647492E-2</v>
      </c>
      <c r="S14" s="16">
        <f>CAELS!H25</f>
        <v>5.0727610510154307E-2</v>
      </c>
      <c r="T14" s="16">
        <f>CAELS!I25</f>
        <v>5.0121236481387471E-2</v>
      </c>
      <c r="U14" s="16">
        <f>CAELS!J25</f>
        <v>4.878814329655607E-2</v>
      </c>
      <c r="V14" s="16">
        <f>CAELS!K25</f>
        <v>4.8289200039832419E-2</v>
      </c>
      <c r="W14" s="16">
        <f>CAELS!L25</f>
        <v>4.8193306679892953E-2</v>
      </c>
      <c r="X14" s="16">
        <f>CAELS!M25</f>
        <v>5.3723507429022745E-2</v>
      </c>
      <c r="Y14" s="16">
        <f>CAELS!N25</f>
        <v>3.9880466572544244E-2</v>
      </c>
      <c r="Z14" s="16">
        <f>CAELS!O25</f>
        <v>5.7860347899910916E-2</v>
      </c>
      <c r="AA14" s="16">
        <f>CAELS!P25</f>
        <v>5.4849622590595282E-2</v>
      </c>
      <c r="AB14" s="16">
        <f>CAELS!Q25</f>
        <v>3.8335385360235494E-2</v>
      </c>
      <c r="AC14" s="16">
        <f>CAELS!R25</f>
        <v>4.3937754163324926E-2</v>
      </c>
      <c r="AD14" s="16">
        <f>CAELS!S25</f>
        <v>4.3802667787117722E-2</v>
      </c>
      <c r="AE14" s="16">
        <f>CAELS!T25</f>
        <v>4.8305272338985183E-2</v>
      </c>
      <c r="AF14" s="16">
        <f>CAELS!U25</f>
        <v>4.3869206246193178E-2</v>
      </c>
      <c r="AG14" s="16">
        <f>CAELS!V25</f>
        <v>4.9606561289147096E-2</v>
      </c>
      <c r="AH14" s="16">
        <f>CAELS!W25</f>
        <v>5.5167165424581749E-2</v>
      </c>
      <c r="AI14" s="16">
        <f>CAELS!X25</f>
        <v>4.758664867096439E-2</v>
      </c>
      <c r="AJ14" s="16">
        <f>CAELS!Y25</f>
        <v>3.243622924327464E-2</v>
      </c>
      <c r="AK14" s="16" t="e">
        <f>CAELS!Z25</f>
        <v>#DIV/0!</v>
      </c>
      <c r="AL14" s="16">
        <f>CAELS!AA25</f>
        <v>5.0187679694062258E-2</v>
      </c>
      <c r="AM14" s="16">
        <f>CAELS!AB25</f>
        <v>4.9220595328962273E-2</v>
      </c>
      <c r="AN14" s="16">
        <f>CAELS!AC25</f>
        <v>5.119354225013388E-2</v>
      </c>
      <c r="AO14" s="16">
        <f>CAELS!AD25</f>
        <v>4.6021294322934059E-2</v>
      </c>
      <c r="AP14" s="16" t="e">
        <f>CAELS!AE25</f>
        <v>#REF!</v>
      </c>
      <c r="AQ14" s="16">
        <f>CAELS!AF25</f>
        <v>5.4465825486036151E-2</v>
      </c>
      <c r="AR14" s="16">
        <f>CAELS!AG25</f>
        <v>5.9781930962838362E-2</v>
      </c>
      <c r="AS14" s="16">
        <f>CAELS!AH25</f>
        <v>5.0571267716233236E-2</v>
      </c>
      <c r="AT14" s="16">
        <f>CAELS!AI25</f>
        <v>5.1577232097895706E-2</v>
      </c>
      <c r="AU14" s="16">
        <f>CAELS!AJ25</f>
        <v>4.6874275123073808E-2</v>
      </c>
      <c r="AV14" s="16">
        <f>CAELS!AK25</f>
        <v>4.6293818959206479E-2</v>
      </c>
      <c r="AW14" s="16">
        <f>CAELS!AL25</f>
        <v>3.6428500788363488E-2</v>
      </c>
      <c r="AX14" s="16">
        <f>CAELS!AM25</f>
        <v>3.0591498473117602E-2</v>
      </c>
      <c r="AY14" s="16">
        <f>CAELS!AN25</f>
        <v>3.7133449876736925E-2</v>
      </c>
      <c r="AZ14" s="16">
        <f>CAELS!AO25</f>
        <v>2.8403400361576032E-2</v>
      </c>
      <c r="BA14" s="16">
        <f>CAELS!AP25</f>
        <v>3.5713192963836335E-2</v>
      </c>
      <c r="BB14" s="16">
        <f>CAELS!AQ25</f>
        <v>4.1377241119517627E-2</v>
      </c>
      <c r="BC14" s="16">
        <f>CAELS!AR25</f>
        <v>5.0407171110408121E-2</v>
      </c>
      <c r="BD14" s="16">
        <f>CAELS!AS25</f>
        <v>4.9710085551299535E-2</v>
      </c>
      <c r="BE14" s="16">
        <f>CAELS!AT25</f>
        <v>4.3725204947012701E-2</v>
      </c>
      <c r="BF14" s="16">
        <f>CAELS!AU25</f>
        <v>4.259680384086309E-2</v>
      </c>
      <c r="BG14" s="16">
        <f>CAELS!AV25</f>
        <v>4.4323762473550347E-2</v>
      </c>
      <c r="BH14" s="16">
        <f>CAELS!AW25</f>
        <v>3.8795560372414918E-2</v>
      </c>
      <c r="BI14" s="16">
        <f>CAELS!AX25</f>
        <v>3.580987611565601E-2</v>
      </c>
      <c r="BJ14" s="16">
        <f>CAELS!AY25</f>
        <v>9.4557741300345319E-3</v>
      </c>
      <c r="BK14" s="16">
        <f>CAELS!AZ25</f>
        <v>2.9858401766311948E-2</v>
      </c>
      <c r="BL14" s="16">
        <f>CAELS!BA25</f>
        <v>3.1123439856645937E-2</v>
      </c>
      <c r="BM14" s="16">
        <f>CAELS!BB25</f>
        <v>2.8992411524683737E-2</v>
      </c>
      <c r="BN14" s="16">
        <f>CAELS!BC25</f>
        <v>3.0084404024165928E-2</v>
      </c>
      <c r="BO14" s="16">
        <f>CAELS!BD25</f>
        <v>3.1612737934683707E-2</v>
      </c>
      <c r="BP14" s="16">
        <f>CAELS!BE25</f>
        <v>3.8678059004009231E-2</v>
      </c>
      <c r="BQ14" s="16">
        <f>CAELS!BF25</f>
        <v>3.9741939048731502E-2</v>
      </c>
      <c r="BR14" s="16" t="e">
        <f>CAELS!#REF!</f>
        <v>#REF!</v>
      </c>
      <c r="BS14" s="16">
        <f>CAELS!BG25</f>
        <v>0</v>
      </c>
      <c r="BT14" s="16">
        <f>CAELS!BH25</f>
        <v>0</v>
      </c>
      <c r="BU14" s="16">
        <f>CAELS!BI25</f>
        <v>0</v>
      </c>
      <c r="BV14" s="16">
        <f>CAELS!BJ25</f>
        <v>0</v>
      </c>
      <c r="BW14" s="16">
        <f>CAELS!BK25</f>
        <v>0</v>
      </c>
      <c r="BX14" s="16">
        <f>CAELS!BL25</f>
        <v>0</v>
      </c>
      <c r="BY14" s="16">
        <f>CAELS!BM25</f>
        <v>0</v>
      </c>
      <c r="BZ14" s="16">
        <f>CAELS!BN25</f>
        <v>0</v>
      </c>
    </row>
    <row r="15" spans="1:78" s="3" customFormat="1">
      <c r="A15" s="260" t="s">
        <v>138</v>
      </c>
      <c r="B15" s="14" t="s">
        <v>139</v>
      </c>
      <c r="C15" s="15">
        <v>48.1</v>
      </c>
      <c r="D15" s="16">
        <f>CAELS!E22</f>
        <v>0</v>
      </c>
      <c r="E15" s="16" t="e">
        <f>CAELS!#REF!</f>
        <v>#REF!</v>
      </c>
      <c r="F15" s="16" t="e">
        <f>CAELS!#REF!</f>
        <v>#REF!</v>
      </c>
      <c r="G15" s="16" t="e">
        <f>CAELS!#REF!</f>
        <v>#REF!</v>
      </c>
      <c r="H15" s="16" t="e">
        <f>CAELS!#REF!</f>
        <v>#REF!</v>
      </c>
      <c r="I15" s="16" t="e">
        <f>CAELS!#REF!</f>
        <v>#REF!</v>
      </c>
      <c r="J15" s="16" t="e">
        <f>CAELS!#REF!</f>
        <v>#REF!</v>
      </c>
      <c r="K15" s="16" t="e">
        <f>CAELS!#REF!</f>
        <v>#REF!</v>
      </c>
      <c r="L15" s="16" t="e">
        <f>CAELS!#REF!</f>
        <v>#REF!</v>
      </c>
      <c r="M15" s="16" t="e">
        <f>CAELS!#REF!</f>
        <v>#REF!</v>
      </c>
      <c r="N15" s="16" t="e">
        <f>CAELS!#REF!</f>
        <v>#REF!</v>
      </c>
      <c r="O15" s="16" t="e">
        <f>CAELS!#REF!</f>
        <v>#REF!</v>
      </c>
      <c r="P15" s="16" t="e">
        <f>CAELS!#REF!</f>
        <v>#REF!</v>
      </c>
      <c r="Q15" s="16">
        <f>CAELS!F22</f>
        <v>0</v>
      </c>
      <c r="R15" s="16">
        <f>CAELS!G22</f>
        <v>0</v>
      </c>
      <c r="S15" s="16">
        <f>CAELS!H22</f>
        <v>0</v>
      </c>
      <c r="T15" s="16">
        <f>CAELS!I22</f>
        <v>0</v>
      </c>
      <c r="U15" s="16">
        <f>CAELS!J22</f>
        <v>0</v>
      </c>
      <c r="V15" s="16">
        <f>CAELS!K22</f>
        <v>0</v>
      </c>
      <c r="W15" s="16">
        <f>CAELS!L22</f>
        <v>0</v>
      </c>
      <c r="X15" s="16">
        <f>CAELS!M22</f>
        <v>0</v>
      </c>
      <c r="Y15" s="16">
        <f>CAELS!N22</f>
        <v>0</v>
      </c>
      <c r="Z15" s="16">
        <f>CAELS!O22</f>
        <v>0</v>
      </c>
      <c r="AA15" s="16">
        <f>CAELS!P22</f>
        <v>0</v>
      </c>
      <c r="AB15" s="16">
        <f>CAELS!Q22</f>
        <v>0</v>
      </c>
      <c r="AC15" s="16">
        <f>CAELS!R22</f>
        <v>0</v>
      </c>
      <c r="AD15" s="16">
        <f>CAELS!S22</f>
        <v>0</v>
      </c>
      <c r="AE15" s="16">
        <f>CAELS!T22</f>
        <v>0</v>
      </c>
      <c r="AF15" s="16">
        <f>CAELS!U22</f>
        <v>0</v>
      </c>
      <c r="AG15" s="16">
        <f>CAELS!V22</f>
        <v>0</v>
      </c>
      <c r="AH15" s="16">
        <f>CAELS!W22</f>
        <v>0</v>
      </c>
      <c r="AI15" s="16">
        <f>CAELS!X22</f>
        <v>0</v>
      </c>
      <c r="AJ15" s="16">
        <f>CAELS!Y22</f>
        <v>0</v>
      </c>
      <c r="AK15" s="16" t="e">
        <f>CAELS!Z22</f>
        <v>#DIV/0!</v>
      </c>
      <c r="AL15" s="16">
        <f>CAELS!AA22</f>
        <v>0</v>
      </c>
      <c r="AM15" s="16">
        <f>CAELS!AB22</f>
        <v>0</v>
      </c>
      <c r="AN15" s="16">
        <f>CAELS!AC22</f>
        <v>0</v>
      </c>
      <c r="AO15" s="16">
        <f>CAELS!AD22</f>
        <v>0</v>
      </c>
      <c r="AP15" s="16">
        <f>CAELS!AE22</f>
        <v>0</v>
      </c>
      <c r="AQ15" s="16">
        <f>CAELS!AF22</f>
        <v>0</v>
      </c>
      <c r="AR15" s="16">
        <f>CAELS!AG22</f>
        <v>0</v>
      </c>
      <c r="AS15" s="16">
        <f>CAELS!AH22</f>
        <v>0</v>
      </c>
      <c r="AT15" s="16">
        <f>CAELS!AI22</f>
        <v>0</v>
      </c>
      <c r="AU15" s="16">
        <f>CAELS!AJ22</f>
        <v>0</v>
      </c>
      <c r="AV15" s="16">
        <f>CAELS!AK22</f>
        <v>0</v>
      </c>
      <c r="AW15" s="16">
        <f>CAELS!AL22</f>
        <v>0</v>
      </c>
      <c r="AX15" s="16">
        <f>CAELS!AM22</f>
        <v>0</v>
      </c>
      <c r="AY15" s="16">
        <f>CAELS!AN22</f>
        <v>0</v>
      </c>
      <c r="AZ15" s="16">
        <f>CAELS!AO22</f>
        <v>0</v>
      </c>
      <c r="BA15" s="16">
        <f>CAELS!AP22</f>
        <v>0</v>
      </c>
      <c r="BB15" s="16">
        <f>CAELS!AQ22</f>
        <v>0</v>
      </c>
      <c r="BC15" s="16">
        <f>CAELS!AR22</f>
        <v>0</v>
      </c>
      <c r="BD15" s="16">
        <f>CAELS!AS22</f>
        <v>0</v>
      </c>
      <c r="BE15" s="16">
        <f>CAELS!AT22</f>
        <v>0</v>
      </c>
      <c r="BF15" s="16">
        <f>CAELS!AU22</f>
        <v>0</v>
      </c>
      <c r="BG15" s="16">
        <f>CAELS!AV22</f>
        <v>0</v>
      </c>
      <c r="BH15" s="16">
        <f>CAELS!AW22</f>
        <v>0</v>
      </c>
      <c r="BI15" s="16">
        <f>CAELS!AX22</f>
        <v>0</v>
      </c>
      <c r="BJ15" s="16">
        <f>CAELS!AY22</f>
        <v>0</v>
      </c>
      <c r="BK15" s="16">
        <f>CAELS!AZ22</f>
        <v>0</v>
      </c>
      <c r="BL15" s="16">
        <f>CAELS!BA22</f>
        <v>0</v>
      </c>
      <c r="BM15" s="16">
        <f>CAELS!BB22</f>
        <v>0</v>
      </c>
      <c r="BN15" s="16">
        <f>CAELS!BC22</f>
        <v>0</v>
      </c>
      <c r="BO15" s="16">
        <f>CAELS!BD22</f>
        <v>0</v>
      </c>
      <c r="BP15" s="16">
        <f>CAELS!BE22</f>
        <v>0</v>
      </c>
      <c r="BQ15" s="16">
        <f>CAELS!BF22</f>
        <v>0</v>
      </c>
      <c r="BR15" s="16" t="e">
        <f>CAELS!#REF!</f>
        <v>#REF!</v>
      </c>
      <c r="BS15" s="16">
        <f>CAELS!BG22</f>
        <v>0</v>
      </c>
      <c r="BT15" s="16">
        <f>CAELS!BH22</f>
        <v>0</v>
      </c>
      <c r="BU15" s="16">
        <f>CAELS!BI22</f>
        <v>0</v>
      </c>
      <c r="BV15" s="16">
        <f>CAELS!BJ22</f>
        <v>0</v>
      </c>
      <c r="BW15" s="16">
        <f>CAELS!BK22</f>
        <v>0</v>
      </c>
      <c r="BX15" s="16">
        <f>CAELS!BL22</f>
        <v>0</v>
      </c>
      <c r="BY15" s="16">
        <f>CAELS!BM22</f>
        <v>0</v>
      </c>
      <c r="BZ15" s="16">
        <f>CAELS!BN22</f>
        <v>0</v>
      </c>
    </row>
    <row r="16" spans="1:78" s="3" customFormat="1">
      <c r="A16" s="260" t="s">
        <v>140</v>
      </c>
      <c r="B16" s="14" t="s">
        <v>141</v>
      </c>
      <c r="C16" s="15">
        <v>41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</row>
    <row r="17" spans="1:78" s="3" customFormat="1">
      <c r="A17" s="260"/>
      <c r="B17" s="14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</row>
    <row r="18" spans="1:78" s="3" customFormat="1">
      <c r="A18" s="10" t="s">
        <v>142</v>
      </c>
      <c r="B18" s="14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</row>
    <row r="19" spans="1:78" s="3" customFormat="1">
      <c r="A19" s="260" t="s">
        <v>143</v>
      </c>
      <c r="B19" s="14" t="s">
        <v>139</v>
      </c>
      <c r="C19" s="15">
        <v>48.4</v>
      </c>
      <c r="D19" s="16">
        <f>CAELS!E22</f>
        <v>0</v>
      </c>
      <c r="E19" s="16" t="e">
        <f>CAELS!#REF!</f>
        <v>#REF!</v>
      </c>
      <c r="F19" s="16" t="e">
        <f>CAELS!#REF!</f>
        <v>#REF!</v>
      </c>
      <c r="G19" s="16" t="e">
        <f>CAELS!#REF!</f>
        <v>#REF!</v>
      </c>
      <c r="H19" s="16" t="e">
        <f>CAELS!#REF!</f>
        <v>#REF!</v>
      </c>
      <c r="I19" s="16" t="e">
        <f>CAELS!#REF!</f>
        <v>#REF!</v>
      </c>
      <c r="J19" s="16" t="e">
        <f>CAELS!#REF!</f>
        <v>#REF!</v>
      </c>
      <c r="K19" s="16" t="e">
        <f>CAELS!#REF!</f>
        <v>#REF!</v>
      </c>
      <c r="L19" s="16" t="e">
        <f>CAELS!#REF!</f>
        <v>#REF!</v>
      </c>
      <c r="M19" s="16" t="e">
        <f>CAELS!#REF!</f>
        <v>#REF!</v>
      </c>
      <c r="N19" s="16" t="e">
        <f>CAELS!#REF!</f>
        <v>#REF!</v>
      </c>
      <c r="O19" s="16" t="e">
        <f>CAELS!#REF!</f>
        <v>#REF!</v>
      </c>
      <c r="P19" s="16" t="e">
        <f>CAELS!#REF!</f>
        <v>#REF!</v>
      </c>
      <c r="Q19" s="16">
        <f>CAELS!F22</f>
        <v>0</v>
      </c>
      <c r="R19" s="16">
        <f>CAELS!G22</f>
        <v>0</v>
      </c>
      <c r="S19" s="16">
        <f>CAELS!H22</f>
        <v>0</v>
      </c>
      <c r="T19" s="16">
        <f>CAELS!I22</f>
        <v>0</v>
      </c>
      <c r="U19" s="16">
        <f>CAELS!J22</f>
        <v>0</v>
      </c>
      <c r="V19" s="16">
        <f>CAELS!K22</f>
        <v>0</v>
      </c>
      <c r="W19" s="16">
        <f>CAELS!L22</f>
        <v>0</v>
      </c>
      <c r="X19" s="16">
        <f>CAELS!M22</f>
        <v>0</v>
      </c>
      <c r="Y19" s="16">
        <f>CAELS!N22</f>
        <v>0</v>
      </c>
      <c r="Z19" s="16">
        <f>CAELS!O22</f>
        <v>0</v>
      </c>
      <c r="AA19" s="16">
        <f>CAELS!P22</f>
        <v>0</v>
      </c>
      <c r="AB19" s="16">
        <f>CAELS!Q22</f>
        <v>0</v>
      </c>
      <c r="AC19" s="16">
        <f>CAELS!R22</f>
        <v>0</v>
      </c>
      <c r="AD19" s="16">
        <f>CAELS!S22</f>
        <v>0</v>
      </c>
      <c r="AE19" s="16">
        <f>CAELS!T22</f>
        <v>0</v>
      </c>
      <c r="AF19" s="16">
        <f>CAELS!U22</f>
        <v>0</v>
      </c>
      <c r="AG19" s="16">
        <f>CAELS!V22</f>
        <v>0</v>
      </c>
      <c r="AH19" s="16">
        <f>CAELS!W22</f>
        <v>0</v>
      </c>
      <c r="AI19" s="16">
        <f>CAELS!X22</f>
        <v>0</v>
      </c>
      <c r="AJ19" s="16">
        <f>CAELS!Y22</f>
        <v>0</v>
      </c>
      <c r="AK19" s="16" t="e">
        <f>CAELS!Z22</f>
        <v>#DIV/0!</v>
      </c>
      <c r="AL19" s="16">
        <f>CAELS!AA22</f>
        <v>0</v>
      </c>
      <c r="AM19" s="16">
        <f>CAELS!AB22</f>
        <v>0</v>
      </c>
      <c r="AN19" s="16">
        <f>CAELS!AC22</f>
        <v>0</v>
      </c>
      <c r="AO19" s="16">
        <f>CAELS!AD22</f>
        <v>0</v>
      </c>
      <c r="AP19" s="16">
        <f>CAELS!AE22</f>
        <v>0</v>
      </c>
      <c r="AQ19" s="16">
        <f>CAELS!AF22</f>
        <v>0</v>
      </c>
      <c r="AR19" s="16">
        <f>CAELS!AG22</f>
        <v>0</v>
      </c>
      <c r="AS19" s="16">
        <f>CAELS!AH22</f>
        <v>0</v>
      </c>
      <c r="AT19" s="16">
        <f>CAELS!AI22</f>
        <v>0</v>
      </c>
      <c r="AU19" s="16">
        <f>CAELS!AJ22</f>
        <v>0</v>
      </c>
      <c r="AV19" s="16">
        <f>CAELS!AK22</f>
        <v>0</v>
      </c>
      <c r="AW19" s="16">
        <f>CAELS!AL22</f>
        <v>0</v>
      </c>
      <c r="AX19" s="16">
        <f>CAELS!AM22</f>
        <v>0</v>
      </c>
      <c r="AY19" s="16">
        <f>CAELS!AN22</f>
        <v>0</v>
      </c>
      <c r="AZ19" s="16">
        <f>CAELS!AO22</f>
        <v>0</v>
      </c>
      <c r="BA19" s="16">
        <f>CAELS!AP22</f>
        <v>0</v>
      </c>
      <c r="BB19" s="16">
        <f>CAELS!AQ22</f>
        <v>0</v>
      </c>
      <c r="BC19" s="16">
        <f>CAELS!AR22</f>
        <v>0</v>
      </c>
      <c r="BD19" s="16">
        <f>CAELS!AS22</f>
        <v>0</v>
      </c>
      <c r="BE19" s="16">
        <f>CAELS!AT22</f>
        <v>0</v>
      </c>
      <c r="BF19" s="16">
        <f>CAELS!AU22</f>
        <v>0</v>
      </c>
      <c r="BG19" s="16">
        <f>CAELS!AV22</f>
        <v>0</v>
      </c>
      <c r="BH19" s="16">
        <f>CAELS!AW22</f>
        <v>0</v>
      </c>
      <c r="BI19" s="16">
        <f>CAELS!AX22</f>
        <v>0</v>
      </c>
      <c r="BJ19" s="16">
        <f>CAELS!AY22</f>
        <v>0</v>
      </c>
      <c r="BK19" s="16">
        <f>CAELS!AZ22</f>
        <v>0</v>
      </c>
      <c r="BL19" s="16">
        <f>CAELS!BA22</f>
        <v>0</v>
      </c>
      <c r="BM19" s="16">
        <f>CAELS!BB22</f>
        <v>0</v>
      </c>
      <c r="BN19" s="16">
        <f>CAELS!BC22</f>
        <v>0</v>
      </c>
      <c r="BO19" s="16">
        <f>CAELS!BD22</f>
        <v>0</v>
      </c>
      <c r="BP19" s="16">
        <f>CAELS!BE22</f>
        <v>0</v>
      </c>
      <c r="BQ19" s="16">
        <f>CAELS!BF22</f>
        <v>0</v>
      </c>
      <c r="BR19" s="16" t="e">
        <f>CAELS!#REF!</f>
        <v>#REF!</v>
      </c>
      <c r="BS19" s="16">
        <f>CAELS!BG22</f>
        <v>0</v>
      </c>
      <c r="BT19" s="16">
        <f>CAELS!BH22</f>
        <v>0</v>
      </c>
      <c r="BU19" s="16">
        <f>CAELS!BI22</f>
        <v>0</v>
      </c>
      <c r="BV19" s="16">
        <f>CAELS!BJ22</f>
        <v>0</v>
      </c>
      <c r="BW19" s="16">
        <f>CAELS!BK22</f>
        <v>0</v>
      </c>
      <c r="BX19" s="16">
        <f>CAELS!BL22</f>
        <v>0</v>
      </c>
      <c r="BY19" s="16">
        <f>CAELS!BM22</f>
        <v>0</v>
      </c>
      <c r="BZ19" s="16">
        <f>CAELS!BN22</f>
        <v>0</v>
      </c>
    </row>
    <row r="20" spans="1:78" s="3" customFormat="1">
      <c r="A20" s="260" t="s">
        <v>144</v>
      </c>
      <c r="B20" s="14" t="s">
        <v>145</v>
      </c>
      <c r="C20" s="15">
        <v>48.4</v>
      </c>
      <c r="D20" s="16">
        <f>CAELS!E23</f>
        <v>0.18617178424420602</v>
      </c>
      <c r="E20" s="16" t="e">
        <f>CAELS!#REF!</f>
        <v>#REF!</v>
      </c>
      <c r="F20" s="16" t="e">
        <f>CAELS!#REF!</f>
        <v>#REF!</v>
      </c>
      <c r="G20" s="16" t="e">
        <f>CAELS!#REF!</f>
        <v>#REF!</v>
      </c>
      <c r="H20" s="16" t="e">
        <f>CAELS!#REF!</f>
        <v>#REF!</v>
      </c>
      <c r="I20" s="16" t="e">
        <f>CAELS!#REF!</f>
        <v>#REF!</v>
      </c>
      <c r="J20" s="16" t="e">
        <f>CAELS!#REF!</f>
        <v>#REF!</v>
      </c>
      <c r="K20" s="16" t="e">
        <f>CAELS!#REF!</f>
        <v>#REF!</v>
      </c>
      <c r="L20" s="16" t="e">
        <f>CAELS!#REF!</f>
        <v>#REF!</v>
      </c>
      <c r="M20" s="16" t="e">
        <f>CAELS!#REF!</f>
        <v>#REF!</v>
      </c>
      <c r="N20" s="16" t="e">
        <f>CAELS!#REF!</f>
        <v>#REF!</v>
      </c>
      <c r="O20" s="16" t="e">
        <f>CAELS!#REF!</f>
        <v>#REF!</v>
      </c>
      <c r="P20" s="16" t="e">
        <f>CAELS!#REF!</f>
        <v>#REF!</v>
      </c>
      <c r="Q20" s="16">
        <f>CAELS!F23</f>
        <v>0.22770426236528868</v>
      </c>
      <c r="R20" s="16">
        <f>CAELS!G23</f>
        <v>0.22298057387481818</v>
      </c>
      <c r="S20" s="16">
        <f>CAELS!H23</f>
        <v>0.20829940137427636</v>
      </c>
      <c r="T20" s="16">
        <f>CAELS!I23</f>
        <v>0.20665770228119601</v>
      </c>
      <c r="U20" s="16">
        <f>CAELS!J23</f>
        <v>0.20389417452021</v>
      </c>
      <c r="V20" s="16">
        <f>CAELS!K23</f>
        <v>0.20135652728703338</v>
      </c>
      <c r="W20" s="16">
        <f>CAELS!L23</f>
        <v>0.21575613080813946</v>
      </c>
      <c r="X20" s="16">
        <f>CAELS!M23</f>
        <v>0.21835979924008198</v>
      </c>
      <c r="Y20" s="16">
        <f>CAELS!N23</f>
        <v>0.22650321084845265</v>
      </c>
      <c r="Z20" s="16">
        <f>CAELS!O23</f>
        <v>0.22874667449580138</v>
      </c>
      <c r="AA20" s="16">
        <f>CAELS!P23</f>
        <v>0.24382466825909477</v>
      </c>
      <c r="AB20" s="16">
        <f>CAELS!Q23</f>
        <v>0.24779939440588233</v>
      </c>
      <c r="AC20" s="16">
        <f>CAELS!R23</f>
        <v>0.24881568358116055</v>
      </c>
      <c r="AD20" s="16">
        <f>CAELS!S23</f>
        <v>0.48039404734830277</v>
      </c>
      <c r="AE20" s="16">
        <f>CAELS!T23</f>
        <v>0.202302058928096</v>
      </c>
      <c r="AF20" s="16">
        <f>CAELS!U23</f>
        <v>0.19717867288524701</v>
      </c>
      <c r="AG20" s="16">
        <f>CAELS!V23</f>
        <v>0.20120353902028645</v>
      </c>
      <c r="AH20" s="16">
        <f>CAELS!W23</f>
        <v>0.20054184581086668</v>
      </c>
      <c r="AI20" s="16">
        <f>CAELS!X23</f>
        <v>0.2297353839331791</v>
      </c>
      <c r="AJ20" s="16">
        <f>CAELS!Y23</f>
        <v>0.23157003012720598</v>
      </c>
      <c r="AK20" s="16" t="e">
        <f>CAELS!Z23</f>
        <v>#DIV/0!</v>
      </c>
      <c r="AL20" s="16">
        <f>CAELS!AA23</f>
        <v>0.2664756880760431</v>
      </c>
      <c r="AM20" s="16">
        <f>CAELS!AB23</f>
        <v>0.27926424186189441</v>
      </c>
      <c r="AN20" s="16">
        <f>CAELS!AC23</f>
        <v>0.27031461183831856</v>
      </c>
      <c r="AO20" s="16">
        <f>CAELS!AD23</f>
        <v>0.26501715593364428</v>
      </c>
      <c r="AP20" s="16">
        <f>CAELS!AE23</f>
        <v>0.25239826403312904</v>
      </c>
      <c r="AQ20" s="16">
        <f>CAELS!AF23</f>
        <v>0.21440484083078828</v>
      </c>
      <c r="AR20" s="16">
        <f>CAELS!AG23</f>
        <v>0.21477405806772781</v>
      </c>
      <c r="AS20" s="16">
        <f>CAELS!AH23</f>
        <v>0.20806650237289601</v>
      </c>
      <c r="AT20" s="16">
        <f>CAELS!AI23</f>
        <v>0.20596008689211093</v>
      </c>
      <c r="AU20" s="16">
        <f>CAELS!AJ23</f>
        <v>0.21781194642000967</v>
      </c>
      <c r="AV20" s="16">
        <f>CAELS!AK23</f>
        <v>0.2175555048360624</v>
      </c>
      <c r="AW20" s="16">
        <f>CAELS!AL23</f>
        <v>0.22158846427614418</v>
      </c>
      <c r="AX20" s="16">
        <f>CAELS!AM23</f>
        <v>0.25636279698919234</v>
      </c>
      <c r="AY20" s="16">
        <f>CAELS!AN23</f>
        <v>0.2596049634422114</v>
      </c>
      <c r="AZ20" s="16">
        <f>CAELS!AO23</f>
        <v>0.25855868657878833</v>
      </c>
      <c r="BA20" s="16">
        <f>CAELS!AP23</f>
        <v>0.25761451309102218</v>
      </c>
      <c r="BB20" s="16">
        <f>CAELS!AQ23</f>
        <v>0.25935975747167378</v>
      </c>
      <c r="BC20" s="16">
        <f>CAELS!AR23</f>
        <v>0.24264071549428973</v>
      </c>
      <c r="BD20" s="16">
        <f>CAELS!AS23</f>
        <v>0.13865725431553633</v>
      </c>
      <c r="BE20" s="16">
        <f>CAELS!AT23</f>
        <v>0.23959688253144551</v>
      </c>
      <c r="BF20" s="16">
        <f>CAELS!AU23</f>
        <v>0.24557258414184627</v>
      </c>
      <c r="BG20" s="16">
        <f>CAELS!AV23</f>
        <v>0.24851786665665623</v>
      </c>
      <c r="BH20" s="16">
        <f>CAELS!AW23</f>
        <v>0.26382146881022928</v>
      </c>
      <c r="BI20" s="16">
        <f>CAELS!AX23</f>
        <v>0.3105470945859477</v>
      </c>
      <c r="BJ20" s="16">
        <f>CAELS!AY23</f>
        <v>0.30890466468782107</v>
      </c>
      <c r="BK20" s="16">
        <f>CAELS!AZ23</f>
        <v>0.30618878836034508</v>
      </c>
      <c r="BL20" s="16">
        <f>CAELS!BA23</f>
        <v>0.30694271904690656</v>
      </c>
      <c r="BM20" s="16">
        <f>CAELS!BB23</f>
        <v>0.29555198832694268</v>
      </c>
      <c r="BN20" s="16">
        <f>CAELS!BC23</f>
        <v>0.33799117473127982</v>
      </c>
      <c r="BO20" s="16">
        <f>CAELS!BD23</f>
        <v>0.33724147817985939</v>
      </c>
      <c r="BP20" s="16">
        <f>CAELS!BE23</f>
        <v>0.33045476512521849</v>
      </c>
      <c r="BQ20" s="16">
        <f>CAELS!BF23</f>
        <v>0.34381850791639601</v>
      </c>
      <c r="BR20" s="16" t="e">
        <f>CAELS!#REF!</f>
        <v>#REF!</v>
      </c>
      <c r="BS20" s="16">
        <f>CAELS!BG23</f>
        <v>0</v>
      </c>
      <c r="BT20" s="16">
        <f>CAELS!BH23</f>
        <v>0</v>
      </c>
      <c r="BU20" s="16">
        <f>CAELS!BI23</f>
        <v>0</v>
      </c>
      <c r="BV20" s="16">
        <f>CAELS!BJ23</f>
        <v>0</v>
      </c>
      <c r="BW20" s="16">
        <f>CAELS!BK23</f>
        <v>0</v>
      </c>
      <c r="BX20" s="16">
        <f>CAELS!BL23</f>
        <v>0</v>
      </c>
      <c r="BY20" s="16">
        <f>CAELS!BM23</f>
        <v>0</v>
      </c>
      <c r="BZ20" s="16">
        <f>CAELS!BN23</f>
        <v>0</v>
      </c>
    </row>
    <row r="21" spans="1:78" s="3" customFormat="1">
      <c r="A21" s="263" t="s">
        <v>146</v>
      </c>
      <c r="B21" s="19" t="s">
        <v>147</v>
      </c>
      <c r="C21" s="264"/>
      <c r="D21" s="16">
        <f>CAELS!E26</f>
        <v>0.8051906075158306</v>
      </c>
      <c r="E21" s="16" t="e">
        <f>CAELS!#REF!</f>
        <v>#REF!</v>
      </c>
      <c r="F21" s="16" t="e">
        <f>CAELS!#REF!</f>
        <v>#REF!</v>
      </c>
      <c r="G21" s="16" t="e">
        <f>CAELS!#REF!</f>
        <v>#REF!</v>
      </c>
      <c r="H21" s="16" t="e">
        <f>CAELS!#REF!</f>
        <v>#REF!</v>
      </c>
      <c r="I21" s="16" t="e">
        <f>CAELS!#REF!</f>
        <v>#REF!</v>
      </c>
      <c r="J21" s="16" t="e">
        <f>CAELS!#REF!</f>
        <v>#REF!</v>
      </c>
      <c r="K21" s="16" t="e">
        <f>CAELS!#REF!</f>
        <v>#REF!</v>
      </c>
      <c r="L21" s="16" t="e">
        <f>CAELS!#REF!</f>
        <v>#REF!</v>
      </c>
      <c r="M21" s="16" t="e">
        <f>CAELS!#REF!</f>
        <v>#REF!</v>
      </c>
      <c r="N21" s="16" t="e">
        <f>CAELS!#REF!</f>
        <v>#REF!</v>
      </c>
      <c r="O21" s="16" t="e">
        <f>CAELS!#REF!</f>
        <v>#REF!</v>
      </c>
      <c r="P21" s="16" t="e">
        <f>CAELS!#REF!</f>
        <v>#REF!</v>
      </c>
      <c r="Q21" s="16">
        <f>CAELS!F26</f>
        <v>0.77284577600759274</v>
      </c>
      <c r="R21" s="16">
        <f>CAELS!G26</f>
        <v>0.75035437908435332</v>
      </c>
      <c r="S21" s="16">
        <f>CAELS!H26</f>
        <v>0.74810962203284459</v>
      </c>
      <c r="T21" s="16">
        <f>CAELS!I26</f>
        <v>0.73219858884796929</v>
      </c>
      <c r="U21" s="16">
        <f>CAELS!J26</f>
        <v>0.75662883390223945</v>
      </c>
      <c r="V21" s="16">
        <f>CAELS!K26</f>
        <v>0.74689132673771863</v>
      </c>
      <c r="W21" s="16">
        <f>CAELS!L26</f>
        <v>0.72993748291845284</v>
      </c>
      <c r="X21" s="16">
        <f>CAELS!M26</f>
        <v>0.7214475580346229</v>
      </c>
      <c r="Y21" s="16">
        <f>CAELS!N26</f>
        <v>0.70636817416663789</v>
      </c>
      <c r="Z21" s="16">
        <f>CAELS!O26</f>
        <v>0.68874623163986026</v>
      </c>
      <c r="AA21" s="16">
        <f>CAELS!P26</f>
        <v>0.67999330120366608</v>
      </c>
      <c r="AB21" s="16">
        <f>CAELS!Q26</f>
        <v>0.69344971857423987</v>
      </c>
      <c r="AC21" s="16">
        <f>CAELS!R26</f>
        <v>0.67673274516189408</v>
      </c>
      <c r="AD21" s="16">
        <f>CAELS!S26</f>
        <v>0.67142629665839715</v>
      </c>
      <c r="AE21" s="16">
        <f>CAELS!T26</f>
        <v>0.66230449939261238</v>
      </c>
      <c r="AF21" s="16">
        <f>CAELS!U26</f>
        <v>0.65410063860013012</v>
      </c>
      <c r="AG21" s="16">
        <f>CAELS!V26</f>
        <v>0.65600819583899428</v>
      </c>
      <c r="AH21" s="16">
        <f>CAELS!W26</f>
        <v>0.64221861064522834</v>
      </c>
      <c r="AI21" s="16">
        <f>CAELS!X26</f>
        <v>0.64108903122218797</v>
      </c>
      <c r="AJ21" s="16">
        <f>CAELS!Y26</f>
        <v>0.62939332097232092</v>
      </c>
      <c r="AK21" s="16" t="e">
        <f>CAELS!Z26</f>
        <v>#DIV/0!</v>
      </c>
      <c r="AL21" s="16">
        <f>CAELS!AA26</f>
        <v>0.6234575650978299</v>
      </c>
      <c r="AM21" s="16">
        <f>CAELS!AB26</f>
        <v>0.62239284725541766</v>
      </c>
      <c r="AN21" s="16">
        <f>CAELS!AC26</f>
        <v>0.63096920903074372</v>
      </c>
      <c r="AO21" s="16">
        <f>CAELS!AD26</f>
        <v>0.63255269083004162</v>
      </c>
      <c r="AP21" s="16">
        <f>CAELS!AE26</f>
        <v>0.63652472488689871</v>
      </c>
      <c r="AQ21" s="16">
        <f>CAELS!AF26</f>
        <v>0.64248849747044556</v>
      </c>
      <c r="AR21" s="16">
        <f>CAELS!AG26</f>
        <v>0.64314933880257452</v>
      </c>
      <c r="AS21" s="16">
        <f>CAELS!AH26</f>
        <v>0.64817948393877656</v>
      </c>
      <c r="AT21" s="16">
        <f>CAELS!AI26</f>
        <v>0.6651567945019885</v>
      </c>
      <c r="AU21" s="16">
        <f>CAELS!AJ26</f>
        <v>0.66501392986200769</v>
      </c>
      <c r="AV21" s="16">
        <f>CAELS!AK26</f>
        <v>0.66909639363056717</v>
      </c>
      <c r="AW21" s="16">
        <f>CAELS!AL26</f>
        <v>0.66067232072370297</v>
      </c>
      <c r="AX21" s="16">
        <f>CAELS!AM26</f>
        <v>0.64700916675071396</v>
      </c>
      <c r="AY21" s="16">
        <f>CAELS!AN26</f>
        <v>0.65288534194257875</v>
      </c>
      <c r="AZ21" s="16">
        <f>CAELS!AO26</f>
        <v>0.65431313720084483</v>
      </c>
      <c r="BA21" s="16">
        <f>CAELS!AP26</f>
        <v>0.65744274771555877</v>
      </c>
      <c r="BB21" s="16">
        <f>CAELS!AQ26</f>
        <v>0.64446030080307837</v>
      </c>
      <c r="BC21" s="16">
        <f>CAELS!AR26</f>
        <v>0.63630521426682118</v>
      </c>
      <c r="BD21" s="16">
        <f>CAELS!AS26</f>
        <v>0.63700229979293177</v>
      </c>
      <c r="BE21" s="16">
        <f>CAELS!AT26</f>
        <v>0.63281567699221497</v>
      </c>
      <c r="BF21" s="16">
        <f>CAELS!AU26</f>
        <v>0.64247163545538311</v>
      </c>
      <c r="BG21" s="16">
        <f>CAELS!AV26</f>
        <v>0.65357870478578894</v>
      </c>
      <c r="BH21" s="16">
        <f>CAELS!AW26</f>
        <v>0.66838054454019913</v>
      </c>
      <c r="BI21" s="16">
        <f>CAELS!AX26</f>
        <v>0.67234759991860515</v>
      </c>
      <c r="BJ21" s="16">
        <f>CAELS!AY26</f>
        <v>0.67188084458991348</v>
      </c>
      <c r="BK21" s="16">
        <f>CAELS!AZ26</f>
        <v>0.6655788034926835</v>
      </c>
      <c r="BL21" s="16">
        <f>CAELS!BA26</f>
        <v>0.67307797053551999</v>
      </c>
      <c r="BM21" s="16">
        <f>CAELS!BB26</f>
        <v>0.68482596518017724</v>
      </c>
      <c r="BN21" s="16">
        <f>CAELS!BC26</f>
        <v>0.6942189511607807</v>
      </c>
      <c r="BO21" s="16">
        <f>CAELS!BD26</f>
        <v>0.69921051696513259</v>
      </c>
      <c r="BP21" s="16">
        <f>CAELS!BE26</f>
        <v>0.7019150502129452</v>
      </c>
      <c r="BQ21" s="16">
        <f>CAELS!BF26</f>
        <v>0.70397292056257965</v>
      </c>
      <c r="BR21" s="16" t="e">
        <f>CAELS!#REF!</f>
        <v>#REF!</v>
      </c>
      <c r="BS21" s="16">
        <f>CAELS!BG26</f>
        <v>0</v>
      </c>
      <c r="BT21" s="16">
        <f>CAELS!BH26</f>
        <v>0</v>
      </c>
      <c r="BU21" s="16">
        <f>CAELS!BI26</f>
        <v>0</v>
      </c>
      <c r="BV21" s="16">
        <f>CAELS!BJ26</f>
        <v>0</v>
      </c>
      <c r="BW21" s="16">
        <f>CAELS!BK26</f>
        <v>0</v>
      </c>
      <c r="BX21" s="16">
        <f>CAELS!BL26</f>
        <v>0</v>
      </c>
      <c r="BY21" s="16">
        <f>CAELS!BM26</f>
        <v>0</v>
      </c>
      <c r="BZ21" s="16">
        <f>CAELS!BN26</f>
        <v>0</v>
      </c>
    </row>
    <row r="22" spans="1:78" s="3" customFormat="1">
      <c r="A22" s="10"/>
      <c r="B22" s="11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</row>
    <row r="23" spans="1:78" s="3" customFormat="1">
      <c r="A23" s="10" t="s">
        <v>148</v>
      </c>
      <c r="B23" s="11"/>
      <c r="C23" s="12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</row>
    <row r="24" spans="1:78" s="3" customFormat="1">
      <c r="A24" s="263" t="s">
        <v>149</v>
      </c>
      <c r="B24" s="19" t="s">
        <v>147</v>
      </c>
      <c r="C24" s="21"/>
      <c r="D24" s="16">
        <f>Financials!C6/Financials!C5</f>
        <v>0.55318281140638348</v>
      </c>
      <c r="E24" s="16" t="e">
        <f>Financials!#REF!/Financials!#REF!</f>
        <v>#REF!</v>
      </c>
      <c r="F24" s="16" t="e">
        <f>Financials!#REF!/Financials!#REF!</f>
        <v>#REF!</v>
      </c>
      <c r="G24" s="16" t="e">
        <f>Financials!#REF!/Financials!#REF!</f>
        <v>#REF!</v>
      </c>
      <c r="H24" s="16" t="e">
        <f>Financials!#REF!/Financials!#REF!</f>
        <v>#REF!</v>
      </c>
      <c r="I24" s="16" t="e">
        <f>Financials!#REF!/Financials!#REF!</f>
        <v>#REF!</v>
      </c>
      <c r="J24" s="16" t="e">
        <f>Financials!#REF!/Financials!#REF!</f>
        <v>#REF!</v>
      </c>
      <c r="K24" s="16" t="e">
        <f>Financials!#REF!/Financials!#REF!</f>
        <v>#REF!</v>
      </c>
      <c r="L24" s="16" t="e">
        <f>Financials!#REF!/Financials!#REF!</f>
        <v>#REF!</v>
      </c>
      <c r="M24" s="16" t="e">
        <f>Financials!#REF!/Financials!#REF!</f>
        <v>#REF!</v>
      </c>
      <c r="N24" s="16" t="e">
        <f>Financials!#REF!/Financials!#REF!</f>
        <v>#REF!</v>
      </c>
      <c r="O24" s="16" t="e">
        <f>Financials!#REF!/Financials!#REF!</f>
        <v>#REF!</v>
      </c>
      <c r="P24" s="16" t="e">
        <f>Financials!#REF!/Financials!#REF!</f>
        <v>#REF!</v>
      </c>
      <c r="Q24" s="16">
        <f>Financials!D6/Financials!D5</f>
        <v>0.56945612848315208</v>
      </c>
      <c r="R24" s="16">
        <f>Financials!E6/Financials!E5</f>
        <v>0.55576904469269095</v>
      </c>
      <c r="S24" s="16">
        <f>Financials!F6/Financials!F5</f>
        <v>0.56205809205339752</v>
      </c>
      <c r="T24" s="16">
        <f>Financials!G6/Financials!G5</f>
        <v>0.56852515797553627</v>
      </c>
      <c r="U24" s="16">
        <f>Financials!H6/Financials!H5</f>
        <v>0.60415528856189404</v>
      </c>
      <c r="V24" s="16">
        <f>Financials!I6/Financials!I5</f>
        <v>0.60143465532064488</v>
      </c>
      <c r="W24" s="16">
        <f>Financials!J6/Financials!J5</f>
        <v>0.59417400196440473</v>
      </c>
      <c r="X24" s="16">
        <f>Financials!K6/Financials!K5</f>
        <v>0.58876730618052453</v>
      </c>
      <c r="Y24" s="16">
        <f>Financials!L6/Financials!L5</f>
        <v>0.5848141055929329</v>
      </c>
      <c r="Z24" s="16">
        <f>Financials!M6/Financials!M5</f>
        <v>0.58697966801190704</v>
      </c>
      <c r="AA24" s="16">
        <f>Financials!N6/Financials!N5</f>
        <v>0.58209123291991016</v>
      </c>
      <c r="AB24" s="16">
        <f>Financials!O6/Financials!O5</f>
        <v>0.56552911756412072</v>
      </c>
      <c r="AC24" s="16">
        <f>Financials!P6/Financials!P5</f>
        <v>0.56880915722635617</v>
      </c>
      <c r="AD24" s="16">
        <f>Financials!Q6/Financials!Q5</f>
        <v>0.56190020549831332</v>
      </c>
      <c r="AE24" s="16">
        <f>Financials!R6/Financials!R5</f>
        <v>0.55664207981080638</v>
      </c>
      <c r="AF24" s="16">
        <f>Financials!S6/Financials!S5</f>
        <v>0.55077738849587066</v>
      </c>
      <c r="AG24" s="16">
        <f>Financials!T6/Financials!T5</f>
        <v>0.60045449569382503</v>
      </c>
      <c r="AH24" s="16">
        <f>Financials!U6/Financials!U5</f>
        <v>0.59472839951247014</v>
      </c>
      <c r="AI24" s="16">
        <f>Financials!V6/Financials!V5</f>
        <v>0.5845334342673224</v>
      </c>
      <c r="AJ24" s="16">
        <f>Financials!W6/Financials!W5</f>
        <v>0.58416586602442677</v>
      </c>
      <c r="AK24" s="16" t="e">
        <f>Financials!X6/Financials!X5</f>
        <v>#DIV/0!</v>
      </c>
      <c r="AL24" s="16">
        <f>Financials!Y6/Financials!Y5</f>
        <v>0.5813755206412945</v>
      </c>
      <c r="AM24" s="16">
        <f>Financials!Z6/Financials!Z5</f>
        <v>0.58553427041366801</v>
      </c>
      <c r="AN24" s="16">
        <f>Financials!AA6/Financials!AA5</f>
        <v>0.57643299362006217</v>
      </c>
      <c r="AO24" s="16">
        <f>Financials!AB6/Financials!AB5</f>
        <v>0.56793606466754509</v>
      </c>
      <c r="AP24" s="16">
        <f>Financials!AC6/Financials!AC5</f>
        <v>0.56611630386778078</v>
      </c>
      <c r="AQ24" s="16">
        <f>Financials!AD6/Financials!AD5</f>
        <v>0.57142047292789844</v>
      </c>
      <c r="AR24" s="16">
        <f>Financials!AE6/Financials!AE5</f>
        <v>0.56538689969298173</v>
      </c>
      <c r="AS24" s="16">
        <f>Financials!AF6/Financials!AF5</f>
        <v>0.61370351221188779</v>
      </c>
      <c r="AT24" s="16">
        <f>Financials!AG6/Financials!AG5</f>
        <v>0.59599044461534956</v>
      </c>
      <c r="AU24" s="16">
        <f>Financials!AH6/Financials!AH5</f>
        <v>0.58813908353962552</v>
      </c>
      <c r="AV24" s="16">
        <f>Financials!AI6/Financials!AI5</f>
        <v>0.58141315423588491</v>
      </c>
      <c r="AW24" s="16">
        <f>Financials!AJ6/Financials!AJ5</f>
        <v>0.57798261114668337</v>
      </c>
      <c r="AX24" s="16">
        <f>Financials!AK6/Financials!AK5</f>
        <v>0.58213136438787827</v>
      </c>
      <c r="AY24" s="16">
        <f>Financials!AL6/Financials!AL5</f>
        <v>0.57798396264686935</v>
      </c>
      <c r="AZ24" s="16">
        <f>Financials!AM6/Financials!AM5</f>
        <v>0.57309157735123317</v>
      </c>
      <c r="BA24" s="16">
        <f>Financials!AN6/Financials!AN5</f>
        <v>0.5679012639877592</v>
      </c>
      <c r="BB24" s="16">
        <f>Financials!AO6/Financials!AO5</f>
        <v>0.56461357626484987</v>
      </c>
      <c r="BC24" s="16">
        <f>Financials!AP6/Financials!AP5</f>
        <v>0.55156270292228959</v>
      </c>
      <c r="BD24" s="16">
        <f>Financials!AQ6/Financials!AQ5</f>
        <v>0.55156270298038479</v>
      </c>
      <c r="BE24" s="16">
        <f>Financials!AR6/Financials!AR5</f>
        <v>0.54169835700068503</v>
      </c>
      <c r="BF24" s="16">
        <f>Financials!AS6/Financials!AS5</f>
        <v>0.59206986123940075</v>
      </c>
      <c r="BG24" s="16">
        <f>Financials!AT6/Financials!AT5</f>
        <v>0.58393194338787446</v>
      </c>
      <c r="BH24" s="16">
        <f>Financials!AU6/Financials!AU5</f>
        <v>0.57692653360002721</v>
      </c>
      <c r="BI24" s="16">
        <f>Financials!AV6/Financials!AV5</f>
        <v>0.57465527222451829</v>
      </c>
      <c r="BJ24" s="16">
        <f>Financials!AW6/Financials!AW5</f>
        <v>0.569687507322716</v>
      </c>
      <c r="BK24" s="16">
        <f>Financials!AX6/Financials!AX5</f>
        <v>0.56639432930725975</v>
      </c>
      <c r="BL24" s="16">
        <f>Financials!AY6/Financials!AY5</f>
        <v>0.56492354497966357</v>
      </c>
      <c r="BM24" s="16">
        <f>Financials!AZ6/Financials!AZ5</f>
        <v>0.55942577220498357</v>
      </c>
      <c r="BN24" s="16">
        <f>Financials!BA6/Financials!BA5</f>
        <v>0.55555499081850102</v>
      </c>
      <c r="BO24" s="16">
        <f>Financials!BB6/Financials!BB5</f>
        <v>0.55260491123609112</v>
      </c>
      <c r="BP24" s="16">
        <f>Financials!BC6/Financials!BC5</f>
        <v>0.54685187574569716</v>
      </c>
      <c r="BQ24" s="16">
        <f>Financials!BD6/Financials!BD5</f>
        <v>0.54365148575122257</v>
      </c>
      <c r="BR24" s="16" t="e">
        <f>Financials!#REF!/Financials!#REF!</f>
        <v>#REF!</v>
      </c>
      <c r="BS24" s="16" t="e">
        <f>Financials!#REF!/Financials!#REF!</f>
        <v>#REF!</v>
      </c>
      <c r="BT24" s="16" t="e">
        <f>Financials!#REF!/Financials!#REF!</f>
        <v>#REF!</v>
      </c>
      <c r="BU24" s="16" t="e">
        <f>Financials!BE6/Financials!BE5</f>
        <v>#DIV/0!</v>
      </c>
      <c r="BV24" s="16" t="e">
        <f>Financials!BF6/Financials!BF5</f>
        <v>#DIV/0!</v>
      </c>
      <c r="BW24" s="16" t="e">
        <f>Financials!BG6/Financials!BG5</f>
        <v>#DIV/0!</v>
      </c>
      <c r="BX24" s="16" t="e">
        <f>Financials!BH6/Financials!BH5</f>
        <v>#DIV/0!</v>
      </c>
      <c r="BY24" s="16" t="e">
        <f>Financials!BI6/Financials!BI5</f>
        <v>#DIV/0!</v>
      </c>
      <c r="BZ24" s="16" t="e">
        <f>Financials!BJ6/Financials!BJ5</f>
        <v>#DIV/0!</v>
      </c>
    </row>
    <row r="25" spans="1:78" s="3" customFormat="1">
      <c r="A25" s="22" t="s">
        <v>150</v>
      </c>
      <c r="B25" s="23" t="s">
        <v>147</v>
      </c>
      <c r="C25" s="24"/>
      <c r="D25" s="25">
        <f>Financials!C7/Financials!C5</f>
        <v>0.50400779167095344</v>
      </c>
      <c r="E25" s="25" t="e">
        <f>Financials!#REF!/Financials!#REF!</f>
        <v>#REF!</v>
      </c>
      <c r="F25" s="25" t="e">
        <f>Financials!#REF!/Financials!#REF!</f>
        <v>#REF!</v>
      </c>
      <c r="G25" s="25" t="e">
        <f>Financials!#REF!/Financials!#REF!</f>
        <v>#REF!</v>
      </c>
      <c r="H25" s="25" t="e">
        <f>Financials!#REF!/Financials!#REF!</f>
        <v>#REF!</v>
      </c>
      <c r="I25" s="25" t="e">
        <f>Financials!#REF!/Financials!#REF!</f>
        <v>#REF!</v>
      </c>
      <c r="J25" s="25" t="e">
        <f>Financials!#REF!/Financials!#REF!</f>
        <v>#REF!</v>
      </c>
      <c r="K25" s="25" t="e">
        <f>Financials!#REF!/Financials!#REF!</f>
        <v>#REF!</v>
      </c>
      <c r="L25" s="25" t="e">
        <f>Financials!#REF!/Financials!#REF!</f>
        <v>#REF!</v>
      </c>
      <c r="M25" s="25" t="e">
        <f>Financials!#REF!/Financials!#REF!</f>
        <v>#REF!</v>
      </c>
      <c r="N25" s="25" t="e">
        <f>Financials!#REF!/Financials!#REF!</f>
        <v>#REF!</v>
      </c>
      <c r="O25" s="25" t="e">
        <f>Financials!#REF!/Financials!#REF!</f>
        <v>#REF!</v>
      </c>
      <c r="P25" s="25" t="e">
        <f>Financials!#REF!/Financials!#REF!</f>
        <v>#REF!</v>
      </c>
      <c r="Q25" s="25">
        <f>Financials!D7/Financials!D5</f>
        <v>0.51105540595368593</v>
      </c>
      <c r="R25" s="25">
        <f>Financials!E7/Financials!E5</f>
        <v>0.492413842858411</v>
      </c>
      <c r="S25" s="25">
        <f>Financials!F7/Financials!F5</f>
        <v>0.49747271775658425</v>
      </c>
      <c r="T25" s="25">
        <f>Financials!G7/Financials!G5</f>
        <v>0.49612313340778524</v>
      </c>
      <c r="U25" s="25">
        <f>Financials!H7/Financials!H5</f>
        <v>0.53042740477443706</v>
      </c>
      <c r="V25" s="25">
        <f>Financials!I7/Financials!I5</f>
        <v>0.53273404363662413</v>
      </c>
      <c r="W25" s="25">
        <f>Financials!J7/Financials!J5</f>
        <v>0.52864810664383088</v>
      </c>
      <c r="X25" s="25">
        <f>Financials!K7/Financials!K5</f>
        <v>0.52553382695300854</v>
      </c>
      <c r="Y25" s="25">
        <f>Financials!L7/Financials!L5</f>
        <v>0.50668421870372282</v>
      </c>
      <c r="Z25" s="25">
        <f>Financials!M7/Financials!M5</f>
        <v>0.50434516701993704</v>
      </c>
      <c r="AA25" s="25">
        <f>Financials!N7/Financials!N5</f>
        <v>0.50078889625010037</v>
      </c>
      <c r="AB25" s="25">
        <f>Financials!O7/Financials!O5</f>
        <v>0.50980488852912254</v>
      </c>
      <c r="AC25" s="25">
        <f>Financials!P7/Financials!P5</f>
        <v>0.50362211175816585</v>
      </c>
      <c r="AD25" s="25">
        <f>Financials!Q7/Financials!Q5</f>
        <v>0.49750494431262227</v>
      </c>
      <c r="AE25" s="25">
        <f>Financials!R7/Financials!R5</f>
        <v>0.48318020555677915</v>
      </c>
      <c r="AF25" s="25">
        <f>Financials!S7/Financials!S5</f>
        <v>0.48147250972384242</v>
      </c>
      <c r="AG25" s="25">
        <f>Financials!T7/Financials!T5</f>
        <v>0.49576407601224315</v>
      </c>
      <c r="AH25" s="25">
        <f>Financials!U7/Financials!U5</f>
        <v>0.49788037020784581</v>
      </c>
      <c r="AI25" s="25">
        <f>Financials!V7/Financials!V5</f>
        <v>0.50513128493502646</v>
      </c>
      <c r="AJ25" s="25">
        <f>Financials!W7/Financials!W5</f>
        <v>0.50358246576856758</v>
      </c>
      <c r="AK25" s="25" t="e">
        <f>Financials!X7/Financials!X5</f>
        <v>#DIV/0!</v>
      </c>
      <c r="AL25" s="25">
        <f>Financials!Y7/Financials!Y5</f>
        <v>0.49493128653856111</v>
      </c>
      <c r="AM25" s="25">
        <f>Financials!Z7/Financials!Z5</f>
        <v>0.49463582509959136</v>
      </c>
      <c r="AN25" s="25">
        <f>Financials!AA7/Financials!AA5</f>
        <v>0.48918974819967964</v>
      </c>
      <c r="AO25" s="25">
        <f>Financials!AB7/Financials!AB5</f>
        <v>0.48196050718799988</v>
      </c>
      <c r="AP25" s="25">
        <f>Financials!AC7/Financials!AC5</f>
        <v>0.47764861051249607</v>
      </c>
      <c r="AQ25" s="25">
        <f>Financials!AD7/Financials!AD5</f>
        <v>0.48212381407751193</v>
      </c>
      <c r="AR25" s="25">
        <f>Financials!AE7/Financials!AE5</f>
        <v>0.48619725401216651</v>
      </c>
      <c r="AS25" s="25">
        <f>Financials!AF7/Financials!AF5</f>
        <v>0.49042072305577561</v>
      </c>
      <c r="AT25" s="25">
        <f>Financials!AG7/Financials!AG5</f>
        <v>0.50130609347559252</v>
      </c>
      <c r="AU25" s="25">
        <f>Financials!AH7/Financials!AH5</f>
        <v>0.49982336254626386</v>
      </c>
      <c r="AV25" s="25">
        <f>Financials!AI7/Financials!AI5</f>
        <v>0.4999790788266123</v>
      </c>
      <c r="AW25" s="25">
        <f>Financials!AJ7/Financials!AJ5</f>
        <v>0.49241729116737259</v>
      </c>
      <c r="AX25" s="25">
        <f>Financials!AK7/Financials!AK5</f>
        <v>0.47704845940647739</v>
      </c>
      <c r="AY25" s="25">
        <f>Financials!AL7/Financials!AL5</f>
        <v>0.48079418496495085</v>
      </c>
      <c r="AZ25" s="25">
        <f>Financials!AM7/Financials!AM5</f>
        <v>0.48028485720873898</v>
      </c>
      <c r="BA25" s="25">
        <f>Financials!AN7/Financials!AN5</f>
        <v>0.47987140881508517</v>
      </c>
      <c r="BB25" s="25">
        <f>Financials!AO7/Financials!AO5</f>
        <v>0.47524995945873444</v>
      </c>
      <c r="BC25" s="25">
        <f>Financials!AP7/Financials!AP5</f>
        <v>0.46571986123006193</v>
      </c>
      <c r="BD25" s="25">
        <f>Financials!AQ7/Financials!AQ5</f>
        <v>0.46571986127911547</v>
      </c>
      <c r="BE25" s="25">
        <f>Financials!AR7/Financials!AR5</f>
        <v>0.45757924030884606</v>
      </c>
      <c r="BF25" s="25">
        <f>Financials!AS7/Financials!AS5</f>
        <v>0.47097172683170935</v>
      </c>
      <c r="BG25" s="25">
        <f>Financials!AT7/Financials!AT5</f>
        <v>0.47488184194205851</v>
      </c>
      <c r="BH25" s="25">
        <f>Financials!AU7/Financials!AU5</f>
        <v>0.47866475458629204</v>
      </c>
      <c r="BI25" s="25">
        <f>Financials!AV7/Financials!AV5</f>
        <v>0.48228902368174498</v>
      </c>
      <c r="BJ25" s="25">
        <f>Financials!AW7/Financials!AW5</f>
        <v>0.47927893690465506</v>
      </c>
      <c r="BK25" s="25">
        <f>Financials!AX7/Financials!AX5</f>
        <v>0.47312507543640087</v>
      </c>
      <c r="BL25" s="25">
        <f>Financials!AY7/Financials!AY5</f>
        <v>0.47564375124714686</v>
      </c>
      <c r="BM25" s="25">
        <f>Financials!AZ7/Financials!AZ5</f>
        <v>0.47345293355570822</v>
      </c>
      <c r="BN25" s="25">
        <f>Financials!BA7/Financials!BA5</f>
        <v>0.47335202647001678</v>
      </c>
      <c r="BO25" s="25">
        <f>Financials!BB7/Financials!BB5</f>
        <v>0.46899810714661433</v>
      </c>
      <c r="BP25" s="25">
        <f>Financials!BC7/Financials!BC5</f>
        <v>0.4632512545626663</v>
      </c>
      <c r="BQ25" s="25">
        <f>Financials!BD7/Financials!BD5</f>
        <v>0.46054012556235424</v>
      </c>
      <c r="BR25" s="25" t="e">
        <f>Financials!#REF!/Financials!#REF!</f>
        <v>#REF!</v>
      </c>
      <c r="BS25" s="25" t="e">
        <f>Financials!#REF!/Financials!#REF!</f>
        <v>#REF!</v>
      </c>
      <c r="BT25" s="25" t="e">
        <f>Financials!#REF!/Financials!#REF!</f>
        <v>#REF!</v>
      </c>
      <c r="BU25" s="25" t="e">
        <f>Financials!BE7/Financials!BE5</f>
        <v>#DIV/0!</v>
      </c>
      <c r="BV25" s="25" t="e">
        <f>Financials!BF7/Financials!BF5</f>
        <v>#DIV/0!</v>
      </c>
      <c r="BW25" s="25" t="e">
        <f>Financials!BG7/Financials!BG5</f>
        <v>#DIV/0!</v>
      </c>
      <c r="BX25" s="25" t="e">
        <f>Financials!BH7/Financials!BH5</f>
        <v>#DIV/0!</v>
      </c>
      <c r="BY25" s="25" t="e">
        <f>Financials!BI7/Financials!BI5</f>
        <v>#DIV/0!</v>
      </c>
      <c r="BZ25" s="25" t="e">
        <f>Financials!BJ7/Financials!BJ5</f>
        <v>#DIV/0!</v>
      </c>
    </row>
    <row r="26" spans="1:78" s="3" customFormat="1">
      <c r="A26" s="22" t="s">
        <v>151</v>
      </c>
      <c r="B26" s="23" t="s">
        <v>147</v>
      </c>
      <c r="C26" s="24"/>
      <c r="D26" s="25">
        <f>Financials!C8/Financials!C5</f>
        <v>3.3568879415335005E-2</v>
      </c>
      <c r="E26" s="25" t="e">
        <f>Financials!#REF!/Financials!#REF!</f>
        <v>#REF!</v>
      </c>
      <c r="F26" s="25" t="e">
        <f>Financials!#REF!/Financials!#REF!</f>
        <v>#REF!</v>
      </c>
      <c r="G26" s="25" t="e">
        <f>Financials!#REF!/Financials!#REF!</f>
        <v>#REF!</v>
      </c>
      <c r="H26" s="25" t="e">
        <f>Financials!#REF!/Financials!#REF!</f>
        <v>#REF!</v>
      </c>
      <c r="I26" s="25" t="e">
        <f>Financials!#REF!/Financials!#REF!</f>
        <v>#REF!</v>
      </c>
      <c r="J26" s="25" t="e">
        <f>Financials!#REF!/Financials!#REF!</f>
        <v>#REF!</v>
      </c>
      <c r="K26" s="25" t="e">
        <f>Financials!#REF!/Financials!#REF!</f>
        <v>#REF!</v>
      </c>
      <c r="L26" s="25" t="e">
        <f>Financials!#REF!/Financials!#REF!</f>
        <v>#REF!</v>
      </c>
      <c r="M26" s="25" t="e">
        <f>Financials!#REF!/Financials!#REF!</f>
        <v>#REF!</v>
      </c>
      <c r="N26" s="25" t="e">
        <f>Financials!#REF!/Financials!#REF!</f>
        <v>#REF!</v>
      </c>
      <c r="O26" s="25" t="e">
        <f>Financials!#REF!/Financials!#REF!</f>
        <v>#REF!</v>
      </c>
      <c r="P26" s="25" t="e">
        <f>Financials!#REF!/Financials!#REF!</f>
        <v>#REF!</v>
      </c>
      <c r="Q26" s="25">
        <f>Financials!D8/Financials!D5</f>
        <v>4.1111499359396675E-2</v>
      </c>
      <c r="R26" s="25">
        <f>Financials!E8/Financials!E5</f>
        <v>4.6933796595352968E-2</v>
      </c>
      <c r="S26" s="25">
        <f>Financials!F8/Financials!F5</f>
        <v>4.8728752199286705E-2</v>
      </c>
      <c r="T26" s="25">
        <f>Financials!G8/Financials!G5</f>
        <v>5.4293597973415077E-2</v>
      </c>
      <c r="U26" s="25">
        <f>Financials!H8/Financials!H5</f>
        <v>5.3978630523927235E-2</v>
      </c>
      <c r="V26" s="25">
        <f>Financials!I8/Financials!I5</f>
        <v>4.9246581987357908E-2</v>
      </c>
      <c r="W26" s="25">
        <f>Financials!J8/Financials!J5</f>
        <v>4.6932831688803217E-2</v>
      </c>
      <c r="X26" s="25">
        <f>Financials!K8/Financials!K5</f>
        <v>4.4796852083151047E-2</v>
      </c>
      <c r="Y26" s="25">
        <f>Financials!L8/Financials!L5</f>
        <v>6.0660185368662529E-2</v>
      </c>
      <c r="Z26" s="25">
        <f>Financials!M8/Financials!M5</f>
        <v>6.6020167613458663E-2</v>
      </c>
      <c r="AA26" s="25">
        <f>Financials!N8/Financials!N5</f>
        <v>6.5078682945486507E-2</v>
      </c>
      <c r="AB26" s="25">
        <f>Financials!O8/Financials!O5</f>
        <v>4.0733224117423951E-2</v>
      </c>
      <c r="AC26" s="25">
        <f>Financials!P8/Financials!P5</f>
        <v>5.1167879892591035E-2</v>
      </c>
      <c r="AD26" s="25">
        <f>Financials!Q8/Financials!Q5</f>
        <v>5.0546377218604513E-2</v>
      </c>
      <c r="AE26" s="25">
        <f>Financials!R8/Financials!R5</f>
        <v>6.0311785961766652E-2</v>
      </c>
      <c r="AF26" s="25">
        <f>Financials!S8/Financials!S5</f>
        <v>5.5882594095569928E-2</v>
      </c>
      <c r="AG26" s="25">
        <f>Financials!T8/Financials!T5</f>
        <v>9.0729907446699842E-2</v>
      </c>
      <c r="AH26" s="25">
        <f>Financials!U8/Financials!U5</f>
        <v>8.2599406350916796E-2</v>
      </c>
      <c r="AI26" s="25">
        <f>Financials!V8/Financials!V5</f>
        <v>6.518263111475199E-2</v>
      </c>
      <c r="AJ26" s="25">
        <f>Financials!W8/Financials!W5</f>
        <v>6.5525199738851278E-2</v>
      </c>
      <c r="AK26" s="25" t="e">
        <f>Financials!X8/Financials!X5</f>
        <v>#DIV/0!</v>
      </c>
      <c r="AL26" s="25">
        <f>Financials!Y8/Financials!Y5</f>
        <v>7.1317306118334853E-2</v>
      </c>
      <c r="AM26" s="25">
        <f>Financials!Z8/Financials!Z5</f>
        <v>7.5653598027531174E-2</v>
      </c>
      <c r="AN26" s="25">
        <f>Financials!AA8/Financials!AA5</f>
        <v>7.1859700331485893E-2</v>
      </c>
      <c r="AO26" s="25">
        <f>Financials!AB8/Financials!AB5</f>
        <v>7.0574523417714877E-2</v>
      </c>
      <c r="AP26" s="25">
        <f>Financials!AC8/Financials!AC5</f>
        <v>7.4593669881932598E-2</v>
      </c>
      <c r="AQ26" s="25">
        <f>Financials!AD8/Financials!AD5</f>
        <v>7.5292537886054098E-2</v>
      </c>
      <c r="AR26" s="25">
        <f>Financials!AE8/Financials!AE5</f>
        <v>6.5924295428579943E-2</v>
      </c>
      <c r="AS26" s="25">
        <f>Financials!AF8/Financials!AF5</f>
        <v>0.1090724382449452</v>
      </c>
      <c r="AT26" s="25">
        <f>Financials!AG8/Financials!AG5</f>
        <v>8.0875665465874838E-2</v>
      </c>
      <c r="AU26" s="25">
        <f>Financials!AH8/Financials!AH5</f>
        <v>7.4908141181219912E-2</v>
      </c>
      <c r="AV26" s="25">
        <f>Financials!AI8/Financials!AI5</f>
        <v>6.8079160954032644E-2</v>
      </c>
      <c r="AW26" s="25">
        <f>Financials!AJ8/Financials!AJ5</f>
        <v>7.2345334509759857E-2</v>
      </c>
      <c r="AX26" s="25">
        <f>Financials!AK8/Financials!AK5</f>
        <v>8.9420203826677286E-2</v>
      </c>
      <c r="AY26" s="25">
        <f>Financials!AL8/Financials!AL5</f>
        <v>8.1284128300851535E-2</v>
      </c>
      <c r="AZ26" s="25">
        <f>Financials!AM8/Financials!AM5</f>
        <v>7.7172737255130949E-2</v>
      </c>
      <c r="BA26" s="25">
        <f>Financials!AN8/Financials!AN5</f>
        <v>7.2604675301195548E-2</v>
      </c>
      <c r="BB26" s="25">
        <f>Financials!AO8/Financials!AO5</f>
        <v>7.398521456581629E-2</v>
      </c>
      <c r="BC26" s="25">
        <f>Financials!AP8/Financials!AP5</f>
        <v>7.1786935306110453E-2</v>
      </c>
      <c r="BD26" s="25">
        <f>Financials!AQ8/Financials!AQ5</f>
        <v>7.1786935313671654E-2</v>
      </c>
      <c r="BE26" s="25">
        <f>Financials!AR8/Financials!AR5</f>
        <v>7.133452204039617E-2</v>
      </c>
      <c r="BF26" s="25">
        <f>Financials!AS8/Financials!AS5</f>
        <v>0.1083090239974366</v>
      </c>
      <c r="BG26" s="25">
        <f>Financials!AT8/Financials!AT5</f>
        <v>9.5720725941447884E-2</v>
      </c>
      <c r="BH26" s="25">
        <f>Financials!AU8/Financials!AU5</f>
        <v>8.4620148402909545E-2</v>
      </c>
      <c r="BI26" s="25">
        <f>Financials!AV8/Financials!AV5</f>
        <v>7.8414803964853688E-2</v>
      </c>
      <c r="BJ26" s="25">
        <f>Financials!AW8/Financials!AW5</f>
        <v>7.6021822682685175E-2</v>
      </c>
      <c r="BK26" s="25">
        <f>Financials!AX8/Financials!AX5</f>
        <v>7.9222586358862715E-2</v>
      </c>
      <c r="BL26" s="25">
        <f>Financials!AY8/Financials!AY5</f>
        <v>7.5811777047984807E-2</v>
      </c>
      <c r="BM26" s="25">
        <f>Financials!AZ8/Financials!AZ5</f>
        <v>7.2636372602903884E-2</v>
      </c>
      <c r="BN26" s="25">
        <f>Financials!BA8/Financials!BA5</f>
        <v>6.8884391243755158E-2</v>
      </c>
      <c r="BO26" s="25">
        <f>Financials!BB8/Financials!BB5</f>
        <v>7.3142812120453399E-2</v>
      </c>
      <c r="BP26" s="25">
        <f>Financials!BC8/Financials!BC5</f>
        <v>7.0942225048394369E-2</v>
      </c>
      <c r="BQ26" s="25">
        <f>Financials!BD8/Financials!BD5</f>
        <v>7.0527034060131388E-2</v>
      </c>
      <c r="BR26" s="25" t="e">
        <f>Financials!#REF!/Financials!#REF!</f>
        <v>#REF!</v>
      </c>
      <c r="BS26" s="25" t="e">
        <f>Financials!#REF!/Financials!#REF!</f>
        <v>#REF!</v>
      </c>
      <c r="BT26" s="25" t="e">
        <f>Financials!#REF!/Financials!#REF!</f>
        <v>#REF!</v>
      </c>
      <c r="BU26" s="25" t="e">
        <f>Financials!BE8/Financials!BE5</f>
        <v>#DIV/0!</v>
      </c>
      <c r="BV26" s="25" t="e">
        <f>Financials!BF8/Financials!BF5</f>
        <v>#DIV/0!</v>
      </c>
      <c r="BW26" s="25" t="e">
        <f>Financials!BG8/Financials!BG5</f>
        <v>#DIV/0!</v>
      </c>
      <c r="BX26" s="25" t="e">
        <f>Financials!BH8/Financials!BH5</f>
        <v>#DIV/0!</v>
      </c>
      <c r="BY26" s="25" t="e">
        <f>Financials!BI8/Financials!BI5</f>
        <v>#DIV/0!</v>
      </c>
      <c r="BZ26" s="25" t="e">
        <f>Financials!BJ8/Financials!BJ5</f>
        <v>#DIV/0!</v>
      </c>
    </row>
    <row r="27" spans="1:78" s="3" customFormat="1">
      <c r="A27" s="263" t="s">
        <v>152</v>
      </c>
      <c r="B27" s="14" t="s">
        <v>153</v>
      </c>
      <c r="C27" s="15">
        <v>35.1</v>
      </c>
      <c r="D27" s="16">
        <f>Financials!C9/Financials!C5</f>
        <v>4.6260010087161733E-2</v>
      </c>
      <c r="E27" s="16" t="e">
        <f>Financials!#REF!/Financials!#REF!</f>
        <v>#REF!</v>
      </c>
      <c r="F27" s="16" t="e">
        <f>Financials!#REF!/Financials!#REF!</f>
        <v>#REF!</v>
      </c>
      <c r="G27" s="16" t="e">
        <f>Financials!#REF!/Financials!#REF!</f>
        <v>#REF!</v>
      </c>
      <c r="H27" s="16" t="e">
        <f>Financials!#REF!/Financials!#REF!</f>
        <v>#REF!</v>
      </c>
      <c r="I27" s="16" t="e">
        <f>Financials!#REF!/Financials!#REF!</f>
        <v>#REF!</v>
      </c>
      <c r="J27" s="16" t="e">
        <f>Financials!#REF!/Financials!#REF!</f>
        <v>#REF!</v>
      </c>
      <c r="K27" s="16" t="e">
        <f>Financials!#REF!/Financials!#REF!</f>
        <v>#REF!</v>
      </c>
      <c r="L27" s="16" t="e">
        <f>Financials!#REF!/Financials!#REF!</f>
        <v>#REF!</v>
      </c>
      <c r="M27" s="16" t="e">
        <f>Financials!#REF!/Financials!#REF!</f>
        <v>#REF!</v>
      </c>
      <c r="N27" s="16" t="e">
        <f>Financials!#REF!/Financials!#REF!</f>
        <v>#REF!</v>
      </c>
      <c r="O27" s="16" t="e">
        <f>Financials!#REF!/Financials!#REF!</f>
        <v>#REF!</v>
      </c>
      <c r="P27" s="16" t="e">
        <f>Financials!#REF!/Financials!#REF!</f>
        <v>#REF!</v>
      </c>
      <c r="Q27" s="16">
        <f>Financials!D9/Financials!D5</f>
        <v>3.1553665600474116E-2</v>
      </c>
      <c r="R27" s="16">
        <f>Financials!E9/Financials!E5</f>
        <v>2.9761005903796461E-2</v>
      </c>
      <c r="S27" s="16">
        <f>Financials!F9/Financials!F5</f>
        <v>2.2354849408159259E-2</v>
      </c>
      <c r="T27" s="16">
        <f>Financials!G9/Financials!G5</f>
        <v>1.0542620991813188E-2</v>
      </c>
      <c r="U27" s="16">
        <f>Financials!H9/Financials!H5</f>
        <v>1.0753625816658353E-2</v>
      </c>
      <c r="V27" s="16">
        <f>Financials!I9/Financials!I5</f>
        <v>0</v>
      </c>
      <c r="W27" s="16">
        <f>Financials!J9/Financials!J5</f>
        <v>0</v>
      </c>
      <c r="X27" s="16">
        <f>Financials!K9/Financials!K5</f>
        <v>0</v>
      </c>
      <c r="Y27" s="16">
        <f>Financials!L9/Financials!L5</f>
        <v>0</v>
      </c>
      <c r="Z27" s="16">
        <f>Financials!M9/Financials!M5</f>
        <v>0</v>
      </c>
      <c r="AA27" s="16">
        <f>Financials!N9/Financials!N5</f>
        <v>0</v>
      </c>
      <c r="AB27" s="16">
        <f>Financials!O9/Financials!O5</f>
        <v>0</v>
      </c>
      <c r="AC27" s="16">
        <f>Financials!P9/Financials!P5</f>
        <v>0</v>
      </c>
      <c r="AD27" s="16">
        <f>Financials!Q9/Financials!Q5</f>
        <v>0</v>
      </c>
      <c r="AE27" s="16">
        <f>Financials!R9/Financials!R5</f>
        <v>0</v>
      </c>
      <c r="AF27" s="16">
        <f>Financials!S9/Financials!S5</f>
        <v>0</v>
      </c>
      <c r="AG27" s="16">
        <f>Financials!T9/Financials!T5</f>
        <v>0</v>
      </c>
      <c r="AH27" s="16">
        <f>Financials!U9/Financials!U5</f>
        <v>0</v>
      </c>
      <c r="AI27" s="16">
        <f>Financials!V9/Financials!V5</f>
        <v>0</v>
      </c>
      <c r="AJ27" s="16">
        <f>Financials!W9/Financials!W5</f>
        <v>0</v>
      </c>
      <c r="AK27" s="16" t="e">
        <f>Financials!X9/Financials!X5</f>
        <v>#DIV/0!</v>
      </c>
      <c r="AL27" s="16">
        <f>Financials!Y9/Financials!Y5</f>
        <v>0</v>
      </c>
      <c r="AM27" s="16">
        <f>Financials!Z9/Financials!Z5</f>
        <v>0</v>
      </c>
      <c r="AN27" s="16">
        <f>Financials!AA9/Financials!AA5</f>
        <v>0</v>
      </c>
      <c r="AO27" s="16">
        <f>Financials!AB9/Financials!AB5</f>
        <v>0</v>
      </c>
      <c r="AP27" s="16">
        <f>Financials!AC9/Financials!AC5</f>
        <v>0</v>
      </c>
      <c r="AQ27" s="16">
        <f>Financials!AD9/Financials!AD5</f>
        <v>0</v>
      </c>
      <c r="AR27" s="16">
        <f>Financials!AE9/Financials!AE5</f>
        <v>0</v>
      </c>
      <c r="AS27" s="16">
        <f>Financials!AF9/Financials!AF5</f>
        <v>0</v>
      </c>
      <c r="AT27" s="16">
        <f>Financials!AG9/Financials!AG5</f>
        <v>0</v>
      </c>
      <c r="AU27" s="16">
        <f>Financials!AH9/Financials!AH5</f>
        <v>0</v>
      </c>
      <c r="AV27" s="16">
        <f>Financials!AI9/Financials!AI5</f>
        <v>0</v>
      </c>
      <c r="AW27" s="16">
        <f>Financials!AJ9/Financials!AJ5</f>
        <v>0</v>
      </c>
      <c r="AX27" s="16">
        <f>Financials!AK9/Financials!AK5</f>
        <v>0</v>
      </c>
      <c r="AY27" s="16">
        <f>Financials!AL9/Financials!AL5</f>
        <v>0</v>
      </c>
      <c r="AZ27" s="16">
        <f>Financials!AM9/Financials!AM5</f>
        <v>0</v>
      </c>
      <c r="BA27" s="16">
        <f>Financials!AN9/Financials!AN5</f>
        <v>0</v>
      </c>
      <c r="BB27" s="16">
        <f>Financials!AO9/Financials!AO5</f>
        <v>0</v>
      </c>
      <c r="BC27" s="16">
        <f>Financials!AP9/Financials!AP5</f>
        <v>0</v>
      </c>
      <c r="BD27" s="16">
        <f>Financials!AQ9/Financials!AQ5</f>
        <v>0</v>
      </c>
      <c r="BE27" s="16">
        <f>Financials!AR9/Financials!AR5</f>
        <v>0</v>
      </c>
      <c r="BF27" s="16">
        <f>Financials!AS9/Financials!AS5</f>
        <v>0</v>
      </c>
      <c r="BG27" s="16">
        <f>Financials!AT9/Financials!AT5</f>
        <v>0</v>
      </c>
      <c r="BH27" s="16">
        <f>Financials!AU9/Financials!AU5</f>
        <v>0</v>
      </c>
      <c r="BI27" s="16">
        <f>Financials!AV9/Financials!AV5</f>
        <v>0</v>
      </c>
      <c r="BJ27" s="16">
        <f>Financials!AW9/Financials!AW5</f>
        <v>0</v>
      </c>
      <c r="BK27" s="16">
        <f>Financials!AX9/Financials!AX5</f>
        <v>0</v>
      </c>
      <c r="BL27" s="16">
        <f>Financials!AY9/Financials!AY5</f>
        <v>0</v>
      </c>
      <c r="BM27" s="16">
        <f>Financials!AZ9/Financials!AZ5</f>
        <v>0</v>
      </c>
      <c r="BN27" s="16">
        <f>Financials!BA9/Financials!BA5</f>
        <v>0</v>
      </c>
      <c r="BO27" s="16">
        <f>Financials!BB9/Financials!BB5</f>
        <v>0</v>
      </c>
      <c r="BP27" s="16">
        <f>Financials!BC9/Financials!BC5</f>
        <v>0</v>
      </c>
      <c r="BQ27" s="16">
        <f>Financials!BD9/Financials!BD5</f>
        <v>0</v>
      </c>
      <c r="BR27" s="16" t="e">
        <f>Financials!#REF!/Financials!#REF!</f>
        <v>#REF!</v>
      </c>
      <c r="BS27" s="16" t="e">
        <f>Financials!#REF!/Financials!#REF!</f>
        <v>#REF!</v>
      </c>
      <c r="BT27" s="16" t="e">
        <f>Financials!#REF!/Financials!#REF!</f>
        <v>#REF!</v>
      </c>
      <c r="BU27" s="16" t="e">
        <f>Financials!BE9/Financials!BE5</f>
        <v>#DIV/0!</v>
      </c>
      <c r="BV27" s="16" t="e">
        <f>Financials!BF9/Financials!BF5</f>
        <v>#DIV/0!</v>
      </c>
      <c r="BW27" s="16" t="e">
        <f>Financials!BG9/Financials!BG5</f>
        <v>#DIV/0!</v>
      </c>
      <c r="BX27" s="16" t="e">
        <f>Financials!BH9/Financials!BH5</f>
        <v>#DIV/0!</v>
      </c>
      <c r="BY27" s="16" t="e">
        <f>Financials!BI9/Financials!BI5</f>
        <v>#DIV/0!</v>
      </c>
      <c r="BZ27" s="16" t="e">
        <f>Financials!BJ9/Financials!BJ5</f>
        <v>#DIV/0!</v>
      </c>
    </row>
    <row r="28" spans="1:78" s="3" customFormat="1">
      <c r="A28" s="260"/>
      <c r="B28" s="265"/>
      <c r="C28" s="26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</row>
    <row r="29" spans="1:78" s="3" customFormat="1">
      <c r="A29" s="10" t="s">
        <v>154</v>
      </c>
      <c r="B29" s="11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</row>
    <row r="30" spans="1:78">
      <c r="A30" s="263" t="s">
        <v>9</v>
      </c>
      <c r="B30" s="19" t="s">
        <v>147</v>
      </c>
      <c r="C30" s="21"/>
      <c r="D30" s="250" t="e">
        <f>(SFP!#REF!-SFP!U27)/SFP!U27</f>
        <v>#REF!</v>
      </c>
      <c r="E30" s="250" t="e">
        <f>(SFP!#REF!-SFP!#REF!)/SFP!#REF!</f>
        <v>#REF!</v>
      </c>
      <c r="F30" s="250" t="e">
        <f>(SFP!#REF!-SFP!#REF!)/SFP!#REF!</f>
        <v>#REF!</v>
      </c>
      <c r="G30" s="250" t="e">
        <f>(SFP!#REF!-SFP!#REF!)/SFP!#REF!</f>
        <v>#REF!</v>
      </c>
      <c r="H30" s="250" t="e">
        <f>(SFP!#REF!-SFP!#REF!)/SFP!#REF!</f>
        <v>#REF!</v>
      </c>
      <c r="I30" s="250" t="e">
        <f>(SFP!#REF!-SFP!#REF!)/SFP!#REF!</f>
        <v>#REF!</v>
      </c>
      <c r="J30" s="250" t="e">
        <f>(SFP!#REF!-SFP!#REF!)/SFP!#REF!</f>
        <v>#REF!</v>
      </c>
      <c r="K30" s="250" t="e">
        <f>(SFP!#REF!-SFP!#REF!)/SFP!#REF!</f>
        <v>#REF!</v>
      </c>
      <c r="L30" s="250" t="e">
        <f>(SFP!#REF!-SFP!#REF!)/SFP!#REF!</f>
        <v>#REF!</v>
      </c>
      <c r="M30" s="250" t="e">
        <f>(SFP!#REF!-SFP!#REF!)/SFP!#REF!</f>
        <v>#REF!</v>
      </c>
      <c r="N30" s="250" t="e">
        <f>(SFP!#REF!-SFP!#REF!)/SFP!#REF!</f>
        <v>#REF!</v>
      </c>
      <c r="O30" s="250" t="e">
        <f>(SFP!#REF!-SFP!#REF!)/SFP!#REF!</f>
        <v>#REF!</v>
      </c>
      <c r="P30" s="250" t="e">
        <f>(SFP!V34-SFP!#REF!)/SFP!#REF!</f>
        <v>#REF!</v>
      </c>
      <c r="Q30" s="250">
        <f>(SFP!W34-SFP!V27)/SFP!V27</f>
        <v>-1</v>
      </c>
      <c r="R30" s="250">
        <f>(SFP!X34-SFP!W27)/SFP!W27</f>
        <v>-1</v>
      </c>
      <c r="S30" s="250">
        <f>(SFP!Y34-SFP!X27)/SFP!X27</f>
        <v>-1</v>
      </c>
      <c r="T30" s="250">
        <f>(SFP!Z34-SFP!Y27)/SFP!Y27</f>
        <v>-1</v>
      </c>
      <c r="U30" s="250">
        <f>(SFP!AA34-SFP!Z27)/SFP!Z27</f>
        <v>-1</v>
      </c>
      <c r="V30" s="250">
        <f>(SFP!AB34-SFP!AA27)/SFP!AA27</f>
        <v>-1</v>
      </c>
      <c r="W30" s="250">
        <f>(SFP!AC34-SFP!AB27)/SFP!AB27</f>
        <v>-1</v>
      </c>
      <c r="X30" s="250">
        <f>(SFP!AD34-SFP!AC27)/SFP!AC27</f>
        <v>-1</v>
      </c>
      <c r="Y30" s="250">
        <f>(SFP!AE34-SFP!AD27)/SFP!AD27</f>
        <v>-1</v>
      </c>
      <c r="Z30" s="250">
        <f>(SFP!AF34-SFP!AE27)/SFP!AE27</f>
        <v>-1</v>
      </c>
      <c r="AA30" s="250">
        <f>(SFP!AG34-SFP!AF27)/SFP!AF27</f>
        <v>-1</v>
      </c>
      <c r="AB30" s="250">
        <f>(SFP!AH34-SFP!AG27)/SFP!AG27</f>
        <v>-1</v>
      </c>
      <c r="AC30" s="250">
        <f>(SFP!AI34-SFP!AH27)/SFP!AH27</f>
        <v>-1</v>
      </c>
      <c r="AD30" s="250">
        <f>(SFP!AJ34-SFP!AI27)/SFP!AI27</f>
        <v>-1</v>
      </c>
      <c r="AE30" s="250">
        <f>(SFP!AK34-SFP!AJ27)/SFP!AJ27</f>
        <v>-1</v>
      </c>
      <c r="AF30" s="250">
        <f>(SFP!AL34-SFP!AK27)/SFP!AK27</f>
        <v>-1</v>
      </c>
      <c r="AG30" s="250">
        <f>(SFP!AM34-SFP!AL27)/SFP!AL27</f>
        <v>-1</v>
      </c>
      <c r="AH30" s="250">
        <f>(SFP!AN34-SFP!AM27)/SFP!AM27</f>
        <v>-1</v>
      </c>
      <c r="AI30" s="250">
        <f>(SFP!AO34-SFP!AN27)/SFP!AN27</f>
        <v>-1</v>
      </c>
      <c r="AJ30" s="250">
        <f>(SFP!AP34-SFP!AO27)/SFP!AO27</f>
        <v>-1</v>
      </c>
      <c r="AK30" s="250" t="e">
        <f>(SFP!AQ34-SFP!AP27)/SFP!AP27</f>
        <v>#DIV/0!</v>
      </c>
      <c r="AL30" s="250">
        <f>(SFP!AR34-SFP!AQ27)/SFP!AQ27</f>
        <v>-1</v>
      </c>
      <c r="AM30" s="250">
        <f>(SFP!AS34-SFP!AR27)/SFP!AR27</f>
        <v>-1</v>
      </c>
      <c r="AN30" s="250">
        <f>(SFP!AT34-SFP!AS27)/SFP!AS27</f>
        <v>-1</v>
      </c>
      <c r="AO30" s="250">
        <f>(SFP!AU34-SFP!AT27)/SFP!AT27</f>
        <v>-1</v>
      </c>
      <c r="AP30" s="250">
        <f>(SFP!AV34-SFP!AU27)/SFP!AU27</f>
        <v>-1</v>
      </c>
      <c r="AQ30" s="250">
        <f>(SFP!AW34-SFP!AV27)/SFP!AV27</f>
        <v>-1</v>
      </c>
      <c r="AR30" s="250">
        <f>(SFP!AX34-SFP!AW27)/SFP!AW27</f>
        <v>-1</v>
      </c>
      <c r="AS30" s="250">
        <f>(SFP!AY34-SFP!AX27)/SFP!AX27</f>
        <v>-1</v>
      </c>
      <c r="AT30" s="250">
        <f>(SFP!AZ34-SFP!AY27)/SFP!AY27</f>
        <v>-1</v>
      </c>
      <c r="AU30" s="250">
        <f>(SFP!BA34-SFP!AZ27)/SFP!AZ27</f>
        <v>-1</v>
      </c>
      <c r="AV30" s="250">
        <f>(SFP!BB34-SFP!BA27)/SFP!BA27</f>
        <v>-1</v>
      </c>
      <c r="AW30" s="250">
        <f>(SFP!BC34-SFP!BB27)/SFP!BB27</f>
        <v>-1</v>
      </c>
      <c r="AX30" s="250">
        <f>(SFP!BD34-SFP!BC27)/SFP!BC27</f>
        <v>-1</v>
      </c>
      <c r="AY30" s="250">
        <f>(SFP!BE34-SFP!BD27)/SFP!BD27</f>
        <v>-1</v>
      </c>
      <c r="AZ30" s="250">
        <f>(SFP!BF34-SFP!BE27)/SFP!BE27</f>
        <v>-1</v>
      </c>
      <c r="BA30" s="250">
        <f>(SFP!BG34-SFP!BF27)/SFP!BF27</f>
        <v>-1</v>
      </c>
      <c r="BB30" s="250">
        <f>(SFP!BH34-SFP!BG27)/SFP!BG27</f>
        <v>-1</v>
      </c>
      <c r="BC30" s="250">
        <f>(SFP!BI34-SFP!BH27)/SFP!BH27</f>
        <v>-0.99987976370259202</v>
      </c>
      <c r="BD30" s="250">
        <f>(SFP!BJ34-SFP!BI27)/SFP!BI27</f>
        <v>-1</v>
      </c>
      <c r="BE30" s="250">
        <f>(SFP!BK34-SFP!BJ27)/SFP!BJ27</f>
        <v>-1</v>
      </c>
      <c r="BF30" s="250">
        <f>(SFP!BL34-SFP!BK27)/SFP!BK27</f>
        <v>-1</v>
      </c>
      <c r="BG30" s="250">
        <f>(SFP!BM34-SFP!BL27)/SFP!BL27</f>
        <v>-1</v>
      </c>
      <c r="BH30" s="250">
        <f>(SFP!BN34-SFP!BM27)/SFP!BM27</f>
        <v>-1</v>
      </c>
      <c r="BI30" s="250">
        <f>(SFP!BO34-SFP!BN27)/SFP!BN27</f>
        <v>-1</v>
      </c>
      <c r="BJ30" s="250">
        <f>(SFP!BP34-SFP!BO27)/SFP!BO27</f>
        <v>-1</v>
      </c>
      <c r="BK30" s="250">
        <f>(SFP!BQ34-SFP!BP27)/SFP!BP27</f>
        <v>-1</v>
      </c>
      <c r="BL30" s="250">
        <f>(SFP!BR34-SFP!BQ27)/SFP!BQ27</f>
        <v>-1</v>
      </c>
      <c r="BM30" s="250">
        <f>(SFP!BS34-SFP!BR27)/SFP!BR27</f>
        <v>-1</v>
      </c>
      <c r="BN30" s="250">
        <f>(SFP!BT34-SFP!BS27)/SFP!BS27</f>
        <v>-1</v>
      </c>
      <c r="BO30" s="250">
        <f>(SFP!BU34-SFP!BT27)/SFP!BT27</f>
        <v>-1</v>
      </c>
      <c r="BP30" s="250">
        <f>(SFP!BV34-SFP!BU27)/SFP!BU27</f>
        <v>-1</v>
      </c>
      <c r="BQ30" s="250">
        <f>(SFP!BW34-SFP!BV27)/SFP!BV27</f>
        <v>-1</v>
      </c>
      <c r="BR30" s="250" t="e">
        <f>(SFP!BX34-SFP!BW27)/SFP!BW27</f>
        <v>#DIV/0!</v>
      </c>
      <c r="BS30" s="250" t="e">
        <f>(SFP!BY34-SFP!BX27)/SFP!BX27</f>
        <v>#DIV/0!</v>
      </c>
      <c r="BT30" s="250" t="e">
        <f>(SFP!BZ34-SFP!BY27)/SFP!BY27</f>
        <v>#DIV/0!</v>
      </c>
      <c r="BU30" s="250" t="e">
        <f>(SFP!CA34-SFP!BZ27)/SFP!BZ27</f>
        <v>#DIV/0!</v>
      </c>
      <c r="BV30" s="250" t="e">
        <f>(SFP!CB34-SFP!CA27)/SFP!CA27</f>
        <v>#DIV/0!</v>
      </c>
      <c r="BW30" s="250" t="e">
        <f>(SFP!CC34-SFP!CB27)/SFP!CB27</f>
        <v>#DIV/0!</v>
      </c>
      <c r="BX30" s="250" t="e">
        <f>(SFP!CD34-SFP!CC27)/SFP!CC27</f>
        <v>#DIV/0!</v>
      </c>
      <c r="BY30" s="250" t="e">
        <f>(SFP!CE34-SFP!CD27)/SFP!CD27</f>
        <v>#DIV/0!</v>
      </c>
      <c r="BZ30" s="250" t="e">
        <f>(SFP!CF34-SFP!CE27)/SFP!CE27</f>
        <v>#DIV/0!</v>
      </c>
    </row>
    <row r="31" spans="1:78">
      <c r="A31" s="263" t="s">
        <v>10</v>
      </c>
      <c r="B31" s="19" t="s">
        <v>147</v>
      </c>
      <c r="C31" s="21"/>
      <c r="D31" s="250" t="e">
        <f>(SFP!#REF!-SFP!U32)/SFP!U32</f>
        <v>#REF!</v>
      </c>
      <c r="E31" s="250" t="e">
        <f>(SFP!#REF!-SFP!#REF!)/SFP!#REF!</f>
        <v>#REF!</v>
      </c>
      <c r="F31" s="250" t="e">
        <f>(SFP!#REF!-SFP!#REF!)/SFP!#REF!</f>
        <v>#REF!</v>
      </c>
      <c r="G31" s="250" t="e">
        <f>(SFP!#REF!-SFP!#REF!)/SFP!#REF!</f>
        <v>#REF!</v>
      </c>
      <c r="H31" s="250" t="e">
        <f>(SFP!#REF!-SFP!#REF!)/SFP!#REF!</f>
        <v>#REF!</v>
      </c>
      <c r="I31" s="250" t="e">
        <f>(SFP!#REF!-SFP!#REF!)/SFP!#REF!</f>
        <v>#REF!</v>
      </c>
      <c r="J31" s="250" t="e">
        <f>(SFP!#REF!-SFP!#REF!)/SFP!#REF!</f>
        <v>#REF!</v>
      </c>
      <c r="K31" s="250" t="e">
        <f>(SFP!#REF!-SFP!#REF!)/SFP!#REF!</f>
        <v>#REF!</v>
      </c>
      <c r="L31" s="250" t="e">
        <f>(SFP!#REF!-SFP!#REF!)/SFP!#REF!</f>
        <v>#REF!</v>
      </c>
      <c r="M31" s="250" t="e">
        <f>(SFP!#REF!-SFP!#REF!)/SFP!#REF!</f>
        <v>#REF!</v>
      </c>
      <c r="N31" s="250" t="e">
        <f>(SFP!#REF!-SFP!#REF!)/SFP!#REF!</f>
        <v>#REF!</v>
      </c>
      <c r="O31" s="250" t="e">
        <f>(SFP!#REF!-SFP!#REF!)/SFP!#REF!</f>
        <v>#REF!</v>
      </c>
      <c r="P31" s="250" t="e">
        <f>(SFP!V44-SFP!#REF!)/SFP!#REF!</f>
        <v>#REF!</v>
      </c>
      <c r="Q31" s="250">
        <f>(SFP!W44-SFP!V32)/SFP!V32</f>
        <v>-0.71108536409453893</v>
      </c>
      <c r="R31" s="250">
        <f>(SFP!X44-SFP!W32)/SFP!W32</f>
        <v>-0.71731628519935697</v>
      </c>
      <c r="S31" s="250">
        <f>(SFP!Y44-SFP!X32)/SFP!X32</f>
        <v>-0.71775522785166668</v>
      </c>
      <c r="T31" s="250">
        <f>(SFP!Z44-SFP!Y32)/SFP!Y32</f>
        <v>-0.71968157436282454</v>
      </c>
      <c r="U31" s="250">
        <f>(SFP!AA44-SFP!Z32)/SFP!Z32</f>
        <v>-0.71197438679248948</v>
      </c>
      <c r="V31" s="250">
        <f>(SFP!AB44-SFP!AA32)/SFP!AA32</f>
        <v>-0.70073346026355565</v>
      </c>
      <c r="W31" s="250">
        <f>(SFP!AC44-SFP!AB32)/SFP!AB32</f>
        <v>-0.70261148206415547</v>
      </c>
      <c r="X31" s="250">
        <f>(SFP!AD44-SFP!AC32)/SFP!AC32</f>
        <v>-0.692490426754932</v>
      </c>
      <c r="Y31" s="250">
        <f>(SFP!AE44-SFP!AD32)/SFP!AD32</f>
        <v>-0.70416871842820439</v>
      </c>
      <c r="Z31" s="250">
        <f>(SFP!AF44-SFP!AE32)/SFP!AE32</f>
        <v>-0.70316095035946979</v>
      </c>
      <c r="AA31" s="250">
        <f>(SFP!AG44-SFP!AF32)/SFP!AF32</f>
        <v>-0.70448522325344332</v>
      </c>
      <c r="AB31" s="250">
        <f>(SFP!AH44-SFP!AG32)/SFP!AG32</f>
        <v>-0.69302006626117607</v>
      </c>
      <c r="AC31" s="250">
        <f>(SFP!AI44-SFP!AH32)/SFP!AH32</f>
        <v>-0.68287343518392485</v>
      </c>
      <c r="AD31" s="250">
        <f>(SFP!AJ44-SFP!AI32)/SFP!AI32</f>
        <v>-0.68027640887861041</v>
      </c>
      <c r="AE31" s="250">
        <f>(SFP!AK44-SFP!AJ32)/SFP!AJ32</f>
        <v>-0.66749630762975753</v>
      </c>
      <c r="AF31" s="250">
        <f>(SFP!AL44-SFP!AK32)/SFP!AK32</f>
        <v>-0.67123509299871298</v>
      </c>
      <c r="AG31" s="250">
        <f>(SFP!AM44-SFP!AL32)/SFP!AL32</f>
        <v>-0.69100966979814171</v>
      </c>
      <c r="AH31" s="250">
        <f>(SFP!AN44-SFP!AM32)/SFP!AM32</f>
        <v>-0.68932652741587741</v>
      </c>
      <c r="AI31" s="250">
        <f>(SFP!AO44-SFP!AN32)/SFP!AN32</f>
        <v>-0.68774958626423421</v>
      </c>
      <c r="AJ31" s="250">
        <f>(SFP!AP44-SFP!AO32)/SFP!AO32</f>
        <v>-1</v>
      </c>
      <c r="AK31" s="250" t="e">
        <f>(SFP!AQ44-SFP!AP32)/SFP!AP32</f>
        <v>#DIV/0!</v>
      </c>
      <c r="AL31" s="250">
        <f>(SFP!AR44-SFP!AQ32)/SFP!AQ32</f>
        <v>-0.70814717396785254</v>
      </c>
      <c r="AM31" s="250">
        <f>(SFP!AS44-SFP!AR32)/SFP!AR32</f>
        <v>-0.69453032212851995</v>
      </c>
      <c r="AN31" s="250">
        <f>(SFP!AT44-SFP!AS32)/SFP!AS32</f>
        <v>-0.6848411169139037</v>
      </c>
      <c r="AO31" s="250">
        <f>(SFP!AU44-SFP!AT32)/SFP!AT32</f>
        <v>-0.68935151316361598</v>
      </c>
      <c r="AP31" s="250">
        <f>(SFP!AV44-SFP!AU32)/SFP!AU32</f>
        <v>-0.99968874931197593</v>
      </c>
      <c r="AQ31" s="250">
        <f>(SFP!AW44-SFP!AV32)/SFP!AV32</f>
        <v>308.76053367244447</v>
      </c>
      <c r="AR31" s="250">
        <f>(SFP!AX44-SFP!AW32)/SFP!AW32</f>
        <v>-0.68333065642485835</v>
      </c>
      <c r="AS31" s="250">
        <f>(SFP!AY44-SFP!AX32)/SFP!AX32</f>
        <v>-0.69957389321646346</v>
      </c>
      <c r="AT31" s="250">
        <f>(SFP!AZ44-SFP!AY32)/SFP!AY32</f>
        <v>-0.68239013997695097</v>
      </c>
      <c r="AU31" s="250">
        <f>(SFP!BA44-SFP!AZ32)/SFP!AZ32</f>
        <v>-0.66542326279711128</v>
      </c>
      <c r="AV31" s="250">
        <f>(SFP!BB44-SFP!BA32)/SFP!BA32</f>
        <v>-0.66890888365824985</v>
      </c>
      <c r="AW31" s="250">
        <f>(SFP!BC44-SFP!BB32)/SFP!BB32</f>
        <v>-0.67159069064263299</v>
      </c>
      <c r="AX31" s="250">
        <f>(SFP!BD44-SFP!BC32)/SFP!BC32</f>
        <v>-0.68289448213049397</v>
      </c>
      <c r="AY31" s="250">
        <f>(SFP!BE44-SFP!BD32)/SFP!BD32</f>
        <v>-0.6784534202564011</v>
      </c>
      <c r="AZ31" s="250">
        <f>(SFP!BF44-SFP!BE32)/SFP!BE32</f>
        <v>-0.67799802569138035</v>
      </c>
      <c r="BA31" s="250">
        <f>(SFP!BG44-SFP!BF32)/SFP!BF32</f>
        <v>-0.6774196497905578</v>
      </c>
      <c r="BB31" s="250">
        <f>(SFP!BH44-SFP!BG32)/SFP!BG32</f>
        <v>-0.70193845560679469</v>
      </c>
      <c r="BC31" s="250">
        <f>(SFP!BI44-SFP!BH32)/SFP!BH32</f>
        <v>-0.69653137330168757</v>
      </c>
      <c r="BD31" s="250">
        <f>(SFP!BJ44-SFP!BI32)/SFP!BI32</f>
        <v>-0.6959507269579992</v>
      </c>
      <c r="BE31" s="250">
        <f>(SFP!BK44-SFP!BJ32)/SFP!BJ32</f>
        <v>-0.68650015677807197</v>
      </c>
      <c r="BF31" s="250">
        <f>(SFP!BL44-SFP!BK32)/SFP!BK32</f>
        <v>-0.7165505403774266</v>
      </c>
      <c r="BG31" s="250">
        <f>(SFP!BM44-SFP!BL32)/SFP!BL32</f>
        <v>-0.71728239212361777</v>
      </c>
      <c r="BH31" s="250">
        <f>(SFP!BN44-SFP!BM32)/SFP!BM32</f>
        <v>-0.70391188762437162</v>
      </c>
      <c r="BI31" s="250">
        <f>(SFP!BO44-SFP!BN32)/SFP!BN32</f>
        <v>-0.70112946529674292</v>
      </c>
      <c r="BJ31" s="250">
        <f>(SFP!BP44-SFP!BO32)/SFP!BO32</f>
        <v>-0.69719618833227259</v>
      </c>
      <c r="BK31" s="250">
        <f>(SFP!BQ44-SFP!BP32)/SFP!BP32</f>
        <v>-0.69869132002140388</v>
      </c>
      <c r="BL31" s="250">
        <f>(SFP!BR44-SFP!BQ32)/SFP!BQ32</f>
        <v>-0.6744950636497502</v>
      </c>
      <c r="BM31" s="250">
        <f>(SFP!BS44-SFP!BR32)/SFP!BR32</f>
        <v>-0.67423198855981548</v>
      </c>
      <c r="BN31" s="250">
        <f>(SFP!BT44-SFP!BS32)/SFP!BS32</f>
        <v>-0.67109482123031439</v>
      </c>
      <c r="BO31" s="250">
        <f>(SFP!BU44-SFP!BT32)/SFP!BT32</f>
        <v>-0.66526214328255273</v>
      </c>
      <c r="BP31" s="250">
        <f>(SFP!BV44-SFP!BU32)/SFP!BU32</f>
        <v>-0.71968949227807233</v>
      </c>
      <c r="BQ31" s="250">
        <f>(SFP!BW44-SFP!BV32)/SFP!BV32</f>
        <v>-1</v>
      </c>
      <c r="BR31" s="250" t="e">
        <f>(SFP!BX44-SFP!BW32)/SFP!BW32</f>
        <v>#DIV/0!</v>
      </c>
      <c r="BS31" s="250" t="e">
        <f>(SFP!BY44-SFP!BX32)/SFP!BX32</f>
        <v>#DIV/0!</v>
      </c>
      <c r="BT31" s="250" t="e">
        <f>(SFP!BZ44-SFP!BY32)/SFP!BY32</f>
        <v>#DIV/0!</v>
      </c>
      <c r="BU31" s="250" t="e">
        <f>(SFP!CA44-SFP!BZ32)/SFP!BZ32</f>
        <v>#DIV/0!</v>
      </c>
      <c r="BV31" s="250" t="e">
        <f>(SFP!CB44-SFP!CA32)/SFP!CA32</f>
        <v>#DIV/0!</v>
      </c>
      <c r="BW31" s="250" t="e">
        <f>(SFP!CC44-SFP!CB32)/SFP!CB32</f>
        <v>#DIV/0!</v>
      </c>
      <c r="BX31" s="250" t="e">
        <f>(SFP!CD44-SFP!CC32)/SFP!CC32</f>
        <v>#DIV/0!</v>
      </c>
      <c r="BY31" s="250" t="e">
        <f>(SFP!CE44-SFP!CD32)/SFP!CD32</f>
        <v>#DIV/0!</v>
      </c>
      <c r="BZ31" s="250" t="e">
        <f>(SFP!CF44-SFP!CE32)/SFP!CE32</f>
        <v>#DIV/0!</v>
      </c>
    </row>
    <row r="32" spans="1:78">
      <c r="A32" s="27" t="s">
        <v>155</v>
      </c>
      <c r="B32" s="19" t="s">
        <v>147</v>
      </c>
      <c r="C32" s="21"/>
      <c r="D32" s="250" t="e">
        <f>(SFP!#REF!-SFP!U29)/SFP!U29</f>
        <v>#REF!</v>
      </c>
      <c r="E32" s="250" t="e">
        <f>(SFP!#REF!-SFP!#REF!)/SFP!#REF!</f>
        <v>#REF!</v>
      </c>
      <c r="F32" s="250" t="e">
        <f>(SFP!#REF!-SFP!#REF!)/SFP!#REF!</f>
        <v>#REF!</v>
      </c>
      <c r="G32" s="250" t="e">
        <f>(SFP!#REF!-SFP!#REF!)/SFP!#REF!</f>
        <v>#REF!</v>
      </c>
      <c r="H32" s="250" t="e">
        <f>(SFP!#REF!-SFP!#REF!)/SFP!#REF!</f>
        <v>#REF!</v>
      </c>
      <c r="I32" s="250" t="e">
        <f>(SFP!#REF!-SFP!#REF!)/SFP!#REF!</f>
        <v>#REF!</v>
      </c>
      <c r="J32" s="250" t="e">
        <f>(SFP!#REF!-SFP!#REF!)/SFP!#REF!</f>
        <v>#REF!</v>
      </c>
      <c r="K32" s="250" t="e">
        <f>(SFP!#REF!-SFP!#REF!)/SFP!#REF!</f>
        <v>#REF!</v>
      </c>
      <c r="L32" s="250" t="e">
        <f>(SFP!#REF!-SFP!#REF!)/SFP!#REF!</f>
        <v>#REF!</v>
      </c>
      <c r="M32" s="250" t="e">
        <f>(SFP!#REF!-SFP!#REF!)/SFP!#REF!</f>
        <v>#REF!</v>
      </c>
      <c r="N32" s="250" t="e">
        <f>(SFP!#REF!-SFP!#REF!)/SFP!#REF!</f>
        <v>#REF!</v>
      </c>
      <c r="O32" s="250" t="e">
        <f>(SFP!#REF!-SFP!#REF!)/SFP!#REF!</f>
        <v>#REF!</v>
      </c>
      <c r="P32" s="250" t="e">
        <f>(SFP!V39-SFP!#REF!)/SFP!#REF!</f>
        <v>#REF!</v>
      </c>
      <c r="Q32" s="250">
        <f>(SFP!W39-SFP!V29)/SFP!V29</f>
        <v>-0.25574366222027373</v>
      </c>
      <c r="R32" s="250">
        <f>(SFP!X39-SFP!W29)/SFP!W29</f>
        <v>-0.52378904727857456</v>
      </c>
      <c r="S32" s="250">
        <f>(SFP!Y39-SFP!X29)/SFP!X29</f>
        <v>-0.78147728862907651</v>
      </c>
      <c r="T32" s="250">
        <f>(SFP!Z39-SFP!Y29)/SFP!Y29</f>
        <v>-0.81284789315866368</v>
      </c>
      <c r="U32" s="250">
        <f>(SFP!AA39-SFP!Z29)/SFP!Z29</f>
        <v>-1</v>
      </c>
      <c r="V32" s="250">
        <f>(SFP!AB39-SFP!AA29)/SFP!AA29</f>
        <v>-1</v>
      </c>
      <c r="W32" s="250">
        <f>(SFP!AC39-SFP!AB29)/SFP!AB29</f>
        <v>-1</v>
      </c>
      <c r="X32" s="250">
        <f>(SFP!AD39-SFP!AC29)/SFP!AC29</f>
        <v>-1</v>
      </c>
      <c r="Y32" s="250">
        <f>(SFP!AE39-SFP!AD29)/SFP!AD29</f>
        <v>-1</v>
      </c>
      <c r="Z32" s="250">
        <f>(SFP!AF39-SFP!AE29)/SFP!AE29</f>
        <v>-1</v>
      </c>
      <c r="AA32" s="250">
        <f>(SFP!AG39-SFP!AF29)/SFP!AF29</f>
        <v>-1</v>
      </c>
      <c r="AB32" s="250">
        <f>(SFP!AH39-SFP!AG29)/SFP!AG29</f>
        <v>-1</v>
      </c>
      <c r="AC32" s="250">
        <f>(SFP!AI39-SFP!AH29)/SFP!AH29</f>
        <v>-1</v>
      </c>
      <c r="AD32" s="250">
        <f>(SFP!AJ39-SFP!AI29)/SFP!AI29</f>
        <v>-1</v>
      </c>
      <c r="AE32" s="250">
        <f>(SFP!AK39-SFP!AJ29)/SFP!AJ29</f>
        <v>-1</v>
      </c>
      <c r="AF32" s="250">
        <f>(SFP!AL39-SFP!AK29)/SFP!AK29</f>
        <v>-1</v>
      </c>
      <c r="AG32" s="250">
        <f>(SFP!AM39-SFP!AL29)/SFP!AL29</f>
        <v>-1</v>
      </c>
      <c r="AH32" s="250">
        <f>(SFP!AN39-SFP!AM29)/SFP!AM29</f>
        <v>-1</v>
      </c>
      <c r="AI32" s="250">
        <f>(SFP!AO39-SFP!AN29)/SFP!AN29</f>
        <v>-1</v>
      </c>
      <c r="AJ32" s="250">
        <f>(SFP!AP39-SFP!AO29)/SFP!AO29</f>
        <v>-1</v>
      </c>
      <c r="AK32" s="250" t="e">
        <f>(SFP!AQ39-SFP!AP29)/SFP!AP29</f>
        <v>#DIV/0!</v>
      </c>
      <c r="AL32" s="250">
        <f>(SFP!AR39-SFP!AQ29)/SFP!AQ29</f>
        <v>-1</v>
      </c>
      <c r="AM32" s="250">
        <f>(SFP!AS39-SFP!AR29)/SFP!AR29</f>
        <v>-1</v>
      </c>
      <c r="AN32" s="250">
        <f>(SFP!AT39-SFP!AS29)/SFP!AS29</f>
        <v>-1</v>
      </c>
      <c r="AO32" s="250">
        <f>(SFP!AU39-SFP!AT29)/SFP!AT29</f>
        <v>-1</v>
      </c>
      <c r="AP32" s="250">
        <f>(SFP!AV39-SFP!AU29)/SFP!AU29</f>
        <v>-1</v>
      </c>
      <c r="AQ32" s="250">
        <f>(SFP!AW39-SFP!AV29)/SFP!AV29</f>
        <v>-1</v>
      </c>
      <c r="AR32" s="250">
        <f>(SFP!AX39-SFP!AW29)/SFP!AW29</f>
        <v>-1</v>
      </c>
      <c r="AS32" s="250">
        <f>(SFP!AY39-SFP!AX29)/SFP!AX29</f>
        <v>-1</v>
      </c>
      <c r="AT32" s="250">
        <f>(SFP!AZ39-SFP!AY29)/SFP!AY29</f>
        <v>-1</v>
      </c>
      <c r="AU32" s="250">
        <f>(SFP!BA39-SFP!AZ29)/SFP!AZ29</f>
        <v>-1</v>
      </c>
      <c r="AV32" s="250">
        <f>(SFP!BB39-SFP!BA29)/SFP!BA29</f>
        <v>-1</v>
      </c>
      <c r="AW32" s="250">
        <f>(SFP!BC39-SFP!BB29)/SFP!BB29</f>
        <v>-1</v>
      </c>
      <c r="AX32" s="250">
        <f>(SFP!BD39-SFP!BC29)/SFP!BC29</f>
        <v>-1</v>
      </c>
      <c r="AY32" s="250">
        <f>(SFP!BE39-SFP!BD29)/SFP!BD29</f>
        <v>-1</v>
      </c>
      <c r="AZ32" s="250">
        <f>(SFP!BF39-SFP!BE29)/SFP!BE29</f>
        <v>-1</v>
      </c>
      <c r="BA32" s="250">
        <f>(SFP!BG39-SFP!BF29)/SFP!BF29</f>
        <v>-1</v>
      </c>
      <c r="BB32" s="250">
        <f>(SFP!BH39-SFP!BG29)/SFP!BG29</f>
        <v>-1</v>
      </c>
      <c r="BC32" s="250">
        <f>(SFP!BI39-SFP!BH29)/SFP!BH29</f>
        <v>-1</v>
      </c>
      <c r="BD32" s="250">
        <f>(SFP!BJ39-SFP!BI29)/SFP!BI29</f>
        <v>-1</v>
      </c>
      <c r="BE32" s="250">
        <f>(SFP!BK39-SFP!BJ29)/SFP!BJ29</f>
        <v>-1</v>
      </c>
      <c r="BF32" s="250">
        <f>(SFP!BL39-SFP!BK29)/SFP!BK29</f>
        <v>-1</v>
      </c>
      <c r="BG32" s="250">
        <f>(SFP!BM39-SFP!BL29)/SFP!BL29</f>
        <v>-1</v>
      </c>
      <c r="BH32" s="250">
        <f>(SFP!BN39-SFP!BM29)/SFP!BM29</f>
        <v>-1</v>
      </c>
      <c r="BI32" s="250">
        <f>(SFP!BO39-SFP!BN29)/SFP!BN29</f>
        <v>-1</v>
      </c>
      <c r="BJ32" s="250">
        <f>(SFP!BP39-SFP!BO29)/SFP!BO29</f>
        <v>-1</v>
      </c>
      <c r="BK32" s="250">
        <f>(SFP!BQ39-SFP!BP29)/SFP!BP29</f>
        <v>-1</v>
      </c>
      <c r="BL32" s="250">
        <f>(SFP!BR39-SFP!BQ29)/SFP!BQ29</f>
        <v>-1</v>
      </c>
      <c r="BM32" s="250">
        <f>(SFP!BS39-SFP!BR29)/SFP!BR29</f>
        <v>-1</v>
      </c>
      <c r="BN32" s="250">
        <f>(SFP!BT39-SFP!BS29)/SFP!BS29</f>
        <v>-1</v>
      </c>
      <c r="BO32" s="250">
        <f>(SFP!BU39-SFP!BT29)/SFP!BT29</f>
        <v>-1</v>
      </c>
      <c r="BP32" s="250">
        <f>(SFP!BV39-SFP!BU29)/SFP!BU29</f>
        <v>-1</v>
      </c>
      <c r="BQ32" s="250">
        <f>(SFP!BW39-SFP!BV29)/SFP!BV29</f>
        <v>-1</v>
      </c>
      <c r="BR32" s="250" t="e">
        <f>(SFP!BX39-SFP!BW29)/SFP!BW29</f>
        <v>#DIV/0!</v>
      </c>
      <c r="BS32" s="250" t="e">
        <f>(SFP!BY39-SFP!BX29)/SFP!BX29</f>
        <v>#DIV/0!</v>
      </c>
      <c r="BT32" s="250" t="e">
        <f>(SFP!BZ39-SFP!BY29)/SFP!BY29</f>
        <v>#DIV/0!</v>
      </c>
      <c r="BU32" s="250" t="e">
        <f>(SFP!CA39-SFP!BZ29)/SFP!BZ29</f>
        <v>#DIV/0!</v>
      </c>
      <c r="BV32" s="250" t="e">
        <f>(SFP!CB39-SFP!CA29)/SFP!CA29</f>
        <v>#DIV/0!</v>
      </c>
      <c r="BW32" s="250" t="e">
        <f>(SFP!CC39-SFP!CB29)/SFP!CB29</f>
        <v>#DIV/0!</v>
      </c>
      <c r="BX32" s="250" t="e">
        <f>(SFP!CD39-SFP!CC29)/SFP!CC29</f>
        <v>#DIV/0!</v>
      </c>
      <c r="BY32" s="250" t="e">
        <f>(SFP!CE39-SFP!CD29)/SFP!CD29</f>
        <v>#DIV/0!</v>
      </c>
      <c r="BZ32" s="250" t="e">
        <f>(SFP!CF39-SFP!CE29)/SFP!CE29</f>
        <v>#DIV/0!</v>
      </c>
    </row>
    <row r="33" spans="1:78">
      <c r="A33" s="27" t="s">
        <v>156</v>
      </c>
      <c r="B33" s="19" t="s">
        <v>147</v>
      </c>
      <c r="C33" s="21"/>
      <c r="D33" s="250" t="e">
        <f>(SFP!#REF!-SFP!U31)/SFP!U31</f>
        <v>#REF!</v>
      </c>
      <c r="E33" s="250" t="e">
        <f>(SFP!#REF!-SFP!#REF!)/SFP!#REF!</f>
        <v>#REF!</v>
      </c>
      <c r="F33" s="250" t="e">
        <f>(SFP!#REF!-SFP!#REF!)/SFP!#REF!</f>
        <v>#REF!</v>
      </c>
      <c r="G33" s="250" t="e">
        <f>(SFP!#REF!-SFP!#REF!)/SFP!#REF!</f>
        <v>#REF!</v>
      </c>
      <c r="H33" s="250" t="e">
        <f>(SFP!#REF!-SFP!#REF!)/SFP!#REF!</f>
        <v>#REF!</v>
      </c>
      <c r="I33" s="250" t="e">
        <f>(SFP!#REF!-SFP!#REF!)/SFP!#REF!</f>
        <v>#REF!</v>
      </c>
      <c r="J33" s="250" t="e">
        <f>(SFP!#REF!-SFP!#REF!)/SFP!#REF!</f>
        <v>#REF!</v>
      </c>
      <c r="K33" s="250" t="e">
        <f>(SFP!#REF!-SFP!#REF!)/SFP!#REF!</f>
        <v>#REF!</v>
      </c>
      <c r="L33" s="250" t="e">
        <f>(SFP!#REF!-SFP!#REF!)/SFP!#REF!</f>
        <v>#REF!</v>
      </c>
      <c r="M33" s="250" t="e">
        <f>(SFP!#REF!-SFP!#REF!)/SFP!#REF!</f>
        <v>#REF!</v>
      </c>
      <c r="N33" s="250" t="e">
        <f>(SFP!#REF!-SFP!#REF!)/SFP!#REF!</f>
        <v>#REF!</v>
      </c>
      <c r="O33" s="250" t="e">
        <f>(SFP!#REF!-SFP!#REF!)/SFP!#REF!</f>
        <v>#REF!</v>
      </c>
      <c r="P33" s="250" t="e">
        <f>(SFP!V42-SFP!#REF!)/SFP!#REF!</f>
        <v>#REF!</v>
      </c>
      <c r="Q33" s="250">
        <f>(SFP!W42-SFP!V31)/SFP!V31</f>
        <v>-0.84916869647148352</v>
      </c>
      <c r="R33" s="250">
        <f>(SFP!X42-SFP!W31)/SFP!W31</f>
        <v>-0.84688921181895904</v>
      </c>
      <c r="S33" s="250">
        <f>(SFP!Y42-SFP!X31)/SFP!X31</f>
        <v>-0.84688960774487287</v>
      </c>
      <c r="T33" s="250">
        <f>(SFP!Z42-SFP!Y31)/SFP!Y31</f>
        <v>-0.84518058639429006</v>
      </c>
      <c r="U33" s="250">
        <f>(SFP!AA42-SFP!Z31)/SFP!Z31</f>
        <v>-0.84567630512477077</v>
      </c>
      <c r="V33" s="250">
        <f>(SFP!AB42-SFP!AA31)/SFP!AA31</f>
        <v>-0.84548425049629727</v>
      </c>
      <c r="W33" s="250">
        <f>(SFP!AC42-SFP!AB31)/SFP!AB31</f>
        <v>-0.84640391593080466</v>
      </c>
      <c r="X33" s="250">
        <f>(SFP!AD42-SFP!AC31)/SFP!AC31</f>
        <v>-0.82944918703766302</v>
      </c>
      <c r="Y33" s="250">
        <f>(SFP!AE42-SFP!AD31)/SFP!AD31</f>
        <v>-0.82728626893578683</v>
      </c>
      <c r="Z33" s="250">
        <f>(SFP!AF42-SFP!AE31)/SFP!AE31</f>
        <v>-0.82722841083229059</v>
      </c>
      <c r="AA33" s="250">
        <f>(SFP!AG42-SFP!AF31)/SFP!AF31</f>
        <v>-0.82797706979891306</v>
      </c>
      <c r="AB33" s="250">
        <f>(SFP!AH42-SFP!AG31)/SFP!AG31</f>
        <v>-0.82679318274870672</v>
      </c>
      <c r="AC33" s="250">
        <f>(SFP!AI42-SFP!AH31)/SFP!AH31</f>
        <v>-0.82857166861678366</v>
      </c>
      <c r="AD33" s="250">
        <f>(SFP!AJ42-SFP!AI31)/SFP!AI31</f>
        <v>-0.81150137689715951</v>
      </c>
      <c r="AE33" s="250">
        <f>(SFP!AK42-SFP!AJ31)/SFP!AJ31</f>
        <v>-0.80790616805373727</v>
      </c>
      <c r="AF33" s="250">
        <f>(SFP!AL42-SFP!AK31)/SFP!AK31</f>
        <v>-0.80711405813550596</v>
      </c>
      <c r="AG33" s="250">
        <f>(SFP!AM42-SFP!AL31)/SFP!AL31</f>
        <v>-0.80800740471143306</v>
      </c>
      <c r="AH33" s="250">
        <f>(SFP!AN42-SFP!AM31)/SFP!AM31</f>
        <v>-0.80932171223973759</v>
      </c>
      <c r="AI33" s="250">
        <f>(SFP!AO42-SFP!AN31)/SFP!AN31</f>
        <v>-0.81042479963239411</v>
      </c>
      <c r="AJ33" s="250">
        <f>(SFP!AP42-SFP!AO31)/SFP!AO31</f>
        <v>-1</v>
      </c>
      <c r="AK33" s="250" t="e">
        <f>(SFP!AQ42-SFP!AP31)/SFP!AP31</f>
        <v>#DIV/0!</v>
      </c>
      <c r="AL33" s="250">
        <f>(SFP!AR42-SFP!AQ31)/SFP!AQ31</f>
        <v>-0.81110492961856007</v>
      </c>
      <c r="AM33" s="250">
        <f>(SFP!AS42-SFP!AR31)/SFP!AR31</f>
        <v>-0.81110786710918414</v>
      </c>
      <c r="AN33" s="250">
        <f>(SFP!AT42-SFP!AS31)/SFP!AS31</f>
        <v>-0.81132965128472623</v>
      </c>
      <c r="AO33" s="250">
        <f>(SFP!AU42-SFP!AT31)/SFP!AT31</f>
        <v>-0.81148231398140613</v>
      </c>
      <c r="AP33" s="250">
        <f>(SFP!AV42-SFP!AU31)/SFP!AU31</f>
        <v>-0.99981163998522327</v>
      </c>
      <c r="AQ33" s="250">
        <f>(SFP!AW42-SFP!AV31)/SFP!AV31</f>
        <v>188.35056879231698</v>
      </c>
      <c r="AR33" s="250">
        <f>(SFP!AX42-SFP!AW31)/SFP!AW31</f>
        <v>-0.79323827334611674</v>
      </c>
      <c r="AS33" s="250">
        <f>(SFP!AY42-SFP!AX31)/SFP!AX31</f>
        <v>-0.78833046715569965</v>
      </c>
      <c r="AT33" s="250">
        <f>(SFP!AZ42-SFP!AY31)/SFP!AY31</f>
        <v>-0.78819761597146354</v>
      </c>
      <c r="AU33" s="250">
        <f>(SFP!BA42-SFP!AZ31)/SFP!AZ31</f>
        <v>-0.78775116713983706</v>
      </c>
      <c r="AV33" s="250">
        <f>(SFP!BB42-SFP!BA31)/SFP!BA31</f>
        <v>-0.78856071093307889</v>
      </c>
      <c r="AW33" s="250">
        <f>(SFP!BC42-SFP!BB31)/SFP!BB31</f>
        <v>-0.78866270736314503</v>
      </c>
      <c r="AX33" s="250">
        <f>(SFP!BD42-SFP!BC31)/SFP!BC31</f>
        <v>-0.7878043424439598</v>
      </c>
      <c r="AY33" s="250">
        <f>(SFP!BE42-SFP!BD31)/SFP!BD31</f>
        <v>-0.78748007855797653</v>
      </c>
      <c r="AZ33" s="250">
        <f>(SFP!BF42-SFP!BE31)/SFP!BE31</f>
        <v>-0.78826440885278792</v>
      </c>
      <c r="BA33" s="250">
        <f>(SFP!BG42-SFP!BF31)/SFP!BF31</f>
        <v>-0.78888699832260178</v>
      </c>
      <c r="BB33" s="250">
        <f>(SFP!BH42-SFP!BG31)/SFP!BG31</f>
        <v>-0.78971972245552147</v>
      </c>
      <c r="BC33" s="250">
        <f>(SFP!BI42-SFP!BH31)/SFP!BH31</f>
        <v>-0.79085001698086599</v>
      </c>
      <c r="BD33" s="250">
        <f>(SFP!BJ42-SFP!BI31)/SFP!BI31</f>
        <v>-0.77460717663001188</v>
      </c>
      <c r="BE33" s="250">
        <f>(SFP!BK42-SFP!BJ31)/SFP!BJ31</f>
        <v>-0.77189519932816353</v>
      </c>
      <c r="BF33" s="250">
        <f>(SFP!BL42-SFP!BK31)/SFP!BK31</f>
        <v>-0.77258697672089327</v>
      </c>
      <c r="BG33" s="250">
        <f>(SFP!BM42-SFP!BL31)/SFP!BL31</f>
        <v>-0.77346437042336347</v>
      </c>
      <c r="BH33" s="250">
        <f>(SFP!BN42-SFP!BM31)/SFP!BM31</f>
        <v>-0.77420827921022151</v>
      </c>
      <c r="BI33" s="250">
        <f>(SFP!BO42-SFP!BN31)/SFP!BN31</f>
        <v>-0.77561913215323453</v>
      </c>
      <c r="BJ33" s="250">
        <f>(SFP!BP42-SFP!BO31)/SFP!BO31</f>
        <v>-0.77604650138688724</v>
      </c>
      <c r="BK33" s="250">
        <f>(SFP!BQ42-SFP!BP31)/SFP!BP31</f>
        <v>-0.77642725007487179</v>
      </c>
      <c r="BL33" s="250">
        <f>(SFP!BR42-SFP!BQ31)/SFP!BQ31</f>
        <v>-0.77688201145622071</v>
      </c>
      <c r="BM33" s="250">
        <f>(SFP!BS42-SFP!BR31)/SFP!BR31</f>
        <v>-0.77795064359253174</v>
      </c>
      <c r="BN33" s="250">
        <f>(SFP!BT42-SFP!BS31)/SFP!BS31</f>
        <v>-0.77968355710118065</v>
      </c>
      <c r="BO33" s="250">
        <f>(SFP!BU42-SFP!BT31)/SFP!BT31</f>
        <v>-0.77942945455543777</v>
      </c>
      <c r="BP33" s="250">
        <f>(SFP!BV42-SFP!BU31)/SFP!BU31</f>
        <v>-0.78128202295609539</v>
      </c>
      <c r="BQ33" s="250">
        <f>(SFP!BW42-SFP!BV31)/SFP!BV31</f>
        <v>-1</v>
      </c>
      <c r="BR33" s="250" t="e">
        <f>(SFP!BX42-SFP!BW31)/SFP!BW31</f>
        <v>#DIV/0!</v>
      </c>
      <c r="BS33" s="250" t="e">
        <f>(SFP!BY42-SFP!BX31)/SFP!BX31</f>
        <v>#DIV/0!</v>
      </c>
      <c r="BT33" s="250" t="e">
        <f>(SFP!BZ42-SFP!BY31)/SFP!BY31</f>
        <v>#DIV/0!</v>
      </c>
      <c r="BU33" s="250" t="e">
        <f>(SFP!CA42-SFP!BZ31)/SFP!BZ31</f>
        <v>#DIV/0!</v>
      </c>
      <c r="BV33" s="250" t="e">
        <f>(SFP!CB42-SFP!CA31)/SFP!CA31</f>
        <v>#DIV/0!</v>
      </c>
      <c r="BW33" s="250" t="e">
        <f>(SFP!CC42-SFP!CB31)/SFP!CB31</f>
        <v>#DIV/0!</v>
      </c>
      <c r="BX33" s="250" t="e">
        <f>(SFP!CD42-SFP!CC31)/SFP!CC31</f>
        <v>#DIV/0!</v>
      </c>
      <c r="BY33" s="250" t="e">
        <f>(SFP!CE42-SFP!CD31)/SFP!CD31</f>
        <v>#DIV/0!</v>
      </c>
      <c r="BZ33" s="250" t="e">
        <f>(SFP!CF42-SFP!CE31)/SFP!CE31</f>
        <v>#DIV/0!</v>
      </c>
    </row>
    <row r="34" spans="1:78">
      <c r="A34" s="263" t="s">
        <v>36</v>
      </c>
      <c r="B34" s="19" t="s">
        <v>147</v>
      </c>
      <c r="C34" s="21"/>
      <c r="D34" s="250" t="e">
        <f>(SFP!#REF!-SFP!U14)/SFP!U14</f>
        <v>#REF!</v>
      </c>
      <c r="E34" s="250" t="e">
        <f>(SFP!#REF!-SFP!#REF!)/SFP!#REF!</f>
        <v>#REF!</v>
      </c>
      <c r="F34" s="250" t="e">
        <f>(SFP!#REF!-SFP!#REF!)/SFP!#REF!</f>
        <v>#REF!</v>
      </c>
      <c r="G34" s="250" t="e">
        <f>(SFP!#REF!-SFP!#REF!)/SFP!#REF!</f>
        <v>#REF!</v>
      </c>
      <c r="H34" s="250" t="e">
        <f>(SFP!#REF!-SFP!#REF!)/SFP!#REF!</f>
        <v>#REF!</v>
      </c>
      <c r="I34" s="250" t="e">
        <f>(SFP!#REF!-SFP!#REF!)/SFP!#REF!</f>
        <v>#REF!</v>
      </c>
      <c r="J34" s="250" t="e">
        <f>(SFP!#REF!-SFP!#REF!)/SFP!#REF!</f>
        <v>#REF!</v>
      </c>
      <c r="K34" s="250" t="e">
        <f>(SFP!#REF!-SFP!#REF!)/SFP!#REF!</f>
        <v>#REF!</v>
      </c>
      <c r="L34" s="250" t="e">
        <f>(SFP!#REF!-SFP!#REF!)/SFP!#REF!</f>
        <v>#REF!</v>
      </c>
      <c r="M34" s="250" t="e">
        <f>(SFP!#REF!-SFP!#REF!)/SFP!#REF!</f>
        <v>#REF!</v>
      </c>
      <c r="N34" s="250" t="e">
        <f>(SFP!#REF!-SFP!#REF!)/SFP!#REF!</f>
        <v>#REF!</v>
      </c>
      <c r="O34" s="250" t="e">
        <f>(SFP!#REF!-SFP!#REF!)/SFP!#REF!</f>
        <v>#REF!</v>
      </c>
      <c r="P34" s="250" t="e">
        <f>(SFP!V17-SFP!#REF!)/SFP!#REF!</f>
        <v>#REF!</v>
      </c>
      <c r="Q34" s="250">
        <f>(SFP!W17-SFP!V14)/SFP!V14</f>
        <v>-1</v>
      </c>
      <c r="R34" s="250">
        <f>(SFP!X17-SFP!W14)/SFP!W14</f>
        <v>-1</v>
      </c>
      <c r="S34" s="250">
        <f>(SFP!Y17-SFP!X14)/SFP!X14</f>
        <v>-1</v>
      </c>
      <c r="T34" s="250">
        <f>(SFP!Z17-SFP!Y14)/SFP!Y14</f>
        <v>-1</v>
      </c>
      <c r="U34" s="250">
        <f>(SFP!AA17-SFP!Z14)/SFP!Z14</f>
        <v>-1</v>
      </c>
      <c r="V34" s="250">
        <f>(SFP!AB17-SFP!AA14)/SFP!AA14</f>
        <v>-1</v>
      </c>
      <c r="W34" s="250">
        <f>(SFP!AC17-SFP!AB14)/SFP!AB14</f>
        <v>-1</v>
      </c>
      <c r="X34" s="250">
        <f>(SFP!AD17-SFP!AC14)/SFP!AC14</f>
        <v>-1</v>
      </c>
      <c r="Y34" s="250">
        <f>(SFP!AE17-SFP!AD14)/SFP!AD14</f>
        <v>-1</v>
      </c>
      <c r="Z34" s="250">
        <f>(SFP!AF17-SFP!AE14)/SFP!AE14</f>
        <v>-1</v>
      </c>
      <c r="AA34" s="250">
        <f>(SFP!AG17-SFP!AF14)/SFP!AF14</f>
        <v>-1</v>
      </c>
      <c r="AB34" s="250">
        <f>(SFP!AH17-SFP!AG14)/SFP!AG14</f>
        <v>-1</v>
      </c>
      <c r="AC34" s="250">
        <f>(SFP!AI17-SFP!AH14)/SFP!AH14</f>
        <v>-0.99746784105964081</v>
      </c>
      <c r="AD34" s="250">
        <f>(SFP!AJ17-SFP!AI14)/SFP!AI14</f>
        <v>-1</v>
      </c>
      <c r="AE34" s="250">
        <f>(SFP!AK17-SFP!AJ14)/SFP!AJ14</f>
        <v>-1</v>
      </c>
      <c r="AF34" s="250">
        <f>(SFP!AL17-SFP!AK14)/SFP!AK14</f>
        <v>-1</v>
      </c>
      <c r="AG34" s="250">
        <f>(SFP!AM17-SFP!AL14)/SFP!AL14</f>
        <v>-1</v>
      </c>
      <c r="AH34" s="250">
        <f>(SFP!AN17-SFP!AM14)/SFP!AM14</f>
        <v>-1</v>
      </c>
      <c r="AI34" s="250">
        <f>(SFP!AO17-SFP!AN14)/SFP!AN14</f>
        <v>-1</v>
      </c>
      <c r="AJ34" s="250">
        <f>(SFP!AP17-SFP!AO14)/SFP!AO14</f>
        <v>-1</v>
      </c>
      <c r="AK34" s="250" t="e">
        <f>(SFP!AQ17-SFP!AP14)/SFP!AP14</f>
        <v>#DIV/0!</v>
      </c>
      <c r="AL34" s="250">
        <f>(SFP!AR17-SFP!AQ14)/SFP!AQ14</f>
        <v>-1</v>
      </c>
      <c r="AM34" s="250">
        <f>(SFP!AS17-SFP!AR14)/SFP!AR14</f>
        <v>-1</v>
      </c>
      <c r="AN34" s="250">
        <f>(SFP!AT17-SFP!AS14)/SFP!AS14</f>
        <v>-1</v>
      </c>
      <c r="AO34" s="250">
        <f>(SFP!AU17-SFP!AT14)/SFP!AT14</f>
        <v>-1</v>
      </c>
      <c r="AP34" s="250">
        <f>(SFP!AV17-SFP!AU14)/SFP!AU14</f>
        <v>-0.99999785252072837</v>
      </c>
      <c r="AQ34" s="250">
        <f>(SFP!AW17-SFP!AV14)/SFP!AV14</f>
        <v>-1</v>
      </c>
      <c r="AR34" s="250">
        <f>(SFP!AX17-SFP!AW14)/SFP!AW14</f>
        <v>-1</v>
      </c>
      <c r="AS34" s="250">
        <f>(SFP!AY17-SFP!AX14)/SFP!AX14</f>
        <v>-1</v>
      </c>
      <c r="AT34" s="250">
        <f>(SFP!AZ17-SFP!AY14)/SFP!AY14</f>
        <v>-1</v>
      </c>
      <c r="AU34" s="250">
        <f>(SFP!BA17-SFP!AZ14)/SFP!AZ14</f>
        <v>-1</v>
      </c>
      <c r="AV34" s="250">
        <f>(SFP!BB17-SFP!BA14)/SFP!BA14</f>
        <v>-1</v>
      </c>
      <c r="AW34" s="250">
        <f>(SFP!BC17-SFP!BB14)/SFP!BB14</f>
        <v>-1</v>
      </c>
      <c r="AX34" s="250">
        <f>(SFP!BD17-SFP!BC14)/SFP!BC14</f>
        <v>-1</v>
      </c>
      <c r="AY34" s="250">
        <f>(SFP!BE17-SFP!BD14)/SFP!BD14</f>
        <v>-1</v>
      </c>
      <c r="AZ34" s="250">
        <f>(SFP!BF17-SFP!BE14)/SFP!BE14</f>
        <v>-1</v>
      </c>
      <c r="BA34" s="250">
        <f>(SFP!BG17-SFP!BF14)/SFP!BF14</f>
        <v>-1</v>
      </c>
      <c r="BB34" s="250">
        <f>(SFP!BH17-SFP!BG14)/SFP!BG14</f>
        <v>-1</v>
      </c>
      <c r="BC34" s="250">
        <f>(SFP!BI17-SFP!BH14)/SFP!BH14</f>
        <v>-1</v>
      </c>
      <c r="BD34" s="250">
        <f>(SFP!BJ17-SFP!BI14)/SFP!BI14</f>
        <v>-1</v>
      </c>
      <c r="BE34" s="250">
        <f>(SFP!BK17-SFP!BJ14)/SFP!BJ14</f>
        <v>-1</v>
      </c>
      <c r="BF34" s="250">
        <f>(SFP!BL17-SFP!BK14)/SFP!BK14</f>
        <v>-1</v>
      </c>
      <c r="BG34" s="250">
        <f>(SFP!BM17-SFP!BL14)/SFP!BL14</f>
        <v>-1</v>
      </c>
      <c r="BH34" s="250">
        <f>(SFP!BN17-SFP!BM14)/SFP!BM14</f>
        <v>-1</v>
      </c>
      <c r="BI34" s="250">
        <f>(SFP!BO17-SFP!BN14)/SFP!BN14</f>
        <v>-1</v>
      </c>
      <c r="BJ34" s="250">
        <f>(SFP!BP17-SFP!BO14)/SFP!BO14</f>
        <v>-1</v>
      </c>
      <c r="BK34" s="250">
        <f>(SFP!BQ17-SFP!BP14)/SFP!BP14</f>
        <v>-1</v>
      </c>
      <c r="BL34" s="250">
        <f>(SFP!BR17-SFP!BQ14)/SFP!BQ14</f>
        <v>-1</v>
      </c>
      <c r="BM34" s="250">
        <f>(SFP!BS17-SFP!BR14)/SFP!BR14</f>
        <v>-1</v>
      </c>
      <c r="BN34" s="250">
        <f>(SFP!BT17-SFP!BS14)/SFP!BS14</f>
        <v>-1</v>
      </c>
      <c r="BO34" s="250">
        <f>(SFP!BU17-SFP!BT14)/SFP!BT14</f>
        <v>-1</v>
      </c>
      <c r="BP34" s="250">
        <f>(SFP!BV17-SFP!BU14)/SFP!BU14</f>
        <v>-1</v>
      </c>
      <c r="BQ34" s="250">
        <f>(SFP!BW17-SFP!BV14)/SFP!BV14</f>
        <v>-1</v>
      </c>
      <c r="BR34" s="250" t="e">
        <f>(SFP!BX17-SFP!BW14)/SFP!BW14</f>
        <v>#DIV/0!</v>
      </c>
      <c r="BS34" s="250" t="e">
        <f>(SFP!BY17-SFP!BX14)/SFP!BX14</f>
        <v>#DIV/0!</v>
      </c>
      <c r="BT34" s="250" t="e">
        <f>(SFP!BZ17-SFP!BY14)/SFP!BY14</f>
        <v>#DIV/0!</v>
      </c>
      <c r="BU34" s="250" t="e">
        <f>(SFP!CA17-SFP!BZ14)/SFP!BZ14</f>
        <v>#DIV/0!</v>
      </c>
      <c r="BV34" s="250" t="e">
        <f>(SFP!CB17-SFP!CA14)/SFP!CA14</f>
        <v>#DIV/0!</v>
      </c>
      <c r="BW34" s="250" t="e">
        <f>(SFP!CC17-SFP!CB14)/SFP!CB14</f>
        <v>#DIV/0!</v>
      </c>
      <c r="BX34" s="250" t="e">
        <f>(SFP!CD17-SFP!CC14)/SFP!CC14</f>
        <v>#DIV/0!</v>
      </c>
      <c r="BY34" s="250" t="e">
        <f>(SFP!CE17-SFP!CD14)/SFP!CD14</f>
        <v>#DIV/0!</v>
      </c>
      <c r="BZ34" s="250" t="e">
        <f>(SFP!CF17-SFP!CE14)/SFP!CE14</f>
        <v>#DIV/0!</v>
      </c>
    </row>
    <row r="35" spans="1:78">
      <c r="A35" s="263" t="s">
        <v>157</v>
      </c>
      <c r="B35" s="19" t="s">
        <v>147</v>
      </c>
      <c r="C35" s="21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  <c r="BZ35" s="250"/>
    </row>
    <row r="36" spans="1:78">
      <c r="A36" s="263" t="s">
        <v>158</v>
      </c>
      <c r="B36" s="19" t="s">
        <v>147</v>
      </c>
      <c r="C36" s="21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</row>
    <row r="37" spans="1:78">
      <c r="A37" s="263" t="s">
        <v>8</v>
      </c>
      <c r="B37" s="19" t="s">
        <v>147</v>
      </c>
      <c r="C37" s="21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</row>
    <row r="38" spans="1:78">
      <c r="A38" s="263"/>
      <c r="B38" s="265"/>
      <c r="C38" s="264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</row>
    <row r="39" spans="1:78">
      <c r="A39" s="266" t="s">
        <v>159</v>
      </c>
      <c r="B39" s="265"/>
      <c r="C39" s="264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</row>
    <row r="40" spans="1:78">
      <c r="A40" s="263" t="s">
        <v>160</v>
      </c>
      <c r="B40" s="19" t="s">
        <v>147</v>
      </c>
      <c r="C40" s="264"/>
      <c r="D40" s="250" t="e">
        <f>(SCI!T13/(SFP!U31+SFP!#REF!)/SFP!U27)</f>
        <v>#REF!</v>
      </c>
      <c r="E40" s="250" t="e">
        <f>(SCI!#REF!/(SFP!#REF!+SFP!#REF!)/SFP!#REF!)</f>
        <v>#REF!</v>
      </c>
      <c r="F40" s="250" t="e">
        <f>(SCI!#REF!/(SFP!#REF!+SFP!#REF!)/SFP!#REF!)</f>
        <v>#REF!</v>
      </c>
      <c r="G40" s="250" t="e">
        <f>(SCI!#REF!/(SFP!#REF!+SFP!#REF!)/SFP!#REF!)</f>
        <v>#REF!</v>
      </c>
      <c r="H40" s="250" t="e">
        <f>(SCI!#REF!/(SFP!#REF!+SFP!#REF!)/SFP!#REF!)</f>
        <v>#REF!</v>
      </c>
      <c r="I40" s="250" t="e">
        <f>(SCI!#REF!/(SFP!#REF!+SFP!#REF!)/SFP!#REF!)</f>
        <v>#REF!</v>
      </c>
      <c r="J40" s="250" t="e">
        <f>(SCI!#REF!/(SFP!#REF!+SFP!#REF!)/SFP!#REF!)</f>
        <v>#REF!</v>
      </c>
      <c r="K40" s="250" t="e">
        <f>(SCI!#REF!/(SFP!#REF!+SFP!#REF!)/SFP!#REF!)</f>
        <v>#REF!</v>
      </c>
      <c r="L40" s="250" t="e">
        <f>(SCI!#REF!/(SFP!#REF!+SFP!#REF!)/SFP!#REF!)</f>
        <v>#REF!</v>
      </c>
      <c r="M40" s="250" t="e">
        <f>(SCI!#REF!/(SFP!#REF!+SFP!#REF!)/SFP!#REF!)</f>
        <v>#REF!</v>
      </c>
      <c r="N40" s="250" t="e">
        <f>(SCI!#REF!/(SFP!#REF!+SFP!#REF!)/SFP!#REF!)</f>
        <v>#REF!</v>
      </c>
      <c r="O40" s="250" t="e">
        <f>(SCI!#REF!/(SFP!#REF!+SFP!#REF!)/SFP!#REF!)</f>
        <v>#REF!</v>
      </c>
      <c r="P40" s="250" t="e">
        <f>(SCI!#REF!/(SFP!#REF!+SFP!V42)/SFP!#REF!)</f>
        <v>#REF!</v>
      </c>
      <c r="Q40" s="250">
        <f>(SCI!U13/(SFP!V31+SFP!W42)/SFP!V27)</f>
        <v>1.2337810917072413E-11</v>
      </c>
      <c r="R40" s="250">
        <f>(SCI!V13/(SFP!W31+SFP!X42)/SFP!W27)</f>
        <v>1.1930933922654389E-12</v>
      </c>
      <c r="S40" s="250">
        <f>(SCI!W13/(SFP!X31+SFP!Y42)/SFP!X27)</f>
        <v>2.3607240175832861E-12</v>
      </c>
      <c r="T40" s="250">
        <f>(SCI!X13/(SFP!Y31+SFP!Z42)/SFP!Y27)</f>
        <v>3.4901370760272802E-12</v>
      </c>
      <c r="U40" s="250">
        <f>(SCI!Y13/(SFP!Z31+SFP!AA42)/SFP!Z27)</f>
        <v>4.9302611163430354E-12</v>
      </c>
      <c r="V40" s="250">
        <f>(SCI!Z13/(SFP!AA31+SFP!AB42)/SFP!AA27)</f>
        <v>6.1477592588667881E-12</v>
      </c>
      <c r="W40" s="250">
        <f>(SCI!AA13/(SFP!AB31+SFP!AC42)/SFP!AB27)</f>
        <v>7.2376790568392208E-12</v>
      </c>
      <c r="X40" s="250">
        <f>(SCI!AB13/(SFP!AC31+SFP!AD42)/SFP!AC27)</f>
        <v>8.4691285030934263E-12</v>
      </c>
      <c r="Y40" s="250">
        <f>(SCI!AC13/(SFP!AD31+SFP!AE42)/SFP!AD27)</f>
        <v>9.3422220115049289E-12</v>
      </c>
      <c r="Z40" s="250">
        <f>(SCI!AD13/(SFP!AE31+SFP!AF42)/SFP!AE27)</f>
        <v>1.0327631216461412E-11</v>
      </c>
      <c r="AA40" s="250">
        <f>(SCI!AE13/(SFP!AF31+SFP!AG42)/SFP!AF27)</f>
        <v>1.1242189025417163E-11</v>
      </c>
      <c r="AB40" s="250">
        <f>(SCI!AF13/(SFP!AG31+SFP!AH42)/SFP!AG27)</f>
        <v>1.2465407293473944E-11</v>
      </c>
      <c r="AC40" s="250">
        <f>(SCI!AG13/(SFP!AH31+SFP!AI42)/SFP!AH27)</f>
        <v>1.3285670651816783E-11</v>
      </c>
      <c r="AD40" s="250">
        <f>(SCI!AH13/(SFP!AI31+SFP!AJ42)/SFP!AI27)</f>
        <v>1.0874151801181535E-11</v>
      </c>
      <c r="AE40" s="250">
        <f>(SCI!AI13/(SFP!AJ31+SFP!AK42)/SFP!AJ27)</f>
        <v>7.6462575655581229E-13</v>
      </c>
      <c r="AF40" s="250">
        <f>(SCI!AJ13/(SFP!AK31+SFP!AL42)/SFP!AK27)</f>
        <v>1.5137021376996352E-12</v>
      </c>
      <c r="AG40" s="250">
        <f>(SCI!AK13/(SFP!AL31+SFP!AM42)/SFP!AL27)</f>
        <v>3.1957974362559578E-12</v>
      </c>
      <c r="AH40" s="250">
        <f>(SCI!AL13/(SFP!AM31+SFP!AN42)/SFP!AM27)</f>
        <v>4.2113111875091786E-12</v>
      </c>
      <c r="AI40" s="250">
        <f>(SCI!AM13/(SFP!AN31+SFP!AO42)/SFP!AN27)</f>
        <v>5.2831072249586835E-12</v>
      </c>
      <c r="AJ40" s="250">
        <f>(SCI!AN13/(SFP!AO31+SFP!AP42)/SFP!AO27)</f>
        <v>7.4558055305322136E-12</v>
      </c>
      <c r="AK40" s="250" t="e">
        <f>(SCI!AO13/(SFP!AP31+SFP!AQ42)/SFP!AP27)</f>
        <v>#DIV/0!</v>
      </c>
      <c r="AL40" s="250">
        <f>(SCI!AP13/(SFP!AQ31+SFP!AR42)/SFP!AQ27)</f>
        <v>7.1019087026649958E-12</v>
      </c>
      <c r="AM40" s="250">
        <f>(SCI!AQ13/(SFP!AR31+SFP!AS42)/SFP!AR27)</f>
        <v>9.0681722112687386E-12</v>
      </c>
      <c r="AN40" s="250">
        <f>(SCI!AR13/(SFP!AS31+SFP!AT42)/SFP!AS27)</f>
        <v>9.8873626070530172E-12</v>
      </c>
      <c r="AO40" s="250">
        <f>(SCI!AS13/(SFP!AT31+SFP!AU42)/SFP!AT27)</f>
        <v>1.075954488218565E-11</v>
      </c>
      <c r="AP40" s="250">
        <f>(SCI!AT13/(SFP!AU31+SFP!AV42)/SFP!AU27)</f>
        <v>1.381163463625896E-11</v>
      </c>
      <c r="AQ40" s="250">
        <f>(SCI!AU13/(SFP!AV31+SFP!AW42)/SFP!AV27)</f>
        <v>6.1887678140382757E-11</v>
      </c>
      <c r="AR40" s="250">
        <f>(SCI!AV13/(SFP!AW31+SFP!AX42)/SFP!AW27)</f>
        <v>9.4082686931174444E-13</v>
      </c>
      <c r="AS40" s="250">
        <f>(SCI!AW13/(SFP!AX31+SFP!AY42)/SFP!AX27)</f>
        <v>2.0643017505916318E-12</v>
      </c>
      <c r="AT40" s="250">
        <f>(SCI!AX13/(SFP!AY31+SFP!AZ42)/SFP!AY27)</f>
        <v>3.1411012119112828E-12</v>
      </c>
      <c r="AU40" s="250">
        <f>(SCI!AY13/(SFP!AZ31+SFP!BA42)/SFP!AZ27)</f>
        <v>4.1650404160669648E-12</v>
      </c>
      <c r="AV40" s="250">
        <f>(SCI!AZ13/(SFP!BA31+SFP!BB42)/SFP!BA27)</f>
        <v>4.1559838023888596E-12</v>
      </c>
      <c r="AW40" s="250">
        <f>(SCI!BA13/(SFP!BB31+SFP!BC42)/SFP!BB27)</f>
        <v>6.068150920407437E-12</v>
      </c>
      <c r="AX40" s="250">
        <f>(SCI!BB13/(SFP!BC31+SFP!BD42)/SFP!BC27)</f>
        <v>6.9124852619457581E-12</v>
      </c>
      <c r="AY40" s="250">
        <f>(SCI!BC13/(SFP!BD31+SFP!BE42)/SFP!BD27)</f>
        <v>7.9000667789280356E-12</v>
      </c>
      <c r="AZ40" s="250">
        <f>(SCI!BD13/(SFP!BE31+SFP!BF42)/SFP!BE27)</f>
        <v>8.7668554988466419E-12</v>
      </c>
      <c r="BA40" s="250">
        <f>(SCI!BE13/(SFP!BF31+SFP!BG42)/SFP!BF27)</f>
        <v>9.6653217033222429E-12</v>
      </c>
      <c r="BB40" s="250">
        <f>(SCI!BF13/(SFP!BG31+SFP!BH42)/SFP!BG27)</f>
        <v>1.0424878134493581E-11</v>
      </c>
      <c r="BC40" s="250">
        <f>(SCI!BG13/(SFP!BH31+SFP!BI42)/SFP!BH27)</f>
        <v>8.7426714038630138E-12</v>
      </c>
      <c r="BD40" s="250">
        <f>(SCI!BH13/(SFP!BI31+SFP!BJ42)/SFP!BI27)</f>
        <v>8.6267854450321883E-12</v>
      </c>
      <c r="BE40" s="250">
        <f>(SCI!BI13/(SFP!BJ31+SFP!BK42)/SFP!BJ27)</f>
        <v>7.1311421261435417E-13</v>
      </c>
      <c r="BF40" s="250">
        <f>(SCI!BJ13/(SFP!BK31+SFP!BL42)/SFP!BK27)</f>
        <v>1.4345771056695255E-12</v>
      </c>
      <c r="BG40" s="250">
        <f>(SCI!BK13/(SFP!BL31+SFP!BM42)/SFP!BL27)</f>
        <v>3.0239276509421671E-12</v>
      </c>
      <c r="BH40" s="250">
        <f>(SCI!BL13/(SFP!BM31+SFP!BN42)/SFP!BM27)</f>
        <v>4.0172319932095744E-12</v>
      </c>
      <c r="BI40" s="250">
        <f>(SCI!BM13/(SFP!BN31+SFP!BO42)/SFP!BN27)</f>
        <v>4.459345601622057E-12</v>
      </c>
      <c r="BJ40" s="250">
        <f>(SCI!BN13/(SFP!BO31+SFP!BP42)/SFP!BO27)</f>
        <v>5.2857469059851388E-12</v>
      </c>
      <c r="BK40" s="250">
        <f>(SCI!BO13/(SFP!BP31+SFP!BQ42)/SFP!BP27)</f>
        <v>6.0539379172892683E-12</v>
      </c>
      <c r="BL40" s="250">
        <f>(SCI!BP13/(SFP!BQ31+SFP!BR42)/SFP!BQ27)</f>
        <v>6.9485581293536379E-12</v>
      </c>
      <c r="BM40" s="250">
        <f>(SCI!BQ13/(SFP!BR31+SFP!BS42)/SFP!BR27)</f>
        <v>6.2050071286578827E-12</v>
      </c>
      <c r="BN40" s="250">
        <f>(SCI!BR13/(SFP!BS31+SFP!BT42)/SFP!BS27)</f>
        <v>6.9121469956551123E-12</v>
      </c>
      <c r="BO40" s="250">
        <f>(SCI!BS13/(SFP!BT31+SFP!BU42)/SFP!BT27)</f>
        <v>7.3741308226288257E-12</v>
      </c>
      <c r="BP40" s="250">
        <f>(SCI!BT13/(SFP!BU31+SFP!BV42)/SFP!BU27)</f>
        <v>7.8956938834189147E-12</v>
      </c>
      <c r="BQ40" s="250">
        <f>(SCI!BU13/(SFP!BV31+SFP!BW42)/SFP!BV27)</f>
        <v>9.7206536863981723E-12</v>
      </c>
      <c r="BR40" s="250" t="e">
        <f>(SCI!BV13/(SFP!BW31+SFP!BX42)/SFP!BW27)</f>
        <v>#DIV/0!</v>
      </c>
      <c r="BS40" s="250" t="e">
        <f>(SCI!BW13/(SFP!BX31+SFP!BY42)/SFP!BX27)</f>
        <v>#DIV/0!</v>
      </c>
      <c r="BT40" s="250" t="e">
        <f>(SCI!BX13/(SFP!BY31+SFP!BZ42)/SFP!BY27)</f>
        <v>#DIV/0!</v>
      </c>
      <c r="BU40" s="250" t="e">
        <f>(SCI!BY13/(SFP!BZ31+SFP!CA42)/SFP!BZ27)</f>
        <v>#DIV/0!</v>
      </c>
      <c r="BV40" s="250" t="e">
        <f>(SCI!BZ13/(SFP!CA31+SFP!CB42)/SFP!CA27)</f>
        <v>#DIV/0!</v>
      </c>
      <c r="BW40" s="250" t="e">
        <f>(SCI!CA13/(SFP!CB31+SFP!CC42)/SFP!CB27)</f>
        <v>#DIV/0!</v>
      </c>
      <c r="BX40" s="250" t="e">
        <f>(SCI!CB13/(SFP!CC31+SFP!CD42)/SFP!CC27)</f>
        <v>#DIV/0!</v>
      </c>
      <c r="BY40" s="250" t="e">
        <f>(SCI!CC13/(SFP!CD31+SFP!CE42)/SFP!CD27)</f>
        <v>#DIV/0!</v>
      </c>
      <c r="BZ40" s="250" t="e">
        <f>(SCI!CD13/(SFP!CE31+SFP!CF42)/SFP!CE27)</f>
        <v>#DIV/0!</v>
      </c>
    </row>
    <row r="41" spans="1:78">
      <c r="A41" s="263" t="s">
        <v>161</v>
      </c>
      <c r="B41" s="19" t="s">
        <v>147</v>
      </c>
      <c r="C41" s="264"/>
      <c r="D41" s="250" t="e">
        <f>(SCI!T15/(SFP!U42+SFP!#REF!)/SFP!U27)</f>
        <v>#REF!</v>
      </c>
      <c r="E41" s="250" t="e">
        <f>(SCI!#REF!/(SFP!#REF!+SFP!#REF!)/SFP!#REF!)</f>
        <v>#REF!</v>
      </c>
      <c r="F41" s="250" t="e">
        <f>(SCI!#REF!/(SFP!#REF!+SFP!#REF!)/SFP!#REF!)</f>
        <v>#REF!</v>
      </c>
      <c r="G41" s="250" t="e">
        <f>(SCI!#REF!/(SFP!#REF!+SFP!#REF!)/SFP!#REF!)</f>
        <v>#REF!</v>
      </c>
      <c r="H41" s="250" t="e">
        <f>(SCI!#REF!/(SFP!#REF!+SFP!#REF!)/SFP!#REF!)</f>
        <v>#REF!</v>
      </c>
      <c r="I41" s="250" t="e">
        <f>(SCI!#REF!/(SFP!#REF!+SFP!#REF!)/SFP!#REF!)</f>
        <v>#REF!</v>
      </c>
      <c r="J41" s="250" t="e">
        <f>(SCI!#REF!/(SFP!#REF!+SFP!#REF!)/SFP!#REF!)</f>
        <v>#REF!</v>
      </c>
      <c r="K41" s="250" t="e">
        <f>(SCI!#REF!/(SFP!#REF!+SFP!#REF!)/SFP!#REF!)</f>
        <v>#REF!</v>
      </c>
      <c r="L41" s="250" t="e">
        <f>(SCI!#REF!/(SFP!#REF!+SFP!#REF!)/SFP!#REF!)</f>
        <v>#REF!</v>
      </c>
      <c r="M41" s="250" t="e">
        <f>(SCI!#REF!/(SFP!#REF!+SFP!#REF!)/SFP!#REF!)</f>
        <v>#REF!</v>
      </c>
      <c r="N41" s="250" t="e">
        <f>(SCI!#REF!/(SFP!#REF!+SFP!#REF!)/SFP!#REF!)</f>
        <v>#REF!</v>
      </c>
      <c r="O41" s="250" t="e">
        <f>(SCI!#REF!/(SFP!#REF!+SFP!#REF!)/SFP!#REF!)</f>
        <v>#REF!</v>
      </c>
      <c r="P41" s="250" t="e">
        <f>(SCI!#REF!/(SFP!#REF!+SFP!V42)/SFP!#REF!)</f>
        <v>#REF!</v>
      </c>
      <c r="Q41" s="250">
        <f>(SCI!U15/(SFP!V42+SFP!W42)/SFP!V27)</f>
        <v>0</v>
      </c>
      <c r="R41" s="250">
        <f>(SCI!V15/(SFP!W42+SFP!X42)/SFP!W27)</f>
        <v>4.8036194764918935E-13</v>
      </c>
      <c r="S41" s="250">
        <f>(SCI!W15/(SFP!X42+SFP!Y42)/SFP!X27)</f>
        <v>9.5904247875290565E-13</v>
      </c>
      <c r="T41" s="250">
        <f>(SCI!X15/(SFP!Y42+SFP!Z42)/SFP!Y27)</f>
        <v>1.418904433958644E-12</v>
      </c>
      <c r="U41" s="250">
        <f>(SCI!Y15/(SFP!Z42+SFP!AA42)/SFP!Z27)</f>
        <v>2.0004319946951083E-12</v>
      </c>
      <c r="V41" s="250">
        <f>(SCI!Z15/(SFP!AA42+SFP!AB42)/SFP!AA27)</f>
        <v>2.5013822320629128E-12</v>
      </c>
      <c r="W41" s="250">
        <f>(SCI!AA15/(SFP!AB42+SFP!AC42)/SFP!AB27)</f>
        <v>2.9521836651716037E-12</v>
      </c>
      <c r="X41" s="250">
        <f>(SCI!AB15/(SFP!AC42+SFP!AD42)/SFP!AC27)</f>
        <v>4.3884260927183847E-12</v>
      </c>
      <c r="Y41" s="250">
        <f>(SCI!AC15/(SFP!AD42+SFP!AE42)/SFP!AD27)</f>
        <v>3.9079384563279671E-12</v>
      </c>
      <c r="Z41" s="250">
        <f>(SCI!AD15/(SFP!AE42+SFP!AF42)/SFP!AE27)</f>
        <v>4.3322049177164324E-12</v>
      </c>
      <c r="AA41" s="250">
        <f>(SCI!AE15/(SFP!AF42+SFP!AG42)/SFP!AF27)</f>
        <v>4.7467656200673599E-12</v>
      </c>
      <c r="AB41" s="250">
        <f>(SCI!AF15/(SFP!AG42+SFP!AH42)/SFP!AG27)</f>
        <v>5.313889939449857E-12</v>
      </c>
      <c r="AC41" s="250">
        <f>(SCI!AG15/(SFP!AH42+SFP!AI42)/SFP!AH27)</f>
        <v>5.6888525689373762E-12</v>
      </c>
      <c r="AD41" s="250">
        <f>(SCI!AH15/(SFP!AI42+SFP!AJ42)/SFP!AI27)</f>
        <v>0</v>
      </c>
      <c r="AE41" s="250">
        <f>(SCI!AI15/(SFP!AJ42+SFP!AK42)/SFP!AJ27)</f>
        <v>2.3749970608257133E-13</v>
      </c>
      <c r="AF41" s="250">
        <f>(SCI!AJ15/(SFP!AK42+SFP!AL42)/SFP!AK27)</f>
        <v>4.6719169130985356E-13</v>
      </c>
      <c r="AG41" s="250">
        <f>(SCI!AK15/(SFP!AL42+SFP!AM42)/SFP!AL27)</f>
        <v>1.4283099787330275E-12</v>
      </c>
      <c r="AH41" s="250">
        <f>(SCI!AL15/(SFP!AM42+SFP!AN42)/SFP!AM27)</f>
        <v>1.8893187304949402E-12</v>
      </c>
      <c r="AI41" s="250">
        <f>(SCI!AM15/(SFP!AN42+SFP!AO42)/SFP!AN27)</f>
        <v>2.370781114906297E-12</v>
      </c>
      <c r="AJ41" s="250">
        <f>(SCI!AN15/(SFP!AO42+SFP!AP42)/SFP!AO27)</f>
        <v>5.6339145696226939E-12</v>
      </c>
      <c r="AK41" s="250" t="e">
        <f>(SCI!AO15/(SFP!AP42+SFP!AQ42)/SFP!AP27)</f>
        <v>#DIV/0!</v>
      </c>
      <c r="AL41" s="250">
        <f>(SCI!AP15/(SFP!AQ42+SFP!AR42)/SFP!AQ27)</f>
        <v>3.1769845863806504E-12</v>
      </c>
      <c r="AM41" s="250">
        <f>(SCI!AQ15/(SFP!AR42+SFP!AS42)/SFP!AR27)</f>
        <v>4.0511957534414053E-12</v>
      </c>
      <c r="AN41" s="250">
        <f>(SCI!AR15/(SFP!AS42+SFP!AT42)/SFP!AS27)</f>
        <v>4.4175218029643174E-12</v>
      </c>
      <c r="AO41" s="250">
        <f>(SCI!AS15/(SFP!AT42+SFP!AU42)/SFP!AT27)</f>
        <v>4.757064799928765E-12</v>
      </c>
      <c r="AP41" s="250">
        <f>(SCI!AT15/(SFP!AU42+SFP!AV42)/SFP!AU27)</f>
        <v>1.0308939050684089E-11</v>
      </c>
      <c r="AQ41" s="250">
        <f>(SCI!AU15/(SFP!AV42+SFP!AW42)/SFP!AV27)</f>
        <v>0</v>
      </c>
      <c r="AR41" s="250">
        <f>(SCI!AV15/(SFP!AW42+SFP!AX42)/SFP!AW27)</f>
        <v>4.1359876480737949E-13</v>
      </c>
      <c r="AS41" s="250">
        <f>(SCI!AW15/(SFP!AX42+SFP!AY42)/SFP!AX27)</f>
        <v>9.6082272865232017E-13</v>
      </c>
      <c r="AT41" s="250">
        <f>(SCI!AX15/(SFP!AY42+SFP!AZ42)/SFP!AY27)</f>
        <v>1.4386845287002455E-12</v>
      </c>
      <c r="AU41" s="250">
        <f>(SCI!AY15/(SFP!AZ42+SFP!BA42)/SFP!AZ27)</f>
        <v>1.9004634387083232E-12</v>
      </c>
      <c r="AV41" s="250">
        <f>(SCI!AZ15/(SFP!BA42+SFP!BB42)/SFP!BA27)</f>
        <v>1.8877075099195128E-12</v>
      </c>
      <c r="AW41" s="250">
        <f>(SCI!BA15/(SFP!BB42+SFP!BC42)/SFP!BB27)</f>
        <v>2.7595603995854402E-12</v>
      </c>
      <c r="AX41" s="250">
        <f>(SCI!BB15/(SFP!BC42+SFP!BD42)/SFP!BC27)</f>
        <v>3.1040566266528665E-12</v>
      </c>
      <c r="AY41" s="250">
        <f>(SCI!BC15/(SFP!BD42+SFP!BE42)/SFP!BD27)</f>
        <v>3.5600680115246844E-12</v>
      </c>
      <c r="AZ41" s="250">
        <f>(SCI!BD15/(SFP!BE42+SFP!BF42)/SFP!BE27)</f>
        <v>3.9576616632626352E-12</v>
      </c>
      <c r="BA41" s="250">
        <f>(SCI!BE15/(SFP!BF42+SFP!BG42)/SFP!BF27)</f>
        <v>4.3572026296919518E-12</v>
      </c>
      <c r="BB41" s="250">
        <f>(SCI!BF15/(SFP!BG42+SFP!BH42)/SFP!BG27)</f>
        <v>4.7005826967550626E-12</v>
      </c>
      <c r="BC41" s="250">
        <f>(SCI!BG15/(SFP!BH42+SFP!BI42)/SFP!BH27)</f>
        <v>7.1827387637880667E-12</v>
      </c>
      <c r="BD41" s="250">
        <f>(SCI!BH15/(SFP!BI42+SFP!BJ42)/SFP!BI27)</f>
        <v>0</v>
      </c>
      <c r="BE41" s="250">
        <f>(SCI!BI15/(SFP!BJ42+SFP!BK42)/SFP!BJ27)</f>
        <v>5.9781158798209843E-13</v>
      </c>
      <c r="BF41" s="250">
        <f>(SCI!BJ15/(SFP!BK42+SFP!BL42)/SFP!BK27)</f>
        <v>1.2157820515818537E-12</v>
      </c>
      <c r="BG41" s="250">
        <f>(SCI!BK15/(SFP!BL42+SFP!BM42)/SFP!BL27)</f>
        <v>1.82406797209552E-12</v>
      </c>
      <c r="BH41" s="250">
        <f>(SCI!BL15/(SFP!BM42+SFP!BN42)/SFP!BM27)</f>
        <v>2.4303601821933672E-12</v>
      </c>
      <c r="BI41" s="250">
        <f>(SCI!BM15/(SFP!BN42+SFP!BO42)/SFP!BN27)</f>
        <v>3.0274489106006376E-12</v>
      </c>
      <c r="BJ41" s="250">
        <f>(SCI!BN15/(SFP!BO42+SFP!BP42)/SFP!BO27)</f>
        <v>3.5884133854330109E-12</v>
      </c>
      <c r="BK41" s="250">
        <f>(SCI!BO15/(SFP!BP42+SFP!BQ42)/SFP!BP27)</f>
        <v>4.1064068439649325E-12</v>
      </c>
      <c r="BL41" s="250">
        <f>(SCI!BP15/(SFP!BQ42+SFP!BR42)/SFP!BQ27)</f>
        <v>4.6805393155615548E-12</v>
      </c>
      <c r="BM41" s="250">
        <f>(SCI!BQ15/(SFP!BR42+SFP!BS42)/SFP!BR27)</f>
        <v>5.1922250732250348E-12</v>
      </c>
      <c r="BN41" s="250">
        <f>(SCI!BR15/(SFP!BS42+SFP!BT42)/SFP!BS27)</f>
        <v>5.7099634863824701E-12</v>
      </c>
      <c r="BO41" s="250">
        <f>(SCI!BS15/(SFP!BT42+SFP!BU42)/SFP!BT27)</f>
        <v>6.1430344548425638E-12</v>
      </c>
      <c r="BP41" s="250">
        <f>(SCI!BT15/(SFP!BU42+SFP!BV42)/SFP!BU27)</f>
        <v>6.5982580343681317E-12</v>
      </c>
      <c r="BQ41" s="250">
        <f>(SCI!BU15/(SFP!BV42+SFP!BW42)/SFP!BV27)</f>
        <v>0</v>
      </c>
      <c r="BR41" s="250" t="e">
        <f>(SCI!BV15/(SFP!BW42+SFP!BX42)/SFP!BW27)</f>
        <v>#DIV/0!</v>
      </c>
      <c r="BS41" s="250" t="e">
        <f>(SCI!BW15/(SFP!BX42+SFP!BY42)/SFP!BX27)</f>
        <v>#DIV/0!</v>
      </c>
      <c r="BT41" s="250" t="e">
        <f>(SCI!BX15/(SFP!BY42+SFP!BZ42)/SFP!BY27)</f>
        <v>#DIV/0!</v>
      </c>
      <c r="BU41" s="250" t="e">
        <f>(SCI!BY15/(SFP!BZ42+SFP!CA42)/SFP!BZ27)</f>
        <v>#DIV/0!</v>
      </c>
      <c r="BV41" s="250" t="e">
        <f>(SCI!BZ15/(SFP!CA42+SFP!CB42)/SFP!CA27)</f>
        <v>#DIV/0!</v>
      </c>
      <c r="BW41" s="250" t="e">
        <f>(SCI!CA15/(SFP!CB42+SFP!CC42)/SFP!CB27)</f>
        <v>#DIV/0!</v>
      </c>
      <c r="BX41" s="250" t="e">
        <f>(SCI!CB15/(SFP!CC42+SFP!CD42)/SFP!CC27)</f>
        <v>#DIV/0!</v>
      </c>
      <c r="BY41" s="250" t="e">
        <f>(SCI!CC15/(SFP!CD42+SFP!CE42)/SFP!CD27)</f>
        <v>#DIV/0!</v>
      </c>
      <c r="BZ41" s="250" t="e">
        <f>(SCI!CD15/(SFP!CE42+SFP!CF42)/SFP!CE27)</f>
        <v>#DIV/0!</v>
      </c>
    </row>
    <row r="42" spans="1:78">
      <c r="A42" s="263" t="s">
        <v>162</v>
      </c>
      <c r="B42" s="19" t="s">
        <v>147</v>
      </c>
      <c r="C42" s="264"/>
      <c r="D42" s="250" t="e">
        <f>(SCI!T14/(SFP!U39+SFP!#REF!)/SFP!U27)</f>
        <v>#REF!</v>
      </c>
      <c r="E42" s="250" t="e">
        <f>(SCI!#REF!/(SFP!#REF!+SFP!#REF!)/SFP!#REF!)</f>
        <v>#REF!</v>
      </c>
      <c r="F42" s="250" t="e">
        <f>(SCI!#REF!/(SFP!#REF!+SFP!#REF!)/SFP!#REF!)</f>
        <v>#REF!</v>
      </c>
      <c r="G42" s="250" t="e">
        <f>(SCI!#REF!/(SFP!#REF!+SFP!#REF!)/SFP!#REF!)</f>
        <v>#REF!</v>
      </c>
      <c r="H42" s="250" t="e">
        <f>(SCI!#REF!/(SFP!#REF!+SFP!#REF!)/SFP!#REF!)</f>
        <v>#REF!</v>
      </c>
      <c r="I42" s="250" t="e">
        <f>(SCI!#REF!/(SFP!#REF!+SFP!#REF!)/SFP!#REF!)</f>
        <v>#REF!</v>
      </c>
      <c r="J42" s="250" t="e">
        <f>(SCI!#REF!/(SFP!#REF!+SFP!#REF!)/SFP!#REF!)</f>
        <v>#REF!</v>
      </c>
      <c r="K42" s="250" t="e">
        <f>(SCI!#REF!/(SFP!#REF!+SFP!#REF!)/SFP!#REF!)</f>
        <v>#REF!</v>
      </c>
      <c r="L42" s="250" t="e">
        <f>(SCI!#REF!/(SFP!#REF!+SFP!#REF!)/SFP!#REF!)</f>
        <v>#REF!</v>
      </c>
      <c r="M42" s="250" t="e">
        <f>(SCI!#REF!/(SFP!#REF!+SFP!#REF!)/SFP!#REF!)</f>
        <v>#REF!</v>
      </c>
      <c r="N42" s="250" t="e">
        <f>(SCI!#REF!/(SFP!#REF!+SFP!#REF!)/SFP!#REF!)</f>
        <v>#REF!</v>
      </c>
      <c r="O42" s="250" t="e">
        <f>(SCI!#REF!/(SFP!#REF!+SFP!#REF!)/SFP!#REF!)</f>
        <v>#REF!</v>
      </c>
      <c r="P42" s="250" t="e">
        <f>(SCI!#REF!/(SFP!#REF!+SFP!V53)/SFP!#REF!)</f>
        <v>#REF!</v>
      </c>
      <c r="Q42" s="250">
        <f>(SCI!U14/(SFP!V39+SFP!W53)/SFP!V27)</f>
        <v>1.5857022596123202E-12</v>
      </c>
      <c r="R42" s="250">
        <f>(SCI!V14/(SFP!W39+SFP!X53)/SFP!W27)</f>
        <v>1.0530187966488085E-13</v>
      </c>
      <c r="S42" s="250">
        <f>(SCI!W14/(SFP!X39+SFP!Y53)/SFP!X27)</f>
        <v>2.779318497420733E-13</v>
      </c>
      <c r="T42" s="250">
        <f>(SCI!X14/(SFP!Y39+SFP!Z53)/SFP!Y27)</f>
        <v>3.5502046395704603E-13</v>
      </c>
      <c r="U42" s="250">
        <f>(SCI!Y14/(SFP!Z39+SFP!AA53)/SFP!Z27)</f>
        <v>3.6938069801737801E-13</v>
      </c>
      <c r="V42" s="250">
        <f>(SCI!Z14/(SFP!AA39+SFP!AB53)/SFP!AA27)</f>
        <v>4.2433010484153904E-13</v>
      </c>
      <c r="W42" s="250">
        <f>(SCI!AA14/(SFP!AB39+SFP!AC53)/SFP!AB27)</f>
        <v>4.1373120961151493E-13</v>
      </c>
      <c r="X42" s="250">
        <f>(SCI!AB14/(SFP!AC39+SFP!AD53)/SFP!AC27)</f>
        <v>3.928136013653256E-13</v>
      </c>
      <c r="Y42" s="250">
        <f>(SCI!AC14/(SFP!AD39+SFP!AE53)/SFP!AD27)</f>
        <v>3.8361185704043058E-13</v>
      </c>
      <c r="Z42" s="250">
        <f>(SCI!AD14/(SFP!AE39+SFP!AF53)/SFP!AE27)</f>
        <v>3.7357479069848466E-13</v>
      </c>
      <c r="AA42" s="250">
        <f>(SCI!AE14/(SFP!AF39+SFP!AG53)/SFP!AF27)</f>
        <v>3.6511306404546252E-13</v>
      </c>
      <c r="AB42" s="250">
        <f>(SCI!AF14/(SFP!AG39+SFP!AH53)/SFP!AG27)</f>
        <v>3.7178472546921008E-13</v>
      </c>
      <c r="AC42" s="250">
        <f>(SCI!AG14/(SFP!AH39+SFP!AI53)/SFP!AH27)</f>
        <v>3.450112088840782E-13</v>
      </c>
      <c r="AD42" s="250">
        <f>(SCI!AH14/(SFP!AI39+SFP!AJ53)/SFP!AI27)</f>
        <v>3.4163275615532418E-13</v>
      </c>
      <c r="AE42" s="250">
        <f>(SCI!AI14/(SFP!AJ39+SFP!AK53)/SFP!AJ27)</f>
        <v>0</v>
      </c>
      <c r="AF42" s="250">
        <f>(SCI!AJ14/(SFP!AK39+SFP!AL53)/SFP!AK27)</f>
        <v>0</v>
      </c>
      <c r="AG42" s="250">
        <f>(SCI!AK14/(SFP!AL39+SFP!AM53)/SFP!AL27)</f>
        <v>0</v>
      </c>
      <c r="AH42" s="250">
        <f>(SCI!AL14/(SFP!AM39+SFP!AN53)/SFP!AM27)</f>
        <v>0</v>
      </c>
      <c r="AI42" s="250">
        <f>(SCI!AM14/(SFP!AN39+SFP!AO53)/SFP!AN27)</f>
        <v>0</v>
      </c>
      <c r="AJ42" s="250" t="e">
        <f>(SCI!AN14/(SFP!AO39+SFP!AP53)/SFP!AO27)</f>
        <v>#DIV/0!</v>
      </c>
      <c r="AK42" s="250" t="e">
        <f>(SCI!AO14/(SFP!AP39+SFP!AQ53)/SFP!AP27)</f>
        <v>#DIV/0!</v>
      </c>
      <c r="AL42" s="250">
        <f>(SCI!AP14/(SFP!AQ39+SFP!AR53)/SFP!AQ27)</f>
        <v>0</v>
      </c>
      <c r="AM42" s="250">
        <f>(SCI!AQ14/(SFP!AR39+SFP!AS53)/SFP!AR27)</f>
        <v>0</v>
      </c>
      <c r="AN42" s="250">
        <f>(SCI!AR14/(SFP!AS39+SFP!AT53)/SFP!AS27)</f>
        <v>0</v>
      </c>
      <c r="AO42" s="250">
        <f>(SCI!AS14/(SFP!AT39+SFP!AU53)/SFP!AT27)</f>
        <v>0</v>
      </c>
      <c r="AP42" s="250">
        <f>(SCI!AT14/(SFP!AU39+SFP!AV53)/SFP!AU27)</f>
        <v>0</v>
      </c>
      <c r="AQ42" s="250">
        <f>(SCI!AU14/(SFP!AV39+SFP!AW53)/SFP!AV27)</f>
        <v>0</v>
      </c>
      <c r="AR42" s="250">
        <f>(SCI!AV14/(SFP!AW39+SFP!AX53)/SFP!AW27)</f>
        <v>0</v>
      </c>
      <c r="AS42" s="250">
        <f>(SCI!AW14/(SFP!AX39+SFP!AY53)/SFP!AX27)</f>
        <v>0</v>
      </c>
      <c r="AT42" s="250">
        <f>(SCI!AX14/(SFP!AY39+SFP!AZ53)/SFP!AY27)</f>
        <v>0</v>
      </c>
      <c r="AU42" s="250">
        <f>(SCI!AY14/(SFP!AZ39+SFP!BA53)/SFP!AZ27)</f>
        <v>0</v>
      </c>
      <c r="AV42" s="250">
        <f>(SCI!AZ14/(SFP!BA39+SFP!BB53)/SFP!BA27)</f>
        <v>0</v>
      </c>
      <c r="AW42" s="250">
        <f>(SCI!BA14/(SFP!BB39+SFP!BC53)/SFP!BB27)</f>
        <v>0</v>
      </c>
      <c r="AX42" s="250">
        <f>(SCI!BB14/(SFP!BC39+SFP!BD53)/SFP!BC27)</f>
        <v>0</v>
      </c>
      <c r="AY42" s="250">
        <f>(SCI!BC14/(SFP!BD39+SFP!BE53)/SFP!BD27)</f>
        <v>0</v>
      </c>
      <c r="AZ42" s="250">
        <f>(SCI!BD14/(SFP!BE39+SFP!BF53)/SFP!BE27)</f>
        <v>0</v>
      </c>
      <c r="BA42" s="250">
        <f>(SCI!BE14/(SFP!BF39+SFP!BG53)/SFP!BF27)</f>
        <v>0</v>
      </c>
      <c r="BB42" s="250">
        <f>(SCI!BF14/(SFP!BG39+SFP!BH53)/SFP!BG27)</f>
        <v>0</v>
      </c>
      <c r="BC42" s="250">
        <f>(SCI!BG14/(SFP!BH39+SFP!BI53)/SFP!BH27)</f>
        <v>0</v>
      </c>
      <c r="BD42" s="250">
        <f>(SCI!BH14/(SFP!BI39+SFP!BJ53)/SFP!BI27)</f>
        <v>0</v>
      </c>
      <c r="BE42" s="250">
        <f>(SCI!BI14/(SFP!BJ39+SFP!BK53)/SFP!BJ27)</f>
        <v>0</v>
      </c>
      <c r="BF42" s="250">
        <f>(SCI!BJ14/(SFP!BK39+SFP!BL53)/SFP!BK27)</f>
        <v>0</v>
      </c>
      <c r="BG42" s="250">
        <f>(SCI!BK14/(SFP!BL39+SFP!BM53)/SFP!BL27)</f>
        <v>0</v>
      </c>
      <c r="BH42" s="250">
        <f>(SCI!BL14/(SFP!BM39+SFP!BN53)/SFP!BM27)</f>
        <v>0</v>
      </c>
      <c r="BI42" s="250">
        <f>(SCI!BM14/(SFP!BN39+SFP!BO53)/SFP!BN27)</f>
        <v>0</v>
      </c>
      <c r="BJ42" s="250">
        <f>(SCI!BN14/(SFP!BO39+SFP!BP53)/SFP!BO27)</f>
        <v>0</v>
      </c>
      <c r="BK42" s="250">
        <f>(SCI!BO14/(SFP!BP39+SFP!BQ53)/SFP!BP27)</f>
        <v>0</v>
      </c>
      <c r="BL42" s="250">
        <f>(SCI!BP14/(SFP!BQ39+SFP!BR53)/SFP!BQ27)</f>
        <v>0</v>
      </c>
      <c r="BM42" s="250">
        <f>(SCI!BQ14/(SFP!BR39+SFP!BS53)/SFP!BR27)</f>
        <v>0</v>
      </c>
      <c r="BN42" s="250">
        <f>(SCI!BR14/(SFP!BS39+SFP!BT53)/SFP!BS27)</f>
        <v>0</v>
      </c>
      <c r="BO42" s="250">
        <f>(SCI!BS14/(SFP!BT39+SFP!BU53)/SFP!BT27)</f>
        <v>0</v>
      </c>
      <c r="BP42" s="250">
        <f>(SCI!BT14/(SFP!BU39+SFP!BV53)/SFP!BU27)</f>
        <v>0</v>
      </c>
      <c r="BQ42" s="250" t="e">
        <f>(SCI!BU14/(SFP!BV39+SFP!BW53)/SFP!BV27)</f>
        <v>#DIV/0!</v>
      </c>
      <c r="BR42" s="250" t="e">
        <f>(SCI!BV14/(SFP!BW39+SFP!BX53)/SFP!BW27)</f>
        <v>#DIV/0!</v>
      </c>
      <c r="BS42" s="250" t="e">
        <f>(SCI!BW14/(SFP!BX39+SFP!BY53)/SFP!BX27)</f>
        <v>#DIV/0!</v>
      </c>
      <c r="BT42" s="250" t="e">
        <f>(SCI!BX14/(SFP!BY39+SFP!BZ53)/SFP!BY27)</f>
        <v>#DIV/0!</v>
      </c>
      <c r="BU42" s="250" t="e">
        <f>(SCI!BY14/(SFP!BZ39+SFP!CA53)/SFP!BZ27)</f>
        <v>#DIV/0!</v>
      </c>
      <c r="BV42" s="250" t="e">
        <f>(SCI!BZ14/(SFP!CA39+SFP!CB53)/SFP!CA27)</f>
        <v>#DIV/0!</v>
      </c>
      <c r="BW42" s="250" t="e">
        <f>(SCI!CA14/(SFP!CB39+SFP!CC53)/SFP!CB27)</f>
        <v>#DIV/0!</v>
      </c>
      <c r="BX42" s="250" t="e">
        <f>(SCI!CB14/(SFP!CC39+SFP!CD53)/SFP!CC27)</f>
        <v>#DIV/0!</v>
      </c>
      <c r="BY42" s="250" t="e">
        <f>(SCI!CC14/(SFP!CD39+SFP!CE53)/SFP!CD27)</f>
        <v>#DIV/0!</v>
      </c>
      <c r="BZ42" s="250" t="e">
        <f>(SCI!CD14/(SFP!CE39+SFP!CF53)/SFP!CE27)</f>
        <v>#DIV/0!</v>
      </c>
    </row>
    <row r="43" spans="1:78">
      <c r="A43" s="263" t="s">
        <v>163</v>
      </c>
      <c r="B43" s="19" t="s">
        <v>147</v>
      </c>
      <c r="C43" s="264"/>
      <c r="D43" s="250">
        <f>SCI!T23/SFP!U27</f>
        <v>3.0348047924381102E-2</v>
      </c>
      <c r="E43" s="250" t="e">
        <f>SCI!#REF!/SFP!#REF!</f>
        <v>#REF!</v>
      </c>
      <c r="F43" s="250" t="e">
        <f>SCI!#REF!/SFP!#REF!</f>
        <v>#REF!</v>
      </c>
      <c r="G43" s="250" t="e">
        <f>SCI!#REF!/SFP!#REF!</f>
        <v>#REF!</v>
      </c>
      <c r="H43" s="250" t="e">
        <f>SCI!#REF!/SFP!#REF!</f>
        <v>#REF!</v>
      </c>
      <c r="I43" s="250" t="e">
        <f>SCI!#REF!/SFP!#REF!</f>
        <v>#REF!</v>
      </c>
      <c r="J43" s="250" t="e">
        <f>SCI!#REF!/SFP!#REF!</f>
        <v>#REF!</v>
      </c>
      <c r="K43" s="250" t="e">
        <f>SCI!#REF!/SFP!#REF!</f>
        <v>#REF!</v>
      </c>
      <c r="L43" s="250" t="e">
        <f>SCI!#REF!/SFP!#REF!</f>
        <v>#REF!</v>
      </c>
      <c r="M43" s="250" t="e">
        <f>SCI!#REF!/SFP!#REF!</f>
        <v>#REF!</v>
      </c>
      <c r="N43" s="250" t="e">
        <f>SCI!#REF!/SFP!#REF!</f>
        <v>#REF!</v>
      </c>
      <c r="O43" s="250" t="e">
        <f>SCI!#REF!/SFP!#REF!</f>
        <v>#REF!</v>
      </c>
      <c r="P43" s="250" t="e">
        <f>SCI!#REF!/SFP!#REF!</f>
        <v>#REF!</v>
      </c>
      <c r="Q43" s="250">
        <f>SCI!U23/SFP!V27</f>
        <v>3.0639167396349389E-2</v>
      </c>
      <c r="R43" s="250">
        <f>SCI!V23/SFP!W27</f>
        <v>2.2419980197593645E-3</v>
      </c>
      <c r="S43" s="250">
        <f>SCI!W23/SFP!X27</f>
        <v>4.1844388727956382E-3</v>
      </c>
      <c r="T43" s="250">
        <f>SCI!X23/SFP!Y27</f>
        <v>7.7121164866508453E-3</v>
      </c>
      <c r="U43" s="250">
        <f>SCI!Y23/SFP!Z27</f>
        <v>1.1427630646405954E-2</v>
      </c>
      <c r="V43" s="250">
        <f>SCI!Z23/SFP!AA27</f>
        <v>1.3509038595232278E-2</v>
      </c>
      <c r="W43" s="250">
        <f>SCI!AA23/SFP!AB27</f>
        <v>1.5158694442645058E-2</v>
      </c>
      <c r="X43" s="250">
        <f>SCI!AB23/SFP!AC27</f>
        <v>1.7169133326965555E-2</v>
      </c>
      <c r="Y43" s="250">
        <f>SCI!AC23/SFP!AD27</f>
        <v>1.8100829503329988E-2</v>
      </c>
      <c r="Z43" s="250">
        <f>SCI!AD23/SFP!AE27</f>
        <v>2.0187473598777685E-2</v>
      </c>
      <c r="AA43" s="250">
        <f>SCI!AE23/SFP!AF27</f>
        <v>2.1764554167990731E-2</v>
      </c>
      <c r="AB43" s="250">
        <f>SCI!AF23/SFP!AG27</f>
        <v>2.4131039253714907E-2</v>
      </c>
      <c r="AC43" s="250">
        <f>SCI!AG23/SFP!AH27</f>
        <v>2.5769620452400034E-2</v>
      </c>
      <c r="AD43" s="250">
        <f>SCI!AH23/SFP!AI27</f>
        <v>3.1395281903294478E-2</v>
      </c>
      <c r="AE43" s="250">
        <f>SCI!AI23/SFP!AJ27</f>
        <v>3.4451425988950421E-3</v>
      </c>
      <c r="AF43" s="250">
        <f>SCI!AJ23/SFP!AK27</f>
        <v>6.5435432674233861E-3</v>
      </c>
      <c r="AG43" s="250">
        <f>SCI!AK23/SFP!AL27</f>
        <v>9.2744547450295586E-3</v>
      </c>
      <c r="AH43" s="250">
        <f>SCI!AL23/SFP!AM27</f>
        <v>1.2418007118058306E-2</v>
      </c>
      <c r="AI43" s="250">
        <f>SCI!AM23/SFP!AN27</f>
        <v>1.5093642467752036E-2</v>
      </c>
      <c r="AJ43" s="250">
        <f>SCI!AN23/SFP!AO27</f>
        <v>1.68764254650038E-2</v>
      </c>
      <c r="AK43" s="250" t="e">
        <f>SCI!AO23/SFP!AP27</f>
        <v>#DIV/0!</v>
      </c>
      <c r="AL43" s="250">
        <f>SCI!AP23/SFP!AQ27</f>
        <v>1.9354488289241176E-2</v>
      </c>
      <c r="AM43" s="250">
        <f>SCI!AQ23/SFP!AR27</f>
        <v>2.1460619523415072E-2</v>
      </c>
      <c r="AN43" s="250">
        <f>SCI!AR23/SFP!AS27</f>
        <v>2.297489735079768E-2</v>
      </c>
      <c r="AO43" s="250">
        <f>SCI!AS23/SFP!AT27</f>
        <v>2.5649498066125515E-2</v>
      </c>
      <c r="AP43" s="250">
        <f>SCI!AT23/SFP!AU27</f>
        <v>2.8203003425961208E-2</v>
      </c>
      <c r="AQ43" s="250">
        <f>SCI!AU23/SFP!AV27</f>
        <v>2.6922265709625668E-2</v>
      </c>
      <c r="AR43" s="250">
        <f>SCI!AV23/SFP!AW27</f>
        <v>2.7194698010770571E-3</v>
      </c>
      <c r="AS43" s="250">
        <f>SCI!AW23/SFP!AX27</f>
        <v>6.2407937667035788E-3</v>
      </c>
      <c r="AT43" s="250">
        <f>SCI!AX23/SFP!AY27</f>
        <v>8.1571876444496254E-3</v>
      </c>
      <c r="AU43" s="250">
        <f>SCI!AY23/SFP!AZ27</f>
        <v>1.2827004220333454E-2</v>
      </c>
      <c r="AV43" s="250">
        <f>SCI!AZ23/SFP!BA27</f>
        <v>1.4675556118364663E-2</v>
      </c>
      <c r="AW43" s="250">
        <f>SCI!BA23/SFP!BB27</f>
        <v>1.7614923851157246E-2</v>
      </c>
      <c r="AX43" s="250">
        <f>SCI!BB23/SFP!BC27</f>
        <v>1.8592416828956168E-2</v>
      </c>
      <c r="AY43" s="250">
        <f>SCI!BC23/SFP!BD27</f>
        <v>2.055961971273686E-2</v>
      </c>
      <c r="AZ43" s="250">
        <f>SCI!BD23/SFP!BE27</f>
        <v>2.2747234948387124E-2</v>
      </c>
      <c r="BA43" s="250">
        <f>SCI!BE23/SFP!BF27</f>
        <v>2.4533009328643152E-2</v>
      </c>
      <c r="BB43" s="250">
        <f>SCI!BF23/SFP!BG27</f>
        <v>2.6917674185454744E-2</v>
      </c>
      <c r="BC43" s="250">
        <f>SCI!BG23/SFP!BH27</f>
        <v>3.2721027659676848E-2</v>
      </c>
      <c r="BD43" s="250">
        <f>SCI!BH23/SFP!BI27</f>
        <v>2.9242900084551281E-2</v>
      </c>
      <c r="BE43" s="250">
        <f>SCI!BI23/SFP!BJ27</f>
        <v>2.967135426175287E-3</v>
      </c>
      <c r="BF43" s="250">
        <f>SCI!BJ23/SFP!BK27</f>
        <v>6.4234810944478653E-3</v>
      </c>
      <c r="BG43" s="250">
        <f>SCI!BK23/SFP!BL27</f>
        <v>9.5631288032740139E-3</v>
      </c>
      <c r="BH43" s="250">
        <f>SCI!BL23/SFP!BM27</f>
        <v>1.4229303787399013E-2</v>
      </c>
      <c r="BI43" s="250">
        <f>SCI!BM23/SFP!BN27</f>
        <v>1.6015046242422434E-2</v>
      </c>
      <c r="BJ43" s="250">
        <f>SCI!BN23/SFP!BO27</f>
        <v>1.981617969890774E-2</v>
      </c>
      <c r="BK43" s="250">
        <f>SCI!BO23/SFP!BP27</f>
        <v>2.1549021298037995E-2</v>
      </c>
      <c r="BL43" s="250">
        <f>SCI!BP23/SFP!BQ27</f>
        <v>2.3255631807364605E-2</v>
      </c>
      <c r="BM43" s="250">
        <f>SCI!BQ23/SFP!BR27</f>
        <v>2.5808000625267606E-2</v>
      </c>
      <c r="BN43" s="250">
        <f>SCI!BR23/SFP!BS27</f>
        <v>2.7200099298859561E-2</v>
      </c>
      <c r="BO43" s="250">
        <f>SCI!BS23/SFP!BT27</f>
        <v>2.9614237806572782E-2</v>
      </c>
      <c r="BP43" s="250">
        <f>SCI!BT23/SFP!BU27</f>
        <v>3.242500588371143E-2</v>
      </c>
      <c r="BQ43" s="250">
        <f>SCI!BU23/SFP!BV27</f>
        <v>3.2694568245899218E-2</v>
      </c>
      <c r="BR43" s="250" t="e">
        <f>SCI!BV23/SFP!BW27</f>
        <v>#DIV/0!</v>
      </c>
      <c r="BS43" s="250" t="e">
        <f>SCI!BW23/SFP!BX27</f>
        <v>#DIV/0!</v>
      </c>
      <c r="BT43" s="250" t="e">
        <f>SCI!BX23/SFP!BY27</f>
        <v>#DIV/0!</v>
      </c>
      <c r="BU43" s="250" t="e">
        <f>SCI!BY23/SFP!BZ27</f>
        <v>#DIV/0!</v>
      </c>
      <c r="BV43" s="250" t="e">
        <f>SCI!BZ23/SFP!CA27</f>
        <v>#DIV/0!</v>
      </c>
      <c r="BW43" s="250" t="e">
        <f>SCI!CA23/SFP!CB27</f>
        <v>#DIV/0!</v>
      </c>
      <c r="BX43" s="250" t="e">
        <f>SCI!CB23/SFP!CC27</f>
        <v>#DIV/0!</v>
      </c>
      <c r="BY43" s="250" t="e">
        <f>SCI!CC23/SFP!CD27</f>
        <v>#DIV/0!</v>
      </c>
      <c r="BZ43" s="250" t="e">
        <f>SCI!CD23/SFP!CE27</f>
        <v>#DIV/0!</v>
      </c>
    </row>
    <row r="44" spans="1:78">
      <c r="A44" s="263" t="s">
        <v>164</v>
      </c>
      <c r="B44" s="19" t="s">
        <v>147</v>
      </c>
      <c r="C44" s="264"/>
      <c r="D44" s="250">
        <f>SCI!T5/SFP!U15</f>
        <v>0.1856743063559429</v>
      </c>
      <c r="E44" s="250" t="e">
        <f>SCI!#REF!/SFP!#REF!</f>
        <v>#REF!</v>
      </c>
      <c r="F44" s="250" t="e">
        <f>SCI!#REF!/SFP!#REF!</f>
        <v>#REF!</v>
      </c>
      <c r="G44" s="250" t="e">
        <f>SCI!#REF!/SFP!#REF!</f>
        <v>#REF!</v>
      </c>
      <c r="H44" s="250" t="e">
        <f>SCI!#REF!/SFP!#REF!</f>
        <v>#REF!</v>
      </c>
      <c r="I44" s="250" t="e">
        <f>SCI!#REF!/SFP!#REF!</f>
        <v>#REF!</v>
      </c>
      <c r="J44" s="250" t="e">
        <f>SCI!#REF!/SFP!#REF!</f>
        <v>#REF!</v>
      </c>
      <c r="K44" s="250" t="e">
        <f>SCI!#REF!/SFP!#REF!</f>
        <v>#REF!</v>
      </c>
      <c r="L44" s="250" t="e">
        <f>SCI!#REF!/SFP!#REF!</f>
        <v>#REF!</v>
      </c>
      <c r="M44" s="250" t="e">
        <f>SCI!#REF!/SFP!#REF!</f>
        <v>#REF!</v>
      </c>
      <c r="N44" s="250" t="e">
        <f>SCI!#REF!/SFP!#REF!</f>
        <v>#REF!</v>
      </c>
      <c r="O44" s="250" t="e">
        <f>SCI!#REF!/SFP!#REF!</f>
        <v>#REF!</v>
      </c>
      <c r="P44" s="250" t="e">
        <f>SCI!#REF!/SFP!#REF!</f>
        <v>#REF!</v>
      </c>
      <c r="Q44" s="250">
        <f>SCI!U5/SFP!V15</f>
        <v>0.17436303610526169</v>
      </c>
      <c r="R44" s="250">
        <f>SCI!V5/SFP!W15</f>
        <v>1.6378488283843393E-2</v>
      </c>
      <c r="S44" s="250">
        <f>SCI!W5/SFP!X15</f>
        <v>3.1798339293577511E-2</v>
      </c>
      <c r="T44" s="250">
        <f>SCI!X5/SFP!Y15</f>
        <v>4.80967283907172E-2</v>
      </c>
      <c r="U44" s="250">
        <f>SCI!Y5/SFP!Z15</f>
        <v>6.4106836864139441E-2</v>
      </c>
      <c r="V44" s="250">
        <f>SCI!Z5/SFP!AA15</f>
        <v>8.1139020663488173E-2</v>
      </c>
      <c r="W44" s="250">
        <f>SCI!AA5/SFP!AB15</f>
        <v>9.7367511558033165E-2</v>
      </c>
      <c r="X44" s="250">
        <f>SCI!AB5/SFP!AC15</f>
        <v>0.11322251191096767</v>
      </c>
      <c r="Y44" s="250">
        <f>SCI!AC5/SFP!AD15</f>
        <v>0.12836614778422575</v>
      </c>
      <c r="Z44" s="250">
        <f>SCI!AD5/SFP!AE15</f>
        <v>0.14338080294475142</v>
      </c>
      <c r="AA44" s="250">
        <f>SCI!AE5/SFP!AF15</f>
        <v>0.15900993718310755</v>
      </c>
      <c r="AB44" s="250">
        <f>SCI!AF5/SFP!AG15</f>
        <v>0.17262698883175831</v>
      </c>
      <c r="AC44" s="250">
        <f>SCI!AG5/SFP!AH15</f>
        <v>0.18546249929098038</v>
      </c>
      <c r="AD44" s="250">
        <f>SCI!AH5/SFP!AI15</f>
        <v>0.18644344766064189</v>
      </c>
      <c r="AE44" s="250">
        <f>SCI!AI5/SFP!AJ15</f>
        <v>2.3591742798912387E-2</v>
      </c>
      <c r="AF44" s="250">
        <f>SCI!AJ5/SFP!AK15</f>
        <v>4.6624351266970884E-2</v>
      </c>
      <c r="AG44" s="250">
        <f>SCI!AK5/SFP!AL15</f>
        <v>5.037890655185899E-2</v>
      </c>
      <c r="AH44" s="250">
        <f>SCI!AL5/SFP!AM15</f>
        <v>6.4071023630823939E-2</v>
      </c>
      <c r="AI44" s="250">
        <f>SCI!AM5/SFP!AN15</f>
        <v>7.8025088987066282E-2</v>
      </c>
      <c r="AJ44" s="250">
        <f>SCI!AN5/SFP!AO15</f>
        <v>9.1578016895485004E-2</v>
      </c>
      <c r="AK44" s="250" t="e">
        <f>SCI!AO5/SFP!AP15</f>
        <v>#DIV/0!</v>
      </c>
      <c r="AL44" s="250">
        <f>SCI!AP5/SFP!AQ15</f>
        <v>0.11928963636569503</v>
      </c>
      <c r="AM44" s="250">
        <f>SCI!AQ5/SFP!AR15</f>
        <v>0.13116369682414303</v>
      </c>
      <c r="AN44" s="250">
        <f>SCI!AR5/SFP!AS15</f>
        <v>0.14292307138475821</v>
      </c>
      <c r="AO44" s="250">
        <f>SCI!AS5/SFP!AT15</f>
        <v>0.15527141893812049</v>
      </c>
      <c r="AP44" s="250">
        <f>SCI!AT5/SFP!AU15</f>
        <v>0.16846236640943671</v>
      </c>
      <c r="AQ44" s="250">
        <f>SCI!AU5/SFP!AV15</f>
        <v>0.16742506873047344</v>
      </c>
      <c r="AR44" s="250">
        <f>SCI!AV5/SFP!AW15</f>
        <v>1.3537903886222608E-2</v>
      </c>
      <c r="AS44" s="250">
        <f>SCI!AW5/SFP!AX15</f>
        <v>2.9452817943939717E-2</v>
      </c>
      <c r="AT44" s="250">
        <f>SCI!AX5/SFP!AY15</f>
        <v>4.37454978160337E-2</v>
      </c>
      <c r="AU44" s="250">
        <f>SCI!AY5/SFP!AZ15</f>
        <v>5.8009895390741188E-2</v>
      </c>
      <c r="AV44" s="250">
        <f>SCI!AZ5/SFP!BA15</f>
        <v>7.230876855344566E-2</v>
      </c>
      <c r="AW44" s="250">
        <f>SCI!BA5/SFP!BB15</f>
        <v>8.5948629407884974E-2</v>
      </c>
      <c r="AX44" s="250">
        <f>SCI!BB5/SFP!BC15</f>
        <v>0.1008205233451458</v>
      </c>
      <c r="AY44" s="250">
        <f>SCI!BC5/SFP!BD15</f>
        <v>0.11373679492641256</v>
      </c>
      <c r="AZ44" s="250">
        <f>SCI!BD5/SFP!BE15</f>
        <v>0.12720525887509695</v>
      </c>
      <c r="BA44" s="250">
        <f>SCI!BE5/SFP!BF15</f>
        <v>0.1394799482589224</v>
      </c>
      <c r="BB44" s="250">
        <f>SCI!BF5/SFP!BG15</f>
        <v>0.15388960682605915</v>
      </c>
      <c r="BC44" s="250">
        <f>SCI!BG5/SFP!BH15</f>
        <v>0.16541330282050667</v>
      </c>
      <c r="BD44" s="250">
        <f>SCI!BH5/SFP!BI15</f>
        <v>0.16541330283218925</v>
      </c>
      <c r="BE44" s="250">
        <f>SCI!BI5/SFP!BJ15</f>
        <v>1.3356307498331686E-2</v>
      </c>
      <c r="BF44" s="250">
        <f>SCI!BJ5/SFP!BK15</f>
        <v>3.1406091694934142E-2</v>
      </c>
      <c r="BG44" s="250">
        <f>SCI!BK5/SFP!BL15</f>
        <v>4.4881255903480216E-2</v>
      </c>
      <c r="BH44" s="250">
        <f>SCI!BL5/SFP!BM15</f>
        <v>5.8236366643703526E-2</v>
      </c>
      <c r="BI44" s="250">
        <f>SCI!BM5/SFP!BN15</f>
        <v>7.1568731023655185E-2</v>
      </c>
      <c r="BJ44" s="250">
        <f>SCI!BN5/SFP!BO15</f>
        <v>8.3814614248701333E-2</v>
      </c>
      <c r="BK44" s="250">
        <f>SCI!BO5/SFP!BP15</f>
        <v>9.6561864659921837E-2</v>
      </c>
      <c r="BL44" s="250">
        <f>SCI!BP5/SFP!BQ15</f>
        <v>0.10971892734282455</v>
      </c>
      <c r="BM44" s="250">
        <f>SCI!BQ5/SFP!BR15</f>
        <v>0.1200801271563538</v>
      </c>
      <c r="BN44" s="250">
        <f>SCI!BR5/SFP!BS15</f>
        <v>0.13031270122746502</v>
      </c>
      <c r="BO44" s="250">
        <f>SCI!BS5/SFP!BT15</f>
        <v>0.14104919035669936</v>
      </c>
      <c r="BP44" s="250">
        <f>SCI!BT5/SFP!BU15</f>
        <v>0.14968019391095075</v>
      </c>
      <c r="BQ44" s="250">
        <f>SCI!BU5/SFP!BV15</f>
        <v>0.14968016344994481</v>
      </c>
      <c r="BR44" s="250" t="e">
        <f>SCI!BV5/SFP!BW15</f>
        <v>#DIV/0!</v>
      </c>
      <c r="BS44" s="250" t="e">
        <f>SCI!BW5/SFP!BX15</f>
        <v>#DIV/0!</v>
      </c>
      <c r="BT44" s="250" t="e">
        <f>SCI!BX5/SFP!BY15</f>
        <v>#DIV/0!</v>
      </c>
      <c r="BU44" s="250" t="e">
        <f>SCI!BY5/SFP!BZ15</f>
        <v>#DIV/0!</v>
      </c>
      <c r="BV44" s="250" t="e">
        <f>SCI!BZ5/SFP!CA15</f>
        <v>#DIV/0!</v>
      </c>
      <c r="BW44" s="250" t="e">
        <f>SCI!CA5/SFP!CB15</f>
        <v>#DIV/0!</v>
      </c>
      <c r="BX44" s="250" t="e">
        <f>SCI!CB5/SFP!CC15</f>
        <v>#DIV/0!</v>
      </c>
      <c r="BY44" s="250" t="e">
        <f>SCI!CC5/SFP!CD15</f>
        <v>#DIV/0!</v>
      </c>
      <c r="BZ44" s="250" t="e">
        <f>SCI!CD5/SFP!CE15</f>
        <v>#DIV/0!</v>
      </c>
    </row>
    <row r="45" spans="1:78">
      <c r="A45" s="266"/>
      <c r="B45" s="265"/>
      <c r="C45" s="264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</row>
    <row r="46" spans="1:78">
      <c r="A46" s="266" t="s">
        <v>165</v>
      </c>
      <c r="B46" s="265"/>
      <c r="C46" s="264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</row>
    <row r="47" spans="1:78">
      <c r="A47" s="263" t="s">
        <v>166</v>
      </c>
      <c r="B47" s="28">
        <v>0.15</v>
      </c>
      <c r="C47" s="15">
        <v>13.2</v>
      </c>
      <c r="D47" s="26">
        <f>CAELS!E17</f>
        <v>0.88648678214642518</v>
      </c>
      <c r="E47" s="26" t="e">
        <f>CAELS!#REF!</f>
        <v>#REF!</v>
      </c>
      <c r="F47" s="26" t="e">
        <f>CAELS!#REF!</f>
        <v>#REF!</v>
      </c>
      <c r="G47" s="26" t="e">
        <f>CAELS!#REF!</f>
        <v>#REF!</v>
      </c>
      <c r="H47" s="26" t="e">
        <f>CAELS!#REF!</f>
        <v>#REF!</v>
      </c>
      <c r="I47" s="26" t="e">
        <f>CAELS!#REF!</f>
        <v>#REF!</v>
      </c>
      <c r="J47" s="26" t="e">
        <f>CAELS!#REF!</f>
        <v>#REF!</v>
      </c>
      <c r="K47" s="26" t="e">
        <f>CAELS!#REF!</f>
        <v>#REF!</v>
      </c>
      <c r="L47" s="26" t="e">
        <f>CAELS!#REF!</f>
        <v>#REF!</v>
      </c>
      <c r="M47" s="26" t="e">
        <f>CAELS!#REF!</f>
        <v>#REF!</v>
      </c>
      <c r="N47" s="26" t="e">
        <f>CAELS!#REF!</f>
        <v>#REF!</v>
      </c>
      <c r="O47" s="26" t="e">
        <f>CAELS!#REF!</f>
        <v>#REF!</v>
      </c>
      <c r="P47" s="26" t="e">
        <f>CAELS!#REF!</f>
        <v>#REF!</v>
      </c>
      <c r="Q47" s="26">
        <f>CAELS!F17</f>
        <v>0.6830747613823891</v>
      </c>
      <c r="R47" s="26">
        <f>CAELS!G17</f>
        <v>0.67192156268321546</v>
      </c>
      <c r="S47" s="26">
        <f>CAELS!H17</f>
        <v>0.73143732394290961</v>
      </c>
      <c r="T47" s="26">
        <f>CAELS!I17</f>
        <v>0.77731846207605626</v>
      </c>
      <c r="U47" s="26">
        <f>CAELS!J17</f>
        <v>0.93799763080792331</v>
      </c>
      <c r="V47" s="26">
        <f>CAELS!K17</f>
        <v>1.0164604341528218</v>
      </c>
      <c r="W47" s="26">
        <f>CAELS!L17</f>
        <v>1.1155927902151004</v>
      </c>
      <c r="X47" s="26">
        <f>CAELS!M17</f>
        <v>1.1047511402369887</v>
      </c>
      <c r="Y47" s="26">
        <f>CAELS!N17</f>
        <v>1.2286979681039432</v>
      </c>
      <c r="Z47" s="26">
        <f>CAELS!O17</f>
        <v>1.157812206208414</v>
      </c>
      <c r="AA47" s="26">
        <f>CAELS!P17</f>
        <v>1.1845644349805642</v>
      </c>
      <c r="AB47" s="26">
        <f>CAELS!Q17</f>
        <v>1.3522288905258049</v>
      </c>
      <c r="AC47" s="26">
        <f>CAELS!R17</f>
        <v>1.3081845528976015</v>
      </c>
      <c r="AD47" s="26">
        <f>CAELS!S17</f>
        <v>1.4072509368517532</v>
      </c>
      <c r="AE47" s="26">
        <f>CAELS!T17</f>
        <v>1.2510325988626239</v>
      </c>
      <c r="AF47" s="26">
        <f>CAELS!U17</f>
        <v>1.3763337557778215</v>
      </c>
      <c r="AG47" s="26">
        <f>CAELS!V17</f>
        <v>1.528384241002537</v>
      </c>
      <c r="AH47" s="26">
        <f>CAELS!W17</f>
        <v>1.6167457131656675</v>
      </c>
      <c r="AI47" s="26">
        <f>CAELS!X17</f>
        <v>1.8435873980794757</v>
      </c>
      <c r="AJ47" s="26">
        <f>CAELS!Y17</f>
        <v>1.959392495858673</v>
      </c>
      <c r="AK47" s="26" t="e">
        <f>CAELS!Z17</f>
        <v>#DIV/0!</v>
      </c>
      <c r="AL47" s="26">
        <f>CAELS!AA17</f>
        <v>1.7641219295575994</v>
      </c>
      <c r="AM47" s="26">
        <f>CAELS!AB17</f>
        <v>1.5636735091261107</v>
      </c>
      <c r="AN47" s="26">
        <f>CAELS!AC17</f>
        <v>1.5230196588699083</v>
      </c>
      <c r="AO47" s="26">
        <f>CAELS!AD17</f>
        <v>1.4310427115458109</v>
      </c>
      <c r="AP47" s="26">
        <f>CAELS!AE17</f>
        <v>1.3768742438788519</v>
      </c>
      <c r="AQ47" s="26">
        <f>CAELS!AF17</f>
        <v>1.4659017824400795</v>
      </c>
      <c r="AR47" s="26">
        <f>CAELS!AG17</f>
        <v>1.3632324093756933</v>
      </c>
      <c r="AS47" s="26">
        <f>CAELS!AH17</f>
        <v>1.6063386754422333</v>
      </c>
      <c r="AT47" s="26">
        <f>CAELS!AI17</f>
        <v>1.7335113467688692</v>
      </c>
      <c r="AU47" s="26">
        <f>CAELS!AJ17</f>
        <v>1.773053315796792</v>
      </c>
      <c r="AV47" s="26">
        <f>CAELS!AK17</f>
        <v>1.837180085586845</v>
      </c>
      <c r="AW47" s="26">
        <f>CAELS!AL17</f>
        <v>1.7426228551583396</v>
      </c>
      <c r="AX47" s="26">
        <f>CAELS!AM17</f>
        <v>1.5829151915140591</v>
      </c>
      <c r="AY47" s="26">
        <f>CAELS!AN17</f>
        <v>1.5818674379527977</v>
      </c>
      <c r="AZ47" s="26">
        <f>CAELS!AO17</f>
        <v>1.6148610520190918</v>
      </c>
      <c r="BA47" s="26">
        <f>CAELS!AP17</f>
        <v>1.5308568360076242</v>
      </c>
      <c r="BB47" s="26">
        <f>CAELS!AQ17</f>
        <v>1.4881508219543811</v>
      </c>
      <c r="BC47" s="26">
        <f>CAELS!AR17</f>
        <v>1.60078876284986</v>
      </c>
      <c r="BD47" s="26">
        <f>CAELS!AS17</f>
        <v>1.6007887632414137</v>
      </c>
      <c r="BE47" s="26">
        <f>CAELS!AT17</f>
        <v>1.4830057580515326</v>
      </c>
      <c r="BF47" s="26">
        <f>CAELS!AU17</f>
        <v>1.658673501011908</v>
      </c>
      <c r="BG47" s="26">
        <f>CAELS!AV17</f>
        <v>1.5776394924554251</v>
      </c>
      <c r="BH47" s="26">
        <f>CAELS!AW17</f>
        <v>1.5424762138845498</v>
      </c>
      <c r="BI47" s="26">
        <f>CAELS!AX17</f>
        <v>1.6573274155236757</v>
      </c>
      <c r="BJ47" s="26">
        <f>CAELS!AY17</f>
        <v>1.8135503823535282</v>
      </c>
      <c r="BK47" s="26">
        <f>CAELS!AZ17</f>
        <v>1.6113692269026172</v>
      </c>
      <c r="BL47" s="26">
        <f>CAELS!BA17</f>
        <v>1.6028684535498403</v>
      </c>
      <c r="BM47" s="26">
        <f>CAELS!BB17</f>
        <v>1.6344419386769793</v>
      </c>
      <c r="BN47" s="26">
        <f>CAELS!BC17</f>
        <v>1.540482195480805</v>
      </c>
      <c r="BO47" s="26">
        <f>CAELS!BD17</f>
        <v>1.4197173576900757</v>
      </c>
      <c r="BP47" s="26">
        <f>CAELS!BE17</f>
        <v>1.3144404260239493</v>
      </c>
      <c r="BQ47" s="26">
        <f>CAELS!BF17</f>
        <v>1.2621814160321243</v>
      </c>
      <c r="BR47" s="26" t="e">
        <f>CAELS!#REF!</f>
        <v>#REF!</v>
      </c>
      <c r="BS47" s="26">
        <f>CAELS!BG17</f>
        <v>0</v>
      </c>
      <c r="BT47" s="26">
        <f>CAELS!BH17</f>
        <v>0</v>
      </c>
      <c r="BU47" s="26">
        <f>CAELS!BI17</f>
        <v>0</v>
      </c>
      <c r="BV47" s="26">
        <f>CAELS!BJ17</f>
        <v>0</v>
      </c>
      <c r="BW47" s="26">
        <f>CAELS!BK17</f>
        <v>0</v>
      </c>
      <c r="BX47" s="26">
        <f>CAELS!BL17</f>
        <v>0</v>
      </c>
      <c r="BY47" s="26">
        <f>CAELS!BM17</f>
        <v>0</v>
      </c>
      <c r="BZ47" s="26">
        <f>CAELS!BN17</f>
        <v>0</v>
      </c>
    </row>
    <row r="48" spans="1:78">
      <c r="A48" s="267"/>
      <c r="B48" s="265"/>
      <c r="C48" s="15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</row>
    <row r="49" spans="1:78">
      <c r="A49" s="266" t="s">
        <v>167</v>
      </c>
      <c r="B49" s="265"/>
      <c r="C49" s="15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</row>
    <row r="50" spans="1:78" ht="13.9" thickBot="1">
      <c r="A50" s="268" t="s">
        <v>168</v>
      </c>
      <c r="B50" s="29">
        <v>1</v>
      </c>
      <c r="C50" s="30">
        <v>44.1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</row>
    <row r="51" spans="1:78">
      <c r="A51" s="269"/>
      <c r="B51" s="248"/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47"/>
      <c r="BE51" s="247"/>
      <c r="BF51" s="247"/>
      <c r="BG51" s="247"/>
      <c r="BH51" s="247"/>
      <c r="BI51" s="247"/>
      <c r="BJ51" s="247"/>
      <c r="BK51" s="247"/>
      <c r="BL51" s="247"/>
      <c r="BM51" s="247"/>
      <c r="BN51" s="247"/>
      <c r="BO51" s="247"/>
      <c r="BP51" s="247"/>
      <c r="BQ51" s="247"/>
      <c r="BR51" s="247"/>
      <c r="BS51" s="247"/>
      <c r="BT51" s="247"/>
      <c r="BU51" s="247"/>
      <c r="BV51" s="247"/>
      <c r="BW51" s="247"/>
      <c r="BX51" s="247"/>
      <c r="BY51" s="247"/>
      <c r="BZ51" s="247"/>
    </row>
  </sheetData>
  <phoneticPr fontId="41" type="noConversion"/>
  <pageMargins left="0.7" right="0.7" top="0.75" bottom="0.75" header="0.3" footer="0.3"/>
  <pageSetup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57"/>
  <sheetViews>
    <sheetView topLeftCell="A7" zoomScale="90" zoomScaleNormal="90" workbookViewId="0">
      <pane xSplit="3" topLeftCell="BU30" activePane="topRight" state="frozen"/>
      <selection pane="topRight" activeCell="BV50" sqref="BV50"/>
    </sheetView>
  </sheetViews>
  <sheetFormatPr defaultColWidth="8.85546875" defaultRowHeight="13.9"/>
  <cols>
    <col min="1" max="2" width="8.85546875" style="286"/>
    <col min="3" max="3" width="72.7109375" style="286" customWidth="1"/>
    <col min="4" max="4" width="18.7109375" style="286" hidden="1" customWidth="1"/>
    <col min="5" max="8" width="20.42578125" style="286" hidden="1" customWidth="1"/>
    <col min="9" max="12" width="21.85546875" style="286" hidden="1" customWidth="1"/>
    <col min="13" max="14" width="21.85546875" style="287" hidden="1" customWidth="1"/>
    <col min="15" max="15" width="20.42578125" style="287" hidden="1" customWidth="1"/>
    <col min="16" max="16" width="20.42578125" style="286" hidden="1" customWidth="1"/>
    <col min="17" max="17" width="17.7109375" style="286" hidden="1" customWidth="1"/>
    <col min="18" max="20" width="20.42578125" style="286" hidden="1" customWidth="1"/>
    <col min="21" max="22" width="20.5703125" style="286" bestFit="1" customWidth="1"/>
    <col min="23" max="27" width="20.42578125" style="286" hidden="1" customWidth="1"/>
    <col min="28" max="34" width="19.28515625" style="286" hidden="1" customWidth="1"/>
    <col min="35" max="35" width="19.85546875" style="286" bestFit="1" customWidth="1"/>
    <col min="36" max="43" width="19.28515625" style="286" hidden="1" customWidth="1"/>
    <col min="44" max="46" width="20.42578125" style="286" hidden="1" customWidth="1"/>
    <col min="47" max="47" width="21.140625" style="286" bestFit="1" customWidth="1"/>
    <col min="48" max="48" width="16.7109375" style="286" bestFit="1" customWidth="1"/>
    <col min="49" max="60" width="20.42578125" style="286" hidden="1" customWidth="1"/>
    <col min="61" max="61" width="20.85546875" style="286" customWidth="1"/>
    <col min="62" max="67" width="21.140625" style="286" bestFit="1" customWidth="1"/>
    <col min="68" max="68" width="20" style="286" customWidth="1"/>
    <col min="69" max="69" width="20.7109375" style="286" customWidth="1"/>
    <col min="70" max="70" width="21.28515625" style="286" bestFit="1" customWidth="1"/>
    <col min="71" max="71" width="19.5703125" style="286" customWidth="1"/>
    <col min="72" max="72" width="19.42578125" style="286" customWidth="1"/>
    <col min="73" max="73" width="19.7109375" style="286" customWidth="1"/>
    <col min="74" max="74" width="21" style="287" bestFit="1" customWidth="1"/>
    <col min="75" max="75" width="8.85546875" style="286"/>
    <col min="76" max="76" width="14.85546875" style="286" bestFit="1" customWidth="1"/>
    <col min="77" max="78" width="8.85546875" style="286"/>
    <col min="79" max="79" width="11.28515625" style="286" bestFit="1" customWidth="1"/>
    <col min="80" max="16384" width="8.85546875" style="286"/>
  </cols>
  <sheetData>
    <row r="1" spans="3:76">
      <c r="Q1" s="287"/>
    </row>
    <row r="2" spans="3:76">
      <c r="D2" s="288" t="s">
        <v>169</v>
      </c>
      <c r="E2" s="288" t="s">
        <v>170</v>
      </c>
      <c r="F2" s="288" t="s">
        <v>171</v>
      </c>
      <c r="G2" s="288" t="s">
        <v>172</v>
      </c>
      <c r="H2" s="288" t="s">
        <v>173</v>
      </c>
      <c r="I2" s="289">
        <v>42736</v>
      </c>
      <c r="J2" s="289">
        <v>42767</v>
      </c>
      <c r="K2" s="289">
        <v>42795</v>
      </c>
      <c r="L2" s="289">
        <v>42826</v>
      </c>
      <c r="M2" s="289">
        <v>42856</v>
      </c>
      <c r="N2" s="289">
        <v>42887</v>
      </c>
      <c r="O2" s="289">
        <v>42917</v>
      </c>
      <c r="P2" s="290">
        <v>42948</v>
      </c>
      <c r="Q2" s="289">
        <v>42979</v>
      </c>
      <c r="R2" s="290">
        <v>43009</v>
      </c>
      <c r="S2" s="289">
        <v>43040</v>
      </c>
      <c r="T2" s="290">
        <v>43070</v>
      </c>
      <c r="U2" s="290" t="s">
        <v>2</v>
      </c>
      <c r="V2" s="291" t="s">
        <v>3</v>
      </c>
      <c r="W2" s="291">
        <v>43466</v>
      </c>
      <c r="X2" s="291">
        <v>43497</v>
      </c>
      <c r="Y2" s="291">
        <v>43525</v>
      </c>
      <c r="Z2" s="291">
        <v>43556</v>
      </c>
      <c r="AA2" s="291">
        <v>43586</v>
      </c>
      <c r="AB2" s="291">
        <v>43617</v>
      </c>
      <c r="AC2" s="291">
        <v>43647</v>
      </c>
      <c r="AD2" s="291">
        <v>43678</v>
      </c>
      <c r="AE2" s="291">
        <v>43709</v>
      </c>
      <c r="AF2" s="291">
        <v>43739</v>
      </c>
      <c r="AG2" s="291">
        <v>43770</v>
      </c>
      <c r="AH2" s="291">
        <v>43800</v>
      </c>
      <c r="AI2" s="291" t="s">
        <v>4</v>
      </c>
      <c r="AJ2" s="291">
        <v>43831</v>
      </c>
      <c r="AK2" s="291">
        <v>43862</v>
      </c>
      <c r="AL2" s="291">
        <v>43891</v>
      </c>
      <c r="AM2" s="291">
        <v>43922</v>
      </c>
      <c r="AN2" s="291">
        <v>43952</v>
      </c>
      <c r="AO2" s="291">
        <v>43983</v>
      </c>
      <c r="AP2" s="291">
        <v>44013</v>
      </c>
      <c r="AQ2" s="291">
        <v>44044</v>
      </c>
      <c r="AR2" s="291">
        <v>44075</v>
      </c>
      <c r="AS2" s="291">
        <v>44105</v>
      </c>
      <c r="AT2" s="291">
        <v>44136</v>
      </c>
      <c r="AU2" s="291">
        <v>44166</v>
      </c>
      <c r="AV2" s="291" t="s">
        <v>5</v>
      </c>
      <c r="AW2" s="291">
        <v>44197</v>
      </c>
      <c r="AX2" s="291">
        <v>44228</v>
      </c>
      <c r="AY2" s="291">
        <v>44256</v>
      </c>
      <c r="AZ2" s="291">
        <v>44287</v>
      </c>
      <c r="BA2" s="291">
        <v>44317</v>
      </c>
      <c r="BB2" s="291">
        <v>44348</v>
      </c>
      <c r="BC2" s="291">
        <v>44378</v>
      </c>
      <c r="BD2" s="291">
        <v>44409</v>
      </c>
      <c r="BE2" s="291">
        <v>44440</v>
      </c>
      <c r="BF2" s="291">
        <v>44470</v>
      </c>
      <c r="BG2" s="291">
        <v>44501</v>
      </c>
      <c r="BH2" s="291">
        <v>44531</v>
      </c>
      <c r="BI2" s="292" t="s">
        <v>6</v>
      </c>
      <c r="BJ2" s="291">
        <v>44562</v>
      </c>
      <c r="BK2" s="291">
        <v>44593</v>
      </c>
      <c r="BL2" s="291">
        <v>44621</v>
      </c>
      <c r="BM2" s="291">
        <v>44652</v>
      </c>
      <c r="BN2" s="291">
        <v>44682</v>
      </c>
      <c r="BO2" s="291">
        <v>44713</v>
      </c>
      <c r="BP2" s="291">
        <v>44743</v>
      </c>
      <c r="BQ2" s="291">
        <v>44774</v>
      </c>
      <c r="BR2" s="291">
        <v>44805</v>
      </c>
      <c r="BS2" s="291">
        <v>44835</v>
      </c>
      <c r="BT2" s="291">
        <v>44866</v>
      </c>
      <c r="BU2" s="291">
        <v>44896</v>
      </c>
      <c r="BV2" s="398" t="s">
        <v>62</v>
      </c>
    </row>
    <row r="3" spans="3:76">
      <c r="C3" s="293" t="s">
        <v>174</v>
      </c>
      <c r="D3" s="294"/>
      <c r="E3" s="294"/>
      <c r="F3" s="294"/>
      <c r="G3" s="294"/>
      <c r="H3" s="294"/>
      <c r="I3" s="294"/>
      <c r="J3" s="294"/>
      <c r="K3" s="294"/>
      <c r="L3" s="294"/>
      <c r="M3" s="295"/>
      <c r="V3" s="296"/>
    </row>
    <row r="4" spans="3:76">
      <c r="C4" s="297" t="s">
        <v>175</v>
      </c>
      <c r="D4" s="298"/>
      <c r="E4" s="298">
        <f>E5+E6</f>
        <v>251415764</v>
      </c>
      <c r="F4" s="298">
        <f>F5+F6</f>
        <v>506353666</v>
      </c>
      <c r="G4" s="298">
        <f>G5+G6</f>
        <v>600085716</v>
      </c>
      <c r="H4" s="298">
        <f>SUM(H5:H6)</f>
        <v>430361711</v>
      </c>
      <c r="I4" s="298">
        <f>I5+I6</f>
        <v>772073007</v>
      </c>
      <c r="J4" s="298">
        <f>SUM(J5:J6)</f>
        <v>466197322</v>
      </c>
      <c r="K4" s="298">
        <f>SUM(K5:K6)</f>
        <v>578519252</v>
      </c>
      <c r="L4" s="298">
        <f>SUM(L5:L6)</f>
        <v>196138306</v>
      </c>
      <c r="M4" s="298">
        <v>533884763</v>
      </c>
      <c r="N4" s="298">
        <f>N6+N5</f>
        <v>565458087</v>
      </c>
      <c r="O4" s="299">
        <f>O5+O6</f>
        <v>540413915.38</v>
      </c>
      <c r="P4" s="298">
        <f>P5+P6</f>
        <v>415428324</v>
      </c>
      <c r="Q4" s="300">
        <f t="shared" ref="Q4:V4" si="0">SUM(Q5:Q6)</f>
        <v>424784669</v>
      </c>
      <c r="R4" s="298">
        <f t="shared" si="0"/>
        <v>495349195</v>
      </c>
      <c r="S4" s="298">
        <f t="shared" si="0"/>
        <v>461384207</v>
      </c>
      <c r="T4" s="298">
        <f t="shared" si="0"/>
        <v>428362327</v>
      </c>
      <c r="U4" s="298">
        <f t="shared" si="0"/>
        <v>429143643</v>
      </c>
      <c r="V4" s="301">
        <f t="shared" si="0"/>
        <v>750100001</v>
      </c>
      <c r="W4" s="298">
        <f t="shared" ref="W4:AD4" si="1">SUM(W5:W6)</f>
        <v>812532694</v>
      </c>
      <c r="X4" s="298">
        <f t="shared" si="1"/>
        <v>938755546</v>
      </c>
      <c r="Y4" s="298">
        <f t="shared" si="1"/>
        <v>1105837097</v>
      </c>
      <c r="Z4" s="298">
        <f t="shared" si="1"/>
        <v>799400736</v>
      </c>
      <c r="AA4" s="298">
        <f t="shared" si="1"/>
        <v>883354226</v>
      </c>
      <c r="AB4" s="302">
        <f t="shared" si="1"/>
        <v>1024877296</v>
      </c>
      <c r="AC4" s="302">
        <f t="shared" si="1"/>
        <v>1065386619</v>
      </c>
      <c r="AD4" s="302">
        <f t="shared" si="1"/>
        <v>1333964889</v>
      </c>
      <c r="AE4" s="302">
        <f t="shared" ref="AE4:AK4" si="2">SUM(AE5:AE6)</f>
        <v>1359511226</v>
      </c>
      <c r="AF4" s="298">
        <f t="shared" si="2"/>
        <v>1471260848</v>
      </c>
      <c r="AG4" s="298">
        <f t="shared" si="2"/>
        <v>1445038122</v>
      </c>
      <c r="AH4" s="303">
        <f t="shared" si="2"/>
        <v>1604702790</v>
      </c>
      <c r="AI4" s="301">
        <f t="shared" si="2"/>
        <v>779458417</v>
      </c>
      <c r="AJ4" s="301">
        <f t="shared" si="2"/>
        <v>1731709527</v>
      </c>
      <c r="AK4" s="301">
        <f t="shared" si="2"/>
        <v>1878580850</v>
      </c>
      <c r="AL4" s="301">
        <f t="shared" ref="AL4:BV4" si="3">SUM(AL5:AL6)</f>
        <v>1738475270</v>
      </c>
      <c r="AM4" s="301">
        <f t="shared" si="3"/>
        <v>1839857154</v>
      </c>
      <c r="AN4" s="301">
        <f t="shared" si="3"/>
        <v>1810798881</v>
      </c>
      <c r="AO4" s="301">
        <f t="shared" si="3"/>
        <v>2104482987</v>
      </c>
      <c r="AP4" s="301">
        <f t="shared" si="3"/>
        <v>0</v>
      </c>
      <c r="AQ4" s="301">
        <f t="shared" si="3"/>
        <v>1954381498</v>
      </c>
      <c r="AR4" s="301">
        <f t="shared" si="3"/>
        <v>1975034505</v>
      </c>
      <c r="AS4" s="301">
        <f t="shared" si="3"/>
        <v>1966331526</v>
      </c>
      <c r="AT4" s="301">
        <f t="shared" si="3"/>
        <v>1989483393</v>
      </c>
      <c r="AU4" s="301">
        <f t="shared" si="3"/>
        <v>2082110709</v>
      </c>
      <c r="AV4" s="301">
        <f t="shared" si="3"/>
        <v>2082265</v>
      </c>
      <c r="AW4" s="301">
        <f t="shared" si="3"/>
        <v>2048221227</v>
      </c>
      <c r="AX4" s="301">
        <f t="shared" si="3"/>
        <v>2038457064</v>
      </c>
      <c r="AY4" s="301">
        <f t="shared" si="3"/>
        <v>1810637980</v>
      </c>
      <c r="AZ4" s="301">
        <f t="shared" si="3"/>
        <v>1833063801</v>
      </c>
      <c r="BA4" s="301">
        <f t="shared" si="3"/>
        <v>1800427693</v>
      </c>
      <c r="BB4" s="301">
        <f t="shared" si="3"/>
        <v>2056758939</v>
      </c>
      <c r="BC4" s="301">
        <f t="shared" si="3"/>
        <v>2246653220</v>
      </c>
      <c r="BD4" s="301">
        <f t="shared" si="3"/>
        <v>2084437671</v>
      </c>
      <c r="BE4" s="301">
        <f t="shared" si="3"/>
        <v>2203129740</v>
      </c>
      <c r="BF4" s="301">
        <f t="shared" si="3"/>
        <v>2123102386</v>
      </c>
      <c r="BG4" s="301">
        <f t="shared" si="3"/>
        <v>2265007455</v>
      </c>
      <c r="BH4" s="301">
        <f t="shared" si="3"/>
        <v>2344714504</v>
      </c>
      <c r="BI4" s="301">
        <f t="shared" si="3"/>
        <v>2779557254</v>
      </c>
      <c r="BJ4" s="301">
        <f t="shared" si="3"/>
        <v>2495445563</v>
      </c>
      <c r="BK4" s="301">
        <f t="shared" si="3"/>
        <v>2289708969</v>
      </c>
      <c r="BL4" s="301">
        <f t="shared" si="3"/>
        <v>2143754856</v>
      </c>
      <c r="BM4" s="301">
        <f t="shared" si="3"/>
        <v>1978466473</v>
      </c>
      <c r="BN4" s="301">
        <f t="shared" si="3"/>
        <v>1758812710</v>
      </c>
      <c r="BO4" s="301">
        <f t="shared" si="3"/>
        <v>2116457888</v>
      </c>
      <c r="BP4" s="301">
        <f t="shared" si="3"/>
        <v>2019243777</v>
      </c>
      <c r="BQ4" s="301">
        <f t="shared" si="3"/>
        <v>1911135605</v>
      </c>
      <c r="BR4" s="301">
        <f t="shared" si="3"/>
        <v>1844438135</v>
      </c>
      <c r="BS4" s="301">
        <f t="shared" si="3"/>
        <v>1553585327</v>
      </c>
      <c r="BT4" s="301">
        <f t="shared" si="3"/>
        <v>1526807019</v>
      </c>
      <c r="BU4" s="301">
        <f t="shared" si="3"/>
        <v>1471318958</v>
      </c>
      <c r="BV4" s="367">
        <f t="shared" si="3"/>
        <v>1471320000</v>
      </c>
    </row>
    <row r="5" spans="3:76">
      <c r="C5" s="297" t="s">
        <v>176</v>
      </c>
      <c r="D5" s="304"/>
      <c r="E5" s="305">
        <v>2765634</v>
      </c>
      <c r="F5" s="306">
        <v>7781196</v>
      </c>
      <c r="G5" s="306">
        <v>3102499</v>
      </c>
      <c r="H5" s="307">
        <v>50485741</v>
      </c>
      <c r="I5" s="308">
        <v>14974358</v>
      </c>
      <c r="J5" s="307">
        <v>42270592</v>
      </c>
      <c r="K5" s="307">
        <v>54436519</v>
      </c>
      <c r="L5" s="307">
        <v>85926301</v>
      </c>
      <c r="M5" s="307">
        <v>66172685</v>
      </c>
      <c r="N5" s="307">
        <v>62028942</v>
      </c>
      <c r="O5" s="309">
        <v>45628745.729999997</v>
      </c>
      <c r="P5" s="307">
        <v>72937675</v>
      </c>
      <c r="Q5" s="304">
        <v>71374676</v>
      </c>
      <c r="R5" s="307">
        <v>56323585</v>
      </c>
      <c r="S5" s="307">
        <v>77565594</v>
      </c>
      <c r="T5" s="307">
        <v>38304025</v>
      </c>
      <c r="U5" s="310">
        <v>38303025</v>
      </c>
      <c r="V5" s="311">
        <f>31520634+3741159</f>
        <v>35261793</v>
      </c>
      <c r="W5" s="307">
        <v>28966692</v>
      </c>
      <c r="X5" s="307">
        <v>44967440</v>
      </c>
      <c r="Y5" s="307">
        <v>38665187</v>
      </c>
      <c r="Z5" s="307">
        <v>47637170</v>
      </c>
      <c r="AA5" s="307">
        <v>46519443</v>
      </c>
      <c r="AB5" s="312">
        <v>39798525</v>
      </c>
      <c r="AC5" s="312">
        <v>48354042</v>
      </c>
      <c r="AD5" s="312">
        <v>38988829</v>
      </c>
      <c r="AE5" s="312">
        <v>47667713</v>
      </c>
      <c r="AF5" s="307">
        <v>49725917</v>
      </c>
      <c r="AG5" s="307">
        <v>37814563</v>
      </c>
      <c r="AH5" s="313">
        <v>25694745</v>
      </c>
      <c r="AI5" s="314">
        <v>25694745</v>
      </c>
      <c r="AJ5" s="315">
        <v>42761631</v>
      </c>
      <c r="AK5" s="315">
        <v>35344059</v>
      </c>
      <c r="AL5" s="315">
        <v>49446758</v>
      </c>
      <c r="AM5" s="315">
        <v>43420976</v>
      </c>
      <c r="AN5" s="315">
        <v>44824873</v>
      </c>
      <c r="AO5" s="315">
        <v>35988248</v>
      </c>
      <c r="AP5" s="296"/>
      <c r="AQ5" s="315">
        <v>45346181</v>
      </c>
      <c r="AR5" s="315">
        <v>48287191</v>
      </c>
      <c r="AS5" s="315">
        <v>46905769</v>
      </c>
      <c r="AT5" s="315">
        <v>39556463</v>
      </c>
      <c r="AU5" s="315">
        <v>49273415</v>
      </c>
      <c r="AV5" s="314">
        <v>49274</v>
      </c>
      <c r="AW5" s="308">
        <v>46785060</v>
      </c>
      <c r="AX5" s="308">
        <v>52141939</v>
      </c>
      <c r="AY5" s="308">
        <v>44055092</v>
      </c>
      <c r="AZ5" s="308">
        <v>44642427</v>
      </c>
      <c r="BA5" s="308">
        <v>47182871</v>
      </c>
      <c r="BB5" s="308">
        <v>55143720</v>
      </c>
      <c r="BC5" s="308">
        <v>39856153</v>
      </c>
      <c r="BD5" s="308">
        <v>40651235</v>
      </c>
      <c r="BE5" s="308">
        <v>43480892</v>
      </c>
      <c r="BF5" s="308">
        <v>40192454</v>
      </c>
      <c r="BG5" s="308">
        <v>35985303</v>
      </c>
      <c r="BH5" s="308">
        <v>33483026</v>
      </c>
      <c r="BI5" s="316">
        <f>33483026+65322471</f>
        <v>98805497</v>
      </c>
      <c r="BJ5" s="287">
        <v>20294160</v>
      </c>
      <c r="BK5" s="287">
        <v>20147295</v>
      </c>
      <c r="BL5" s="308">
        <v>19889995</v>
      </c>
      <c r="BM5" s="308">
        <v>22750220</v>
      </c>
      <c r="BN5" s="308">
        <v>21340726</v>
      </c>
      <c r="BO5" s="308">
        <v>22295724</v>
      </c>
      <c r="BP5" s="308">
        <v>22295724</v>
      </c>
      <c r="BQ5" s="308">
        <v>50968531</v>
      </c>
      <c r="BR5" s="317">
        <v>42162678</v>
      </c>
      <c r="BS5" s="306">
        <v>38921880</v>
      </c>
      <c r="BT5" s="306">
        <v>41628848</v>
      </c>
      <c r="BU5" s="306">
        <v>20699919</v>
      </c>
      <c r="BV5" s="287">
        <v>20700000</v>
      </c>
    </row>
    <row r="6" spans="3:76">
      <c r="C6" s="297" t="s">
        <v>177</v>
      </c>
      <c r="D6" s="304"/>
      <c r="E6" s="305">
        <v>248650130</v>
      </c>
      <c r="F6" s="306">
        <v>498572470</v>
      </c>
      <c r="G6" s="306">
        <v>596983217</v>
      </c>
      <c r="H6" s="307">
        <f>430361711-H5</f>
        <v>379875970</v>
      </c>
      <c r="I6" s="308">
        <v>757098649</v>
      </c>
      <c r="J6" s="307">
        <v>423926730</v>
      </c>
      <c r="K6" s="307">
        <v>524082733</v>
      </c>
      <c r="L6" s="307">
        <v>110212005</v>
      </c>
      <c r="M6" s="307">
        <v>467712079</v>
      </c>
      <c r="N6" s="307">
        <v>503429145</v>
      </c>
      <c r="O6" s="309">
        <v>494785169.64999998</v>
      </c>
      <c r="P6" s="307">
        <v>342490649</v>
      </c>
      <c r="Q6" s="304">
        <v>353409993</v>
      </c>
      <c r="R6" s="307">
        <v>439025610</v>
      </c>
      <c r="S6" s="307">
        <v>383818613</v>
      </c>
      <c r="T6" s="307">
        <v>390058302</v>
      </c>
      <c r="U6" s="318">
        <f>429143643-U5</f>
        <v>390840618</v>
      </c>
      <c r="V6" s="311">
        <f>750100001-V5</f>
        <v>714838208</v>
      </c>
      <c r="W6" s="307">
        <v>783566002</v>
      </c>
      <c r="X6" s="307">
        <v>893788106</v>
      </c>
      <c r="Y6" s="307">
        <v>1067171910</v>
      </c>
      <c r="Z6" s="307">
        <v>751763566</v>
      </c>
      <c r="AA6" s="307">
        <v>836834783</v>
      </c>
      <c r="AB6" s="312">
        <v>985078771</v>
      </c>
      <c r="AC6" s="312">
        <v>1017032577</v>
      </c>
      <c r="AD6" s="312">
        <v>1294976060</v>
      </c>
      <c r="AE6" s="312">
        <v>1311843513</v>
      </c>
      <c r="AF6" s="307">
        <v>1421534931</v>
      </c>
      <c r="AG6" s="307">
        <v>1407223559</v>
      </c>
      <c r="AH6" s="313">
        <v>1579008045</v>
      </c>
      <c r="AI6" s="314">
        <f>406166616+7178472+310142936+4072076+23703572+2500000</f>
        <v>753763672</v>
      </c>
      <c r="AJ6" s="315">
        <v>1688947896</v>
      </c>
      <c r="AK6" s="315">
        <v>1843236791</v>
      </c>
      <c r="AL6" s="315">
        <v>1689028512</v>
      </c>
      <c r="AM6" s="315">
        <v>1796436178</v>
      </c>
      <c r="AN6" s="315">
        <v>1765974008</v>
      </c>
      <c r="AO6" s="315">
        <v>2068494739</v>
      </c>
      <c r="AP6" s="296"/>
      <c r="AQ6" s="315">
        <v>1909035317</v>
      </c>
      <c r="AR6" s="315">
        <v>1926747314</v>
      </c>
      <c r="AS6" s="315">
        <v>1919425757</v>
      </c>
      <c r="AT6" s="315">
        <v>1949926930</v>
      </c>
      <c r="AU6" s="315">
        <v>2032837294</v>
      </c>
      <c r="AV6" s="314">
        <f>135082+46970+81862+4412+14115+1120269+425039+205242</f>
        <v>2032991</v>
      </c>
      <c r="AW6" s="308">
        <v>2001436167</v>
      </c>
      <c r="AX6" s="308">
        <v>1986315125</v>
      </c>
      <c r="AY6" s="308">
        <v>1766582888</v>
      </c>
      <c r="AZ6" s="308">
        <v>1788421374</v>
      </c>
      <c r="BA6" s="308">
        <v>1753244822</v>
      </c>
      <c r="BB6" s="308">
        <v>2001615219</v>
      </c>
      <c r="BC6" s="308">
        <v>2206797067</v>
      </c>
      <c r="BD6" s="308">
        <v>2043786436</v>
      </c>
      <c r="BE6" s="308">
        <v>2159648848</v>
      </c>
      <c r="BF6" s="308">
        <v>2082909932</v>
      </c>
      <c r="BG6" s="308">
        <v>2229022152</v>
      </c>
      <c r="BH6" s="308">
        <v>2311231478</v>
      </c>
      <c r="BI6" s="308">
        <f>30413280+1928068+13924449+2199643210+434842750</f>
        <v>2680751757</v>
      </c>
      <c r="BJ6" s="287">
        <v>2475151403</v>
      </c>
      <c r="BK6" s="287">
        <v>2269561674</v>
      </c>
      <c r="BL6" s="308">
        <v>2123864861</v>
      </c>
      <c r="BM6" s="308">
        <v>1955716253</v>
      </c>
      <c r="BN6" s="308">
        <v>1737471984</v>
      </c>
      <c r="BO6" s="308">
        <v>2094162164</v>
      </c>
      <c r="BP6" s="308">
        <v>1996948053</v>
      </c>
      <c r="BQ6" s="308">
        <v>1860167074</v>
      </c>
      <c r="BR6" s="319">
        <v>1802275457</v>
      </c>
      <c r="BS6" s="306">
        <v>1514663447</v>
      </c>
      <c r="BT6" s="306">
        <v>1485178171</v>
      </c>
      <c r="BU6" s="306">
        <v>1450619039</v>
      </c>
      <c r="BV6" s="287">
        <f>1367086000+34225000+49309000</f>
        <v>1450620000</v>
      </c>
    </row>
    <row r="7" spans="3:76" s="288" customFormat="1" ht="15">
      <c r="C7" s="293" t="s">
        <v>178</v>
      </c>
      <c r="D7" s="320"/>
      <c r="E7" s="298">
        <v>253037438</v>
      </c>
      <c r="F7" s="298">
        <v>306215412</v>
      </c>
      <c r="G7" s="298">
        <v>348678521</v>
      </c>
      <c r="H7" s="298">
        <f>226108867+1054131</f>
        <v>227162998</v>
      </c>
      <c r="I7" s="298">
        <v>468632472</v>
      </c>
      <c r="J7" s="298">
        <v>263096680</v>
      </c>
      <c r="K7" s="298">
        <v>348607111</v>
      </c>
      <c r="L7" s="298">
        <v>374355514</v>
      </c>
      <c r="M7" s="298">
        <v>177269961</v>
      </c>
      <c r="N7" s="298">
        <v>179664680</v>
      </c>
      <c r="O7" s="299">
        <v>235649658.56999999</v>
      </c>
      <c r="P7" s="298">
        <v>342250228</v>
      </c>
      <c r="Q7" s="321">
        <v>359226784</v>
      </c>
      <c r="R7" s="298">
        <v>367007522</v>
      </c>
      <c r="S7" s="298">
        <v>242482867</v>
      </c>
      <c r="T7" s="298">
        <v>334583598</v>
      </c>
      <c r="U7" s="298">
        <v>311194383</v>
      </c>
      <c r="V7" s="301">
        <v>305537203</v>
      </c>
      <c r="W7" s="298">
        <v>487967383</v>
      </c>
      <c r="X7" s="298">
        <v>406711231</v>
      </c>
      <c r="Y7" s="298">
        <v>410958550</v>
      </c>
      <c r="Z7" s="298">
        <v>375316592</v>
      </c>
      <c r="AA7" s="298">
        <v>368164846</v>
      </c>
      <c r="AB7" s="302">
        <v>375522811</v>
      </c>
      <c r="AC7" s="302">
        <v>427808018</v>
      </c>
      <c r="AD7" s="302">
        <v>316986787</v>
      </c>
      <c r="AE7" s="302">
        <v>487042321.37</v>
      </c>
      <c r="AF7" s="298">
        <v>469026330</v>
      </c>
      <c r="AG7" s="298">
        <v>308987338</v>
      </c>
      <c r="AH7" s="303">
        <v>370173406</v>
      </c>
      <c r="AI7" s="301">
        <f>266548041+8730000+6837833+43337116+5368939</f>
        <v>330821929</v>
      </c>
      <c r="AJ7" s="301">
        <v>420690700</v>
      </c>
      <c r="AK7" s="301">
        <v>382257709</v>
      </c>
      <c r="AL7" s="301">
        <v>432462411</v>
      </c>
      <c r="AM7" s="301">
        <v>490337504</v>
      </c>
      <c r="AN7" s="301">
        <v>416270372</v>
      </c>
      <c r="AO7" s="301">
        <v>275351487</v>
      </c>
      <c r="AP7" s="301"/>
      <c r="AQ7" s="301">
        <v>444754612</v>
      </c>
      <c r="AR7" s="301">
        <v>461762438</v>
      </c>
      <c r="AS7" s="301">
        <v>455966861</v>
      </c>
      <c r="AT7" s="301">
        <v>486506590</v>
      </c>
      <c r="AU7" s="301">
        <v>430802380</v>
      </c>
      <c r="AV7" s="301">
        <f>326279+43214+5630+17203</f>
        <v>392326</v>
      </c>
      <c r="AW7" s="322">
        <v>478143449</v>
      </c>
      <c r="AX7" s="322">
        <v>377902069</v>
      </c>
      <c r="AY7" s="322">
        <v>376935366</v>
      </c>
      <c r="AZ7" s="322">
        <v>335758408</v>
      </c>
      <c r="BA7" s="322">
        <v>329973434</v>
      </c>
      <c r="BB7" s="322">
        <v>235265395</v>
      </c>
      <c r="BC7" s="322">
        <v>186233907</v>
      </c>
      <c r="BD7" s="322">
        <v>257923357</v>
      </c>
      <c r="BE7" s="322">
        <v>166952207</v>
      </c>
      <c r="BF7" s="322">
        <v>252222550</v>
      </c>
      <c r="BG7" s="322">
        <v>325830656</v>
      </c>
      <c r="BH7" s="322">
        <v>438992436</v>
      </c>
      <c r="BI7" s="323">
        <v>417440856.48568398</v>
      </c>
      <c r="BJ7" s="324">
        <v>369180938</v>
      </c>
      <c r="BK7" s="324">
        <v>347615402</v>
      </c>
      <c r="BL7" s="322">
        <v>368931913</v>
      </c>
      <c r="BM7" s="322">
        <v>305793411</v>
      </c>
      <c r="BN7" s="322">
        <v>273376407</v>
      </c>
      <c r="BO7" s="322">
        <v>-29976490</v>
      </c>
      <c r="BP7" s="322">
        <v>218744957</v>
      </c>
      <c r="BQ7" s="322">
        <v>235582649</v>
      </c>
      <c r="BR7" s="322">
        <v>213622955</v>
      </c>
      <c r="BS7" s="306">
        <v>231962583</v>
      </c>
      <c r="BT7" s="306">
        <v>252245426</v>
      </c>
      <c r="BU7" s="306">
        <v>349295372</v>
      </c>
      <c r="BV7" s="324">
        <v>345509000</v>
      </c>
    </row>
    <row r="8" spans="3:76">
      <c r="C8" s="293" t="s">
        <v>179</v>
      </c>
      <c r="D8" s="298"/>
      <c r="E8" s="298">
        <f>SUM(E9:E13)</f>
        <v>78543113</v>
      </c>
      <c r="F8" s="298">
        <f>SUM(F9:F13)</f>
        <v>89261478</v>
      </c>
      <c r="G8" s="298">
        <f>SUM(G9:G13)</f>
        <v>89848180</v>
      </c>
      <c r="H8" s="298">
        <f>SUM(H9:H13)</f>
        <v>383823525</v>
      </c>
      <c r="I8" s="298">
        <f>SUM(I9:I13)</f>
        <v>98672164</v>
      </c>
      <c r="J8" s="298">
        <f>J11+J13</f>
        <v>384705526</v>
      </c>
      <c r="K8" s="298">
        <f>K11+K13</f>
        <v>385146526</v>
      </c>
      <c r="L8" s="298">
        <f>L11+L13</f>
        <v>385587526</v>
      </c>
      <c r="M8" s="298">
        <f t="shared" ref="M8:R8" si="4">SUM(M9:M13)</f>
        <v>346028526</v>
      </c>
      <c r="N8" s="298">
        <f t="shared" si="4"/>
        <v>386488576</v>
      </c>
      <c r="O8" s="299">
        <f t="shared" si="4"/>
        <v>386932751</v>
      </c>
      <c r="P8" s="298">
        <f t="shared" si="4"/>
        <v>387376926</v>
      </c>
      <c r="Q8" s="300">
        <f t="shared" si="4"/>
        <v>387821101</v>
      </c>
      <c r="R8" s="298">
        <f t="shared" si="4"/>
        <v>388265276</v>
      </c>
      <c r="S8" s="298">
        <v>388709451</v>
      </c>
      <c r="T8" s="298">
        <f t="shared" ref="T8:AA8" si="5">SUM(T9:T13)</f>
        <v>389153626</v>
      </c>
      <c r="U8" s="298">
        <f t="shared" si="5"/>
        <v>438411690</v>
      </c>
      <c r="V8" s="301">
        <f t="shared" si="5"/>
        <v>480969216</v>
      </c>
      <c r="W8" s="298">
        <f t="shared" si="5"/>
        <v>504037257</v>
      </c>
      <c r="X8" s="298">
        <f t="shared" si="5"/>
        <v>478357566</v>
      </c>
      <c r="Y8" s="298">
        <f t="shared" si="5"/>
        <v>478801741</v>
      </c>
      <c r="Z8" s="298">
        <f t="shared" si="5"/>
        <v>479245916</v>
      </c>
      <c r="AA8" s="298">
        <f t="shared" si="5"/>
        <v>483490091</v>
      </c>
      <c r="AB8" s="302">
        <f t="shared" ref="AB8:AG8" si="6">SUM(AB9:AB13)</f>
        <v>521934267</v>
      </c>
      <c r="AC8" s="302">
        <f t="shared" si="6"/>
        <v>527548441</v>
      </c>
      <c r="AD8" s="302">
        <f t="shared" si="6"/>
        <v>577992616</v>
      </c>
      <c r="AE8" s="302">
        <f t="shared" si="6"/>
        <v>578436791</v>
      </c>
      <c r="AF8" s="298">
        <f t="shared" si="6"/>
        <v>616621966</v>
      </c>
      <c r="AG8" s="298">
        <f t="shared" si="6"/>
        <v>627066141</v>
      </c>
      <c r="AH8" s="303">
        <f>SUM(AH9:AH13)</f>
        <v>627510316</v>
      </c>
      <c r="AI8" s="301">
        <f>SUM(AI9:AI13)</f>
        <v>1521547182</v>
      </c>
      <c r="AJ8" s="301">
        <f>SUM(AJ9:AJ13)</f>
        <v>659934799</v>
      </c>
      <c r="AK8" s="301">
        <f>SUM(AK9:AK13)</f>
        <v>660378974</v>
      </c>
      <c r="AL8" s="301">
        <f>SUM(AL9:AL13)</f>
        <v>670823149</v>
      </c>
      <c r="AM8" s="301">
        <f t="shared" ref="AM8:BV8" si="7">SUM(AM9:AM13)</f>
        <v>671267324</v>
      </c>
      <c r="AN8" s="301">
        <f t="shared" si="7"/>
        <v>771711499</v>
      </c>
      <c r="AO8" s="301">
        <f t="shared" si="7"/>
        <v>772155674</v>
      </c>
      <c r="AP8" s="301">
        <f t="shared" si="7"/>
        <v>0</v>
      </c>
      <c r="AQ8" s="301">
        <f t="shared" si="7"/>
        <v>919746690</v>
      </c>
      <c r="AR8" s="301">
        <f t="shared" si="7"/>
        <v>920190865</v>
      </c>
      <c r="AS8" s="301">
        <f t="shared" si="7"/>
        <v>920635040</v>
      </c>
      <c r="AT8" s="301">
        <f t="shared" si="7"/>
        <v>921079215</v>
      </c>
      <c r="AU8" s="301">
        <f t="shared" si="7"/>
        <v>875296140</v>
      </c>
      <c r="AV8" s="301">
        <f t="shared" si="7"/>
        <v>789087</v>
      </c>
      <c r="AW8" s="301">
        <f t="shared" si="7"/>
        <v>758115271</v>
      </c>
      <c r="AX8" s="301">
        <f t="shared" si="7"/>
        <v>758559446</v>
      </c>
      <c r="AY8" s="301">
        <f t="shared" si="7"/>
        <v>759003621</v>
      </c>
      <c r="AZ8" s="301">
        <f t="shared" si="7"/>
        <v>809447796.28999996</v>
      </c>
      <c r="BA8" s="301">
        <f t="shared" si="7"/>
        <v>830248868</v>
      </c>
      <c r="BB8" s="301">
        <f t="shared" si="7"/>
        <v>840693043</v>
      </c>
      <c r="BC8" s="301">
        <f t="shared" si="7"/>
        <v>980636018</v>
      </c>
      <c r="BD8" s="301">
        <f t="shared" si="7"/>
        <v>999431026</v>
      </c>
      <c r="BE8" s="301">
        <f t="shared" si="7"/>
        <v>999875201</v>
      </c>
      <c r="BF8" s="301">
        <f t="shared" si="7"/>
        <v>1000319376</v>
      </c>
      <c r="BG8" s="301">
        <f t="shared" si="7"/>
        <v>1010763551</v>
      </c>
      <c r="BH8" s="301">
        <f t="shared" si="7"/>
        <v>1012049201</v>
      </c>
      <c r="BI8" s="301">
        <f t="shared" si="7"/>
        <v>577206451</v>
      </c>
      <c r="BJ8" s="301">
        <f t="shared" si="7"/>
        <v>1021463176</v>
      </c>
      <c r="BK8" s="301">
        <f t="shared" si="7"/>
        <v>1059917975</v>
      </c>
      <c r="BL8" s="301">
        <f t="shared" si="7"/>
        <v>1060362150</v>
      </c>
      <c r="BM8" s="301">
        <f t="shared" si="7"/>
        <v>1120362150</v>
      </c>
      <c r="BN8" s="301">
        <f t="shared" si="7"/>
        <v>1341091163</v>
      </c>
      <c r="BO8" s="301">
        <f t="shared" si="7"/>
        <v>1341535338</v>
      </c>
      <c r="BP8" s="301">
        <f t="shared" si="7"/>
        <v>1341979513</v>
      </c>
      <c r="BQ8" s="301">
        <f t="shared" si="7"/>
        <v>1352423688</v>
      </c>
      <c r="BR8" s="301">
        <f t="shared" si="7"/>
        <v>1352867862</v>
      </c>
      <c r="BS8" s="301">
        <f t="shared" si="7"/>
        <v>1553312037</v>
      </c>
      <c r="BT8" s="301">
        <f t="shared" si="7"/>
        <v>1561720950</v>
      </c>
      <c r="BU8" s="301">
        <f t="shared" si="7"/>
        <v>1562609300</v>
      </c>
      <c r="BV8" s="367">
        <f t="shared" si="7"/>
        <v>1541829000</v>
      </c>
    </row>
    <row r="9" spans="3:76">
      <c r="C9" s="297" t="s">
        <v>180</v>
      </c>
      <c r="D9" s="297"/>
      <c r="E9" s="305"/>
      <c r="F9" s="306">
        <v>0</v>
      </c>
      <c r="G9" s="306">
        <v>0</v>
      </c>
      <c r="H9" s="307"/>
      <c r="I9" s="308">
        <v>0</v>
      </c>
      <c r="J9" s="307"/>
      <c r="K9" s="307"/>
      <c r="L9" s="307"/>
      <c r="M9" s="307"/>
      <c r="N9" s="307"/>
      <c r="O9" s="309">
        <v>0</v>
      </c>
      <c r="P9" s="307"/>
      <c r="Q9" s="304">
        <v>0</v>
      </c>
      <c r="R9" s="307">
        <v>0</v>
      </c>
      <c r="S9" s="307"/>
      <c r="T9" s="307">
        <v>0</v>
      </c>
      <c r="U9" s="307"/>
      <c r="V9" s="311"/>
      <c r="W9" s="307"/>
      <c r="X9" s="307"/>
      <c r="Y9" s="307"/>
      <c r="Z9" s="307"/>
      <c r="AA9" s="307"/>
      <c r="AB9" s="312"/>
      <c r="AC9" s="312"/>
      <c r="AD9" s="312"/>
      <c r="AE9" s="312"/>
      <c r="AF9" s="307"/>
      <c r="AG9" s="307"/>
      <c r="AH9" s="307"/>
      <c r="AI9" s="325"/>
      <c r="AJ9" s="326">
        <v>0</v>
      </c>
      <c r="AK9" s="326">
        <v>0</v>
      </c>
      <c r="AL9" s="325"/>
      <c r="AM9" s="325"/>
      <c r="AN9" s="325"/>
      <c r="AO9" s="325"/>
      <c r="AP9" s="325"/>
      <c r="AQ9" s="325"/>
      <c r="AR9" s="325"/>
      <c r="AS9" s="325"/>
      <c r="AT9" s="325"/>
      <c r="AU9" s="325"/>
      <c r="AV9" s="327"/>
      <c r="AW9" s="328">
        <v>0</v>
      </c>
      <c r="AX9" s="328">
        <v>0</v>
      </c>
      <c r="AY9" s="328">
        <v>0</v>
      </c>
      <c r="AZ9" s="328">
        <v>0</v>
      </c>
      <c r="BA9" s="328">
        <v>0</v>
      </c>
      <c r="BB9" s="328">
        <v>0</v>
      </c>
      <c r="BC9" s="328">
        <v>0</v>
      </c>
      <c r="BD9" s="328">
        <v>0</v>
      </c>
      <c r="BE9" s="328">
        <v>0</v>
      </c>
      <c r="BF9" s="328">
        <v>0</v>
      </c>
      <c r="BG9" s="328">
        <v>0</v>
      </c>
      <c r="BH9" s="328">
        <v>0</v>
      </c>
      <c r="BI9" s="328">
        <v>0</v>
      </c>
      <c r="BJ9" s="306">
        <v>0</v>
      </c>
      <c r="BK9" s="329">
        <v>0</v>
      </c>
      <c r="BL9" s="315">
        <v>0</v>
      </c>
      <c r="BM9" s="315">
        <v>0</v>
      </c>
      <c r="BN9" s="315">
        <v>0</v>
      </c>
      <c r="BO9" s="315">
        <v>0</v>
      </c>
      <c r="BP9" s="315">
        <v>0</v>
      </c>
      <c r="BQ9" s="315">
        <v>0</v>
      </c>
      <c r="BR9" s="315">
        <v>0</v>
      </c>
      <c r="BS9" s="306">
        <v>0</v>
      </c>
      <c r="BT9" s="306">
        <v>0</v>
      </c>
      <c r="BU9" s="306">
        <v>0</v>
      </c>
      <c r="BV9" s="287">
        <v>0</v>
      </c>
    </row>
    <row r="10" spans="3:76">
      <c r="C10" s="297" t="s">
        <v>181</v>
      </c>
      <c r="D10" s="297"/>
      <c r="E10" s="305"/>
      <c r="F10" s="306">
        <v>0</v>
      </c>
      <c r="G10" s="306">
        <v>0</v>
      </c>
      <c r="H10" s="307"/>
      <c r="I10" s="308">
        <v>0</v>
      </c>
      <c r="J10" s="307"/>
      <c r="K10" s="307"/>
      <c r="L10" s="307"/>
      <c r="M10" s="307"/>
      <c r="N10" s="307"/>
      <c r="O10" s="309">
        <v>0</v>
      </c>
      <c r="P10" s="307"/>
      <c r="Q10" s="304">
        <v>0</v>
      </c>
      <c r="R10" s="307">
        <v>0</v>
      </c>
      <c r="S10" s="307"/>
      <c r="T10" s="307">
        <v>0</v>
      </c>
      <c r="U10" s="307"/>
      <c r="V10" s="296"/>
      <c r="W10" s="307"/>
      <c r="X10" s="307"/>
      <c r="Y10" s="307"/>
      <c r="Z10" s="307"/>
      <c r="AA10" s="307"/>
      <c r="AB10" s="312"/>
      <c r="AC10" s="312"/>
      <c r="AD10" s="312"/>
      <c r="AE10" s="312"/>
      <c r="AF10" s="307"/>
      <c r="AG10" s="307"/>
      <c r="AH10" s="307"/>
      <c r="AI10" s="307"/>
      <c r="AJ10" s="306">
        <v>0</v>
      </c>
      <c r="AK10" s="306">
        <v>0</v>
      </c>
      <c r="AL10" s="307"/>
      <c r="AM10" s="307"/>
      <c r="AN10" s="307"/>
      <c r="AO10" s="307"/>
      <c r="AP10" s="307"/>
      <c r="AQ10" s="307"/>
      <c r="AR10" s="307"/>
      <c r="AS10" s="307"/>
      <c r="AT10" s="307"/>
      <c r="AU10" s="307"/>
      <c r="AV10" s="313"/>
      <c r="AW10" s="308">
        <v>0</v>
      </c>
      <c r="AX10" s="308">
        <v>0</v>
      </c>
      <c r="AY10" s="308">
        <v>0</v>
      </c>
      <c r="AZ10" s="308">
        <v>0</v>
      </c>
      <c r="BA10" s="308">
        <v>0</v>
      </c>
      <c r="BB10" s="308">
        <v>0</v>
      </c>
      <c r="BC10" s="308">
        <v>0</v>
      </c>
      <c r="BD10" s="308">
        <v>0</v>
      </c>
      <c r="BE10" s="308">
        <v>0</v>
      </c>
      <c r="BF10" s="308">
        <v>0</v>
      </c>
      <c r="BG10" s="308">
        <v>0</v>
      </c>
      <c r="BH10" s="308">
        <v>0</v>
      </c>
      <c r="BI10" s="308">
        <v>0</v>
      </c>
      <c r="BJ10" s="306">
        <v>0</v>
      </c>
      <c r="BK10" s="329">
        <v>0</v>
      </c>
      <c r="BL10" s="315">
        <v>0</v>
      </c>
      <c r="BM10" s="315">
        <v>0</v>
      </c>
      <c r="BN10" s="315">
        <v>0</v>
      </c>
      <c r="BO10" s="315">
        <v>0</v>
      </c>
      <c r="BP10" s="315">
        <v>0</v>
      </c>
      <c r="BQ10" s="315">
        <v>0</v>
      </c>
      <c r="BR10" s="330">
        <v>0</v>
      </c>
      <c r="BS10" s="306">
        <v>0</v>
      </c>
      <c r="BT10" s="306">
        <v>0</v>
      </c>
      <c r="BU10" s="306">
        <v>0</v>
      </c>
      <c r="BV10" s="287">
        <v>0</v>
      </c>
    </row>
    <row r="11" spans="3:76">
      <c r="C11" s="297" t="s">
        <v>182</v>
      </c>
      <c r="D11" s="304"/>
      <c r="E11" s="305">
        <v>28483894</v>
      </c>
      <c r="F11" s="306">
        <v>29202259</v>
      </c>
      <c r="G11" s="306">
        <v>29788961</v>
      </c>
      <c r="H11" s="307">
        <v>57238712</v>
      </c>
      <c r="I11" s="308">
        <v>33608047</v>
      </c>
      <c r="J11" s="307">
        <v>58120712</v>
      </c>
      <c r="K11" s="307">
        <v>58561712</v>
      </c>
      <c r="L11" s="307">
        <v>59002712</v>
      </c>
      <c r="M11" s="307">
        <v>9443712</v>
      </c>
      <c r="N11" s="307">
        <v>39903762</v>
      </c>
      <c r="O11" s="309">
        <v>40347937</v>
      </c>
      <c r="P11" s="307">
        <v>40792112</v>
      </c>
      <c r="Q11" s="304">
        <v>41236287</v>
      </c>
      <c r="R11" s="307">
        <v>41680462</v>
      </c>
      <c r="S11" s="307">
        <v>42124637</v>
      </c>
      <c r="T11" s="307">
        <v>42568812</v>
      </c>
      <c r="U11" s="310">
        <f>42813758+395597932</f>
        <v>438411690</v>
      </c>
      <c r="V11" s="311"/>
      <c r="W11" s="307">
        <v>48439325</v>
      </c>
      <c r="X11" s="307">
        <v>48883500</v>
      </c>
      <c r="Y11" s="307">
        <v>49327675</v>
      </c>
      <c r="Z11" s="307">
        <v>49771850</v>
      </c>
      <c r="AA11" s="307">
        <v>54016025</v>
      </c>
      <c r="AB11" s="312">
        <v>54460200</v>
      </c>
      <c r="AC11" s="312">
        <v>54904375</v>
      </c>
      <c r="AD11" s="312">
        <v>105348550</v>
      </c>
      <c r="AE11" s="312">
        <v>105792725</v>
      </c>
      <c r="AF11" s="307">
        <v>106236900</v>
      </c>
      <c r="AG11" s="307">
        <v>106681075</v>
      </c>
      <c r="AH11" s="307">
        <v>107125250</v>
      </c>
      <c r="AI11" s="307">
        <f>548449536+103607021+210000000+107287208+2665050</f>
        <v>972008815</v>
      </c>
      <c r="AJ11" s="306">
        <v>110396433</v>
      </c>
      <c r="AK11" s="306">
        <v>110840608</v>
      </c>
      <c r="AL11" s="306">
        <v>111284783</v>
      </c>
      <c r="AM11" s="306">
        <v>111728958</v>
      </c>
      <c r="AN11" s="306">
        <v>212173133</v>
      </c>
      <c r="AO11" s="306">
        <v>212617308</v>
      </c>
      <c r="AP11" s="306"/>
      <c r="AQ11" s="306">
        <v>316672325</v>
      </c>
      <c r="AR11" s="306">
        <v>317116500</v>
      </c>
      <c r="AS11" s="306">
        <v>317560675</v>
      </c>
      <c r="AT11" s="306">
        <v>318004850</v>
      </c>
      <c r="AU11" s="306">
        <v>272221775</v>
      </c>
      <c r="AV11" s="313">
        <f>264227+7994</f>
        <v>272221</v>
      </c>
      <c r="AW11" s="308">
        <v>261605992</v>
      </c>
      <c r="AX11" s="308">
        <v>262050167</v>
      </c>
      <c r="AY11" s="308">
        <v>262494342</v>
      </c>
      <c r="AZ11" s="308">
        <v>312938517</v>
      </c>
      <c r="BA11" s="308">
        <v>313382692</v>
      </c>
      <c r="BB11" s="308">
        <v>313826867</v>
      </c>
      <c r="BC11" s="308">
        <v>414271042</v>
      </c>
      <c r="BD11" s="308">
        <v>433066050</v>
      </c>
      <c r="BE11" s="308">
        <v>433510225</v>
      </c>
      <c r="BF11" s="308">
        <v>433954400</v>
      </c>
      <c r="BG11" s="308">
        <v>434398575</v>
      </c>
      <c r="BH11" s="308">
        <v>434842750</v>
      </c>
      <c r="BI11" s="316">
        <v>0</v>
      </c>
      <c r="BJ11" s="306">
        <v>444256725</v>
      </c>
      <c r="BK11" s="329">
        <v>433596525</v>
      </c>
      <c r="BL11" s="315">
        <v>434040700</v>
      </c>
      <c r="BM11" s="315">
        <v>484040700</v>
      </c>
      <c r="BN11" s="315">
        <v>704769713</v>
      </c>
      <c r="BO11" s="315">
        <v>705213888</v>
      </c>
      <c r="BP11" s="315">
        <v>705658063</v>
      </c>
      <c r="BQ11" s="331">
        <v>706102238</v>
      </c>
      <c r="BR11" s="332">
        <v>706546412</v>
      </c>
      <c r="BS11" s="306">
        <v>906990587</v>
      </c>
      <c r="BT11" s="306">
        <v>915399500</v>
      </c>
      <c r="BU11" s="306">
        <v>916287850</v>
      </c>
      <c r="BV11" s="287">
        <v>916288000</v>
      </c>
    </row>
    <row r="12" spans="3:76">
      <c r="C12" s="297" t="s">
        <v>183</v>
      </c>
      <c r="D12" s="304"/>
      <c r="E12" s="305"/>
      <c r="F12" s="306"/>
      <c r="G12" s="306"/>
      <c r="H12" s="307"/>
      <c r="I12" s="308"/>
      <c r="J12" s="307"/>
      <c r="K12" s="307"/>
      <c r="L12" s="307"/>
      <c r="M12" s="307"/>
      <c r="N12" s="307"/>
      <c r="O12" s="309"/>
      <c r="P12" s="307"/>
      <c r="Q12" s="304"/>
      <c r="R12" s="307"/>
      <c r="S12" s="307"/>
      <c r="T12" s="307"/>
      <c r="U12" s="333"/>
      <c r="V12" s="311"/>
      <c r="W12" s="307"/>
      <c r="X12" s="307"/>
      <c r="Y12" s="307"/>
      <c r="Z12" s="307"/>
      <c r="AA12" s="307"/>
      <c r="AB12" s="312"/>
      <c r="AC12" s="312"/>
      <c r="AD12" s="312"/>
      <c r="AE12" s="312"/>
      <c r="AF12" s="307"/>
      <c r="AG12" s="307"/>
      <c r="AH12" s="307"/>
      <c r="AI12" s="307">
        <f>13970107+213366733+292859084+29342443</f>
        <v>549538367</v>
      </c>
      <c r="AJ12" s="306">
        <v>549538366</v>
      </c>
      <c r="AK12" s="306">
        <v>549538366</v>
      </c>
      <c r="AL12" s="306">
        <v>559538366</v>
      </c>
      <c r="AM12" s="306">
        <v>559538366</v>
      </c>
      <c r="AN12" s="306">
        <v>559538366</v>
      </c>
      <c r="AO12" s="306">
        <v>559538366</v>
      </c>
      <c r="AP12" s="306"/>
      <c r="AQ12" s="306">
        <v>603074365</v>
      </c>
      <c r="AR12" s="306">
        <v>603074365</v>
      </c>
      <c r="AS12" s="306">
        <v>603074365</v>
      </c>
      <c r="AT12" s="306">
        <v>603074365</v>
      </c>
      <c r="AU12" s="306">
        <v>603074365</v>
      </c>
      <c r="AV12" s="313">
        <f>10433+506433</f>
        <v>516866</v>
      </c>
      <c r="AW12" s="308">
        <v>496509279</v>
      </c>
      <c r="AX12" s="308">
        <v>496509279</v>
      </c>
      <c r="AY12" s="308">
        <v>496509279</v>
      </c>
      <c r="AZ12" s="308">
        <v>496509279.29000002</v>
      </c>
      <c r="BA12" s="308">
        <v>516866176</v>
      </c>
      <c r="BB12" s="308">
        <v>526866176</v>
      </c>
      <c r="BC12" s="308">
        <v>566364976</v>
      </c>
      <c r="BD12" s="308">
        <v>566364976</v>
      </c>
      <c r="BE12" s="308">
        <v>566364976</v>
      </c>
      <c r="BF12" s="308">
        <v>566364976</v>
      </c>
      <c r="BG12" s="308">
        <v>576364976</v>
      </c>
      <c r="BH12" s="308">
        <v>577206451</v>
      </c>
      <c r="BI12" s="316">
        <f>10875463+566330988</f>
        <v>577206451</v>
      </c>
      <c r="BJ12" s="306">
        <v>577206451</v>
      </c>
      <c r="BK12" s="329">
        <v>626321450</v>
      </c>
      <c r="BL12" s="315">
        <v>626321450</v>
      </c>
      <c r="BM12" s="315">
        <v>636321450</v>
      </c>
      <c r="BN12" s="315">
        <v>636321450</v>
      </c>
      <c r="BO12" s="315">
        <v>636321450</v>
      </c>
      <c r="BP12" s="315">
        <v>636321450</v>
      </c>
      <c r="BQ12" s="331">
        <v>646321450</v>
      </c>
      <c r="BR12" s="332">
        <v>646321450</v>
      </c>
      <c r="BS12" s="306">
        <v>646321450</v>
      </c>
      <c r="BT12" s="306">
        <v>646321450</v>
      </c>
      <c r="BU12" s="306">
        <v>646321450</v>
      </c>
      <c r="BV12" s="287">
        <f>614666000+10875000</f>
        <v>625541000</v>
      </c>
    </row>
    <row r="13" spans="3:76">
      <c r="C13" s="297" t="s">
        <v>184</v>
      </c>
      <c r="D13" s="304"/>
      <c r="E13" s="306">
        <v>50059219</v>
      </c>
      <c r="F13" s="306">
        <v>60059219</v>
      </c>
      <c r="G13" s="306">
        <v>60059219</v>
      </c>
      <c r="H13" s="307">
        <v>326584813</v>
      </c>
      <c r="I13" s="308">
        <v>65064117</v>
      </c>
      <c r="J13" s="307">
        <v>326584814</v>
      </c>
      <c r="K13" s="307">
        <v>326584814</v>
      </c>
      <c r="L13" s="307">
        <v>326584814</v>
      </c>
      <c r="M13" s="307">
        <v>336584814</v>
      </c>
      <c r="N13" s="307">
        <v>346584814</v>
      </c>
      <c r="O13" s="309">
        <v>346584814</v>
      </c>
      <c r="P13" s="307">
        <v>346584814</v>
      </c>
      <c r="Q13" s="304">
        <v>346584814</v>
      </c>
      <c r="R13" s="307">
        <v>346584814</v>
      </c>
      <c r="S13" s="307">
        <v>346584814</v>
      </c>
      <c r="T13" s="307">
        <v>346584814</v>
      </c>
      <c r="U13" s="307"/>
      <c r="V13" s="311">
        <f>47995150+3500000+429474066</f>
        <v>480969216</v>
      </c>
      <c r="W13" s="307">
        <v>455597932</v>
      </c>
      <c r="X13" s="307">
        <v>429474066</v>
      </c>
      <c r="Y13" s="307">
        <v>429474066</v>
      </c>
      <c r="Z13" s="307">
        <v>429474066</v>
      </c>
      <c r="AA13" s="307">
        <v>429474066</v>
      </c>
      <c r="AB13" s="312">
        <v>467474067</v>
      </c>
      <c r="AC13" s="312">
        <v>472644066</v>
      </c>
      <c r="AD13" s="312">
        <v>472644066</v>
      </c>
      <c r="AE13" s="312">
        <v>472644066</v>
      </c>
      <c r="AF13" s="307">
        <v>510385066</v>
      </c>
      <c r="AG13" s="307">
        <v>520385066</v>
      </c>
      <c r="AH13" s="307">
        <v>520385066</v>
      </c>
      <c r="AI13" s="307"/>
      <c r="AJ13" s="306"/>
      <c r="AK13" s="306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13"/>
      <c r="AW13" s="316">
        <v>0</v>
      </c>
      <c r="AX13" s="316">
        <v>0</v>
      </c>
      <c r="AY13" s="316">
        <v>0</v>
      </c>
      <c r="AZ13" s="316">
        <v>0</v>
      </c>
      <c r="BA13" s="316">
        <v>0</v>
      </c>
      <c r="BB13" s="316">
        <v>0</v>
      </c>
      <c r="BC13" s="316">
        <v>0</v>
      </c>
      <c r="BD13" s="316">
        <v>0</v>
      </c>
      <c r="BE13" s="316">
        <v>0</v>
      </c>
      <c r="BF13" s="316">
        <v>0</v>
      </c>
      <c r="BG13" s="316">
        <v>0</v>
      </c>
      <c r="BH13" s="316">
        <v>0</v>
      </c>
      <c r="BI13" s="316">
        <v>0</v>
      </c>
      <c r="BL13" s="315">
        <v>0</v>
      </c>
      <c r="BM13" s="315">
        <v>0</v>
      </c>
      <c r="BN13" s="315">
        <v>0</v>
      </c>
      <c r="BO13" s="315">
        <v>0</v>
      </c>
      <c r="BP13" s="315">
        <v>0</v>
      </c>
      <c r="BQ13" s="334">
        <v>0</v>
      </c>
      <c r="BR13" s="335">
        <v>0</v>
      </c>
    </row>
    <row r="14" spans="3:76">
      <c r="C14" s="293" t="s">
        <v>185</v>
      </c>
      <c r="D14" s="298"/>
      <c r="E14" s="298">
        <f>E15-E16</f>
        <v>4321931459</v>
      </c>
      <c r="F14" s="298">
        <f t="shared" ref="F14:O14" si="8">F15-F16</f>
        <v>5568210509</v>
      </c>
      <c r="G14" s="298">
        <f t="shared" si="8"/>
        <v>7255037324</v>
      </c>
      <c r="H14" s="298">
        <f t="shared" si="8"/>
        <v>5883235568</v>
      </c>
      <c r="I14" s="298">
        <f t="shared" si="8"/>
        <v>9627426227</v>
      </c>
      <c r="J14" s="298">
        <f>J15-J16</f>
        <v>6053436393</v>
      </c>
      <c r="K14" s="298">
        <f>K15-K16</f>
        <v>5901058721</v>
      </c>
      <c r="L14" s="298">
        <f>L15-L16</f>
        <v>5912832534</v>
      </c>
      <c r="M14" s="298">
        <v>5853540115</v>
      </c>
      <c r="N14" s="298">
        <f>N15-N16</f>
        <v>5976850461</v>
      </c>
      <c r="O14" s="299">
        <f t="shared" si="8"/>
        <v>5943347843.3300009</v>
      </c>
      <c r="P14" s="298">
        <f t="shared" ref="P14:U14" si="9">P15-P16</f>
        <v>6081908086</v>
      </c>
      <c r="Q14" s="300">
        <f t="shared" si="9"/>
        <v>6185567700</v>
      </c>
      <c r="R14" s="298">
        <f t="shared" si="9"/>
        <v>6252187024</v>
      </c>
      <c r="S14" s="298">
        <f t="shared" si="9"/>
        <v>6439596490</v>
      </c>
      <c r="T14" s="298">
        <f t="shared" si="9"/>
        <v>6409998565</v>
      </c>
      <c r="U14" s="298">
        <f t="shared" si="9"/>
        <v>6527159792</v>
      </c>
      <c r="V14" s="301">
        <f t="shared" ref="V14:AA14" si="10">V15-V16</f>
        <v>6735591075</v>
      </c>
      <c r="W14" s="298">
        <f t="shared" si="10"/>
        <v>6723378302</v>
      </c>
      <c r="X14" s="298">
        <f t="shared" si="10"/>
        <v>6701926883</v>
      </c>
      <c r="Y14" s="298">
        <f t="shared" si="10"/>
        <v>6625163637</v>
      </c>
      <c r="Z14" s="298">
        <f t="shared" si="10"/>
        <v>6469028018</v>
      </c>
      <c r="AA14" s="298">
        <f t="shared" si="10"/>
        <v>6388246711</v>
      </c>
      <c r="AB14" s="302">
        <f t="shared" ref="AB14:AI14" si="11">AB15-AB16</f>
        <v>6355553649</v>
      </c>
      <c r="AC14" s="302">
        <f t="shared" si="11"/>
        <v>6346942941</v>
      </c>
      <c r="AD14" s="302">
        <f t="shared" si="11"/>
        <v>6394045272</v>
      </c>
      <c r="AE14" s="302">
        <f t="shared" si="11"/>
        <v>6313982778.6300001</v>
      </c>
      <c r="AF14" s="298">
        <f t="shared" si="11"/>
        <v>6341689131</v>
      </c>
      <c r="AG14" s="298">
        <f t="shared" si="11"/>
        <v>6352660812.9499998</v>
      </c>
      <c r="AH14" s="298">
        <f t="shared" si="11"/>
        <v>6340733097</v>
      </c>
      <c r="AI14" s="298">
        <f t="shared" si="11"/>
        <v>6368366021</v>
      </c>
      <c r="AJ14" s="298">
        <f>AJ15-AJ16</f>
        <v>6389015306</v>
      </c>
      <c r="AK14" s="298">
        <f>AK15-AK16</f>
        <v>6364846241</v>
      </c>
      <c r="AL14" s="298">
        <f>AL15-AL16</f>
        <v>6260241748</v>
      </c>
      <c r="AM14" s="298">
        <f t="shared" ref="AM14:BV14" si="12">AM15-AM16</f>
        <v>6178091344.8000002</v>
      </c>
      <c r="AN14" s="298">
        <f t="shared" si="12"/>
        <v>6141681091.5</v>
      </c>
      <c r="AO14" s="298">
        <f t="shared" si="12"/>
        <v>6098387632</v>
      </c>
      <c r="AP14" s="298">
        <f t="shared" si="12"/>
        <v>0</v>
      </c>
      <c r="AQ14" s="298">
        <f t="shared" si="12"/>
        <v>6222297355</v>
      </c>
      <c r="AR14" s="298">
        <f t="shared" si="12"/>
        <v>6256443145</v>
      </c>
      <c r="AS14" s="298">
        <f t="shared" si="12"/>
        <v>6464645267</v>
      </c>
      <c r="AT14" s="298">
        <f t="shared" si="12"/>
        <v>6624669552</v>
      </c>
      <c r="AU14" s="298">
        <f t="shared" si="12"/>
        <v>6732078950</v>
      </c>
      <c r="AV14" s="298">
        <f t="shared" si="12"/>
        <v>6732078</v>
      </c>
      <c r="AW14" s="336">
        <f t="shared" si="12"/>
        <v>6733831799</v>
      </c>
      <c r="AX14" s="336">
        <f t="shared" si="12"/>
        <v>6672266544</v>
      </c>
      <c r="AY14" s="336">
        <f t="shared" si="12"/>
        <v>6747800355</v>
      </c>
      <c r="AZ14" s="336">
        <f t="shared" si="12"/>
        <v>6801079617.71</v>
      </c>
      <c r="BA14" s="336">
        <f t="shared" si="12"/>
        <v>6899205826</v>
      </c>
      <c r="BB14" s="336">
        <f t="shared" si="12"/>
        <v>6982886917</v>
      </c>
      <c r="BC14" s="336">
        <f t="shared" si="12"/>
        <v>7086790390</v>
      </c>
      <c r="BD14" s="336">
        <f t="shared" si="12"/>
        <v>7135560977</v>
      </c>
      <c r="BE14" s="336">
        <f t="shared" si="12"/>
        <v>7232269175</v>
      </c>
      <c r="BF14" s="336">
        <f t="shared" si="12"/>
        <v>7343578969</v>
      </c>
      <c r="BG14" s="336">
        <f t="shared" si="12"/>
        <v>7343399060</v>
      </c>
      <c r="BH14" s="336">
        <f t="shared" si="12"/>
        <v>7438827348</v>
      </c>
      <c r="BI14" s="336">
        <f t="shared" si="12"/>
        <v>7446976736.4698038</v>
      </c>
      <c r="BJ14" s="336">
        <f t="shared" si="12"/>
        <v>7478701521</v>
      </c>
      <c r="BK14" s="336">
        <f t="shared" si="12"/>
        <v>7457150563</v>
      </c>
      <c r="BL14" s="336">
        <f t="shared" si="12"/>
        <v>7593543219</v>
      </c>
      <c r="BM14" s="336">
        <f t="shared" si="12"/>
        <v>7771124084</v>
      </c>
      <c r="BN14" s="336">
        <f t="shared" si="12"/>
        <v>7846012244</v>
      </c>
      <c r="BO14" s="336">
        <f t="shared" si="12"/>
        <v>7939928093</v>
      </c>
      <c r="BP14" s="336">
        <f t="shared" si="12"/>
        <v>8018130164</v>
      </c>
      <c r="BQ14" s="336">
        <f t="shared" si="12"/>
        <v>8126486567</v>
      </c>
      <c r="BR14" s="336">
        <f t="shared" si="12"/>
        <v>8387637088</v>
      </c>
      <c r="BS14" s="336">
        <f t="shared" si="12"/>
        <v>8598391265</v>
      </c>
      <c r="BT14" s="336">
        <f t="shared" si="12"/>
        <v>8822263729</v>
      </c>
      <c r="BU14" s="336">
        <f t="shared" si="12"/>
        <v>9042201427</v>
      </c>
      <c r="BV14" s="387">
        <f t="shared" si="12"/>
        <v>9122098000</v>
      </c>
      <c r="BX14" s="394"/>
    </row>
    <row r="15" spans="3:76">
      <c r="C15" s="297" t="s">
        <v>186</v>
      </c>
      <c r="D15" s="304"/>
      <c r="E15" s="305">
        <v>4409358584</v>
      </c>
      <c r="F15" s="306">
        <f>4409358584+3740894610+789564218-3243537236</f>
        <v>5696280176</v>
      </c>
      <c r="G15" s="306">
        <v>7401435447</v>
      </c>
      <c r="H15" s="307">
        <v>6019992881</v>
      </c>
      <c r="I15" s="308">
        <v>9899194653</v>
      </c>
      <c r="J15" s="307">
        <v>6250165112</v>
      </c>
      <c r="K15" s="307">
        <v>6103005896</v>
      </c>
      <c r="L15" s="307">
        <v>6082146799</v>
      </c>
      <c r="M15" s="307">
        <v>6033714016</v>
      </c>
      <c r="N15" s="307">
        <v>6171941850</v>
      </c>
      <c r="O15" s="309">
        <v>6110376100.5200005</v>
      </c>
      <c r="P15" s="307">
        <v>6259303284</v>
      </c>
      <c r="Q15" s="304">
        <v>6383829356</v>
      </c>
      <c r="R15" s="307">
        <v>6448277504</v>
      </c>
      <c r="S15" s="307">
        <v>6645432127</v>
      </c>
      <c r="T15" s="307">
        <v>6677544533</v>
      </c>
      <c r="U15" s="307">
        <v>6677545533</v>
      </c>
      <c r="V15" s="311">
        <v>7151001513</v>
      </c>
      <c r="W15" s="307">
        <v>7136929610</v>
      </c>
      <c r="X15" s="307">
        <v>7117337321</v>
      </c>
      <c r="Y15" s="307">
        <v>7040574075</v>
      </c>
      <c r="Z15" s="307">
        <v>6884438456</v>
      </c>
      <c r="AA15" s="307">
        <v>6803657149</v>
      </c>
      <c r="AB15" s="312">
        <v>6770964087</v>
      </c>
      <c r="AC15" s="312">
        <v>6762353379</v>
      </c>
      <c r="AD15" s="312">
        <v>6809455710</v>
      </c>
      <c r="AE15" s="312">
        <v>6760058286</v>
      </c>
      <c r="AF15" s="307">
        <v>6783625125</v>
      </c>
      <c r="AG15" s="307">
        <v>6803155329</v>
      </c>
      <c r="AH15" s="307">
        <v>6805841374</v>
      </c>
      <c r="AI15" s="307">
        <v>6805841374</v>
      </c>
      <c r="AJ15" s="306">
        <v>6848465939</v>
      </c>
      <c r="AK15" s="306">
        <v>6821066296</v>
      </c>
      <c r="AL15" s="306">
        <v>6704742205</v>
      </c>
      <c r="AM15" s="306">
        <v>6655440429</v>
      </c>
      <c r="AN15" s="306">
        <v>6616637952</v>
      </c>
      <c r="AO15" s="306">
        <v>6603562072</v>
      </c>
      <c r="AP15" s="306"/>
      <c r="AQ15" s="306">
        <v>6732689976</v>
      </c>
      <c r="AR15" s="306">
        <v>6867846697</v>
      </c>
      <c r="AS15" s="306">
        <v>7003597287</v>
      </c>
      <c r="AT15" s="306">
        <v>7120495675</v>
      </c>
      <c r="AU15" s="306">
        <v>7229275042</v>
      </c>
      <c r="AV15" s="313">
        <f>6805841+5783969-5315744</f>
        <v>7274066</v>
      </c>
      <c r="AW15" s="308">
        <v>7297723771</v>
      </c>
      <c r="AX15" s="308">
        <v>7160658834.1199999</v>
      </c>
      <c r="AY15" s="308">
        <v>7229581575</v>
      </c>
      <c r="AZ15" s="308">
        <v>7308003887</v>
      </c>
      <c r="BA15" s="308">
        <v>7368192747</v>
      </c>
      <c r="BB15" s="308">
        <v>7446866860</v>
      </c>
      <c r="BC15" s="308">
        <v>7540941445</v>
      </c>
      <c r="BD15" s="308">
        <v>7588117975</v>
      </c>
      <c r="BE15" s="308">
        <v>7675939066</v>
      </c>
      <c r="BF15" s="308">
        <v>7814271733</v>
      </c>
      <c r="BG15" s="308">
        <v>7834821082.8999996</v>
      </c>
      <c r="BH15" s="308">
        <v>7941611446</v>
      </c>
      <c r="BI15" s="337">
        <v>7941611445.5600214</v>
      </c>
      <c r="BJ15" s="306">
        <v>7972031193</v>
      </c>
      <c r="BK15" s="329">
        <v>7867778659</v>
      </c>
      <c r="BL15" s="315">
        <v>8051864876</v>
      </c>
      <c r="BM15" s="315">
        <v>8195838726</v>
      </c>
      <c r="BN15" s="315">
        <v>8286754921</v>
      </c>
      <c r="BO15" s="315">
        <v>8370380038</v>
      </c>
      <c r="BP15" s="315">
        <v>8438093132</v>
      </c>
      <c r="BQ15" s="315">
        <v>8585165858</v>
      </c>
      <c r="BR15" s="317">
        <v>8825044494</v>
      </c>
      <c r="BS15" s="306">
        <v>9034235212</v>
      </c>
      <c r="BT15" s="306">
        <v>9259219948</v>
      </c>
      <c r="BU15" s="306">
        <v>9515328520</v>
      </c>
      <c r="BV15" s="287">
        <v>9515329000</v>
      </c>
    </row>
    <row r="16" spans="3:76">
      <c r="C16" s="297" t="s">
        <v>187</v>
      </c>
      <c r="D16" s="304"/>
      <c r="E16" s="305">
        <v>87427125</v>
      </c>
      <c r="F16" s="306">
        <v>128069667</v>
      </c>
      <c r="G16" s="306">
        <v>146398123</v>
      </c>
      <c r="H16" s="307">
        <v>136757313</v>
      </c>
      <c r="I16" s="308">
        <v>271768426</v>
      </c>
      <c r="J16" s="307">
        <v>196728719</v>
      </c>
      <c r="K16" s="307">
        <v>201947175</v>
      </c>
      <c r="L16" s="307">
        <v>169314265</v>
      </c>
      <c r="M16" s="307">
        <v>180173901</v>
      </c>
      <c r="N16" s="307">
        <v>195091389</v>
      </c>
      <c r="O16" s="309">
        <v>167028257.19</v>
      </c>
      <c r="P16" s="307">
        <v>177395198</v>
      </c>
      <c r="Q16" s="304">
        <v>198261656</v>
      </c>
      <c r="R16" s="307">
        <v>196090480</v>
      </c>
      <c r="S16" s="307">
        <v>205835637</v>
      </c>
      <c r="T16" s="307">
        <v>267545968</v>
      </c>
      <c r="U16" s="307">
        <v>150385741</v>
      </c>
      <c r="V16" s="311">
        <v>415410438</v>
      </c>
      <c r="W16" s="307">
        <v>413551308</v>
      </c>
      <c r="X16" s="307">
        <v>415410438</v>
      </c>
      <c r="Y16" s="307">
        <v>415410438</v>
      </c>
      <c r="Z16" s="307">
        <v>415410438</v>
      </c>
      <c r="AA16" s="307">
        <v>415410438</v>
      </c>
      <c r="AB16" s="312">
        <v>415410438</v>
      </c>
      <c r="AC16" s="312">
        <v>415410438</v>
      </c>
      <c r="AD16" s="312">
        <v>415410438</v>
      </c>
      <c r="AE16" s="312">
        <v>446075507.37</v>
      </c>
      <c r="AF16" s="307">
        <v>441935994</v>
      </c>
      <c r="AG16" s="307">
        <v>450494516.05000001</v>
      </c>
      <c r="AH16" s="307">
        <v>465108277</v>
      </c>
      <c r="AI16" s="307">
        <v>437475353</v>
      </c>
      <c r="AJ16" s="306">
        <v>459450633</v>
      </c>
      <c r="AK16" s="306">
        <v>456220055</v>
      </c>
      <c r="AL16" s="306">
        <v>444500457</v>
      </c>
      <c r="AM16" s="306">
        <v>477349084.19999999</v>
      </c>
      <c r="AN16" s="306">
        <v>474956860.5</v>
      </c>
      <c r="AO16" s="306">
        <v>505174440</v>
      </c>
      <c r="AP16" s="306"/>
      <c r="AQ16" s="306">
        <v>510392621</v>
      </c>
      <c r="AR16" s="306">
        <v>611403552</v>
      </c>
      <c r="AS16" s="306">
        <v>538952020</v>
      </c>
      <c r="AT16" s="306">
        <v>495826123</v>
      </c>
      <c r="AU16" s="306">
        <v>497196092</v>
      </c>
      <c r="AV16" s="313">
        <v>541988</v>
      </c>
      <c r="AW16" s="308">
        <v>563891972</v>
      </c>
      <c r="AX16" s="308">
        <v>488392290.12</v>
      </c>
      <c r="AY16" s="308">
        <v>481781220</v>
      </c>
      <c r="AZ16" s="308">
        <v>506924269.29000002</v>
      </c>
      <c r="BA16" s="308">
        <v>468986921</v>
      </c>
      <c r="BB16" s="308">
        <v>463979943</v>
      </c>
      <c r="BC16" s="308">
        <v>454151055</v>
      </c>
      <c r="BD16" s="308">
        <v>452556998</v>
      </c>
      <c r="BE16" s="308">
        <v>443669891</v>
      </c>
      <c r="BF16" s="308">
        <v>470692764</v>
      </c>
      <c r="BG16" s="308">
        <v>491422022.89999998</v>
      </c>
      <c r="BH16" s="308">
        <v>502784098</v>
      </c>
      <c r="BI16" s="338">
        <v>494634709.09021765</v>
      </c>
      <c r="BJ16" s="306">
        <v>493329672</v>
      </c>
      <c r="BK16" s="329">
        <v>410628096</v>
      </c>
      <c r="BL16" s="315">
        <v>458321657</v>
      </c>
      <c r="BM16" s="315">
        <v>424714642</v>
      </c>
      <c r="BN16" s="315">
        <v>440742677</v>
      </c>
      <c r="BO16" s="315">
        <v>430451945</v>
      </c>
      <c r="BP16" s="315">
        <v>419962968</v>
      </c>
      <c r="BQ16" s="315">
        <v>458679291</v>
      </c>
      <c r="BR16" s="319">
        <v>437407406</v>
      </c>
      <c r="BS16" s="306">
        <v>435843947</v>
      </c>
      <c r="BT16" s="306">
        <v>436956219</v>
      </c>
      <c r="BU16" s="306">
        <v>473127093</v>
      </c>
      <c r="BV16" s="393">
        <v>393231000</v>
      </c>
    </row>
    <row r="17" spans="1:79" ht="14.25">
      <c r="C17" s="293" t="s">
        <v>188</v>
      </c>
      <c r="D17" s="298"/>
      <c r="E17" s="298">
        <f t="shared" ref="E17:O17" si="13">SUM(E18:E20)</f>
        <v>0</v>
      </c>
      <c r="F17" s="298">
        <f t="shared" si="13"/>
        <v>0</v>
      </c>
      <c r="G17" s="298">
        <f t="shared" si="13"/>
        <v>0</v>
      </c>
      <c r="H17" s="298">
        <f t="shared" si="13"/>
        <v>0</v>
      </c>
      <c r="I17" s="298">
        <f t="shared" si="13"/>
        <v>0</v>
      </c>
      <c r="J17" s="298">
        <f t="shared" si="13"/>
        <v>0</v>
      </c>
      <c r="K17" s="298">
        <f t="shared" si="13"/>
        <v>0</v>
      </c>
      <c r="L17" s="298">
        <f t="shared" si="13"/>
        <v>0</v>
      </c>
      <c r="M17" s="298">
        <f t="shared" si="13"/>
        <v>0</v>
      </c>
      <c r="N17" s="298">
        <f t="shared" si="13"/>
        <v>0</v>
      </c>
      <c r="O17" s="299">
        <f t="shared" si="13"/>
        <v>0</v>
      </c>
      <c r="P17" s="298">
        <v>0</v>
      </c>
      <c r="Q17" s="300">
        <f t="shared" ref="Q17:V17" si="14">SUM(Q18:Q20)</f>
        <v>0</v>
      </c>
      <c r="R17" s="298">
        <f t="shared" si="14"/>
        <v>0</v>
      </c>
      <c r="S17" s="298">
        <f t="shared" si="14"/>
        <v>0</v>
      </c>
      <c r="T17" s="298">
        <f t="shared" si="14"/>
        <v>0</v>
      </c>
      <c r="U17" s="298">
        <f t="shared" si="14"/>
        <v>0</v>
      </c>
      <c r="V17" s="301">
        <f t="shared" si="14"/>
        <v>9971113</v>
      </c>
      <c r="W17" s="298">
        <f t="shared" ref="W17:AD17" si="15">SUM(W18:W20)</f>
        <v>0</v>
      </c>
      <c r="X17" s="298">
        <f t="shared" si="15"/>
        <v>0</v>
      </c>
      <c r="Y17" s="298">
        <f t="shared" si="15"/>
        <v>0</v>
      </c>
      <c r="Z17" s="298">
        <f t="shared" si="15"/>
        <v>0</v>
      </c>
      <c r="AA17" s="298">
        <f t="shared" si="15"/>
        <v>0</v>
      </c>
      <c r="AB17" s="302">
        <f t="shared" si="15"/>
        <v>0</v>
      </c>
      <c r="AC17" s="302">
        <f t="shared" si="15"/>
        <v>0</v>
      </c>
      <c r="AD17" s="302">
        <f t="shared" si="15"/>
        <v>0</v>
      </c>
      <c r="AE17" s="302">
        <f t="shared" ref="AE17:AL17" si="16">SUM(AE18:AE20)</f>
        <v>0</v>
      </c>
      <c r="AF17" s="298">
        <f t="shared" si="16"/>
        <v>0</v>
      </c>
      <c r="AG17" s="298">
        <f t="shared" si="16"/>
        <v>0</v>
      </c>
      <c r="AH17" s="298">
        <f t="shared" si="16"/>
        <v>0</v>
      </c>
      <c r="AI17" s="298">
        <f t="shared" si="16"/>
        <v>16055744</v>
      </c>
      <c r="AJ17" s="298">
        <f t="shared" si="16"/>
        <v>0</v>
      </c>
      <c r="AK17" s="298">
        <f t="shared" si="16"/>
        <v>0</v>
      </c>
      <c r="AL17" s="298">
        <f t="shared" si="16"/>
        <v>0</v>
      </c>
      <c r="AM17" s="298">
        <f t="shared" ref="AM17:BR17" si="17">SUM(AM18:AM20)</f>
        <v>0</v>
      </c>
      <c r="AN17" s="298">
        <f t="shared" si="17"/>
        <v>0</v>
      </c>
      <c r="AO17" s="298">
        <f t="shared" si="17"/>
        <v>0</v>
      </c>
      <c r="AP17" s="298">
        <f t="shared" si="17"/>
        <v>0</v>
      </c>
      <c r="AQ17" s="298">
        <f t="shared" si="17"/>
        <v>0</v>
      </c>
      <c r="AR17" s="298">
        <f t="shared" si="17"/>
        <v>0</v>
      </c>
      <c r="AS17" s="298">
        <f t="shared" si="17"/>
        <v>0</v>
      </c>
      <c r="AT17" s="298">
        <f t="shared" si="17"/>
        <v>0</v>
      </c>
      <c r="AU17" s="298">
        <f t="shared" si="17"/>
        <v>0</v>
      </c>
      <c r="AV17" s="298">
        <f t="shared" si="17"/>
        <v>14457</v>
      </c>
      <c r="AW17" s="336">
        <f t="shared" si="17"/>
        <v>0</v>
      </c>
      <c r="AX17" s="336">
        <f t="shared" si="17"/>
        <v>0</v>
      </c>
      <c r="AY17" s="336">
        <f t="shared" si="17"/>
        <v>0</v>
      </c>
      <c r="AZ17" s="336">
        <f t="shared" si="17"/>
        <v>0</v>
      </c>
      <c r="BA17" s="336">
        <f t="shared" si="17"/>
        <v>0</v>
      </c>
      <c r="BB17" s="336">
        <f t="shared" si="17"/>
        <v>0</v>
      </c>
      <c r="BC17" s="336">
        <f t="shared" si="17"/>
        <v>0</v>
      </c>
      <c r="BD17" s="336">
        <f t="shared" si="17"/>
        <v>0</v>
      </c>
      <c r="BE17" s="336">
        <f t="shared" si="17"/>
        <v>0</v>
      </c>
      <c r="BF17" s="336">
        <f t="shared" si="17"/>
        <v>0</v>
      </c>
      <c r="BG17" s="336">
        <f t="shared" si="17"/>
        <v>0</v>
      </c>
      <c r="BH17" s="336">
        <f t="shared" si="17"/>
        <v>0</v>
      </c>
      <c r="BI17" s="336">
        <f t="shared" si="17"/>
        <v>0</v>
      </c>
      <c r="BJ17" s="336">
        <f t="shared" si="17"/>
        <v>0</v>
      </c>
      <c r="BK17" s="336">
        <f t="shared" si="17"/>
        <v>0</v>
      </c>
      <c r="BL17" s="336">
        <f t="shared" si="17"/>
        <v>0</v>
      </c>
      <c r="BM17" s="336">
        <f t="shared" si="17"/>
        <v>0</v>
      </c>
      <c r="BN17" s="336">
        <f t="shared" si="17"/>
        <v>0</v>
      </c>
      <c r="BO17" s="336">
        <f t="shared" si="17"/>
        <v>0</v>
      </c>
      <c r="BP17" s="336">
        <f t="shared" si="17"/>
        <v>0</v>
      </c>
      <c r="BQ17" s="336">
        <f t="shared" si="17"/>
        <v>0</v>
      </c>
      <c r="BR17" s="336">
        <f t="shared" si="17"/>
        <v>0</v>
      </c>
      <c r="BS17" s="339">
        <v>0</v>
      </c>
      <c r="BT17" s="339">
        <v>0</v>
      </c>
      <c r="BU17" s="339">
        <v>0</v>
      </c>
      <c r="BV17" s="339">
        <v>0</v>
      </c>
    </row>
    <row r="18" spans="1:79" ht="14.25">
      <c r="C18" s="297" t="s">
        <v>189</v>
      </c>
      <c r="D18" s="297"/>
      <c r="E18" s="297"/>
      <c r="F18" s="297"/>
      <c r="G18" s="297"/>
      <c r="H18" s="307"/>
      <c r="I18" s="297"/>
      <c r="J18" s="307"/>
      <c r="K18" s="307"/>
      <c r="L18" s="307"/>
      <c r="M18" s="307"/>
      <c r="N18" s="307"/>
      <c r="O18" s="309"/>
      <c r="P18" s="307"/>
      <c r="Q18" s="304"/>
      <c r="R18" s="307">
        <v>0</v>
      </c>
      <c r="S18" s="307"/>
      <c r="T18" s="307">
        <v>0</v>
      </c>
      <c r="U18" s="307">
        <v>0</v>
      </c>
      <c r="V18" s="340">
        <v>9971113</v>
      </c>
      <c r="W18" s="307"/>
      <c r="X18" s="307"/>
      <c r="Y18" s="307"/>
      <c r="Z18" s="307"/>
      <c r="AA18" s="307"/>
      <c r="AB18" s="312"/>
      <c r="AC18" s="312"/>
      <c r="AD18" s="312"/>
      <c r="AE18" s="312"/>
      <c r="AF18" s="307"/>
      <c r="AG18" s="307"/>
      <c r="AH18" s="307"/>
      <c r="AI18" s="307">
        <v>16055744</v>
      </c>
      <c r="AJ18" s="307"/>
      <c r="AK18" s="307"/>
      <c r="AL18" s="307"/>
      <c r="AM18" s="307"/>
      <c r="AN18" s="307"/>
      <c r="AO18" s="307"/>
      <c r="AP18" s="307"/>
      <c r="AQ18" s="307"/>
      <c r="AR18" s="307"/>
      <c r="AS18" s="307"/>
      <c r="AT18" s="307"/>
      <c r="AU18" s="307"/>
      <c r="AV18" s="313">
        <v>14457</v>
      </c>
      <c r="AW18" s="315">
        <v>0</v>
      </c>
      <c r="AX18" s="315">
        <v>0</v>
      </c>
      <c r="AY18" s="315">
        <v>0</v>
      </c>
      <c r="AZ18" s="315">
        <v>0</v>
      </c>
      <c r="BA18" s="315">
        <v>0</v>
      </c>
      <c r="BB18" s="315">
        <v>0</v>
      </c>
      <c r="BC18" s="315">
        <v>0</v>
      </c>
      <c r="BD18" s="315">
        <v>0</v>
      </c>
      <c r="BE18" s="315">
        <v>0</v>
      </c>
      <c r="BF18" s="315">
        <v>0</v>
      </c>
      <c r="BG18" s="315">
        <v>0</v>
      </c>
      <c r="BH18" s="315">
        <v>0</v>
      </c>
      <c r="BI18" s="315">
        <v>0</v>
      </c>
      <c r="BJ18" s="315">
        <v>0</v>
      </c>
      <c r="BK18" s="315">
        <v>0</v>
      </c>
      <c r="BL18" s="315">
        <v>0</v>
      </c>
      <c r="BM18" s="315">
        <v>0</v>
      </c>
      <c r="BN18" s="315">
        <v>0</v>
      </c>
      <c r="BO18" s="315">
        <v>0</v>
      </c>
      <c r="BP18" s="315">
        <v>0</v>
      </c>
      <c r="BQ18" s="315">
        <v>0</v>
      </c>
      <c r="BR18" s="315">
        <v>0</v>
      </c>
      <c r="BS18" s="306">
        <v>0</v>
      </c>
      <c r="BT18" s="306">
        <v>0</v>
      </c>
      <c r="BU18" s="306">
        <v>0</v>
      </c>
      <c r="BV18" s="306">
        <v>0</v>
      </c>
    </row>
    <row r="19" spans="1:79" ht="14.25">
      <c r="C19" s="297" t="s">
        <v>190</v>
      </c>
      <c r="D19" s="297"/>
      <c r="E19" s="297"/>
      <c r="F19" s="297"/>
      <c r="G19" s="297"/>
      <c r="H19" s="307"/>
      <c r="I19" s="297"/>
      <c r="J19" s="307"/>
      <c r="K19" s="307"/>
      <c r="L19" s="307"/>
      <c r="M19" s="307"/>
      <c r="N19" s="307"/>
      <c r="O19" s="309"/>
      <c r="P19" s="307"/>
      <c r="Q19" s="304"/>
      <c r="R19" s="307">
        <v>0</v>
      </c>
      <c r="S19" s="307"/>
      <c r="T19" s="307">
        <v>0</v>
      </c>
      <c r="U19" s="307">
        <v>0</v>
      </c>
      <c r="V19" s="311"/>
      <c r="W19" s="307"/>
      <c r="X19" s="307"/>
      <c r="Y19" s="307"/>
      <c r="Z19" s="307"/>
      <c r="AA19" s="307"/>
      <c r="AB19" s="312"/>
      <c r="AC19" s="312"/>
      <c r="AD19" s="312"/>
      <c r="AE19" s="312"/>
      <c r="AF19" s="307"/>
      <c r="AG19" s="307"/>
      <c r="AH19" s="307"/>
      <c r="AI19" s="307"/>
      <c r="AJ19" s="307"/>
      <c r="AK19" s="307"/>
      <c r="AL19" s="307"/>
      <c r="AM19" s="307"/>
      <c r="AN19" s="307"/>
      <c r="AO19" s="307"/>
      <c r="AP19" s="307"/>
      <c r="AQ19" s="307"/>
      <c r="AR19" s="307"/>
      <c r="AS19" s="307"/>
      <c r="AT19" s="307"/>
      <c r="AU19" s="307"/>
      <c r="AV19" s="313"/>
      <c r="AW19" s="315">
        <v>0</v>
      </c>
      <c r="AX19" s="315">
        <v>0</v>
      </c>
      <c r="AY19" s="315">
        <v>0</v>
      </c>
      <c r="AZ19" s="315">
        <v>0</v>
      </c>
      <c r="BA19" s="315">
        <v>0</v>
      </c>
      <c r="BB19" s="315">
        <v>0</v>
      </c>
      <c r="BC19" s="315">
        <v>0</v>
      </c>
      <c r="BD19" s="315">
        <v>0</v>
      </c>
      <c r="BE19" s="315">
        <v>0</v>
      </c>
      <c r="BF19" s="315">
        <v>0</v>
      </c>
      <c r="BG19" s="315">
        <v>0</v>
      </c>
      <c r="BH19" s="315">
        <v>0</v>
      </c>
      <c r="BI19" s="315">
        <v>0</v>
      </c>
      <c r="BJ19" s="315">
        <v>0</v>
      </c>
      <c r="BK19" s="315">
        <v>0</v>
      </c>
      <c r="BL19" s="315">
        <v>0</v>
      </c>
      <c r="BM19" s="315">
        <v>0</v>
      </c>
      <c r="BN19" s="315">
        <v>0</v>
      </c>
      <c r="BO19" s="315">
        <v>0</v>
      </c>
      <c r="BP19" s="315">
        <v>0</v>
      </c>
      <c r="BQ19" s="315">
        <v>0</v>
      </c>
      <c r="BR19" s="315">
        <v>0</v>
      </c>
      <c r="BS19" s="306">
        <v>0</v>
      </c>
      <c r="BT19" s="306">
        <v>0</v>
      </c>
      <c r="BU19" s="306">
        <v>0</v>
      </c>
      <c r="BV19" s="306">
        <v>0</v>
      </c>
    </row>
    <row r="20" spans="1:79" ht="14.25">
      <c r="C20" s="297" t="s">
        <v>191</v>
      </c>
      <c r="D20" s="297"/>
      <c r="E20" s="297"/>
      <c r="F20" s="297"/>
      <c r="G20" s="297"/>
      <c r="H20" s="307"/>
      <c r="I20" s="297"/>
      <c r="J20" s="307"/>
      <c r="K20" s="307"/>
      <c r="L20" s="307"/>
      <c r="M20" s="307"/>
      <c r="N20" s="307"/>
      <c r="O20" s="309"/>
      <c r="P20" s="307"/>
      <c r="Q20" s="304"/>
      <c r="R20" s="307">
        <v>0</v>
      </c>
      <c r="S20" s="307"/>
      <c r="T20" s="307">
        <v>0</v>
      </c>
      <c r="U20" s="307">
        <v>0</v>
      </c>
      <c r="V20" s="311"/>
      <c r="W20" s="307"/>
      <c r="X20" s="307"/>
      <c r="Y20" s="307"/>
      <c r="Z20" s="307"/>
      <c r="AA20" s="307"/>
      <c r="AB20" s="312"/>
      <c r="AC20" s="312"/>
      <c r="AD20" s="312"/>
      <c r="AE20" s="312"/>
      <c r="AF20" s="307"/>
      <c r="AG20" s="307"/>
      <c r="AH20" s="307"/>
      <c r="AI20" s="307"/>
      <c r="AJ20" s="307"/>
      <c r="AK20" s="307"/>
      <c r="AL20" s="307"/>
      <c r="AM20" s="307"/>
      <c r="AN20" s="307"/>
      <c r="AO20" s="307"/>
      <c r="AP20" s="307"/>
      <c r="AQ20" s="307"/>
      <c r="AR20" s="307"/>
      <c r="AS20" s="307"/>
      <c r="AT20" s="307"/>
      <c r="AU20" s="307"/>
      <c r="AV20" s="313"/>
      <c r="AW20" s="315">
        <v>0</v>
      </c>
      <c r="AX20" s="315">
        <v>0</v>
      </c>
      <c r="AY20" s="315">
        <v>0</v>
      </c>
      <c r="AZ20" s="315">
        <v>0</v>
      </c>
      <c r="BA20" s="315">
        <v>0</v>
      </c>
      <c r="BB20" s="315">
        <v>0</v>
      </c>
      <c r="BC20" s="315">
        <v>0</v>
      </c>
      <c r="BD20" s="315">
        <v>0</v>
      </c>
      <c r="BE20" s="315">
        <v>0</v>
      </c>
      <c r="BF20" s="315">
        <v>0</v>
      </c>
      <c r="BG20" s="315">
        <v>0</v>
      </c>
      <c r="BH20" s="315">
        <v>0</v>
      </c>
      <c r="BI20" s="315">
        <v>0</v>
      </c>
      <c r="BJ20" s="315">
        <v>0</v>
      </c>
      <c r="BK20" s="315">
        <v>0</v>
      </c>
      <c r="BL20" s="315">
        <v>0</v>
      </c>
      <c r="BM20" s="315">
        <v>0</v>
      </c>
      <c r="BN20" s="315">
        <v>0</v>
      </c>
      <c r="BO20" s="315">
        <v>0</v>
      </c>
      <c r="BP20" s="315">
        <v>0</v>
      </c>
      <c r="BQ20" s="315">
        <v>0</v>
      </c>
      <c r="BR20" s="315">
        <v>0</v>
      </c>
      <c r="BS20" s="306">
        <v>0</v>
      </c>
      <c r="BT20" s="306">
        <v>0</v>
      </c>
      <c r="BU20" s="306">
        <v>0</v>
      </c>
      <c r="BV20" s="306">
        <v>0</v>
      </c>
    </row>
    <row r="21" spans="1:79">
      <c r="C21" s="293" t="s">
        <v>192</v>
      </c>
      <c r="D21" s="298"/>
      <c r="E21" s="298">
        <f t="shared" ref="E21:M21" si="18">SUM(E22:E26)</f>
        <v>153841662</v>
      </c>
      <c r="F21" s="298">
        <f t="shared" si="18"/>
        <v>236400962</v>
      </c>
      <c r="G21" s="298">
        <f t="shared" si="18"/>
        <v>256977836</v>
      </c>
      <c r="H21" s="298">
        <f t="shared" si="18"/>
        <v>408164396</v>
      </c>
      <c r="I21" s="298">
        <f t="shared" si="18"/>
        <v>260367284</v>
      </c>
      <c r="J21" s="298">
        <f t="shared" si="18"/>
        <v>406285097</v>
      </c>
      <c r="K21" s="298">
        <f t="shared" si="18"/>
        <v>405345449</v>
      </c>
      <c r="L21" s="298">
        <f t="shared" si="18"/>
        <v>405089487</v>
      </c>
      <c r="M21" s="298">
        <f t="shared" si="18"/>
        <v>404134301</v>
      </c>
      <c r="N21" s="298">
        <f>N22+N23+N24+N25+N26</f>
        <v>403196176</v>
      </c>
      <c r="O21" s="299">
        <f t="shared" ref="O21:U21" si="19">SUM(O22:O26)</f>
        <v>402240581.56999993</v>
      </c>
      <c r="P21" s="298">
        <f t="shared" si="19"/>
        <v>401284989</v>
      </c>
      <c r="Q21" s="300">
        <f t="shared" si="19"/>
        <v>400329394</v>
      </c>
      <c r="R21" s="298">
        <f t="shared" si="19"/>
        <v>399475781</v>
      </c>
      <c r="S21" s="298">
        <f t="shared" si="19"/>
        <v>399263128</v>
      </c>
      <c r="T21" s="298">
        <f t="shared" si="19"/>
        <v>399672198</v>
      </c>
      <c r="U21" s="298">
        <f t="shared" si="19"/>
        <v>400444107</v>
      </c>
      <c r="V21" s="301">
        <f t="shared" ref="V21:AA21" si="20">SUM(V22:V26)</f>
        <v>433142110</v>
      </c>
      <c r="W21" s="298">
        <f t="shared" si="20"/>
        <v>432354990</v>
      </c>
      <c r="X21" s="298">
        <f t="shared" si="20"/>
        <v>432731175</v>
      </c>
      <c r="Y21" s="298">
        <f t="shared" si="20"/>
        <v>427554197</v>
      </c>
      <c r="Z21" s="298">
        <f t="shared" si="20"/>
        <v>426812457</v>
      </c>
      <c r="AA21" s="298">
        <f t="shared" si="20"/>
        <v>429858190</v>
      </c>
      <c r="AB21" s="302">
        <f t="shared" ref="AB21:AI21" si="21">SUM(AB22:AB26)</f>
        <v>429095517</v>
      </c>
      <c r="AC21" s="302">
        <f t="shared" si="21"/>
        <v>429825138</v>
      </c>
      <c r="AD21" s="302">
        <f t="shared" si="21"/>
        <v>429011228</v>
      </c>
      <c r="AE21" s="302">
        <f t="shared" si="21"/>
        <v>428384160</v>
      </c>
      <c r="AF21" s="298">
        <f t="shared" si="21"/>
        <v>427507026</v>
      </c>
      <c r="AG21" s="298">
        <f t="shared" si="21"/>
        <v>427201355</v>
      </c>
      <c r="AH21" s="298">
        <f t="shared" si="21"/>
        <v>426506942</v>
      </c>
      <c r="AI21" s="298">
        <f t="shared" si="21"/>
        <v>468583298</v>
      </c>
      <c r="AJ21" s="298">
        <f>SUM(AJ22:AJ26)</f>
        <v>445293035</v>
      </c>
      <c r="AK21" s="298">
        <f>SUM(AK22:AK26)</f>
        <v>444619649</v>
      </c>
      <c r="AL21" s="298">
        <f>SUM(AL22:AL26)</f>
        <v>440929641</v>
      </c>
      <c r="AM21" s="298">
        <f t="shared" ref="AM21:BV21" si="22">SUM(AM22:AM26)</f>
        <v>440366187.19999999</v>
      </c>
      <c r="AN21" s="298">
        <f t="shared" si="22"/>
        <v>439613298</v>
      </c>
      <c r="AO21" s="298">
        <f t="shared" si="22"/>
        <v>438933226</v>
      </c>
      <c r="AP21" s="298">
        <f t="shared" si="22"/>
        <v>0</v>
      </c>
      <c r="AQ21" s="298">
        <f t="shared" si="22"/>
        <v>439125969</v>
      </c>
      <c r="AR21" s="298">
        <f t="shared" si="22"/>
        <v>438810445</v>
      </c>
      <c r="AS21" s="298">
        <f t="shared" si="22"/>
        <v>438000923</v>
      </c>
      <c r="AT21" s="298">
        <f t="shared" si="22"/>
        <v>451174650</v>
      </c>
      <c r="AU21" s="298">
        <f t="shared" si="22"/>
        <v>456015752</v>
      </c>
      <c r="AV21" s="298">
        <f t="shared" si="22"/>
        <v>467917</v>
      </c>
      <c r="AW21" s="336">
        <f t="shared" si="22"/>
        <v>451778780</v>
      </c>
      <c r="AX21" s="336">
        <f t="shared" si="22"/>
        <v>446671300</v>
      </c>
      <c r="AY21" s="336">
        <f t="shared" si="22"/>
        <v>450298957</v>
      </c>
      <c r="AZ21" s="336">
        <f t="shared" si="22"/>
        <v>447623546</v>
      </c>
      <c r="BA21" s="336">
        <f t="shared" si="22"/>
        <v>451372713</v>
      </c>
      <c r="BB21" s="336">
        <f t="shared" si="22"/>
        <v>453760727</v>
      </c>
      <c r="BC21" s="336">
        <f t="shared" si="22"/>
        <v>452839456</v>
      </c>
      <c r="BD21" s="336">
        <f t="shared" si="22"/>
        <v>451918188</v>
      </c>
      <c r="BE21" s="336">
        <f t="shared" si="22"/>
        <v>450996918</v>
      </c>
      <c r="BF21" s="336">
        <f t="shared" si="22"/>
        <v>450690745</v>
      </c>
      <c r="BG21" s="336">
        <f t="shared" si="22"/>
        <v>449648492</v>
      </c>
      <c r="BH21" s="336">
        <f t="shared" si="22"/>
        <v>456075618</v>
      </c>
      <c r="BI21" s="336">
        <f t="shared" si="22"/>
        <v>469477807.8131541</v>
      </c>
      <c r="BJ21" s="336">
        <f t="shared" si="22"/>
        <v>453344466</v>
      </c>
      <c r="BK21" s="336">
        <f t="shared" si="22"/>
        <v>452579526</v>
      </c>
      <c r="BL21" s="336">
        <f t="shared" si="22"/>
        <v>451814587</v>
      </c>
      <c r="BM21" s="336">
        <f t="shared" si="22"/>
        <v>451049646</v>
      </c>
      <c r="BN21" s="336">
        <f t="shared" si="22"/>
        <v>450284708</v>
      </c>
      <c r="BO21" s="336">
        <f t="shared" si="22"/>
        <v>449519766</v>
      </c>
      <c r="BP21" s="336">
        <f t="shared" si="22"/>
        <v>448754827</v>
      </c>
      <c r="BQ21" s="336">
        <f t="shared" si="22"/>
        <v>447989887</v>
      </c>
      <c r="BR21" s="336">
        <f t="shared" si="22"/>
        <v>449271388</v>
      </c>
      <c r="BS21" s="336">
        <f t="shared" si="22"/>
        <v>448453976</v>
      </c>
      <c r="BT21" s="336">
        <f t="shared" si="22"/>
        <v>454427166</v>
      </c>
      <c r="BU21" s="336">
        <f t="shared" si="22"/>
        <v>456762644</v>
      </c>
      <c r="BV21" s="387">
        <f t="shared" si="22"/>
        <v>477268000</v>
      </c>
      <c r="CA21" s="383"/>
    </row>
    <row r="22" spans="1:79">
      <c r="C22" s="297" t="s">
        <v>193</v>
      </c>
      <c r="D22" s="297"/>
      <c r="E22" s="297"/>
      <c r="F22" s="297"/>
      <c r="G22" s="297"/>
      <c r="H22" s="307">
        <v>346125000</v>
      </c>
      <c r="I22" s="297"/>
      <c r="J22" s="307">
        <v>346125000</v>
      </c>
      <c r="K22" s="307">
        <v>346125000</v>
      </c>
      <c r="L22" s="307">
        <v>346125000</v>
      </c>
      <c r="M22" s="307">
        <v>346125000</v>
      </c>
      <c r="N22" s="307">
        <v>346125000</v>
      </c>
      <c r="O22" s="309">
        <v>346124999.89999998</v>
      </c>
      <c r="P22" s="307">
        <v>346125000</v>
      </c>
      <c r="Q22" s="304">
        <v>346125000</v>
      </c>
      <c r="R22" s="307">
        <v>346125000</v>
      </c>
      <c r="S22" s="307">
        <v>346125000</v>
      </c>
      <c r="T22" s="307">
        <v>346125000</v>
      </c>
      <c r="U22" s="307">
        <f>346125000</f>
        <v>346125000</v>
      </c>
      <c r="V22" s="311">
        <v>385000000</v>
      </c>
      <c r="W22" s="307">
        <v>385000000</v>
      </c>
      <c r="X22" s="307">
        <v>385000000</v>
      </c>
      <c r="Y22" s="307">
        <v>385000000</v>
      </c>
      <c r="Z22" s="307">
        <v>385000000</v>
      </c>
      <c r="AA22" s="307">
        <v>385000000</v>
      </c>
      <c r="AB22" s="312">
        <v>385000000</v>
      </c>
      <c r="AC22" s="312">
        <v>385000000</v>
      </c>
      <c r="AD22" s="312">
        <v>385000000</v>
      </c>
      <c r="AE22" s="312">
        <v>385000000</v>
      </c>
      <c r="AF22" s="307">
        <v>385000000</v>
      </c>
      <c r="AG22" s="307">
        <v>385000000</v>
      </c>
      <c r="AH22" s="307">
        <v>385000000</v>
      </c>
      <c r="AI22" s="307">
        <v>400000000</v>
      </c>
      <c r="AJ22" s="306">
        <v>400000000</v>
      </c>
      <c r="AK22" s="306">
        <v>400000000</v>
      </c>
      <c r="AL22" s="306">
        <v>400000000</v>
      </c>
      <c r="AM22" s="306">
        <v>400000000</v>
      </c>
      <c r="AN22" s="306">
        <v>400000000</v>
      </c>
      <c r="AO22" s="306">
        <v>400000000</v>
      </c>
      <c r="AP22" s="306"/>
      <c r="AQ22" s="306">
        <v>400000000</v>
      </c>
      <c r="AR22" s="306">
        <v>400000000</v>
      </c>
      <c r="AS22" s="306">
        <v>400000000</v>
      </c>
      <c r="AT22" s="306">
        <v>400000000</v>
      </c>
      <c r="AU22" s="306">
        <v>403497059</v>
      </c>
      <c r="AV22" s="313">
        <v>304000</v>
      </c>
      <c r="AW22" s="308">
        <v>304000000</v>
      </c>
      <c r="AX22" s="308">
        <v>304000000</v>
      </c>
      <c r="AY22" s="308">
        <v>304000000</v>
      </c>
      <c r="AZ22" s="308">
        <v>304000000</v>
      </c>
      <c r="BA22" s="308">
        <v>304000000</v>
      </c>
      <c r="BB22" s="308">
        <v>304000000</v>
      </c>
      <c r="BC22" s="308">
        <v>304000000</v>
      </c>
      <c r="BD22" s="308">
        <v>304000000</v>
      </c>
      <c r="BE22" s="308">
        <v>304000000</v>
      </c>
      <c r="BF22" s="308">
        <v>304000000</v>
      </c>
      <c r="BG22" s="308">
        <v>304000000</v>
      </c>
      <c r="BH22" s="308">
        <v>305775000</v>
      </c>
      <c r="BI22" s="341">
        <v>305775000</v>
      </c>
      <c r="BJ22" s="306">
        <v>305775000</v>
      </c>
      <c r="BK22" s="306">
        <v>305775000</v>
      </c>
      <c r="BL22" s="306">
        <v>305775000</v>
      </c>
      <c r="BM22" s="306">
        <v>305775000</v>
      </c>
      <c r="BN22" s="306">
        <v>305775000</v>
      </c>
      <c r="BO22" s="306">
        <v>307800000</v>
      </c>
      <c r="BP22" s="329">
        <v>307800000</v>
      </c>
      <c r="BQ22" s="331">
        <v>307800000</v>
      </c>
      <c r="BR22" s="332">
        <v>307800000</v>
      </c>
      <c r="BS22" s="306">
        <v>307800000</v>
      </c>
      <c r="BT22" s="306">
        <v>307800000</v>
      </c>
      <c r="BU22" s="306">
        <v>307800000</v>
      </c>
      <c r="BV22" s="287">
        <v>307800000</v>
      </c>
    </row>
    <row r="23" spans="1:79">
      <c r="C23" s="297" t="s">
        <v>194</v>
      </c>
      <c r="D23" s="304"/>
      <c r="E23" s="305">
        <v>63627455</v>
      </c>
      <c r="F23" s="342">
        <f>106212110+109354009</f>
        <v>215566119</v>
      </c>
      <c r="G23" s="342">
        <v>232116211</v>
      </c>
      <c r="H23" s="307">
        <v>40338451</v>
      </c>
      <c r="I23" s="308">
        <v>235641326</v>
      </c>
      <c r="J23" s="307">
        <v>39211214</v>
      </c>
      <c r="K23" s="307">
        <v>38647596</v>
      </c>
      <c r="L23" s="307">
        <v>38767665</v>
      </c>
      <c r="M23" s="307">
        <v>38188509</v>
      </c>
      <c r="N23" s="307">
        <v>37626414</v>
      </c>
      <c r="O23" s="309">
        <v>37046850.899999999</v>
      </c>
      <c r="P23" s="307">
        <v>36467288</v>
      </c>
      <c r="Q23" s="304">
        <v>35887725</v>
      </c>
      <c r="R23" s="307">
        <v>35410142</v>
      </c>
      <c r="S23" s="307">
        <v>35573519</v>
      </c>
      <c r="T23" s="307">
        <v>36358621</v>
      </c>
      <c r="U23" s="307">
        <v>36326430</v>
      </c>
      <c r="V23" s="311">
        <v>32449324</v>
      </c>
      <c r="W23" s="307">
        <v>31896736</v>
      </c>
      <c r="X23" s="307">
        <v>32507453</v>
      </c>
      <c r="Y23" s="307">
        <v>32000246</v>
      </c>
      <c r="Z23" s="307">
        <v>31493038</v>
      </c>
      <c r="AA23" s="307">
        <v>32562424</v>
      </c>
      <c r="AB23" s="312">
        <v>32085699</v>
      </c>
      <c r="AC23" s="312">
        <v>31615018</v>
      </c>
      <c r="AD23" s="312">
        <v>31123306</v>
      </c>
      <c r="AE23" s="312">
        <v>30818436</v>
      </c>
      <c r="AF23" s="307">
        <v>30263500</v>
      </c>
      <c r="AG23" s="307">
        <v>30280027</v>
      </c>
      <c r="AH23" s="307">
        <v>29907812</v>
      </c>
      <c r="AI23" s="307">
        <f>34491857</f>
        <v>34491857</v>
      </c>
      <c r="AJ23" s="306">
        <v>28837877</v>
      </c>
      <c r="AK23" s="306">
        <v>28406139</v>
      </c>
      <c r="AL23" s="306">
        <v>30055457</v>
      </c>
      <c r="AM23" s="306">
        <v>29733651.199999999</v>
      </c>
      <c r="AN23" s="306">
        <v>29222411</v>
      </c>
      <c r="AO23" s="306">
        <v>28783987</v>
      </c>
      <c r="AP23" s="306"/>
      <c r="AQ23" s="306">
        <v>29045904</v>
      </c>
      <c r="AR23" s="306">
        <v>28500732</v>
      </c>
      <c r="AS23" s="306">
        <v>27955561</v>
      </c>
      <c r="AT23" s="306">
        <v>41657993</v>
      </c>
      <c r="AU23" s="306">
        <v>41150633</v>
      </c>
      <c r="AV23" s="313">
        <v>137151</v>
      </c>
      <c r="AW23" s="308">
        <v>136607232</v>
      </c>
      <c r="AX23" s="308">
        <v>131696263</v>
      </c>
      <c r="AY23" s="308">
        <v>135520431</v>
      </c>
      <c r="AZ23" s="308">
        <v>134977030</v>
      </c>
      <c r="BA23" s="308">
        <v>136348677</v>
      </c>
      <c r="BB23" s="308">
        <v>135813414</v>
      </c>
      <c r="BC23" s="308">
        <v>135224223</v>
      </c>
      <c r="BD23" s="308">
        <v>134635032</v>
      </c>
      <c r="BE23" s="308">
        <v>134045841</v>
      </c>
      <c r="BF23" s="308">
        <v>133739668</v>
      </c>
      <c r="BG23" s="308">
        <v>133904344</v>
      </c>
      <c r="BH23" s="308">
        <v>136937775</v>
      </c>
      <c r="BI23" s="308">
        <v>136937774.81315413</v>
      </c>
      <c r="BJ23" s="306">
        <v>136410265</v>
      </c>
      <c r="BK23" s="306">
        <v>135882755</v>
      </c>
      <c r="BL23" s="306">
        <v>135355245</v>
      </c>
      <c r="BM23" s="306">
        <v>134827735</v>
      </c>
      <c r="BN23" s="306">
        <v>134300226</v>
      </c>
      <c r="BO23" s="306">
        <v>131747716</v>
      </c>
      <c r="BP23" s="329">
        <v>131220206</v>
      </c>
      <c r="BQ23" s="331">
        <v>130692696</v>
      </c>
      <c r="BR23" s="332">
        <v>131587359</v>
      </c>
      <c r="BS23" s="306">
        <v>131023383</v>
      </c>
      <c r="BT23" s="306">
        <v>133599380</v>
      </c>
      <c r="BU23" s="306">
        <v>133616256</v>
      </c>
      <c r="BV23" s="287">
        <v>133616000</v>
      </c>
    </row>
    <row r="24" spans="1:79">
      <c r="C24" s="297" t="s">
        <v>195</v>
      </c>
      <c r="D24" s="304"/>
      <c r="E24" s="305">
        <v>5542003</v>
      </c>
      <c r="F24" s="306">
        <v>2288053</v>
      </c>
      <c r="G24" s="306">
        <v>2711423</v>
      </c>
      <c r="H24" s="307">
        <v>486718</v>
      </c>
      <c r="I24" s="308">
        <v>3412875</v>
      </c>
      <c r="J24" s="307">
        <v>485388</v>
      </c>
      <c r="K24" s="307">
        <v>484723</v>
      </c>
      <c r="L24" s="307">
        <v>484058</v>
      </c>
      <c r="M24" s="307">
        <v>483393</v>
      </c>
      <c r="N24" s="307">
        <v>482729</v>
      </c>
      <c r="O24" s="309">
        <v>482063.58</v>
      </c>
      <c r="P24" s="307">
        <v>481399</v>
      </c>
      <c r="Q24" s="304">
        <v>480734</v>
      </c>
      <c r="R24" s="307">
        <v>480069</v>
      </c>
      <c r="S24" s="307">
        <v>479404</v>
      </c>
      <c r="T24" s="307">
        <v>478739</v>
      </c>
      <c r="U24" s="307">
        <v>478739</v>
      </c>
      <c r="V24" s="311"/>
      <c r="W24" s="307">
        <v>0</v>
      </c>
      <c r="X24" s="307">
        <v>0</v>
      </c>
      <c r="Y24" s="307">
        <v>0</v>
      </c>
      <c r="Z24" s="307">
        <v>0</v>
      </c>
      <c r="AA24" s="307">
        <v>0</v>
      </c>
      <c r="AB24" s="312">
        <v>0</v>
      </c>
      <c r="AC24" s="312">
        <v>0</v>
      </c>
      <c r="AD24" s="312">
        <v>0</v>
      </c>
      <c r="AE24" s="312">
        <v>0</v>
      </c>
      <c r="AF24" s="307">
        <v>0</v>
      </c>
      <c r="AG24" s="307"/>
      <c r="AH24" s="307"/>
      <c r="AI24" s="307">
        <v>17394635</v>
      </c>
      <c r="AJ24" s="306">
        <v>0</v>
      </c>
      <c r="AK24" s="306">
        <v>0</v>
      </c>
      <c r="AL24" s="306">
        <v>0</v>
      </c>
      <c r="AM24" s="306">
        <v>0</v>
      </c>
      <c r="AN24" s="306">
        <v>0</v>
      </c>
      <c r="AO24" s="306">
        <v>0</v>
      </c>
      <c r="AP24" s="306"/>
      <c r="AQ24" s="306">
        <v>0</v>
      </c>
      <c r="AR24" s="306">
        <v>0</v>
      </c>
      <c r="AS24" s="306">
        <v>0</v>
      </c>
      <c r="AT24" s="306">
        <v>0</v>
      </c>
      <c r="AU24" s="306">
        <v>0</v>
      </c>
      <c r="AV24" s="313">
        <v>15398</v>
      </c>
      <c r="AW24" s="308">
        <v>0</v>
      </c>
      <c r="AX24" s="308">
        <v>0</v>
      </c>
      <c r="AY24" s="308">
        <v>0</v>
      </c>
      <c r="AZ24" s="308">
        <v>0</v>
      </c>
      <c r="BA24" s="308">
        <v>0</v>
      </c>
      <c r="BB24" s="308">
        <v>0</v>
      </c>
      <c r="BC24" s="308">
        <v>0</v>
      </c>
      <c r="BD24" s="308">
        <v>0</v>
      </c>
      <c r="BE24" s="308">
        <v>0</v>
      </c>
      <c r="BF24" s="308">
        <v>0</v>
      </c>
      <c r="BG24" s="308">
        <v>0</v>
      </c>
      <c r="BH24" s="308">
        <v>0</v>
      </c>
      <c r="BI24" s="308">
        <v>13402191</v>
      </c>
      <c r="BJ24" s="306">
        <v>0</v>
      </c>
      <c r="BK24" s="306">
        <v>0</v>
      </c>
      <c r="BL24" s="306">
        <v>0</v>
      </c>
      <c r="BM24" s="306">
        <v>0</v>
      </c>
      <c r="BN24" s="306">
        <v>0</v>
      </c>
      <c r="BO24" s="306">
        <v>0</v>
      </c>
      <c r="BP24" s="329">
        <v>0</v>
      </c>
      <c r="BQ24" s="334">
        <v>0</v>
      </c>
      <c r="BR24" s="335">
        <v>0</v>
      </c>
      <c r="BS24" s="306">
        <v>0</v>
      </c>
      <c r="BT24" s="306">
        <v>0</v>
      </c>
      <c r="BU24" s="306">
        <v>0</v>
      </c>
      <c r="BV24" s="287">
        <v>11406000</v>
      </c>
    </row>
    <row r="25" spans="1:79">
      <c r="C25" s="297" t="s">
        <v>196</v>
      </c>
      <c r="D25" s="304"/>
      <c r="E25" s="305">
        <v>83286564</v>
      </c>
      <c r="F25" s="306">
        <v>16165334</v>
      </c>
      <c r="G25" s="306">
        <v>20214575</v>
      </c>
      <c r="H25" s="307">
        <v>18017553</v>
      </c>
      <c r="I25" s="308">
        <v>17825974</v>
      </c>
      <c r="J25" s="307">
        <v>17266821</v>
      </c>
      <c r="K25" s="307">
        <v>16891456</v>
      </c>
      <c r="L25" s="307">
        <v>16516090</v>
      </c>
      <c r="M25" s="307">
        <v>16140725</v>
      </c>
      <c r="N25" s="307">
        <v>15765359</v>
      </c>
      <c r="O25" s="309">
        <v>15389993.189999999</v>
      </c>
      <c r="P25" s="307">
        <v>15014628</v>
      </c>
      <c r="Q25" s="304">
        <v>14639262</v>
      </c>
      <c r="R25" s="307">
        <v>14263896</v>
      </c>
      <c r="S25" s="307">
        <v>13888530</v>
      </c>
      <c r="T25" s="307">
        <v>13513165</v>
      </c>
      <c r="U25" s="307">
        <v>13270064</v>
      </c>
      <c r="V25" s="311">
        <v>11257548</v>
      </c>
      <c r="W25" s="307">
        <v>11023016</v>
      </c>
      <c r="X25" s="307">
        <v>10788484</v>
      </c>
      <c r="Y25" s="307">
        <v>10553951</v>
      </c>
      <c r="Z25" s="307">
        <v>10319419</v>
      </c>
      <c r="AA25" s="307">
        <v>12295766</v>
      </c>
      <c r="AB25" s="312">
        <v>12009818</v>
      </c>
      <c r="AC25" s="312">
        <v>13210120</v>
      </c>
      <c r="AD25" s="312">
        <v>12887922</v>
      </c>
      <c r="AE25" s="312">
        <v>12565724</v>
      </c>
      <c r="AF25" s="307">
        <v>12243526</v>
      </c>
      <c r="AG25" s="307">
        <v>11921328</v>
      </c>
      <c r="AH25" s="307">
        <v>11599130</v>
      </c>
      <c r="AI25" s="307">
        <v>11599129</v>
      </c>
      <c r="AJ25" s="306">
        <v>11357481</v>
      </c>
      <c r="AK25" s="306">
        <v>11115833</v>
      </c>
      <c r="AL25" s="306">
        <v>10874184</v>
      </c>
      <c r="AM25" s="306">
        <v>10632536</v>
      </c>
      <c r="AN25" s="306">
        <v>10390887</v>
      </c>
      <c r="AO25" s="306">
        <v>10149239</v>
      </c>
      <c r="AP25" s="306"/>
      <c r="AQ25" s="306">
        <v>10080065</v>
      </c>
      <c r="AR25" s="306">
        <v>10309713</v>
      </c>
      <c r="AS25" s="306">
        <v>10045362</v>
      </c>
      <c r="AT25" s="306">
        <v>9516657</v>
      </c>
      <c r="AU25" s="306">
        <v>9432563</v>
      </c>
      <c r="AV25" s="313">
        <v>9433</v>
      </c>
      <c r="AW25" s="308">
        <v>9236051</v>
      </c>
      <c r="AX25" s="308">
        <v>9039540</v>
      </c>
      <c r="AY25" s="308">
        <v>8843029</v>
      </c>
      <c r="AZ25" s="308">
        <v>8646516</v>
      </c>
      <c r="BA25" s="308">
        <v>11024036</v>
      </c>
      <c r="BB25" s="308">
        <v>13947313</v>
      </c>
      <c r="BC25" s="308">
        <v>13615233</v>
      </c>
      <c r="BD25" s="308">
        <v>13283156</v>
      </c>
      <c r="BE25" s="308">
        <v>12951077</v>
      </c>
      <c r="BF25" s="308">
        <v>12951077</v>
      </c>
      <c r="BG25" s="308">
        <v>11744148</v>
      </c>
      <c r="BH25" s="308">
        <v>11396632</v>
      </c>
      <c r="BI25" s="343">
        <v>11396631</v>
      </c>
      <c r="BJ25" s="306">
        <v>11159201</v>
      </c>
      <c r="BK25" s="306">
        <v>10921771</v>
      </c>
      <c r="BL25" s="306">
        <v>10684342</v>
      </c>
      <c r="BM25" s="306">
        <v>10446911</v>
      </c>
      <c r="BN25" s="306">
        <v>10209482</v>
      </c>
      <c r="BO25" s="306">
        <v>9972050</v>
      </c>
      <c r="BP25" s="329">
        <v>9734621</v>
      </c>
      <c r="BQ25" s="331">
        <v>9497191</v>
      </c>
      <c r="BR25" s="332">
        <v>9884029</v>
      </c>
      <c r="BS25" s="306">
        <v>9630593</v>
      </c>
      <c r="BT25" s="306">
        <v>13027786</v>
      </c>
      <c r="BU25" s="306">
        <v>13027786</v>
      </c>
      <c r="BV25" s="287">
        <v>13028000</v>
      </c>
    </row>
    <row r="26" spans="1:79">
      <c r="C26" s="297" t="s">
        <v>197</v>
      </c>
      <c r="D26" s="304"/>
      <c r="E26" s="305">
        <v>1385640</v>
      </c>
      <c r="F26" s="306">
        <v>2381456</v>
      </c>
      <c r="G26" s="306">
        <v>1935627</v>
      </c>
      <c r="H26" s="307">
        <v>3196674</v>
      </c>
      <c r="I26" s="308">
        <v>3487109</v>
      </c>
      <c r="J26" s="307">
        <v>3196674</v>
      </c>
      <c r="K26" s="307">
        <v>3196674</v>
      </c>
      <c r="L26" s="307">
        <v>3196674</v>
      </c>
      <c r="M26" s="307">
        <v>3196674</v>
      </c>
      <c r="N26" s="307">
        <v>3196674</v>
      </c>
      <c r="O26" s="309">
        <v>3196674</v>
      </c>
      <c r="P26" s="307">
        <v>3196674</v>
      </c>
      <c r="Q26" s="304">
        <v>3196673</v>
      </c>
      <c r="R26" s="307">
        <v>3196674</v>
      </c>
      <c r="S26" s="307">
        <v>3196675</v>
      </c>
      <c r="T26" s="307">
        <v>3196673</v>
      </c>
      <c r="U26" s="307">
        <f>4243874</f>
        <v>4243874</v>
      </c>
      <c r="V26" s="311">
        <f>4435238</f>
        <v>4435238</v>
      </c>
      <c r="W26" s="307">
        <v>4435238</v>
      </c>
      <c r="X26" s="307">
        <v>4435238</v>
      </c>
      <c r="Y26" s="307">
        <v>0</v>
      </c>
      <c r="Z26" s="307">
        <v>0</v>
      </c>
      <c r="AA26" s="307">
        <v>0</v>
      </c>
      <c r="AB26" s="312">
        <v>0</v>
      </c>
      <c r="AC26" s="312">
        <v>0</v>
      </c>
      <c r="AD26" s="312">
        <v>0</v>
      </c>
      <c r="AE26" s="312">
        <v>0</v>
      </c>
      <c r="AF26" s="307">
        <v>0</v>
      </c>
      <c r="AG26" s="307"/>
      <c r="AH26" s="307"/>
      <c r="AI26" s="307">
        <v>5097677</v>
      </c>
      <c r="AJ26" s="306">
        <v>5097677</v>
      </c>
      <c r="AK26" s="306">
        <v>5097677</v>
      </c>
      <c r="AL26" s="306">
        <v>0</v>
      </c>
      <c r="AM26" s="306">
        <v>0</v>
      </c>
      <c r="AN26" s="306">
        <v>0</v>
      </c>
      <c r="AO26" s="306">
        <v>0</v>
      </c>
      <c r="AP26" s="306"/>
      <c r="AQ26" s="306">
        <v>0</v>
      </c>
      <c r="AR26" s="306">
        <v>0</v>
      </c>
      <c r="AS26" s="306">
        <v>0</v>
      </c>
      <c r="AT26" s="306">
        <v>0</v>
      </c>
      <c r="AU26" s="306">
        <v>1935497</v>
      </c>
      <c r="AV26" s="313">
        <f>1935</f>
        <v>1935</v>
      </c>
      <c r="AW26" s="308">
        <v>1935497</v>
      </c>
      <c r="AX26" s="308">
        <v>1935497</v>
      </c>
      <c r="AY26" s="308">
        <v>1935497</v>
      </c>
      <c r="AZ26" s="308">
        <v>0</v>
      </c>
      <c r="BA26" s="308">
        <v>0</v>
      </c>
      <c r="BB26" s="308">
        <v>0</v>
      </c>
      <c r="BC26" s="308">
        <v>0</v>
      </c>
      <c r="BD26" s="308">
        <v>0</v>
      </c>
      <c r="BE26" s="308">
        <v>0</v>
      </c>
      <c r="BF26" s="308">
        <v>0</v>
      </c>
      <c r="BG26" s="308">
        <v>0</v>
      </c>
      <c r="BH26" s="308">
        <v>1966211</v>
      </c>
      <c r="BI26" s="308">
        <v>1966211</v>
      </c>
      <c r="BJ26" s="306">
        <v>0</v>
      </c>
      <c r="BK26" s="306">
        <v>0</v>
      </c>
      <c r="BL26" s="306">
        <v>0</v>
      </c>
      <c r="BM26" s="306">
        <v>0</v>
      </c>
      <c r="BN26" s="306">
        <v>0</v>
      </c>
      <c r="BO26" s="306">
        <v>0</v>
      </c>
      <c r="BP26" s="329">
        <v>0</v>
      </c>
      <c r="BQ26" s="329">
        <v>0</v>
      </c>
      <c r="BR26" s="335">
        <v>0</v>
      </c>
      <c r="BS26" s="306">
        <v>0</v>
      </c>
      <c r="BT26" s="306">
        <v>0</v>
      </c>
      <c r="BU26" s="306">
        <v>2318602</v>
      </c>
      <c r="BV26" s="287">
        <f>2319000+9099000</f>
        <v>11418000</v>
      </c>
    </row>
    <row r="27" spans="1:79">
      <c r="C27" s="344" t="s">
        <v>9</v>
      </c>
      <c r="D27" s="345"/>
      <c r="E27" s="345">
        <f>E21+E17+E14+E8+E7+E4</f>
        <v>5058769436</v>
      </c>
      <c r="F27" s="345">
        <f>F21+F17+F14+F8+F7+F4</f>
        <v>6706442027</v>
      </c>
      <c r="G27" s="345">
        <f>G21+G17+G14+G8+G7+G4</f>
        <v>8550627577</v>
      </c>
      <c r="H27" s="345">
        <f>SUM(H4,H7,H8,H14,H17,H21)</f>
        <v>7332748198</v>
      </c>
      <c r="I27" s="345">
        <f>I21+I17+I14+I8+I7+I4</f>
        <v>11227171154</v>
      </c>
      <c r="J27" s="345">
        <f>SUM(J4,J7,J8,J14,J17,J21)</f>
        <v>7573721018</v>
      </c>
      <c r="K27" s="345">
        <f>SUM(K4,K7,K8,K14,K17,K21)</f>
        <v>7618677059</v>
      </c>
      <c r="L27" s="345">
        <f>SUM(L4,L7,L8,L14,L17,L21)</f>
        <v>7274003367</v>
      </c>
      <c r="M27" s="345">
        <f>SUM(M4,M7,M8,M14,M17,M21)</f>
        <v>7314857666</v>
      </c>
      <c r="N27" s="345">
        <f>N4+N7+N8+N14+N21</f>
        <v>7511657980</v>
      </c>
      <c r="O27" s="346">
        <f>O21+O17+O14+O8+O7+O4</f>
        <v>7508584749.8500004</v>
      </c>
      <c r="P27" s="345">
        <f>P4+P7+P8+P14+P17+P21</f>
        <v>7628248553</v>
      </c>
      <c r="Q27" s="347">
        <f>Q4+Q7+Q8+Q14+Q17+Q21</f>
        <v>7757729648</v>
      </c>
      <c r="R27" s="345">
        <f t="shared" ref="R27:AV27" si="23">SUM(R4,R7,R8,R14,R17,R21)</f>
        <v>7902284798</v>
      </c>
      <c r="S27" s="345">
        <f t="shared" si="23"/>
        <v>7931436143</v>
      </c>
      <c r="T27" s="345">
        <f t="shared" si="23"/>
        <v>7961770314</v>
      </c>
      <c r="U27" s="345">
        <f t="shared" si="23"/>
        <v>8106353615</v>
      </c>
      <c r="V27" s="348">
        <f t="shared" si="23"/>
        <v>8715310718</v>
      </c>
      <c r="W27" s="345">
        <f t="shared" si="23"/>
        <v>8960270626</v>
      </c>
      <c r="X27" s="345">
        <f t="shared" si="23"/>
        <v>8958482401</v>
      </c>
      <c r="Y27" s="345">
        <f t="shared" si="23"/>
        <v>9048315222</v>
      </c>
      <c r="Z27" s="345">
        <f t="shared" si="23"/>
        <v>8549803719</v>
      </c>
      <c r="AA27" s="345">
        <f t="shared" si="23"/>
        <v>8553114064</v>
      </c>
      <c r="AB27" s="349">
        <f t="shared" si="23"/>
        <v>8706983540</v>
      </c>
      <c r="AC27" s="349">
        <f t="shared" si="23"/>
        <v>8797511157</v>
      </c>
      <c r="AD27" s="349">
        <f t="shared" si="23"/>
        <v>9052000792</v>
      </c>
      <c r="AE27" s="349">
        <f t="shared" si="23"/>
        <v>9167357277</v>
      </c>
      <c r="AF27" s="345">
        <f t="shared" si="23"/>
        <v>9326105301</v>
      </c>
      <c r="AG27" s="345">
        <f t="shared" si="23"/>
        <v>9160953768.9500008</v>
      </c>
      <c r="AH27" s="345">
        <f t="shared" si="23"/>
        <v>9369626551</v>
      </c>
      <c r="AI27" s="345">
        <f t="shared" si="23"/>
        <v>9484832591</v>
      </c>
      <c r="AJ27" s="345">
        <f t="shared" si="23"/>
        <v>9646643367</v>
      </c>
      <c r="AK27" s="345">
        <f t="shared" si="23"/>
        <v>9730683423</v>
      </c>
      <c r="AL27" s="345">
        <f t="shared" si="23"/>
        <v>9542932219</v>
      </c>
      <c r="AM27" s="345">
        <f t="shared" si="23"/>
        <v>9619919514</v>
      </c>
      <c r="AN27" s="345">
        <f t="shared" si="23"/>
        <v>9580075141.5</v>
      </c>
      <c r="AO27" s="345">
        <f t="shared" si="23"/>
        <v>9689311006</v>
      </c>
      <c r="AP27" s="345">
        <f t="shared" si="23"/>
        <v>0</v>
      </c>
      <c r="AQ27" s="345">
        <f t="shared" si="23"/>
        <v>9980306124</v>
      </c>
      <c r="AR27" s="345">
        <f t="shared" si="23"/>
        <v>10052241398</v>
      </c>
      <c r="AS27" s="345">
        <f t="shared" si="23"/>
        <v>10245579617</v>
      </c>
      <c r="AT27" s="345">
        <f t="shared" si="23"/>
        <v>10472913400</v>
      </c>
      <c r="AU27" s="345">
        <f t="shared" si="23"/>
        <v>10576303931</v>
      </c>
      <c r="AV27" s="345">
        <f t="shared" si="23"/>
        <v>10478130</v>
      </c>
      <c r="AW27" s="336">
        <f t="shared" ref="AW27:BV27" si="24">SUM(AW4,AW7,AW8,AW14,AW17,AW21)</f>
        <v>10470090526</v>
      </c>
      <c r="AX27" s="336">
        <f t="shared" si="24"/>
        <v>10293856423</v>
      </c>
      <c r="AY27" s="336">
        <f t="shared" si="24"/>
        <v>10144676279</v>
      </c>
      <c r="AZ27" s="336">
        <f t="shared" si="24"/>
        <v>10226973169</v>
      </c>
      <c r="BA27" s="336">
        <f t="shared" si="24"/>
        <v>10311228534</v>
      </c>
      <c r="BB27" s="336">
        <f t="shared" si="24"/>
        <v>10569365021</v>
      </c>
      <c r="BC27" s="336">
        <f t="shared" si="24"/>
        <v>10953152991</v>
      </c>
      <c r="BD27" s="336">
        <f t="shared" si="24"/>
        <v>10929271219</v>
      </c>
      <c r="BE27" s="336">
        <f t="shared" si="24"/>
        <v>11053223241</v>
      </c>
      <c r="BF27" s="336">
        <f t="shared" si="24"/>
        <v>11169914026</v>
      </c>
      <c r="BG27" s="336">
        <f t="shared" si="24"/>
        <v>11394649214</v>
      </c>
      <c r="BH27" s="336">
        <f t="shared" si="24"/>
        <v>11690659107</v>
      </c>
      <c r="BI27" s="336">
        <f t="shared" si="24"/>
        <v>11690659105.768642</v>
      </c>
      <c r="BJ27" s="336">
        <f t="shared" si="24"/>
        <v>11818135664</v>
      </c>
      <c r="BK27" s="336">
        <f t="shared" si="24"/>
        <v>11606972435</v>
      </c>
      <c r="BL27" s="336">
        <f t="shared" si="24"/>
        <v>11618406725</v>
      </c>
      <c r="BM27" s="336">
        <f t="shared" si="24"/>
        <v>11626795764</v>
      </c>
      <c r="BN27" s="336">
        <f t="shared" si="24"/>
        <v>11669577232</v>
      </c>
      <c r="BO27" s="336">
        <f t="shared" si="24"/>
        <v>11817464595</v>
      </c>
      <c r="BP27" s="336">
        <f t="shared" si="24"/>
        <v>12046853238</v>
      </c>
      <c r="BQ27" s="336">
        <f t="shared" si="24"/>
        <v>12073618396</v>
      </c>
      <c r="BR27" s="336">
        <f t="shared" si="24"/>
        <v>12247837428</v>
      </c>
      <c r="BS27" s="336">
        <f t="shared" si="24"/>
        <v>12385705188</v>
      </c>
      <c r="BT27" s="336">
        <f t="shared" si="24"/>
        <v>12617464290</v>
      </c>
      <c r="BU27" s="336">
        <f t="shared" si="24"/>
        <v>12882187701</v>
      </c>
      <c r="BV27" s="387">
        <f t="shared" si="24"/>
        <v>12958024000</v>
      </c>
    </row>
    <row r="28" spans="1:79">
      <c r="A28" s="296"/>
      <c r="B28" s="296"/>
      <c r="C28" s="350" t="s">
        <v>198</v>
      </c>
      <c r="D28" s="350"/>
      <c r="E28" s="350"/>
      <c r="F28" s="350"/>
      <c r="G28" s="350"/>
      <c r="H28" s="314"/>
      <c r="I28" s="350"/>
      <c r="J28" s="314"/>
      <c r="K28" s="314"/>
      <c r="L28" s="314"/>
      <c r="M28" s="314"/>
      <c r="N28" s="314"/>
      <c r="O28" s="60"/>
      <c r="P28" s="314"/>
      <c r="Q28" s="351"/>
      <c r="R28" s="314"/>
      <c r="S28" s="314"/>
      <c r="T28" s="314"/>
      <c r="U28" s="314"/>
      <c r="V28" s="296"/>
      <c r="W28" s="314"/>
      <c r="X28" s="314"/>
      <c r="Y28" s="314"/>
      <c r="Z28" s="314"/>
      <c r="AA28" s="314"/>
      <c r="AB28" s="352"/>
      <c r="AC28" s="352"/>
      <c r="AD28" s="352"/>
      <c r="AE28" s="352"/>
      <c r="AF28" s="314"/>
      <c r="AG28" s="314"/>
      <c r="AH28" s="314"/>
      <c r="AI28" s="314"/>
      <c r="AJ28" s="314"/>
      <c r="AK28" s="314"/>
      <c r="AL28" s="314"/>
      <c r="AM28" s="314"/>
      <c r="AN28" s="314"/>
      <c r="AO28" s="314"/>
      <c r="AP28" s="314"/>
      <c r="AQ28" s="314"/>
      <c r="AR28" s="314"/>
      <c r="AS28" s="314"/>
      <c r="AT28" s="314"/>
      <c r="AU28" s="314"/>
      <c r="AV28" s="314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Q28" s="353"/>
      <c r="BR28" s="353"/>
    </row>
    <row r="29" spans="1:79">
      <c r="A29" s="296"/>
      <c r="B29" s="296"/>
      <c r="C29" s="354" t="s">
        <v>199</v>
      </c>
      <c r="D29" s="351"/>
      <c r="E29" s="355">
        <v>365046466</v>
      </c>
      <c r="F29" s="315">
        <v>375412943</v>
      </c>
      <c r="G29" s="315">
        <v>512838792</v>
      </c>
      <c r="H29" s="314">
        <v>293114101</v>
      </c>
      <c r="I29" s="308">
        <v>669647217</v>
      </c>
      <c r="J29" s="314">
        <v>404514804</v>
      </c>
      <c r="K29" s="314">
        <v>409826694</v>
      </c>
      <c r="L29" s="314">
        <v>334421800</v>
      </c>
      <c r="M29" s="314">
        <v>311000555</v>
      </c>
      <c r="N29" s="314">
        <v>369832814</v>
      </c>
      <c r="O29" s="60">
        <v>268592035.66000003</v>
      </c>
      <c r="P29" s="314">
        <v>256936418</v>
      </c>
      <c r="Q29" s="351">
        <v>297935795</v>
      </c>
      <c r="R29" s="314">
        <v>294469689</v>
      </c>
      <c r="S29" s="314">
        <v>305373640</v>
      </c>
      <c r="T29" s="314">
        <v>256126960</v>
      </c>
      <c r="U29" s="314">
        <v>272121207</v>
      </c>
      <c r="V29" s="311">
        <v>358299491</v>
      </c>
      <c r="W29" s="314">
        <v>420539519</v>
      </c>
      <c r="X29" s="314">
        <v>436535669</v>
      </c>
      <c r="Y29" s="314">
        <v>491265589</v>
      </c>
      <c r="Z29" s="314">
        <v>461506696</v>
      </c>
      <c r="AA29" s="314">
        <v>421211633</v>
      </c>
      <c r="AB29" s="352">
        <v>408643393</v>
      </c>
      <c r="AC29" s="352">
        <v>394100806</v>
      </c>
      <c r="AD29" s="352">
        <v>549096046</v>
      </c>
      <c r="AE29" s="352">
        <v>605230464</v>
      </c>
      <c r="AF29" s="314">
        <v>606930650</v>
      </c>
      <c r="AG29" s="314">
        <v>373155183</v>
      </c>
      <c r="AH29" s="314">
        <v>479423926</v>
      </c>
      <c r="AI29" s="314">
        <v>479423926</v>
      </c>
      <c r="AJ29" s="315">
        <v>581806290</v>
      </c>
      <c r="AK29" s="315">
        <v>543775832</v>
      </c>
      <c r="AL29" s="315">
        <v>865829357</v>
      </c>
      <c r="AM29" s="315">
        <v>794599641</v>
      </c>
      <c r="AN29" s="315">
        <v>624454504</v>
      </c>
      <c r="AO29" s="315">
        <v>634894039</v>
      </c>
      <c r="AP29" s="315"/>
      <c r="AQ29" s="315">
        <v>711768547</v>
      </c>
      <c r="AR29" s="315">
        <v>760488230</v>
      </c>
      <c r="AS29" s="315">
        <v>736244281</v>
      </c>
      <c r="AT29" s="315">
        <v>739120872</v>
      </c>
      <c r="AU29" s="315">
        <v>788925324</v>
      </c>
      <c r="AV29" s="314">
        <v>788925</v>
      </c>
      <c r="AW29" s="308">
        <v>690233341</v>
      </c>
      <c r="AX29" s="308">
        <v>1122776019</v>
      </c>
      <c r="AY29" s="308">
        <v>820457445</v>
      </c>
      <c r="AZ29" s="308">
        <v>766083550</v>
      </c>
      <c r="BA29" s="308">
        <v>701979787</v>
      </c>
      <c r="BB29" s="308">
        <v>764644248</v>
      </c>
      <c r="BC29" s="308">
        <v>979433173</v>
      </c>
      <c r="BD29" s="308">
        <v>888376284</v>
      </c>
      <c r="BE29" s="308">
        <v>853007493</v>
      </c>
      <c r="BF29" s="308">
        <v>810987981</v>
      </c>
      <c r="BG29" s="308">
        <v>843035567</v>
      </c>
      <c r="BH29" s="308">
        <v>839236589</v>
      </c>
      <c r="BI29" s="343">
        <v>839236589</v>
      </c>
      <c r="BJ29" s="306">
        <v>843041059</v>
      </c>
      <c r="BK29" s="306">
        <v>1257139856</v>
      </c>
      <c r="BL29" s="306">
        <v>1112122326</v>
      </c>
      <c r="BM29" s="306">
        <v>983861183</v>
      </c>
      <c r="BN29" s="329">
        <v>915067611</v>
      </c>
      <c r="BO29" s="315">
        <v>898385198</v>
      </c>
      <c r="BP29" s="315">
        <v>954382871</v>
      </c>
      <c r="BQ29" s="356">
        <v>915322466</v>
      </c>
      <c r="BR29" s="357">
        <v>889638483</v>
      </c>
      <c r="BS29" s="306">
        <v>853181762</v>
      </c>
      <c r="BT29" s="306">
        <v>922876820</v>
      </c>
      <c r="BU29" s="306">
        <v>913891059</v>
      </c>
      <c r="BV29" s="287">
        <v>913891000</v>
      </c>
    </row>
    <row r="30" spans="1:79">
      <c r="A30" s="296"/>
      <c r="B30" s="296"/>
      <c r="C30" s="354" t="s">
        <v>200</v>
      </c>
      <c r="D30" s="351"/>
      <c r="E30" s="355">
        <v>528880389</v>
      </c>
      <c r="F30" s="315">
        <v>467492944</v>
      </c>
      <c r="G30" s="315">
        <v>540527915</v>
      </c>
      <c r="H30" s="314">
        <v>69413927</v>
      </c>
      <c r="I30" s="308">
        <v>687345997</v>
      </c>
      <c r="J30" s="314">
        <v>130253527</v>
      </c>
      <c r="K30" s="314">
        <v>136549627</v>
      </c>
      <c r="L30" s="314">
        <v>130647627</v>
      </c>
      <c r="M30" s="314">
        <v>79691885</v>
      </c>
      <c r="N30" s="314">
        <v>139285327</v>
      </c>
      <c r="O30" s="60">
        <v>82051427</v>
      </c>
      <c r="P30" s="314">
        <v>132544530</v>
      </c>
      <c r="Q30" s="351">
        <v>134633730</v>
      </c>
      <c r="R30" s="314">
        <v>137820391</v>
      </c>
      <c r="S30" s="314">
        <v>132814422</v>
      </c>
      <c r="T30" s="314">
        <v>129056692</v>
      </c>
      <c r="U30" s="314">
        <v>126508892</v>
      </c>
      <c r="V30" s="311">
        <v>150680952</v>
      </c>
      <c r="W30" s="314">
        <v>147140235</v>
      </c>
      <c r="X30" s="314">
        <v>142051270</v>
      </c>
      <c r="Y30" s="314">
        <v>163850752</v>
      </c>
      <c r="Z30" s="314">
        <v>168852239</v>
      </c>
      <c r="AA30" s="314">
        <v>166392535</v>
      </c>
      <c r="AB30" s="352">
        <v>161889499</v>
      </c>
      <c r="AC30" s="352">
        <v>162196433</v>
      </c>
      <c r="AD30" s="352">
        <v>158135752</v>
      </c>
      <c r="AE30" s="352">
        <v>152309530</v>
      </c>
      <c r="AF30" s="314">
        <v>151303503</v>
      </c>
      <c r="AG30" s="314">
        <v>137331903</v>
      </c>
      <c r="AH30" s="314">
        <v>131354346</v>
      </c>
      <c r="AI30" s="314">
        <v>131354346</v>
      </c>
      <c r="AJ30" s="315">
        <v>126854212</v>
      </c>
      <c r="AK30" s="315">
        <v>130608003</v>
      </c>
      <c r="AL30" s="315">
        <v>133224222</v>
      </c>
      <c r="AM30" s="315">
        <v>137070606</v>
      </c>
      <c r="AN30" s="315">
        <v>136224053</v>
      </c>
      <c r="AO30" s="315">
        <v>145903588</v>
      </c>
      <c r="AP30" s="315"/>
      <c r="AQ30" s="315">
        <v>150971372</v>
      </c>
      <c r="AR30" s="315">
        <v>153244885</v>
      </c>
      <c r="AS30" s="315">
        <v>157613336</v>
      </c>
      <c r="AT30" s="315">
        <v>161293696</v>
      </c>
      <c r="AU30" s="315">
        <v>146735889</v>
      </c>
      <c r="AV30" s="314">
        <v>146737</v>
      </c>
      <c r="AW30" s="308">
        <v>138889418</v>
      </c>
      <c r="AX30" s="308">
        <v>146279312</v>
      </c>
      <c r="AY30" s="308">
        <v>140084646</v>
      </c>
      <c r="AZ30" s="308">
        <v>137118959</v>
      </c>
      <c r="BA30" s="308">
        <v>137705575</v>
      </c>
      <c r="BB30" s="308">
        <v>139726852</v>
      </c>
      <c r="BC30" s="308">
        <v>171555962</v>
      </c>
      <c r="BD30" s="308">
        <v>173837156</v>
      </c>
      <c r="BE30" s="308">
        <v>172805903</v>
      </c>
      <c r="BF30" s="308">
        <v>172297933</v>
      </c>
      <c r="BG30" s="308">
        <v>175231499</v>
      </c>
      <c r="BH30" s="308">
        <v>164322810</v>
      </c>
      <c r="BI30" s="343">
        <v>164322810</v>
      </c>
      <c r="BJ30" s="306">
        <v>151090074</v>
      </c>
      <c r="BK30" s="306">
        <v>148442852</v>
      </c>
      <c r="BL30" s="306">
        <v>154866106</v>
      </c>
      <c r="BM30" s="306">
        <v>158608453</v>
      </c>
      <c r="BN30" s="329">
        <v>162807460</v>
      </c>
      <c r="BO30" s="315">
        <v>170014882</v>
      </c>
      <c r="BP30" s="315">
        <v>169218142</v>
      </c>
      <c r="BQ30" s="331">
        <v>162607694</v>
      </c>
      <c r="BR30" s="332">
        <v>163342868</v>
      </c>
      <c r="BS30" s="306">
        <v>164959920</v>
      </c>
      <c r="BT30" s="306">
        <v>132029045</v>
      </c>
      <c r="BU30" s="306">
        <v>163067835</v>
      </c>
      <c r="BV30" s="287">
        <v>163068000</v>
      </c>
    </row>
    <row r="31" spans="1:79" ht="14.25">
      <c r="A31" s="296"/>
      <c r="B31" s="296"/>
      <c r="C31" s="354" t="s">
        <v>201</v>
      </c>
      <c r="D31" s="351"/>
      <c r="E31" s="355">
        <v>2255901167</v>
      </c>
      <c r="F31" s="315">
        <v>2888506869</v>
      </c>
      <c r="G31" s="315">
        <v>3724504078</v>
      </c>
      <c r="H31" s="314">
        <v>3791936129</v>
      </c>
      <c r="I31" s="308">
        <v>4693715976</v>
      </c>
      <c r="J31" s="314">
        <v>3801493564</v>
      </c>
      <c r="K31" s="314">
        <v>3708137788</v>
      </c>
      <c r="L31" s="314">
        <v>3831554335</v>
      </c>
      <c r="M31" s="314">
        <v>3865857096</v>
      </c>
      <c r="N31" s="314">
        <v>3879484635</v>
      </c>
      <c r="O31" s="60">
        <v>3924616542.4200001</v>
      </c>
      <c r="P31" s="314">
        <v>3957621544</v>
      </c>
      <c r="Q31" s="351">
        <v>4002543148</v>
      </c>
      <c r="R31" s="314">
        <v>4045294279</v>
      </c>
      <c r="S31" s="314">
        <v>4008892470</v>
      </c>
      <c r="T31" s="314">
        <v>4085665384</v>
      </c>
      <c r="U31" s="314">
        <v>4085665384</v>
      </c>
      <c r="V31" s="311">
        <v>4454006657</v>
      </c>
      <c r="W31" s="314">
        <v>4412161292</v>
      </c>
      <c r="X31" s="314">
        <v>4456600587</v>
      </c>
      <c r="Y31" s="314">
        <v>4489078500</v>
      </c>
      <c r="Z31" s="314">
        <v>4535050198</v>
      </c>
      <c r="AA31" s="314">
        <v>4556535041</v>
      </c>
      <c r="AB31" s="352">
        <v>4602930363</v>
      </c>
      <c r="AC31" s="352">
        <v>4623389706</v>
      </c>
      <c r="AD31" s="352">
        <v>4586505949</v>
      </c>
      <c r="AE31" s="352">
        <v>4623512337</v>
      </c>
      <c r="AF31" s="314">
        <v>4670409980</v>
      </c>
      <c r="AG31" s="314">
        <v>4670299015</v>
      </c>
      <c r="AH31" s="314">
        <v>4718751110</v>
      </c>
      <c r="AI31" s="314">
        <v>4718751110</v>
      </c>
      <c r="AJ31" s="315">
        <v>4661067125</v>
      </c>
      <c r="AK31" s="315">
        <v>4685056569</v>
      </c>
      <c r="AL31" s="315">
        <v>4731042974</v>
      </c>
      <c r="AM31" s="315">
        <v>4789569089</v>
      </c>
      <c r="AN31" s="315">
        <v>4839195666</v>
      </c>
      <c r="AO31" s="315">
        <v>4879367128</v>
      </c>
      <c r="AP31" s="315"/>
      <c r="AQ31" s="315">
        <v>4939565750</v>
      </c>
      <c r="AR31" s="315">
        <v>4972198718</v>
      </c>
      <c r="AS31" s="315">
        <v>5012032513</v>
      </c>
      <c r="AT31" s="315">
        <v>5047530654</v>
      </c>
      <c r="AU31" s="315">
        <v>5051756877</v>
      </c>
      <c r="AV31" s="314">
        <v>5051756</v>
      </c>
      <c r="AW31" s="308">
        <v>5090529263</v>
      </c>
      <c r="AX31" s="308">
        <v>5048320510</v>
      </c>
      <c r="AY31" s="308">
        <v>5085588035</v>
      </c>
      <c r="AZ31" s="308">
        <v>5111680118</v>
      </c>
      <c r="BA31" s="308">
        <v>5155398544</v>
      </c>
      <c r="BB31" s="308">
        <v>5204538093</v>
      </c>
      <c r="BC31" s="308">
        <v>5225184760</v>
      </c>
      <c r="BD31" s="308">
        <v>5254730048</v>
      </c>
      <c r="BE31" s="308">
        <v>5308695746</v>
      </c>
      <c r="BF31" s="308">
        <v>5360122380</v>
      </c>
      <c r="BG31" s="308">
        <v>5415306577</v>
      </c>
      <c r="BH31" s="308">
        <v>5444572137</v>
      </c>
      <c r="BI31" s="343">
        <v>5444572137</v>
      </c>
      <c r="BJ31" s="306">
        <v>5407733539</v>
      </c>
      <c r="BK31" s="306">
        <v>5466555851</v>
      </c>
      <c r="BL31" s="306">
        <v>5517370386</v>
      </c>
      <c r="BM31" s="306">
        <v>5565337341</v>
      </c>
      <c r="BN31" s="329">
        <v>5628109010</v>
      </c>
      <c r="BO31" s="315">
        <v>5663861868</v>
      </c>
      <c r="BP31" s="315">
        <v>5699668347</v>
      </c>
      <c r="BQ31" s="331">
        <v>5742741145</v>
      </c>
      <c r="BR31" s="332">
        <v>5798774560</v>
      </c>
      <c r="BS31" s="306">
        <v>5862798650</v>
      </c>
      <c r="BT31" s="306">
        <v>5917566869</v>
      </c>
      <c r="BU31" s="306">
        <v>5967689614</v>
      </c>
      <c r="BV31" s="287">
        <v>5967690000</v>
      </c>
    </row>
    <row r="32" spans="1:79">
      <c r="A32" s="296"/>
      <c r="B32" s="296"/>
      <c r="C32" s="350" t="s">
        <v>202</v>
      </c>
      <c r="D32" s="301"/>
      <c r="E32" s="301">
        <f t="shared" ref="E32:P32" si="25">SUM(E29:E31)</f>
        <v>3149828022</v>
      </c>
      <c r="F32" s="301">
        <f t="shared" si="25"/>
        <v>3731412756</v>
      </c>
      <c r="G32" s="301">
        <f t="shared" si="25"/>
        <v>4777870785</v>
      </c>
      <c r="H32" s="301">
        <f t="shared" si="25"/>
        <v>4154464157</v>
      </c>
      <c r="I32" s="301">
        <f t="shared" si="25"/>
        <v>6050709190</v>
      </c>
      <c r="J32" s="301">
        <f t="shared" si="25"/>
        <v>4336261895</v>
      </c>
      <c r="K32" s="301">
        <f t="shared" si="25"/>
        <v>4254514109</v>
      </c>
      <c r="L32" s="301">
        <f t="shared" si="25"/>
        <v>4296623762</v>
      </c>
      <c r="M32" s="301">
        <f t="shared" si="25"/>
        <v>4256549536</v>
      </c>
      <c r="N32" s="301">
        <f t="shared" si="25"/>
        <v>4388602776</v>
      </c>
      <c r="O32" s="301">
        <f t="shared" si="25"/>
        <v>4275260005.0799999</v>
      </c>
      <c r="P32" s="301">
        <f t="shared" si="25"/>
        <v>4347102492</v>
      </c>
      <c r="Q32" s="358">
        <f t="shared" ref="Q32:V32" si="26">SUM(Q29:Q31)</f>
        <v>4435112673</v>
      </c>
      <c r="R32" s="301">
        <f t="shared" si="26"/>
        <v>4477584359</v>
      </c>
      <c r="S32" s="301">
        <f t="shared" si="26"/>
        <v>4447080532</v>
      </c>
      <c r="T32" s="301">
        <f t="shared" si="26"/>
        <v>4470849036</v>
      </c>
      <c r="U32" s="301">
        <f t="shared" si="26"/>
        <v>4484295483</v>
      </c>
      <c r="V32" s="301">
        <f t="shared" si="26"/>
        <v>4962987100</v>
      </c>
      <c r="W32" s="301">
        <f t="shared" ref="W32:AD32" si="27">SUM(W29:W31)</f>
        <v>4979841046</v>
      </c>
      <c r="X32" s="301">
        <f t="shared" si="27"/>
        <v>5035187526</v>
      </c>
      <c r="Y32" s="301">
        <f t="shared" si="27"/>
        <v>5144194841</v>
      </c>
      <c r="Z32" s="301">
        <f t="shared" si="27"/>
        <v>5165409133</v>
      </c>
      <c r="AA32" s="301">
        <f t="shared" si="27"/>
        <v>5144139209</v>
      </c>
      <c r="AB32" s="359">
        <f t="shared" si="27"/>
        <v>5173463255</v>
      </c>
      <c r="AC32" s="359">
        <f t="shared" si="27"/>
        <v>5179686945</v>
      </c>
      <c r="AD32" s="359">
        <f t="shared" si="27"/>
        <v>5293737747</v>
      </c>
      <c r="AE32" s="359">
        <f t="shared" ref="AE32:AL32" si="28">SUM(AE29:AE31)</f>
        <v>5381052331</v>
      </c>
      <c r="AF32" s="301">
        <f t="shared" si="28"/>
        <v>5428644133</v>
      </c>
      <c r="AG32" s="301">
        <f t="shared" si="28"/>
        <v>5180786101</v>
      </c>
      <c r="AH32" s="301">
        <f t="shared" si="28"/>
        <v>5329529382</v>
      </c>
      <c r="AI32" s="301">
        <f t="shared" si="28"/>
        <v>5329529382</v>
      </c>
      <c r="AJ32" s="301">
        <f t="shared" si="28"/>
        <v>5369727627</v>
      </c>
      <c r="AK32" s="301">
        <f t="shared" si="28"/>
        <v>5359440404</v>
      </c>
      <c r="AL32" s="301">
        <f t="shared" si="28"/>
        <v>5730096553</v>
      </c>
      <c r="AM32" s="301">
        <f t="shared" ref="AM32:AV32" si="29">SUM(AM29:AM31)</f>
        <v>5721239336</v>
      </c>
      <c r="AN32" s="301">
        <f t="shared" si="29"/>
        <v>5599874223</v>
      </c>
      <c r="AO32" s="301">
        <f t="shared" si="29"/>
        <v>5660164755</v>
      </c>
      <c r="AP32" s="301">
        <f t="shared" si="29"/>
        <v>0</v>
      </c>
      <c r="AQ32" s="301">
        <f t="shared" si="29"/>
        <v>5802305669</v>
      </c>
      <c r="AR32" s="301">
        <f t="shared" si="29"/>
        <v>5885931833</v>
      </c>
      <c r="AS32" s="301">
        <f t="shared" si="29"/>
        <v>5905890130</v>
      </c>
      <c r="AT32" s="301">
        <f t="shared" si="29"/>
        <v>5947945222</v>
      </c>
      <c r="AU32" s="301">
        <f t="shared" si="29"/>
        <v>5987418090</v>
      </c>
      <c r="AV32" s="301">
        <f t="shared" si="29"/>
        <v>5987418</v>
      </c>
      <c r="AW32" s="301">
        <f t="shared" ref="AW32:BH32" si="30">SUM(AW29:AW31)</f>
        <v>5919652022</v>
      </c>
      <c r="AX32" s="301">
        <f t="shared" si="30"/>
        <v>6317375841</v>
      </c>
      <c r="AY32" s="301">
        <f t="shared" si="30"/>
        <v>6046130126</v>
      </c>
      <c r="AZ32" s="301">
        <f t="shared" si="30"/>
        <v>6014882627</v>
      </c>
      <c r="BA32" s="301">
        <f t="shared" si="30"/>
        <v>5995083906</v>
      </c>
      <c r="BB32" s="301">
        <f t="shared" si="30"/>
        <v>6108909193</v>
      </c>
      <c r="BC32" s="301">
        <f t="shared" si="30"/>
        <v>6376173895</v>
      </c>
      <c r="BD32" s="301">
        <f t="shared" si="30"/>
        <v>6316943488</v>
      </c>
      <c r="BE32" s="301">
        <f t="shared" si="30"/>
        <v>6334509142</v>
      </c>
      <c r="BF32" s="301">
        <f t="shared" si="30"/>
        <v>6343408294</v>
      </c>
      <c r="BG32" s="301">
        <f t="shared" si="30"/>
        <v>6433573643</v>
      </c>
      <c r="BH32" s="301">
        <f t="shared" si="30"/>
        <v>6448131536</v>
      </c>
      <c r="BI32" s="301">
        <f>SUM(BI29:BI31)</f>
        <v>6448131536</v>
      </c>
      <c r="BJ32" s="301">
        <f t="shared" ref="BJ32:BP32" si="31">SUM(BJ29:BJ31)</f>
        <v>6401864672</v>
      </c>
      <c r="BK32" s="301">
        <f t="shared" si="31"/>
        <v>6872138559</v>
      </c>
      <c r="BL32" s="301">
        <f t="shared" si="31"/>
        <v>6784358818</v>
      </c>
      <c r="BM32" s="301">
        <f t="shared" si="31"/>
        <v>6707806977</v>
      </c>
      <c r="BN32" s="301">
        <f t="shared" si="31"/>
        <v>6705984081</v>
      </c>
      <c r="BO32" s="301">
        <f t="shared" si="31"/>
        <v>6732261948</v>
      </c>
      <c r="BP32" s="301">
        <f t="shared" si="31"/>
        <v>6823269360</v>
      </c>
      <c r="BQ32" s="301">
        <f>SUM(BQ29:BQ31)</f>
        <v>6820671305</v>
      </c>
      <c r="BR32" s="360">
        <f>SUM(BR29:BR31)</f>
        <v>6851755911</v>
      </c>
      <c r="BS32" s="360">
        <f t="shared" ref="BS32:BV32" si="32">SUM(BS29:BS31)</f>
        <v>6880940332</v>
      </c>
      <c r="BT32" s="360">
        <f t="shared" si="32"/>
        <v>6972472734</v>
      </c>
      <c r="BU32" s="360">
        <f t="shared" si="32"/>
        <v>7044648508</v>
      </c>
      <c r="BV32" s="388">
        <f t="shared" si="32"/>
        <v>7044649000</v>
      </c>
    </row>
    <row r="33" spans="1:74">
      <c r="A33" s="296"/>
      <c r="B33" s="296"/>
      <c r="C33" s="350" t="s">
        <v>203</v>
      </c>
      <c r="D33" s="361"/>
      <c r="E33" s="361">
        <f>SUM(E34:E39)</f>
        <v>1460675878</v>
      </c>
      <c r="F33" s="361">
        <f t="shared" ref="F33:O33" si="33">SUM(F34:F39)</f>
        <v>2188528151</v>
      </c>
      <c r="G33" s="361">
        <f t="shared" si="33"/>
        <v>2615610418</v>
      </c>
      <c r="H33" s="361">
        <f t="shared" si="33"/>
        <v>1031650169</v>
      </c>
      <c r="I33" s="361">
        <f t="shared" si="33"/>
        <v>3352986654</v>
      </c>
      <c r="J33" s="361">
        <f>SUM(J34:J39)</f>
        <v>1140710267</v>
      </c>
      <c r="K33" s="361">
        <f>SUM(K34:K39)</f>
        <v>1182425645</v>
      </c>
      <c r="L33" s="361">
        <f>SUM(L34:L39)</f>
        <v>707375068</v>
      </c>
      <c r="M33" s="361">
        <f>SUM(M34:M39)</f>
        <v>747796998.43000007</v>
      </c>
      <c r="N33" s="361">
        <f>SUM(N34:N39)</f>
        <v>784044433</v>
      </c>
      <c r="O33" s="362">
        <f t="shared" si="33"/>
        <v>829901179.31999993</v>
      </c>
      <c r="P33" s="361">
        <f t="shared" ref="P33:U33" si="34">SUM(P34:P39)</f>
        <v>842093985.5</v>
      </c>
      <c r="Q33" s="363">
        <f t="shared" si="34"/>
        <v>871214668.75</v>
      </c>
      <c r="R33" s="361">
        <f t="shared" si="34"/>
        <v>926090492.60000002</v>
      </c>
      <c r="S33" s="361">
        <f t="shared" si="34"/>
        <v>934001963.56999993</v>
      </c>
      <c r="T33" s="361">
        <f t="shared" si="34"/>
        <v>988201337.34000003</v>
      </c>
      <c r="U33" s="361">
        <f t="shared" si="34"/>
        <v>955014310</v>
      </c>
      <c r="V33" s="361">
        <f t="shared" ref="V33:AA33" si="35">SUM(V34:V39)</f>
        <v>864142403</v>
      </c>
      <c r="W33" s="361">
        <f t="shared" si="35"/>
        <v>980344837.51999998</v>
      </c>
      <c r="X33" s="361">
        <f t="shared" si="35"/>
        <v>971950186.40999997</v>
      </c>
      <c r="Y33" s="361">
        <f t="shared" si="35"/>
        <v>926366075</v>
      </c>
      <c r="Z33" s="361">
        <f t="shared" si="35"/>
        <v>366886006</v>
      </c>
      <c r="AA33" s="361">
        <f t="shared" si="35"/>
        <v>334586425.45999998</v>
      </c>
      <c r="AB33" s="364">
        <f t="shared" ref="AB33:AI33" si="36">SUM(AB34:AB39)</f>
        <v>396968427</v>
      </c>
      <c r="AC33" s="364">
        <f t="shared" si="36"/>
        <v>457769145</v>
      </c>
      <c r="AD33" s="364">
        <f t="shared" si="36"/>
        <v>464181744.11000001</v>
      </c>
      <c r="AE33" s="364">
        <f t="shared" si="36"/>
        <v>508039987.92000002</v>
      </c>
      <c r="AF33" s="361">
        <f t="shared" si="36"/>
        <v>573477066.25999999</v>
      </c>
      <c r="AG33" s="361">
        <f t="shared" si="36"/>
        <v>637039939.84000003</v>
      </c>
      <c r="AH33" s="361">
        <f t="shared" si="36"/>
        <v>697774130.79999995</v>
      </c>
      <c r="AI33" s="361">
        <f t="shared" si="36"/>
        <v>633823658</v>
      </c>
      <c r="AJ33" s="361">
        <f>SUM(AJ34:AJ39)</f>
        <v>763807890.64999998</v>
      </c>
      <c r="AK33" s="361">
        <f>SUM(AK34:AK39)</f>
        <v>771066042</v>
      </c>
      <c r="AL33" s="361">
        <f>SUM(AL34:AL39)</f>
        <v>211218029</v>
      </c>
      <c r="AM33" s="361">
        <f t="shared" ref="AM33:AV33" si="37">SUM(AM34:AM39)</f>
        <v>275437399</v>
      </c>
      <c r="AN33" s="361">
        <f t="shared" si="37"/>
        <v>336623375.14999998</v>
      </c>
      <c r="AO33" s="361">
        <f t="shared" si="37"/>
        <v>401762937</v>
      </c>
      <c r="AP33" s="361">
        <f t="shared" si="37"/>
        <v>0</v>
      </c>
      <c r="AQ33" s="361">
        <f t="shared" si="37"/>
        <v>424616575.44</v>
      </c>
      <c r="AR33" s="361">
        <f t="shared" si="37"/>
        <v>552142588.35000002</v>
      </c>
      <c r="AS33" s="361">
        <f t="shared" si="37"/>
        <v>605723946.30999994</v>
      </c>
      <c r="AT33" s="361">
        <f t="shared" si="37"/>
        <v>712037823.79999995</v>
      </c>
      <c r="AU33" s="361">
        <f t="shared" si="37"/>
        <v>774249836.95000005</v>
      </c>
      <c r="AV33" s="361">
        <f t="shared" si="37"/>
        <v>670507</v>
      </c>
      <c r="AW33" s="361">
        <f t="shared" ref="AW33:BH33" si="38">SUM(AW34:AW39)</f>
        <v>865252465</v>
      </c>
      <c r="AX33" s="361">
        <f t="shared" si="38"/>
        <v>163088006</v>
      </c>
      <c r="AY33" s="361">
        <f t="shared" si="38"/>
        <v>235372966.53</v>
      </c>
      <c r="AZ33" s="361">
        <f t="shared" si="38"/>
        <v>307140292.81</v>
      </c>
      <c r="BA33" s="361">
        <f t="shared" si="38"/>
        <v>310887955</v>
      </c>
      <c r="BB33" s="361">
        <f t="shared" si="38"/>
        <v>455983952.72000003</v>
      </c>
      <c r="BC33" s="361">
        <f t="shared" si="38"/>
        <v>530038551.30000001</v>
      </c>
      <c r="BD33" s="361">
        <f t="shared" si="38"/>
        <v>529262344</v>
      </c>
      <c r="BE33" s="361">
        <f t="shared" si="38"/>
        <v>606921483.38999999</v>
      </c>
      <c r="BF33" s="361">
        <f t="shared" si="38"/>
        <v>687057599.41999996</v>
      </c>
      <c r="BG33" s="361">
        <f t="shared" si="38"/>
        <v>795666031.49000001</v>
      </c>
      <c r="BH33" s="361">
        <f t="shared" si="38"/>
        <v>732807895.99000001</v>
      </c>
      <c r="BI33" s="361">
        <f>SUM(BI34:BI39)</f>
        <v>732807895.56528389</v>
      </c>
      <c r="BJ33" s="361">
        <f t="shared" ref="BJ33:BP33" si="39">SUM(BJ34:BJ39)</f>
        <v>988128390.97000003</v>
      </c>
      <c r="BK33" s="361">
        <f t="shared" si="39"/>
        <v>236274771.69</v>
      </c>
      <c r="BL33" s="361">
        <f t="shared" si="39"/>
        <v>366968862</v>
      </c>
      <c r="BM33" s="361">
        <f t="shared" si="39"/>
        <v>453993992.31</v>
      </c>
      <c r="BN33" s="361">
        <f t="shared" si="39"/>
        <v>408603943.30000001</v>
      </c>
      <c r="BO33" s="361">
        <f t="shared" si="39"/>
        <v>487482680.94</v>
      </c>
      <c r="BP33" s="361">
        <f t="shared" si="39"/>
        <v>567446448.07000005</v>
      </c>
      <c r="BQ33" s="365">
        <f>SUM(BQ34:BQ39)</f>
        <v>554916152</v>
      </c>
      <c r="BR33" s="365">
        <f>SUM(BR34:BR39)</f>
        <v>507786570.23000002</v>
      </c>
      <c r="BS33" s="365">
        <f t="shared" ref="BS33:BV33" si="40">SUM(BS34:BS39)</f>
        <v>579134756</v>
      </c>
      <c r="BT33" s="365">
        <f t="shared" si="40"/>
        <v>665300277.27999997</v>
      </c>
      <c r="BU33" s="365">
        <f t="shared" si="40"/>
        <v>739484636.44000006</v>
      </c>
      <c r="BV33" s="389">
        <f t="shared" si="40"/>
        <v>814693000</v>
      </c>
    </row>
    <row r="34" spans="1:74">
      <c r="A34" s="296"/>
      <c r="B34" s="296"/>
      <c r="C34" s="354" t="s">
        <v>204</v>
      </c>
      <c r="D34" s="351"/>
      <c r="E34" s="355">
        <v>3399264</v>
      </c>
      <c r="F34" s="315">
        <v>1672106</v>
      </c>
      <c r="G34" s="315">
        <v>1956947</v>
      </c>
      <c r="H34" s="314"/>
      <c r="I34" s="308">
        <v>19244069</v>
      </c>
      <c r="J34" s="314"/>
      <c r="K34" s="314"/>
      <c r="L34" s="314"/>
      <c r="M34" s="314"/>
      <c r="N34" s="314"/>
      <c r="O34" s="60">
        <v>0</v>
      </c>
      <c r="P34" s="314">
        <v>0</v>
      </c>
      <c r="Q34" s="351"/>
      <c r="R34" s="314">
        <v>0</v>
      </c>
      <c r="S34" s="314">
        <v>0</v>
      </c>
      <c r="T34" s="314">
        <v>0</v>
      </c>
      <c r="U34" s="314">
        <v>389584</v>
      </c>
      <c r="V34" s="311"/>
      <c r="W34" s="314"/>
      <c r="X34" s="314"/>
      <c r="Y34" s="314"/>
      <c r="Z34" s="314"/>
      <c r="AA34" s="314"/>
      <c r="AB34" s="352"/>
      <c r="AC34" s="352"/>
      <c r="AD34" s="352"/>
      <c r="AE34" s="352"/>
      <c r="AF34" s="314"/>
      <c r="AG34" s="314"/>
      <c r="AH34" s="314"/>
      <c r="AI34" s="314"/>
      <c r="AJ34" s="315">
        <v>0</v>
      </c>
      <c r="AK34" s="315">
        <v>0</v>
      </c>
      <c r="AL34" s="315">
        <v>0</v>
      </c>
      <c r="AM34" s="315">
        <v>0</v>
      </c>
      <c r="AN34" s="315">
        <v>0</v>
      </c>
      <c r="AO34" s="315">
        <v>0</v>
      </c>
      <c r="AP34" s="315"/>
      <c r="AQ34" s="315">
        <v>0</v>
      </c>
      <c r="AR34" s="315">
        <v>0</v>
      </c>
      <c r="AS34" s="315">
        <v>0</v>
      </c>
      <c r="AT34" s="315">
        <v>0</v>
      </c>
      <c r="AU34" s="315">
        <v>0</v>
      </c>
      <c r="AV34" s="314"/>
      <c r="AW34" s="308">
        <v>0</v>
      </c>
      <c r="AX34" s="308">
        <v>0</v>
      </c>
      <c r="AY34" s="308">
        <v>0</v>
      </c>
      <c r="AZ34" s="308">
        <v>0</v>
      </c>
      <c r="BA34" s="308">
        <v>0</v>
      </c>
      <c r="BB34" s="308">
        <v>0</v>
      </c>
      <c r="BC34" s="308">
        <v>0</v>
      </c>
      <c r="BD34" s="308">
        <v>0</v>
      </c>
      <c r="BE34" s="308">
        <v>0</v>
      </c>
      <c r="BF34" s="308">
        <v>0</v>
      </c>
      <c r="BG34" s="308">
        <v>0</v>
      </c>
      <c r="BH34" s="308">
        <v>0</v>
      </c>
      <c r="BI34" s="341">
        <v>1405641.5652839467</v>
      </c>
      <c r="BJ34" s="306">
        <v>0</v>
      </c>
      <c r="BK34" s="306">
        <v>0</v>
      </c>
      <c r="BL34" s="306">
        <v>0</v>
      </c>
      <c r="BM34" s="306">
        <v>0</v>
      </c>
      <c r="BN34" s="306">
        <v>0</v>
      </c>
      <c r="BO34" s="306">
        <v>0</v>
      </c>
      <c r="BP34" s="329">
        <v>0</v>
      </c>
      <c r="BQ34" s="335">
        <v>0</v>
      </c>
      <c r="BR34" s="335">
        <v>0</v>
      </c>
      <c r="BS34" s="306">
        <v>0</v>
      </c>
      <c r="BT34" s="306">
        <v>0</v>
      </c>
      <c r="BU34" s="306">
        <v>0</v>
      </c>
    </row>
    <row r="35" spans="1:74">
      <c r="A35" s="296"/>
      <c r="B35" s="296"/>
      <c r="C35" s="354" t="s">
        <v>205</v>
      </c>
      <c r="D35" s="351"/>
      <c r="E35" s="355"/>
      <c r="F35" s="315">
        <v>0</v>
      </c>
      <c r="G35" s="315">
        <v>0</v>
      </c>
      <c r="H35" s="314">
        <v>455032335</v>
      </c>
      <c r="I35" s="308">
        <v>0</v>
      </c>
      <c r="J35" s="314"/>
      <c r="K35" s="314"/>
      <c r="L35" s="314"/>
      <c r="M35" s="314"/>
      <c r="N35" s="314"/>
      <c r="O35" s="60">
        <v>0</v>
      </c>
      <c r="P35" s="314">
        <v>0</v>
      </c>
      <c r="Q35" s="351"/>
      <c r="R35" s="314">
        <v>0</v>
      </c>
      <c r="S35" s="314">
        <v>0</v>
      </c>
      <c r="T35" s="314">
        <v>0</v>
      </c>
      <c r="U35" s="314">
        <v>490279846</v>
      </c>
      <c r="V35" s="311">
        <v>534480799</v>
      </c>
      <c r="W35" s="314"/>
      <c r="X35" s="314"/>
      <c r="Y35" s="314"/>
      <c r="Z35" s="314"/>
      <c r="AA35" s="314"/>
      <c r="AB35" s="352"/>
      <c r="AC35" s="352"/>
      <c r="AD35" s="352"/>
      <c r="AE35" s="352"/>
      <c r="AF35" s="314"/>
      <c r="AG35" s="314"/>
      <c r="AH35" s="314"/>
      <c r="AI35" s="314">
        <v>566250133</v>
      </c>
      <c r="AJ35" s="315">
        <v>0</v>
      </c>
      <c r="AK35" s="315">
        <v>0</v>
      </c>
      <c r="AL35" s="315">
        <v>0</v>
      </c>
      <c r="AM35" s="315">
        <v>0</v>
      </c>
      <c r="AN35" s="315">
        <v>0</v>
      </c>
      <c r="AO35" s="315">
        <v>0</v>
      </c>
      <c r="AP35" s="315"/>
      <c r="AQ35" s="315">
        <v>0</v>
      </c>
      <c r="AR35" s="315">
        <v>0</v>
      </c>
      <c r="AS35" s="315">
        <v>0</v>
      </c>
      <c r="AT35" s="315">
        <v>0</v>
      </c>
      <c r="AU35" s="315">
        <v>0</v>
      </c>
      <c r="AV35" s="314">
        <v>606211</v>
      </c>
      <c r="AW35" s="308">
        <v>0</v>
      </c>
      <c r="AX35" s="308">
        <v>0</v>
      </c>
      <c r="AY35" s="308">
        <v>0</v>
      </c>
      <c r="AZ35" s="308">
        <v>0</v>
      </c>
      <c r="BA35" s="308">
        <v>0</v>
      </c>
      <c r="BB35" s="308">
        <v>0</v>
      </c>
      <c r="BC35" s="308">
        <v>0</v>
      </c>
      <c r="BD35" s="308">
        <v>0</v>
      </c>
      <c r="BE35" s="308">
        <v>0</v>
      </c>
      <c r="BF35" s="308">
        <v>0</v>
      </c>
      <c r="BG35" s="308">
        <v>0</v>
      </c>
      <c r="BH35" s="308">
        <v>0</v>
      </c>
      <c r="BI35" s="343">
        <v>653348656</v>
      </c>
      <c r="BJ35" s="306">
        <v>0</v>
      </c>
      <c r="BK35" s="306">
        <v>0</v>
      </c>
      <c r="BL35" s="306">
        <v>0</v>
      </c>
      <c r="BM35" s="306">
        <v>0</v>
      </c>
      <c r="BN35" s="306">
        <v>0</v>
      </c>
      <c r="BO35" s="306">
        <v>0</v>
      </c>
      <c r="BP35" s="329">
        <v>0</v>
      </c>
      <c r="BQ35" s="335">
        <v>0</v>
      </c>
      <c r="BR35" s="335">
        <v>0</v>
      </c>
      <c r="BS35" s="306">
        <v>0</v>
      </c>
      <c r="BT35" s="306">
        <v>0</v>
      </c>
      <c r="BU35" s="306">
        <v>0</v>
      </c>
      <c r="BV35" s="287">
        <v>728058000</v>
      </c>
    </row>
    <row r="36" spans="1:74">
      <c r="A36" s="296"/>
      <c r="B36" s="296"/>
      <c r="C36" s="354" t="s">
        <v>206</v>
      </c>
      <c r="D36" s="351"/>
      <c r="E36" s="355"/>
      <c r="F36" s="315"/>
      <c r="G36" s="315">
        <v>0</v>
      </c>
      <c r="H36" s="314"/>
      <c r="I36" s="308">
        <v>0</v>
      </c>
      <c r="J36" s="314"/>
      <c r="K36" s="314"/>
      <c r="L36" s="314"/>
      <c r="M36" s="314"/>
      <c r="N36" s="314"/>
      <c r="O36" s="60">
        <v>0</v>
      </c>
      <c r="P36" s="314">
        <v>0</v>
      </c>
      <c r="Q36" s="351"/>
      <c r="R36" s="314">
        <v>0</v>
      </c>
      <c r="S36" s="314">
        <v>0</v>
      </c>
      <c r="T36" s="314">
        <v>0</v>
      </c>
      <c r="U36" s="314"/>
      <c r="V36" s="311">
        <v>435500</v>
      </c>
      <c r="W36" s="314"/>
      <c r="X36" s="314"/>
      <c r="Y36" s="314"/>
      <c r="Z36" s="314"/>
      <c r="AA36" s="314"/>
      <c r="AB36" s="352"/>
      <c r="AC36" s="352"/>
      <c r="AD36" s="352"/>
      <c r="AE36" s="352"/>
      <c r="AF36" s="314"/>
      <c r="AG36" s="314"/>
      <c r="AH36" s="314"/>
      <c r="AI36" s="314"/>
      <c r="AJ36" s="315">
        <v>0</v>
      </c>
      <c r="AK36" s="315">
        <v>0</v>
      </c>
      <c r="AL36" s="315">
        <v>0</v>
      </c>
      <c r="AM36" s="315">
        <v>0</v>
      </c>
      <c r="AN36" s="315">
        <v>0</v>
      </c>
      <c r="AO36" s="315">
        <v>0</v>
      </c>
      <c r="AP36" s="315"/>
      <c r="AQ36" s="315">
        <v>0</v>
      </c>
      <c r="AR36" s="315">
        <v>0</v>
      </c>
      <c r="AS36" s="315">
        <v>0</v>
      </c>
      <c r="AT36" s="315">
        <v>0</v>
      </c>
      <c r="AU36" s="315">
        <v>0</v>
      </c>
      <c r="AV36" s="314"/>
      <c r="AW36" s="308">
        <v>0</v>
      </c>
      <c r="AX36" s="308">
        <v>0</v>
      </c>
      <c r="AY36" s="308">
        <v>0</v>
      </c>
      <c r="AZ36" s="308">
        <v>0</v>
      </c>
      <c r="BA36" s="308">
        <v>0</v>
      </c>
      <c r="BB36" s="308">
        <v>0</v>
      </c>
      <c r="BC36" s="308">
        <v>0</v>
      </c>
      <c r="BD36" s="308">
        <v>0</v>
      </c>
      <c r="BE36" s="308">
        <v>0</v>
      </c>
      <c r="BF36" s="308">
        <v>0</v>
      </c>
      <c r="BG36" s="308">
        <v>0</v>
      </c>
      <c r="BH36" s="308">
        <v>0</v>
      </c>
      <c r="BI36" s="308">
        <v>0</v>
      </c>
      <c r="BJ36" s="306">
        <v>0</v>
      </c>
      <c r="BK36" s="306">
        <v>0</v>
      </c>
      <c r="BL36" s="306">
        <v>0</v>
      </c>
      <c r="BM36" s="306">
        <v>0</v>
      </c>
      <c r="BN36" s="306">
        <v>0</v>
      </c>
      <c r="BO36" s="306">
        <v>0</v>
      </c>
      <c r="BP36" s="329">
        <v>0</v>
      </c>
      <c r="BQ36" s="335">
        <v>0</v>
      </c>
      <c r="BR36" s="335">
        <v>0</v>
      </c>
      <c r="BS36" s="306">
        <v>0</v>
      </c>
      <c r="BT36" s="306">
        <v>0</v>
      </c>
      <c r="BU36" s="306">
        <v>0</v>
      </c>
    </row>
    <row r="37" spans="1:74">
      <c r="A37" s="296"/>
      <c r="B37" s="296"/>
      <c r="C37" s="354" t="s">
        <v>207</v>
      </c>
      <c r="D37" s="351"/>
      <c r="E37" s="355">
        <v>35476735</v>
      </c>
      <c r="F37" s="315">
        <v>46489975</v>
      </c>
      <c r="G37" s="315">
        <v>66318217</v>
      </c>
      <c r="H37" s="314"/>
      <c r="I37" s="308">
        <v>89567647</v>
      </c>
      <c r="J37" s="314">
        <v>20877147</v>
      </c>
      <c r="K37" s="314">
        <v>20877147</v>
      </c>
      <c r="L37" s="314">
        <v>20877147</v>
      </c>
      <c r="M37" s="314">
        <v>20877147</v>
      </c>
      <c r="N37" s="314">
        <v>20877147</v>
      </c>
      <c r="O37" s="60">
        <v>20877147</v>
      </c>
      <c r="P37" s="314">
        <v>20877147</v>
      </c>
      <c r="Q37" s="351">
        <v>20877147</v>
      </c>
      <c r="R37" s="314">
        <v>20877147</v>
      </c>
      <c r="S37" s="314">
        <v>20877147</v>
      </c>
      <c r="T37" s="314">
        <v>20877147</v>
      </c>
      <c r="U37" s="314">
        <v>25459772</v>
      </c>
      <c r="V37" s="296"/>
      <c r="W37" s="314">
        <v>0</v>
      </c>
      <c r="X37" s="314">
        <v>0</v>
      </c>
      <c r="Y37" s="314">
        <v>0</v>
      </c>
      <c r="Z37" s="314">
        <v>0</v>
      </c>
      <c r="AA37" s="314">
        <v>0</v>
      </c>
      <c r="AB37" s="352">
        <v>0</v>
      </c>
      <c r="AC37" s="352">
        <v>0</v>
      </c>
      <c r="AD37" s="352">
        <v>0</v>
      </c>
      <c r="AE37" s="352">
        <v>0</v>
      </c>
      <c r="AF37" s="314">
        <v>0</v>
      </c>
      <c r="AG37" s="314"/>
      <c r="AH37" s="314">
        <v>3221000</v>
      </c>
      <c r="AI37" s="314">
        <v>221000</v>
      </c>
      <c r="AJ37" s="315">
        <v>3221000</v>
      </c>
      <c r="AK37" s="315">
        <v>0</v>
      </c>
      <c r="AL37" s="315">
        <v>0</v>
      </c>
      <c r="AM37" s="315">
        <v>0</v>
      </c>
      <c r="AN37" s="315">
        <v>0</v>
      </c>
      <c r="AO37" s="315">
        <v>0</v>
      </c>
      <c r="AP37" s="315"/>
      <c r="AQ37" s="315">
        <v>0</v>
      </c>
      <c r="AR37" s="315">
        <v>0</v>
      </c>
      <c r="AS37" s="315">
        <v>0</v>
      </c>
      <c r="AT37" s="315">
        <v>0</v>
      </c>
      <c r="AU37" s="315">
        <v>0</v>
      </c>
      <c r="AV37" s="314"/>
      <c r="AW37" s="308">
        <v>0</v>
      </c>
      <c r="AX37" s="308">
        <v>0</v>
      </c>
      <c r="AY37" s="308">
        <v>0</v>
      </c>
      <c r="AZ37" s="308">
        <v>0</v>
      </c>
      <c r="BA37" s="308">
        <v>0</v>
      </c>
      <c r="BB37" s="308">
        <v>0</v>
      </c>
      <c r="BC37" s="308">
        <v>0</v>
      </c>
      <c r="BD37" s="308">
        <v>0</v>
      </c>
      <c r="BE37" s="308">
        <v>0</v>
      </c>
      <c r="BF37" s="308">
        <v>0</v>
      </c>
      <c r="BG37" s="308">
        <v>0</v>
      </c>
      <c r="BH37" s="308">
        <v>0</v>
      </c>
      <c r="BI37" s="308">
        <v>0</v>
      </c>
      <c r="BJ37" s="306">
        <v>0</v>
      </c>
      <c r="BK37" s="306">
        <v>0</v>
      </c>
      <c r="BL37" s="306">
        <v>0</v>
      </c>
      <c r="BM37" s="306">
        <v>0</v>
      </c>
      <c r="BN37" s="306">
        <v>0</v>
      </c>
      <c r="BO37" s="306">
        <v>0</v>
      </c>
      <c r="BP37" s="329">
        <v>0</v>
      </c>
      <c r="BQ37" s="335">
        <v>0</v>
      </c>
      <c r="BR37" s="335">
        <v>0</v>
      </c>
      <c r="BS37" s="306">
        <v>0</v>
      </c>
      <c r="BT37" s="306">
        <v>0</v>
      </c>
      <c r="BU37" s="306">
        <v>0</v>
      </c>
    </row>
    <row r="38" spans="1:74">
      <c r="A38" s="296"/>
      <c r="B38" s="296"/>
      <c r="C38" s="354" t="s">
        <v>208</v>
      </c>
      <c r="D38" s="351"/>
      <c r="E38" s="355">
        <v>344792845</v>
      </c>
      <c r="F38" s="315">
        <f>334719630+39928399</f>
        <v>374648029</v>
      </c>
      <c r="G38" s="315">
        <v>492507640</v>
      </c>
      <c r="H38" s="314">
        <f>80740687+20877147</f>
        <v>101617834</v>
      </c>
      <c r="I38" s="308">
        <v>675238554</v>
      </c>
      <c r="J38" s="314">
        <v>661499787</v>
      </c>
      <c r="K38" s="314">
        <v>711548498</v>
      </c>
      <c r="L38" s="314">
        <v>244831254</v>
      </c>
      <c r="M38" s="314">
        <v>293586518.43000001</v>
      </c>
      <c r="N38" s="314">
        <v>338167286</v>
      </c>
      <c r="O38" s="60">
        <v>392357365.63999999</v>
      </c>
      <c r="P38" s="314">
        <v>412883505.5</v>
      </c>
      <c r="Q38" s="351">
        <v>450337521.75</v>
      </c>
      <c r="R38" s="314">
        <v>513546678.60000002</v>
      </c>
      <c r="S38" s="314">
        <v>529791483.56999999</v>
      </c>
      <c r="T38" s="314">
        <v>592324190.34000003</v>
      </c>
      <c r="U38" s="314">
        <f>63885108</f>
        <v>63885108</v>
      </c>
      <c r="V38" s="311">
        <f>54226104</f>
        <v>54226104</v>
      </c>
      <c r="W38" s="314">
        <v>713678170.51999998</v>
      </c>
      <c r="X38" s="314">
        <v>771684661.40999997</v>
      </c>
      <c r="Y38" s="314">
        <v>830973117</v>
      </c>
      <c r="Z38" s="314">
        <v>274944616</v>
      </c>
      <c r="AA38" s="314">
        <v>334586425.45999998</v>
      </c>
      <c r="AB38" s="352">
        <v>396968427</v>
      </c>
      <c r="AC38" s="352">
        <v>457769145</v>
      </c>
      <c r="AD38" s="352">
        <v>464181744.11000001</v>
      </c>
      <c r="AE38" s="352">
        <v>508039987.92000002</v>
      </c>
      <c r="AF38" s="314">
        <v>573477066.25999999</v>
      </c>
      <c r="AG38" s="314">
        <v>637039939.84000003</v>
      </c>
      <c r="AH38" s="314">
        <v>694553130.79999995</v>
      </c>
      <c r="AI38" s="314">
        <f>39963397+4957913+3244626+19186589</f>
        <v>67352525</v>
      </c>
      <c r="AJ38" s="315">
        <v>760586890.64999998</v>
      </c>
      <c r="AK38" s="315">
        <v>771066042</v>
      </c>
      <c r="AL38" s="315">
        <v>211218029</v>
      </c>
      <c r="AM38" s="315">
        <v>275437399</v>
      </c>
      <c r="AN38" s="315">
        <v>336623375.14999998</v>
      </c>
      <c r="AO38" s="315">
        <v>401762937</v>
      </c>
      <c r="AP38" s="315"/>
      <c r="AQ38" s="315">
        <v>424616575.44</v>
      </c>
      <c r="AR38" s="315">
        <v>552142588.35000002</v>
      </c>
      <c r="AS38" s="315">
        <v>605723946.30999994</v>
      </c>
      <c r="AT38" s="315">
        <v>712037823.79999995</v>
      </c>
      <c r="AU38" s="315">
        <v>774249836.95000005</v>
      </c>
      <c r="AV38" s="314">
        <f>38467+2803+4764+18262</f>
        <v>64296</v>
      </c>
      <c r="AW38" s="308">
        <v>865252465</v>
      </c>
      <c r="AX38" s="308">
        <v>163088006</v>
      </c>
      <c r="AY38" s="308">
        <v>235372966.53</v>
      </c>
      <c r="AZ38" s="308">
        <v>307140292.81</v>
      </c>
      <c r="BA38" s="308">
        <v>310887955</v>
      </c>
      <c r="BB38" s="308">
        <v>455983952.72000003</v>
      </c>
      <c r="BC38" s="308">
        <v>530038551.30000001</v>
      </c>
      <c r="BD38" s="308">
        <v>529262344</v>
      </c>
      <c r="BE38" s="308">
        <v>606921483.38999999</v>
      </c>
      <c r="BF38" s="308">
        <v>687057599.41999996</v>
      </c>
      <c r="BG38" s="308">
        <v>795666031.49000001</v>
      </c>
      <c r="BH38" s="308">
        <v>732807895.99000001</v>
      </c>
      <c r="BI38" s="366">
        <f>60980649+17072949</f>
        <v>78053598</v>
      </c>
      <c r="BJ38" s="306">
        <v>988128390.97000003</v>
      </c>
      <c r="BK38" s="306">
        <v>236274771.69</v>
      </c>
      <c r="BL38" s="306">
        <v>366968862</v>
      </c>
      <c r="BM38" s="306">
        <v>453993992.31</v>
      </c>
      <c r="BN38" s="306">
        <v>408603943.30000001</v>
      </c>
      <c r="BO38" s="306">
        <v>487482680.94</v>
      </c>
      <c r="BP38" s="329">
        <v>567446448.07000005</v>
      </c>
      <c r="BQ38" s="335">
        <v>554916152</v>
      </c>
      <c r="BR38" s="332">
        <v>507786570.23000002</v>
      </c>
      <c r="BS38" s="306">
        <v>579134756</v>
      </c>
      <c r="BT38" s="306">
        <v>665300277.27999997</v>
      </c>
      <c r="BU38" s="306">
        <v>739484636.44000006</v>
      </c>
      <c r="BV38" s="287">
        <f>71023000+15612000</f>
        <v>86635000</v>
      </c>
    </row>
    <row r="39" spans="1:74">
      <c r="A39" s="296"/>
      <c r="B39" s="296"/>
      <c r="C39" s="354" t="s">
        <v>209</v>
      </c>
      <c r="D39" s="351"/>
      <c r="E39" s="355">
        <v>1077007034</v>
      </c>
      <c r="F39" s="315">
        <v>1765718041</v>
      </c>
      <c r="G39" s="315">
        <v>2054827614</v>
      </c>
      <c r="H39" s="314">
        <v>475000000</v>
      </c>
      <c r="I39" s="308">
        <v>2568936384</v>
      </c>
      <c r="J39" s="314">
        <v>458333333</v>
      </c>
      <c r="K39" s="314">
        <v>450000000</v>
      </c>
      <c r="L39" s="314">
        <v>441666667</v>
      </c>
      <c r="M39" s="314">
        <v>433333333</v>
      </c>
      <c r="N39" s="314">
        <v>425000000</v>
      </c>
      <c r="O39" s="60">
        <v>416666666.68000001</v>
      </c>
      <c r="P39" s="314">
        <v>408333333</v>
      </c>
      <c r="Q39" s="351">
        <v>400000000</v>
      </c>
      <c r="R39" s="314">
        <v>391666667</v>
      </c>
      <c r="S39" s="314">
        <v>383333333</v>
      </c>
      <c r="T39" s="314">
        <v>375000000</v>
      </c>
      <c r="U39" s="314">
        <v>375000000</v>
      </c>
      <c r="V39" s="311">
        <v>275000000</v>
      </c>
      <c r="W39" s="314">
        <v>266666667</v>
      </c>
      <c r="X39" s="314">
        <v>200265525</v>
      </c>
      <c r="Y39" s="314">
        <v>95392958</v>
      </c>
      <c r="Z39" s="314">
        <v>91941390</v>
      </c>
      <c r="AA39" s="314">
        <v>0</v>
      </c>
      <c r="AB39" s="352">
        <v>0</v>
      </c>
      <c r="AC39" s="352">
        <v>0</v>
      </c>
      <c r="AD39" s="352">
        <v>0</v>
      </c>
      <c r="AE39" s="352">
        <v>0</v>
      </c>
      <c r="AF39" s="314">
        <v>0</v>
      </c>
      <c r="AG39" s="314"/>
      <c r="AH39" s="314"/>
      <c r="AI39" s="314"/>
      <c r="AJ39" s="315">
        <v>0</v>
      </c>
      <c r="AK39" s="315">
        <v>0</v>
      </c>
      <c r="AL39" s="315">
        <v>0</v>
      </c>
      <c r="AM39" s="315">
        <v>0</v>
      </c>
      <c r="AN39" s="315">
        <v>0</v>
      </c>
      <c r="AO39" s="315">
        <v>0</v>
      </c>
      <c r="AP39" s="315"/>
      <c r="AQ39" s="315">
        <v>0</v>
      </c>
      <c r="AR39" s="315">
        <v>0</v>
      </c>
      <c r="AS39" s="315">
        <v>0</v>
      </c>
      <c r="AT39" s="315">
        <v>0</v>
      </c>
      <c r="AU39" s="315">
        <v>0</v>
      </c>
      <c r="AV39" s="314"/>
      <c r="AW39" s="308">
        <v>0</v>
      </c>
      <c r="AX39" s="308">
        <v>0</v>
      </c>
      <c r="AY39" s="308">
        <v>0</v>
      </c>
      <c r="AZ39" s="308">
        <v>0</v>
      </c>
      <c r="BA39" s="308">
        <v>0</v>
      </c>
      <c r="BB39" s="308">
        <v>0</v>
      </c>
      <c r="BC39" s="308">
        <v>0</v>
      </c>
      <c r="BD39" s="308">
        <v>0</v>
      </c>
      <c r="BE39" s="308">
        <v>0</v>
      </c>
      <c r="BF39" s="308">
        <v>0</v>
      </c>
      <c r="BG39" s="308">
        <v>0</v>
      </c>
      <c r="BH39" s="308">
        <v>0</v>
      </c>
      <c r="BI39" s="296"/>
      <c r="BJ39" s="306">
        <v>0</v>
      </c>
      <c r="BK39" s="306">
        <v>0</v>
      </c>
      <c r="BL39" s="306">
        <v>0</v>
      </c>
      <c r="BM39" s="306">
        <v>0</v>
      </c>
      <c r="BN39" s="306">
        <v>0</v>
      </c>
      <c r="BO39" s="306">
        <v>0</v>
      </c>
      <c r="BP39" s="329">
        <v>0</v>
      </c>
      <c r="BQ39" s="335">
        <v>0</v>
      </c>
      <c r="BR39" s="335">
        <v>0</v>
      </c>
      <c r="BS39" s="306">
        <v>0</v>
      </c>
      <c r="BT39" s="306">
        <v>0</v>
      </c>
      <c r="BU39" s="306">
        <v>0</v>
      </c>
    </row>
    <row r="40" spans="1:74">
      <c r="A40" s="296"/>
      <c r="B40" s="296"/>
      <c r="C40" s="350" t="s">
        <v>210</v>
      </c>
      <c r="D40" s="301"/>
      <c r="E40" s="301">
        <f>E32+E33</f>
        <v>4610503900</v>
      </c>
      <c r="F40" s="301">
        <f>F32+F33</f>
        <v>5919940907</v>
      </c>
      <c r="G40" s="301">
        <f>G32+G33</f>
        <v>7393481203</v>
      </c>
      <c r="H40" s="301">
        <f>SUM(H32,H33)</f>
        <v>5186114326</v>
      </c>
      <c r="I40" s="301">
        <f>I32+I33</f>
        <v>9403695844</v>
      </c>
      <c r="J40" s="301">
        <f>SUM(J32,J33)</f>
        <v>5476972162</v>
      </c>
      <c r="K40" s="301">
        <f>SUM(K32,K33)</f>
        <v>5436939754</v>
      </c>
      <c r="L40" s="301">
        <f>SUM(L32,L33)</f>
        <v>5003998830</v>
      </c>
      <c r="M40" s="301">
        <f>SUM(M32,M33)</f>
        <v>5004346534.4300003</v>
      </c>
      <c r="N40" s="301">
        <f>SUM(N32,N33)</f>
        <v>5172647209</v>
      </c>
      <c r="O40" s="367">
        <f>O32+O33</f>
        <v>5105161184.3999996</v>
      </c>
      <c r="P40" s="301">
        <f>P32+P33</f>
        <v>5189196477.5</v>
      </c>
      <c r="Q40" s="358">
        <f>Q32+Q33</f>
        <v>5306327341.75</v>
      </c>
      <c r="R40" s="301">
        <f t="shared" ref="R40:AV40" si="41">SUM(R32,R33)</f>
        <v>5403674851.6000004</v>
      </c>
      <c r="S40" s="301">
        <f t="shared" si="41"/>
        <v>5381082495.5699997</v>
      </c>
      <c r="T40" s="301">
        <f t="shared" si="41"/>
        <v>5459050373.3400002</v>
      </c>
      <c r="U40" s="301">
        <f t="shared" si="41"/>
        <v>5439309793</v>
      </c>
      <c r="V40" s="301">
        <f t="shared" si="41"/>
        <v>5827129503</v>
      </c>
      <c r="W40" s="301">
        <f t="shared" si="41"/>
        <v>5960185883.5200005</v>
      </c>
      <c r="X40" s="301">
        <f t="shared" si="41"/>
        <v>6007137712.4099998</v>
      </c>
      <c r="Y40" s="301">
        <f t="shared" si="41"/>
        <v>6070560916</v>
      </c>
      <c r="Z40" s="301">
        <f t="shared" si="41"/>
        <v>5532295139</v>
      </c>
      <c r="AA40" s="301">
        <f t="shared" si="41"/>
        <v>5478725634.46</v>
      </c>
      <c r="AB40" s="359">
        <f t="shared" si="41"/>
        <v>5570431682</v>
      </c>
      <c r="AC40" s="359">
        <f t="shared" si="41"/>
        <v>5637456090</v>
      </c>
      <c r="AD40" s="359">
        <f t="shared" si="41"/>
        <v>5757919491.1099997</v>
      </c>
      <c r="AE40" s="359">
        <f t="shared" si="41"/>
        <v>5889092318.9200001</v>
      </c>
      <c r="AF40" s="301">
        <f t="shared" si="41"/>
        <v>6002121199.2600002</v>
      </c>
      <c r="AG40" s="301">
        <f t="shared" si="41"/>
        <v>5817826040.8400002</v>
      </c>
      <c r="AH40" s="301">
        <f t="shared" si="41"/>
        <v>6027303512.8000002</v>
      </c>
      <c r="AI40" s="301">
        <f t="shared" si="41"/>
        <v>5963353040</v>
      </c>
      <c r="AJ40" s="301">
        <f t="shared" si="41"/>
        <v>6133535517.6499996</v>
      </c>
      <c r="AK40" s="301">
        <f t="shared" si="41"/>
        <v>6130506446</v>
      </c>
      <c r="AL40" s="301">
        <f t="shared" si="41"/>
        <v>5941314582</v>
      </c>
      <c r="AM40" s="301">
        <f t="shared" si="41"/>
        <v>5996676735</v>
      </c>
      <c r="AN40" s="301">
        <f t="shared" si="41"/>
        <v>5936497598.1499996</v>
      </c>
      <c r="AO40" s="301">
        <f t="shared" si="41"/>
        <v>6061927692</v>
      </c>
      <c r="AP40" s="301">
        <f t="shared" si="41"/>
        <v>0</v>
      </c>
      <c r="AQ40" s="301">
        <f t="shared" si="41"/>
        <v>6226922244.4399996</v>
      </c>
      <c r="AR40" s="301">
        <f t="shared" si="41"/>
        <v>6438074421.3500004</v>
      </c>
      <c r="AS40" s="301">
        <f t="shared" si="41"/>
        <v>6511614076.3099995</v>
      </c>
      <c r="AT40" s="301">
        <f t="shared" si="41"/>
        <v>6659983045.8000002</v>
      </c>
      <c r="AU40" s="301">
        <f t="shared" si="41"/>
        <v>6761667926.9499998</v>
      </c>
      <c r="AV40" s="301">
        <f t="shared" si="41"/>
        <v>6657925</v>
      </c>
      <c r="AW40" s="301">
        <f t="shared" ref="AW40:BV40" si="42">SUM(AW32,AW33)</f>
        <v>6784904487</v>
      </c>
      <c r="AX40" s="301">
        <f t="shared" si="42"/>
        <v>6480463847</v>
      </c>
      <c r="AY40" s="301">
        <f t="shared" si="42"/>
        <v>6281503092.5299997</v>
      </c>
      <c r="AZ40" s="301">
        <f t="shared" si="42"/>
        <v>6322022919.8100004</v>
      </c>
      <c r="BA40" s="301">
        <f t="shared" si="42"/>
        <v>6305971861</v>
      </c>
      <c r="BB40" s="301">
        <f t="shared" si="42"/>
        <v>6564893145.7200003</v>
      </c>
      <c r="BC40" s="301">
        <f t="shared" si="42"/>
        <v>6906212446.3000002</v>
      </c>
      <c r="BD40" s="301">
        <f t="shared" si="42"/>
        <v>6846205832</v>
      </c>
      <c r="BE40" s="301">
        <f t="shared" si="42"/>
        <v>6941430625.3900003</v>
      </c>
      <c r="BF40" s="301">
        <f t="shared" si="42"/>
        <v>7030465893.4200001</v>
      </c>
      <c r="BG40" s="301">
        <f t="shared" si="42"/>
        <v>7229239674.4899998</v>
      </c>
      <c r="BH40" s="301">
        <f t="shared" si="42"/>
        <v>7180939431.9899998</v>
      </c>
      <c r="BI40" s="301">
        <f t="shared" si="42"/>
        <v>7180939431.5652838</v>
      </c>
      <c r="BJ40" s="301">
        <f t="shared" si="42"/>
        <v>7389993062.9700003</v>
      </c>
      <c r="BK40" s="301">
        <f t="shared" si="42"/>
        <v>7108413330.6899996</v>
      </c>
      <c r="BL40" s="301">
        <f t="shared" si="42"/>
        <v>7151327680</v>
      </c>
      <c r="BM40" s="301">
        <f t="shared" si="42"/>
        <v>7161800969.3100004</v>
      </c>
      <c r="BN40" s="301">
        <f t="shared" si="42"/>
        <v>7114588024.3000002</v>
      </c>
      <c r="BO40" s="301">
        <f t="shared" si="42"/>
        <v>7219744628.9399996</v>
      </c>
      <c r="BP40" s="368">
        <f t="shared" si="42"/>
        <v>7390715808.0699997</v>
      </c>
      <c r="BQ40" s="369">
        <f t="shared" si="42"/>
        <v>7375587457</v>
      </c>
      <c r="BR40" s="369">
        <f t="shared" si="42"/>
        <v>7359542481.2299995</v>
      </c>
      <c r="BS40" s="369">
        <f t="shared" si="42"/>
        <v>7460075088</v>
      </c>
      <c r="BT40" s="369">
        <f t="shared" si="42"/>
        <v>7637773011.2799997</v>
      </c>
      <c r="BU40" s="369">
        <f t="shared" si="42"/>
        <v>7784133144.4400005</v>
      </c>
      <c r="BV40" s="390">
        <f t="shared" si="42"/>
        <v>7859342000</v>
      </c>
    </row>
    <row r="41" spans="1:74">
      <c r="A41" s="296"/>
      <c r="B41" s="296"/>
      <c r="C41" s="350" t="s">
        <v>211</v>
      </c>
      <c r="D41" s="350"/>
      <c r="E41" s="350"/>
      <c r="F41" s="350"/>
      <c r="G41" s="350"/>
      <c r="H41" s="314"/>
      <c r="I41" s="350"/>
      <c r="J41" s="314"/>
      <c r="K41" s="314"/>
      <c r="L41" s="314"/>
      <c r="M41" s="314"/>
      <c r="N41" s="314"/>
      <c r="O41" s="60"/>
      <c r="P41" s="314"/>
      <c r="Q41" s="351"/>
      <c r="R41" s="314"/>
      <c r="S41" s="314"/>
      <c r="T41" s="314"/>
      <c r="U41" s="314"/>
      <c r="V41" s="296"/>
      <c r="W41" s="314"/>
      <c r="X41" s="314"/>
      <c r="Y41" s="314"/>
      <c r="Z41" s="314"/>
      <c r="AA41" s="314"/>
      <c r="AB41" s="352"/>
      <c r="AC41" s="352"/>
      <c r="AD41" s="352"/>
      <c r="AE41" s="352"/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K41" s="370"/>
      <c r="BQ41" s="353"/>
      <c r="BR41" s="353"/>
    </row>
    <row r="42" spans="1:74">
      <c r="A42" s="296"/>
      <c r="B42" s="296"/>
      <c r="C42" s="354" t="s">
        <v>212</v>
      </c>
      <c r="D42" s="351"/>
      <c r="E42" s="355">
        <v>200701861</v>
      </c>
      <c r="F42" s="315">
        <v>354553357</v>
      </c>
      <c r="G42" s="315">
        <v>506915782</v>
      </c>
      <c r="H42" s="314">
        <f>363268505+85068747</f>
        <v>448337252</v>
      </c>
      <c r="I42" s="308">
        <v>572548724</v>
      </c>
      <c r="J42" s="314">
        <v>362116694</v>
      </c>
      <c r="K42" s="314">
        <v>369261188</v>
      </c>
      <c r="L42" s="314">
        <v>369640072</v>
      </c>
      <c r="M42" s="314">
        <v>370248612</v>
      </c>
      <c r="N42" s="314">
        <v>371189189</v>
      </c>
      <c r="O42" s="60">
        <v>371062411.92000002</v>
      </c>
      <c r="P42" s="314">
        <v>372690154</v>
      </c>
      <c r="Q42" s="351">
        <v>374526545</v>
      </c>
      <c r="R42" s="314">
        <v>377213578</v>
      </c>
      <c r="S42" s="314">
        <v>379916219</v>
      </c>
      <c r="T42" s="314">
        <v>382449866</v>
      </c>
      <c r="U42" s="314">
        <v>382449866</v>
      </c>
      <c r="V42" s="311">
        <v>421922225</v>
      </c>
      <c r="W42" s="314">
        <v>671803630</v>
      </c>
      <c r="X42" s="314">
        <v>675549493</v>
      </c>
      <c r="Y42" s="314">
        <v>682351864</v>
      </c>
      <c r="Z42" s="314">
        <v>694996501</v>
      </c>
      <c r="AA42" s="314">
        <v>699865703</v>
      </c>
      <c r="AB42" s="352">
        <v>704056427</v>
      </c>
      <c r="AC42" s="352">
        <v>706992079</v>
      </c>
      <c r="AD42" s="352">
        <v>788522873</v>
      </c>
      <c r="AE42" s="352">
        <v>792152555</v>
      </c>
      <c r="AF42" s="314">
        <v>798811574</v>
      </c>
      <c r="AG42" s="314">
        <v>803417610</v>
      </c>
      <c r="AH42" s="314">
        <v>808927628</v>
      </c>
      <c r="AI42" s="314">
        <f>712566664+96360965</f>
        <v>808927629</v>
      </c>
      <c r="AJ42" s="315">
        <v>889478087</v>
      </c>
      <c r="AK42" s="315">
        <v>895362245</v>
      </c>
      <c r="AL42" s="315">
        <v>903681549</v>
      </c>
      <c r="AM42" s="315">
        <v>908325219</v>
      </c>
      <c r="AN42" s="315">
        <v>913266833</v>
      </c>
      <c r="AO42" s="315">
        <v>917391488</v>
      </c>
      <c r="AP42" s="315"/>
      <c r="AQ42" s="315">
        <v>927537895</v>
      </c>
      <c r="AR42" s="315">
        <v>933059620</v>
      </c>
      <c r="AS42" s="315">
        <v>939209221</v>
      </c>
      <c r="AT42" s="315">
        <v>945621922</v>
      </c>
      <c r="AU42" s="315">
        <v>951548799</v>
      </c>
      <c r="AV42" s="314">
        <f>855296+96253</f>
        <v>951549</v>
      </c>
      <c r="AW42" s="308">
        <v>956552872</v>
      </c>
      <c r="AX42" s="308">
        <v>1052526620</v>
      </c>
      <c r="AY42" s="308">
        <v>1068575644</v>
      </c>
      <c r="AZ42" s="308">
        <v>1077139670</v>
      </c>
      <c r="BA42" s="308">
        <v>1084948139</v>
      </c>
      <c r="BB42" s="308">
        <v>1090053803</v>
      </c>
      <c r="BC42" s="308">
        <v>1099912990</v>
      </c>
      <c r="BD42" s="308">
        <v>1108761516</v>
      </c>
      <c r="BE42" s="308">
        <v>1116734817</v>
      </c>
      <c r="BF42" s="308">
        <v>1124039832</v>
      </c>
      <c r="BG42" s="308">
        <v>1131591525</v>
      </c>
      <c r="BH42" s="308">
        <v>1138732170</v>
      </c>
      <c r="BI42" s="366">
        <f>1021550973+117181197</f>
        <v>1138732170</v>
      </c>
      <c r="BJ42" s="306">
        <v>1227167486</v>
      </c>
      <c r="BK42" s="306">
        <v>1233529981</v>
      </c>
      <c r="BL42" s="306">
        <v>1243165993</v>
      </c>
      <c r="BM42" s="306">
        <v>1249880974</v>
      </c>
      <c r="BN42" s="306">
        <v>1256607095</v>
      </c>
      <c r="BO42" s="306">
        <v>1262839984</v>
      </c>
      <c r="BP42" s="329">
        <v>1268441681</v>
      </c>
      <c r="BQ42" s="371">
        <v>1274290526</v>
      </c>
      <c r="BR42" s="357">
        <v>1281308853</v>
      </c>
      <c r="BS42" s="306">
        <v>1287614159</v>
      </c>
      <c r="BT42" s="306">
        <v>1291670944</v>
      </c>
      <c r="BU42" s="306">
        <v>1305240952</v>
      </c>
      <c r="BV42" s="287">
        <f>1188205000+117036000</f>
        <v>1305241000</v>
      </c>
    </row>
    <row r="43" spans="1:74">
      <c r="A43" s="296"/>
      <c r="B43" s="296"/>
      <c r="C43" s="354" t="s">
        <v>213</v>
      </c>
      <c r="D43" s="354"/>
      <c r="E43" s="354"/>
      <c r="F43" s="354"/>
      <c r="G43" s="354"/>
      <c r="H43" s="314"/>
      <c r="I43" s="354"/>
      <c r="J43" s="314"/>
      <c r="K43" s="314"/>
      <c r="L43" s="314"/>
      <c r="M43" s="314"/>
      <c r="N43" s="314"/>
      <c r="O43" s="60">
        <v>0</v>
      </c>
      <c r="P43" s="314">
        <v>0</v>
      </c>
      <c r="Q43" s="351">
        <v>0</v>
      </c>
      <c r="R43" s="314">
        <v>0</v>
      </c>
      <c r="S43" s="314">
        <v>0</v>
      </c>
      <c r="T43" s="314">
        <v>0</v>
      </c>
      <c r="U43" s="314"/>
      <c r="V43" s="296"/>
      <c r="W43" s="314"/>
      <c r="X43" s="314"/>
      <c r="Y43" s="314"/>
      <c r="Z43" s="314"/>
      <c r="AA43" s="314">
        <v>0</v>
      </c>
      <c r="AB43" s="352"/>
      <c r="AC43" s="352"/>
      <c r="AD43" s="352"/>
      <c r="AE43" s="352"/>
      <c r="AF43" s="314"/>
      <c r="AG43" s="314"/>
      <c r="AH43" s="314"/>
      <c r="AI43" s="314"/>
      <c r="AJ43" s="315">
        <v>0</v>
      </c>
      <c r="AK43" s="315">
        <v>0</v>
      </c>
      <c r="AL43" s="315">
        <v>0</v>
      </c>
      <c r="AM43" s="315">
        <v>0</v>
      </c>
      <c r="AN43" s="315">
        <v>0</v>
      </c>
      <c r="AO43" s="315">
        <v>0</v>
      </c>
      <c r="AP43" s="315"/>
      <c r="AQ43" s="315">
        <v>0</v>
      </c>
      <c r="AR43" s="315">
        <v>0</v>
      </c>
      <c r="AS43" s="315">
        <v>0</v>
      </c>
      <c r="AT43" s="315">
        <v>0</v>
      </c>
      <c r="AU43" s="315">
        <v>0</v>
      </c>
      <c r="AV43" s="314"/>
      <c r="AW43" s="308">
        <v>0</v>
      </c>
      <c r="AX43" s="308">
        <v>0</v>
      </c>
      <c r="AY43" s="308">
        <v>0</v>
      </c>
      <c r="AZ43" s="308">
        <v>0</v>
      </c>
      <c r="BA43" s="308">
        <v>0</v>
      </c>
      <c r="BB43" s="308">
        <v>0</v>
      </c>
      <c r="BC43" s="308">
        <v>0</v>
      </c>
      <c r="BD43" s="308">
        <v>0</v>
      </c>
      <c r="BE43" s="308">
        <v>0</v>
      </c>
      <c r="BF43" s="308">
        <v>0</v>
      </c>
      <c r="BG43" s="308">
        <v>0</v>
      </c>
      <c r="BH43" s="308">
        <v>0</v>
      </c>
      <c r="BI43" s="308">
        <v>0</v>
      </c>
      <c r="BJ43" s="306">
        <v>0</v>
      </c>
      <c r="BK43" s="306">
        <v>0</v>
      </c>
      <c r="BL43" s="306">
        <v>0</v>
      </c>
      <c r="BM43" s="306">
        <v>0</v>
      </c>
      <c r="BN43" s="306">
        <v>0</v>
      </c>
      <c r="BO43" s="306">
        <v>0</v>
      </c>
      <c r="BP43" s="329">
        <v>0</v>
      </c>
      <c r="BQ43" s="334">
        <v>0</v>
      </c>
      <c r="BR43" s="372">
        <v>0</v>
      </c>
      <c r="BS43" s="306">
        <v>0</v>
      </c>
      <c r="BT43" s="306">
        <v>0</v>
      </c>
      <c r="BU43" s="306">
        <v>0</v>
      </c>
    </row>
    <row r="44" spans="1:74">
      <c r="A44" s="296"/>
      <c r="B44" s="296"/>
      <c r="C44" s="350" t="s">
        <v>22</v>
      </c>
      <c r="D44" s="361"/>
      <c r="E44" s="361">
        <f>E45+E46</f>
        <v>122033640</v>
      </c>
      <c r="F44" s="361">
        <f>F45+F46</f>
        <v>231411145</v>
      </c>
      <c r="G44" s="361">
        <f>G45+G46</f>
        <v>363313672</v>
      </c>
      <c r="H44" s="361">
        <f>H46+H45</f>
        <v>998644776</v>
      </c>
      <c r="I44" s="361">
        <f>I45+I46</f>
        <v>824732856</v>
      </c>
      <c r="J44" s="361">
        <f>J46+J45</f>
        <v>1114886711</v>
      </c>
      <c r="K44" s="361">
        <f>K46+K45</f>
        <v>1075582467</v>
      </c>
      <c r="L44" s="361">
        <f>L46+L45</f>
        <v>1150889352</v>
      </c>
      <c r="M44" s="361">
        <f>M46+M45</f>
        <v>1175760829</v>
      </c>
      <c r="N44" s="361">
        <f>N46+N45</f>
        <v>1198539602</v>
      </c>
      <c r="O44" s="362">
        <f>O45+O46</f>
        <v>1257622678.99</v>
      </c>
      <c r="P44" s="361">
        <f>P45+P46</f>
        <v>1286115583</v>
      </c>
      <c r="Q44" s="363">
        <f t="shared" ref="Q44:V44" si="43">Q46+Q45</f>
        <v>1291934473</v>
      </c>
      <c r="R44" s="361">
        <f t="shared" si="43"/>
        <v>1331145940</v>
      </c>
      <c r="S44" s="361">
        <f t="shared" si="43"/>
        <v>1374982701</v>
      </c>
      <c r="T44" s="361">
        <f t="shared" si="43"/>
        <v>1318553143</v>
      </c>
      <c r="U44" s="361">
        <f t="shared" si="43"/>
        <v>1244145530</v>
      </c>
      <c r="V44" s="361">
        <f t="shared" si="43"/>
        <v>1354697707</v>
      </c>
      <c r="W44" s="361">
        <f t="shared" ref="W44:AD44" si="44">W46+W45</f>
        <v>1433879611</v>
      </c>
      <c r="X44" s="361">
        <f t="shared" si="44"/>
        <v>1407719966</v>
      </c>
      <c r="Y44" s="361">
        <f t="shared" si="44"/>
        <v>1421155356</v>
      </c>
      <c r="Z44" s="361">
        <f t="shared" si="44"/>
        <v>1442012599</v>
      </c>
      <c r="AA44" s="361">
        <f t="shared" si="44"/>
        <v>1487770133</v>
      </c>
      <c r="AB44" s="364">
        <f t="shared" si="44"/>
        <v>1539468741</v>
      </c>
      <c r="AC44" s="364">
        <f t="shared" si="44"/>
        <v>1538528570</v>
      </c>
      <c r="AD44" s="364">
        <f t="shared" si="44"/>
        <v>1592803322</v>
      </c>
      <c r="AE44" s="364">
        <f t="shared" ref="AE44:AL44" si="45">AE46+AE45</f>
        <v>1566053222</v>
      </c>
      <c r="AF44" s="361">
        <f t="shared" si="45"/>
        <v>1597306460</v>
      </c>
      <c r="AG44" s="361">
        <f t="shared" si="45"/>
        <v>1604244559</v>
      </c>
      <c r="AH44" s="361">
        <f t="shared" si="45"/>
        <v>1590397374</v>
      </c>
      <c r="AI44" s="361">
        <f t="shared" si="45"/>
        <v>1690135345</v>
      </c>
      <c r="AJ44" s="361">
        <f t="shared" si="45"/>
        <v>1703976273</v>
      </c>
      <c r="AK44" s="361">
        <f t="shared" si="45"/>
        <v>1785454263</v>
      </c>
      <c r="AL44" s="361">
        <f t="shared" si="45"/>
        <v>1761995926</v>
      </c>
      <c r="AM44" s="361">
        <f t="shared" ref="AM44:BV44" si="46">AM46+AM45</f>
        <v>1770544426</v>
      </c>
      <c r="AN44" s="361">
        <f t="shared" si="46"/>
        <v>1777437292</v>
      </c>
      <c r="AO44" s="361">
        <f t="shared" si="46"/>
        <v>1748563043</v>
      </c>
      <c r="AP44" s="361">
        <f t="shared" si="46"/>
        <v>0</v>
      </c>
      <c r="AQ44" s="361">
        <f t="shared" si="46"/>
        <v>1855444109</v>
      </c>
      <c r="AR44" s="361">
        <f t="shared" si="46"/>
        <v>1693419307</v>
      </c>
      <c r="AS44" s="361">
        <f t="shared" si="46"/>
        <v>1797973701</v>
      </c>
      <c r="AT44" s="361">
        <f t="shared" si="46"/>
        <v>1861293737</v>
      </c>
      <c r="AU44" s="361">
        <f t="shared" si="46"/>
        <v>1847720183</v>
      </c>
      <c r="AV44" s="361">
        <f t="shared" si="46"/>
        <v>1863588</v>
      </c>
      <c r="AW44" s="361">
        <f t="shared" si="46"/>
        <v>1854665795</v>
      </c>
      <c r="AX44" s="361">
        <f t="shared" si="46"/>
        <v>1874572320</v>
      </c>
      <c r="AY44" s="361">
        <f t="shared" si="46"/>
        <v>1897904629</v>
      </c>
      <c r="AZ44" s="361">
        <f t="shared" si="46"/>
        <v>1920310543</v>
      </c>
      <c r="BA44" s="361">
        <f t="shared" si="46"/>
        <v>2012439804</v>
      </c>
      <c r="BB44" s="361">
        <f t="shared" si="46"/>
        <v>1984919023</v>
      </c>
      <c r="BC44" s="361">
        <f t="shared" si="46"/>
        <v>2006222649</v>
      </c>
      <c r="BD44" s="361">
        <f t="shared" si="46"/>
        <v>2021919925</v>
      </c>
      <c r="BE44" s="361">
        <f t="shared" si="46"/>
        <v>2031191573</v>
      </c>
      <c r="BF44" s="361">
        <f t="shared" si="46"/>
        <v>2039724450</v>
      </c>
      <c r="BG44" s="361">
        <f t="shared" si="46"/>
        <v>2046258869</v>
      </c>
      <c r="BH44" s="361">
        <f t="shared" si="46"/>
        <v>1917600896</v>
      </c>
      <c r="BI44" s="361">
        <f t="shared" si="46"/>
        <v>1956805622</v>
      </c>
      <c r="BJ44" s="361">
        <f t="shared" si="46"/>
        <v>1960549706</v>
      </c>
      <c r="BK44" s="361">
        <f t="shared" si="46"/>
        <v>2006983571</v>
      </c>
      <c r="BL44" s="361">
        <f t="shared" si="46"/>
        <v>1947903961</v>
      </c>
      <c r="BM44" s="361">
        <f t="shared" si="46"/>
        <v>1918057696</v>
      </c>
      <c r="BN44" s="361">
        <f t="shared" si="46"/>
        <v>1986101906</v>
      </c>
      <c r="BO44" s="361">
        <f t="shared" si="46"/>
        <v>2004221048</v>
      </c>
      <c r="BP44" s="361">
        <f t="shared" si="46"/>
        <v>2038554579</v>
      </c>
      <c r="BQ44" s="361">
        <f t="shared" si="46"/>
        <v>2055910284</v>
      </c>
      <c r="BR44" s="373">
        <f t="shared" si="46"/>
        <v>2220162179</v>
      </c>
      <c r="BS44" s="373">
        <f t="shared" si="46"/>
        <v>2232082898</v>
      </c>
      <c r="BT44" s="373">
        <f t="shared" si="46"/>
        <v>2263176910</v>
      </c>
      <c r="BU44" s="373">
        <f t="shared" si="46"/>
        <v>2333950579</v>
      </c>
      <c r="BV44" s="391">
        <f t="shared" si="46"/>
        <v>1974689000</v>
      </c>
    </row>
    <row r="45" spans="1:74">
      <c r="A45" s="296"/>
      <c r="B45" s="296"/>
      <c r="C45" s="354" t="s">
        <v>214</v>
      </c>
      <c r="D45" s="351"/>
      <c r="E45" s="355">
        <v>87411123</v>
      </c>
      <c r="F45" s="315">
        <v>122033640</v>
      </c>
      <c r="G45" s="315">
        <v>231411145</v>
      </c>
      <c r="H45" s="314">
        <v>851712029</v>
      </c>
      <c r="I45" s="308">
        <v>754979893</v>
      </c>
      <c r="J45" s="314">
        <v>1061726214</v>
      </c>
      <c r="K45" s="314">
        <v>998644776</v>
      </c>
      <c r="L45" s="314">
        <v>998644776</v>
      </c>
      <c r="M45" s="314">
        <v>998644776</v>
      </c>
      <c r="N45" s="314">
        <v>998644776</v>
      </c>
      <c r="O45" s="60">
        <v>998644776</v>
      </c>
      <c r="P45" s="314">
        <v>998644776</v>
      </c>
      <c r="Q45" s="351">
        <v>998644776</v>
      </c>
      <c r="R45" s="314">
        <v>998644776</v>
      </c>
      <c r="S45" s="314">
        <v>998644776</v>
      </c>
      <c r="T45" s="314">
        <v>998644776</v>
      </c>
      <c r="U45" s="314">
        <v>998644776</v>
      </c>
      <c r="V45" s="314">
        <v>1128111767</v>
      </c>
      <c r="W45" s="314">
        <v>1407543917</v>
      </c>
      <c r="X45" s="314">
        <v>1354697707</v>
      </c>
      <c r="Y45" s="314">
        <v>1354697707</v>
      </c>
      <c r="Z45" s="314">
        <v>1354697707</v>
      </c>
      <c r="AA45" s="314">
        <v>1354697707</v>
      </c>
      <c r="AB45" s="352">
        <v>1354697707</v>
      </c>
      <c r="AC45" s="352">
        <v>1354697707</v>
      </c>
      <c r="AD45" s="352">
        <v>1354697707</v>
      </c>
      <c r="AE45" s="352">
        <v>1354697707</v>
      </c>
      <c r="AF45" s="314">
        <v>1354697707</v>
      </c>
      <c r="AG45" s="314">
        <v>1354697707</v>
      </c>
      <c r="AH45" s="314">
        <v>1354697707</v>
      </c>
      <c r="AI45" s="314">
        <v>1354697707</v>
      </c>
      <c r="AJ45" s="315">
        <v>1691664735</v>
      </c>
      <c r="AK45" s="315">
        <v>1690135345</v>
      </c>
      <c r="AL45" s="315">
        <v>1690135345</v>
      </c>
      <c r="AM45" s="315">
        <v>1690135345</v>
      </c>
      <c r="AN45" s="315">
        <v>1690135345</v>
      </c>
      <c r="AO45" s="315">
        <v>1690135345</v>
      </c>
      <c r="AP45" s="315"/>
      <c r="AQ45" s="315">
        <v>1690135345</v>
      </c>
      <c r="AR45" s="315">
        <v>1690135345</v>
      </c>
      <c r="AS45" s="315">
        <v>1690135345</v>
      </c>
      <c r="AT45" s="315">
        <v>1690135345</v>
      </c>
      <c r="AU45" s="315">
        <v>1690135345</v>
      </c>
      <c r="AV45" s="314">
        <v>1690135</v>
      </c>
      <c r="AW45" s="308">
        <v>1863087733</v>
      </c>
      <c r="AX45" s="308">
        <v>1863087733</v>
      </c>
      <c r="AY45" s="308">
        <v>1863087733</v>
      </c>
      <c r="AZ45" s="308">
        <v>1863087733</v>
      </c>
      <c r="BA45" s="308">
        <v>1863087733</v>
      </c>
      <c r="BB45" s="308">
        <v>1863087733</v>
      </c>
      <c r="BC45" s="308">
        <v>1863087733</v>
      </c>
      <c r="BD45" s="308">
        <v>1863087733</v>
      </c>
      <c r="BE45" s="308">
        <v>1863087733</v>
      </c>
      <c r="BF45" s="308">
        <v>1863087733</v>
      </c>
      <c r="BG45" s="308">
        <v>1863087733</v>
      </c>
      <c r="BH45" s="308">
        <v>1863087733</v>
      </c>
      <c r="BI45" s="343">
        <v>1863087733</v>
      </c>
      <c r="BJ45" s="306">
        <v>1956805622</v>
      </c>
      <c r="BK45" s="306">
        <v>1956805622</v>
      </c>
      <c r="BL45" s="306">
        <v>1956805622</v>
      </c>
      <c r="BM45" s="306">
        <v>1956805622</v>
      </c>
      <c r="BN45" s="306">
        <v>1956805622</v>
      </c>
      <c r="BO45" s="306">
        <v>1956805622</v>
      </c>
      <c r="BP45" s="306">
        <v>1956805622</v>
      </c>
      <c r="BQ45" s="329">
        <v>1956805622</v>
      </c>
      <c r="BR45" s="332">
        <v>1956805622</v>
      </c>
      <c r="BS45" s="306">
        <v>1956805622</v>
      </c>
      <c r="BT45" s="306">
        <v>1956805622</v>
      </c>
      <c r="BU45" s="306">
        <v>1956805622</v>
      </c>
      <c r="BV45" s="287">
        <v>1956805000</v>
      </c>
    </row>
    <row r="46" spans="1:74">
      <c r="A46" s="296"/>
      <c r="B46" s="296"/>
      <c r="C46" s="354" t="s">
        <v>215</v>
      </c>
      <c r="D46" s="351"/>
      <c r="E46" s="355">
        <v>34622517</v>
      </c>
      <c r="F46" s="315">
        <v>109377505</v>
      </c>
      <c r="G46" s="315">
        <v>131902527</v>
      </c>
      <c r="H46" s="314">
        <v>146932747</v>
      </c>
      <c r="I46" s="308">
        <v>69752963</v>
      </c>
      <c r="J46" s="314">
        <v>53160497</v>
      </c>
      <c r="K46" s="314">
        <v>76937691</v>
      </c>
      <c r="L46" s="314">
        <v>152244576</v>
      </c>
      <c r="M46" s="314">
        <v>177116053</v>
      </c>
      <c r="N46" s="314">
        <v>199894826</v>
      </c>
      <c r="O46" s="60">
        <v>258977902.99000001</v>
      </c>
      <c r="P46" s="314">
        <v>287470807</v>
      </c>
      <c r="Q46" s="351">
        <v>293289697</v>
      </c>
      <c r="R46" s="314">
        <v>332501164</v>
      </c>
      <c r="S46" s="314">
        <v>376337925</v>
      </c>
      <c r="T46" s="314">
        <v>319908367</v>
      </c>
      <c r="U46" s="314">
        <f>1244145530-U45</f>
        <v>245500754</v>
      </c>
      <c r="V46" s="314">
        <v>226585940</v>
      </c>
      <c r="W46" s="314">
        <v>26335694</v>
      </c>
      <c r="X46" s="314">
        <v>53022259</v>
      </c>
      <c r="Y46" s="314">
        <v>66457649</v>
      </c>
      <c r="Z46" s="314">
        <v>87314892</v>
      </c>
      <c r="AA46" s="314">
        <v>133072426</v>
      </c>
      <c r="AB46" s="352">
        <v>184771034</v>
      </c>
      <c r="AC46" s="352">
        <v>183830863</v>
      </c>
      <c r="AD46" s="352">
        <v>238105615</v>
      </c>
      <c r="AE46" s="352">
        <v>211355515</v>
      </c>
      <c r="AF46" s="314">
        <v>242608753</v>
      </c>
      <c r="AG46" s="314">
        <v>249546852</v>
      </c>
      <c r="AH46" s="314">
        <v>235699667</v>
      </c>
      <c r="AI46" s="314">
        <f>474738488-2800000+74551614-99729815-111322649</f>
        <v>335437638</v>
      </c>
      <c r="AJ46" s="315">
        <v>12311538</v>
      </c>
      <c r="AK46" s="315">
        <v>95318918</v>
      </c>
      <c r="AL46" s="315">
        <v>71860581</v>
      </c>
      <c r="AM46" s="315">
        <v>80409081</v>
      </c>
      <c r="AN46" s="315">
        <v>87301947</v>
      </c>
      <c r="AO46" s="315">
        <v>58427698</v>
      </c>
      <c r="AP46" s="315"/>
      <c r="AQ46" s="315">
        <v>165308764</v>
      </c>
      <c r="AR46" s="315">
        <v>3283962</v>
      </c>
      <c r="AS46" s="315">
        <v>107838356</v>
      </c>
      <c r="AT46" s="315">
        <v>171158392</v>
      </c>
      <c r="AU46" s="315">
        <v>157584838</v>
      </c>
      <c r="AV46" s="314">
        <f>368214-5000-79271+1722+27633-139845</f>
        <v>173453</v>
      </c>
      <c r="AW46" s="308">
        <v>-8421938</v>
      </c>
      <c r="AX46" s="308">
        <v>11484587</v>
      </c>
      <c r="AY46" s="308">
        <v>34816896</v>
      </c>
      <c r="AZ46" s="308">
        <v>57222810</v>
      </c>
      <c r="BA46" s="308">
        <v>149352071</v>
      </c>
      <c r="BB46" s="308">
        <v>121831290</v>
      </c>
      <c r="BC46" s="308">
        <v>143134916</v>
      </c>
      <c r="BD46" s="308">
        <v>158832192</v>
      </c>
      <c r="BE46" s="308">
        <v>168103840</v>
      </c>
      <c r="BF46" s="308">
        <v>176636717</v>
      </c>
      <c r="BG46" s="308">
        <v>183171136</v>
      </c>
      <c r="BH46" s="308">
        <v>54513163</v>
      </c>
      <c r="BI46" s="374">
        <v>93717889</v>
      </c>
      <c r="BJ46" s="306">
        <v>3744084</v>
      </c>
      <c r="BK46" s="306">
        <v>50177949</v>
      </c>
      <c r="BL46" s="306">
        <v>-8901661</v>
      </c>
      <c r="BM46" s="306">
        <v>-38747926</v>
      </c>
      <c r="BN46" s="306">
        <v>29296284</v>
      </c>
      <c r="BO46" s="306">
        <v>47415426</v>
      </c>
      <c r="BP46" s="306">
        <v>81748957</v>
      </c>
      <c r="BQ46" s="329">
        <v>99104662</v>
      </c>
      <c r="BR46" s="332">
        <v>263356557</v>
      </c>
      <c r="BS46" s="306">
        <v>275277276</v>
      </c>
      <c r="BT46" s="306">
        <v>306371288</v>
      </c>
      <c r="BU46" s="306">
        <v>377144957</v>
      </c>
      <c r="BV46" s="287">
        <v>17884000</v>
      </c>
    </row>
    <row r="47" spans="1:74">
      <c r="A47" s="296"/>
      <c r="B47" s="296"/>
      <c r="C47" s="350" t="s">
        <v>216</v>
      </c>
      <c r="D47" s="361"/>
      <c r="E47" s="361">
        <f t="shared" ref="E47:O47" si="47">SUM(E48:E52)</f>
        <v>125530034</v>
      </c>
      <c r="F47" s="361">
        <f t="shared" si="47"/>
        <v>200536617</v>
      </c>
      <c r="G47" s="361">
        <f t="shared" si="47"/>
        <v>286916920</v>
      </c>
      <c r="H47" s="361">
        <f t="shared" si="47"/>
        <v>699651844</v>
      </c>
      <c r="I47" s="361">
        <f t="shared" si="47"/>
        <v>426193730</v>
      </c>
      <c r="J47" s="361">
        <f t="shared" si="47"/>
        <v>619745451</v>
      </c>
      <c r="K47" s="361">
        <f t="shared" si="47"/>
        <v>736893650</v>
      </c>
      <c r="L47" s="361">
        <f t="shared" si="47"/>
        <v>749475113</v>
      </c>
      <c r="M47" s="361">
        <f t="shared" si="47"/>
        <v>764501690.14999998</v>
      </c>
      <c r="N47" s="361">
        <f t="shared" si="47"/>
        <v>769281980</v>
      </c>
      <c r="O47" s="361">
        <f t="shared" si="47"/>
        <v>774738474.54000008</v>
      </c>
      <c r="P47" s="361">
        <f>SUM(P48:P51)</f>
        <v>780246338.38999999</v>
      </c>
      <c r="Q47" s="363">
        <f t="shared" ref="Q47:V47" si="48">SUM(Q48:Q52)</f>
        <v>784941288.25</v>
      </c>
      <c r="R47" s="361">
        <f t="shared" si="48"/>
        <v>790250428.39999998</v>
      </c>
      <c r="S47" s="361">
        <f t="shared" si="48"/>
        <v>795454727.42999995</v>
      </c>
      <c r="T47" s="361">
        <f t="shared" si="48"/>
        <v>801716931.65999997</v>
      </c>
      <c r="U47" s="361">
        <f t="shared" si="48"/>
        <v>1040448423</v>
      </c>
      <c r="V47" s="361">
        <f t="shared" si="48"/>
        <v>1111561263</v>
      </c>
      <c r="W47" s="361">
        <f t="shared" ref="W47:AD47" si="49">SUM(W48:W52)</f>
        <v>894401501.48000002</v>
      </c>
      <c r="X47" s="361">
        <f t="shared" si="49"/>
        <v>868075229.59000003</v>
      </c>
      <c r="Y47" s="361">
        <f t="shared" si="49"/>
        <v>874247086</v>
      </c>
      <c r="Z47" s="361">
        <f t="shared" si="49"/>
        <v>880499480</v>
      </c>
      <c r="AA47" s="361">
        <f t="shared" si="49"/>
        <v>886752593.53999996</v>
      </c>
      <c r="AB47" s="364">
        <f t="shared" si="49"/>
        <v>893026690</v>
      </c>
      <c r="AC47" s="364">
        <f t="shared" si="49"/>
        <v>914534418</v>
      </c>
      <c r="AD47" s="364">
        <f t="shared" si="49"/>
        <v>912755105.88999999</v>
      </c>
      <c r="AE47" s="364">
        <f t="shared" ref="AE47:AL47" si="50">SUM(AE48:AE52)</f>
        <v>920059181.08000004</v>
      </c>
      <c r="AF47" s="361">
        <f t="shared" si="50"/>
        <v>927866067.74000001</v>
      </c>
      <c r="AG47" s="361">
        <f t="shared" si="50"/>
        <v>935465559.25</v>
      </c>
      <c r="AH47" s="361">
        <f t="shared" si="50"/>
        <v>942998036.20000005</v>
      </c>
      <c r="AI47" s="361">
        <f t="shared" si="50"/>
        <v>1022416577</v>
      </c>
      <c r="AJ47" s="361">
        <f t="shared" si="50"/>
        <v>919653489.35000002</v>
      </c>
      <c r="AK47" s="361">
        <f t="shared" si="50"/>
        <v>919360469</v>
      </c>
      <c r="AL47" s="361">
        <f t="shared" si="50"/>
        <v>935940162</v>
      </c>
      <c r="AM47" s="361">
        <f t="shared" ref="AM47:BV47" si="51">SUM(AM48:AM52)</f>
        <v>944373134</v>
      </c>
      <c r="AN47" s="361">
        <f t="shared" si="51"/>
        <v>952873418.44000006</v>
      </c>
      <c r="AO47" s="361">
        <f t="shared" si="51"/>
        <v>961428783</v>
      </c>
      <c r="AP47" s="361">
        <f t="shared" si="51"/>
        <v>0</v>
      </c>
      <c r="AQ47" s="361">
        <f t="shared" si="51"/>
        <v>970401875.55999994</v>
      </c>
      <c r="AR47" s="361">
        <f t="shared" si="51"/>
        <v>987688050.65999997</v>
      </c>
      <c r="AS47" s="361">
        <f t="shared" si="51"/>
        <v>996782618.69000006</v>
      </c>
      <c r="AT47" s="361">
        <f t="shared" si="51"/>
        <v>1006014695.2</v>
      </c>
      <c r="AU47" s="361">
        <f t="shared" si="51"/>
        <v>1015366290.05</v>
      </c>
      <c r="AV47" s="361">
        <f t="shared" si="51"/>
        <v>1005068</v>
      </c>
      <c r="AW47" s="361">
        <f t="shared" si="51"/>
        <v>873967372</v>
      </c>
      <c r="AX47" s="361">
        <f t="shared" si="51"/>
        <v>886293636</v>
      </c>
      <c r="AY47" s="361">
        <f t="shared" si="51"/>
        <v>896692913.47000003</v>
      </c>
      <c r="AZ47" s="361">
        <f t="shared" si="51"/>
        <v>907500036.19000006</v>
      </c>
      <c r="BA47" s="361">
        <f t="shared" si="51"/>
        <v>907868730</v>
      </c>
      <c r="BB47" s="361">
        <f t="shared" si="51"/>
        <v>929499049.27999997</v>
      </c>
      <c r="BC47" s="361">
        <f t="shared" si="51"/>
        <v>940804905.69999993</v>
      </c>
      <c r="BD47" s="361">
        <f t="shared" si="51"/>
        <v>952383946</v>
      </c>
      <c r="BE47" s="361">
        <f t="shared" si="51"/>
        <v>963866225.61000001</v>
      </c>
      <c r="BF47" s="361">
        <f t="shared" si="51"/>
        <v>975683850.58000004</v>
      </c>
      <c r="BG47" s="361">
        <f t="shared" si="51"/>
        <v>987559145.50999999</v>
      </c>
      <c r="BH47" s="361">
        <f t="shared" si="51"/>
        <v>1453386609</v>
      </c>
      <c r="BI47" s="361">
        <f t="shared" si="51"/>
        <v>1406032492.4726796</v>
      </c>
      <c r="BJ47" s="361">
        <f t="shared" si="51"/>
        <v>1240425409.03</v>
      </c>
      <c r="BK47" s="361">
        <f t="shared" si="51"/>
        <v>1258045552.3099999</v>
      </c>
      <c r="BL47" s="361">
        <f t="shared" si="51"/>
        <v>1276009091</v>
      </c>
      <c r="BM47" s="361">
        <f t="shared" si="51"/>
        <v>1297056124.6900001</v>
      </c>
      <c r="BN47" s="361">
        <f t="shared" si="51"/>
        <v>1312280206.7</v>
      </c>
      <c r="BO47" s="361">
        <f t="shared" si="51"/>
        <v>1330658934.0599999</v>
      </c>
      <c r="BP47" s="361">
        <f t="shared" si="51"/>
        <v>1349141169.9300001</v>
      </c>
      <c r="BQ47" s="365">
        <f t="shared" si="51"/>
        <v>1367830129</v>
      </c>
      <c r="BR47" s="373">
        <f t="shared" si="51"/>
        <v>1386823914.77</v>
      </c>
      <c r="BS47" s="373">
        <f t="shared" si="51"/>
        <v>1405933043</v>
      </c>
      <c r="BT47" s="373">
        <f t="shared" si="51"/>
        <v>1424806424.72</v>
      </c>
      <c r="BU47" s="373">
        <f t="shared" si="51"/>
        <v>1458863025.5599999</v>
      </c>
      <c r="BV47" s="391">
        <f t="shared" si="51"/>
        <v>1818750000</v>
      </c>
    </row>
    <row r="48" spans="1:74">
      <c r="A48" s="296"/>
      <c r="B48" s="296"/>
      <c r="C48" s="354" t="s">
        <v>217</v>
      </c>
      <c r="D48" s="351"/>
      <c r="E48" s="355">
        <v>69785929</v>
      </c>
      <c r="F48" s="315">
        <v>113085206</v>
      </c>
      <c r="G48" s="315">
        <v>169505693</v>
      </c>
      <c r="H48" s="314">
        <v>393846829</v>
      </c>
      <c r="I48" s="308">
        <v>294450183</v>
      </c>
      <c r="J48" s="314">
        <v>347999297</v>
      </c>
      <c r="K48" s="314">
        <v>347999297</v>
      </c>
      <c r="L48" s="314">
        <v>347999297</v>
      </c>
      <c r="M48" s="314">
        <v>347999297</v>
      </c>
      <c r="N48" s="314">
        <v>347999297</v>
      </c>
      <c r="O48" s="343">
        <v>347999297</v>
      </c>
      <c r="P48" s="314">
        <v>347999297</v>
      </c>
      <c r="Q48" s="351">
        <v>347999297</v>
      </c>
      <c r="R48" s="314">
        <v>347999297</v>
      </c>
      <c r="S48" s="314">
        <v>347999297</v>
      </c>
      <c r="T48" s="314">
        <v>347999297</v>
      </c>
      <c r="U48" s="314">
        <v>450731709</v>
      </c>
      <c r="V48" s="314"/>
      <c r="W48" s="314">
        <v>494856977</v>
      </c>
      <c r="X48" s="314">
        <v>528921206</v>
      </c>
      <c r="Y48" s="314">
        <v>528921206</v>
      </c>
      <c r="Z48" s="314">
        <v>528921206</v>
      </c>
      <c r="AA48" s="314">
        <v>528921206</v>
      </c>
      <c r="AB48" s="352">
        <v>528921206</v>
      </c>
      <c r="AC48" s="352">
        <v>528921206</v>
      </c>
      <c r="AD48" s="352">
        <v>528921221</v>
      </c>
      <c r="AE48" s="352">
        <v>528921221</v>
      </c>
      <c r="AF48" s="314">
        <v>528921221</v>
      </c>
      <c r="AG48" s="314">
        <v>528921221</v>
      </c>
      <c r="AH48" s="314">
        <v>528921221</v>
      </c>
      <c r="AI48" s="314">
        <v>628651036</v>
      </c>
      <c r="AJ48" s="315">
        <v>629050281</v>
      </c>
      <c r="AK48" s="315">
        <v>628651036</v>
      </c>
      <c r="AL48" s="315">
        <v>628651036</v>
      </c>
      <c r="AM48" s="315">
        <v>628651036</v>
      </c>
      <c r="AN48" s="315">
        <v>628651036</v>
      </c>
      <c r="AO48" s="315">
        <v>628651036</v>
      </c>
      <c r="AP48" s="315"/>
      <c r="AQ48" s="315">
        <v>628651036</v>
      </c>
      <c r="AR48" s="315">
        <v>628651036</v>
      </c>
      <c r="AS48" s="315">
        <v>628651036</v>
      </c>
      <c r="AT48" s="315">
        <v>628651036</v>
      </c>
      <c r="AU48" s="315">
        <v>628651036</v>
      </c>
      <c r="AV48" s="314">
        <v>707922</v>
      </c>
      <c r="AW48" s="308">
        <v>707922660</v>
      </c>
      <c r="AX48" s="308">
        <v>707922660</v>
      </c>
      <c r="AY48" s="308">
        <v>707922660</v>
      </c>
      <c r="AZ48" s="308">
        <v>707922660</v>
      </c>
      <c r="BA48" s="308">
        <v>707922660</v>
      </c>
      <c r="BB48" s="308">
        <v>707922660</v>
      </c>
      <c r="BC48" s="308">
        <v>707922660</v>
      </c>
      <c r="BD48" s="308">
        <v>707922660</v>
      </c>
      <c r="BE48" s="308">
        <v>707922660</v>
      </c>
      <c r="BF48" s="308">
        <v>707922660</v>
      </c>
      <c r="BG48" s="308">
        <v>707922660</v>
      </c>
      <c r="BH48" s="308">
        <v>847099120</v>
      </c>
      <c r="BI48" s="341">
        <v>847099119.8496747</v>
      </c>
      <c r="BJ48" s="306">
        <v>847099120</v>
      </c>
      <c r="BK48" s="306">
        <v>847099120</v>
      </c>
      <c r="BL48" s="306">
        <v>847099120</v>
      </c>
      <c r="BM48" s="306">
        <v>847099120</v>
      </c>
      <c r="BN48" s="329">
        <v>847099120</v>
      </c>
      <c r="BO48" s="315">
        <v>847099120</v>
      </c>
      <c r="BP48" s="375">
        <v>847099120</v>
      </c>
      <c r="BQ48" s="376">
        <v>847099120</v>
      </c>
      <c r="BR48" s="332">
        <v>847099120</v>
      </c>
      <c r="BS48" s="306">
        <v>847099120</v>
      </c>
      <c r="BT48" s="306">
        <v>847099120</v>
      </c>
      <c r="BU48" s="306">
        <v>847099120</v>
      </c>
      <c r="BV48" s="287">
        <v>984947000</v>
      </c>
    </row>
    <row r="49" spans="1:74">
      <c r="A49" s="296"/>
      <c r="B49" s="296"/>
      <c r="C49" s="354" t="s">
        <v>218</v>
      </c>
      <c r="D49" s="351"/>
      <c r="E49" s="355">
        <v>4527843</v>
      </c>
      <c r="F49" s="315">
        <v>4527843</v>
      </c>
      <c r="G49" s="315">
        <v>4527843</v>
      </c>
      <c r="H49" s="314">
        <v>49067834</v>
      </c>
      <c r="I49" s="308">
        <v>4527843</v>
      </c>
      <c r="J49" s="314">
        <v>69108591</v>
      </c>
      <c r="K49" s="314">
        <v>182101663</v>
      </c>
      <c r="L49" s="314">
        <v>190666379</v>
      </c>
      <c r="M49" s="314">
        <v>201655559</v>
      </c>
      <c r="N49" s="314">
        <v>202363685</v>
      </c>
      <c r="O49" s="343">
        <v>203808576.97</v>
      </c>
      <c r="P49" s="314">
        <v>205155527</v>
      </c>
      <c r="Q49" s="351">
        <v>205633952</v>
      </c>
      <c r="R49" s="314">
        <v>206594626.15000001</v>
      </c>
      <c r="S49" s="314">
        <v>207390380</v>
      </c>
      <c r="T49" s="314">
        <v>209207450</v>
      </c>
      <c r="U49" s="314">
        <f>95916272+704694515-U48-U51</f>
        <v>277550095</v>
      </c>
      <c r="V49" s="314">
        <f>618248091+102184539+96170553</f>
        <v>816603183</v>
      </c>
      <c r="W49" s="314">
        <v>115511386</v>
      </c>
      <c r="X49" s="314">
        <v>113773755</v>
      </c>
      <c r="Y49" s="314">
        <v>113928755</v>
      </c>
      <c r="Z49" s="314">
        <v>114007755</v>
      </c>
      <c r="AA49" s="314">
        <v>114081255</v>
      </c>
      <c r="AB49" s="352">
        <v>114121255</v>
      </c>
      <c r="AC49" s="352">
        <v>114161755</v>
      </c>
      <c r="AD49" s="352">
        <v>114204255</v>
      </c>
      <c r="AE49" s="352">
        <v>114239255</v>
      </c>
      <c r="AF49" s="314">
        <v>114302255</v>
      </c>
      <c r="AG49" s="314">
        <v>114341117</v>
      </c>
      <c r="AH49" s="314">
        <v>114127437</v>
      </c>
      <c r="AI49" s="314">
        <f>11942898+27632925</f>
        <v>39575823</v>
      </c>
      <c r="AJ49" s="315">
        <v>39621323</v>
      </c>
      <c r="AK49" s="315">
        <v>39672423</v>
      </c>
      <c r="AL49" s="315">
        <v>39723923</v>
      </c>
      <c r="AM49" s="315">
        <v>39747423</v>
      </c>
      <c r="AN49" s="315">
        <v>39776923</v>
      </c>
      <c r="AO49" s="315">
        <v>39831422</v>
      </c>
      <c r="AP49" s="315"/>
      <c r="AQ49" s="315">
        <v>39888923</v>
      </c>
      <c r="AR49" s="315">
        <v>39924423</v>
      </c>
      <c r="AS49" s="315">
        <v>39956923</v>
      </c>
      <c r="AT49" s="315">
        <v>39978923</v>
      </c>
      <c r="AU49" s="315">
        <v>39996623</v>
      </c>
      <c r="AV49" s="314">
        <f>146659+10642</f>
        <v>157301</v>
      </c>
      <c r="AW49" s="308">
        <v>10685682</v>
      </c>
      <c r="AX49" s="308">
        <v>10733182</v>
      </c>
      <c r="AY49" s="308">
        <v>10794682</v>
      </c>
      <c r="AZ49" s="308">
        <v>10896182</v>
      </c>
      <c r="BA49" s="308">
        <v>10951682</v>
      </c>
      <c r="BB49" s="308">
        <v>11043182</v>
      </c>
      <c r="BC49" s="308">
        <v>11130182</v>
      </c>
      <c r="BD49" s="308">
        <v>11210682</v>
      </c>
      <c r="BE49" s="308">
        <v>11262182</v>
      </c>
      <c r="BF49" s="308">
        <v>11321682</v>
      </c>
      <c r="BG49" s="308">
        <v>11375682</v>
      </c>
      <c r="BH49" s="308">
        <v>267546287</v>
      </c>
      <c r="BI49" s="341">
        <v>220192172.35010496</v>
      </c>
      <c r="BJ49" s="306">
        <v>228441061</v>
      </c>
      <c r="BK49" s="306">
        <v>228496061</v>
      </c>
      <c r="BL49" s="306">
        <v>228575061</v>
      </c>
      <c r="BM49" s="306">
        <v>231630061</v>
      </c>
      <c r="BN49" s="329">
        <v>228671061</v>
      </c>
      <c r="BO49" s="315">
        <v>228718060.46000001</v>
      </c>
      <c r="BP49" s="375">
        <v>228754561</v>
      </c>
      <c r="BQ49" s="376">
        <v>228811061</v>
      </c>
      <c r="BR49" s="332">
        <v>228857561</v>
      </c>
      <c r="BS49" s="306">
        <v>228921561</v>
      </c>
      <c r="BT49" s="306">
        <v>228921561</v>
      </c>
      <c r="BU49" s="306">
        <v>242372588</v>
      </c>
      <c r="BV49" s="287">
        <v>219550000</v>
      </c>
    </row>
    <row r="50" spans="1:74">
      <c r="A50" s="296"/>
      <c r="B50" s="296"/>
      <c r="C50" s="354" t="s">
        <v>219</v>
      </c>
      <c r="D50" s="354"/>
      <c r="E50" s="355">
        <v>19103964</v>
      </c>
      <c r="F50" s="315">
        <v>19103964</v>
      </c>
      <c r="G50" s="315">
        <v>19103964</v>
      </c>
      <c r="H50" s="314">
        <v>194791701</v>
      </c>
      <c r="I50" s="308">
        <v>19103964</v>
      </c>
      <c r="J50" s="314">
        <v>194791701</v>
      </c>
      <c r="K50" s="314">
        <v>194791701</v>
      </c>
      <c r="L50" s="314">
        <v>194791701</v>
      </c>
      <c r="M50" s="314">
        <v>194791701</v>
      </c>
      <c r="N50" s="314">
        <v>194791701</v>
      </c>
      <c r="O50" s="343">
        <v>194791701</v>
      </c>
      <c r="P50" s="314">
        <v>194791701</v>
      </c>
      <c r="Q50" s="351">
        <v>194791701</v>
      </c>
      <c r="R50" s="314">
        <v>194791701</v>
      </c>
      <c r="S50" s="314">
        <v>194791701</v>
      </c>
      <c r="T50" s="314">
        <v>194791701</v>
      </c>
      <c r="U50" s="314">
        <f>239837636</f>
        <v>239837636</v>
      </c>
      <c r="V50" s="314">
        <f>213713770</f>
        <v>213713770</v>
      </c>
      <c r="W50" s="314">
        <v>278233897</v>
      </c>
      <c r="X50" s="314">
        <v>213713771</v>
      </c>
      <c r="Y50" s="314">
        <v>213713771</v>
      </c>
      <c r="Z50" s="314">
        <v>213713771</v>
      </c>
      <c r="AA50" s="314">
        <v>213713771</v>
      </c>
      <c r="AB50" s="352">
        <v>213713771</v>
      </c>
      <c r="AC50" s="352">
        <v>213713771</v>
      </c>
      <c r="AD50" s="352">
        <v>213713771</v>
      </c>
      <c r="AE50" s="352">
        <v>213713771</v>
      </c>
      <c r="AF50" s="314">
        <v>213713771</v>
      </c>
      <c r="AG50" s="314">
        <v>213713771</v>
      </c>
      <c r="AH50" s="314">
        <v>213713771</v>
      </c>
      <c r="AI50" s="314">
        <v>242867069</v>
      </c>
      <c r="AJ50" s="315">
        <v>242867069</v>
      </c>
      <c r="AK50" s="315">
        <v>242867069</v>
      </c>
      <c r="AL50" s="355">
        <v>242867069</v>
      </c>
      <c r="AM50" s="355">
        <v>242867069</v>
      </c>
      <c r="AN50" s="355">
        <v>242867069</v>
      </c>
      <c r="AO50" s="355">
        <v>242867069</v>
      </c>
      <c r="AP50" s="355"/>
      <c r="AQ50" s="355">
        <v>242867069</v>
      </c>
      <c r="AR50" s="355">
        <v>242867069</v>
      </c>
      <c r="AS50" s="355">
        <v>242867069</v>
      </c>
      <c r="AT50" s="355">
        <v>242867069</v>
      </c>
      <c r="AU50" s="355">
        <v>242867069</v>
      </c>
      <c r="AV50" s="314"/>
      <c r="AW50" s="308">
        <v>146658880</v>
      </c>
      <c r="AX50" s="308">
        <v>146658880</v>
      </c>
      <c r="AY50" s="308">
        <v>146658880.34</v>
      </c>
      <c r="AZ50" s="308">
        <v>146658880.34</v>
      </c>
      <c r="BA50" s="308">
        <v>146658880.34</v>
      </c>
      <c r="BB50" s="308">
        <v>146658881.31</v>
      </c>
      <c r="BC50" s="308">
        <v>146658881.31</v>
      </c>
      <c r="BD50" s="308">
        <v>146658881.27000001</v>
      </c>
      <c r="BE50" s="308">
        <v>146658881.27000001</v>
      </c>
      <c r="BF50" s="308">
        <v>146658881</v>
      </c>
      <c r="BG50" s="308">
        <v>146658881.53999999</v>
      </c>
      <c r="BH50" s="308">
        <v>147500355</v>
      </c>
      <c r="BI50" s="341">
        <v>147500355.30000001</v>
      </c>
      <c r="BJ50" s="306">
        <v>147500355</v>
      </c>
      <c r="BK50" s="306">
        <v>147500355</v>
      </c>
      <c r="BL50" s="306">
        <v>147500355</v>
      </c>
      <c r="BM50" s="306">
        <v>147500355</v>
      </c>
      <c r="BN50" s="329">
        <v>147500355</v>
      </c>
      <c r="BO50" s="315">
        <v>147500355</v>
      </c>
      <c r="BP50" s="375">
        <v>147500355</v>
      </c>
      <c r="BQ50" s="376">
        <v>147500355</v>
      </c>
      <c r="BR50" s="332">
        <v>147500355</v>
      </c>
      <c r="BS50" s="306">
        <v>147500355</v>
      </c>
      <c r="BT50" s="306">
        <v>147500355</v>
      </c>
      <c r="BU50" s="306">
        <v>147500355</v>
      </c>
      <c r="BV50" s="287">
        <f>126720000+79896000</f>
        <v>206616000</v>
      </c>
    </row>
    <row r="51" spans="1:74">
      <c r="A51" s="296"/>
      <c r="B51" s="296"/>
      <c r="C51" s="354" t="s">
        <v>30</v>
      </c>
      <c r="D51" s="354"/>
      <c r="E51" s="355">
        <v>32112298</v>
      </c>
      <c r="F51" s="355">
        <v>63819604</v>
      </c>
      <c r="G51" s="355">
        <v>93779420</v>
      </c>
      <c r="H51" s="314">
        <v>61945480</v>
      </c>
      <c r="I51" s="308">
        <v>108111740</v>
      </c>
      <c r="J51" s="314">
        <v>7845862</v>
      </c>
      <c r="K51" s="314">
        <v>12000989</v>
      </c>
      <c r="L51" s="314">
        <v>16017736</v>
      </c>
      <c r="M51" s="314">
        <v>20055133.149999999</v>
      </c>
      <c r="N51" s="314">
        <v>24127297</v>
      </c>
      <c r="O51" s="296">
        <v>28138899.57</v>
      </c>
      <c r="P51" s="314">
        <v>32299813.390000001</v>
      </c>
      <c r="Q51" s="351">
        <v>36516338.25</v>
      </c>
      <c r="R51" s="314">
        <v>40864804.25</v>
      </c>
      <c r="S51" s="314">
        <v>45273349.43</v>
      </c>
      <c r="T51" s="314">
        <v>49718483.659999996</v>
      </c>
      <c r="U51" s="314">
        <v>72328983</v>
      </c>
      <c r="V51" s="314">
        <v>81244310</v>
      </c>
      <c r="W51" s="314">
        <v>5799241.4800000004</v>
      </c>
      <c r="X51" s="314">
        <v>11666497.59</v>
      </c>
      <c r="Y51" s="314">
        <v>17683354</v>
      </c>
      <c r="Z51" s="314">
        <v>23856748</v>
      </c>
      <c r="AA51" s="314">
        <v>30036361.539999999</v>
      </c>
      <c r="AB51" s="352">
        <v>36270458</v>
      </c>
      <c r="AC51" s="352">
        <v>57737686</v>
      </c>
      <c r="AD51" s="352">
        <v>55915858.890000001</v>
      </c>
      <c r="AE51" s="352">
        <v>63184934.079999998</v>
      </c>
      <c r="AF51" s="314">
        <v>70928820.739999995</v>
      </c>
      <c r="AG51" s="314">
        <v>78489450.25</v>
      </c>
      <c r="AH51" s="314">
        <v>86235607.200000003</v>
      </c>
      <c r="AI51" s="314">
        <v>111322649</v>
      </c>
      <c r="AJ51" s="377">
        <v>8114816.3499999996</v>
      </c>
      <c r="AK51" s="377">
        <v>8169941</v>
      </c>
      <c r="AL51" s="355">
        <v>24698134</v>
      </c>
      <c r="AM51" s="355">
        <v>33107606</v>
      </c>
      <c r="AN51" s="355">
        <v>41578390.439999998</v>
      </c>
      <c r="AO51" s="355">
        <v>50079256</v>
      </c>
      <c r="AP51" s="355"/>
      <c r="AQ51" s="355">
        <v>58994847.560000002</v>
      </c>
      <c r="AR51" s="355">
        <v>76245522.659999996</v>
      </c>
      <c r="AS51" s="355">
        <v>85307590.689999998</v>
      </c>
      <c r="AT51" s="355">
        <v>94517667.200000003</v>
      </c>
      <c r="AU51" s="355">
        <v>103851562.05</v>
      </c>
      <c r="AV51" s="314">
        <v>139845</v>
      </c>
      <c r="AW51" s="308">
        <v>8700150</v>
      </c>
      <c r="AX51" s="308">
        <v>20978914</v>
      </c>
      <c r="AY51" s="308">
        <v>31316691.129999999</v>
      </c>
      <c r="AZ51" s="308">
        <v>42022313.850000001</v>
      </c>
      <c r="BA51" s="308">
        <v>42335507.659999996</v>
      </c>
      <c r="BB51" s="308">
        <v>63874325.969999999</v>
      </c>
      <c r="BC51" s="308">
        <v>75093182.390000001</v>
      </c>
      <c r="BD51" s="308">
        <v>86591722.730000004</v>
      </c>
      <c r="BE51" s="308">
        <v>98022502.340000004</v>
      </c>
      <c r="BF51" s="308">
        <v>109780627.58</v>
      </c>
      <c r="BG51" s="308">
        <v>121601921.97</v>
      </c>
      <c r="BH51" s="308">
        <v>191240847</v>
      </c>
      <c r="BI51" s="341">
        <v>191240844.97289982</v>
      </c>
      <c r="BJ51" s="378">
        <v>17384873.030000001</v>
      </c>
      <c r="BK51" s="378">
        <v>34950016.310000002</v>
      </c>
      <c r="BL51" s="378">
        <v>52834555</v>
      </c>
      <c r="BM51" s="378">
        <v>70826588.689999998</v>
      </c>
      <c r="BN51" s="379">
        <v>89009670.700000003</v>
      </c>
      <c r="BO51" s="377">
        <v>107341398.59999999</v>
      </c>
      <c r="BP51" s="375">
        <v>125787133.92999999</v>
      </c>
      <c r="BQ51" s="376">
        <v>144419593</v>
      </c>
      <c r="BR51" s="372">
        <v>163366878.77000001</v>
      </c>
      <c r="BS51" s="378">
        <v>182412007</v>
      </c>
      <c r="BT51" s="378">
        <v>201285388.72</v>
      </c>
      <c r="BU51" s="378">
        <v>221890962.56</v>
      </c>
      <c r="BV51" s="287">
        <v>407637000</v>
      </c>
    </row>
    <row r="52" spans="1:74">
      <c r="A52" s="296"/>
      <c r="B52" s="296"/>
      <c r="C52" s="354" t="s">
        <v>220</v>
      </c>
      <c r="D52" s="354"/>
      <c r="E52" s="354"/>
      <c r="F52" s="354"/>
      <c r="G52" s="354"/>
      <c r="H52" s="314"/>
      <c r="I52" s="354"/>
      <c r="J52" s="314"/>
      <c r="K52" s="314"/>
      <c r="L52" s="314"/>
      <c r="M52" s="314"/>
      <c r="N52" s="314"/>
      <c r="O52" s="60"/>
      <c r="P52" s="314">
        <v>0</v>
      </c>
      <c r="Q52" s="351"/>
      <c r="R52" s="314">
        <v>0</v>
      </c>
      <c r="S52" s="314">
        <v>0</v>
      </c>
      <c r="T52" s="314">
        <v>0</v>
      </c>
      <c r="U52" s="314"/>
      <c r="V52" s="314"/>
      <c r="W52" s="314"/>
      <c r="X52" s="314"/>
      <c r="Y52" s="314"/>
      <c r="Z52" s="314"/>
      <c r="AA52" s="314"/>
      <c r="AB52" s="352"/>
      <c r="AC52" s="352"/>
      <c r="AD52" s="352"/>
      <c r="AE52" s="352"/>
      <c r="AF52" s="314"/>
      <c r="AG52" s="314"/>
      <c r="AH52" s="314"/>
      <c r="AI52" s="314"/>
      <c r="AJ52" s="377">
        <v>0</v>
      </c>
      <c r="AK52" s="377">
        <v>0</v>
      </c>
      <c r="AL52" s="314"/>
      <c r="AM52" s="314"/>
      <c r="AN52" s="314"/>
      <c r="AO52" s="314"/>
      <c r="AP52" s="314"/>
      <c r="AQ52" s="314"/>
      <c r="AR52" s="314"/>
      <c r="AS52" s="314"/>
      <c r="AT52" s="314"/>
      <c r="AU52" s="314"/>
      <c r="AV52" s="314"/>
      <c r="AW52" s="308">
        <v>0</v>
      </c>
      <c r="AX52" s="308">
        <v>0</v>
      </c>
      <c r="AY52" s="308">
        <v>0</v>
      </c>
      <c r="AZ52" s="308">
        <v>0</v>
      </c>
      <c r="BA52" s="308">
        <v>0</v>
      </c>
      <c r="BB52" s="308">
        <v>0</v>
      </c>
      <c r="BC52" s="308">
        <v>0</v>
      </c>
      <c r="BD52" s="308">
        <v>0</v>
      </c>
      <c r="BE52" s="308">
        <v>0</v>
      </c>
      <c r="BF52" s="308">
        <v>0</v>
      </c>
      <c r="BG52" s="308">
        <v>0</v>
      </c>
      <c r="BH52" s="308">
        <v>0</v>
      </c>
      <c r="BI52" s="308">
        <v>0</v>
      </c>
      <c r="BJ52" s="378">
        <v>0</v>
      </c>
      <c r="BK52" s="378">
        <v>0</v>
      </c>
      <c r="BL52" s="378">
        <v>0</v>
      </c>
      <c r="BM52" s="378">
        <v>0</v>
      </c>
      <c r="BN52" s="379">
        <v>0</v>
      </c>
      <c r="BO52" s="377">
        <v>0</v>
      </c>
      <c r="BP52" s="380">
        <v>0</v>
      </c>
      <c r="BQ52" s="381">
        <v>0</v>
      </c>
      <c r="BR52" s="381">
        <v>0</v>
      </c>
      <c r="BS52" s="378">
        <v>0</v>
      </c>
      <c r="BT52" s="378">
        <v>0</v>
      </c>
      <c r="BU52" s="378">
        <v>0</v>
      </c>
    </row>
    <row r="53" spans="1:74">
      <c r="A53" s="296"/>
      <c r="B53" s="296"/>
      <c r="C53" s="350" t="s">
        <v>221</v>
      </c>
      <c r="D53" s="301"/>
      <c r="E53" s="301">
        <f>E42+E44+E47</f>
        <v>448265535</v>
      </c>
      <c r="F53" s="301">
        <f>F42+F44+F47</f>
        <v>786501119</v>
      </c>
      <c r="G53" s="301">
        <f>G42+G44+G47</f>
        <v>1157146374</v>
      </c>
      <c r="H53" s="301">
        <f>SUM(H42,H43,H44,H47)</f>
        <v>2146633872</v>
      </c>
      <c r="I53" s="301">
        <f>I42+I44+I47</f>
        <v>1823475310</v>
      </c>
      <c r="J53" s="301">
        <f>SUM(J42,J43,J44,J47)</f>
        <v>2096748856</v>
      </c>
      <c r="K53" s="301">
        <f>SUM(K42,K43,K44,K47)</f>
        <v>2181737305</v>
      </c>
      <c r="L53" s="301">
        <f>SUM(L42,L43,L44,L47)</f>
        <v>2270004537</v>
      </c>
      <c r="M53" s="301">
        <f>SUM(M42,M43,M44,M47)</f>
        <v>2310511131.1500001</v>
      </c>
      <c r="N53" s="301">
        <f>SUM(N42,N43,N44,N47)</f>
        <v>2339010771</v>
      </c>
      <c r="O53" s="367">
        <f>O42+O44+O47</f>
        <v>2403423565.4500003</v>
      </c>
      <c r="P53" s="301">
        <f>P42+P44+P47</f>
        <v>2439052075.3899999</v>
      </c>
      <c r="Q53" s="358">
        <f>Q42+Q43+Q44+Q47</f>
        <v>2451402306.25</v>
      </c>
      <c r="R53" s="301">
        <f t="shared" ref="R53:AV53" si="52">SUM(R42,R43,R44,R47)</f>
        <v>2498609946.4000001</v>
      </c>
      <c r="S53" s="301">
        <f t="shared" si="52"/>
        <v>2550353647.4299998</v>
      </c>
      <c r="T53" s="301">
        <f t="shared" si="52"/>
        <v>2502719940.6599998</v>
      </c>
      <c r="U53" s="301">
        <f t="shared" si="52"/>
        <v>2667043819</v>
      </c>
      <c r="V53" s="301">
        <f t="shared" si="52"/>
        <v>2888181195</v>
      </c>
      <c r="W53" s="301">
        <f t="shared" si="52"/>
        <v>3000084742.48</v>
      </c>
      <c r="X53" s="301">
        <f t="shared" si="52"/>
        <v>2951344688.5900002</v>
      </c>
      <c r="Y53" s="301">
        <f t="shared" si="52"/>
        <v>2977754306</v>
      </c>
      <c r="Z53" s="301">
        <f t="shared" si="52"/>
        <v>3017508580</v>
      </c>
      <c r="AA53" s="301">
        <f t="shared" si="52"/>
        <v>3074388429.54</v>
      </c>
      <c r="AB53" s="359">
        <f t="shared" si="52"/>
        <v>3136551858</v>
      </c>
      <c r="AC53" s="359">
        <f t="shared" si="52"/>
        <v>3160055067</v>
      </c>
      <c r="AD53" s="359">
        <f t="shared" si="52"/>
        <v>3294081300.8899999</v>
      </c>
      <c r="AE53" s="359">
        <f t="shared" si="52"/>
        <v>3278264958.0799999</v>
      </c>
      <c r="AF53" s="301">
        <f t="shared" si="52"/>
        <v>3323984101.7399998</v>
      </c>
      <c r="AG53" s="301">
        <f t="shared" si="52"/>
        <v>3343127728.25</v>
      </c>
      <c r="AH53" s="301">
        <f t="shared" si="52"/>
        <v>3342323038.1999998</v>
      </c>
      <c r="AI53" s="301">
        <f t="shared" si="52"/>
        <v>3521479551</v>
      </c>
      <c r="AJ53" s="301">
        <f t="shared" si="52"/>
        <v>3513107849.3499999</v>
      </c>
      <c r="AK53" s="301">
        <f t="shared" si="52"/>
        <v>3600176977</v>
      </c>
      <c r="AL53" s="301">
        <f t="shared" si="52"/>
        <v>3601617637</v>
      </c>
      <c r="AM53" s="301">
        <f t="shared" si="52"/>
        <v>3623242779</v>
      </c>
      <c r="AN53" s="301">
        <f t="shared" si="52"/>
        <v>3643577543.4400001</v>
      </c>
      <c r="AO53" s="301">
        <f t="shared" si="52"/>
        <v>3627383314</v>
      </c>
      <c r="AP53" s="301">
        <f t="shared" si="52"/>
        <v>0</v>
      </c>
      <c r="AQ53" s="301">
        <f t="shared" si="52"/>
        <v>3753383879.5599999</v>
      </c>
      <c r="AR53" s="301">
        <f t="shared" si="52"/>
        <v>3614166977.6599998</v>
      </c>
      <c r="AS53" s="301">
        <f t="shared" si="52"/>
        <v>3733965540.6900001</v>
      </c>
      <c r="AT53" s="301">
        <f t="shared" si="52"/>
        <v>3812930354.1999998</v>
      </c>
      <c r="AU53" s="301">
        <f t="shared" si="52"/>
        <v>3814635272.0500002</v>
      </c>
      <c r="AV53" s="301">
        <f t="shared" si="52"/>
        <v>3820205</v>
      </c>
      <c r="AW53" s="301">
        <f t="shared" ref="AW53:BI53" si="53">SUM(AW42,AW43,AW44,AW47)</f>
        <v>3685186039</v>
      </c>
      <c r="AX53" s="301">
        <f t="shared" si="53"/>
        <v>3813392576</v>
      </c>
      <c r="AY53" s="301">
        <f t="shared" si="53"/>
        <v>3863173186.4700003</v>
      </c>
      <c r="AZ53" s="301">
        <f t="shared" si="53"/>
        <v>3904950249.1900001</v>
      </c>
      <c r="BA53" s="301">
        <f t="shared" si="53"/>
        <v>4005256673</v>
      </c>
      <c r="BB53" s="301">
        <f t="shared" si="53"/>
        <v>4004471875.2799997</v>
      </c>
      <c r="BC53" s="301">
        <f t="shared" si="53"/>
        <v>4046940544.6999998</v>
      </c>
      <c r="BD53" s="301">
        <f t="shared" si="53"/>
        <v>4083065387</v>
      </c>
      <c r="BE53" s="301">
        <f t="shared" si="53"/>
        <v>4111792615.6100001</v>
      </c>
      <c r="BF53" s="301">
        <f t="shared" si="53"/>
        <v>4139448132.5799999</v>
      </c>
      <c r="BG53" s="301">
        <f t="shared" si="53"/>
        <v>4165409539.5100002</v>
      </c>
      <c r="BH53" s="301">
        <f t="shared" si="53"/>
        <v>4509719675</v>
      </c>
      <c r="BI53" s="301">
        <f t="shared" si="53"/>
        <v>4501570284.4726791</v>
      </c>
      <c r="BJ53" s="301">
        <f t="shared" ref="BJ53:BP53" si="54">SUM(BJ42,BJ43,BJ44,BJ47)</f>
        <v>4428142601.0299997</v>
      </c>
      <c r="BK53" s="301">
        <f t="shared" si="54"/>
        <v>4498559104.3099995</v>
      </c>
      <c r="BL53" s="301">
        <f t="shared" si="54"/>
        <v>4467079045</v>
      </c>
      <c r="BM53" s="301">
        <f t="shared" si="54"/>
        <v>4464994794.6900005</v>
      </c>
      <c r="BN53" s="301">
        <f t="shared" si="54"/>
        <v>4554989207.6999998</v>
      </c>
      <c r="BO53" s="301">
        <f t="shared" si="54"/>
        <v>4597719966.0599995</v>
      </c>
      <c r="BP53" s="368">
        <f t="shared" si="54"/>
        <v>4656137429.9300003</v>
      </c>
      <c r="BQ53" s="382">
        <f>SUM(BQ42,BQ43,BQ44,BQ47)</f>
        <v>4698030939</v>
      </c>
      <c r="BR53" s="382">
        <f>SUM(BR42,BR43,BR44,BR47)</f>
        <v>4888294946.7700005</v>
      </c>
      <c r="BS53" s="382">
        <f t="shared" ref="BS53:BU53" si="55">SUM(BS42,BS43,BS44,BS47)</f>
        <v>4925630100</v>
      </c>
      <c r="BT53" s="382">
        <f t="shared" si="55"/>
        <v>4979654278.7200003</v>
      </c>
      <c r="BU53" s="382">
        <f t="shared" si="55"/>
        <v>5098054556.5599995</v>
      </c>
      <c r="BV53" s="392">
        <f t="shared" ref="BV53" si="56">SUM(BV42,BV43,BV44,BV47)</f>
        <v>5098680000</v>
      </c>
    </row>
    <row r="54" spans="1:74">
      <c r="A54" s="296"/>
      <c r="B54" s="296"/>
      <c r="C54" s="350" t="s">
        <v>222</v>
      </c>
      <c r="D54" s="301"/>
      <c r="E54" s="301">
        <f>E40+E53</f>
        <v>5058769435</v>
      </c>
      <c r="F54" s="301">
        <f>F40+F53</f>
        <v>6706442026</v>
      </c>
      <c r="G54" s="301">
        <f>G40+G53</f>
        <v>8550627577</v>
      </c>
      <c r="H54" s="301">
        <f>SUM(H40,H53)</f>
        <v>7332748198</v>
      </c>
      <c r="I54" s="301">
        <f>I40+I53</f>
        <v>11227171154</v>
      </c>
      <c r="J54" s="301">
        <f>SUM(J40,J53)</f>
        <v>7573721018</v>
      </c>
      <c r="K54" s="301">
        <f>SUM(K40,K53)</f>
        <v>7618677059</v>
      </c>
      <c r="L54" s="301">
        <f>SUM(L40,L53)</f>
        <v>7274003367</v>
      </c>
      <c r="M54" s="301">
        <f>SUM(M40,M53)</f>
        <v>7314857665.5799999</v>
      </c>
      <c r="N54" s="301">
        <f>SUM(N40,N53)</f>
        <v>7511657980</v>
      </c>
      <c r="O54" s="367">
        <f>O40+O53</f>
        <v>7508584749.8500004</v>
      </c>
      <c r="P54" s="301">
        <f>P40+P53</f>
        <v>7628248552.8899994</v>
      </c>
      <c r="Q54" s="358">
        <f>Q40+Q53</f>
        <v>7757729648</v>
      </c>
      <c r="R54" s="301">
        <f t="shared" ref="R54:AV54" si="57">SUM(R40,R53)</f>
        <v>7902284798</v>
      </c>
      <c r="S54" s="301">
        <f t="shared" si="57"/>
        <v>7931436143</v>
      </c>
      <c r="T54" s="301">
        <f t="shared" si="57"/>
        <v>7961770314</v>
      </c>
      <c r="U54" s="301">
        <f t="shared" si="57"/>
        <v>8106353612</v>
      </c>
      <c r="V54" s="301">
        <f t="shared" si="57"/>
        <v>8715310698</v>
      </c>
      <c r="W54" s="301">
        <f t="shared" si="57"/>
        <v>8960270626</v>
      </c>
      <c r="X54" s="301">
        <f t="shared" si="57"/>
        <v>8958482401</v>
      </c>
      <c r="Y54" s="301">
        <f t="shared" si="57"/>
        <v>9048315222</v>
      </c>
      <c r="Z54" s="301">
        <f t="shared" si="57"/>
        <v>8549803719</v>
      </c>
      <c r="AA54" s="301">
        <f t="shared" si="57"/>
        <v>8553114064</v>
      </c>
      <c r="AB54" s="359">
        <f t="shared" si="57"/>
        <v>8706983540</v>
      </c>
      <c r="AC54" s="359">
        <f t="shared" si="57"/>
        <v>8797511157</v>
      </c>
      <c r="AD54" s="359">
        <f t="shared" si="57"/>
        <v>9052000792</v>
      </c>
      <c r="AE54" s="359">
        <f t="shared" si="57"/>
        <v>9167357277</v>
      </c>
      <c r="AF54" s="301">
        <f t="shared" si="57"/>
        <v>9326105301</v>
      </c>
      <c r="AG54" s="301">
        <f t="shared" si="57"/>
        <v>9160953769.0900002</v>
      </c>
      <c r="AH54" s="301">
        <f t="shared" si="57"/>
        <v>9369626551</v>
      </c>
      <c r="AI54" s="301">
        <f t="shared" si="57"/>
        <v>9484832591</v>
      </c>
      <c r="AJ54" s="301">
        <f t="shared" si="57"/>
        <v>9646643367</v>
      </c>
      <c r="AK54" s="301">
        <f t="shared" si="57"/>
        <v>9730683423</v>
      </c>
      <c r="AL54" s="301">
        <f t="shared" si="57"/>
        <v>9542932219</v>
      </c>
      <c r="AM54" s="301">
        <f t="shared" si="57"/>
        <v>9619919514</v>
      </c>
      <c r="AN54" s="301">
        <f t="shared" si="57"/>
        <v>9580075141.5900002</v>
      </c>
      <c r="AO54" s="301">
        <f t="shared" si="57"/>
        <v>9689311006</v>
      </c>
      <c r="AP54" s="301">
        <f t="shared" si="57"/>
        <v>0</v>
      </c>
      <c r="AQ54" s="301">
        <f t="shared" si="57"/>
        <v>9980306124</v>
      </c>
      <c r="AR54" s="301">
        <f t="shared" si="57"/>
        <v>10052241399.01</v>
      </c>
      <c r="AS54" s="301">
        <f t="shared" si="57"/>
        <v>10245579617</v>
      </c>
      <c r="AT54" s="301">
        <f t="shared" si="57"/>
        <v>10472913400</v>
      </c>
      <c r="AU54" s="301">
        <f t="shared" si="57"/>
        <v>10576303199</v>
      </c>
      <c r="AV54" s="301">
        <f t="shared" si="57"/>
        <v>10478130</v>
      </c>
      <c r="AW54" s="301">
        <f t="shared" ref="AW54:BH54" si="58">SUM(AW40,AW53)</f>
        <v>10470090526</v>
      </c>
      <c r="AX54" s="301">
        <f t="shared" si="58"/>
        <v>10293856423</v>
      </c>
      <c r="AY54" s="301">
        <f t="shared" si="58"/>
        <v>10144676279</v>
      </c>
      <c r="AZ54" s="301">
        <f t="shared" si="58"/>
        <v>10226973169</v>
      </c>
      <c r="BA54" s="301">
        <f t="shared" si="58"/>
        <v>10311228534</v>
      </c>
      <c r="BB54" s="301">
        <f t="shared" si="58"/>
        <v>10569365021</v>
      </c>
      <c r="BC54" s="301">
        <f t="shared" si="58"/>
        <v>10953152991</v>
      </c>
      <c r="BD54" s="301">
        <f t="shared" si="58"/>
        <v>10929271219</v>
      </c>
      <c r="BE54" s="301">
        <f t="shared" si="58"/>
        <v>11053223241</v>
      </c>
      <c r="BF54" s="301">
        <f t="shared" si="58"/>
        <v>11169914026</v>
      </c>
      <c r="BG54" s="301">
        <f t="shared" si="58"/>
        <v>11394649214</v>
      </c>
      <c r="BH54" s="301">
        <f t="shared" si="58"/>
        <v>11690659106.99</v>
      </c>
      <c r="BI54" s="301">
        <f>BI40+BI53</f>
        <v>11682509716.037964</v>
      </c>
      <c r="BJ54" s="301">
        <f t="shared" ref="BJ54:BP54" si="59">BJ40+BJ53</f>
        <v>11818135664</v>
      </c>
      <c r="BK54" s="301">
        <f t="shared" si="59"/>
        <v>11606972435</v>
      </c>
      <c r="BL54" s="301">
        <f t="shared" si="59"/>
        <v>11618406725</v>
      </c>
      <c r="BM54" s="301">
        <f t="shared" si="59"/>
        <v>11626795764</v>
      </c>
      <c r="BN54" s="301">
        <f t="shared" si="59"/>
        <v>11669577232</v>
      </c>
      <c r="BO54" s="301">
        <f t="shared" si="59"/>
        <v>11817464595</v>
      </c>
      <c r="BP54" s="301">
        <f t="shared" si="59"/>
        <v>12046853238</v>
      </c>
      <c r="BQ54" s="360">
        <f>BQ40+BQ53</f>
        <v>12073618396</v>
      </c>
      <c r="BR54" s="360">
        <f>BR40+BR53</f>
        <v>12247837428</v>
      </c>
      <c r="BS54" s="360">
        <f t="shared" ref="BS54:BV54" si="60">BS40+BS53</f>
        <v>12385705188</v>
      </c>
      <c r="BT54" s="360">
        <f t="shared" si="60"/>
        <v>12617427290</v>
      </c>
      <c r="BU54" s="360">
        <f t="shared" si="60"/>
        <v>12882187701</v>
      </c>
      <c r="BV54" s="388">
        <f t="shared" si="60"/>
        <v>12958022000</v>
      </c>
    </row>
    <row r="55" spans="1:74">
      <c r="D55" s="383">
        <f t="shared" ref="D55:J55" si="61">D54-D27</f>
        <v>0</v>
      </c>
      <c r="E55" s="383">
        <f t="shared" si="61"/>
        <v>-1</v>
      </c>
      <c r="F55" s="383">
        <f t="shared" si="61"/>
        <v>-1</v>
      </c>
      <c r="G55" s="383">
        <f t="shared" si="61"/>
        <v>0</v>
      </c>
      <c r="H55" s="383">
        <f t="shared" si="61"/>
        <v>0</v>
      </c>
      <c r="I55" s="383">
        <f t="shared" si="61"/>
        <v>0</v>
      </c>
      <c r="J55" s="383">
        <f t="shared" si="61"/>
        <v>0</v>
      </c>
      <c r="K55" s="383"/>
      <c r="L55" s="383"/>
      <c r="N55" s="287">
        <f t="shared" ref="N55:U55" si="62">N54-N27</f>
        <v>0</v>
      </c>
      <c r="O55" s="287">
        <f t="shared" si="62"/>
        <v>0</v>
      </c>
      <c r="P55" s="287">
        <f t="shared" si="62"/>
        <v>-0.1100006103515625</v>
      </c>
      <c r="Q55" s="287">
        <f t="shared" si="62"/>
        <v>0</v>
      </c>
      <c r="R55" s="287">
        <f t="shared" si="62"/>
        <v>0</v>
      </c>
      <c r="S55" s="287">
        <f t="shared" si="62"/>
        <v>0</v>
      </c>
      <c r="T55" s="287">
        <f t="shared" si="62"/>
        <v>0</v>
      </c>
      <c r="U55" s="287">
        <f t="shared" si="62"/>
        <v>-3</v>
      </c>
      <c r="V55" s="383">
        <f t="shared" ref="V55:AV55" si="63">V27-V54</f>
        <v>20</v>
      </c>
      <c r="W55" s="383">
        <f t="shared" si="63"/>
        <v>0</v>
      </c>
      <c r="X55" s="383">
        <f t="shared" si="63"/>
        <v>0</v>
      </c>
      <c r="Y55" s="383">
        <f t="shared" si="63"/>
        <v>0</v>
      </c>
      <c r="Z55" s="383">
        <f t="shared" si="63"/>
        <v>0</v>
      </c>
      <c r="AA55" s="383">
        <f t="shared" si="63"/>
        <v>0</v>
      </c>
      <c r="AB55" s="383">
        <f t="shared" si="63"/>
        <v>0</v>
      </c>
      <c r="AC55" s="383">
        <f t="shared" si="63"/>
        <v>0</v>
      </c>
      <c r="AD55" s="383">
        <f t="shared" si="63"/>
        <v>0</v>
      </c>
      <c r="AE55" s="383">
        <f t="shared" si="63"/>
        <v>0</v>
      </c>
      <c r="AF55" s="383">
        <f t="shared" si="63"/>
        <v>0</v>
      </c>
      <c r="AG55" s="383">
        <f t="shared" si="63"/>
        <v>-0.1399993896484375</v>
      </c>
      <c r="AH55" s="383">
        <f t="shared" si="63"/>
        <v>0</v>
      </c>
      <c r="AI55" s="383">
        <f t="shared" si="63"/>
        <v>0</v>
      </c>
      <c r="AJ55" s="383">
        <f t="shared" si="63"/>
        <v>0</v>
      </c>
      <c r="AK55" s="383">
        <f t="shared" si="63"/>
        <v>0</v>
      </c>
      <c r="AL55" s="383">
        <f t="shared" si="63"/>
        <v>0</v>
      </c>
      <c r="AM55" s="383">
        <f t="shared" si="63"/>
        <v>0</v>
      </c>
      <c r="AN55" s="383">
        <f t="shared" si="63"/>
        <v>-9.0000152587890625E-2</v>
      </c>
      <c r="AO55" s="383">
        <f t="shared" si="63"/>
        <v>0</v>
      </c>
      <c r="AP55" s="383">
        <f t="shared" si="63"/>
        <v>0</v>
      </c>
      <c r="AQ55" s="383">
        <f t="shared" si="63"/>
        <v>0</v>
      </c>
      <c r="AR55" s="383">
        <f t="shared" si="63"/>
        <v>-1.0100002288818359</v>
      </c>
      <c r="AS55" s="383">
        <f t="shared" si="63"/>
        <v>0</v>
      </c>
      <c r="AT55" s="383">
        <f t="shared" si="63"/>
        <v>0</v>
      </c>
      <c r="AU55" s="383">
        <f t="shared" si="63"/>
        <v>732</v>
      </c>
      <c r="AV55" s="383">
        <f t="shared" si="63"/>
        <v>0</v>
      </c>
      <c r="BI55" s="383">
        <f t="shared" ref="BI55:BR55" si="64">BI54-BI27</f>
        <v>-8149389.7306785583</v>
      </c>
      <c r="BJ55" s="383">
        <f t="shared" si="64"/>
        <v>0</v>
      </c>
      <c r="BK55" s="383">
        <f t="shared" si="64"/>
        <v>0</v>
      </c>
      <c r="BL55" s="383">
        <f t="shared" si="64"/>
        <v>0</v>
      </c>
      <c r="BM55" s="383">
        <f t="shared" si="64"/>
        <v>0</v>
      </c>
      <c r="BN55" s="383">
        <f t="shared" si="64"/>
        <v>0</v>
      </c>
      <c r="BO55" s="383">
        <f t="shared" si="64"/>
        <v>0</v>
      </c>
      <c r="BP55" s="384">
        <f t="shared" si="64"/>
        <v>0</v>
      </c>
      <c r="BQ55" s="384">
        <f t="shared" si="64"/>
        <v>0</v>
      </c>
      <c r="BR55" s="384">
        <f t="shared" si="64"/>
        <v>0</v>
      </c>
    </row>
    <row r="56" spans="1:74">
      <c r="BK56" s="385"/>
    </row>
    <row r="57" spans="1:74">
      <c r="BK57" s="383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U40"/>
  <sheetViews>
    <sheetView tabSelected="1" topLeftCell="A13" zoomScaleNormal="100" workbookViewId="0">
      <pane xSplit="2" topLeftCell="BT20" activePane="topRight" state="frozen"/>
      <selection pane="topRight" activeCell="BU41" sqref="BU41"/>
    </sheetView>
  </sheetViews>
  <sheetFormatPr defaultColWidth="9.140625" defaultRowHeight="14.45"/>
  <cols>
    <col min="1" max="1" width="9.140625" style="49"/>
    <col min="2" max="2" width="44.5703125" style="49" bestFit="1" customWidth="1"/>
    <col min="3" max="3" width="13.5703125" style="49" hidden="1" customWidth="1"/>
    <col min="4" max="5" width="18.7109375" style="49" hidden="1" customWidth="1"/>
    <col min="6" max="7" width="20.42578125" style="49" hidden="1" customWidth="1"/>
    <col min="8" max="11" width="18.7109375" style="49" hidden="1" customWidth="1"/>
    <col min="12" max="13" width="20.42578125" style="49" hidden="1" customWidth="1"/>
    <col min="14" max="14" width="18.42578125" style="49" hidden="1" customWidth="1"/>
    <col min="15" max="16" width="17.85546875" style="49" hidden="1" customWidth="1"/>
    <col min="17" max="19" width="19.140625" style="49" hidden="1" customWidth="1"/>
    <col min="20" max="21" width="19.140625" style="49" bestFit="1" customWidth="1"/>
    <col min="22" max="22" width="17.28515625" style="49" hidden="1" customWidth="1"/>
    <col min="23" max="25" width="17.42578125" style="49" hidden="1" customWidth="1"/>
    <col min="26" max="26" width="18" style="49" hidden="1" customWidth="1"/>
    <col min="27" max="28" width="16.7109375" style="49" hidden="1" customWidth="1"/>
    <col min="29" max="29" width="16.28515625" style="49" hidden="1" customWidth="1"/>
    <col min="30" max="33" width="18" style="49" hidden="1" customWidth="1"/>
    <col min="34" max="34" width="18" style="49" bestFit="1" customWidth="1"/>
    <col min="35" max="37" width="18" style="49" hidden="1" customWidth="1"/>
    <col min="38" max="40" width="16.7109375" style="49" hidden="1" customWidth="1"/>
    <col min="41" max="41" width="5.85546875" style="49" hidden="1" customWidth="1"/>
    <col min="42" max="42" width="16.7109375" style="49" hidden="1" customWidth="1"/>
    <col min="43" max="45" width="18" style="49" hidden="1" customWidth="1"/>
    <col min="46" max="46" width="18" style="49" bestFit="1" customWidth="1"/>
    <col min="47" max="47" width="16.7109375" style="49" customWidth="1"/>
    <col min="48" max="49" width="16.28515625" style="49" hidden="1" customWidth="1"/>
    <col min="50" max="50" width="16.28515625" style="49" bestFit="1" customWidth="1"/>
    <col min="51" max="51" width="16.28515625" style="49" hidden="1" customWidth="1"/>
    <col min="52" max="52" width="16.7109375" style="49" hidden="1" customWidth="1"/>
    <col min="53" max="53" width="16.7109375" style="49" bestFit="1" customWidth="1"/>
    <col min="54" max="54" width="16.7109375" style="49" hidden="1" customWidth="1"/>
    <col min="55" max="55" width="18" style="49" hidden="1" customWidth="1"/>
    <col min="56" max="56" width="18" style="49" bestFit="1" customWidth="1"/>
    <col min="57" max="58" width="18" style="49" hidden="1" customWidth="1"/>
    <col min="59" max="59" width="18" style="49" bestFit="1" customWidth="1"/>
    <col min="60" max="60" width="19.28515625" style="49" customWidth="1"/>
    <col min="61" max="61" width="17" style="49" customWidth="1"/>
    <col min="62" max="62" width="16" style="49" customWidth="1"/>
    <col min="63" max="63" width="17.42578125" style="49" customWidth="1"/>
    <col min="64" max="66" width="16.7109375" style="49" bestFit="1" customWidth="1"/>
    <col min="67" max="67" width="18.140625" style="49" customWidth="1"/>
    <col min="68" max="68" width="18.42578125" style="49" customWidth="1"/>
    <col min="69" max="72" width="18" style="49" bestFit="1" customWidth="1"/>
    <col min="73" max="73" width="18.42578125" style="49" bestFit="1" customWidth="1"/>
    <col min="74" max="16384" width="9.140625" style="49"/>
  </cols>
  <sheetData>
    <row r="2" spans="2:73">
      <c r="C2" s="48" t="s">
        <v>169</v>
      </c>
      <c r="D2" s="48" t="s">
        <v>170</v>
      </c>
      <c r="E2" s="48" t="s">
        <v>171</v>
      </c>
      <c r="F2" s="48" t="s">
        <v>172</v>
      </c>
      <c r="G2" s="48" t="s">
        <v>173</v>
      </c>
      <c r="H2" s="65">
        <v>42736</v>
      </c>
      <c r="I2" s="65">
        <v>42768</v>
      </c>
      <c r="J2" s="65">
        <v>42800</v>
      </c>
      <c r="K2" s="65">
        <v>42832</v>
      </c>
      <c r="L2" s="65">
        <v>42864</v>
      </c>
      <c r="M2" s="65">
        <v>42896</v>
      </c>
      <c r="N2" s="65">
        <v>42928</v>
      </c>
      <c r="O2" s="65">
        <v>42960</v>
      </c>
      <c r="P2" s="65">
        <v>42992</v>
      </c>
      <c r="Q2" s="65">
        <v>43024</v>
      </c>
      <c r="R2" s="65">
        <v>43056</v>
      </c>
      <c r="S2" s="65">
        <v>43088</v>
      </c>
      <c r="T2" s="65" t="s">
        <v>223</v>
      </c>
      <c r="U2" s="126" t="s">
        <v>3</v>
      </c>
      <c r="V2" s="126">
        <v>43466</v>
      </c>
      <c r="W2" s="126">
        <v>43497</v>
      </c>
      <c r="X2" s="126">
        <v>43525</v>
      </c>
      <c r="Y2" s="126">
        <v>43556</v>
      </c>
      <c r="Z2" s="126">
        <v>43586</v>
      </c>
      <c r="AA2" s="126">
        <v>43617</v>
      </c>
      <c r="AB2" s="126">
        <v>43647</v>
      </c>
      <c r="AC2" s="126">
        <v>43678</v>
      </c>
      <c r="AD2" s="126">
        <v>43709</v>
      </c>
      <c r="AE2" s="126">
        <v>43739</v>
      </c>
      <c r="AF2" s="126">
        <v>43770</v>
      </c>
      <c r="AG2" s="126">
        <v>43800</v>
      </c>
      <c r="AH2" s="126" t="s">
        <v>4</v>
      </c>
      <c r="AI2" s="126">
        <v>43831</v>
      </c>
      <c r="AJ2" s="126">
        <v>43862</v>
      </c>
      <c r="AK2" s="126">
        <v>43891</v>
      </c>
      <c r="AL2" s="126">
        <v>43922</v>
      </c>
      <c r="AM2" s="126">
        <v>43952</v>
      </c>
      <c r="AN2" s="126">
        <v>43983</v>
      </c>
      <c r="AO2" s="126">
        <v>44013</v>
      </c>
      <c r="AP2" s="126">
        <v>44044</v>
      </c>
      <c r="AQ2" s="126">
        <v>44075</v>
      </c>
      <c r="AR2" s="126">
        <v>44105</v>
      </c>
      <c r="AS2" s="126">
        <v>44136</v>
      </c>
      <c r="AT2" s="126">
        <v>44166</v>
      </c>
      <c r="AU2" s="126" t="s">
        <v>5</v>
      </c>
      <c r="AV2" s="126">
        <v>44197</v>
      </c>
      <c r="AW2" s="126">
        <v>44228</v>
      </c>
      <c r="AX2" s="126">
        <v>44256</v>
      </c>
      <c r="AY2" s="126">
        <v>44287</v>
      </c>
      <c r="AZ2" s="126">
        <v>44317</v>
      </c>
      <c r="BA2" s="126">
        <v>44348</v>
      </c>
      <c r="BB2" s="126">
        <v>44378</v>
      </c>
      <c r="BC2" s="126">
        <v>44409</v>
      </c>
      <c r="BD2" s="126">
        <v>44440</v>
      </c>
      <c r="BE2" s="126">
        <v>44470</v>
      </c>
      <c r="BF2" s="126">
        <v>44501</v>
      </c>
      <c r="BG2" s="126">
        <v>44531</v>
      </c>
      <c r="BH2" s="126" t="s">
        <v>6</v>
      </c>
      <c r="BI2" s="199">
        <v>44562</v>
      </c>
      <c r="BJ2" s="199">
        <v>44593</v>
      </c>
      <c r="BK2" s="199">
        <v>44621</v>
      </c>
      <c r="BL2" s="199">
        <v>44652</v>
      </c>
      <c r="BM2" s="199">
        <v>44682</v>
      </c>
      <c r="BN2" s="199">
        <v>44713</v>
      </c>
      <c r="BO2" s="199">
        <v>44743</v>
      </c>
      <c r="BP2" s="279">
        <v>44774</v>
      </c>
      <c r="BQ2" s="271">
        <v>44805</v>
      </c>
      <c r="BR2" s="279">
        <v>44835</v>
      </c>
      <c r="BS2" s="271">
        <v>44866</v>
      </c>
      <c r="BT2" s="279">
        <v>44896</v>
      </c>
    </row>
    <row r="3" spans="2:73">
      <c r="B3" s="52" t="s">
        <v>224</v>
      </c>
      <c r="C3" s="53"/>
      <c r="D3" s="53">
        <f t="shared" ref="D3:AU3" si="0">D4+D7</f>
        <v>676832181</v>
      </c>
      <c r="E3" s="53">
        <f t="shared" si="0"/>
        <v>946830578</v>
      </c>
      <c r="F3" s="53">
        <f t="shared" si="0"/>
        <v>1227499577</v>
      </c>
      <c r="G3" s="66">
        <f t="shared" si="0"/>
        <v>1143452459</v>
      </c>
      <c r="H3" s="53">
        <f t="shared" si="0"/>
        <v>193744293</v>
      </c>
      <c r="I3" s="66">
        <f t="shared" si="0"/>
        <v>203564866</v>
      </c>
      <c r="J3" s="66">
        <f t="shared" si="0"/>
        <v>303028686</v>
      </c>
      <c r="K3" s="66">
        <f t="shared" si="0"/>
        <v>430167093</v>
      </c>
      <c r="L3" s="66">
        <f t="shared" si="0"/>
        <v>539375617</v>
      </c>
      <c r="M3" s="66">
        <f t="shared" si="0"/>
        <v>653880797</v>
      </c>
      <c r="N3" s="66">
        <f t="shared" si="0"/>
        <v>759091194.87</v>
      </c>
      <c r="O3" s="66">
        <f t="shared" si="0"/>
        <v>874261137</v>
      </c>
      <c r="P3" s="66">
        <f t="shared" si="0"/>
        <v>989073055.5</v>
      </c>
      <c r="Q3" s="66">
        <f t="shared" si="0"/>
        <v>1101556947</v>
      </c>
      <c r="R3" s="66">
        <f t="shared" si="0"/>
        <v>1221221158</v>
      </c>
      <c r="S3" s="66">
        <f t="shared" si="0"/>
        <v>1325641742</v>
      </c>
      <c r="T3" s="66">
        <f t="shared" si="0"/>
        <v>1341798042</v>
      </c>
      <c r="U3" s="66">
        <f t="shared" si="0"/>
        <v>1367622498</v>
      </c>
      <c r="V3" s="66">
        <f t="shared" si="0"/>
        <v>123283534</v>
      </c>
      <c r="W3" s="66">
        <f t="shared" si="0"/>
        <v>237196091</v>
      </c>
      <c r="X3" s="66">
        <f t="shared" si="0"/>
        <v>357021027</v>
      </c>
      <c r="Y3" s="66">
        <f t="shared" si="0"/>
        <v>473117791</v>
      </c>
      <c r="Z3" s="66">
        <f t="shared" si="0"/>
        <v>604661545</v>
      </c>
      <c r="AA3" s="128">
        <f t="shared" si="0"/>
        <v>741828590</v>
      </c>
      <c r="AB3" s="128">
        <f t="shared" si="0"/>
        <v>859097512</v>
      </c>
      <c r="AC3" s="128">
        <f t="shared" si="0"/>
        <v>978100019</v>
      </c>
      <c r="AD3" s="128">
        <f t="shared" si="0"/>
        <v>1084161888</v>
      </c>
      <c r="AE3" s="66">
        <f t="shared" si="0"/>
        <v>1201481147</v>
      </c>
      <c r="AF3" s="66">
        <f t="shared" si="0"/>
        <v>1297434805</v>
      </c>
      <c r="AG3" s="66">
        <f t="shared" si="0"/>
        <v>1408820812</v>
      </c>
      <c r="AH3" s="66">
        <f t="shared" si="0"/>
        <v>1427100855</v>
      </c>
      <c r="AI3" s="66">
        <f t="shared" si="0"/>
        <v>171050968</v>
      </c>
      <c r="AJ3" s="66">
        <f t="shared" si="0"/>
        <v>338271550</v>
      </c>
      <c r="AK3" s="66">
        <f t="shared" si="0"/>
        <v>366641214</v>
      </c>
      <c r="AL3" s="66">
        <f t="shared" si="0"/>
        <v>507151383</v>
      </c>
      <c r="AM3" s="66">
        <f t="shared" si="0"/>
        <v>605819049</v>
      </c>
      <c r="AN3" s="66">
        <f t="shared" si="0"/>
        <v>696284730</v>
      </c>
      <c r="AO3" s="66">
        <f t="shared" si="0"/>
        <v>0</v>
      </c>
      <c r="AP3" s="66">
        <f t="shared" si="0"/>
        <v>911874175</v>
      </c>
      <c r="AQ3" s="66">
        <f t="shared" si="0"/>
        <v>1014379689</v>
      </c>
      <c r="AR3" s="66">
        <f t="shared" si="0"/>
        <v>1139994451</v>
      </c>
      <c r="AS3" s="66">
        <f t="shared" si="0"/>
        <v>1274709268</v>
      </c>
      <c r="AT3" s="66">
        <f t="shared" si="0"/>
        <v>1410031215</v>
      </c>
      <c r="AU3" s="66">
        <f t="shared" si="0"/>
        <v>1410031</v>
      </c>
      <c r="AV3" s="66">
        <f t="shared" ref="AV3:BH3" si="1">AV4+AV7</f>
        <v>106729142</v>
      </c>
      <c r="AW3" s="66">
        <f t="shared" si="1"/>
        <v>228058413</v>
      </c>
      <c r="AX3" s="66">
        <f t="shared" si="1"/>
        <v>346635060</v>
      </c>
      <c r="AY3" s="66">
        <f t="shared" si="1"/>
        <v>496712121</v>
      </c>
      <c r="AZ3" s="66">
        <f t="shared" si="1"/>
        <v>613559924</v>
      </c>
      <c r="BA3" s="66">
        <f t="shared" si="1"/>
        <v>779737665</v>
      </c>
      <c r="BB3" s="66">
        <f t="shared" si="1"/>
        <v>906104458</v>
      </c>
      <c r="BC3" s="66">
        <f t="shared" si="1"/>
        <v>1025696532</v>
      </c>
      <c r="BD3" s="66">
        <f t="shared" si="1"/>
        <v>1147077065</v>
      </c>
      <c r="BE3" s="66">
        <f t="shared" si="1"/>
        <v>1267557855</v>
      </c>
      <c r="BF3" s="66">
        <f t="shared" si="1"/>
        <v>1396077765</v>
      </c>
      <c r="BG3" s="66">
        <f t="shared" si="1"/>
        <v>1658260637</v>
      </c>
      <c r="BH3" s="66">
        <f t="shared" si="1"/>
        <v>1658260636.7</v>
      </c>
      <c r="BI3" s="66">
        <f t="shared" ref="BI3:BO3" si="2">BI4+BI7</f>
        <v>112835687</v>
      </c>
      <c r="BJ3" s="66">
        <f t="shared" si="2"/>
        <v>272774648</v>
      </c>
      <c r="BK3" s="66">
        <f t="shared" si="2"/>
        <v>394930252</v>
      </c>
      <c r="BL3" s="66">
        <f t="shared" si="2"/>
        <v>518582284</v>
      </c>
      <c r="BM3" s="66">
        <f t="shared" si="2"/>
        <v>666892568</v>
      </c>
      <c r="BN3" s="66">
        <f t="shared" si="2"/>
        <v>826366726</v>
      </c>
      <c r="BO3" s="66">
        <f t="shared" si="2"/>
        <v>981079261</v>
      </c>
      <c r="BP3" s="200">
        <f>BP4+BP7</f>
        <v>1118405473</v>
      </c>
      <c r="BQ3" s="272">
        <f>BQ4+BQ7</f>
        <v>1286235251</v>
      </c>
      <c r="BR3" s="272">
        <f t="shared" ref="BR3:BU3" si="3">BR4+BR7</f>
        <v>1413100256</v>
      </c>
      <c r="BS3" s="272">
        <f t="shared" si="3"/>
        <v>1559440914</v>
      </c>
      <c r="BT3" s="272">
        <f t="shared" si="3"/>
        <v>1763186880</v>
      </c>
      <c r="BU3" s="272">
        <f t="shared" si="3"/>
        <v>1763187000</v>
      </c>
    </row>
    <row r="4" spans="2:73">
      <c r="B4" s="52" t="s">
        <v>225</v>
      </c>
      <c r="C4" s="53"/>
      <c r="D4" s="53">
        <f>D5+D6</f>
        <v>610694891</v>
      </c>
      <c r="E4" s="53">
        <f>E5+E6</f>
        <v>789564218</v>
      </c>
      <c r="F4" s="53">
        <f>F5+F6</f>
        <v>1126129366</v>
      </c>
      <c r="G4" s="66">
        <f>SUM(G5:G6)</f>
        <v>1046558453</v>
      </c>
      <c r="H4" s="53">
        <f>H5+H6</f>
        <v>181126619</v>
      </c>
      <c r="I4" s="66">
        <f t="shared" ref="I4:O4" si="4">SUM(I5:I6)</f>
        <v>197803153</v>
      </c>
      <c r="J4" s="66">
        <f t="shared" si="4"/>
        <v>293247468</v>
      </c>
      <c r="K4" s="66">
        <f t="shared" si="4"/>
        <v>407702281</v>
      </c>
      <c r="L4" s="66">
        <f t="shared" si="4"/>
        <v>505905780</v>
      </c>
      <c r="M4" s="66">
        <f t="shared" si="4"/>
        <v>602538848</v>
      </c>
      <c r="N4" s="66">
        <f t="shared" si="4"/>
        <v>701969919.22000003</v>
      </c>
      <c r="O4" s="66">
        <f t="shared" si="4"/>
        <v>808241658</v>
      </c>
      <c r="P4" s="66">
        <f t="shared" ref="P4:U4" si="5">SUM(P5:P6)</f>
        <v>919325902</v>
      </c>
      <c r="Q4" s="66">
        <f t="shared" si="5"/>
        <v>1023149445</v>
      </c>
      <c r="R4" s="66">
        <f t="shared" si="5"/>
        <v>1132720067</v>
      </c>
      <c r="S4" s="66">
        <f t="shared" si="5"/>
        <v>1234367545</v>
      </c>
      <c r="T4" s="66">
        <f t="shared" si="5"/>
        <v>1239848635</v>
      </c>
      <c r="U4" s="66">
        <f t="shared" si="5"/>
        <v>1246870335</v>
      </c>
      <c r="V4" s="66">
        <f t="shared" ref="V4:AC4" si="6">SUM(V5:V6)</f>
        <v>122860593</v>
      </c>
      <c r="W4" s="66">
        <f t="shared" si="6"/>
        <v>232287982</v>
      </c>
      <c r="X4" s="66">
        <f t="shared" si="6"/>
        <v>340671980</v>
      </c>
      <c r="Y4" s="66">
        <f t="shared" si="6"/>
        <v>443382974</v>
      </c>
      <c r="Z4" s="66">
        <f t="shared" si="6"/>
        <v>554085479</v>
      </c>
      <c r="AA4" s="128">
        <f t="shared" si="6"/>
        <v>662143046</v>
      </c>
      <c r="AB4" s="128">
        <f t="shared" si="6"/>
        <v>768521758</v>
      </c>
      <c r="AC4" s="128">
        <f t="shared" si="6"/>
        <v>878461202</v>
      </c>
      <c r="AD4" s="128">
        <f t="shared" ref="AD4:AK4" si="7">SUM(AD5:AD6)</f>
        <v>973884971</v>
      </c>
      <c r="AE4" s="66">
        <f t="shared" si="7"/>
        <v>1083286191</v>
      </c>
      <c r="AF4" s="66">
        <f t="shared" si="7"/>
        <v>1179030605</v>
      </c>
      <c r="AG4" s="66">
        <f t="shared" si="7"/>
        <v>1266850737</v>
      </c>
      <c r="AH4" s="66">
        <f t="shared" si="7"/>
        <v>1268904530</v>
      </c>
      <c r="AI4" s="66">
        <f t="shared" si="7"/>
        <v>164292394</v>
      </c>
      <c r="AJ4" s="66">
        <f t="shared" si="7"/>
        <v>324453939</v>
      </c>
      <c r="AK4" s="66">
        <f t="shared" si="7"/>
        <v>337777581</v>
      </c>
      <c r="AL4" s="66">
        <f t="shared" ref="AL4:AU4" si="8">SUM(AL5:AL6)</f>
        <v>426420881</v>
      </c>
      <c r="AM4" s="66">
        <f t="shared" si="8"/>
        <v>516263765</v>
      </c>
      <c r="AN4" s="66">
        <f t="shared" si="8"/>
        <v>604741119</v>
      </c>
      <c r="AO4" s="66">
        <f t="shared" si="8"/>
        <v>0</v>
      </c>
      <c r="AP4" s="66">
        <f t="shared" si="8"/>
        <v>803140139</v>
      </c>
      <c r="AQ4" s="66">
        <f t="shared" si="8"/>
        <v>900812162</v>
      </c>
      <c r="AR4" s="66">
        <f t="shared" si="8"/>
        <v>1000975635</v>
      </c>
      <c r="AS4" s="66">
        <f t="shared" si="8"/>
        <v>1105609467</v>
      </c>
      <c r="AT4" s="66">
        <f t="shared" si="8"/>
        <v>1217860781</v>
      </c>
      <c r="AU4" s="66">
        <f t="shared" si="8"/>
        <v>1217861</v>
      </c>
      <c r="AV4" s="66">
        <f t="shared" ref="AV4:BG4" si="9">SUM(AV5:AV6)</f>
        <v>98795883</v>
      </c>
      <c r="AW4" s="66">
        <f t="shared" si="9"/>
        <v>210901581</v>
      </c>
      <c r="AX4" s="66">
        <f t="shared" si="9"/>
        <v>316261645</v>
      </c>
      <c r="AY4" s="66">
        <f t="shared" si="9"/>
        <v>423936541</v>
      </c>
      <c r="AZ4" s="66">
        <f t="shared" si="9"/>
        <v>532784944</v>
      </c>
      <c r="BA4" s="66">
        <f t="shared" si="9"/>
        <v>640048000</v>
      </c>
      <c r="BB4" s="66">
        <f t="shared" si="9"/>
        <v>760281663</v>
      </c>
      <c r="BC4" s="66">
        <f t="shared" si="9"/>
        <v>863048218</v>
      </c>
      <c r="BD4" s="66">
        <f t="shared" si="9"/>
        <v>976419816</v>
      </c>
      <c r="BE4" s="66">
        <f t="shared" si="9"/>
        <v>1089934217</v>
      </c>
      <c r="BF4" s="66">
        <f t="shared" si="9"/>
        <v>1205697536</v>
      </c>
      <c r="BG4" s="66">
        <f t="shared" si="9"/>
        <v>1313648179</v>
      </c>
      <c r="BH4" s="66">
        <f>SUM(BH5:BH6)</f>
        <v>1313648179.02</v>
      </c>
      <c r="BI4" s="66">
        <f t="shared" ref="BI4:BO4" si="10">SUM(BI5:BI6)</f>
        <v>106476900</v>
      </c>
      <c r="BJ4" s="66">
        <f t="shared" si="10"/>
        <v>247096178</v>
      </c>
      <c r="BK4" s="66">
        <f t="shared" si="10"/>
        <v>361377808</v>
      </c>
      <c r="BL4" s="66">
        <f t="shared" si="10"/>
        <v>477295869</v>
      </c>
      <c r="BM4" s="66">
        <f t="shared" si="10"/>
        <v>593072534</v>
      </c>
      <c r="BN4" s="66">
        <f t="shared" si="10"/>
        <v>701560174</v>
      </c>
      <c r="BO4" s="66">
        <f t="shared" si="10"/>
        <v>814798007</v>
      </c>
      <c r="BP4" s="200">
        <f>SUM(BP5:BP6)</f>
        <v>941955189</v>
      </c>
      <c r="BQ4" s="272">
        <f>SUM(BQ5:BQ6)</f>
        <v>1059712465</v>
      </c>
      <c r="BR4" s="272">
        <f t="shared" ref="BR4:BU4" si="11">SUM(BR5:BR6)</f>
        <v>1177275594</v>
      </c>
      <c r="BS4" s="272">
        <f t="shared" si="11"/>
        <v>1306005477</v>
      </c>
      <c r="BT4" s="272">
        <f t="shared" si="11"/>
        <v>1424256218</v>
      </c>
      <c r="BU4" s="272">
        <f t="shared" si="11"/>
        <v>1424256000</v>
      </c>
    </row>
    <row r="5" spans="2:73">
      <c r="B5" s="54" t="s">
        <v>226</v>
      </c>
      <c r="C5" s="55"/>
      <c r="D5" s="50">
        <v>610694891</v>
      </c>
      <c r="E5" s="50">
        <v>789564218</v>
      </c>
      <c r="F5" s="50">
        <v>1126129366</v>
      </c>
      <c r="G5" s="67">
        <v>1046558453</v>
      </c>
      <c r="H5" s="46">
        <v>178321845</v>
      </c>
      <c r="I5" s="67">
        <v>195596456</v>
      </c>
      <c r="J5" s="67">
        <v>290110440</v>
      </c>
      <c r="K5" s="67">
        <v>403571533</v>
      </c>
      <c r="L5" s="67">
        <v>500875916</v>
      </c>
      <c r="M5" s="67">
        <v>596698871</v>
      </c>
      <c r="N5" s="67">
        <v>695244475.88999999</v>
      </c>
      <c r="O5" s="67">
        <v>800190668</v>
      </c>
      <c r="P5" s="67">
        <v>910539022</v>
      </c>
      <c r="Q5" s="67">
        <v>1014161815</v>
      </c>
      <c r="R5" s="67">
        <v>1122793037</v>
      </c>
      <c r="S5" s="67">
        <v>1223575415</v>
      </c>
      <c r="T5" s="67">
        <v>1239848635</v>
      </c>
      <c r="U5" s="270">
        <v>1246870335</v>
      </c>
      <c r="V5" s="67">
        <v>116892118</v>
      </c>
      <c r="W5" s="67">
        <v>226319507</v>
      </c>
      <c r="X5" s="67">
        <v>338628579</v>
      </c>
      <c r="Y5" s="67">
        <v>441339573</v>
      </c>
      <c r="Z5" s="67">
        <v>552042078</v>
      </c>
      <c r="AA5" s="67">
        <v>659271924</v>
      </c>
      <c r="AB5" s="67">
        <v>765650636</v>
      </c>
      <c r="AC5" s="67">
        <v>874103598</v>
      </c>
      <c r="AD5" s="67">
        <v>969262585</v>
      </c>
      <c r="AE5" s="67">
        <v>1078663805</v>
      </c>
      <c r="AF5" s="67">
        <v>1174408219</v>
      </c>
      <c r="AG5" s="67">
        <v>1262228351</v>
      </c>
      <c r="AH5" s="67">
        <f>1268904530</f>
        <v>1268904530</v>
      </c>
      <c r="AI5" s="203">
        <v>161567247</v>
      </c>
      <c r="AJ5" s="203">
        <v>318027791</v>
      </c>
      <c r="AK5" s="203">
        <v>337777581</v>
      </c>
      <c r="AL5" s="203">
        <v>426420881</v>
      </c>
      <c r="AM5" s="203">
        <v>516263765</v>
      </c>
      <c r="AN5" s="203">
        <v>604741119</v>
      </c>
      <c r="AO5" s="203"/>
      <c r="AP5" s="203">
        <v>803140139</v>
      </c>
      <c r="AQ5" s="203">
        <v>900812162</v>
      </c>
      <c r="AR5" s="203">
        <v>1000975635</v>
      </c>
      <c r="AS5" s="203">
        <v>1105609467</v>
      </c>
      <c r="AT5" s="203">
        <v>1217860781</v>
      </c>
      <c r="AU5" s="67">
        <f>573908+122403+521550</f>
        <v>1217861</v>
      </c>
      <c r="AV5" s="49">
        <v>98795883</v>
      </c>
      <c r="AW5" s="49">
        <v>210901581</v>
      </c>
      <c r="AX5" s="49">
        <v>316261645</v>
      </c>
      <c r="AY5" s="49">
        <v>423936541</v>
      </c>
      <c r="AZ5" s="49">
        <v>532784944</v>
      </c>
      <c r="BA5" s="49">
        <v>640048000</v>
      </c>
      <c r="BB5" s="49">
        <v>760281663</v>
      </c>
      <c r="BC5" s="49">
        <v>863048218</v>
      </c>
      <c r="BD5" s="49">
        <v>976419816</v>
      </c>
      <c r="BE5" s="49">
        <v>1089934217</v>
      </c>
      <c r="BF5" s="49">
        <v>1205697536</v>
      </c>
      <c r="BG5" s="46">
        <v>1313648179</v>
      </c>
      <c r="BH5" s="46">
        <v>1313648179.02</v>
      </c>
      <c r="BI5" s="203">
        <v>106476900</v>
      </c>
      <c r="BJ5" s="203">
        <v>247096178</v>
      </c>
      <c r="BK5" s="203">
        <v>361377808</v>
      </c>
      <c r="BL5" s="203">
        <v>477295869</v>
      </c>
      <c r="BM5" s="203">
        <v>593072534</v>
      </c>
      <c r="BN5" s="203">
        <v>701560174</v>
      </c>
      <c r="BO5" s="204">
        <v>814798007</v>
      </c>
      <c r="BP5" s="280">
        <v>941955189</v>
      </c>
      <c r="BQ5" s="273">
        <v>1059712465</v>
      </c>
      <c r="BR5" s="203">
        <v>1177275594</v>
      </c>
      <c r="BS5" s="203">
        <v>1306005477</v>
      </c>
      <c r="BT5" s="203">
        <v>1424256218</v>
      </c>
      <c r="BU5" s="49">
        <v>1424256000</v>
      </c>
    </row>
    <row r="6" spans="2:73">
      <c r="B6" s="54" t="s">
        <v>227</v>
      </c>
      <c r="C6" s="56"/>
      <c r="D6" s="50">
        <v>0</v>
      </c>
      <c r="E6" s="50"/>
      <c r="F6" s="50"/>
      <c r="G6" s="68"/>
      <c r="H6" s="46">
        <v>2804774</v>
      </c>
      <c r="I6" s="68">
        <v>2206697</v>
      </c>
      <c r="J6" s="68">
        <v>3137028</v>
      </c>
      <c r="K6" s="68">
        <v>4130748</v>
      </c>
      <c r="L6" s="68">
        <v>5029864</v>
      </c>
      <c r="M6" s="68">
        <v>5839977</v>
      </c>
      <c r="N6" s="68">
        <v>6725443.3300000001</v>
      </c>
      <c r="O6" s="68">
        <v>8050990</v>
      </c>
      <c r="P6" s="68">
        <v>8786880</v>
      </c>
      <c r="Q6" s="68">
        <v>8987630</v>
      </c>
      <c r="R6" s="68">
        <v>9927030</v>
      </c>
      <c r="S6" s="68">
        <v>10792130</v>
      </c>
      <c r="T6" s="68"/>
      <c r="U6" s="270"/>
      <c r="V6" s="68">
        <v>5968475</v>
      </c>
      <c r="W6" s="68">
        <v>5968475</v>
      </c>
      <c r="X6" s="68">
        <v>2043401</v>
      </c>
      <c r="Y6" s="68">
        <v>2043401</v>
      </c>
      <c r="Z6" s="68">
        <v>2043401</v>
      </c>
      <c r="AA6" s="68">
        <v>2871122</v>
      </c>
      <c r="AB6" s="68">
        <v>2871122</v>
      </c>
      <c r="AC6" s="68">
        <v>4357604</v>
      </c>
      <c r="AD6" s="68">
        <v>4622386</v>
      </c>
      <c r="AE6" s="68">
        <v>4622386</v>
      </c>
      <c r="AF6" s="68">
        <v>4622386</v>
      </c>
      <c r="AG6" s="68">
        <v>4622386</v>
      </c>
      <c r="AH6" s="68"/>
      <c r="AI6" s="203">
        <v>2725147</v>
      </c>
      <c r="AJ6" s="203">
        <v>6426148</v>
      </c>
      <c r="AK6" s="203">
        <v>0</v>
      </c>
      <c r="AL6" s="203">
        <v>0</v>
      </c>
      <c r="AM6" s="203">
        <v>0</v>
      </c>
      <c r="AN6" s="203">
        <v>0</v>
      </c>
      <c r="AO6" s="203"/>
      <c r="AP6" s="203">
        <v>0</v>
      </c>
      <c r="AQ6" s="203">
        <v>0</v>
      </c>
      <c r="AR6" s="203">
        <v>0</v>
      </c>
      <c r="AS6" s="203">
        <v>0</v>
      </c>
      <c r="AT6" s="203">
        <v>0</v>
      </c>
      <c r="AU6" s="68"/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49">
        <v>0</v>
      </c>
      <c r="BF6" s="49">
        <v>0</v>
      </c>
      <c r="BG6" s="46">
        <v>0</v>
      </c>
      <c r="BH6" s="46"/>
      <c r="BI6" s="203">
        <v>0</v>
      </c>
      <c r="BJ6" s="203">
        <v>0</v>
      </c>
      <c r="BK6" s="203">
        <v>0</v>
      </c>
      <c r="BL6" s="203">
        <v>0</v>
      </c>
      <c r="BM6" s="203">
        <v>0</v>
      </c>
      <c r="BN6" s="203">
        <v>0</v>
      </c>
      <c r="BO6" s="204">
        <v>0</v>
      </c>
      <c r="BP6" s="280">
        <v>0</v>
      </c>
      <c r="BQ6" s="274">
        <v>0</v>
      </c>
      <c r="BR6" s="203">
        <v>0</v>
      </c>
      <c r="BS6" s="203">
        <v>0</v>
      </c>
      <c r="BT6" s="203">
        <v>0</v>
      </c>
    </row>
    <row r="7" spans="2:73">
      <c r="B7" s="52" t="s">
        <v>228</v>
      </c>
      <c r="C7" s="53"/>
      <c r="D7" s="53">
        <f t="shared" ref="D7:O7" si="12">SUM(D8:D11)</f>
        <v>66137290</v>
      </c>
      <c r="E7" s="53">
        <f t="shared" si="12"/>
        <v>157266360</v>
      </c>
      <c r="F7" s="53">
        <f t="shared" si="12"/>
        <v>101370211</v>
      </c>
      <c r="G7" s="66">
        <f t="shared" si="12"/>
        <v>96894006</v>
      </c>
      <c r="H7" s="53">
        <f t="shared" si="12"/>
        <v>12617674</v>
      </c>
      <c r="I7" s="66">
        <f t="shared" si="12"/>
        <v>5761713</v>
      </c>
      <c r="J7" s="66">
        <f t="shared" si="12"/>
        <v>9781218</v>
      </c>
      <c r="K7" s="66">
        <f t="shared" si="12"/>
        <v>22464812</v>
      </c>
      <c r="L7" s="66">
        <f t="shared" si="12"/>
        <v>33469837</v>
      </c>
      <c r="M7" s="66">
        <f t="shared" si="12"/>
        <v>51341949</v>
      </c>
      <c r="N7" s="66">
        <f t="shared" si="12"/>
        <v>57121275.650000006</v>
      </c>
      <c r="O7" s="66">
        <f t="shared" si="12"/>
        <v>66019479</v>
      </c>
      <c r="P7" s="66">
        <f t="shared" ref="P7:U7" si="13">SUM(P8:P11)</f>
        <v>69747153.5</v>
      </c>
      <c r="Q7" s="66">
        <f t="shared" si="13"/>
        <v>78407502</v>
      </c>
      <c r="R7" s="66">
        <f t="shared" si="13"/>
        <v>88501091</v>
      </c>
      <c r="S7" s="66">
        <f t="shared" si="13"/>
        <v>91274197</v>
      </c>
      <c r="T7" s="66">
        <f t="shared" si="13"/>
        <v>101949407</v>
      </c>
      <c r="U7" s="66">
        <f t="shared" si="13"/>
        <v>120752163</v>
      </c>
      <c r="V7" s="66">
        <f t="shared" ref="V7:AC7" si="14">SUM(V8:V11)</f>
        <v>422941</v>
      </c>
      <c r="W7" s="66">
        <f t="shared" si="14"/>
        <v>4908109</v>
      </c>
      <c r="X7" s="66">
        <f t="shared" si="14"/>
        <v>16349047</v>
      </c>
      <c r="Y7" s="66">
        <f t="shared" si="14"/>
        <v>29734817</v>
      </c>
      <c r="Z7" s="66">
        <f t="shared" si="14"/>
        <v>50576066</v>
      </c>
      <c r="AA7" s="128">
        <f t="shared" si="14"/>
        <v>79685544</v>
      </c>
      <c r="AB7" s="128">
        <f t="shared" si="14"/>
        <v>90575754</v>
      </c>
      <c r="AC7" s="128">
        <f t="shared" si="14"/>
        <v>99638817</v>
      </c>
      <c r="AD7" s="128">
        <f t="shared" ref="AD7:AK7" si="15">SUM(AD8:AD11)</f>
        <v>110276917</v>
      </c>
      <c r="AE7" s="66">
        <f t="shared" si="15"/>
        <v>118194956</v>
      </c>
      <c r="AF7" s="66">
        <f t="shared" si="15"/>
        <v>118404200</v>
      </c>
      <c r="AG7" s="66">
        <f t="shared" si="15"/>
        <v>141970075</v>
      </c>
      <c r="AH7" s="66">
        <f t="shared" si="15"/>
        <v>158196325</v>
      </c>
      <c r="AI7" s="66">
        <f t="shared" si="15"/>
        <v>6758574</v>
      </c>
      <c r="AJ7" s="66">
        <f t="shared" si="15"/>
        <v>13817611</v>
      </c>
      <c r="AK7" s="66">
        <f t="shared" si="15"/>
        <v>28863633</v>
      </c>
      <c r="AL7" s="66">
        <f t="shared" ref="AL7:BU7" si="16">SUM(AL8:AL11)</f>
        <v>80730502</v>
      </c>
      <c r="AM7" s="66">
        <f t="shared" si="16"/>
        <v>89555284</v>
      </c>
      <c r="AN7" s="66">
        <f t="shared" si="16"/>
        <v>91543611</v>
      </c>
      <c r="AO7" s="66">
        <f t="shared" si="16"/>
        <v>0</v>
      </c>
      <c r="AP7" s="66">
        <f t="shared" si="16"/>
        <v>108734036</v>
      </c>
      <c r="AQ7" s="66">
        <f t="shared" si="16"/>
        <v>113567527</v>
      </c>
      <c r="AR7" s="66">
        <f t="shared" si="16"/>
        <v>139018816</v>
      </c>
      <c r="AS7" s="66">
        <f t="shared" si="16"/>
        <v>169099801</v>
      </c>
      <c r="AT7" s="66">
        <f t="shared" si="16"/>
        <v>192170434</v>
      </c>
      <c r="AU7" s="66">
        <f t="shared" si="16"/>
        <v>192170</v>
      </c>
      <c r="AV7" s="66">
        <f t="shared" si="16"/>
        <v>7933259</v>
      </c>
      <c r="AW7" s="66">
        <f t="shared" si="16"/>
        <v>17156832</v>
      </c>
      <c r="AX7" s="66">
        <f t="shared" si="16"/>
        <v>30373415</v>
      </c>
      <c r="AY7" s="66">
        <f t="shared" si="16"/>
        <v>72775580</v>
      </c>
      <c r="AZ7" s="66">
        <f t="shared" si="16"/>
        <v>80774980</v>
      </c>
      <c r="BA7" s="66">
        <f t="shared" si="16"/>
        <v>139689665</v>
      </c>
      <c r="BB7" s="66">
        <f t="shared" si="16"/>
        <v>145822795</v>
      </c>
      <c r="BC7" s="66">
        <f t="shared" si="16"/>
        <v>162648314</v>
      </c>
      <c r="BD7" s="66">
        <f t="shared" si="16"/>
        <v>170657249</v>
      </c>
      <c r="BE7" s="66">
        <f t="shared" si="16"/>
        <v>177623638</v>
      </c>
      <c r="BF7" s="200">
        <f t="shared" si="16"/>
        <v>190380229</v>
      </c>
      <c r="BG7" s="66">
        <f t="shared" si="16"/>
        <v>344612458</v>
      </c>
      <c r="BH7" s="66">
        <f t="shared" si="16"/>
        <v>344612457.68000001</v>
      </c>
      <c r="BI7" s="202">
        <f t="shared" si="16"/>
        <v>6358787</v>
      </c>
      <c r="BJ7" s="66">
        <f t="shared" si="16"/>
        <v>25678470</v>
      </c>
      <c r="BK7" s="66">
        <f t="shared" si="16"/>
        <v>33552444</v>
      </c>
      <c r="BL7" s="66">
        <f t="shared" si="16"/>
        <v>41286415</v>
      </c>
      <c r="BM7" s="66">
        <f t="shared" si="16"/>
        <v>73820034</v>
      </c>
      <c r="BN7" s="66">
        <f t="shared" si="16"/>
        <v>124806552</v>
      </c>
      <c r="BO7" s="66">
        <f t="shared" si="16"/>
        <v>166281254</v>
      </c>
      <c r="BP7" s="200">
        <f t="shared" si="16"/>
        <v>176450284</v>
      </c>
      <c r="BQ7" s="272">
        <f t="shared" si="16"/>
        <v>226522786</v>
      </c>
      <c r="BR7" s="272">
        <f t="shared" si="16"/>
        <v>235824662</v>
      </c>
      <c r="BS7" s="272">
        <f t="shared" si="16"/>
        <v>253435437</v>
      </c>
      <c r="BT7" s="272">
        <f t="shared" si="16"/>
        <v>338930662</v>
      </c>
      <c r="BU7" s="272">
        <f t="shared" si="16"/>
        <v>338931000</v>
      </c>
    </row>
    <row r="8" spans="2:73">
      <c r="B8" s="54" t="s">
        <v>229</v>
      </c>
      <c r="C8" s="57"/>
      <c r="D8" s="50"/>
      <c r="E8" s="50"/>
      <c r="F8" s="50"/>
      <c r="G8" s="67"/>
      <c r="H8" s="46">
        <v>0</v>
      </c>
      <c r="I8" s="67"/>
      <c r="J8" s="67"/>
      <c r="K8" s="67"/>
      <c r="L8" s="67"/>
      <c r="M8" s="67"/>
      <c r="N8" s="67"/>
      <c r="O8" s="67"/>
      <c r="P8" s="67">
        <v>0</v>
      </c>
      <c r="Q8" s="67">
        <v>0</v>
      </c>
      <c r="R8" s="67">
        <v>0</v>
      </c>
      <c r="S8" s="67">
        <v>0</v>
      </c>
      <c r="T8" s="67"/>
      <c r="U8" s="270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203">
        <v>0</v>
      </c>
      <c r="AJ8" s="203">
        <v>0</v>
      </c>
      <c r="AK8" s="203">
        <v>0</v>
      </c>
      <c r="AL8" s="203">
        <v>0</v>
      </c>
      <c r="AM8" s="203">
        <v>0</v>
      </c>
      <c r="AN8" s="203">
        <v>0</v>
      </c>
      <c r="AO8" s="203"/>
      <c r="AP8" s="203">
        <v>0</v>
      </c>
      <c r="AQ8" s="203">
        <v>0</v>
      </c>
      <c r="AR8" s="203">
        <v>0</v>
      </c>
      <c r="AS8" s="203">
        <v>0</v>
      </c>
      <c r="AT8" s="203">
        <v>0</v>
      </c>
      <c r="AU8" s="67"/>
      <c r="AV8" s="49">
        <v>0</v>
      </c>
      <c r="AW8" s="49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201">
        <v>0</v>
      </c>
      <c r="BG8" s="46">
        <v>0</v>
      </c>
      <c r="BH8" s="46"/>
      <c r="BI8" s="203">
        <v>0</v>
      </c>
      <c r="BJ8" s="203">
        <v>0</v>
      </c>
      <c r="BK8" s="203">
        <v>0</v>
      </c>
      <c r="BL8" s="203">
        <v>0</v>
      </c>
      <c r="BM8" s="203">
        <v>0</v>
      </c>
      <c r="BN8" s="203">
        <v>0</v>
      </c>
      <c r="BO8" s="203">
        <v>0</v>
      </c>
      <c r="BP8" s="281">
        <v>0</v>
      </c>
      <c r="BQ8" s="274">
        <v>0</v>
      </c>
      <c r="BR8" s="203">
        <v>0</v>
      </c>
      <c r="BS8" s="203">
        <v>0</v>
      </c>
      <c r="BT8" s="203">
        <v>0</v>
      </c>
    </row>
    <row r="9" spans="2:73">
      <c r="B9" s="58" t="s">
        <v>230</v>
      </c>
      <c r="C9" s="57"/>
      <c r="D9" s="50">
        <v>23928427</v>
      </c>
      <c r="E9" s="50">
        <f>8412541+584000</f>
        <v>8996541</v>
      </c>
      <c r="F9" s="50">
        <v>9845327</v>
      </c>
      <c r="G9" s="67"/>
      <c r="H9" s="46">
        <v>1312043</v>
      </c>
      <c r="I9" s="67"/>
      <c r="J9" s="67"/>
      <c r="K9" s="67"/>
      <c r="L9" s="67"/>
      <c r="M9" s="67"/>
      <c r="N9" s="67"/>
      <c r="O9" s="67"/>
      <c r="P9" s="67">
        <v>0</v>
      </c>
      <c r="Q9" s="67">
        <v>0</v>
      </c>
      <c r="R9" s="67">
        <v>0</v>
      </c>
      <c r="S9" s="67">
        <v>0</v>
      </c>
      <c r="T9" s="67"/>
      <c r="U9" s="270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203">
        <v>0</v>
      </c>
      <c r="AJ9" s="203">
        <v>0</v>
      </c>
      <c r="AK9" s="203">
        <v>0</v>
      </c>
      <c r="AL9" s="203">
        <v>0</v>
      </c>
      <c r="AM9" s="203">
        <v>0</v>
      </c>
      <c r="AN9" s="203">
        <v>0</v>
      </c>
      <c r="AO9" s="203"/>
      <c r="AP9" s="203">
        <v>0</v>
      </c>
      <c r="AQ9" s="203">
        <v>0</v>
      </c>
      <c r="AR9" s="203">
        <v>0</v>
      </c>
      <c r="AS9" s="203">
        <v>0</v>
      </c>
      <c r="AT9" s="203">
        <v>0</v>
      </c>
      <c r="AU9" s="67"/>
      <c r="AV9" s="49">
        <v>0</v>
      </c>
      <c r="AW9" s="49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201">
        <v>0</v>
      </c>
      <c r="BG9" s="46">
        <v>0</v>
      </c>
      <c r="BH9" s="46">
        <v>219315092.68000001</v>
      </c>
      <c r="BI9" s="203">
        <v>0</v>
      </c>
      <c r="BJ9" s="203">
        <v>0</v>
      </c>
      <c r="BK9" s="203">
        <v>0</v>
      </c>
      <c r="BL9" s="203">
        <v>0</v>
      </c>
      <c r="BM9" s="203">
        <v>0</v>
      </c>
      <c r="BN9" s="203">
        <v>0</v>
      </c>
      <c r="BO9" s="203">
        <v>0</v>
      </c>
      <c r="BP9" s="281">
        <v>0</v>
      </c>
      <c r="BQ9" s="274">
        <v>0</v>
      </c>
      <c r="BR9" s="203">
        <v>0</v>
      </c>
      <c r="BS9" s="203">
        <v>0</v>
      </c>
      <c r="BT9" s="203">
        <v>0</v>
      </c>
      <c r="BU9" s="49">
        <v>203981000</v>
      </c>
    </row>
    <row r="10" spans="2:73" ht="28.15">
      <c r="B10" s="58" t="s">
        <v>231</v>
      </c>
      <c r="C10" s="55"/>
      <c r="D10" s="50"/>
      <c r="E10" s="50">
        <v>15781910</v>
      </c>
      <c r="F10" s="50">
        <v>16915086</v>
      </c>
      <c r="G10" s="67">
        <v>9824350</v>
      </c>
      <c r="H10" s="46">
        <v>0</v>
      </c>
      <c r="I10" s="67"/>
      <c r="J10" s="67"/>
      <c r="K10" s="67">
        <v>2996468</v>
      </c>
      <c r="L10" s="67">
        <v>4996468</v>
      </c>
      <c r="M10" s="67">
        <v>17219555</v>
      </c>
      <c r="N10" s="67">
        <v>19133922.670000002</v>
      </c>
      <c r="O10" s="67">
        <v>21668115</v>
      </c>
      <c r="P10" s="67">
        <v>20745545</v>
      </c>
      <c r="Q10" s="67">
        <v>24268575</v>
      </c>
      <c r="R10" s="67">
        <v>24268575</v>
      </c>
      <c r="S10" s="67">
        <v>27919090</v>
      </c>
      <c r="T10" s="67">
        <v>16644442</v>
      </c>
      <c r="U10" s="270">
        <f>30435654+25113162</f>
        <v>55548816</v>
      </c>
      <c r="V10" s="67">
        <v>0</v>
      </c>
      <c r="W10" s="67">
        <v>0</v>
      </c>
      <c r="X10" s="67">
        <v>0</v>
      </c>
      <c r="Y10" s="67">
        <v>367552</v>
      </c>
      <c r="Z10" s="67">
        <v>14193338</v>
      </c>
      <c r="AA10" s="67">
        <v>37394287</v>
      </c>
      <c r="AB10" s="67">
        <v>43107114</v>
      </c>
      <c r="AC10" s="67">
        <v>43685588</v>
      </c>
      <c r="AD10" s="67">
        <v>52633008</v>
      </c>
      <c r="AE10" s="67">
        <v>53252174</v>
      </c>
      <c r="AF10" s="67">
        <v>58091809</v>
      </c>
      <c r="AG10" s="67">
        <v>76734831</v>
      </c>
      <c r="AH10" s="67">
        <f>53874180</f>
        <v>53874180</v>
      </c>
      <c r="AI10" s="203">
        <v>0</v>
      </c>
      <c r="AJ10" s="203">
        <v>0</v>
      </c>
      <c r="AK10" s="203">
        <v>5100938</v>
      </c>
      <c r="AL10" s="203">
        <v>21029541</v>
      </c>
      <c r="AM10" s="203">
        <v>50434991</v>
      </c>
      <c r="AN10" s="203">
        <v>50983303</v>
      </c>
      <c r="AO10" s="203"/>
      <c r="AP10" s="203">
        <v>58743416</v>
      </c>
      <c r="AQ10" s="203">
        <v>58743416</v>
      </c>
      <c r="AR10" s="203">
        <v>74398073</v>
      </c>
      <c r="AS10" s="203">
        <v>97844606</v>
      </c>
      <c r="AT10" s="203">
        <v>117568888</v>
      </c>
      <c r="AU10" s="67">
        <f>78028+39540</f>
        <v>117568</v>
      </c>
      <c r="AV10" s="49">
        <v>2465709</v>
      </c>
      <c r="AW10" s="49">
        <v>2465709</v>
      </c>
      <c r="AX10" s="46">
        <v>7799042</v>
      </c>
      <c r="AY10" s="46">
        <v>42223694</v>
      </c>
      <c r="AZ10" s="46">
        <v>42223694</v>
      </c>
      <c r="BA10" s="46">
        <v>94441389</v>
      </c>
      <c r="BB10" s="46">
        <v>94441389</v>
      </c>
      <c r="BC10" s="46">
        <v>107827534</v>
      </c>
      <c r="BD10" s="46">
        <v>109649046</v>
      </c>
      <c r="BE10" s="46">
        <v>111548301</v>
      </c>
      <c r="BF10" s="201">
        <v>113422223</v>
      </c>
      <c r="BG10" s="46">
        <v>259886079</v>
      </c>
      <c r="BH10" s="46">
        <v>40570986</v>
      </c>
      <c r="BI10" s="203">
        <v>0</v>
      </c>
      <c r="BJ10" s="203">
        <v>8920460</v>
      </c>
      <c r="BK10" s="203">
        <v>8920460</v>
      </c>
      <c r="BL10" s="203">
        <v>8920460</v>
      </c>
      <c r="BM10" s="203">
        <v>33431705</v>
      </c>
      <c r="BN10" s="203">
        <v>77811306</v>
      </c>
      <c r="BO10" s="203">
        <v>116370936</v>
      </c>
      <c r="BP10" s="281">
        <v>116370936</v>
      </c>
      <c r="BQ10" s="273">
        <v>160601945</v>
      </c>
      <c r="BR10" s="203">
        <v>160756249</v>
      </c>
      <c r="BS10" s="203">
        <v>172052116</v>
      </c>
      <c r="BT10" s="203">
        <v>252543026</v>
      </c>
    </row>
    <row r="11" spans="2:73" s="48" customFormat="1" ht="28.15">
      <c r="B11" s="205" t="s">
        <v>232</v>
      </c>
      <c r="C11" s="206"/>
      <c r="D11" s="51">
        <v>42208863</v>
      </c>
      <c r="E11" s="59">
        <v>132487909</v>
      </c>
      <c r="F11" s="59">
        <v>74609798</v>
      </c>
      <c r="G11" s="207">
        <v>87069656</v>
      </c>
      <c r="H11" s="47">
        <v>11305631</v>
      </c>
      <c r="I11" s="207">
        <v>5761713</v>
      </c>
      <c r="J11" s="207">
        <v>9781218</v>
      </c>
      <c r="K11" s="207">
        <v>19468344</v>
      </c>
      <c r="L11" s="207">
        <v>28473369</v>
      </c>
      <c r="M11" s="207">
        <v>34122394</v>
      </c>
      <c r="N11" s="207">
        <v>37987352.980000004</v>
      </c>
      <c r="O11" s="207">
        <v>44351364</v>
      </c>
      <c r="P11" s="207">
        <v>49001608.5</v>
      </c>
      <c r="Q11" s="207">
        <v>54138927</v>
      </c>
      <c r="R11" s="207">
        <v>64232516</v>
      </c>
      <c r="S11" s="207">
        <v>63355107</v>
      </c>
      <c r="T11" s="207">
        <f>85304965</f>
        <v>85304965</v>
      </c>
      <c r="U11" s="208">
        <f>90316509-25113162</f>
        <v>65203347</v>
      </c>
      <c r="V11" s="207">
        <v>422941</v>
      </c>
      <c r="W11" s="207">
        <v>4908109</v>
      </c>
      <c r="X11" s="207">
        <v>16349047</v>
      </c>
      <c r="Y11" s="207">
        <v>29367265</v>
      </c>
      <c r="Z11" s="207">
        <v>36382728</v>
      </c>
      <c r="AA11" s="207">
        <v>42291257</v>
      </c>
      <c r="AB11" s="207">
        <v>47468640</v>
      </c>
      <c r="AC11" s="207">
        <v>55953229</v>
      </c>
      <c r="AD11" s="207">
        <v>57643909</v>
      </c>
      <c r="AE11" s="207">
        <v>64942782</v>
      </c>
      <c r="AF11" s="207">
        <v>60312391</v>
      </c>
      <c r="AG11" s="207">
        <v>65235244</v>
      </c>
      <c r="AH11" s="207">
        <f>104322145</f>
        <v>104322145</v>
      </c>
      <c r="AI11" s="209">
        <v>6758574</v>
      </c>
      <c r="AJ11" s="209">
        <v>13817611</v>
      </c>
      <c r="AK11" s="209">
        <v>23762695</v>
      </c>
      <c r="AL11" s="209">
        <v>59700961</v>
      </c>
      <c r="AM11" s="209">
        <v>39120293</v>
      </c>
      <c r="AN11" s="209">
        <v>40560308</v>
      </c>
      <c r="AO11" s="209"/>
      <c r="AP11" s="209">
        <v>49990620</v>
      </c>
      <c r="AQ11" s="209">
        <v>54824111</v>
      </c>
      <c r="AR11" s="209">
        <v>64620743</v>
      </c>
      <c r="AS11" s="209">
        <v>71255195</v>
      </c>
      <c r="AT11" s="209">
        <v>74601546</v>
      </c>
      <c r="AU11" s="207">
        <f>34339+19358+15379+2492+221+2813</f>
        <v>74602</v>
      </c>
      <c r="AV11" s="48">
        <v>5467550</v>
      </c>
      <c r="AW11" s="48">
        <v>14691123</v>
      </c>
      <c r="AX11" s="47">
        <v>22574373</v>
      </c>
      <c r="AY11" s="47">
        <v>30551886</v>
      </c>
      <c r="AZ11" s="47">
        <v>38551286</v>
      </c>
      <c r="BA11" s="47">
        <v>45248276</v>
      </c>
      <c r="BB11" s="47">
        <v>51381406</v>
      </c>
      <c r="BC11" s="47">
        <v>54820780</v>
      </c>
      <c r="BD11" s="47">
        <v>61008203</v>
      </c>
      <c r="BE11" s="47">
        <v>66075337</v>
      </c>
      <c r="BF11" s="47">
        <v>76958006</v>
      </c>
      <c r="BG11" s="47">
        <v>84726379</v>
      </c>
      <c r="BH11" s="47">
        <f>62703159+21946347+76873</f>
        <v>84726379</v>
      </c>
      <c r="BI11" s="209">
        <v>6358787</v>
      </c>
      <c r="BJ11" s="209">
        <v>16758010</v>
      </c>
      <c r="BK11" s="209">
        <v>24631984</v>
      </c>
      <c r="BL11" s="209">
        <v>32365955</v>
      </c>
      <c r="BM11" s="209">
        <v>40388329</v>
      </c>
      <c r="BN11" s="209">
        <v>46995246</v>
      </c>
      <c r="BO11" s="209">
        <v>49910318</v>
      </c>
      <c r="BP11" s="282">
        <v>60079348</v>
      </c>
      <c r="BQ11" s="275">
        <v>65920841</v>
      </c>
      <c r="BR11" s="386">
        <v>75068413</v>
      </c>
      <c r="BS11" s="386">
        <v>81383321</v>
      </c>
      <c r="BT11" s="386">
        <v>86387636</v>
      </c>
      <c r="BU11" s="48">
        <v>134950000</v>
      </c>
    </row>
    <row r="12" spans="2:73">
      <c r="B12" s="52" t="s">
        <v>233</v>
      </c>
      <c r="C12" s="53">
        <f>SUM(C13:C18)</f>
        <v>0</v>
      </c>
      <c r="D12" s="53">
        <f>SUM(D13:D18)</f>
        <v>402074127</v>
      </c>
      <c r="E12" s="53">
        <f>SUM(E13:E18)</f>
        <v>478287881</v>
      </c>
      <c r="F12" s="53">
        <f>SUM(F13:F18)</f>
        <v>619005052</v>
      </c>
      <c r="G12" s="66">
        <f>G13+G14+G15+G16+G17+G18</f>
        <v>503292195</v>
      </c>
      <c r="H12" s="53">
        <f>SUM(H13:H18)</f>
        <v>82300867</v>
      </c>
      <c r="I12" s="66">
        <f t="shared" ref="I12:AU12" si="17">I13+I14+I15+I16+I17+I18</f>
        <v>108336631</v>
      </c>
      <c r="J12" s="66">
        <f t="shared" si="17"/>
        <v>164649494</v>
      </c>
      <c r="K12" s="66">
        <f t="shared" si="17"/>
        <v>230707154</v>
      </c>
      <c r="L12" s="66">
        <f t="shared" si="17"/>
        <v>288413668.88999999</v>
      </c>
      <c r="M12" s="66">
        <f t="shared" si="17"/>
        <v>351928134</v>
      </c>
      <c r="N12" s="66">
        <f t="shared" si="17"/>
        <v>412243024.84240836</v>
      </c>
      <c r="O12" s="66">
        <f t="shared" si="17"/>
        <v>474261699.87</v>
      </c>
      <c r="P12" s="66">
        <f t="shared" si="17"/>
        <v>543967082.5</v>
      </c>
      <c r="Q12" s="66">
        <f t="shared" si="17"/>
        <v>607324920.35000002</v>
      </c>
      <c r="R12" s="66">
        <f t="shared" si="17"/>
        <v>660792190</v>
      </c>
      <c r="S12" s="66">
        <f t="shared" si="17"/>
        <v>740442553.88999999</v>
      </c>
      <c r="T12" s="66">
        <f t="shared" si="17"/>
        <v>568495547</v>
      </c>
      <c r="U12" s="66">
        <f t="shared" si="17"/>
        <v>599050403</v>
      </c>
      <c r="V12" s="66">
        <f t="shared" si="17"/>
        <v>76858930.24000001</v>
      </c>
      <c r="W12" s="66">
        <f t="shared" si="17"/>
        <v>146687610.37</v>
      </c>
      <c r="X12" s="66">
        <f t="shared" si="17"/>
        <v>220781717</v>
      </c>
      <c r="Y12" s="66">
        <f t="shared" si="17"/>
        <v>288098899.87</v>
      </c>
      <c r="Z12" s="66">
        <f t="shared" si="17"/>
        <v>356044770.16000003</v>
      </c>
      <c r="AA12" s="128">
        <f t="shared" si="17"/>
        <v>425071052.75</v>
      </c>
      <c r="AB12" s="128">
        <f t="shared" si="17"/>
        <v>524221007.00999999</v>
      </c>
      <c r="AC12" s="128">
        <f t="shared" si="17"/>
        <v>576145680.95000005</v>
      </c>
      <c r="AD12" s="128">
        <f t="shared" si="17"/>
        <v>657075520.82999992</v>
      </c>
      <c r="AE12" s="66">
        <f t="shared" si="17"/>
        <v>729368313.38</v>
      </c>
      <c r="AF12" s="66">
        <f t="shared" si="17"/>
        <v>791740540.67999995</v>
      </c>
      <c r="AG12" s="66">
        <f t="shared" si="17"/>
        <v>881971584.16999996</v>
      </c>
      <c r="AH12" s="66">
        <f t="shared" si="17"/>
        <v>608403602</v>
      </c>
      <c r="AI12" s="66">
        <f t="shared" si="17"/>
        <v>46588886</v>
      </c>
      <c r="AJ12" s="66">
        <f t="shared" si="17"/>
        <v>92491509</v>
      </c>
      <c r="AK12" s="66">
        <f t="shared" si="17"/>
        <v>199250233.33000001</v>
      </c>
      <c r="AL12" s="66">
        <f t="shared" si="17"/>
        <v>267408539.84999999</v>
      </c>
      <c r="AM12" s="66">
        <f t="shared" si="17"/>
        <v>336437562.88</v>
      </c>
      <c r="AN12" s="66">
        <f t="shared" si="17"/>
        <v>406637210</v>
      </c>
      <c r="AO12" s="66">
        <f t="shared" si="17"/>
        <v>0</v>
      </c>
      <c r="AP12" s="66">
        <f t="shared" si="17"/>
        <v>480484258.70999998</v>
      </c>
      <c r="AQ12" s="66">
        <f t="shared" si="17"/>
        <v>621440397.90999997</v>
      </c>
      <c r="AR12" s="66">
        <f t="shared" si="17"/>
        <v>695288485.46000004</v>
      </c>
      <c r="AS12" s="66">
        <f t="shared" si="17"/>
        <v>776575330.92999995</v>
      </c>
      <c r="AT12" s="66">
        <f t="shared" si="17"/>
        <v>849649568.02999997</v>
      </c>
      <c r="AU12" s="66">
        <f t="shared" si="17"/>
        <v>627066</v>
      </c>
      <c r="AV12" s="66">
        <f t="shared" ref="AV12:BU12" si="18">AV13+AV14+AV15+AV16+AV17+AV18</f>
        <v>69981907</v>
      </c>
      <c r="AW12" s="66">
        <f t="shared" si="18"/>
        <v>152331990.54000002</v>
      </c>
      <c r="AX12" s="66">
        <f t="shared" si="18"/>
        <v>229066136.08000001</v>
      </c>
      <c r="AY12" s="66">
        <f t="shared" si="18"/>
        <v>308307882.87</v>
      </c>
      <c r="AZ12" s="66">
        <f t="shared" si="18"/>
        <v>312884839.38</v>
      </c>
      <c r="BA12" s="66">
        <f t="shared" si="18"/>
        <v>471727815</v>
      </c>
      <c r="BB12" s="66">
        <f t="shared" si="18"/>
        <v>559323954.98000002</v>
      </c>
      <c r="BC12" s="66">
        <f t="shared" si="18"/>
        <v>642162680</v>
      </c>
      <c r="BD12" s="66">
        <f t="shared" si="18"/>
        <v>727542959.41999996</v>
      </c>
      <c r="BE12" s="66">
        <f t="shared" si="18"/>
        <v>816889534.44000006</v>
      </c>
      <c r="BF12" s="66">
        <f t="shared" si="18"/>
        <v>906189175.83000004</v>
      </c>
      <c r="BG12" s="66">
        <f t="shared" si="18"/>
        <v>871317020.48000002</v>
      </c>
      <c r="BH12" s="66">
        <f t="shared" si="18"/>
        <v>672863674</v>
      </c>
      <c r="BI12" s="66">
        <f t="shared" si="18"/>
        <v>74025594.120000005</v>
      </c>
      <c r="BJ12" s="66">
        <f t="shared" si="18"/>
        <v>148039530.74000001</v>
      </c>
      <c r="BK12" s="66">
        <f t="shared" si="18"/>
        <v>292723593</v>
      </c>
      <c r="BL12" s="66">
        <f t="shared" si="18"/>
        <v>391889001.80000001</v>
      </c>
      <c r="BM12" s="66">
        <f t="shared" si="18"/>
        <v>450707464.13999999</v>
      </c>
      <c r="BN12" s="66">
        <f t="shared" si="18"/>
        <v>544774297.73000002</v>
      </c>
      <c r="BO12" s="66">
        <f t="shared" si="18"/>
        <v>639732405.33999991</v>
      </c>
      <c r="BP12" s="200">
        <f t="shared" si="18"/>
        <v>738521186.08000004</v>
      </c>
      <c r="BQ12" s="272">
        <f t="shared" si="18"/>
        <v>706786497.69000006</v>
      </c>
      <c r="BR12" s="272">
        <f t="shared" si="18"/>
        <v>800930568.62</v>
      </c>
      <c r="BS12" s="272">
        <f t="shared" si="18"/>
        <v>879413038</v>
      </c>
      <c r="BT12" s="272">
        <f t="shared" si="18"/>
        <v>968336911.24000001</v>
      </c>
      <c r="BU12" s="272">
        <f t="shared" si="18"/>
        <v>751693000</v>
      </c>
    </row>
    <row r="13" spans="2:73">
      <c r="B13" s="54" t="s">
        <v>234</v>
      </c>
      <c r="C13" s="55"/>
      <c r="D13" s="50">
        <v>274653200</v>
      </c>
      <c r="E13" s="50">
        <f>283203148+41141974</f>
        <v>324345122</v>
      </c>
      <c r="F13" s="50">
        <v>436386278</v>
      </c>
      <c r="G13" s="67">
        <f>455032335+7760428</f>
        <v>462792763</v>
      </c>
      <c r="H13" s="46">
        <v>47493255</v>
      </c>
      <c r="I13" s="67">
        <v>83475796</v>
      </c>
      <c r="J13" s="67">
        <v>126442851</v>
      </c>
      <c r="K13" s="67">
        <v>174149650</v>
      </c>
      <c r="L13" s="67">
        <v>220062005.88999999</v>
      </c>
      <c r="M13" s="67">
        <v>264787224</v>
      </c>
      <c r="N13" s="67">
        <v>313231799.96180832</v>
      </c>
      <c r="O13" s="67">
        <v>360460623.87</v>
      </c>
      <c r="P13" s="67">
        <v>409536403.25</v>
      </c>
      <c r="Q13" s="67">
        <v>460987055.35000002</v>
      </c>
      <c r="R13" s="67">
        <v>502162267.86000001</v>
      </c>
      <c r="S13" s="67">
        <v>557951775.88999999</v>
      </c>
      <c r="T13" s="74">
        <f>490279846+16373905</f>
        <v>506653751</v>
      </c>
      <c r="U13" s="270">
        <f>16686590+534480799</f>
        <v>551167389</v>
      </c>
      <c r="V13" s="67">
        <v>54389865.240000002</v>
      </c>
      <c r="W13" s="67">
        <v>108681159.37</v>
      </c>
      <c r="X13" s="67">
        <v>163712365</v>
      </c>
      <c r="Y13" s="67">
        <v>220666178.87</v>
      </c>
      <c r="Z13" s="67">
        <v>276614978.16000003</v>
      </c>
      <c r="AA13" s="67">
        <v>334622563.75</v>
      </c>
      <c r="AB13" s="67">
        <v>403226737.00999999</v>
      </c>
      <c r="AC13" s="67">
        <v>454850564.94999999</v>
      </c>
      <c r="AD13" s="67">
        <v>513369822.82999998</v>
      </c>
      <c r="AE13" s="67">
        <v>573908044.38</v>
      </c>
      <c r="AF13" s="67">
        <v>625700395.67999995</v>
      </c>
      <c r="AG13" s="67">
        <v>688095247.16999996</v>
      </c>
      <c r="AH13" s="67">
        <f>12179875+566250133</f>
        <v>578430008</v>
      </c>
      <c r="AI13" s="203">
        <v>40984623</v>
      </c>
      <c r="AJ13" s="203">
        <v>82318515</v>
      </c>
      <c r="AK13" s="203">
        <v>171985381.33000001</v>
      </c>
      <c r="AL13" s="203">
        <v>231035995.84999999</v>
      </c>
      <c r="AM13" s="203">
        <v>291355636.88</v>
      </c>
      <c r="AN13" s="203">
        <v>352493379</v>
      </c>
      <c r="AO13" s="203"/>
      <c r="AP13" s="203">
        <v>416247122.70999998</v>
      </c>
      <c r="AQ13" s="203">
        <v>538857086.90999997</v>
      </c>
      <c r="AR13" s="203">
        <v>603520884.46000004</v>
      </c>
      <c r="AS13" s="203">
        <v>675998959.92999995</v>
      </c>
      <c r="AT13" s="203">
        <v>738079666.92999995</v>
      </c>
      <c r="AU13" s="67">
        <f>606211+17358</f>
        <v>623569</v>
      </c>
      <c r="AV13" s="49">
        <v>60512433</v>
      </c>
      <c r="AW13" s="49">
        <v>129981754.54000001</v>
      </c>
      <c r="AX13" s="46">
        <v>196378122.08000001</v>
      </c>
      <c r="AY13" s="46">
        <v>263950068.87</v>
      </c>
      <c r="AZ13" s="46">
        <v>267638235.38</v>
      </c>
      <c r="BA13" s="46">
        <v>404345440</v>
      </c>
      <c r="BB13" s="46">
        <v>479565295.98000002</v>
      </c>
      <c r="BC13" s="46">
        <v>550124844</v>
      </c>
      <c r="BD13" s="46">
        <v>623345013.41999996</v>
      </c>
      <c r="BE13" s="46">
        <v>700850707.44000006</v>
      </c>
      <c r="BF13" s="46">
        <v>778540036.83000004</v>
      </c>
      <c r="BG13" s="46">
        <v>672863674.48000002</v>
      </c>
      <c r="BH13" s="46">
        <f>19515018+653348656</f>
        <v>672863674</v>
      </c>
      <c r="BI13" s="203">
        <v>55970447.119999997</v>
      </c>
      <c r="BJ13" s="203">
        <v>111724228.73999999</v>
      </c>
      <c r="BK13" s="203">
        <v>237755340</v>
      </c>
      <c r="BL13" s="203">
        <v>318636214.80000001</v>
      </c>
      <c r="BM13" s="203">
        <v>358595875.13999999</v>
      </c>
      <c r="BN13" s="203">
        <v>433020288.73000002</v>
      </c>
      <c r="BO13" s="204">
        <v>508617108.33999997</v>
      </c>
      <c r="BP13" s="283">
        <v>589277331.08000004</v>
      </c>
      <c r="BQ13" s="273">
        <v>538550792.69000006</v>
      </c>
      <c r="BR13" s="203">
        <v>612507126.62</v>
      </c>
      <c r="BS13" s="203">
        <v>672030497</v>
      </c>
      <c r="BT13" s="203">
        <v>739757487.24000001</v>
      </c>
      <c r="BU13" s="49">
        <v>751693000</v>
      </c>
    </row>
    <row r="14" spans="2:73">
      <c r="B14" s="54" t="s">
        <v>235</v>
      </c>
      <c r="C14" s="55"/>
      <c r="D14" s="50">
        <v>125309827</v>
      </c>
      <c r="E14" s="50">
        <f>145777691+7434856</f>
        <v>153212547</v>
      </c>
      <c r="F14" s="50">
        <v>180297605</v>
      </c>
      <c r="G14" s="67">
        <f>503292195-G13</f>
        <v>40499432</v>
      </c>
      <c r="H14" s="46">
        <v>22604631</v>
      </c>
      <c r="I14" s="67">
        <v>11682507</v>
      </c>
      <c r="J14" s="67">
        <v>16624290</v>
      </c>
      <c r="K14" s="67">
        <v>21978631</v>
      </c>
      <c r="L14" s="67">
        <v>27060822</v>
      </c>
      <c r="M14" s="67">
        <v>32213334</v>
      </c>
      <c r="N14" s="67">
        <v>37103744.609999999</v>
      </c>
      <c r="O14" s="67">
        <v>42061623</v>
      </c>
      <c r="P14" s="67">
        <v>48040667</v>
      </c>
      <c r="Q14" s="67">
        <v>52643408</v>
      </c>
      <c r="R14" s="67">
        <v>57371622</v>
      </c>
      <c r="S14" s="67">
        <v>61841795</v>
      </c>
      <c r="T14" s="67">
        <f>1760060+60081736</f>
        <v>61841796</v>
      </c>
      <c r="U14" s="270">
        <f>553882+44707422</f>
        <v>45261304</v>
      </c>
      <c r="V14" s="67">
        <v>3036301</v>
      </c>
      <c r="W14" s="67">
        <v>7912785</v>
      </c>
      <c r="X14" s="67">
        <v>9999689</v>
      </c>
      <c r="Y14" s="67">
        <v>9999689</v>
      </c>
      <c r="Z14" s="67">
        <v>11383625</v>
      </c>
      <c r="AA14" s="67">
        <v>11383627</v>
      </c>
      <c r="AB14" s="67">
        <v>11383627</v>
      </c>
      <c r="AC14" s="67">
        <v>11383627</v>
      </c>
      <c r="AD14" s="67">
        <v>11383627</v>
      </c>
      <c r="AE14" s="67">
        <v>11383627</v>
      </c>
      <c r="AF14" s="67">
        <v>11383627</v>
      </c>
      <c r="AG14" s="67">
        <v>11383627</v>
      </c>
      <c r="AH14" s="67">
        <v>11383627</v>
      </c>
      <c r="AI14" s="203">
        <v>0</v>
      </c>
      <c r="AJ14" s="203">
        <v>0</v>
      </c>
      <c r="AK14" s="203">
        <v>0</v>
      </c>
      <c r="AL14" s="203">
        <v>0</v>
      </c>
      <c r="AM14" s="203">
        <v>0</v>
      </c>
      <c r="AN14" s="203">
        <v>0</v>
      </c>
      <c r="AO14" s="203"/>
      <c r="AP14" s="203">
        <v>0</v>
      </c>
      <c r="AQ14" s="203">
        <v>0</v>
      </c>
      <c r="AR14" s="203">
        <v>0</v>
      </c>
      <c r="AS14" s="203">
        <v>0</v>
      </c>
      <c r="AT14" s="203">
        <v>0</v>
      </c>
      <c r="AU14" s="67"/>
      <c r="AV14" s="49">
        <v>0</v>
      </c>
      <c r="AW14" s="49">
        <v>0</v>
      </c>
      <c r="AX14" s="46">
        <v>0</v>
      </c>
      <c r="AY14" s="46">
        <v>0</v>
      </c>
      <c r="AZ14" s="46">
        <v>0</v>
      </c>
      <c r="BA14" s="46">
        <v>0</v>
      </c>
      <c r="BB14" s="46">
        <v>0</v>
      </c>
      <c r="BC14" s="46">
        <v>0</v>
      </c>
      <c r="BD14" s="46">
        <v>0</v>
      </c>
      <c r="BE14" s="46">
        <v>0</v>
      </c>
      <c r="BF14" s="46">
        <v>0</v>
      </c>
      <c r="BG14" s="46">
        <v>0</v>
      </c>
      <c r="BH14" s="46"/>
      <c r="BI14" s="203">
        <v>0</v>
      </c>
      <c r="BJ14" s="203">
        <v>0</v>
      </c>
      <c r="BK14" s="203">
        <v>0</v>
      </c>
      <c r="BL14" s="203">
        <v>0</v>
      </c>
      <c r="BM14" s="203">
        <v>0</v>
      </c>
      <c r="BN14" s="203">
        <v>0</v>
      </c>
      <c r="BO14" s="204">
        <v>0</v>
      </c>
      <c r="BP14" s="283">
        <v>0</v>
      </c>
      <c r="BQ14" s="274">
        <v>0</v>
      </c>
      <c r="BR14" s="203">
        <v>0</v>
      </c>
      <c r="BS14" s="203">
        <v>0</v>
      </c>
      <c r="BT14" s="203">
        <v>0</v>
      </c>
    </row>
    <row r="15" spans="2:73">
      <c r="B15" s="54" t="s">
        <v>236</v>
      </c>
      <c r="C15" s="60"/>
      <c r="D15" s="50"/>
      <c r="E15" s="50"/>
      <c r="F15" s="50"/>
      <c r="G15" s="69"/>
      <c r="H15" s="46">
        <v>12000000</v>
      </c>
      <c r="I15" s="69">
        <v>7845862</v>
      </c>
      <c r="J15" s="69">
        <v>12000989</v>
      </c>
      <c r="K15" s="69">
        <v>16017736</v>
      </c>
      <c r="L15" s="69">
        <v>20055133</v>
      </c>
      <c r="M15" s="69">
        <v>24127297</v>
      </c>
      <c r="N15" s="69">
        <v>28138899.570600003</v>
      </c>
      <c r="O15" s="69">
        <v>32299813</v>
      </c>
      <c r="P15" s="73">
        <v>36516338.25</v>
      </c>
      <c r="Q15" s="69">
        <v>40864804</v>
      </c>
      <c r="R15" s="69">
        <v>45273349</v>
      </c>
      <c r="S15" s="69">
        <v>49718483</v>
      </c>
      <c r="T15" s="69"/>
      <c r="U15" s="270"/>
      <c r="V15" s="69">
        <v>5799241</v>
      </c>
      <c r="W15" s="69">
        <v>11666498</v>
      </c>
      <c r="X15" s="69">
        <v>17683355</v>
      </c>
      <c r="Y15" s="69">
        <v>23856748</v>
      </c>
      <c r="Z15" s="69">
        <v>30036363</v>
      </c>
      <c r="AA15" s="129">
        <v>36270458</v>
      </c>
      <c r="AB15" s="129">
        <v>57737686</v>
      </c>
      <c r="AC15" s="129">
        <v>55915859</v>
      </c>
      <c r="AD15" s="129">
        <v>63184934</v>
      </c>
      <c r="AE15" s="69">
        <v>70928821</v>
      </c>
      <c r="AF15" s="69">
        <v>78489450</v>
      </c>
      <c r="AG15" s="69">
        <v>86235607</v>
      </c>
      <c r="AH15" s="69"/>
      <c r="AI15" s="203">
        <v>4089203</v>
      </c>
      <c r="AJ15" s="203">
        <v>8178623</v>
      </c>
      <c r="AK15" s="203">
        <v>24698133</v>
      </c>
      <c r="AL15" s="203">
        <v>33107607</v>
      </c>
      <c r="AM15" s="203">
        <v>41578390</v>
      </c>
      <c r="AN15" s="203">
        <v>50079255</v>
      </c>
      <c r="AO15" s="203"/>
      <c r="AP15" s="203">
        <v>58994484</v>
      </c>
      <c r="AQ15" s="203">
        <v>76245523</v>
      </c>
      <c r="AR15" s="203">
        <v>85307592</v>
      </c>
      <c r="AS15" s="203">
        <v>94517667</v>
      </c>
      <c r="AT15" s="203">
        <v>103851563.09999999</v>
      </c>
      <c r="AU15" s="69"/>
      <c r="AV15" s="49">
        <v>8700151</v>
      </c>
      <c r="AW15" s="49">
        <v>20978913</v>
      </c>
      <c r="AX15" s="46">
        <v>31316691</v>
      </c>
      <c r="AY15" s="46">
        <v>42022314</v>
      </c>
      <c r="AZ15" s="46">
        <v>42335507</v>
      </c>
      <c r="BA15" s="46">
        <v>63874326</v>
      </c>
      <c r="BB15" s="46">
        <v>75093182</v>
      </c>
      <c r="BC15" s="46">
        <v>86591723</v>
      </c>
      <c r="BD15" s="46">
        <v>98022503</v>
      </c>
      <c r="BE15" s="46">
        <v>109780628</v>
      </c>
      <c r="BF15" s="46">
        <v>121601922</v>
      </c>
      <c r="BG15" s="46">
        <v>191240845</v>
      </c>
      <c r="BH15" s="46"/>
      <c r="BI15" s="203">
        <v>17384873</v>
      </c>
      <c r="BJ15" s="203">
        <v>34950016</v>
      </c>
      <c r="BK15" s="203">
        <v>52834555</v>
      </c>
      <c r="BL15" s="203">
        <v>70826589</v>
      </c>
      <c r="BM15" s="203">
        <v>89009669</v>
      </c>
      <c r="BN15" s="203">
        <v>107341399</v>
      </c>
      <c r="BO15" s="204">
        <v>125787133</v>
      </c>
      <c r="BP15" s="283">
        <v>144419593</v>
      </c>
      <c r="BQ15" s="273">
        <v>163366879</v>
      </c>
      <c r="BR15" s="203">
        <v>182412006</v>
      </c>
      <c r="BS15" s="203">
        <v>201285389</v>
      </c>
      <c r="BT15" s="203">
        <v>221890962</v>
      </c>
    </row>
    <row r="16" spans="2:73">
      <c r="B16" s="54" t="s">
        <v>237</v>
      </c>
      <c r="C16" s="60"/>
      <c r="D16" s="50">
        <v>1304560</v>
      </c>
      <c r="E16" s="50"/>
      <c r="F16" s="50">
        <v>1384622</v>
      </c>
      <c r="G16" s="67"/>
      <c r="H16" s="46">
        <v>98654</v>
      </c>
      <c r="I16" s="67"/>
      <c r="J16" s="67"/>
      <c r="K16" s="67"/>
      <c r="L16" s="67"/>
      <c r="M16" s="67"/>
      <c r="N16" s="67"/>
      <c r="O16" s="67"/>
      <c r="P16" s="67">
        <v>0</v>
      </c>
      <c r="Q16" s="67">
        <v>0</v>
      </c>
      <c r="R16" s="67">
        <v>0</v>
      </c>
      <c r="S16" s="67">
        <v>0</v>
      </c>
      <c r="T16" s="67"/>
      <c r="U16" s="270">
        <v>2621710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7">
        <v>0</v>
      </c>
      <c r="AD16" s="67">
        <v>0</v>
      </c>
      <c r="AE16" s="67">
        <v>0</v>
      </c>
      <c r="AF16" s="67"/>
      <c r="AG16" s="67"/>
      <c r="AH16" s="67">
        <f>18589967</f>
        <v>18589967</v>
      </c>
      <c r="AI16" s="203">
        <v>808221</v>
      </c>
      <c r="AJ16" s="203">
        <v>1006042</v>
      </c>
      <c r="AK16" s="203">
        <v>0</v>
      </c>
      <c r="AL16" s="203">
        <v>0</v>
      </c>
      <c r="AM16" s="203">
        <v>0</v>
      </c>
      <c r="AN16" s="203">
        <v>0</v>
      </c>
      <c r="AO16" s="203"/>
      <c r="AP16" s="203">
        <v>0</v>
      </c>
      <c r="AQ16" s="203">
        <v>0</v>
      </c>
      <c r="AR16" s="203">
        <v>0</v>
      </c>
      <c r="AS16" s="203">
        <v>0</v>
      </c>
      <c r="AT16" s="203">
        <v>0</v>
      </c>
      <c r="AU16" s="67">
        <f>3497</f>
        <v>3497</v>
      </c>
      <c r="AV16" s="49">
        <v>0</v>
      </c>
      <c r="AW16" s="49">
        <v>0</v>
      </c>
      <c r="AX16" s="46">
        <v>0</v>
      </c>
      <c r="AY16" s="46">
        <v>0</v>
      </c>
      <c r="AZ16" s="46">
        <v>0</v>
      </c>
      <c r="BA16" s="46">
        <v>0</v>
      </c>
      <c r="BB16" s="46">
        <v>0</v>
      </c>
      <c r="BC16" s="46">
        <v>0</v>
      </c>
      <c r="BD16" s="46">
        <v>0</v>
      </c>
      <c r="BE16" s="46">
        <v>0</v>
      </c>
      <c r="BF16" s="46">
        <v>0</v>
      </c>
      <c r="BG16" s="46">
        <v>0</v>
      </c>
      <c r="BH16" s="46"/>
      <c r="BI16" s="203">
        <v>0</v>
      </c>
      <c r="BJ16" s="203">
        <v>0</v>
      </c>
      <c r="BK16" s="203">
        <v>0</v>
      </c>
      <c r="BL16" s="203">
        <v>0</v>
      </c>
      <c r="BM16" s="203">
        <v>0</v>
      </c>
      <c r="BN16" s="203">
        <v>0</v>
      </c>
      <c r="BO16" s="204">
        <v>0</v>
      </c>
      <c r="BP16" s="283">
        <v>0</v>
      </c>
      <c r="BQ16" s="274">
        <v>0</v>
      </c>
      <c r="BR16" s="203">
        <v>0</v>
      </c>
      <c r="BS16" s="203">
        <v>0</v>
      </c>
      <c r="BT16" s="203">
        <v>0</v>
      </c>
    </row>
    <row r="17" spans="2:73">
      <c r="B17" s="54" t="s">
        <v>238</v>
      </c>
      <c r="C17" s="61"/>
      <c r="D17" s="50">
        <v>806540</v>
      </c>
      <c r="E17" s="50">
        <v>730212</v>
      </c>
      <c r="F17" s="50">
        <v>936547</v>
      </c>
      <c r="G17" s="68"/>
      <c r="H17" s="46">
        <v>104327</v>
      </c>
      <c r="I17" s="68">
        <v>1595388</v>
      </c>
      <c r="J17" s="68">
        <v>2392023</v>
      </c>
      <c r="K17" s="68">
        <v>3202974</v>
      </c>
      <c r="L17" s="68">
        <v>4002073</v>
      </c>
      <c r="M17" s="68">
        <v>4766366</v>
      </c>
      <c r="N17" s="68">
        <v>5479326.2000000002</v>
      </c>
      <c r="O17" s="68">
        <v>6529708</v>
      </c>
      <c r="P17" s="68">
        <v>6913706</v>
      </c>
      <c r="Q17" s="68">
        <v>7758743</v>
      </c>
      <c r="R17" s="68">
        <v>8520442</v>
      </c>
      <c r="S17" s="68">
        <v>9374086</v>
      </c>
      <c r="T17" s="68"/>
      <c r="U17" s="270"/>
      <c r="V17" s="68">
        <v>818250</v>
      </c>
      <c r="W17" s="68">
        <v>1602578</v>
      </c>
      <c r="X17" s="68">
        <v>2334587</v>
      </c>
      <c r="Y17" s="68">
        <v>3329836</v>
      </c>
      <c r="Z17" s="68">
        <v>4154591</v>
      </c>
      <c r="AA17" s="68">
        <v>4996955</v>
      </c>
      <c r="AB17" s="68">
        <v>5829917</v>
      </c>
      <c r="AC17" s="68">
        <v>6754209</v>
      </c>
      <c r="AD17" s="68">
        <v>6754209</v>
      </c>
      <c r="AE17" s="68">
        <v>7718718</v>
      </c>
      <c r="AF17" s="68">
        <v>8473968</v>
      </c>
      <c r="AG17" s="68">
        <v>8797903</v>
      </c>
      <c r="AH17" s="68"/>
      <c r="AI17" s="203">
        <v>706839</v>
      </c>
      <c r="AJ17" s="203">
        <v>988329</v>
      </c>
      <c r="AK17" s="203">
        <v>2566719</v>
      </c>
      <c r="AL17" s="203">
        <v>3264937</v>
      </c>
      <c r="AM17" s="203">
        <v>3503536</v>
      </c>
      <c r="AN17" s="203">
        <v>4064576</v>
      </c>
      <c r="AO17" s="203"/>
      <c r="AP17" s="203">
        <v>5242652</v>
      </c>
      <c r="AQ17" s="203">
        <v>6337788</v>
      </c>
      <c r="AR17" s="203">
        <v>6460009</v>
      </c>
      <c r="AS17" s="203">
        <v>6058704</v>
      </c>
      <c r="AT17" s="203">
        <v>7718338</v>
      </c>
      <c r="AU17" s="68"/>
      <c r="AV17" s="49">
        <v>769323</v>
      </c>
      <c r="AW17" s="49">
        <v>1371323</v>
      </c>
      <c r="AX17" s="46">
        <v>1371323</v>
      </c>
      <c r="AY17" s="46">
        <v>2335500</v>
      </c>
      <c r="AZ17" s="46">
        <v>2911097</v>
      </c>
      <c r="BA17" s="46">
        <v>3508049</v>
      </c>
      <c r="BB17" s="46">
        <v>4665477</v>
      </c>
      <c r="BC17" s="46">
        <v>5446113</v>
      </c>
      <c r="BD17" s="46">
        <v>6175443</v>
      </c>
      <c r="BE17" s="46">
        <v>6258199</v>
      </c>
      <c r="BF17" s="46">
        <v>6047217</v>
      </c>
      <c r="BG17" s="46">
        <v>7212501</v>
      </c>
      <c r="BH17" s="46"/>
      <c r="BI17" s="203">
        <v>670274</v>
      </c>
      <c r="BJ17" s="203">
        <v>1365286</v>
      </c>
      <c r="BK17" s="203">
        <v>2133698</v>
      </c>
      <c r="BL17" s="203">
        <v>2426198</v>
      </c>
      <c r="BM17" s="203">
        <v>3101920</v>
      </c>
      <c r="BN17" s="203">
        <v>4412610</v>
      </c>
      <c r="BO17" s="204">
        <v>5328164</v>
      </c>
      <c r="BP17" s="283">
        <v>4824262</v>
      </c>
      <c r="BQ17" s="273">
        <v>4868826</v>
      </c>
      <c r="BR17" s="203">
        <v>6011436</v>
      </c>
      <c r="BS17" s="203">
        <v>6097152</v>
      </c>
      <c r="BT17" s="203">
        <v>6688462</v>
      </c>
    </row>
    <row r="18" spans="2:73">
      <c r="B18" s="54" t="s">
        <v>239</v>
      </c>
      <c r="C18" s="62"/>
      <c r="D18" s="62"/>
      <c r="E18" s="62"/>
      <c r="F18" s="62"/>
      <c r="G18" s="69"/>
      <c r="H18" s="62"/>
      <c r="I18" s="69">
        <v>3737078</v>
      </c>
      <c r="J18" s="69">
        <v>7189341</v>
      </c>
      <c r="K18" s="69">
        <v>15358163</v>
      </c>
      <c r="L18" s="69">
        <v>17233635</v>
      </c>
      <c r="M18" s="69">
        <v>26033913</v>
      </c>
      <c r="N18" s="69">
        <v>28289254.5</v>
      </c>
      <c r="O18" s="69">
        <v>32909932</v>
      </c>
      <c r="P18" s="69">
        <v>42959968</v>
      </c>
      <c r="Q18" s="69">
        <v>45070910</v>
      </c>
      <c r="R18" s="69">
        <v>47464509.140000001</v>
      </c>
      <c r="S18" s="69">
        <v>61556414</v>
      </c>
      <c r="T18" s="69"/>
      <c r="U18" s="270"/>
      <c r="V18" s="69">
        <v>12815273</v>
      </c>
      <c r="W18" s="69">
        <v>16824590</v>
      </c>
      <c r="X18" s="69">
        <v>27051721</v>
      </c>
      <c r="Y18" s="69">
        <v>30246448</v>
      </c>
      <c r="Z18" s="69">
        <v>33855213</v>
      </c>
      <c r="AA18" s="129">
        <v>37797449</v>
      </c>
      <c r="AB18" s="129">
        <v>46043040</v>
      </c>
      <c r="AC18" s="129">
        <v>47241421</v>
      </c>
      <c r="AD18" s="129">
        <v>62382928</v>
      </c>
      <c r="AE18" s="69">
        <v>65429103</v>
      </c>
      <c r="AF18" s="69">
        <v>67693100</v>
      </c>
      <c r="AG18" s="69">
        <v>87459200</v>
      </c>
      <c r="AH18" s="69"/>
      <c r="AI18" s="203">
        <v>0</v>
      </c>
      <c r="AJ18" s="203">
        <v>0</v>
      </c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49">
        <v>0</v>
      </c>
      <c r="AW18" s="49">
        <v>0</v>
      </c>
      <c r="AX18" s="46">
        <v>0</v>
      </c>
      <c r="AY18" s="46">
        <v>0</v>
      </c>
      <c r="AZ18" s="46">
        <v>0</v>
      </c>
      <c r="BA18" s="46">
        <v>0</v>
      </c>
      <c r="BB18" s="46">
        <v>0</v>
      </c>
      <c r="BC18" s="46">
        <v>0</v>
      </c>
      <c r="BD18" s="46">
        <v>0</v>
      </c>
      <c r="BE18" s="46">
        <v>0</v>
      </c>
      <c r="BF18" s="46">
        <v>0</v>
      </c>
      <c r="BG18" s="46">
        <v>0</v>
      </c>
      <c r="BH18" s="46"/>
      <c r="BI18" s="203">
        <v>0</v>
      </c>
      <c r="BJ18" s="203">
        <v>0</v>
      </c>
      <c r="BK18" s="203">
        <v>0</v>
      </c>
      <c r="BL18" s="203">
        <v>0</v>
      </c>
      <c r="BM18" s="203">
        <v>0</v>
      </c>
      <c r="BN18" s="203">
        <v>0</v>
      </c>
      <c r="BO18" s="204">
        <v>0</v>
      </c>
      <c r="BP18" s="283">
        <v>0</v>
      </c>
      <c r="BQ18" s="274">
        <v>0</v>
      </c>
      <c r="BR18" s="203">
        <v>0</v>
      </c>
      <c r="BS18" s="203">
        <v>0</v>
      </c>
      <c r="BT18" s="203">
        <v>0</v>
      </c>
    </row>
    <row r="19" spans="2:73">
      <c r="B19" s="52" t="s">
        <v>240</v>
      </c>
      <c r="C19" s="53"/>
      <c r="D19" s="53">
        <f t="shared" ref="D19:AU19" si="19">D3-D12</f>
        <v>274758054</v>
      </c>
      <c r="E19" s="53">
        <f t="shared" si="19"/>
        <v>468542697</v>
      </c>
      <c r="F19" s="53">
        <f t="shared" si="19"/>
        <v>608494525</v>
      </c>
      <c r="G19" s="66">
        <f t="shared" si="19"/>
        <v>640160264</v>
      </c>
      <c r="H19" s="53">
        <f t="shared" si="19"/>
        <v>111443426</v>
      </c>
      <c r="I19" s="66">
        <f t="shared" si="19"/>
        <v>95228235</v>
      </c>
      <c r="J19" s="66">
        <f t="shared" si="19"/>
        <v>138379192</v>
      </c>
      <c r="K19" s="66">
        <f t="shared" si="19"/>
        <v>199459939</v>
      </c>
      <c r="L19" s="66">
        <f t="shared" si="19"/>
        <v>250961948.11000001</v>
      </c>
      <c r="M19" s="66">
        <f t="shared" si="19"/>
        <v>301952663</v>
      </c>
      <c r="N19" s="66">
        <f t="shared" si="19"/>
        <v>346848170.02759165</v>
      </c>
      <c r="O19" s="66">
        <f t="shared" si="19"/>
        <v>399999437.13</v>
      </c>
      <c r="P19" s="66">
        <f t="shared" si="19"/>
        <v>445105973</v>
      </c>
      <c r="Q19" s="66">
        <f t="shared" si="19"/>
        <v>494232026.64999998</v>
      </c>
      <c r="R19" s="66">
        <f t="shared" si="19"/>
        <v>560428968</v>
      </c>
      <c r="S19" s="66">
        <f t="shared" si="19"/>
        <v>585199188.11000001</v>
      </c>
      <c r="T19" s="66">
        <f t="shared" si="19"/>
        <v>773302495</v>
      </c>
      <c r="U19" s="66">
        <f t="shared" si="19"/>
        <v>768572095</v>
      </c>
      <c r="V19" s="66">
        <f t="shared" si="19"/>
        <v>46424603.75999999</v>
      </c>
      <c r="W19" s="66">
        <f t="shared" si="19"/>
        <v>90508480.629999995</v>
      </c>
      <c r="X19" s="66">
        <f t="shared" si="19"/>
        <v>136239310</v>
      </c>
      <c r="Y19" s="66">
        <f t="shared" si="19"/>
        <v>185018891.13</v>
      </c>
      <c r="Z19" s="66">
        <f t="shared" si="19"/>
        <v>248616774.83999997</v>
      </c>
      <c r="AA19" s="128">
        <f t="shared" si="19"/>
        <v>316757537.25</v>
      </c>
      <c r="AB19" s="128">
        <f t="shared" si="19"/>
        <v>334876504.99000001</v>
      </c>
      <c r="AC19" s="128">
        <f t="shared" si="19"/>
        <v>401954338.04999995</v>
      </c>
      <c r="AD19" s="128">
        <f t="shared" si="19"/>
        <v>427086367.17000008</v>
      </c>
      <c r="AE19" s="66">
        <f t="shared" si="19"/>
        <v>472112833.62</v>
      </c>
      <c r="AF19" s="66">
        <f t="shared" si="19"/>
        <v>505694264.32000005</v>
      </c>
      <c r="AG19" s="66">
        <f t="shared" si="19"/>
        <v>526849227.83000004</v>
      </c>
      <c r="AH19" s="66">
        <f t="shared" si="19"/>
        <v>818697253</v>
      </c>
      <c r="AI19" s="66">
        <f t="shared" si="19"/>
        <v>124462082</v>
      </c>
      <c r="AJ19" s="66">
        <f t="shared" si="19"/>
        <v>245780041</v>
      </c>
      <c r="AK19" s="66">
        <f t="shared" si="19"/>
        <v>167390980.66999999</v>
      </c>
      <c r="AL19" s="66">
        <f t="shared" si="19"/>
        <v>239742843.15000001</v>
      </c>
      <c r="AM19" s="66">
        <f t="shared" si="19"/>
        <v>269381486.12</v>
      </c>
      <c r="AN19" s="66">
        <f t="shared" si="19"/>
        <v>289647520</v>
      </c>
      <c r="AO19" s="66">
        <f t="shared" si="19"/>
        <v>0</v>
      </c>
      <c r="AP19" s="66">
        <f t="shared" si="19"/>
        <v>431389916.29000002</v>
      </c>
      <c r="AQ19" s="66">
        <f t="shared" si="19"/>
        <v>392939291.09000003</v>
      </c>
      <c r="AR19" s="66">
        <f t="shared" si="19"/>
        <v>444705965.53999996</v>
      </c>
      <c r="AS19" s="66">
        <f t="shared" si="19"/>
        <v>498133937.07000005</v>
      </c>
      <c r="AT19" s="66">
        <f t="shared" si="19"/>
        <v>560381646.97000003</v>
      </c>
      <c r="AU19" s="66">
        <f t="shared" si="19"/>
        <v>782965</v>
      </c>
      <c r="AV19" s="66">
        <f t="shared" ref="AV19:BH19" si="20">AV3-AV12</f>
        <v>36747235</v>
      </c>
      <c r="AW19" s="66">
        <f t="shared" si="20"/>
        <v>75726422.459999979</v>
      </c>
      <c r="AX19" s="66">
        <f t="shared" si="20"/>
        <v>117568923.91999999</v>
      </c>
      <c r="AY19" s="66">
        <f t="shared" si="20"/>
        <v>188404238.13</v>
      </c>
      <c r="AZ19" s="66">
        <f t="shared" si="20"/>
        <v>300675084.62</v>
      </c>
      <c r="BA19" s="66">
        <f t="shared" si="20"/>
        <v>308009850</v>
      </c>
      <c r="BB19" s="66">
        <f t="shared" si="20"/>
        <v>346780503.01999998</v>
      </c>
      <c r="BC19" s="66">
        <f t="shared" si="20"/>
        <v>383533852</v>
      </c>
      <c r="BD19" s="66">
        <f t="shared" si="20"/>
        <v>419534105.58000004</v>
      </c>
      <c r="BE19" s="66">
        <f t="shared" si="20"/>
        <v>450668320.55999994</v>
      </c>
      <c r="BF19" s="66">
        <f t="shared" si="20"/>
        <v>489888589.16999996</v>
      </c>
      <c r="BG19" s="66">
        <f t="shared" si="20"/>
        <v>786943616.51999998</v>
      </c>
      <c r="BH19" s="66">
        <f t="shared" si="20"/>
        <v>985396962.70000005</v>
      </c>
      <c r="BI19" s="66">
        <f t="shared" ref="BI19:BO19" si="21">BI3-BI12</f>
        <v>38810092.879999995</v>
      </c>
      <c r="BJ19" s="66">
        <f t="shared" si="21"/>
        <v>124735117.25999999</v>
      </c>
      <c r="BK19" s="66">
        <f t="shared" si="21"/>
        <v>102206659</v>
      </c>
      <c r="BL19" s="66">
        <f t="shared" si="21"/>
        <v>126693282.19999999</v>
      </c>
      <c r="BM19" s="66">
        <f t="shared" si="21"/>
        <v>216185103.86000001</v>
      </c>
      <c r="BN19" s="66">
        <f t="shared" si="21"/>
        <v>281592428.26999998</v>
      </c>
      <c r="BO19" s="66">
        <f t="shared" si="21"/>
        <v>341346855.66000009</v>
      </c>
      <c r="BP19" s="200">
        <f>BP3-BP12</f>
        <v>379884286.91999996</v>
      </c>
      <c r="BQ19" s="272">
        <f>BQ3-BQ12</f>
        <v>579448753.30999994</v>
      </c>
      <c r="BR19" s="272">
        <f t="shared" ref="BR19:BT19" si="22">BR3-BR12</f>
        <v>612169687.38</v>
      </c>
      <c r="BS19" s="272">
        <f t="shared" si="22"/>
        <v>680027876</v>
      </c>
      <c r="BT19" s="272">
        <f t="shared" si="22"/>
        <v>794849968.75999999</v>
      </c>
      <c r="BU19" s="272">
        <f>BU3-BU12</f>
        <v>1011494000</v>
      </c>
    </row>
    <row r="20" spans="2:73">
      <c r="B20" s="52" t="s">
        <v>187</v>
      </c>
      <c r="C20" s="53"/>
      <c r="D20" s="53">
        <f>D21+D22</f>
        <v>36806523</v>
      </c>
      <c r="E20" s="53">
        <f>E21+E22</f>
        <v>40642542</v>
      </c>
      <c r="F20" s="53">
        <f>F21+F22</f>
        <v>18328456</v>
      </c>
      <c r="G20" s="66">
        <f>G21-G22</f>
        <v>66035226</v>
      </c>
      <c r="H20" s="53">
        <f>H21+H22</f>
        <v>1987245</v>
      </c>
      <c r="I20" s="66">
        <f t="shared" ref="I20:O20" si="23">I21-I22</f>
        <v>10903573</v>
      </c>
      <c r="J20" s="66">
        <f t="shared" si="23"/>
        <v>16122028</v>
      </c>
      <c r="K20" s="66">
        <f t="shared" si="23"/>
        <v>-16510882</v>
      </c>
      <c r="L20" s="66">
        <f t="shared" si="23"/>
        <v>-5651246</v>
      </c>
      <c r="M20" s="66">
        <f t="shared" si="23"/>
        <v>9266242</v>
      </c>
      <c r="N20" s="66">
        <f t="shared" si="23"/>
        <v>-18796889.81310001</v>
      </c>
      <c r="O20" s="66">
        <f t="shared" si="23"/>
        <v>-8429948</v>
      </c>
      <c r="P20" s="66">
        <f t="shared" ref="P20:U20" si="24">P21-P22</f>
        <v>12436509</v>
      </c>
      <c r="Q20" s="66">
        <f t="shared" si="24"/>
        <v>10265333</v>
      </c>
      <c r="R20" s="66">
        <f t="shared" si="24"/>
        <v>20010490</v>
      </c>
      <c r="S20" s="66">
        <f t="shared" si="24"/>
        <v>81720821</v>
      </c>
      <c r="T20" s="66">
        <f t="shared" si="24"/>
        <v>13628428</v>
      </c>
      <c r="U20" s="66">
        <f t="shared" si="24"/>
        <v>148990933</v>
      </c>
      <c r="V20" s="66">
        <f t="shared" ref="V20:AC20" si="25">V21-V22</f>
        <v>0</v>
      </c>
      <c r="W20" s="66">
        <f t="shared" si="25"/>
        <v>0</v>
      </c>
      <c r="X20" s="66">
        <f t="shared" si="25"/>
        <v>0</v>
      </c>
      <c r="Y20" s="66">
        <f t="shared" si="25"/>
        <v>0</v>
      </c>
      <c r="Z20" s="66">
        <f t="shared" si="25"/>
        <v>0</v>
      </c>
      <c r="AA20" s="128">
        <f t="shared" si="25"/>
        <v>0</v>
      </c>
      <c r="AB20" s="128">
        <f t="shared" si="25"/>
        <v>0</v>
      </c>
      <c r="AC20" s="128">
        <f t="shared" si="25"/>
        <v>0</v>
      </c>
      <c r="AD20" s="128">
        <f t="shared" ref="AD20:AK20" si="26">AD21-AD22</f>
        <v>30665069</v>
      </c>
      <c r="AE20" s="66">
        <f t="shared" si="26"/>
        <v>26525556</v>
      </c>
      <c r="AF20" s="66">
        <f t="shared" si="26"/>
        <v>35084078</v>
      </c>
      <c r="AG20" s="66">
        <f t="shared" si="26"/>
        <v>49697840</v>
      </c>
      <c r="AH20" s="66">
        <f t="shared" si="26"/>
        <v>22064915</v>
      </c>
      <c r="AI20" s="66">
        <f t="shared" si="26"/>
        <v>9778427</v>
      </c>
      <c r="AJ20" s="66">
        <f t="shared" si="26"/>
        <v>18245749</v>
      </c>
      <c r="AK20" s="66">
        <f t="shared" si="26"/>
        <v>7024907</v>
      </c>
      <c r="AL20" s="66">
        <f t="shared" ref="AL20:AU20" si="27">AL21-AL22</f>
        <v>39873533</v>
      </c>
      <c r="AM20" s="66">
        <f t="shared" si="27"/>
        <v>37481310</v>
      </c>
      <c r="AN20" s="66">
        <f t="shared" si="27"/>
        <v>67698889</v>
      </c>
      <c r="AO20" s="66">
        <f t="shared" si="27"/>
        <v>0</v>
      </c>
      <c r="AP20" s="66">
        <f t="shared" si="27"/>
        <v>72917070</v>
      </c>
      <c r="AQ20" s="66">
        <f t="shared" si="27"/>
        <v>173928001</v>
      </c>
      <c r="AR20" s="66">
        <f t="shared" si="27"/>
        <v>101476469</v>
      </c>
      <c r="AS20" s="66">
        <f t="shared" si="27"/>
        <v>58350572</v>
      </c>
      <c r="AT20" s="66">
        <f t="shared" si="27"/>
        <v>104513273</v>
      </c>
      <c r="AU20" s="66">
        <f t="shared" si="27"/>
        <v>104513</v>
      </c>
      <c r="AV20" s="66">
        <f t="shared" ref="AV20:BH20" si="28">AV21-AV22</f>
        <v>16696078</v>
      </c>
      <c r="AW20" s="66">
        <f t="shared" si="28"/>
        <v>0</v>
      </c>
      <c r="AX20" s="66">
        <f t="shared" si="28"/>
        <v>0</v>
      </c>
      <c r="AY20" s="66">
        <f t="shared" si="28"/>
        <v>0</v>
      </c>
      <c r="AZ20" s="66">
        <f t="shared" si="28"/>
        <v>0</v>
      </c>
      <c r="BA20" s="66">
        <f t="shared" si="28"/>
        <v>0</v>
      </c>
      <c r="BB20" s="66">
        <f t="shared" si="28"/>
        <v>0</v>
      </c>
      <c r="BC20" s="66">
        <f t="shared" si="28"/>
        <v>0</v>
      </c>
      <c r="BD20" s="66">
        <f t="shared" si="28"/>
        <v>0</v>
      </c>
      <c r="BE20" s="66">
        <f t="shared" si="28"/>
        <v>0</v>
      </c>
      <c r="BF20" s="66">
        <f t="shared" si="28"/>
        <v>0</v>
      </c>
      <c r="BG20" s="66">
        <f t="shared" si="28"/>
        <v>0</v>
      </c>
      <c r="BH20" s="66">
        <f t="shared" si="28"/>
        <v>541988824</v>
      </c>
      <c r="BI20" s="66">
        <f t="shared" ref="BI20:BO20" si="29">BI21-BI22</f>
        <v>0</v>
      </c>
      <c r="BJ20" s="66">
        <f t="shared" si="29"/>
        <v>0</v>
      </c>
      <c r="BK20" s="66">
        <f t="shared" si="29"/>
        <v>0</v>
      </c>
      <c r="BL20" s="66">
        <f t="shared" si="29"/>
        <v>0</v>
      </c>
      <c r="BM20" s="66">
        <f t="shared" si="29"/>
        <v>0</v>
      </c>
      <c r="BN20" s="66">
        <f t="shared" si="29"/>
        <v>0</v>
      </c>
      <c r="BO20" s="66">
        <f t="shared" si="29"/>
        <v>0</v>
      </c>
      <c r="BP20" s="200">
        <f>BP21-BP22</f>
        <v>0</v>
      </c>
      <c r="BQ20" s="272">
        <f>BQ21-BQ22</f>
        <v>0</v>
      </c>
      <c r="BR20" s="272">
        <f t="shared" ref="BR20:BT20" si="30">BR21-BR22</f>
        <v>0</v>
      </c>
      <c r="BS20" s="272">
        <f t="shared" si="30"/>
        <v>0</v>
      </c>
      <c r="BT20" s="272">
        <f t="shared" si="30"/>
        <v>0</v>
      </c>
      <c r="BU20" s="272">
        <f>BU21-BU22</f>
        <v>-101404000</v>
      </c>
    </row>
    <row r="21" spans="2:73">
      <c r="B21" s="54" t="s">
        <v>241</v>
      </c>
      <c r="C21" s="60"/>
      <c r="D21" s="50">
        <v>36806523</v>
      </c>
      <c r="E21" s="50">
        <v>40642542</v>
      </c>
      <c r="F21" s="50">
        <v>18328456</v>
      </c>
      <c r="G21" s="69">
        <v>66035226</v>
      </c>
      <c r="H21" s="46">
        <v>1987245</v>
      </c>
      <c r="I21" s="69">
        <v>10903573</v>
      </c>
      <c r="J21" s="69">
        <v>16122028</v>
      </c>
      <c r="K21" s="69">
        <v>-16510882</v>
      </c>
      <c r="L21" s="69">
        <v>-5651246</v>
      </c>
      <c r="M21" s="69">
        <v>9266242</v>
      </c>
      <c r="N21" s="69">
        <v>-18796889.81310001</v>
      </c>
      <c r="O21" s="69">
        <v>-8429948</v>
      </c>
      <c r="P21" s="69">
        <v>12436509</v>
      </c>
      <c r="Q21" s="69">
        <v>10265333</v>
      </c>
      <c r="R21" s="69">
        <v>20010490</v>
      </c>
      <c r="S21" s="69">
        <v>81720821</v>
      </c>
      <c r="T21" s="69">
        <f>13628428</f>
        <v>13628428</v>
      </c>
      <c r="U21" s="270">
        <v>148990933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129">
        <v>0</v>
      </c>
      <c r="AB21" s="129">
        <v>0</v>
      </c>
      <c r="AC21" s="129">
        <v>0</v>
      </c>
      <c r="AD21" s="129">
        <v>30665069</v>
      </c>
      <c r="AE21" s="69">
        <v>26525556</v>
      </c>
      <c r="AF21" s="69">
        <v>35084078</v>
      </c>
      <c r="AG21" s="69">
        <v>49697840</v>
      </c>
      <c r="AH21" s="69">
        <v>22064915</v>
      </c>
      <c r="AI21" s="203">
        <v>9778427</v>
      </c>
      <c r="AJ21" s="203">
        <v>18245749</v>
      </c>
      <c r="AK21" s="203">
        <v>7024907</v>
      </c>
      <c r="AL21" s="203">
        <v>39873533</v>
      </c>
      <c r="AM21" s="203">
        <v>37481310</v>
      </c>
      <c r="AN21" s="203">
        <v>67698889</v>
      </c>
      <c r="AO21" s="203"/>
      <c r="AP21" s="203">
        <v>72917070</v>
      </c>
      <c r="AQ21" s="203">
        <v>173928001</v>
      </c>
      <c r="AR21" s="203">
        <v>101476469</v>
      </c>
      <c r="AS21" s="203">
        <v>58350572</v>
      </c>
      <c r="AT21" s="203">
        <v>104513273</v>
      </c>
      <c r="AU21" s="69">
        <v>104513</v>
      </c>
      <c r="AV21" s="49">
        <v>16696078</v>
      </c>
      <c r="AW21" s="49">
        <v>0</v>
      </c>
      <c r="AX21" s="46">
        <v>0</v>
      </c>
      <c r="AY21" s="46">
        <v>0</v>
      </c>
      <c r="AZ21" s="46">
        <v>0</v>
      </c>
      <c r="BA21" s="46">
        <v>0</v>
      </c>
      <c r="BB21" s="46">
        <v>0</v>
      </c>
      <c r="BC21" s="46">
        <v>0</v>
      </c>
      <c r="BD21" s="46">
        <v>0</v>
      </c>
      <c r="BE21" s="46">
        <v>0</v>
      </c>
      <c r="BF21" s="46">
        <v>0</v>
      </c>
      <c r="BG21" s="46">
        <v>0</v>
      </c>
      <c r="BH21" s="197">
        <v>541988824</v>
      </c>
      <c r="BI21" s="203">
        <v>0</v>
      </c>
      <c r="BJ21" s="203">
        <v>0</v>
      </c>
      <c r="BK21" s="203">
        <v>0</v>
      </c>
      <c r="BL21" s="203">
        <v>0</v>
      </c>
      <c r="BM21" s="203">
        <v>0</v>
      </c>
      <c r="BN21" s="203">
        <v>0</v>
      </c>
      <c r="BO21" s="203">
        <v>0</v>
      </c>
      <c r="BP21" s="204">
        <v>0</v>
      </c>
      <c r="BQ21" s="274">
        <v>0</v>
      </c>
      <c r="BR21" s="203">
        <v>0</v>
      </c>
      <c r="BS21" s="203">
        <v>0</v>
      </c>
      <c r="BT21" s="203">
        <v>0</v>
      </c>
      <c r="BU21" s="49">
        <v>-101404000</v>
      </c>
    </row>
    <row r="22" spans="2:73">
      <c r="B22" s="54" t="s">
        <v>242</v>
      </c>
      <c r="C22" s="62"/>
      <c r="D22" s="62"/>
      <c r="E22" s="62"/>
      <c r="F22" s="62"/>
      <c r="G22" s="69"/>
      <c r="H22" s="62"/>
      <c r="I22" s="69">
        <v>0</v>
      </c>
      <c r="J22" s="69"/>
      <c r="K22" s="69"/>
      <c r="L22" s="69"/>
      <c r="M22" s="69"/>
      <c r="N22" s="69"/>
      <c r="O22" s="69"/>
      <c r="P22" s="69"/>
      <c r="Q22" s="69">
        <v>0</v>
      </c>
      <c r="R22" s="69">
        <v>0</v>
      </c>
      <c r="S22" s="69">
        <v>0</v>
      </c>
      <c r="T22" s="69"/>
      <c r="U22" s="270"/>
      <c r="V22" s="69">
        <v>0</v>
      </c>
      <c r="W22" s="69">
        <v>0</v>
      </c>
      <c r="X22" s="69">
        <v>0</v>
      </c>
      <c r="Y22" s="69">
        <v>0</v>
      </c>
      <c r="Z22" s="69">
        <v>0</v>
      </c>
      <c r="AA22" s="129">
        <v>0</v>
      </c>
      <c r="AB22" s="129">
        <v>0</v>
      </c>
      <c r="AC22" s="129">
        <v>0</v>
      </c>
      <c r="AD22" s="129">
        <v>0</v>
      </c>
      <c r="AE22" s="69">
        <v>0</v>
      </c>
      <c r="AF22" s="69"/>
      <c r="AG22" s="69"/>
      <c r="AH22" s="69"/>
      <c r="AI22" s="203">
        <v>0</v>
      </c>
      <c r="AJ22" s="203">
        <v>0</v>
      </c>
      <c r="AK22" s="203">
        <v>0</v>
      </c>
      <c r="AL22" s="203">
        <v>0</v>
      </c>
      <c r="AM22" s="203">
        <v>0</v>
      </c>
      <c r="AN22" s="203">
        <v>0</v>
      </c>
      <c r="AO22" s="203"/>
      <c r="AP22" s="203">
        <v>0</v>
      </c>
      <c r="AQ22" s="203">
        <v>0</v>
      </c>
      <c r="AR22" s="203">
        <v>0</v>
      </c>
      <c r="AS22" s="203">
        <v>0</v>
      </c>
      <c r="AT22" s="203">
        <v>0</v>
      </c>
      <c r="AU22" s="69"/>
      <c r="AV22" s="49">
        <v>0</v>
      </c>
      <c r="AW22" s="49">
        <v>0</v>
      </c>
      <c r="AX22" s="46">
        <v>0</v>
      </c>
      <c r="AY22" s="46">
        <v>0</v>
      </c>
      <c r="AZ22" s="46">
        <v>0</v>
      </c>
      <c r="BA22" s="46">
        <v>0</v>
      </c>
      <c r="BB22" s="46">
        <v>0</v>
      </c>
      <c r="BC22" s="46">
        <v>0</v>
      </c>
      <c r="BD22" s="46">
        <v>0</v>
      </c>
      <c r="BE22" s="46">
        <v>0</v>
      </c>
      <c r="BF22" s="46">
        <v>0</v>
      </c>
      <c r="BG22" s="46">
        <v>0</v>
      </c>
      <c r="BH22" s="46"/>
      <c r="BI22" s="203">
        <v>0</v>
      </c>
      <c r="BJ22" s="203">
        <v>0</v>
      </c>
      <c r="BK22" s="203">
        <v>0</v>
      </c>
      <c r="BL22" s="203">
        <v>0</v>
      </c>
      <c r="BM22" s="203">
        <v>0</v>
      </c>
      <c r="BN22" s="203">
        <v>0</v>
      </c>
      <c r="BO22" s="203">
        <v>0</v>
      </c>
      <c r="BP22" s="204">
        <v>0</v>
      </c>
      <c r="BQ22" s="274">
        <v>0</v>
      </c>
      <c r="BR22" s="203">
        <v>0</v>
      </c>
      <c r="BS22" s="203">
        <v>0</v>
      </c>
      <c r="BT22" s="203">
        <v>0</v>
      </c>
    </row>
    <row r="23" spans="2:73">
      <c r="B23" s="52" t="s">
        <v>243</v>
      </c>
      <c r="C23" s="63"/>
      <c r="D23" s="63">
        <f t="shared" ref="D23:O23" si="31">SUM(D24:D28)</f>
        <v>202791555</v>
      </c>
      <c r="E23" s="63">
        <f t="shared" si="31"/>
        <v>206012139</v>
      </c>
      <c r="F23" s="63">
        <f t="shared" si="31"/>
        <v>301548982</v>
      </c>
      <c r="G23" s="70">
        <f t="shared" si="31"/>
        <v>224824612</v>
      </c>
      <c r="H23" s="63">
        <f t="shared" si="31"/>
        <v>37500031</v>
      </c>
      <c r="I23" s="70">
        <f t="shared" si="31"/>
        <v>31164165</v>
      </c>
      <c r="J23" s="70">
        <f t="shared" si="31"/>
        <v>45319473</v>
      </c>
      <c r="K23" s="70">
        <f t="shared" si="31"/>
        <v>63726245</v>
      </c>
      <c r="L23" s="70">
        <f t="shared" si="31"/>
        <v>79497141</v>
      </c>
      <c r="M23" s="70">
        <f t="shared" si="31"/>
        <v>92791595</v>
      </c>
      <c r="N23" s="70">
        <f t="shared" si="31"/>
        <v>106667156.84666666</v>
      </c>
      <c r="O23" s="70">
        <f t="shared" si="31"/>
        <v>120958578</v>
      </c>
      <c r="P23" s="70">
        <f t="shared" ref="P23:U23" si="32">SUM(P24:P28)</f>
        <v>139379767</v>
      </c>
      <c r="Q23" s="70">
        <f t="shared" si="32"/>
        <v>151465530</v>
      </c>
      <c r="R23" s="70">
        <f t="shared" si="32"/>
        <v>164080553</v>
      </c>
      <c r="S23" s="70">
        <f t="shared" si="32"/>
        <v>183570000</v>
      </c>
      <c r="T23" s="70">
        <f t="shared" si="32"/>
        <v>246012008</v>
      </c>
      <c r="U23" s="70">
        <f t="shared" si="32"/>
        <v>267029864</v>
      </c>
      <c r="V23" s="70">
        <f t="shared" ref="V23:AC23" si="33">SUM(V24:V28)</f>
        <v>20088909</v>
      </c>
      <c r="W23" s="70">
        <f t="shared" si="33"/>
        <v>37486222</v>
      </c>
      <c r="X23" s="70">
        <f t="shared" si="33"/>
        <v>69781661</v>
      </c>
      <c r="Y23" s="70">
        <f t="shared" si="33"/>
        <v>97703999</v>
      </c>
      <c r="Z23" s="70">
        <f t="shared" si="33"/>
        <v>115544348</v>
      </c>
      <c r="AA23" s="130">
        <f t="shared" si="33"/>
        <v>131986503</v>
      </c>
      <c r="AB23" s="130">
        <f t="shared" si="33"/>
        <v>151045642</v>
      </c>
      <c r="AC23" s="130">
        <f t="shared" si="33"/>
        <v>163848723</v>
      </c>
      <c r="AD23" s="130">
        <f t="shared" ref="AD23:AK23" si="34">SUM(AD24:AD28)</f>
        <v>185065783</v>
      </c>
      <c r="AE23" s="70">
        <f t="shared" si="34"/>
        <v>202978524</v>
      </c>
      <c r="AF23" s="70">
        <f t="shared" si="34"/>
        <v>221063335</v>
      </c>
      <c r="AG23" s="70">
        <f t="shared" si="34"/>
        <v>241451720</v>
      </c>
      <c r="AH23" s="70">
        <f t="shared" si="34"/>
        <v>297778993</v>
      </c>
      <c r="AI23" s="70">
        <f t="shared" si="34"/>
        <v>33234062</v>
      </c>
      <c r="AJ23" s="70">
        <f t="shared" si="34"/>
        <v>63673148</v>
      </c>
      <c r="AK23" s="70">
        <f t="shared" si="34"/>
        <v>88505493</v>
      </c>
      <c r="AL23" s="70">
        <f t="shared" ref="AL23:BU23" si="35">SUM(AL24:AL28)</f>
        <v>119460229</v>
      </c>
      <c r="AM23" s="70">
        <f t="shared" si="35"/>
        <v>144598229</v>
      </c>
      <c r="AN23" s="70">
        <f t="shared" si="35"/>
        <v>163520935</v>
      </c>
      <c r="AO23" s="70">
        <f t="shared" si="35"/>
        <v>0</v>
      </c>
      <c r="AP23" s="70">
        <f t="shared" si="35"/>
        <v>193163718</v>
      </c>
      <c r="AQ23" s="70">
        <f t="shared" si="35"/>
        <v>215727328</v>
      </c>
      <c r="AR23" s="70">
        <f t="shared" si="35"/>
        <v>235391140</v>
      </c>
      <c r="AS23" s="70">
        <f t="shared" si="35"/>
        <v>268624972</v>
      </c>
      <c r="AT23" s="70">
        <f t="shared" si="35"/>
        <v>298283536</v>
      </c>
      <c r="AU23" s="70">
        <f t="shared" si="35"/>
        <v>282095</v>
      </c>
      <c r="AV23" s="70">
        <f t="shared" si="35"/>
        <v>28473095</v>
      </c>
      <c r="AW23" s="70">
        <f t="shared" si="35"/>
        <v>64241835</v>
      </c>
      <c r="AX23" s="70">
        <f t="shared" si="35"/>
        <v>82752028</v>
      </c>
      <c r="AY23" s="70">
        <f t="shared" si="35"/>
        <v>131181428</v>
      </c>
      <c r="AZ23" s="70">
        <f t="shared" si="35"/>
        <v>151323013</v>
      </c>
      <c r="BA23" s="70">
        <f t="shared" si="35"/>
        <v>186178560</v>
      </c>
      <c r="BB23" s="70">
        <f t="shared" si="35"/>
        <v>203645586</v>
      </c>
      <c r="BC23" s="70">
        <f t="shared" si="35"/>
        <v>224701660</v>
      </c>
      <c r="BD23" s="70">
        <f t="shared" si="35"/>
        <v>251430266</v>
      </c>
      <c r="BE23" s="70">
        <f t="shared" si="35"/>
        <v>274031605</v>
      </c>
      <c r="BF23" s="70">
        <f t="shared" si="35"/>
        <v>306717455</v>
      </c>
      <c r="BG23" s="70">
        <f t="shared" si="35"/>
        <v>382530380</v>
      </c>
      <c r="BH23" s="70">
        <f t="shared" si="35"/>
        <v>341868776.15254205</v>
      </c>
      <c r="BI23" s="70">
        <f t="shared" si="35"/>
        <v>35066009</v>
      </c>
      <c r="BJ23" s="70">
        <f t="shared" si="35"/>
        <v>74557168</v>
      </c>
      <c r="BK23" s="70">
        <f t="shared" si="35"/>
        <v>111108320</v>
      </c>
      <c r="BL23" s="70">
        <f t="shared" si="35"/>
        <v>165441209</v>
      </c>
      <c r="BM23" s="70">
        <f t="shared" si="35"/>
        <v>186888819</v>
      </c>
      <c r="BN23" s="70">
        <f t="shared" si="35"/>
        <v>234177002</v>
      </c>
      <c r="BO23" s="70">
        <f t="shared" si="35"/>
        <v>259597897</v>
      </c>
      <c r="BP23" s="284">
        <f t="shared" si="35"/>
        <v>280779624</v>
      </c>
      <c r="BQ23" s="276">
        <f t="shared" si="35"/>
        <v>316092196</v>
      </c>
      <c r="BR23" s="276">
        <f t="shared" si="35"/>
        <v>336892411</v>
      </c>
      <c r="BS23" s="276">
        <f t="shared" si="35"/>
        <v>373656588</v>
      </c>
      <c r="BT23" s="276">
        <f t="shared" si="35"/>
        <v>417705012</v>
      </c>
      <c r="BU23" s="276">
        <f t="shared" si="35"/>
        <v>423657000</v>
      </c>
    </row>
    <row r="24" spans="2:73">
      <c r="B24" s="54" t="s">
        <v>244</v>
      </c>
      <c r="C24" s="60"/>
      <c r="D24" s="50">
        <v>97671925</v>
      </c>
      <c r="E24" s="50">
        <v>105681103</v>
      </c>
      <c r="F24" s="50">
        <v>184493557</v>
      </c>
      <c r="G24" s="69">
        <v>57781248</v>
      </c>
      <c r="H24" s="46">
        <v>26419186</v>
      </c>
      <c r="I24" s="69">
        <v>8816158</v>
      </c>
      <c r="J24" s="69">
        <v>13036709</v>
      </c>
      <c r="K24" s="69">
        <v>17261115</v>
      </c>
      <c r="L24" s="69">
        <v>25814697</v>
      </c>
      <c r="M24" s="69">
        <v>30734994</v>
      </c>
      <c r="N24" s="69">
        <v>35632272.37166667</v>
      </c>
      <c r="O24" s="69">
        <v>39984697</v>
      </c>
      <c r="P24" s="69">
        <v>44487961</v>
      </c>
      <c r="Q24" s="69">
        <v>49700905</v>
      </c>
      <c r="R24" s="69">
        <v>54399657</v>
      </c>
      <c r="S24" s="69">
        <v>62489155</v>
      </c>
      <c r="T24" s="69">
        <f>68094770</f>
        <v>68094770</v>
      </c>
      <c r="U24" s="270">
        <v>76662549</v>
      </c>
      <c r="V24" s="69">
        <v>6713106</v>
      </c>
      <c r="W24" s="69">
        <v>12561889</v>
      </c>
      <c r="X24" s="69">
        <v>19014721</v>
      </c>
      <c r="Y24" s="69">
        <v>31854031</v>
      </c>
      <c r="Z24" s="69">
        <v>39545848</v>
      </c>
      <c r="AA24" s="129">
        <v>46690091</v>
      </c>
      <c r="AB24" s="129">
        <v>53715627</v>
      </c>
      <c r="AC24" s="129">
        <v>59399927</v>
      </c>
      <c r="AD24" s="129">
        <v>67023808</v>
      </c>
      <c r="AE24" s="69">
        <v>74384328</v>
      </c>
      <c r="AF24" s="69">
        <v>81022361</v>
      </c>
      <c r="AG24" s="69">
        <v>90230431</v>
      </c>
      <c r="AH24" s="69">
        <v>91848011</v>
      </c>
      <c r="AI24" s="203">
        <v>23475514</v>
      </c>
      <c r="AJ24" s="203">
        <v>46946676</v>
      </c>
      <c r="AK24" s="203">
        <v>17599873</v>
      </c>
      <c r="AL24" s="203">
        <v>34317677</v>
      </c>
      <c r="AM24" s="203">
        <v>41624371</v>
      </c>
      <c r="AN24" s="203">
        <v>45631546</v>
      </c>
      <c r="AO24" s="203"/>
      <c r="AP24" s="203">
        <v>57063583</v>
      </c>
      <c r="AQ24" s="203">
        <v>62702314</v>
      </c>
      <c r="AR24" s="203">
        <v>70699556</v>
      </c>
      <c r="AS24" s="203">
        <v>78183551</v>
      </c>
      <c r="AT24" s="203">
        <v>86363895</v>
      </c>
      <c r="AU24" s="69">
        <f>30447+9980+2691+2011+6000+4303+982+11957+10425+6205+3193+408+3762</f>
        <v>92364</v>
      </c>
      <c r="AV24" s="49">
        <v>5064945</v>
      </c>
      <c r="AW24" s="49">
        <v>12341880</v>
      </c>
      <c r="AX24" s="49">
        <v>18908077</v>
      </c>
      <c r="AY24" s="49">
        <v>37221654</v>
      </c>
      <c r="AZ24" s="49">
        <v>43999211</v>
      </c>
      <c r="BA24" s="49">
        <v>49412239</v>
      </c>
      <c r="BB24" s="49">
        <v>56393780</v>
      </c>
      <c r="BC24" s="49">
        <v>63366451</v>
      </c>
      <c r="BD24" s="49">
        <v>71101272</v>
      </c>
      <c r="BE24" s="49">
        <v>80452114</v>
      </c>
      <c r="BF24" s="49">
        <v>89525370</v>
      </c>
      <c r="BG24" s="49">
        <v>120222573</v>
      </c>
      <c r="BH24" s="46">
        <v>120222372.50557785</v>
      </c>
      <c r="BI24" s="211">
        <v>6641482</v>
      </c>
      <c r="BJ24" s="203">
        <v>13228297</v>
      </c>
      <c r="BK24" s="203">
        <v>23631838</v>
      </c>
      <c r="BL24" s="203">
        <v>48338977</v>
      </c>
      <c r="BM24" s="204">
        <v>57692089</v>
      </c>
      <c r="BN24" s="210">
        <v>68160247</v>
      </c>
      <c r="BO24" s="210">
        <v>77233464</v>
      </c>
      <c r="BP24" s="283">
        <v>83967265</v>
      </c>
      <c r="BQ24" s="273">
        <v>90092911</v>
      </c>
      <c r="BR24" s="203">
        <v>97339224</v>
      </c>
      <c r="BS24" s="203">
        <v>104360774</v>
      </c>
      <c r="BT24" s="203">
        <v>114683097</v>
      </c>
      <c r="BU24" s="49">
        <v>136094000</v>
      </c>
    </row>
    <row r="25" spans="2:73">
      <c r="B25" s="54" t="s">
        <v>57</v>
      </c>
      <c r="C25" s="55"/>
      <c r="D25" s="50">
        <v>13566600</v>
      </c>
      <c r="E25" s="50">
        <v>14672808</v>
      </c>
      <c r="F25" s="50">
        <v>17845321</v>
      </c>
      <c r="G25" s="67">
        <v>40827606</v>
      </c>
      <c r="H25" s="46">
        <v>985300</v>
      </c>
      <c r="I25" s="67">
        <v>13555729</v>
      </c>
      <c r="J25" s="67">
        <v>19133395</v>
      </c>
      <c r="K25" s="67">
        <v>30223955</v>
      </c>
      <c r="L25" s="67">
        <v>32210640</v>
      </c>
      <c r="M25" s="67">
        <v>36157566</v>
      </c>
      <c r="N25" s="67">
        <v>38568996.200000003</v>
      </c>
      <c r="O25" s="67">
        <v>41795926</v>
      </c>
      <c r="P25" s="67">
        <v>49889678</v>
      </c>
      <c r="Q25" s="67">
        <v>52559148</v>
      </c>
      <c r="R25" s="67">
        <v>56144063</v>
      </c>
      <c r="S25" s="67">
        <v>61349928</v>
      </c>
      <c r="T25" s="67">
        <f>43709999</f>
        <v>43709999</v>
      </c>
      <c r="U25" s="270">
        <v>58102205</v>
      </c>
      <c r="V25" s="67">
        <v>7395865</v>
      </c>
      <c r="W25" s="67">
        <v>13477375</v>
      </c>
      <c r="X25" s="67">
        <v>33249915</v>
      </c>
      <c r="Y25" s="67">
        <v>43457386</v>
      </c>
      <c r="Z25" s="67">
        <v>48705332</v>
      </c>
      <c r="AA25" s="67">
        <v>53087339</v>
      </c>
      <c r="AB25" s="67">
        <v>60772179</v>
      </c>
      <c r="AC25" s="67">
        <v>63211269</v>
      </c>
      <c r="AD25" s="67">
        <v>72805009</v>
      </c>
      <c r="AE25" s="67">
        <v>77613541</v>
      </c>
      <c r="AF25" s="67">
        <v>81718851</v>
      </c>
      <c r="AG25" s="67">
        <v>87321631</v>
      </c>
      <c r="AH25" s="67">
        <f>59659971</f>
        <v>59659971</v>
      </c>
      <c r="AI25" s="203">
        <v>570000</v>
      </c>
      <c r="AJ25" s="203">
        <v>1186023</v>
      </c>
      <c r="AK25" s="203">
        <v>24653069</v>
      </c>
      <c r="AL25" s="203">
        <v>26087399</v>
      </c>
      <c r="AM25" s="203">
        <v>27771749</v>
      </c>
      <c r="AN25" s="203">
        <v>29169299</v>
      </c>
      <c r="AO25" s="203"/>
      <c r="AP25" s="203">
        <v>33640760</v>
      </c>
      <c r="AQ25" s="203">
        <v>39215580</v>
      </c>
      <c r="AR25" s="203">
        <v>42443175</v>
      </c>
      <c r="AS25" s="203">
        <v>51354028</v>
      </c>
      <c r="AT25" s="203">
        <v>58325128</v>
      </c>
      <c r="AU25" s="67">
        <f>21026+20006+3550+1663+868</f>
        <v>47113</v>
      </c>
      <c r="AV25" s="49">
        <v>4905455</v>
      </c>
      <c r="AW25" s="49">
        <v>22473259</v>
      </c>
      <c r="AX25" s="49">
        <v>27167531</v>
      </c>
      <c r="AY25" s="49">
        <v>36728305</v>
      </c>
      <c r="AZ25" s="49">
        <v>39895027</v>
      </c>
      <c r="BA25" s="49">
        <v>43583447</v>
      </c>
      <c r="BB25" s="49">
        <v>46461917</v>
      </c>
      <c r="BC25" s="49">
        <v>49061632</v>
      </c>
      <c r="BD25" s="49">
        <v>52188357</v>
      </c>
      <c r="BE25" s="49">
        <v>57242407</v>
      </c>
      <c r="BF25" s="49">
        <v>61068675</v>
      </c>
      <c r="BG25" s="49">
        <v>74088340</v>
      </c>
      <c r="BH25" s="46">
        <v>59688740.200000003</v>
      </c>
      <c r="BI25" s="211">
        <v>10931781</v>
      </c>
      <c r="BJ25" s="203">
        <v>25190392</v>
      </c>
      <c r="BK25" s="203">
        <v>40172247</v>
      </c>
      <c r="BL25" s="203">
        <v>46316427</v>
      </c>
      <c r="BM25" s="204">
        <v>49091094</v>
      </c>
      <c r="BN25" s="210">
        <v>55948543</v>
      </c>
      <c r="BO25" s="210">
        <v>63062103</v>
      </c>
      <c r="BP25" s="283">
        <v>68688039</v>
      </c>
      <c r="BQ25" s="273">
        <v>74833812</v>
      </c>
      <c r="BR25" s="203">
        <v>80007647</v>
      </c>
      <c r="BS25" s="203">
        <v>96776733</v>
      </c>
      <c r="BT25" s="203">
        <v>106099718</v>
      </c>
      <c r="BU25" s="49">
        <v>96032000</v>
      </c>
    </row>
    <row r="26" spans="2:73">
      <c r="B26" s="54" t="s">
        <v>245</v>
      </c>
      <c r="C26" s="55"/>
      <c r="D26" s="50">
        <v>8333350</v>
      </c>
      <c r="E26" s="50">
        <v>11827454</v>
      </c>
      <c r="F26" s="50">
        <v>14836218</v>
      </c>
      <c r="G26" s="67">
        <v>17441689</v>
      </c>
      <c r="H26" s="46">
        <v>945321</v>
      </c>
      <c r="I26" s="67">
        <v>1976860</v>
      </c>
      <c r="J26" s="67">
        <v>3089860</v>
      </c>
      <c r="K26" s="67">
        <v>4618886</v>
      </c>
      <c r="L26" s="67">
        <v>5776746</v>
      </c>
      <c r="M26" s="67">
        <v>6960226</v>
      </c>
      <c r="N26" s="67">
        <v>8602226</v>
      </c>
      <c r="O26" s="67">
        <v>9668506</v>
      </c>
      <c r="P26" s="67">
        <v>10945356</v>
      </c>
      <c r="Q26" s="67">
        <v>12238106</v>
      </c>
      <c r="R26" s="67">
        <v>13505222</v>
      </c>
      <c r="S26" s="67">
        <v>15647811</v>
      </c>
      <c r="T26" s="67">
        <f>15647811</f>
        <v>15647811</v>
      </c>
      <c r="U26" s="270">
        <v>17858434</v>
      </c>
      <c r="V26" s="67">
        <v>1621900</v>
      </c>
      <c r="W26" s="67">
        <v>2810900</v>
      </c>
      <c r="X26" s="67">
        <v>4438420</v>
      </c>
      <c r="Y26" s="67">
        <v>6127908</v>
      </c>
      <c r="Z26" s="67">
        <v>7325108</v>
      </c>
      <c r="AA26" s="67">
        <v>8700961</v>
      </c>
      <c r="AB26" s="67">
        <v>9938131</v>
      </c>
      <c r="AC26" s="67">
        <v>10906891</v>
      </c>
      <c r="AD26" s="67">
        <v>11894646</v>
      </c>
      <c r="AE26" s="67">
        <v>13735646</v>
      </c>
      <c r="AF26" s="67">
        <v>15016646</v>
      </c>
      <c r="AG26" s="67">
        <v>18157536</v>
      </c>
      <c r="AH26" s="67">
        <v>18157536</v>
      </c>
      <c r="AI26" s="203">
        <v>625000</v>
      </c>
      <c r="AJ26" s="203">
        <v>885300</v>
      </c>
      <c r="AK26" s="203">
        <v>4711716</v>
      </c>
      <c r="AL26" s="203">
        <v>5239216</v>
      </c>
      <c r="AM26" s="203">
        <v>6379216</v>
      </c>
      <c r="AN26" s="203">
        <v>7679036</v>
      </c>
      <c r="AO26" s="203"/>
      <c r="AP26" s="203">
        <v>9688992</v>
      </c>
      <c r="AQ26" s="203">
        <v>12220472</v>
      </c>
      <c r="AR26" s="203">
        <v>13510972</v>
      </c>
      <c r="AS26" s="203">
        <v>16211354</v>
      </c>
      <c r="AT26" s="203">
        <v>17646354</v>
      </c>
      <c r="AU26" s="67">
        <f>6892+10755</f>
        <v>17647</v>
      </c>
      <c r="AV26" s="49">
        <v>907680</v>
      </c>
      <c r="AW26" s="49">
        <v>4570820</v>
      </c>
      <c r="AX26" s="49">
        <v>6100756</v>
      </c>
      <c r="AY26" s="49">
        <v>7010756</v>
      </c>
      <c r="AZ26" s="49">
        <v>8904856</v>
      </c>
      <c r="BA26" s="49">
        <v>10208496</v>
      </c>
      <c r="BB26" s="49">
        <v>11813496</v>
      </c>
      <c r="BC26" s="49">
        <v>14457316</v>
      </c>
      <c r="BD26" s="49">
        <v>16142027</v>
      </c>
      <c r="BE26" s="49">
        <v>17993927</v>
      </c>
      <c r="BF26" s="49">
        <v>19870427</v>
      </c>
      <c r="BG26" s="49">
        <v>22863827</v>
      </c>
      <c r="BH26" s="46">
        <v>13193068.489957104</v>
      </c>
      <c r="BI26" s="211">
        <v>2285190</v>
      </c>
      <c r="BJ26" s="203">
        <v>4040840</v>
      </c>
      <c r="BK26" s="203">
        <v>5961540</v>
      </c>
      <c r="BL26" s="203">
        <v>7663190</v>
      </c>
      <c r="BM26" s="204">
        <v>9296940</v>
      </c>
      <c r="BN26" s="210">
        <v>11608340</v>
      </c>
      <c r="BO26" s="210">
        <v>13548590</v>
      </c>
      <c r="BP26" s="283">
        <v>15605840</v>
      </c>
      <c r="BQ26" s="273">
        <v>17916069</v>
      </c>
      <c r="BR26" s="203">
        <v>19917919</v>
      </c>
      <c r="BS26" s="203">
        <v>21641519</v>
      </c>
      <c r="BT26" s="203">
        <v>25868569</v>
      </c>
      <c r="BU26" s="49">
        <v>25869000</v>
      </c>
    </row>
    <row r="27" spans="2:73">
      <c r="B27" s="54" t="s">
        <v>246</v>
      </c>
      <c r="C27" s="55"/>
      <c r="D27" s="50">
        <v>22457890</v>
      </c>
      <c r="E27" s="50">
        <v>26473936</v>
      </c>
      <c r="F27" s="50">
        <v>33998254</v>
      </c>
      <c r="G27" s="67">
        <v>14282307</v>
      </c>
      <c r="H27" s="46">
        <v>3187206</v>
      </c>
      <c r="I27" s="67">
        <v>1879298</v>
      </c>
      <c r="J27" s="67">
        <v>2818947</v>
      </c>
      <c r="K27" s="67">
        <v>2818947</v>
      </c>
      <c r="L27" s="67">
        <v>4698245</v>
      </c>
      <c r="M27" s="67">
        <v>5733561</v>
      </c>
      <c r="N27" s="67">
        <v>6689154.9083333341</v>
      </c>
      <c r="O27" s="67">
        <v>7644748</v>
      </c>
      <c r="P27" s="67">
        <v>8600342</v>
      </c>
      <c r="Q27" s="67">
        <v>9582772</v>
      </c>
      <c r="R27" s="67">
        <v>10762721</v>
      </c>
      <c r="S27" s="67">
        <v>12203651</v>
      </c>
      <c r="T27" s="67">
        <f>12111887</f>
        <v>12111887</v>
      </c>
      <c r="U27" s="270">
        <v>10580426</v>
      </c>
      <c r="V27" s="67">
        <v>717954</v>
      </c>
      <c r="W27" s="67">
        <v>1485230</v>
      </c>
      <c r="X27" s="67">
        <v>2227845</v>
      </c>
      <c r="Y27" s="67">
        <v>2970459</v>
      </c>
      <c r="Z27" s="67">
        <v>4149103</v>
      </c>
      <c r="AA27" s="67">
        <v>4988516</v>
      </c>
      <c r="AB27" s="67">
        <v>6086455</v>
      </c>
      <c r="AC27" s="67">
        <v>6967065</v>
      </c>
      <c r="AD27" s="67">
        <v>7894213</v>
      </c>
      <c r="AE27" s="67">
        <v>8771348</v>
      </c>
      <c r="AF27" s="67">
        <v>9818377</v>
      </c>
      <c r="AG27" s="67">
        <v>10745927</v>
      </c>
      <c r="AH27" s="67">
        <v>12881694</v>
      </c>
      <c r="AI27" s="203">
        <v>2631006</v>
      </c>
      <c r="AJ27" s="203">
        <v>5168874</v>
      </c>
      <c r="AK27" s="203">
        <v>2246040</v>
      </c>
      <c r="AL27" s="203">
        <v>3011559</v>
      </c>
      <c r="AM27" s="203">
        <v>3764449</v>
      </c>
      <c r="AN27" s="203">
        <v>4527741</v>
      </c>
      <c r="AO27" s="203"/>
      <c r="AP27" s="203">
        <v>6377386</v>
      </c>
      <c r="AQ27" s="203">
        <v>7285709</v>
      </c>
      <c r="AR27" s="203">
        <v>8095232</v>
      </c>
      <c r="AS27" s="203">
        <v>10970795</v>
      </c>
      <c r="AT27" s="203">
        <v>10801199</v>
      </c>
      <c r="AU27" s="67">
        <f>7657+1996+3144</f>
        <v>12797</v>
      </c>
      <c r="AV27" s="49">
        <v>739912</v>
      </c>
      <c r="AW27" s="49">
        <v>1479825</v>
      </c>
      <c r="AX27" s="49">
        <v>2219737</v>
      </c>
      <c r="AY27" s="49">
        <v>2959650</v>
      </c>
      <c r="AZ27" s="49">
        <v>3699562</v>
      </c>
      <c r="BA27" s="49">
        <v>5527619</v>
      </c>
      <c r="BB27" s="49">
        <v>6448888</v>
      </c>
      <c r="BC27" s="49">
        <v>7370158</v>
      </c>
      <c r="BD27" s="49">
        <v>8291428</v>
      </c>
      <c r="BE27" s="49">
        <v>9212698</v>
      </c>
      <c r="BF27" s="49">
        <v>11376542</v>
      </c>
      <c r="BG27" s="49">
        <v>13193068</v>
      </c>
      <c r="BH27" s="46">
        <v>22863827</v>
      </c>
      <c r="BI27" s="211">
        <v>764946</v>
      </c>
      <c r="BJ27" s="203">
        <v>1529892</v>
      </c>
      <c r="BK27" s="203">
        <v>2294838</v>
      </c>
      <c r="BL27" s="203">
        <v>3059784</v>
      </c>
      <c r="BM27" s="204">
        <v>3824729</v>
      </c>
      <c r="BN27" s="210">
        <v>4589675</v>
      </c>
      <c r="BO27" s="210">
        <v>5354621</v>
      </c>
      <c r="BP27" s="283">
        <v>6119567</v>
      </c>
      <c r="BQ27" s="273">
        <v>6539349</v>
      </c>
      <c r="BR27" s="203">
        <v>8174187</v>
      </c>
      <c r="BS27" s="203">
        <v>12345030</v>
      </c>
      <c r="BT27" s="203">
        <v>14346902</v>
      </c>
      <c r="BU27" s="49">
        <v>14347000</v>
      </c>
    </row>
    <row r="28" spans="2:73">
      <c r="B28" s="54" t="s">
        <v>56</v>
      </c>
      <c r="C28" s="55"/>
      <c r="D28" s="50">
        <v>60761790</v>
      </c>
      <c r="E28" s="50">
        <v>47356838</v>
      </c>
      <c r="F28" s="50">
        <v>50375632</v>
      </c>
      <c r="G28" s="67">
        <v>94491762</v>
      </c>
      <c r="H28" s="46">
        <v>5963018</v>
      </c>
      <c r="I28" s="67">
        <v>4936120</v>
      </c>
      <c r="J28" s="67">
        <v>7240562</v>
      </c>
      <c r="K28" s="67">
        <v>8803342</v>
      </c>
      <c r="L28" s="67">
        <v>10996813</v>
      </c>
      <c r="M28" s="67">
        <v>13205248</v>
      </c>
      <c r="N28" s="67">
        <v>17174507.366666667</v>
      </c>
      <c r="O28" s="67">
        <v>21864701</v>
      </c>
      <c r="P28" s="67">
        <v>25456430</v>
      </c>
      <c r="Q28" s="67">
        <v>27384599</v>
      </c>
      <c r="R28" s="67">
        <v>29268890</v>
      </c>
      <c r="S28" s="67">
        <v>31879455</v>
      </c>
      <c r="T28" s="67">
        <f>106447541</f>
        <v>106447541</v>
      </c>
      <c r="U28" s="270">
        <f>106447960-2621710</f>
        <v>103826250</v>
      </c>
      <c r="V28" s="67">
        <v>3640084</v>
      </c>
      <c r="W28" s="67">
        <v>7150828</v>
      </c>
      <c r="X28" s="67">
        <v>10850760</v>
      </c>
      <c r="Y28" s="67">
        <v>13294215</v>
      </c>
      <c r="Z28" s="67">
        <v>15818957</v>
      </c>
      <c r="AA28" s="67">
        <v>18519596</v>
      </c>
      <c r="AB28" s="67">
        <v>20533250</v>
      </c>
      <c r="AC28" s="67">
        <v>23363571</v>
      </c>
      <c r="AD28" s="67">
        <v>25448107</v>
      </c>
      <c r="AE28" s="67">
        <v>28473661</v>
      </c>
      <c r="AF28" s="67">
        <v>33487100</v>
      </c>
      <c r="AG28" s="67">
        <v>34996195</v>
      </c>
      <c r="AH28" s="67">
        <f>115231781</f>
        <v>115231781</v>
      </c>
      <c r="AI28" s="203">
        <v>5932542</v>
      </c>
      <c r="AJ28" s="203">
        <v>9486275</v>
      </c>
      <c r="AK28" s="203">
        <v>39294795</v>
      </c>
      <c r="AL28" s="203">
        <v>50804378</v>
      </c>
      <c r="AM28" s="203">
        <v>65058444</v>
      </c>
      <c r="AN28" s="203">
        <v>76513313</v>
      </c>
      <c r="AO28" s="203"/>
      <c r="AP28" s="203">
        <v>86392997</v>
      </c>
      <c r="AQ28" s="203">
        <v>94303253</v>
      </c>
      <c r="AR28" s="203">
        <v>100642205</v>
      </c>
      <c r="AS28" s="203">
        <v>111905244</v>
      </c>
      <c r="AT28" s="203">
        <v>125146960</v>
      </c>
      <c r="AU28" s="67">
        <f>21867+13548+11205+11154+8920+7050+6339+6133+5545+5307+4468+3000+2794+1629+806+2409</f>
        <v>112174</v>
      </c>
      <c r="AV28" s="49">
        <v>16855103</v>
      </c>
      <c r="AW28" s="49">
        <v>23376051</v>
      </c>
      <c r="AX28" s="49">
        <v>28355927</v>
      </c>
      <c r="AY28" s="49">
        <v>47261063</v>
      </c>
      <c r="AZ28" s="49">
        <v>54824357</v>
      </c>
      <c r="BA28" s="49">
        <v>77446759</v>
      </c>
      <c r="BB28" s="49">
        <v>82527505</v>
      </c>
      <c r="BC28" s="49">
        <v>90446103</v>
      </c>
      <c r="BD28" s="49">
        <v>103707182</v>
      </c>
      <c r="BE28" s="49">
        <v>109130459</v>
      </c>
      <c r="BF28" s="49">
        <v>124876441</v>
      </c>
      <c r="BG28" s="49">
        <v>152162572</v>
      </c>
      <c r="BH28" s="46">
        <v>125900767.95700711</v>
      </c>
      <c r="BI28" s="211">
        <v>14442610</v>
      </c>
      <c r="BJ28" s="203">
        <v>30567747</v>
      </c>
      <c r="BK28" s="203">
        <v>39047857</v>
      </c>
      <c r="BL28" s="203">
        <v>60062831</v>
      </c>
      <c r="BM28" s="204">
        <v>66983967</v>
      </c>
      <c r="BN28" s="210">
        <v>93870197</v>
      </c>
      <c r="BO28" s="210">
        <v>100399119</v>
      </c>
      <c r="BP28" s="283">
        <v>106398913</v>
      </c>
      <c r="BQ28" s="273">
        <v>126710055</v>
      </c>
      <c r="BR28" s="203">
        <v>131453434</v>
      </c>
      <c r="BS28" s="203">
        <v>138532532</v>
      </c>
      <c r="BT28" s="203">
        <v>156706726</v>
      </c>
      <c r="BU28" s="49">
        <v>151315000</v>
      </c>
    </row>
    <row r="29" spans="2:73">
      <c r="B29" s="52" t="s">
        <v>247</v>
      </c>
      <c r="C29" s="53"/>
      <c r="D29" s="53">
        <f t="shared" ref="D29:AU29" si="36">D19-D20-D23</f>
        <v>35159976</v>
      </c>
      <c r="E29" s="53">
        <f t="shared" si="36"/>
        <v>221888016</v>
      </c>
      <c r="F29" s="53">
        <f t="shared" si="36"/>
        <v>288617087</v>
      </c>
      <c r="G29" s="66">
        <f t="shared" si="36"/>
        <v>349300426</v>
      </c>
      <c r="H29" s="53">
        <f t="shared" si="36"/>
        <v>71956150</v>
      </c>
      <c r="I29" s="66">
        <f t="shared" si="36"/>
        <v>53160497</v>
      </c>
      <c r="J29" s="66">
        <f t="shared" si="36"/>
        <v>76937691</v>
      </c>
      <c r="K29" s="66">
        <f t="shared" si="36"/>
        <v>152244576</v>
      </c>
      <c r="L29" s="66">
        <f t="shared" si="36"/>
        <v>177116053.11000001</v>
      </c>
      <c r="M29" s="66">
        <f t="shared" si="36"/>
        <v>199894826</v>
      </c>
      <c r="N29" s="66">
        <f t="shared" si="36"/>
        <v>258977902.99402502</v>
      </c>
      <c r="O29" s="66">
        <f t="shared" si="36"/>
        <v>287470807.13</v>
      </c>
      <c r="P29" s="66">
        <f t="shared" si="36"/>
        <v>293289697</v>
      </c>
      <c r="Q29" s="66">
        <f t="shared" si="36"/>
        <v>332501163.64999998</v>
      </c>
      <c r="R29" s="66">
        <f t="shared" si="36"/>
        <v>376337925</v>
      </c>
      <c r="S29" s="66">
        <f t="shared" si="36"/>
        <v>319908367.11000001</v>
      </c>
      <c r="T29" s="66">
        <f t="shared" si="36"/>
        <v>513662059</v>
      </c>
      <c r="U29" s="66">
        <f t="shared" si="36"/>
        <v>352551298</v>
      </c>
      <c r="V29" s="66">
        <f t="shared" si="36"/>
        <v>26335694.75999999</v>
      </c>
      <c r="W29" s="66">
        <f t="shared" si="36"/>
        <v>53022258.629999995</v>
      </c>
      <c r="X29" s="66">
        <f t="shared" si="36"/>
        <v>66457649</v>
      </c>
      <c r="Y29" s="66">
        <f t="shared" si="36"/>
        <v>87314892.129999995</v>
      </c>
      <c r="Z29" s="66">
        <f t="shared" si="36"/>
        <v>133072426.83999997</v>
      </c>
      <c r="AA29" s="128">
        <f t="shared" si="36"/>
        <v>184771034.25</v>
      </c>
      <c r="AB29" s="128">
        <f t="shared" si="36"/>
        <v>183830862.99000001</v>
      </c>
      <c r="AC29" s="128">
        <f t="shared" si="36"/>
        <v>238105615.04999995</v>
      </c>
      <c r="AD29" s="128">
        <f t="shared" si="36"/>
        <v>211355515.17000008</v>
      </c>
      <c r="AE29" s="66">
        <f t="shared" si="36"/>
        <v>242608753.62</v>
      </c>
      <c r="AF29" s="66">
        <f t="shared" si="36"/>
        <v>249546851.32000005</v>
      </c>
      <c r="AG29" s="66">
        <f t="shared" si="36"/>
        <v>235699667.83000004</v>
      </c>
      <c r="AH29" s="66">
        <f t="shared" si="36"/>
        <v>498853345</v>
      </c>
      <c r="AI29" s="66">
        <f t="shared" si="36"/>
        <v>81449593</v>
      </c>
      <c r="AJ29" s="66">
        <f t="shared" si="36"/>
        <v>163861144</v>
      </c>
      <c r="AK29" s="66">
        <f t="shared" si="36"/>
        <v>71860580.669999987</v>
      </c>
      <c r="AL29" s="66">
        <f t="shared" si="36"/>
        <v>80409081.150000006</v>
      </c>
      <c r="AM29" s="66">
        <f t="shared" si="36"/>
        <v>87301947.120000005</v>
      </c>
      <c r="AN29" s="66">
        <f t="shared" si="36"/>
        <v>58427696</v>
      </c>
      <c r="AO29" s="66">
        <f t="shared" si="36"/>
        <v>0</v>
      </c>
      <c r="AP29" s="66">
        <f t="shared" si="36"/>
        <v>165309128.29000002</v>
      </c>
      <c r="AQ29" s="66">
        <f t="shared" si="36"/>
        <v>3283962.0900000334</v>
      </c>
      <c r="AR29" s="66">
        <f t="shared" si="36"/>
        <v>107838356.53999996</v>
      </c>
      <c r="AS29" s="66">
        <f t="shared" si="36"/>
        <v>171158393.07000005</v>
      </c>
      <c r="AT29" s="66">
        <f t="shared" si="36"/>
        <v>157584837.97000003</v>
      </c>
      <c r="AU29" s="66">
        <f t="shared" si="36"/>
        <v>396357</v>
      </c>
      <c r="AV29" s="66">
        <f t="shared" ref="AV29:BH29" si="37">AV19-AV20-AV23</f>
        <v>-8421938</v>
      </c>
      <c r="AW29" s="66">
        <f t="shared" si="37"/>
        <v>11484587.459999979</v>
      </c>
      <c r="AX29" s="66">
        <f t="shared" si="37"/>
        <v>34816895.919999987</v>
      </c>
      <c r="AY29" s="66">
        <f t="shared" si="37"/>
        <v>57222810.129999995</v>
      </c>
      <c r="AZ29" s="66">
        <f t="shared" si="37"/>
        <v>149352071.62</v>
      </c>
      <c r="BA29" s="66">
        <f t="shared" si="37"/>
        <v>121831290</v>
      </c>
      <c r="BB29" s="66">
        <f t="shared" si="37"/>
        <v>143134917.01999998</v>
      </c>
      <c r="BC29" s="66">
        <f t="shared" si="37"/>
        <v>158832192</v>
      </c>
      <c r="BD29" s="66">
        <f t="shared" si="37"/>
        <v>168103839.58000004</v>
      </c>
      <c r="BE29" s="66">
        <f t="shared" si="37"/>
        <v>176636715.55999994</v>
      </c>
      <c r="BF29" s="66">
        <f t="shared" si="37"/>
        <v>183171134.16999996</v>
      </c>
      <c r="BG29" s="66">
        <f t="shared" si="37"/>
        <v>404413236.51999998</v>
      </c>
      <c r="BH29" s="66">
        <f t="shared" si="37"/>
        <v>101539362.54745799</v>
      </c>
      <c r="BI29" s="66">
        <f t="shared" ref="BI29:BO29" si="38">BI19-BI20-BI23</f>
        <v>3744083.8799999952</v>
      </c>
      <c r="BJ29" s="66">
        <f t="shared" si="38"/>
        <v>50177949.25999999</v>
      </c>
      <c r="BK29" s="66">
        <f t="shared" si="38"/>
        <v>-8901661</v>
      </c>
      <c r="BL29" s="66">
        <f t="shared" si="38"/>
        <v>-38747926.800000012</v>
      </c>
      <c r="BM29" s="66">
        <f t="shared" si="38"/>
        <v>29296284.860000014</v>
      </c>
      <c r="BN29" s="66">
        <f t="shared" si="38"/>
        <v>47415426.269999981</v>
      </c>
      <c r="BO29" s="66">
        <f t="shared" si="38"/>
        <v>81748958.660000086</v>
      </c>
      <c r="BP29" s="200">
        <f>BP19-BP20-BP23</f>
        <v>99104662.919999957</v>
      </c>
      <c r="BQ29" s="272">
        <f>BQ19-BQ20-BQ23</f>
        <v>263356557.30999994</v>
      </c>
      <c r="BR29" s="272">
        <f t="shared" ref="BR29:BU29" si="39">BR19-BR20-BR23</f>
        <v>275277276.38</v>
      </c>
      <c r="BS29" s="272">
        <f t="shared" si="39"/>
        <v>306371288</v>
      </c>
      <c r="BT29" s="272">
        <f t="shared" si="39"/>
        <v>377144956.75999999</v>
      </c>
      <c r="BU29" s="272">
        <f t="shared" si="39"/>
        <v>689241000</v>
      </c>
    </row>
    <row r="30" spans="2:73">
      <c r="B30" s="52" t="s">
        <v>248</v>
      </c>
      <c r="C30" s="53"/>
      <c r="D30" s="53">
        <f t="shared" ref="D30:O30" si="40">D31-D32</f>
        <v>0</v>
      </c>
      <c r="E30" s="53">
        <f t="shared" si="40"/>
        <v>0</v>
      </c>
      <c r="F30" s="53">
        <f t="shared" si="40"/>
        <v>0</v>
      </c>
      <c r="G30" s="66">
        <f t="shared" si="40"/>
        <v>0</v>
      </c>
      <c r="H30" s="53">
        <f t="shared" si="40"/>
        <v>0</v>
      </c>
      <c r="I30" s="66">
        <f t="shared" si="40"/>
        <v>0</v>
      </c>
      <c r="J30" s="66">
        <f t="shared" si="40"/>
        <v>0</v>
      </c>
      <c r="K30" s="66">
        <f t="shared" si="40"/>
        <v>0</v>
      </c>
      <c r="L30" s="66">
        <f t="shared" si="40"/>
        <v>0</v>
      </c>
      <c r="M30" s="66">
        <f t="shared" si="40"/>
        <v>0</v>
      </c>
      <c r="N30" s="66">
        <f t="shared" si="40"/>
        <v>0</v>
      </c>
      <c r="O30" s="66">
        <f t="shared" si="40"/>
        <v>0</v>
      </c>
      <c r="P30" s="66">
        <f t="shared" ref="P30:U30" si="41">P31-P32</f>
        <v>0</v>
      </c>
      <c r="Q30" s="66">
        <f t="shared" si="41"/>
        <v>0</v>
      </c>
      <c r="R30" s="66">
        <f t="shared" si="41"/>
        <v>0</v>
      </c>
      <c r="S30" s="66">
        <f t="shared" si="41"/>
        <v>0</v>
      </c>
      <c r="T30" s="66">
        <f t="shared" si="41"/>
        <v>0</v>
      </c>
      <c r="U30" s="66">
        <f t="shared" si="41"/>
        <v>0</v>
      </c>
      <c r="V30" s="66">
        <f t="shared" ref="V30:AC30" si="42">V31-V32</f>
        <v>0</v>
      </c>
      <c r="W30" s="66">
        <f t="shared" si="42"/>
        <v>0</v>
      </c>
      <c r="X30" s="66">
        <f t="shared" si="42"/>
        <v>0</v>
      </c>
      <c r="Y30" s="66">
        <f t="shared" si="42"/>
        <v>0</v>
      </c>
      <c r="Z30" s="66">
        <f t="shared" si="42"/>
        <v>0</v>
      </c>
      <c r="AA30" s="128">
        <f t="shared" si="42"/>
        <v>0</v>
      </c>
      <c r="AB30" s="128">
        <f t="shared" si="42"/>
        <v>0</v>
      </c>
      <c r="AC30" s="128">
        <f t="shared" si="42"/>
        <v>0</v>
      </c>
      <c r="AD30" s="128">
        <f t="shared" ref="AD30:AK30" si="43">AD31-AD32</f>
        <v>0</v>
      </c>
      <c r="AE30" s="66">
        <f t="shared" si="43"/>
        <v>0</v>
      </c>
      <c r="AF30" s="66">
        <f t="shared" si="43"/>
        <v>0</v>
      </c>
      <c r="AG30" s="66">
        <f t="shared" si="43"/>
        <v>0</v>
      </c>
      <c r="AH30" s="66">
        <f t="shared" si="43"/>
        <v>0</v>
      </c>
      <c r="AI30" s="66">
        <f t="shared" si="43"/>
        <v>0</v>
      </c>
      <c r="AJ30" s="66">
        <f t="shared" si="43"/>
        <v>0</v>
      </c>
      <c r="AK30" s="66">
        <f t="shared" si="43"/>
        <v>0</v>
      </c>
      <c r="AL30" s="66">
        <f t="shared" ref="AL30:AU30" si="44">AL31-AL32</f>
        <v>0</v>
      </c>
      <c r="AM30" s="66">
        <f t="shared" si="44"/>
        <v>0</v>
      </c>
      <c r="AN30" s="66">
        <f t="shared" si="44"/>
        <v>0</v>
      </c>
      <c r="AO30" s="66">
        <f t="shared" si="44"/>
        <v>0</v>
      </c>
      <c r="AP30" s="66">
        <f t="shared" si="44"/>
        <v>0</v>
      </c>
      <c r="AQ30" s="66">
        <f t="shared" si="44"/>
        <v>0</v>
      </c>
      <c r="AR30" s="66">
        <f t="shared" si="44"/>
        <v>0</v>
      </c>
      <c r="AS30" s="66">
        <f t="shared" si="44"/>
        <v>0</v>
      </c>
      <c r="AT30" s="66">
        <f t="shared" si="44"/>
        <v>0</v>
      </c>
      <c r="AU30" s="66">
        <f t="shared" si="44"/>
        <v>0</v>
      </c>
      <c r="AV30" s="66">
        <f t="shared" ref="AV30:BH30" si="45">AV31-AV32</f>
        <v>0</v>
      </c>
      <c r="AW30" s="66">
        <f t="shared" si="45"/>
        <v>0</v>
      </c>
      <c r="AX30" s="66">
        <f t="shared" si="45"/>
        <v>0</v>
      </c>
      <c r="AY30" s="66">
        <f t="shared" si="45"/>
        <v>0</v>
      </c>
      <c r="AZ30" s="66">
        <f t="shared" si="45"/>
        <v>0</v>
      </c>
      <c r="BA30" s="66">
        <f t="shared" si="45"/>
        <v>0</v>
      </c>
      <c r="BB30" s="66">
        <f t="shared" si="45"/>
        <v>0</v>
      </c>
      <c r="BC30" s="66">
        <f t="shared" si="45"/>
        <v>0</v>
      </c>
      <c r="BD30" s="66">
        <f t="shared" si="45"/>
        <v>0</v>
      </c>
      <c r="BE30" s="66">
        <f t="shared" si="45"/>
        <v>0</v>
      </c>
      <c r="BF30" s="66">
        <f t="shared" si="45"/>
        <v>0</v>
      </c>
      <c r="BG30" s="66">
        <f t="shared" si="45"/>
        <v>0</v>
      </c>
      <c r="BH30" s="66">
        <f t="shared" si="45"/>
        <v>0</v>
      </c>
      <c r="BI30" s="66">
        <f t="shared" ref="BI30:BO30" si="46">BI31-BI32</f>
        <v>0</v>
      </c>
      <c r="BJ30" s="66">
        <f t="shared" si="46"/>
        <v>0</v>
      </c>
      <c r="BK30" s="66">
        <f t="shared" si="46"/>
        <v>0</v>
      </c>
      <c r="BL30" s="66">
        <f t="shared" si="46"/>
        <v>0</v>
      </c>
      <c r="BM30" s="66">
        <f t="shared" si="46"/>
        <v>0</v>
      </c>
      <c r="BN30" s="66">
        <f t="shared" si="46"/>
        <v>0</v>
      </c>
      <c r="BO30" s="66">
        <f t="shared" si="46"/>
        <v>0</v>
      </c>
      <c r="BP30" s="200">
        <f>BP31-BP32</f>
        <v>0</v>
      </c>
      <c r="BQ30" s="272">
        <f>BQ31-BQ32</f>
        <v>0</v>
      </c>
      <c r="BR30" s="272">
        <f t="shared" ref="BR30:BU30" si="47">BR31-BR32</f>
        <v>0</v>
      </c>
      <c r="BS30" s="272">
        <f t="shared" si="47"/>
        <v>0</v>
      </c>
      <c r="BT30" s="272">
        <f t="shared" si="47"/>
        <v>0</v>
      </c>
      <c r="BU30" s="272">
        <f t="shared" si="47"/>
        <v>0</v>
      </c>
    </row>
    <row r="31" spans="2:73">
      <c r="B31" s="54" t="s">
        <v>249</v>
      </c>
      <c r="C31" s="57"/>
      <c r="D31" s="57"/>
      <c r="E31" s="57"/>
      <c r="F31" s="57"/>
      <c r="G31" s="67"/>
      <c r="H31" s="57"/>
      <c r="I31" s="67"/>
      <c r="J31" s="67"/>
      <c r="K31" s="67"/>
      <c r="L31" s="67"/>
      <c r="M31" s="67"/>
      <c r="N31" s="67"/>
      <c r="O31" s="67"/>
      <c r="P31" s="67">
        <v>0</v>
      </c>
      <c r="Q31" s="67">
        <v>0</v>
      </c>
      <c r="R31" s="67"/>
      <c r="S31" s="67">
        <v>0</v>
      </c>
      <c r="T31" s="67"/>
      <c r="U31" s="270">
        <v>0</v>
      </c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49">
        <v>0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9">
        <v>0</v>
      </c>
      <c r="BD31" s="49">
        <v>0</v>
      </c>
      <c r="BE31" s="49">
        <v>0</v>
      </c>
      <c r="BF31" s="49">
        <v>0</v>
      </c>
      <c r="BG31" s="49">
        <v>0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201">
        <v>0</v>
      </c>
      <c r="BQ31" s="277">
        <v>0</v>
      </c>
      <c r="BR31" s="203">
        <v>0</v>
      </c>
      <c r="BS31" s="203">
        <v>0</v>
      </c>
      <c r="BT31" s="203">
        <v>0</v>
      </c>
    </row>
    <row r="32" spans="2:73">
      <c r="B32" s="54" t="s">
        <v>250</v>
      </c>
      <c r="C32" s="57"/>
      <c r="D32" s="57"/>
      <c r="E32" s="57"/>
      <c r="F32" s="57"/>
      <c r="G32" s="67"/>
      <c r="H32" s="57"/>
      <c r="I32" s="67"/>
      <c r="J32" s="67"/>
      <c r="K32" s="67"/>
      <c r="L32" s="67"/>
      <c r="M32" s="67"/>
      <c r="N32" s="67"/>
      <c r="O32" s="67"/>
      <c r="P32" s="67">
        <v>0</v>
      </c>
      <c r="Q32" s="67">
        <v>0</v>
      </c>
      <c r="R32" s="67"/>
      <c r="S32" s="67">
        <v>0</v>
      </c>
      <c r="T32" s="67"/>
      <c r="U32" s="270">
        <v>0</v>
      </c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49">
        <v>0</v>
      </c>
      <c r="AW32" s="49">
        <v>0</v>
      </c>
      <c r="AX32" s="49">
        <v>0</v>
      </c>
      <c r="AY32" s="49">
        <v>0</v>
      </c>
      <c r="AZ32" s="49">
        <v>0</v>
      </c>
      <c r="BA32" s="49">
        <v>0</v>
      </c>
      <c r="BB32" s="49">
        <v>0</v>
      </c>
      <c r="BC32" s="49">
        <v>0</v>
      </c>
      <c r="BD32" s="49">
        <v>0</v>
      </c>
      <c r="BE32" s="49">
        <v>0</v>
      </c>
      <c r="BF32" s="49">
        <v>0</v>
      </c>
      <c r="BG32" s="49">
        <v>0</v>
      </c>
      <c r="BH32" s="46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6">
        <v>0</v>
      </c>
      <c r="BO32" s="46">
        <v>0</v>
      </c>
      <c r="BP32" s="201">
        <v>0</v>
      </c>
      <c r="BQ32" s="277">
        <v>0</v>
      </c>
      <c r="BR32" s="203">
        <v>0</v>
      </c>
      <c r="BS32" s="203">
        <v>0</v>
      </c>
      <c r="BT32" s="203">
        <v>0</v>
      </c>
    </row>
    <row r="33" spans="2:73">
      <c r="B33" s="54" t="s">
        <v>251</v>
      </c>
      <c r="C33" s="64"/>
      <c r="D33" s="64">
        <f t="shared" ref="D33:AU33" si="48">D29+D30</f>
        <v>35159976</v>
      </c>
      <c r="E33" s="64">
        <f t="shared" si="48"/>
        <v>221888016</v>
      </c>
      <c r="F33" s="64">
        <f t="shared" si="48"/>
        <v>288617087</v>
      </c>
      <c r="G33" s="71">
        <f t="shared" si="48"/>
        <v>349300426</v>
      </c>
      <c r="H33" s="64">
        <f t="shared" si="48"/>
        <v>71956150</v>
      </c>
      <c r="I33" s="71">
        <f t="shared" si="48"/>
        <v>53160497</v>
      </c>
      <c r="J33" s="71">
        <f t="shared" si="48"/>
        <v>76937691</v>
      </c>
      <c r="K33" s="71">
        <f t="shared" si="48"/>
        <v>152244576</v>
      </c>
      <c r="L33" s="71">
        <f t="shared" si="48"/>
        <v>177116053.11000001</v>
      </c>
      <c r="M33" s="71">
        <f t="shared" si="48"/>
        <v>199894826</v>
      </c>
      <c r="N33" s="71">
        <f t="shared" si="48"/>
        <v>258977902.99402502</v>
      </c>
      <c r="O33" s="71">
        <f t="shared" si="48"/>
        <v>287470807.13</v>
      </c>
      <c r="P33" s="71">
        <f t="shared" si="48"/>
        <v>293289697</v>
      </c>
      <c r="Q33" s="71">
        <f t="shared" si="48"/>
        <v>332501163.64999998</v>
      </c>
      <c r="R33" s="71">
        <f t="shared" si="48"/>
        <v>376337925</v>
      </c>
      <c r="S33" s="71">
        <f t="shared" si="48"/>
        <v>319908367.11000001</v>
      </c>
      <c r="T33" s="71">
        <f t="shared" si="48"/>
        <v>513662059</v>
      </c>
      <c r="U33" s="71">
        <f t="shared" si="48"/>
        <v>352551298</v>
      </c>
      <c r="V33" s="71">
        <f t="shared" si="48"/>
        <v>26335694.75999999</v>
      </c>
      <c r="W33" s="71">
        <f t="shared" si="48"/>
        <v>53022258.629999995</v>
      </c>
      <c r="X33" s="71">
        <f t="shared" si="48"/>
        <v>66457649</v>
      </c>
      <c r="Y33" s="71">
        <f t="shared" si="48"/>
        <v>87314892.129999995</v>
      </c>
      <c r="Z33" s="71">
        <f t="shared" si="48"/>
        <v>133072426.83999997</v>
      </c>
      <c r="AA33" s="71">
        <f t="shared" si="48"/>
        <v>184771034.25</v>
      </c>
      <c r="AB33" s="71">
        <f t="shared" si="48"/>
        <v>183830862.99000001</v>
      </c>
      <c r="AC33" s="71">
        <f t="shared" si="48"/>
        <v>238105615.04999995</v>
      </c>
      <c r="AD33" s="71">
        <f t="shared" si="48"/>
        <v>211355515.17000008</v>
      </c>
      <c r="AE33" s="71">
        <f t="shared" si="48"/>
        <v>242608753.62</v>
      </c>
      <c r="AF33" s="71">
        <f t="shared" si="48"/>
        <v>249546851.32000005</v>
      </c>
      <c r="AG33" s="71">
        <f t="shared" si="48"/>
        <v>235699667.83000004</v>
      </c>
      <c r="AH33" s="71">
        <f t="shared" si="48"/>
        <v>498853345</v>
      </c>
      <c r="AI33" s="71">
        <f t="shared" si="48"/>
        <v>81449593</v>
      </c>
      <c r="AJ33" s="71">
        <f t="shared" si="48"/>
        <v>163861144</v>
      </c>
      <c r="AK33" s="71">
        <f t="shared" si="48"/>
        <v>71860580.669999987</v>
      </c>
      <c r="AL33" s="71">
        <f t="shared" si="48"/>
        <v>80409081.150000006</v>
      </c>
      <c r="AM33" s="71">
        <f t="shared" si="48"/>
        <v>87301947.120000005</v>
      </c>
      <c r="AN33" s="71">
        <f t="shared" si="48"/>
        <v>58427696</v>
      </c>
      <c r="AO33" s="71">
        <f t="shared" si="48"/>
        <v>0</v>
      </c>
      <c r="AP33" s="71">
        <f t="shared" si="48"/>
        <v>165309128.29000002</v>
      </c>
      <c r="AQ33" s="71">
        <f t="shared" si="48"/>
        <v>3283962.0900000334</v>
      </c>
      <c r="AR33" s="71">
        <f t="shared" si="48"/>
        <v>107838356.53999996</v>
      </c>
      <c r="AS33" s="71">
        <f t="shared" si="48"/>
        <v>171158393.07000005</v>
      </c>
      <c r="AT33" s="71">
        <f t="shared" si="48"/>
        <v>157584837.97000003</v>
      </c>
      <c r="AU33" s="71">
        <f t="shared" si="48"/>
        <v>396357</v>
      </c>
      <c r="AV33" s="71">
        <f t="shared" ref="AV33:BU33" si="49">AV29+AV30</f>
        <v>-8421938</v>
      </c>
      <c r="AW33" s="71">
        <f t="shared" si="49"/>
        <v>11484587.459999979</v>
      </c>
      <c r="AX33" s="71">
        <f t="shared" si="49"/>
        <v>34816895.919999987</v>
      </c>
      <c r="AY33" s="71">
        <f t="shared" si="49"/>
        <v>57222810.129999995</v>
      </c>
      <c r="AZ33" s="71">
        <f t="shared" si="49"/>
        <v>149352071.62</v>
      </c>
      <c r="BA33" s="71">
        <f t="shared" si="49"/>
        <v>121831290</v>
      </c>
      <c r="BB33" s="71">
        <f t="shared" si="49"/>
        <v>143134917.01999998</v>
      </c>
      <c r="BC33" s="71">
        <f t="shared" si="49"/>
        <v>158832192</v>
      </c>
      <c r="BD33" s="71">
        <f t="shared" si="49"/>
        <v>168103839.58000004</v>
      </c>
      <c r="BE33" s="71">
        <f t="shared" si="49"/>
        <v>176636715.55999994</v>
      </c>
      <c r="BF33" s="71">
        <f t="shared" si="49"/>
        <v>183171134.16999996</v>
      </c>
      <c r="BG33" s="71">
        <f t="shared" si="49"/>
        <v>404413236.51999998</v>
      </c>
      <c r="BH33" s="71">
        <f t="shared" si="49"/>
        <v>101539362.54745799</v>
      </c>
      <c r="BI33" s="71">
        <f t="shared" si="49"/>
        <v>3744083.8799999952</v>
      </c>
      <c r="BJ33" s="71">
        <f t="shared" si="49"/>
        <v>50177949.25999999</v>
      </c>
      <c r="BK33" s="71">
        <f t="shared" si="49"/>
        <v>-8901661</v>
      </c>
      <c r="BL33" s="71">
        <f t="shared" si="49"/>
        <v>-38747926.800000012</v>
      </c>
      <c r="BM33" s="71">
        <f t="shared" si="49"/>
        <v>29296284.860000014</v>
      </c>
      <c r="BN33" s="71">
        <f t="shared" si="49"/>
        <v>47415426.269999981</v>
      </c>
      <c r="BO33" s="71">
        <f t="shared" si="49"/>
        <v>81748958.660000086</v>
      </c>
      <c r="BP33" s="285">
        <f t="shared" si="49"/>
        <v>99104662.919999957</v>
      </c>
      <c r="BQ33" s="278">
        <f t="shared" si="49"/>
        <v>263356557.30999994</v>
      </c>
      <c r="BR33" s="278">
        <f t="shared" si="49"/>
        <v>275277276.38</v>
      </c>
      <c r="BS33" s="278">
        <f t="shared" si="49"/>
        <v>306371288</v>
      </c>
      <c r="BT33" s="278">
        <f t="shared" si="49"/>
        <v>377144956.75999999</v>
      </c>
      <c r="BU33" s="278">
        <f t="shared" si="49"/>
        <v>689241000</v>
      </c>
    </row>
    <row r="34" spans="2:73">
      <c r="B34" s="54" t="s">
        <v>252</v>
      </c>
      <c r="C34" s="60"/>
      <c r="D34" s="50">
        <v>3999264</v>
      </c>
      <c r="E34" s="50">
        <v>4042106</v>
      </c>
      <c r="F34" s="50">
        <v>6184653</v>
      </c>
      <c r="G34" s="69">
        <v>21494280</v>
      </c>
      <c r="H34" s="46">
        <v>2103187</v>
      </c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>
        <f>25007266</f>
        <v>25007266</v>
      </c>
      <c r="U34" s="270">
        <v>19903737</v>
      </c>
      <c r="V34" s="69"/>
      <c r="W34" s="69"/>
      <c r="X34" s="69"/>
      <c r="Y34" s="69"/>
      <c r="Z34" s="69"/>
      <c r="AA34" s="129"/>
      <c r="AB34" s="129"/>
      <c r="AC34" s="129"/>
      <c r="AD34" s="129"/>
      <c r="AE34" s="69"/>
      <c r="AF34" s="69"/>
      <c r="AG34" s="69"/>
      <c r="AH34" s="69">
        <v>24114857</v>
      </c>
      <c r="AI34" s="203">
        <v>1621799</v>
      </c>
      <c r="AJ34" s="203">
        <v>3500940</v>
      </c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>
        <v>28143</v>
      </c>
      <c r="AV34" s="49">
        <v>0</v>
      </c>
      <c r="AW34" s="49">
        <v>0</v>
      </c>
      <c r="AX34" s="49">
        <v>0</v>
      </c>
      <c r="AY34" s="49">
        <v>0</v>
      </c>
      <c r="AZ34" s="49">
        <v>0</v>
      </c>
      <c r="BA34" s="49">
        <v>0</v>
      </c>
      <c r="BB34" s="49">
        <v>0</v>
      </c>
      <c r="BC34" s="49">
        <v>0</v>
      </c>
      <c r="BD34" s="49">
        <v>0</v>
      </c>
      <c r="BE34" s="49">
        <v>0</v>
      </c>
      <c r="BF34" s="49">
        <v>0</v>
      </c>
      <c r="BG34" s="49">
        <v>0</v>
      </c>
      <c r="BH34" s="49">
        <v>47874204.565283954</v>
      </c>
      <c r="BI34" s="203">
        <v>0</v>
      </c>
      <c r="BJ34" s="203">
        <v>0</v>
      </c>
      <c r="BK34" s="203">
        <v>0</v>
      </c>
      <c r="BL34" s="203">
        <v>0</v>
      </c>
      <c r="BM34" s="203">
        <v>0</v>
      </c>
      <c r="BN34" s="203">
        <v>0</v>
      </c>
      <c r="BO34" s="203">
        <v>0</v>
      </c>
      <c r="BP34" s="204">
        <v>0</v>
      </c>
      <c r="BQ34" s="274">
        <v>0</v>
      </c>
      <c r="BR34" s="203">
        <v>0</v>
      </c>
      <c r="BS34" s="203">
        <v>0</v>
      </c>
      <c r="BT34" s="203">
        <v>0</v>
      </c>
    </row>
    <row r="35" spans="2:73">
      <c r="B35" s="52" t="s">
        <v>253</v>
      </c>
      <c r="C35" s="53"/>
      <c r="D35" s="53">
        <f t="shared" ref="D35:AU35" si="50">D33-D34</f>
        <v>31160712</v>
      </c>
      <c r="E35" s="53">
        <f t="shared" si="50"/>
        <v>217845910</v>
      </c>
      <c r="F35" s="53">
        <f t="shared" si="50"/>
        <v>282432434</v>
      </c>
      <c r="G35" s="66">
        <f t="shared" si="50"/>
        <v>327806146</v>
      </c>
      <c r="H35" s="53">
        <f t="shared" si="50"/>
        <v>69852963</v>
      </c>
      <c r="I35" s="66">
        <f t="shared" si="50"/>
        <v>53160497</v>
      </c>
      <c r="J35" s="66">
        <f t="shared" si="50"/>
        <v>76937691</v>
      </c>
      <c r="K35" s="66">
        <f t="shared" si="50"/>
        <v>152244576</v>
      </c>
      <c r="L35" s="66">
        <f t="shared" si="50"/>
        <v>177116053.11000001</v>
      </c>
      <c r="M35" s="66">
        <f t="shared" si="50"/>
        <v>199894826</v>
      </c>
      <c r="N35" s="66">
        <f t="shared" si="50"/>
        <v>258977902.99402502</v>
      </c>
      <c r="O35" s="66">
        <f t="shared" si="50"/>
        <v>287470807.13</v>
      </c>
      <c r="P35" s="66">
        <f t="shared" si="50"/>
        <v>293289697</v>
      </c>
      <c r="Q35" s="66">
        <f t="shared" si="50"/>
        <v>332501163.64999998</v>
      </c>
      <c r="R35" s="66">
        <f t="shared" si="50"/>
        <v>376337925</v>
      </c>
      <c r="S35" s="66">
        <f t="shared" si="50"/>
        <v>319908367.11000001</v>
      </c>
      <c r="T35" s="66">
        <f t="shared" si="50"/>
        <v>488654793</v>
      </c>
      <c r="U35" s="66">
        <f t="shared" si="50"/>
        <v>332647561</v>
      </c>
      <c r="V35" s="66">
        <f t="shared" si="50"/>
        <v>26335694.75999999</v>
      </c>
      <c r="W35" s="66">
        <f t="shared" si="50"/>
        <v>53022258.629999995</v>
      </c>
      <c r="X35" s="66">
        <f t="shared" si="50"/>
        <v>66457649</v>
      </c>
      <c r="Y35" s="66">
        <f t="shared" si="50"/>
        <v>87314892.129999995</v>
      </c>
      <c r="Z35" s="66">
        <f t="shared" si="50"/>
        <v>133072426.83999997</v>
      </c>
      <c r="AA35" s="128">
        <f t="shared" si="50"/>
        <v>184771034.25</v>
      </c>
      <c r="AB35" s="128">
        <f t="shared" si="50"/>
        <v>183830862.99000001</v>
      </c>
      <c r="AC35" s="128">
        <f t="shared" si="50"/>
        <v>238105615.04999995</v>
      </c>
      <c r="AD35" s="128">
        <f t="shared" si="50"/>
        <v>211355515.17000008</v>
      </c>
      <c r="AE35" s="66">
        <f t="shared" si="50"/>
        <v>242608753.62</v>
      </c>
      <c r="AF35" s="66">
        <f t="shared" si="50"/>
        <v>249546851.32000005</v>
      </c>
      <c r="AG35" s="66">
        <f t="shared" si="50"/>
        <v>235699667.83000004</v>
      </c>
      <c r="AH35" s="66">
        <f t="shared" si="50"/>
        <v>474738488</v>
      </c>
      <c r="AI35" s="66">
        <f t="shared" si="50"/>
        <v>79827794</v>
      </c>
      <c r="AJ35" s="66">
        <f t="shared" si="50"/>
        <v>160360204</v>
      </c>
      <c r="AK35" s="66">
        <f t="shared" si="50"/>
        <v>71860580.669999987</v>
      </c>
      <c r="AL35" s="66">
        <f t="shared" si="50"/>
        <v>80409081.150000006</v>
      </c>
      <c r="AM35" s="66">
        <f t="shared" si="50"/>
        <v>87301947.120000005</v>
      </c>
      <c r="AN35" s="66">
        <f t="shared" si="50"/>
        <v>58427696</v>
      </c>
      <c r="AO35" s="66">
        <f t="shared" si="50"/>
        <v>0</v>
      </c>
      <c r="AP35" s="66">
        <f t="shared" si="50"/>
        <v>165309128.29000002</v>
      </c>
      <c r="AQ35" s="66">
        <f t="shared" si="50"/>
        <v>3283962.0900000334</v>
      </c>
      <c r="AR35" s="66">
        <f t="shared" si="50"/>
        <v>107838356.53999996</v>
      </c>
      <c r="AS35" s="66">
        <f t="shared" si="50"/>
        <v>171158393.07000005</v>
      </c>
      <c r="AT35" s="66">
        <f t="shared" si="50"/>
        <v>157584837.97000003</v>
      </c>
      <c r="AU35" s="66">
        <f t="shared" si="50"/>
        <v>368214</v>
      </c>
      <c r="AV35" s="66">
        <f t="shared" ref="AV35:BU35" si="51">AV33-AV34</f>
        <v>-8421938</v>
      </c>
      <c r="AW35" s="66">
        <f t="shared" si="51"/>
        <v>11484587.459999979</v>
      </c>
      <c r="AX35" s="66">
        <f t="shared" si="51"/>
        <v>34816895.919999987</v>
      </c>
      <c r="AY35" s="66">
        <f t="shared" si="51"/>
        <v>57222810.129999995</v>
      </c>
      <c r="AZ35" s="66">
        <f t="shared" si="51"/>
        <v>149352071.62</v>
      </c>
      <c r="BA35" s="66">
        <f t="shared" si="51"/>
        <v>121831290</v>
      </c>
      <c r="BB35" s="66">
        <f t="shared" si="51"/>
        <v>143134917.01999998</v>
      </c>
      <c r="BC35" s="66">
        <f t="shared" si="51"/>
        <v>158832192</v>
      </c>
      <c r="BD35" s="66">
        <f t="shared" si="51"/>
        <v>168103839.58000004</v>
      </c>
      <c r="BE35" s="66">
        <f t="shared" si="51"/>
        <v>176636715.55999994</v>
      </c>
      <c r="BF35" s="66">
        <f t="shared" si="51"/>
        <v>183171134.16999996</v>
      </c>
      <c r="BG35" s="66">
        <f t="shared" si="51"/>
        <v>404413236.51999998</v>
      </c>
      <c r="BH35" s="66">
        <f t="shared" si="51"/>
        <v>53665157.982174039</v>
      </c>
      <c r="BI35" s="66">
        <f t="shared" si="51"/>
        <v>3744083.8799999952</v>
      </c>
      <c r="BJ35" s="66">
        <f t="shared" si="51"/>
        <v>50177949.25999999</v>
      </c>
      <c r="BK35" s="66">
        <f t="shared" si="51"/>
        <v>-8901661</v>
      </c>
      <c r="BL35" s="66">
        <f t="shared" si="51"/>
        <v>-38747926.800000012</v>
      </c>
      <c r="BM35" s="66">
        <f t="shared" si="51"/>
        <v>29296284.860000014</v>
      </c>
      <c r="BN35" s="66">
        <f t="shared" si="51"/>
        <v>47415426.269999981</v>
      </c>
      <c r="BO35" s="66">
        <f t="shared" si="51"/>
        <v>81748958.660000086</v>
      </c>
      <c r="BP35" s="200">
        <f t="shared" si="51"/>
        <v>99104662.919999957</v>
      </c>
      <c r="BQ35" s="272">
        <f t="shared" si="51"/>
        <v>263356557.30999994</v>
      </c>
      <c r="BR35" s="272">
        <f t="shared" si="51"/>
        <v>275277276.38</v>
      </c>
      <c r="BS35" s="272">
        <f t="shared" si="51"/>
        <v>306371288</v>
      </c>
      <c r="BT35" s="272">
        <f t="shared" si="51"/>
        <v>377144956.75999999</v>
      </c>
      <c r="BU35" s="272">
        <f t="shared" si="51"/>
        <v>689241000</v>
      </c>
    </row>
    <row r="36" spans="2:73">
      <c r="B36" s="54" t="s">
        <v>254</v>
      </c>
      <c r="C36" s="60"/>
      <c r="D36" s="50">
        <v>240000</v>
      </c>
      <c r="E36" s="50"/>
      <c r="F36" s="50">
        <v>330000</v>
      </c>
      <c r="G36" s="69"/>
      <c r="H36" s="46">
        <v>100000</v>
      </c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46"/>
      <c r="V36" s="69"/>
      <c r="W36" s="69"/>
      <c r="X36" s="69"/>
      <c r="Y36" s="69"/>
      <c r="Z36" s="69"/>
      <c r="AA36" s="129"/>
      <c r="AB36" s="129"/>
      <c r="AC36" s="129"/>
      <c r="AD36" s="12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49">
        <v>0</v>
      </c>
      <c r="AW36" s="49">
        <v>0</v>
      </c>
      <c r="AX36" s="49">
        <v>0</v>
      </c>
      <c r="AY36" s="49">
        <v>0</v>
      </c>
      <c r="AZ36" s="49">
        <v>0</v>
      </c>
      <c r="BA36" s="49">
        <v>0</v>
      </c>
      <c r="BB36" s="49">
        <v>0</v>
      </c>
      <c r="BC36" s="49">
        <v>0</v>
      </c>
      <c r="BD36" s="49">
        <v>0</v>
      </c>
      <c r="BE36" s="49">
        <v>0</v>
      </c>
      <c r="BF36" s="49">
        <v>0</v>
      </c>
      <c r="BG36" s="49">
        <v>0</v>
      </c>
      <c r="BH36" s="49">
        <v>0</v>
      </c>
      <c r="BI36" s="203">
        <v>0</v>
      </c>
      <c r="BJ36" s="203">
        <v>0</v>
      </c>
      <c r="BK36" s="203">
        <v>0</v>
      </c>
      <c r="BL36" s="203">
        <v>0</v>
      </c>
      <c r="BM36" s="203">
        <v>0</v>
      </c>
      <c r="BN36" s="203">
        <v>0</v>
      </c>
      <c r="BO36" s="203">
        <v>0</v>
      </c>
      <c r="BP36" s="204">
        <v>0</v>
      </c>
      <c r="BQ36" s="274">
        <v>0</v>
      </c>
      <c r="BR36" s="203">
        <v>0</v>
      </c>
      <c r="BS36" s="203">
        <v>0</v>
      </c>
      <c r="BT36" s="203">
        <v>0</v>
      </c>
    </row>
    <row r="37" spans="2:73">
      <c r="B37" s="52" t="s">
        <v>255</v>
      </c>
      <c r="C37" s="53"/>
      <c r="D37" s="53">
        <f>D35-D36</f>
        <v>30920712</v>
      </c>
      <c r="E37" s="53">
        <f>E35-E36</f>
        <v>217845910</v>
      </c>
      <c r="F37" s="53">
        <f>F35-F36</f>
        <v>282102434</v>
      </c>
      <c r="G37" s="66">
        <f>G35+G36</f>
        <v>327806146</v>
      </c>
      <c r="H37" s="53">
        <f>H35-H36</f>
        <v>69752963</v>
      </c>
      <c r="I37" s="66">
        <f t="shared" ref="I37:O37" si="52">I35+I36</f>
        <v>53160497</v>
      </c>
      <c r="J37" s="66">
        <f t="shared" si="52"/>
        <v>76937691</v>
      </c>
      <c r="K37" s="66">
        <f t="shared" si="52"/>
        <v>152244576</v>
      </c>
      <c r="L37" s="66">
        <f t="shared" si="52"/>
        <v>177116053.11000001</v>
      </c>
      <c r="M37" s="66">
        <f t="shared" si="52"/>
        <v>199894826</v>
      </c>
      <c r="N37" s="66">
        <f t="shared" si="52"/>
        <v>258977902.99402502</v>
      </c>
      <c r="O37" s="66">
        <f t="shared" si="52"/>
        <v>287470807.13</v>
      </c>
      <c r="P37" s="66">
        <f t="shared" ref="P37:U37" si="53">P35+P36</f>
        <v>293289697</v>
      </c>
      <c r="Q37" s="66">
        <f t="shared" si="53"/>
        <v>332501163.64999998</v>
      </c>
      <c r="R37" s="66">
        <f t="shared" si="53"/>
        <v>376337925</v>
      </c>
      <c r="S37" s="66">
        <f t="shared" si="53"/>
        <v>319908367.11000001</v>
      </c>
      <c r="T37" s="66">
        <f t="shared" si="53"/>
        <v>488654793</v>
      </c>
      <c r="U37" s="66">
        <f t="shared" si="53"/>
        <v>332647561</v>
      </c>
      <c r="V37" s="66">
        <f t="shared" ref="V37:AC37" si="54">V35+V36</f>
        <v>26335694.75999999</v>
      </c>
      <c r="W37" s="66">
        <f t="shared" si="54"/>
        <v>53022258.629999995</v>
      </c>
      <c r="X37" s="66">
        <f t="shared" si="54"/>
        <v>66457649</v>
      </c>
      <c r="Y37" s="66">
        <f t="shared" si="54"/>
        <v>87314892.129999995</v>
      </c>
      <c r="Z37" s="66">
        <f t="shared" si="54"/>
        <v>133072426.83999997</v>
      </c>
      <c r="AA37" s="128">
        <f t="shared" si="54"/>
        <v>184771034.25</v>
      </c>
      <c r="AB37" s="128">
        <f t="shared" si="54"/>
        <v>183830862.99000001</v>
      </c>
      <c r="AC37" s="128">
        <f t="shared" si="54"/>
        <v>238105615.04999995</v>
      </c>
      <c r="AD37" s="128">
        <f t="shared" ref="AD37:AK37" si="55">AD35+AD36</f>
        <v>211355515.17000008</v>
      </c>
      <c r="AE37" s="66">
        <f t="shared" si="55"/>
        <v>242608753.62</v>
      </c>
      <c r="AF37" s="66">
        <f t="shared" si="55"/>
        <v>249546851.32000005</v>
      </c>
      <c r="AG37" s="66">
        <f t="shared" si="55"/>
        <v>235699667.83000004</v>
      </c>
      <c r="AH37" s="66">
        <f t="shared" si="55"/>
        <v>474738488</v>
      </c>
      <c r="AI37" s="66">
        <f t="shared" si="55"/>
        <v>79827794</v>
      </c>
      <c r="AJ37" s="66">
        <f t="shared" si="55"/>
        <v>160360204</v>
      </c>
      <c r="AK37" s="66">
        <f t="shared" si="55"/>
        <v>71860580.669999987</v>
      </c>
      <c r="AL37" s="66">
        <f t="shared" ref="AL37:BU37" si="56">AL35+AL36</f>
        <v>80409081.150000006</v>
      </c>
      <c r="AM37" s="66">
        <f t="shared" si="56"/>
        <v>87301947.120000005</v>
      </c>
      <c r="AN37" s="66">
        <f t="shared" si="56"/>
        <v>58427696</v>
      </c>
      <c r="AO37" s="66">
        <f t="shared" si="56"/>
        <v>0</v>
      </c>
      <c r="AP37" s="66">
        <f t="shared" si="56"/>
        <v>165309128.29000002</v>
      </c>
      <c r="AQ37" s="66">
        <f t="shared" si="56"/>
        <v>3283962.0900000334</v>
      </c>
      <c r="AR37" s="66">
        <f t="shared" si="56"/>
        <v>107838356.53999996</v>
      </c>
      <c r="AS37" s="66">
        <f t="shared" si="56"/>
        <v>171158393.07000005</v>
      </c>
      <c r="AT37" s="66">
        <f t="shared" si="56"/>
        <v>157584837.97000003</v>
      </c>
      <c r="AU37" s="66">
        <f t="shared" si="56"/>
        <v>368214</v>
      </c>
      <c r="AV37" s="66">
        <f t="shared" si="56"/>
        <v>-8421938</v>
      </c>
      <c r="AW37" s="66">
        <f t="shared" si="56"/>
        <v>11484587.459999979</v>
      </c>
      <c r="AX37" s="66">
        <f t="shared" si="56"/>
        <v>34816895.919999987</v>
      </c>
      <c r="AY37" s="66">
        <f t="shared" si="56"/>
        <v>57222810.129999995</v>
      </c>
      <c r="AZ37" s="66">
        <f t="shared" si="56"/>
        <v>149352071.62</v>
      </c>
      <c r="BA37" s="66">
        <f t="shared" si="56"/>
        <v>121831290</v>
      </c>
      <c r="BB37" s="66">
        <f t="shared" si="56"/>
        <v>143134917.01999998</v>
      </c>
      <c r="BC37" s="66">
        <f t="shared" si="56"/>
        <v>158832192</v>
      </c>
      <c r="BD37" s="66">
        <f t="shared" si="56"/>
        <v>168103839.58000004</v>
      </c>
      <c r="BE37" s="66">
        <f t="shared" si="56"/>
        <v>176636715.55999994</v>
      </c>
      <c r="BF37" s="66">
        <f t="shared" si="56"/>
        <v>183171134.16999996</v>
      </c>
      <c r="BG37" s="66">
        <f t="shared" si="56"/>
        <v>404413236.51999998</v>
      </c>
      <c r="BH37" s="66">
        <f t="shared" si="56"/>
        <v>53665157.982174039</v>
      </c>
      <c r="BI37" s="66">
        <f t="shared" si="56"/>
        <v>3744083.8799999952</v>
      </c>
      <c r="BJ37" s="66">
        <f t="shared" si="56"/>
        <v>50177949.25999999</v>
      </c>
      <c r="BK37" s="66">
        <f t="shared" si="56"/>
        <v>-8901661</v>
      </c>
      <c r="BL37" s="66">
        <f t="shared" si="56"/>
        <v>-38747926.800000012</v>
      </c>
      <c r="BM37" s="66">
        <f t="shared" si="56"/>
        <v>29296284.860000014</v>
      </c>
      <c r="BN37" s="66">
        <f t="shared" si="56"/>
        <v>47415426.269999981</v>
      </c>
      <c r="BO37" s="66">
        <f t="shared" si="56"/>
        <v>81748958.660000086</v>
      </c>
      <c r="BP37" s="200">
        <f t="shared" si="56"/>
        <v>99104662.919999957</v>
      </c>
      <c r="BQ37" s="272">
        <f t="shared" si="56"/>
        <v>263356557.30999994</v>
      </c>
      <c r="BR37" s="272">
        <f t="shared" si="56"/>
        <v>275277276.38</v>
      </c>
      <c r="BS37" s="272">
        <f t="shared" si="56"/>
        <v>306371288</v>
      </c>
      <c r="BT37" s="272">
        <f t="shared" si="56"/>
        <v>377144956.75999999</v>
      </c>
      <c r="BU37" s="272">
        <f t="shared" si="56"/>
        <v>689241000</v>
      </c>
    </row>
    <row r="38" spans="2:73">
      <c r="BU38" s="49">
        <f>BU37-689241000</f>
        <v>0</v>
      </c>
    </row>
    <row r="40" spans="2:73">
      <c r="BU40" s="49">
        <f>67.8+49.5+110.3+55.3+12+11+2.7</f>
        <v>308.59999999999997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O80"/>
  <sheetViews>
    <sheetView topLeftCell="E63" workbookViewId="0">
      <selection activeCell="M80" sqref="M80"/>
    </sheetView>
  </sheetViews>
  <sheetFormatPr defaultColWidth="9.140625" defaultRowHeight="13.15"/>
  <cols>
    <col min="1" max="1" width="9.140625" style="44"/>
    <col min="2" max="2" width="20.28515625" style="44" customWidth="1"/>
    <col min="3" max="3" width="10.5703125" style="44" customWidth="1"/>
    <col min="4" max="4" width="21.5703125" style="45" customWidth="1"/>
    <col min="5" max="5" width="17.7109375" style="45" customWidth="1"/>
    <col min="6" max="6" width="22.42578125" style="45" customWidth="1"/>
    <col min="7" max="7" width="9.140625" style="45"/>
    <col min="8" max="9" width="9.140625" style="44"/>
    <col min="10" max="10" width="9.28515625" style="44" bestFit="1" customWidth="1"/>
    <col min="11" max="11" width="18.140625" style="44" customWidth="1"/>
    <col min="12" max="12" width="11.28515625" style="44" bestFit="1" customWidth="1"/>
    <col min="13" max="13" width="26.85546875" style="44" customWidth="1"/>
    <col min="14" max="14" width="22.28515625" style="44" customWidth="1"/>
    <col min="15" max="15" width="31" style="44" customWidth="1"/>
    <col min="16" max="16384" width="9.140625" style="44"/>
  </cols>
  <sheetData>
    <row r="4" spans="1:15" ht="13.9">
      <c r="A4" s="131"/>
      <c r="B4" s="437" t="s">
        <v>256</v>
      </c>
      <c r="C4" s="437"/>
      <c r="D4" s="437"/>
      <c r="E4" s="437"/>
      <c r="F4" s="437"/>
      <c r="J4" s="142"/>
      <c r="K4" s="434" t="s">
        <v>256</v>
      </c>
      <c r="L4" s="434"/>
      <c r="M4" s="434"/>
      <c r="N4" s="434"/>
      <c r="O4" s="434"/>
    </row>
    <row r="5" spans="1:15" ht="27.6">
      <c r="A5" s="131"/>
      <c r="B5" s="132" t="s">
        <v>257</v>
      </c>
      <c r="C5" s="131"/>
      <c r="D5" s="145"/>
      <c r="E5" s="131"/>
      <c r="F5" s="138" t="s">
        <v>258</v>
      </c>
      <c r="J5" s="142"/>
      <c r="K5" s="141" t="s">
        <v>257</v>
      </c>
      <c r="L5" s="142"/>
      <c r="M5" s="145"/>
      <c r="N5" s="142"/>
      <c r="O5" s="138" t="s">
        <v>258</v>
      </c>
    </row>
    <row r="6" spans="1:15" ht="13.9">
      <c r="A6" s="131"/>
      <c r="B6" s="132" t="s">
        <v>259</v>
      </c>
      <c r="C6" s="131"/>
      <c r="D6" s="142"/>
      <c r="E6" s="131"/>
      <c r="F6" s="139">
        <v>2019</v>
      </c>
      <c r="J6" s="142"/>
      <c r="K6" s="141" t="s">
        <v>259</v>
      </c>
      <c r="L6" s="142"/>
      <c r="M6" s="142"/>
      <c r="N6" s="142"/>
      <c r="O6" s="139">
        <v>2019</v>
      </c>
    </row>
    <row r="7" spans="1:15" ht="13.9">
      <c r="A7" s="131"/>
      <c r="B7" s="132" t="s">
        <v>260</v>
      </c>
      <c r="C7" s="131"/>
      <c r="D7" s="142"/>
      <c r="E7" s="133"/>
      <c r="F7" s="140" t="s">
        <v>261</v>
      </c>
      <c r="J7" s="142"/>
      <c r="K7" s="141" t="s">
        <v>260</v>
      </c>
      <c r="L7" s="142"/>
      <c r="M7" s="142"/>
      <c r="N7" s="146"/>
      <c r="O7" s="140" t="s">
        <v>261</v>
      </c>
    </row>
    <row r="8" spans="1:15" ht="13.9">
      <c r="A8" s="131"/>
      <c r="B8" s="132" t="s">
        <v>262</v>
      </c>
      <c r="C8" s="131"/>
      <c r="D8" s="142"/>
      <c r="E8" s="133"/>
      <c r="F8" s="140" t="s">
        <v>263</v>
      </c>
      <c r="J8" s="142"/>
      <c r="K8" s="141" t="s">
        <v>262</v>
      </c>
      <c r="L8" s="142"/>
      <c r="M8" s="142"/>
      <c r="N8" s="146"/>
      <c r="O8" s="140" t="s">
        <v>264</v>
      </c>
    </row>
    <row r="9" spans="1:15" ht="13.9">
      <c r="A9" s="131"/>
      <c r="B9" s="438" t="s">
        <v>265</v>
      </c>
      <c r="C9" s="438"/>
      <c r="D9" s="438"/>
      <c r="E9" s="438"/>
      <c r="F9" s="439"/>
      <c r="J9" s="142"/>
      <c r="K9" s="435" t="s">
        <v>265</v>
      </c>
      <c r="L9" s="435"/>
      <c r="M9" s="435"/>
      <c r="N9" s="435"/>
      <c r="O9" s="436"/>
    </row>
    <row r="10" spans="1:15" ht="13.9">
      <c r="A10" s="131"/>
      <c r="B10" s="131"/>
      <c r="C10" s="132" t="s">
        <v>266</v>
      </c>
      <c r="D10" s="141" t="s">
        <v>267</v>
      </c>
      <c r="E10" s="132" t="s">
        <v>268</v>
      </c>
      <c r="F10" s="141" t="s">
        <v>269</v>
      </c>
      <c r="J10" s="142"/>
      <c r="K10" s="142"/>
      <c r="L10" s="141" t="s">
        <v>266</v>
      </c>
      <c r="M10" s="141" t="s">
        <v>267</v>
      </c>
      <c r="N10" s="141" t="s">
        <v>268</v>
      </c>
      <c r="O10" s="141" t="s">
        <v>269</v>
      </c>
    </row>
    <row r="11" spans="1:15" ht="27.6">
      <c r="A11" s="131" t="s">
        <v>270</v>
      </c>
      <c r="B11" s="132" t="s">
        <v>271</v>
      </c>
      <c r="C11" s="132" t="s">
        <v>272</v>
      </c>
      <c r="D11" s="141" t="s">
        <v>273</v>
      </c>
      <c r="E11" s="132" t="s">
        <v>274</v>
      </c>
      <c r="F11" s="141" t="s">
        <v>275</v>
      </c>
      <c r="J11" s="142" t="s">
        <v>270</v>
      </c>
      <c r="K11" s="141" t="s">
        <v>271</v>
      </c>
      <c r="L11" s="141" t="s">
        <v>272</v>
      </c>
      <c r="M11" s="141" t="s">
        <v>273</v>
      </c>
      <c r="N11" s="141" t="s">
        <v>274</v>
      </c>
      <c r="O11" s="141" t="s">
        <v>275</v>
      </c>
    </row>
    <row r="12" spans="1:15" ht="13.9">
      <c r="A12" s="131">
        <v>1</v>
      </c>
      <c r="B12" s="131" t="s">
        <v>276</v>
      </c>
      <c r="C12" s="134">
        <v>39313</v>
      </c>
      <c r="D12" s="144">
        <v>6470140833.7799997</v>
      </c>
      <c r="E12" s="135">
        <v>0.01</v>
      </c>
      <c r="F12" s="142">
        <f>D12*E12</f>
        <v>64701408.337799996</v>
      </c>
      <c r="J12" s="142">
        <v>1</v>
      </c>
      <c r="K12" s="142" t="s">
        <v>276</v>
      </c>
      <c r="L12" s="144">
        <v>33990</v>
      </c>
      <c r="M12" s="144">
        <v>6242255620.3400002</v>
      </c>
      <c r="N12" s="147">
        <v>0.01</v>
      </c>
      <c r="O12" s="142">
        <f>M12*N12</f>
        <v>62422556.203400001</v>
      </c>
    </row>
    <row r="13" spans="1:15" ht="13.9">
      <c r="A13" s="131">
        <v>2</v>
      </c>
      <c r="B13" s="131" t="s">
        <v>277</v>
      </c>
      <c r="C13" s="134">
        <v>477</v>
      </c>
      <c r="D13" s="144">
        <v>78941396.170000002</v>
      </c>
      <c r="E13" s="135">
        <v>0.05</v>
      </c>
      <c r="F13" s="142">
        <f>D13*E13</f>
        <v>3947069.8085000003</v>
      </c>
      <c r="J13" s="142">
        <v>2</v>
      </c>
      <c r="K13" s="142" t="s">
        <v>277</v>
      </c>
      <c r="L13" s="144">
        <v>790</v>
      </c>
      <c r="M13" s="144">
        <v>88457901.909999996</v>
      </c>
      <c r="N13" s="147">
        <v>0.05</v>
      </c>
      <c r="O13" s="142">
        <f>M13*N13</f>
        <v>4422895.0954999998</v>
      </c>
    </row>
    <row r="14" spans="1:15" ht="13.9">
      <c r="A14" s="131">
        <v>3</v>
      </c>
      <c r="B14" s="131" t="s">
        <v>278</v>
      </c>
      <c r="C14" s="134">
        <v>792</v>
      </c>
      <c r="D14" s="144">
        <v>123306884.06</v>
      </c>
      <c r="E14" s="135">
        <v>0.25</v>
      </c>
      <c r="F14" s="142">
        <f>D14*E14</f>
        <v>30826721.015000001</v>
      </c>
      <c r="J14" s="142">
        <v>3</v>
      </c>
      <c r="K14" s="142" t="s">
        <v>278</v>
      </c>
      <c r="L14" s="144">
        <v>364</v>
      </c>
      <c r="M14" s="144">
        <v>55170029.799999997</v>
      </c>
      <c r="N14" s="147">
        <v>0.25</v>
      </c>
      <c r="O14" s="142">
        <f>M14*N14</f>
        <v>13792507.449999999</v>
      </c>
    </row>
    <row r="15" spans="1:15" ht="13.9">
      <c r="A15" s="131">
        <v>4</v>
      </c>
      <c r="B15" s="131" t="s">
        <v>279</v>
      </c>
      <c r="C15" s="134">
        <v>1182</v>
      </c>
      <c r="D15" s="144">
        <v>175461751.46000001</v>
      </c>
      <c r="E15" s="135">
        <v>0.5</v>
      </c>
      <c r="F15" s="142">
        <f>D15*E15</f>
        <v>87730875.730000004</v>
      </c>
      <c r="J15" s="142">
        <v>4</v>
      </c>
      <c r="K15" s="142" t="s">
        <v>279</v>
      </c>
      <c r="L15" s="144">
        <v>704</v>
      </c>
      <c r="M15" s="144">
        <v>136101751.80000001</v>
      </c>
      <c r="N15" s="147">
        <v>0.5</v>
      </c>
      <c r="O15" s="142">
        <f>M15*N15</f>
        <v>68050875.900000006</v>
      </c>
    </row>
    <row r="16" spans="1:15" ht="13.9">
      <c r="A16" s="131">
        <v>5</v>
      </c>
      <c r="B16" s="131" t="s">
        <v>280</v>
      </c>
      <c r="C16" s="134">
        <v>981</v>
      </c>
      <c r="D16" s="144">
        <v>192723209.19999999</v>
      </c>
      <c r="E16" s="135">
        <v>1</v>
      </c>
      <c r="F16" s="142">
        <f>D16*E16</f>
        <v>192723209.19999999</v>
      </c>
      <c r="J16" s="142">
        <v>5</v>
      </c>
      <c r="K16" s="142" t="s">
        <v>280</v>
      </c>
      <c r="L16" s="144">
        <v>1285</v>
      </c>
      <c r="M16" s="144">
        <v>248978783.99000001</v>
      </c>
      <c r="N16" s="147">
        <v>1</v>
      </c>
      <c r="O16" s="142">
        <f>M16*N16</f>
        <v>248978783.99000001</v>
      </c>
    </row>
    <row r="17" spans="1:15" ht="13.9">
      <c r="A17" s="131"/>
      <c r="B17" s="132" t="s">
        <v>281</v>
      </c>
      <c r="C17" s="136">
        <f>SUM(C12:C16)</f>
        <v>42745</v>
      </c>
      <c r="D17" s="143">
        <f>SUM(D12:D16)</f>
        <v>7040574074.6700001</v>
      </c>
      <c r="E17" s="137"/>
      <c r="F17" s="143">
        <f>SUM(F12:F16)</f>
        <v>379929284.09130001</v>
      </c>
      <c r="J17" s="142"/>
      <c r="K17" s="141" t="s">
        <v>281</v>
      </c>
      <c r="L17" s="143">
        <f>SUM(L12:L16)</f>
        <v>37133</v>
      </c>
      <c r="M17" s="143">
        <f>SUM(M12:M16)</f>
        <v>6770964087.8400002</v>
      </c>
      <c r="N17" s="141"/>
      <c r="O17" s="143">
        <f>SUM(O12:O16)</f>
        <v>397667618.63890004</v>
      </c>
    </row>
    <row r="18" spans="1:15" ht="41.45">
      <c r="A18" s="131"/>
      <c r="B18" s="131" t="s">
        <v>282</v>
      </c>
      <c r="C18" s="134"/>
      <c r="D18" s="144"/>
      <c r="E18" s="134"/>
      <c r="F18" s="144"/>
      <c r="J18" s="142"/>
      <c r="K18" s="142" t="s">
        <v>282</v>
      </c>
      <c r="L18" s="144"/>
      <c r="M18" s="144"/>
      <c r="N18" s="144"/>
      <c r="O18" s="144"/>
    </row>
    <row r="19" spans="1:15" ht="13.9">
      <c r="A19" s="131">
        <v>1</v>
      </c>
      <c r="B19" s="131" t="s">
        <v>276</v>
      </c>
      <c r="C19" s="134">
        <v>0</v>
      </c>
      <c r="D19" s="144"/>
      <c r="E19" s="135">
        <v>0.01</v>
      </c>
      <c r="F19" s="142">
        <f>D19*E19</f>
        <v>0</v>
      </c>
      <c r="J19" s="142">
        <v>1</v>
      </c>
      <c r="K19" s="142" t="s">
        <v>276</v>
      </c>
      <c r="L19" s="144">
        <v>0</v>
      </c>
      <c r="M19" s="144"/>
      <c r="N19" s="147">
        <v>0.01</v>
      </c>
      <c r="O19" s="142">
        <f>M19*N19</f>
        <v>0</v>
      </c>
    </row>
    <row r="20" spans="1:15" ht="13.9">
      <c r="A20" s="131">
        <v>2</v>
      </c>
      <c r="B20" s="131" t="s">
        <v>277</v>
      </c>
      <c r="C20" s="134">
        <v>0</v>
      </c>
      <c r="D20" s="144"/>
      <c r="E20" s="135">
        <v>0.05</v>
      </c>
      <c r="F20" s="142">
        <f>D20*E20</f>
        <v>0</v>
      </c>
      <c r="J20" s="142">
        <v>2</v>
      </c>
      <c r="K20" s="142" t="s">
        <v>277</v>
      </c>
      <c r="L20" s="144">
        <v>0</v>
      </c>
      <c r="M20" s="144"/>
      <c r="N20" s="147">
        <v>0.05</v>
      </c>
      <c r="O20" s="142">
        <f>M20*N20</f>
        <v>0</v>
      </c>
    </row>
    <row r="21" spans="1:15" ht="13.9">
      <c r="A21" s="131">
        <v>3</v>
      </c>
      <c r="B21" s="131" t="s">
        <v>278</v>
      </c>
      <c r="C21" s="134">
        <v>0</v>
      </c>
      <c r="D21" s="144"/>
      <c r="E21" s="135">
        <v>0.25</v>
      </c>
      <c r="F21" s="142">
        <f>D21*E21</f>
        <v>0</v>
      </c>
      <c r="J21" s="142">
        <v>3</v>
      </c>
      <c r="K21" s="142" t="s">
        <v>278</v>
      </c>
      <c r="L21" s="144">
        <v>0</v>
      </c>
      <c r="M21" s="144"/>
      <c r="N21" s="147">
        <v>0.25</v>
      </c>
      <c r="O21" s="142">
        <f>M21*N21</f>
        <v>0</v>
      </c>
    </row>
    <row r="22" spans="1:15" ht="13.9">
      <c r="A22" s="131">
        <v>4</v>
      </c>
      <c r="B22" s="131" t="s">
        <v>279</v>
      </c>
      <c r="C22" s="134">
        <v>0</v>
      </c>
      <c r="D22" s="144"/>
      <c r="E22" s="135">
        <v>0.5</v>
      </c>
      <c r="F22" s="142">
        <f>D22*E22</f>
        <v>0</v>
      </c>
      <c r="J22" s="142">
        <v>4</v>
      </c>
      <c r="K22" s="142" t="s">
        <v>279</v>
      </c>
      <c r="L22" s="144">
        <v>0</v>
      </c>
      <c r="M22" s="144"/>
      <c r="N22" s="147">
        <v>0.5</v>
      </c>
      <c r="O22" s="142">
        <f>M22*N22</f>
        <v>0</v>
      </c>
    </row>
    <row r="23" spans="1:15" ht="13.9">
      <c r="A23" s="131">
        <v>5</v>
      </c>
      <c r="B23" s="131" t="s">
        <v>280</v>
      </c>
      <c r="C23" s="134">
        <v>0</v>
      </c>
      <c r="D23" s="144"/>
      <c r="E23" s="135">
        <v>1</v>
      </c>
      <c r="F23" s="142">
        <f>D23*E23</f>
        <v>0</v>
      </c>
      <c r="J23" s="142">
        <v>5</v>
      </c>
      <c r="K23" s="142" t="s">
        <v>280</v>
      </c>
      <c r="L23" s="144">
        <v>0</v>
      </c>
      <c r="M23" s="144"/>
      <c r="N23" s="147">
        <v>1</v>
      </c>
      <c r="O23" s="142">
        <f>M23*N23</f>
        <v>0</v>
      </c>
    </row>
    <row r="24" spans="1:15" ht="13.9">
      <c r="A24" s="131"/>
      <c r="B24" s="132" t="s">
        <v>281</v>
      </c>
      <c r="C24" s="136">
        <f>SUM(C18:C23)</f>
        <v>0</v>
      </c>
      <c r="D24" s="143">
        <f>SUM(D18:D23)</f>
        <v>0</v>
      </c>
      <c r="E24" s="132"/>
      <c r="F24" s="143">
        <f>SUM(F18:F23)</f>
        <v>0</v>
      </c>
      <c r="J24" s="142"/>
      <c r="K24" s="141" t="s">
        <v>281</v>
      </c>
      <c r="L24" s="143">
        <f>SUM(L18:L23)</f>
        <v>0</v>
      </c>
      <c r="M24" s="143">
        <f>SUM(M18:M23)</f>
        <v>0</v>
      </c>
      <c r="N24" s="141"/>
      <c r="O24" s="143">
        <f>SUM(O18:O23)</f>
        <v>0</v>
      </c>
    </row>
    <row r="25" spans="1:15" ht="13.9">
      <c r="A25" s="131"/>
      <c r="B25" s="132" t="s">
        <v>283</v>
      </c>
      <c r="C25" s="136">
        <f>C17+C24</f>
        <v>42745</v>
      </c>
      <c r="D25" s="143">
        <f>D17+D24</f>
        <v>7040574074.6700001</v>
      </c>
      <c r="E25" s="132"/>
      <c r="F25" s="143">
        <f>F17+F24</f>
        <v>379929284.09130001</v>
      </c>
      <c r="J25" s="142"/>
      <c r="K25" s="141" t="s">
        <v>283</v>
      </c>
      <c r="L25" s="143">
        <f>L17+L24</f>
        <v>37133</v>
      </c>
      <c r="M25" s="143">
        <f>M17+M24</f>
        <v>6770964087.8400002</v>
      </c>
      <c r="N25" s="141"/>
      <c r="O25" s="143">
        <f>O17+O24</f>
        <v>397667618.63890004</v>
      </c>
    </row>
    <row r="27" spans="1:15">
      <c r="D27" s="45">
        <f>D14+D15+D16</f>
        <v>491491844.71999997</v>
      </c>
      <c r="M27" s="45">
        <f>M14+M15+M16</f>
        <v>440250565.59000003</v>
      </c>
    </row>
    <row r="28" spans="1:15" s="148" customFormat="1">
      <c r="D28" s="148">
        <f>D27/D25</f>
        <v>6.9808489976442262E-2</v>
      </c>
      <c r="M28" s="148">
        <f>M27/M25</f>
        <v>6.5020366358263179E-2</v>
      </c>
    </row>
    <row r="30" spans="1:15" ht="13.9">
      <c r="A30" s="142"/>
      <c r="B30" s="434" t="s">
        <v>256</v>
      </c>
      <c r="C30" s="434"/>
      <c r="D30" s="434"/>
      <c r="E30" s="434"/>
      <c r="F30" s="434"/>
      <c r="J30" s="142"/>
      <c r="K30" s="434" t="s">
        <v>256</v>
      </c>
      <c r="L30" s="434"/>
      <c r="M30" s="434"/>
      <c r="N30" s="434"/>
      <c r="O30" s="434"/>
    </row>
    <row r="31" spans="1:15" ht="27.6">
      <c r="A31" s="142"/>
      <c r="B31" s="141" t="s">
        <v>257</v>
      </c>
      <c r="C31" s="142"/>
      <c r="D31" s="145"/>
      <c r="E31" s="142"/>
      <c r="F31" s="138" t="s">
        <v>258</v>
      </c>
      <c r="J31" s="142"/>
      <c r="K31" s="141" t="s">
        <v>257</v>
      </c>
      <c r="L31" s="142"/>
      <c r="M31" s="145"/>
      <c r="N31" s="142"/>
      <c r="O31" s="138" t="s">
        <v>258</v>
      </c>
    </row>
    <row r="32" spans="1:15" ht="13.9">
      <c r="A32" s="142"/>
      <c r="B32" s="141" t="s">
        <v>259</v>
      </c>
      <c r="C32" s="142"/>
      <c r="D32" s="142"/>
      <c r="E32" s="142"/>
      <c r="F32" s="139">
        <v>2019</v>
      </c>
      <c r="J32" s="142"/>
      <c r="K32" s="141" t="s">
        <v>259</v>
      </c>
      <c r="L32" s="142"/>
      <c r="M32" s="142"/>
      <c r="N32" s="142"/>
      <c r="O32" s="139">
        <v>2019</v>
      </c>
    </row>
    <row r="33" spans="1:15" ht="13.9">
      <c r="A33" s="142"/>
      <c r="B33" s="141" t="s">
        <v>260</v>
      </c>
      <c r="C33" s="142"/>
      <c r="D33" s="142"/>
      <c r="E33" s="146"/>
      <c r="F33" s="140" t="s">
        <v>261</v>
      </c>
      <c r="J33" s="142"/>
      <c r="K33" s="141" t="s">
        <v>260</v>
      </c>
      <c r="L33" s="142"/>
      <c r="M33" s="142"/>
      <c r="N33" s="146"/>
      <c r="O33" s="140" t="s">
        <v>261</v>
      </c>
    </row>
    <row r="34" spans="1:15" ht="13.9">
      <c r="A34" s="142"/>
      <c r="B34" s="141" t="s">
        <v>262</v>
      </c>
      <c r="C34" s="142"/>
      <c r="D34" s="142"/>
      <c r="E34" s="146"/>
      <c r="F34" s="140" t="s">
        <v>284</v>
      </c>
      <c r="J34" s="142"/>
      <c r="K34" s="141" t="s">
        <v>262</v>
      </c>
      <c r="L34" s="142"/>
      <c r="M34" s="142"/>
      <c r="N34" s="146"/>
      <c r="O34" s="140" t="s">
        <v>285</v>
      </c>
    </row>
    <row r="35" spans="1:15" ht="13.9">
      <c r="A35" s="142"/>
      <c r="B35" s="435" t="s">
        <v>265</v>
      </c>
      <c r="C35" s="435"/>
      <c r="D35" s="435"/>
      <c r="E35" s="435"/>
      <c r="F35" s="436"/>
      <c r="J35" s="142"/>
      <c r="K35" s="435" t="s">
        <v>265</v>
      </c>
      <c r="L35" s="435"/>
      <c r="M35" s="435"/>
      <c r="N35" s="435"/>
      <c r="O35" s="436"/>
    </row>
    <row r="36" spans="1:15" ht="13.9">
      <c r="A36" s="142"/>
      <c r="B36" s="142"/>
      <c r="C36" s="141" t="s">
        <v>266</v>
      </c>
      <c r="D36" s="141" t="s">
        <v>267</v>
      </c>
      <c r="E36" s="141" t="s">
        <v>268</v>
      </c>
      <c r="F36" s="141" t="s">
        <v>269</v>
      </c>
      <c r="J36" s="142"/>
      <c r="K36" s="142"/>
      <c r="L36" s="141" t="s">
        <v>266</v>
      </c>
      <c r="M36" s="141" t="s">
        <v>267</v>
      </c>
      <c r="N36" s="141" t="s">
        <v>268</v>
      </c>
      <c r="O36" s="141" t="s">
        <v>269</v>
      </c>
    </row>
    <row r="37" spans="1:15" ht="27.6">
      <c r="A37" s="142" t="s">
        <v>270</v>
      </c>
      <c r="B37" s="141" t="s">
        <v>271</v>
      </c>
      <c r="C37" s="141" t="s">
        <v>272</v>
      </c>
      <c r="D37" s="141" t="s">
        <v>273</v>
      </c>
      <c r="E37" s="141" t="s">
        <v>274</v>
      </c>
      <c r="F37" s="141" t="s">
        <v>275</v>
      </c>
      <c r="J37" s="142" t="s">
        <v>270</v>
      </c>
      <c r="K37" s="141" t="s">
        <v>271</v>
      </c>
      <c r="L37" s="141" t="s">
        <v>272</v>
      </c>
      <c r="M37" s="141" t="s">
        <v>273</v>
      </c>
      <c r="N37" s="141" t="s">
        <v>274</v>
      </c>
      <c r="O37" s="141" t="s">
        <v>275</v>
      </c>
    </row>
    <row r="38" spans="1:15" ht="13.9">
      <c r="A38" s="142">
        <v>1</v>
      </c>
      <c r="B38" s="142" t="s">
        <v>276</v>
      </c>
      <c r="C38" s="144">
        <v>32415</v>
      </c>
      <c r="D38" s="144">
        <v>6129038342.6599998</v>
      </c>
      <c r="E38" s="147">
        <v>0.01</v>
      </c>
      <c r="F38" s="142">
        <f>D38*E38</f>
        <v>61290383.426600002</v>
      </c>
      <c r="J38" s="142">
        <v>1</v>
      </c>
      <c r="K38" s="142" t="s">
        <v>276</v>
      </c>
      <c r="L38" s="144"/>
      <c r="M38" s="144">
        <v>5996647285.6999998</v>
      </c>
      <c r="N38" s="147">
        <v>0.01</v>
      </c>
      <c r="O38" s="142">
        <f>M38*N38</f>
        <v>59966472.857000001</v>
      </c>
    </row>
    <row r="39" spans="1:15" ht="13.9">
      <c r="A39" s="142">
        <v>2</v>
      </c>
      <c r="B39" s="142" t="s">
        <v>277</v>
      </c>
      <c r="C39" s="144">
        <v>1116</v>
      </c>
      <c r="D39" s="144">
        <v>116326086.93000001</v>
      </c>
      <c r="E39" s="147">
        <v>0.05</v>
      </c>
      <c r="F39" s="142">
        <f>D39*E39</f>
        <v>5816304.3465000009</v>
      </c>
      <c r="J39" s="142">
        <v>2</v>
      </c>
      <c r="K39" s="142" t="s">
        <v>277</v>
      </c>
      <c r="L39" s="144"/>
      <c r="M39" s="144">
        <v>318860630</v>
      </c>
      <c r="N39" s="147">
        <v>0.05</v>
      </c>
      <c r="O39" s="142">
        <f>M39*N39</f>
        <v>15943031.5</v>
      </c>
    </row>
    <row r="40" spans="1:15" ht="13.9">
      <c r="A40" s="142">
        <v>3</v>
      </c>
      <c r="B40" s="142" t="s">
        <v>278</v>
      </c>
      <c r="C40" s="144">
        <v>796</v>
      </c>
      <c r="D40" s="144">
        <v>96064119.079999998</v>
      </c>
      <c r="E40" s="147">
        <v>0.25</v>
      </c>
      <c r="F40" s="142">
        <f>D40*E40</f>
        <v>24016029.77</v>
      </c>
      <c r="J40" s="142">
        <v>3</v>
      </c>
      <c r="K40" s="142" t="s">
        <v>278</v>
      </c>
      <c r="L40" s="144"/>
      <c r="M40" s="144">
        <v>43839020.700000003</v>
      </c>
      <c r="N40" s="147">
        <v>0.25</v>
      </c>
      <c r="O40" s="142">
        <f>M40*N40</f>
        <v>10959755.175000001</v>
      </c>
    </row>
    <row r="41" spans="1:15" ht="13.9">
      <c r="A41" s="142">
        <v>4</v>
      </c>
      <c r="B41" s="142" t="s">
        <v>279</v>
      </c>
      <c r="C41" s="144">
        <v>800</v>
      </c>
      <c r="D41" s="144">
        <v>127353895.75</v>
      </c>
      <c r="E41" s="147">
        <v>0.5</v>
      </c>
      <c r="F41" s="142">
        <f>D41*E41</f>
        <v>63676947.875</v>
      </c>
      <c r="J41" s="142">
        <v>4</v>
      </c>
      <c r="K41" s="142" t="s">
        <v>279</v>
      </c>
      <c r="L41" s="144"/>
      <c r="M41" s="144">
        <v>136510839.5</v>
      </c>
      <c r="N41" s="147">
        <v>0.5</v>
      </c>
      <c r="O41" s="142">
        <f>M41*N41</f>
        <v>68255419.75</v>
      </c>
    </row>
    <row r="42" spans="1:15" ht="13.9">
      <c r="A42" s="142">
        <v>5</v>
      </c>
      <c r="B42" s="142" t="s">
        <v>280</v>
      </c>
      <c r="C42" s="144">
        <v>1618</v>
      </c>
      <c r="D42" s="144">
        <v>291275841.94999999</v>
      </c>
      <c r="E42" s="147">
        <v>1</v>
      </c>
      <c r="F42" s="142">
        <f>D42*E42</f>
        <v>291275841.94999999</v>
      </c>
      <c r="J42" s="142">
        <v>5</v>
      </c>
      <c r="K42" s="142" t="s">
        <v>280</v>
      </c>
      <c r="L42" s="144"/>
      <c r="M42" s="144">
        <v>309983598.30000001</v>
      </c>
      <c r="N42" s="147">
        <v>1</v>
      </c>
      <c r="O42" s="142">
        <f>M42*N42</f>
        <v>309983598.30000001</v>
      </c>
    </row>
    <row r="43" spans="1:15" ht="13.9">
      <c r="A43" s="142"/>
      <c r="B43" s="141" t="s">
        <v>281</v>
      </c>
      <c r="C43" s="143">
        <f>SUM(C38:C42)</f>
        <v>36745</v>
      </c>
      <c r="D43" s="143">
        <f>SUM(D38:D42)</f>
        <v>6760058286.3699999</v>
      </c>
      <c r="E43" s="141"/>
      <c r="F43" s="143">
        <f>SUM(F38:F42)</f>
        <v>446075507.36809999</v>
      </c>
      <c r="J43" s="142"/>
      <c r="K43" s="141" t="s">
        <v>281</v>
      </c>
      <c r="L43" s="143">
        <f>SUM(L38:L42)</f>
        <v>0</v>
      </c>
      <c r="M43" s="143">
        <f>SUM(M38:M42)</f>
        <v>6805841374.1999998</v>
      </c>
      <c r="N43" s="141"/>
      <c r="O43" s="143">
        <f>SUM(O38:O42)</f>
        <v>465108277.58200002</v>
      </c>
    </row>
    <row r="44" spans="1:15" ht="41.45">
      <c r="A44" s="142"/>
      <c r="B44" s="142" t="s">
        <v>282</v>
      </c>
      <c r="C44" s="144"/>
      <c r="D44" s="144"/>
      <c r="E44" s="144"/>
      <c r="F44" s="144"/>
      <c r="J44" s="142"/>
      <c r="K44" s="142" t="s">
        <v>282</v>
      </c>
      <c r="L44" s="144"/>
      <c r="M44" s="144"/>
      <c r="N44" s="144"/>
      <c r="O44" s="144"/>
    </row>
    <row r="45" spans="1:15" ht="13.9">
      <c r="A45" s="142">
        <v>1</v>
      </c>
      <c r="B45" s="142" t="s">
        <v>276</v>
      </c>
      <c r="C45" s="144">
        <v>0</v>
      </c>
      <c r="D45" s="144"/>
      <c r="E45" s="147">
        <v>0.01</v>
      </c>
      <c r="F45" s="142">
        <f>D45*E45</f>
        <v>0</v>
      </c>
      <c r="J45" s="142">
        <v>1</v>
      </c>
      <c r="K45" s="142" t="s">
        <v>276</v>
      </c>
      <c r="L45" s="144">
        <v>0</v>
      </c>
      <c r="M45" s="144"/>
      <c r="N45" s="147">
        <v>0.01</v>
      </c>
      <c r="O45" s="142">
        <f>M45*N45</f>
        <v>0</v>
      </c>
    </row>
    <row r="46" spans="1:15" ht="13.9">
      <c r="A46" s="142">
        <v>2</v>
      </c>
      <c r="B46" s="142" t="s">
        <v>277</v>
      </c>
      <c r="C46" s="144">
        <v>0</v>
      </c>
      <c r="D46" s="144"/>
      <c r="E46" s="147">
        <v>0.05</v>
      </c>
      <c r="F46" s="142">
        <f>D46*E46</f>
        <v>0</v>
      </c>
      <c r="J46" s="142">
        <v>2</v>
      </c>
      <c r="K46" s="142" t="s">
        <v>277</v>
      </c>
      <c r="L46" s="144">
        <v>0</v>
      </c>
      <c r="M46" s="144"/>
      <c r="N46" s="147">
        <v>0.05</v>
      </c>
      <c r="O46" s="142">
        <f>M46*N46</f>
        <v>0</v>
      </c>
    </row>
    <row r="47" spans="1:15" ht="13.9">
      <c r="A47" s="142">
        <v>3</v>
      </c>
      <c r="B47" s="142" t="s">
        <v>278</v>
      </c>
      <c r="C47" s="144">
        <v>0</v>
      </c>
      <c r="D47" s="144"/>
      <c r="E47" s="147">
        <v>0.25</v>
      </c>
      <c r="F47" s="142">
        <f>D47*E47</f>
        <v>0</v>
      </c>
      <c r="J47" s="142">
        <v>3</v>
      </c>
      <c r="K47" s="142" t="s">
        <v>278</v>
      </c>
      <c r="L47" s="144">
        <v>0</v>
      </c>
      <c r="M47" s="144"/>
      <c r="N47" s="147">
        <v>0.25</v>
      </c>
      <c r="O47" s="142">
        <f>M47*N47</f>
        <v>0</v>
      </c>
    </row>
    <row r="48" spans="1:15" ht="13.9">
      <c r="A48" s="142">
        <v>4</v>
      </c>
      <c r="B48" s="142" t="s">
        <v>279</v>
      </c>
      <c r="C48" s="144">
        <v>0</v>
      </c>
      <c r="D48" s="144"/>
      <c r="E48" s="147">
        <v>0.5</v>
      </c>
      <c r="F48" s="142">
        <f>D48*E48</f>
        <v>0</v>
      </c>
      <c r="J48" s="142">
        <v>4</v>
      </c>
      <c r="K48" s="142" t="s">
        <v>279</v>
      </c>
      <c r="L48" s="144">
        <v>0</v>
      </c>
      <c r="M48" s="144"/>
      <c r="N48" s="147">
        <v>0.5</v>
      </c>
      <c r="O48" s="142">
        <f>M48*N48</f>
        <v>0</v>
      </c>
    </row>
    <row r="49" spans="1:15" ht="13.9">
      <c r="A49" s="142">
        <v>5</v>
      </c>
      <c r="B49" s="142" t="s">
        <v>280</v>
      </c>
      <c r="C49" s="144">
        <v>0</v>
      </c>
      <c r="D49" s="144"/>
      <c r="E49" s="147">
        <v>1</v>
      </c>
      <c r="F49" s="142">
        <f>D49*E49</f>
        <v>0</v>
      </c>
      <c r="J49" s="142">
        <v>5</v>
      </c>
      <c r="K49" s="142" t="s">
        <v>280</v>
      </c>
      <c r="L49" s="144">
        <v>0</v>
      </c>
      <c r="M49" s="144"/>
      <c r="N49" s="147">
        <v>1</v>
      </c>
      <c r="O49" s="142">
        <f>M49*N49</f>
        <v>0</v>
      </c>
    </row>
    <row r="50" spans="1:15" ht="13.9">
      <c r="A50" s="142"/>
      <c r="B50" s="141" t="s">
        <v>281</v>
      </c>
      <c r="C50" s="143">
        <f>SUM(C44:C49)</f>
        <v>0</v>
      </c>
      <c r="D50" s="143">
        <f>SUM(D44:D49)</f>
        <v>0</v>
      </c>
      <c r="E50" s="141"/>
      <c r="F50" s="143">
        <f>SUM(F44:F49)</f>
        <v>0</v>
      </c>
      <c r="J50" s="142"/>
      <c r="K50" s="141" t="s">
        <v>281</v>
      </c>
      <c r="L50" s="143">
        <f>SUM(L44:L49)</f>
        <v>0</v>
      </c>
      <c r="M50" s="143">
        <f>SUM(M44:M49)</f>
        <v>0</v>
      </c>
      <c r="N50" s="141"/>
      <c r="O50" s="143">
        <f>SUM(O44:O49)</f>
        <v>0</v>
      </c>
    </row>
    <row r="51" spans="1:15" ht="13.9">
      <c r="A51" s="142"/>
      <c r="B51" s="141" t="s">
        <v>283</v>
      </c>
      <c r="C51" s="143">
        <f>C43+C50</f>
        <v>36745</v>
      </c>
      <c r="D51" s="143">
        <f>D43+D50</f>
        <v>6760058286.3699999</v>
      </c>
      <c r="E51" s="141"/>
      <c r="F51" s="143">
        <f>F43+F50</f>
        <v>446075507.36809999</v>
      </c>
      <c r="J51" s="142"/>
      <c r="K51" s="141" t="s">
        <v>283</v>
      </c>
      <c r="L51" s="143">
        <f>L43+L50</f>
        <v>0</v>
      </c>
      <c r="M51" s="143">
        <f>M43+M50</f>
        <v>6805841374.1999998</v>
      </c>
      <c r="N51" s="141"/>
      <c r="O51" s="143">
        <f>O43+O50</f>
        <v>465108277.58200002</v>
      </c>
    </row>
    <row r="53" spans="1:15">
      <c r="D53" s="45">
        <f>D40+D41+D42</f>
        <v>514693856.77999997</v>
      </c>
      <c r="M53" s="149">
        <f>M40+M41+M42</f>
        <v>490333458.5</v>
      </c>
    </row>
    <row r="54" spans="1:15">
      <c r="D54" s="148">
        <f>D53/D51</f>
        <v>7.6137488018077293E-2</v>
      </c>
      <c r="M54" s="148">
        <f>M53/M51</f>
        <v>7.2045972208342399E-2</v>
      </c>
    </row>
    <row r="58" spans="1:15" ht="13.9">
      <c r="M58" s="39" t="s">
        <v>286</v>
      </c>
    </row>
    <row r="59" spans="1:15" ht="13.9">
      <c r="J59" s="142"/>
      <c r="K59" s="434" t="s">
        <v>256</v>
      </c>
      <c r="L59" s="434"/>
      <c r="M59" s="434"/>
      <c r="N59" s="434"/>
      <c r="O59" s="434"/>
    </row>
    <row r="60" spans="1:15" ht="13.9">
      <c r="J60" s="142"/>
      <c r="K60" s="142"/>
      <c r="L60" s="141" t="s">
        <v>266</v>
      </c>
      <c r="M60" s="141" t="s">
        <v>267</v>
      </c>
      <c r="N60" s="141" t="s">
        <v>268</v>
      </c>
      <c r="O60" s="141" t="s">
        <v>269</v>
      </c>
    </row>
    <row r="61" spans="1:15" ht="27.6">
      <c r="J61" s="142" t="s">
        <v>270</v>
      </c>
      <c r="K61" s="141" t="s">
        <v>271</v>
      </c>
      <c r="L61" s="141" t="s">
        <v>272</v>
      </c>
      <c r="M61" s="141" t="s">
        <v>273</v>
      </c>
      <c r="N61" s="141" t="s">
        <v>274</v>
      </c>
      <c r="O61" s="141" t="s">
        <v>275</v>
      </c>
    </row>
    <row r="62" spans="1:15" ht="13.9">
      <c r="J62" s="142">
        <v>1</v>
      </c>
      <c r="K62" s="142" t="s">
        <v>276</v>
      </c>
      <c r="L62" s="144"/>
      <c r="M62" s="144">
        <v>8788508000</v>
      </c>
      <c r="N62" s="147">
        <v>0.01</v>
      </c>
      <c r="O62" s="142">
        <f>M62*N62</f>
        <v>87885080</v>
      </c>
    </row>
    <row r="63" spans="1:15" ht="13.9">
      <c r="J63" s="142">
        <v>2</v>
      </c>
      <c r="K63" s="142" t="s">
        <v>277</v>
      </c>
      <c r="L63" s="144"/>
      <c r="M63" s="144">
        <v>222498000</v>
      </c>
      <c r="N63" s="147">
        <v>0.05</v>
      </c>
      <c r="O63" s="142">
        <f>M63*N63</f>
        <v>11124900</v>
      </c>
    </row>
    <row r="64" spans="1:15" ht="13.9">
      <c r="J64" s="142">
        <v>3</v>
      </c>
      <c r="K64" s="142" t="s">
        <v>278</v>
      </c>
      <c r="L64" s="144"/>
      <c r="M64" s="144">
        <v>137553000</v>
      </c>
      <c r="N64" s="147">
        <v>0.25</v>
      </c>
      <c r="O64" s="142">
        <f>M64*N64</f>
        <v>34388250</v>
      </c>
    </row>
    <row r="65" spans="10:15" ht="13.9">
      <c r="J65" s="142">
        <v>4</v>
      </c>
      <c r="K65" s="142" t="s">
        <v>279</v>
      </c>
      <c r="L65" s="144"/>
      <c r="M65" s="144">
        <v>54082000</v>
      </c>
      <c r="N65" s="147">
        <v>0.5</v>
      </c>
      <c r="O65" s="142">
        <f>M65*N65</f>
        <v>27041000</v>
      </c>
    </row>
    <row r="66" spans="10:15" ht="13.9">
      <c r="J66" s="142">
        <v>5</v>
      </c>
      <c r="K66" s="142" t="s">
        <v>280</v>
      </c>
      <c r="L66" s="144"/>
      <c r="M66" s="144">
        <v>312688000</v>
      </c>
      <c r="N66" s="147">
        <v>1</v>
      </c>
      <c r="O66" s="142">
        <f>M66*N66</f>
        <v>312688000</v>
      </c>
    </row>
    <row r="67" spans="10:15" ht="13.9">
      <c r="J67" s="142"/>
      <c r="K67" s="141" t="s">
        <v>281</v>
      </c>
      <c r="L67" s="143">
        <f>SUM(L62:L66)</f>
        <v>0</v>
      </c>
      <c r="M67" s="143">
        <f>SUM(M62:M66)</f>
        <v>9515329000</v>
      </c>
      <c r="N67" s="141"/>
      <c r="O67" s="143">
        <f>SUM(O62:O66)</f>
        <v>473127230</v>
      </c>
    </row>
    <row r="68" spans="10:15" ht="41.45">
      <c r="J68" s="142"/>
      <c r="K68" s="142" t="s">
        <v>282</v>
      </c>
      <c r="L68" s="144"/>
      <c r="M68" s="144"/>
      <c r="N68" s="144"/>
      <c r="O68" s="144"/>
    </row>
    <row r="69" spans="10:15" ht="13.9">
      <c r="J69" s="142">
        <v>1</v>
      </c>
      <c r="K69" s="142" t="s">
        <v>276</v>
      </c>
      <c r="L69" s="144">
        <v>0</v>
      </c>
      <c r="M69" s="144"/>
      <c r="N69" s="147">
        <v>0.01</v>
      </c>
      <c r="O69" s="142">
        <f>M69*N69</f>
        <v>0</v>
      </c>
    </row>
    <row r="70" spans="10:15" ht="13.9">
      <c r="J70" s="142">
        <v>2</v>
      </c>
      <c r="K70" s="142" t="s">
        <v>277</v>
      </c>
      <c r="L70" s="144">
        <v>0</v>
      </c>
      <c r="M70" s="144"/>
      <c r="N70" s="147">
        <v>0.05</v>
      </c>
      <c r="O70" s="142">
        <f>M70*N70</f>
        <v>0</v>
      </c>
    </row>
    <row r="71" spans="10:15" ht="13.9">
      <c r="J71" s="142">
        <v>3</v>
      </c>
      <c r="K71" s="142" t="s">
        <v>278</v>
      </c>
      <c r="L71" s="144">
        <v>0</v>
      </c>
      <c r="M71" s="144"/>
      <c r="N71" s="147">
        <v>0.25</v>
      </c>
      <c r="O71" s="142">
        <f>M71*N71</f>
        <v>0</v>
      </c>
    </row>
    <row r="72" spans="10:15" ht="13.9">
      <c r="J72" s="142">
        <v>4</v>
      </c>
      <c r="K72" s="142" t="s">
        <v>279</v>
      </c>
      <c r="L72" s="144">
        <v>0</v>
      </c>
      <c r="M72" s="144"/>
      <c r="N72" s="147">
        <v>0.5</v>
      </c>
      <c r="O72" s="142">
        <f>M72*N72</f>
        <v>0</v>
      </c>
    </row>
    <row r="73" spans="10:15" ht="13.9">
      <c r="J73" s="142">
        <v>5</v>
      </c>
      <c r="K73" s="142" t="s">
        <v>280</v>
      </c>
      <c r="L73" s="144">
        <v>0</v>
      </c>
      <c r="M73" s="144"/>
      <c r="N73" s="147">
        <v>1</v>
      </c>
      <c r="O73" s="142">
        <f>M73*N73</f>
        <v>0</v>
      </c>
    </row>
    <row r="74" spans="10:15" ht="13.9">
      <c r="J74" s="142"/>
      <c r="K74" s="141" t="s">
        <v>281</v>
      </c>
      <c r="L74" s="143">
        <f>SUM(L68:L73)</f>
        <v>0</v>
      </c>
      <c r="M74" s="143">
        <f>SUM(M68:M73)</f>
        <v>0</v>
      </c>
      <c r="N74" s="141"/>
      <c r="O74" s="143">
        <f>SUM(O68:O73)</f>
        <v>0</v>
      </c>
    </row>
    <row r="75" spans="10:15" ht="13.9">
      <c r="J75" s="142"/>
      <c r="K75" s="141" t="s">
        <v>283</v>
      </c>
      <c r="L75" s="143">
        <f>L67+L74</f>
        <v>0</v>
      </c>
      <c r="M75" s="143">
        <f>M67+M74</f>
        <v>9515329000</v>
      </c>
      <c r="N75" s="141"/>
      <c r="O75" s="143">
        <f>O67+O74</f>
        <v>473127230</v>
      </c>
    </row>
    <row r="79" spans="10:15">
      <c r="M79" s="395">
        <f>M66+M65+M64</f>
        <v>504323000</v>
      </c>
    </row>
    <row r="80" spans="10:15">
      <c r="M80" s="396">
        <f>M79/M75</f>
        <v>5.3001110103497208E-2</v>
      </c>
    </row>
  </sheetData>
  <mergeCells count="9">
    <mergeCell ref="K59:O59"/>
    <mergeCell ref="B35:F35"/>
    <mergeCell ref="K30:O30"/>
    <mergeCell ref="K35:O35"/>
    <mergeCell ref="K4:O4"/>
    <mergeCell ref="K9:O9"/>
    <mergeCell ref="B4:F4"/>
    <mergeCell ref="B9:F9"/>
    <mergeCell ref="B30:F30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F21" sqref="F21"/>
    </sheetView>
  </sheetViews>
  <sheetFormatPr defaultRowHeight="14.45"/>
  <cols>
    <col min="1" max="1" width="42.7109375" customWidth="1"/>
    <col min="2" max="2" width="13.5703125" customWidth="1"/>
    <col min="3" max="3" width="17.7109375" bestFit="1" customWidth="1"/>
    <col min="4" max="4" width="21" bestFit="1" customWidth="1"/>
    <col min="5" max="5" width="17.7109375" bestFit="1" customWidth="1"/>
    <col min="6" max="6" width="16.28515625" bestFit="1" customWidth="1"/>
    <col min="7" max="7" width="24.7109375" customWidth="1"/>
  </cols>
  <sheetData>
    <row r="1" spans="1:7">
      <c r="A1" s="444" t="s">
        <v>287</v>
      </c>
      <c r="B1" s="445"/>
      <c r="C1" s="445"/>
      <c r="D1" s="445"/>
      <c r="E1" s="445"/>
      <c r="F1" s="446"/>
      <c r="G1" s="447"/>
    </row>
    <row r="2" spans="1:7">
      <c r="A2" s="448" t="s">
        <v>288</v>
      </c>
      <c r="B2" s="449"/>
      <c r="C2" s="449"/>
      <c r="D2" s="449"/>
      <c r="E2" s="449"/>
      <c r="F2" s="450"/>
      <c r="G2" s="451"/>
    </row>
    <row r="3" spans="1:7">
      <c r="A3" s="181"/>
      <c r="B3" s="442" t="s">
        <v>289</v>
      </c>
      <c r="C3" s="190" t="s">
        <v>290</v>
      </c>
      <c r="D3" s="455" t="s">
        <v>291</v>
      </c>
      <c r="E3" s="456"/>
      <c r="F3" s="457" t="s">
        <v>5</v>
      </c>
      <c r="G3" s="440" t="s">
        <v>292</v>
      </c>
    </row>
    <row r="4" spans="1:7" ht="28.9">
      <c r="A4" s="182"/>
      <c r="B4" s="443"/>
      <c r="C4" s="150">
        <v>2019</v>
      </c>
      <c r="D4" s="151" t="s">
        <v>293</v>
      </c>
      <c r="E4" s="152" t="s">
        <v>294</v>
      </c>
      <c r="F4" s="458"/>
      <c r="G4" s="441"/>
    </row>
    <row r="5" spans="1:7">
      <c r="A5" s="459" t="s">
        <v>295</v>
      </c>
      <c r="B5" s="460"/>
      <c r="C5" s="460"/>
      <c r="D5" s="460"/>
      <c r="E5" s="460"/>
      <c r="F5" s="461"/>
      <c r="G5" s="462"/>
    </row>
    <row r="6" spans="1:7">
      <c r="A6" s="171" t="s">
        <v>296</v>
      </c>
      <c r="B6" s="172" t="s">
        <v>297</v>
      </c>
      <c r="C6" s="170">
        <v>2617751466</v>
      </c>
      <c r="D6" s="170">
        <v>2690338040</v>
      </c>
      <c r="E6" s="170">
        <v>2786049857</v>
      </c>
      <c r="F6" s="170">
        <f>F33</f>
        <v>3680360</v>
      </c>
      <c r="G6" s="170">
        <v>93691212705.705002</v>
      </c>
    </row>
    <row r="7" spans="1:7">
      <c r="A7" s="171" t="s">
        <v>298</v>
      </c>
      <c r="B7" s="173" t="s">
        <v>299</v>
      </c>
      <c r="C7" s="187">
        <v>0.27599342854864312</v>
      </c>
      <c r="D7" s="187">
        <v>0.26763563801156537</v>
      </c>
      <c r="E7" s="187">
        <v>0.26342377026759445</v>
      </c>
      <c r="F7" s="187">
        <f>F33/F29</f>
        <v>0.35124206323074825</v>
      </c>
      <c r="G7" s="187">
        <v>0.15861450963121074</v>
      </c>
    </row>
    <row r="8" spans="1:7">
      <c r="A8" s="171" t="s">
        <v>133</v>
      </c>
      <c r="B8" s="173" t="s">
        <v>300</v>
      </c>
      <c r="C8" s="189">
        <v>0.19070698609023029</v>
      </c>
      <c r="D8" s="189">
        <v>0.17481458616280635</v>
      </c>
      <c r="E8" s="189">
        <v>0.17345388993814082</v>
      </c>
      <c r="F8" s="187">
        <f>F34/F29</f>
        <v>0.26042919872152759</v>
      </c>
      <c r="G8" s="187">
        <v>9.2981556620024317E-2</v>
      </c>
    </row>
    <row r="9" spans="1:7">
      <c r="A9" s="459" t="s">
        <v>301</v>
      </c>
      <c r="B9" s="460"/>
      <c r="C9" s="460"/>
      <c r="D9" s="460"/>
      <c r="E9" s="460"/>
      <c r="F9" s="461"/>
      <c r="G9" s="462"/>
    </row>
    <row r="10" spans="1:7">
      <c r="A10" s="171" t="s">
        <v>302</v>
      </c>
      <c r="B10" s="172" t="s">
        <v>303</v>
      </c>
      <c r="C10" s="189">
        <v>0</v>
      </c>
      <c r="D10" s="189">
        <v>9.7096672206048229E-2</v>
      </c>
      <c r="E10" s="189">
        <v>7.2182375276682684E-2</v>
      </c>
      <c r="F10" s="189">
        <f>F35/F32</f>
        <v>7.1737732376912722E-2</v>
      </c>
      <c r="G10" s="189">
        <v>8.1142073624246677E-2</v>
      </c>
    </row>
    <row r="11" spans="1:7">
      <c r="A11" s="171" t="s">
        <v>43</v>
      </c>
      <c r="B11" s="172" t="s">
        <v>304</v>
      </c>
      <c r="C11" s="187">
        <v>4.3802667787117722E-2</v>
      </c>
      <c r="D11" s="187">
        <v>4.9797141073392275E-2</v>
      </c>
      <c r="E11" s="187">
        <v>4.5698485610208964E-2</v>
      </c>
      <c r="F11" s="187">
        <f>F36/F29</f>
        <v>5.4465825486036151E-2</v>
      </c>
      <c r="G11" s="187">
        <v>0.10306873625037401</v>
      </c>
    </row>
    <row r="12" spans="1:7">
      <c r="A12" s="171" t="s">
        <v>305</v>
      </c>
      <c r="B12" s="172" t="s">
        <v>303</v>
      </c>
      <c r="C12" s="174">
        <v>0.10311198749668513</v>
      </c>
      <c r="D12" s="174">
        <v>0.10246030401147529</v>
      </c>
      <c r="E12" s="174">
        <v>0.10072361006612117</v>
      </c>
      <c r="F12" s="174">
        <f>F38/F31</f>
        <v>8.6325357608237813E-2</v>
      </c>
      <c r="G12" s="174">
        <v>3.3654976187465373E-2</v>
      </c>
    </row>
    <row r="13" spans="1:7">
      <c r="A13" s="175" t="s">
        <v>306</v>
      </c>
      <c r="B13" s="172" t="s">
        <v>307</v>
      </c>
      <c r="C13" s="188">
        <v>0.20992763222083513</v>
      </c>
      <c r="D13" s="188">
        <v>0.22416304420986441</v>
      </c>
      <c r="E13" s="188">
        <v>0.21646215823624437</v>
      </c>
      <c r="F13" s="188">
        <f>F38/F33</f>
        <v>0.14043897879555262</v>
      </c>
      <c r="G13" s="188">
        <v>0.14556656570045168</v>
      </c>
    </row>
    <row r="14" spans="1:7">
      <c r="A14" s="459" t="s">
        <v>308</v>
      </c>
      <c r="B14" s="460"/>
      <c r="C14" s="460"/>
      <c r="D14" s="460"/>
      <c r="E14" s="460"/>
      <c r="F14" s="461"/>
      <c r="G14" s="462"/>
    </row>
    <row r="15" spans="1:7">
      <c r="A15" s="171" t="s">
        <v>309</v>
      </c>
      <c r="B15" s="172"/>
      <c r="C15" s="189">
        <v>0.18644344766064189</v>
      </c>
      <c r="D15" s="189">
        <v>0.13116369682414303</v>
      </c>
      <c r="E15" s="189">
        <v>0.16846236640943671</v>
      </c>
      <c r="F15" s="189">
        <f>F48/F32</f>
        <v>0.16742506873047344</v>
      </c>
      <c r="G15" s="189">
        <v>0.1727756317461677</v>
      </c>
    </row>
    <row r="16" spans="1:7">
      <c r="A16" s="171" t="s">
        <v>310</v>
      </c>
      <c r="B16" s="172"/>
      <c r="C16" s="189">
        <v>0.63498146737498806</v>
      </c>
      <c r="D16" s="189">
        <v>0.82530016618856017</v>
      </c>
      <c r="E16" s="189">
        <v>0.81411893000538993</v>
      </c>
      <c r="F16" s="189">
        <f>F49/F44</f>
        <v>0.71890192485129756</v>
      </c>
      <c r="G16" s="189">
        <v>0.69938820574704474</v>
      </c>
    </row>
    <row r="17" spans="1:9">
      <c r="A17" s="171" t="s">
        <v>311</v>
      </c>
      <c r="B17" s="172"/>
      <c r="C17" s="188">
        <v>5.2168653833098232E-2</v>
      </c>
      <c r="D17" s="188">
        <v>3.4173055801332955E-4</v>
      </c>
      <c r="E17" s="188">
        <v>1.5801201965705315E-2</v>
      </c>
      <c r="F17" s="188">
        <f>F50/F30</f>
        <v>7.755701963194344E-5</v>
      </c>
      <c r="G17" s="188">
        <v>3.823546348854423E-2</v>
      </c>
    </row>
    <row r="18" spans="1:9">
      <c r="A18" s="175" t="s">
        <v>312</v>
      </c>
      <c r="B18" s="176"/>
      <c r="C18" s="188">
        <v>0.20866009010974912</v>
      </c>
      <c r="D18" s="188">
        <v>0.21266921088756147</v>
      </c>
      <c r="E18" s="188">
        <v>0.21154392386979887</v>
      </c>
      <c r="F18" s="188">
        <f>F47/F44</f>
        <v>0.20006297733879611</v>
      </c>
      <c r="G18" s="188">
        <v>0.30079836895724715</v>
      </c>
    </row>
    <row r="19" spans="1:9">
      <c r="A19" s="459" t="s">
        <v>313</v>
      </c>
      <c r="B19" s="460"/>
      <c r="C19" s="460"/>
      <c r="D19" s="460"/>
      <c r="E19" s="460"/>
      <c r="F19" s="461"/>
      <c r="G19" s="462"/>
    </row>
    <row r="20" spans="1:9">
      <c r="A20" s="171" t="s">
        <v>314</v>
      </c>
      <c r="B20" s="177" t="s">
        <v>315</v>
      </c>
      <c r="C20" s="187">
        <v>1.1490474713078707</v>
      </c>
      <c r="D20" s="187">
        <v>1.3473410470522211</v>
      </c>
      <c r="E20" s="187">
        <v>1.2176719420936448</v>
      </c>
      <c r="F20" s="187">
        <f>F40/F41</f>
        <v>1.4659017824400795</v>
      </c>
      <c r="G20" s="187">
        <v>0.62089206156357579</v>
      </c>
      <c r="I20" s="154"/>
    </row>
    <row r="21" spans="1:9">
      <c r="A21" s="171" t="s">
        <v>316</v>
      </c>
      <c r="B21" s="172" t="s">
        <v>317</v>
      </c>
      <c r="C21" s="187">
        <v>0</v>
      </c>
      <c r="D21" s="187">
        <v>0</v>
      </c>
      <c r="E21" s="187">
        <v>0</v>
      </c>
      <c r="F21" s="187">
        <f>F42/F29</f>
        <v>0</v>
      </c>
      <c r="G21" s="187">
        <v>3.6253818628222696E-2</v>
      </c>
      <c r="I21" s="155"/>
    </row>
    <row r="22" spans="1:9">
      <c r="A22" s="171" t="s">
        <v>318</v>
      </c>
      <c r="B22" s="172"/>
      <c r="C22" s="187">
        <v>8.2179459629009702E-2</v>
      </c>
      <c r="D22" s="187">
        <v>0.19647702704323775</v>
      </c>
      <c r="E22" s="187">
        <v>0.19686562740478417</v>
      </c>
      <c r="F22" s="187">
        <f>F40/F29</f>
        <v>0.22470478988140061</v>
      </c>
      <c r="G22" s="187">
        <v>0.11763884277031192</v>
      </c>
    </row>
    <row r="23" spans="1:9">
      <c r="A23" s="459" t="s">
        <v>319</v>
      </c>
      <c r="B23" s="460"/>
      <c r="C23" s="460"/>
      <c r="D23" s="460"/>
      <c r="E23" s="460"/>
      <c r="F23" s="461"/>
      <c r="G23" s="462"/>
    </row>
    <row r="24" spans="1:9">
      <c r="A24" s="178" t="s">
        <v>320</v>
      </c>
      <c r="B24" s="176" t="s">
        <v>321</v>
      </c>
      <c r="C24" s="188">
        <v>0.7175499734658416</v>
      </c>
      <c r="D24" s="188">
        <v>0.6832154566409866</v>
      </c>
      <c r="E24" s="188">
        <v>0.6835351072703586</v>
      </c>
      <c r="F24" s="188">
        <f>F32/F29</f>
        <v>0.69421413935501852</v>
      </c>
      <c r="G24" s="188">
        <v>0.75577804491156253</v>
      </c>
    </row>
    <row r="25" spans="1:9">
      <c r="A25" s="178" t="s">
        <v>322</v>
      </c>
      <c r="B25" s="179" t="s">
        <v>323</v>
      </c>
      <c r="C25" s="188">
        <v>1.2770060705521409</v>
      </c>
      <c r="D25" s="188">
        <v>1.1668240292038055</v>
      </c>
      <c r="E25" s="188">
        <v>1.207411096625123</v>
      </c>
      <c r="F25" s="188">
        <f>F32/F31</f>
        <v>1.2148919617771801</v>
      </c>
      <c r="G25" s="188">
        <v>1.1016382594990353</v>
      </c>
    </row>
    <row r="26" spans="1:9">
      <c r="A26" s="178" t="s">
        <v>324</v>
      </c>
      <c r="B26" s="179"/>
      <c r="C26" s="188">
        <v>0.28549372241738397</v>
      </c>
      <c r="D26" s="188">
        <v>0.15633732960359278</v>
      </c>
      <c r="E26" s="188">
        <v>0.14618924665740188</v>
      </c>
      <c r="F26" s="188">
        <f>F39/F29</f>
        <v>7.5307998660066253E-2</v>
      </c>
      <c r="G26" s="188">
        <v>6.6695358997387502E-2</v>
      </c>
    </row>
    <row r="27" spans="1:9">
      <c r="A27" s="178" t="s">
        <v>325</v>
      </c>
      <c r="B27" s="180"/>
      <c r="C27" s="188">
        <v>0.40531824080506207</v>
      </c>
      <c r="D27" s="188">
        <v>0.60638301079981494</v>
      </c>
      <c r="E27" s="188">
        <v>0.59710112873635923</v>
      </c>
      <c r="F27" s="188">
        <f>F46/F44</f>
        <v>0.44223779477188802</v>
      </c>
      <c r="G27" s="188">
        <v>0.33833568901269484</v>
      </c>
    </row>
    <row r="28" spans="1:9">
      <c r="A28" s="459" t="s">
        <v>326</v>
      </c>
      <c r="B28" s="460"/>
      <c r="C28" s="460">
        <v>2015</v>
      </c>
      <c r="D28" s="460">
        <v>2016</v>
      </c>
      <c r="E28" s="460">
        <v>2017</v>
      </c>
      <c r="F28" s="461"/>
      <c r="G28" s="462" t="s">
        <v>327</v>
      </c>
    </row>
    <row r="29" spans="1:9">
      <c r="A29" s="195" t="s">
        <v>9</v>
      </c>
      <c r="B29" s="183"/>
      <c r="C29" s="191">
        <v>9484832591</v>
      </c>
      <c r="D29" s="191">
        <v>10052241398</v>
      </c>
      <c r="E29" s="191">
        <v>10576303931</v>
      </c>
      <c r="F29" s="191">
        <f>SFP!AV27</f>
        <v>10478130</v>
      </c>
      <c r="G29" s="192">
        <v>590685006835.39795</v>
      </c>
    </row>
    <row r="30" spans="1:9">
      <c r="A30" s="195" t="s">
        <v>328</v>
      </c>
      <c r="B30" s="183"/>
      <c r="C30" s="191">
        <v>9100071654.5</v>
      </c>
      <c r="D30" s="191">
        <v>9609799337.5</v>
      </c>
      <c r="E30" s="191">
        <v>9972965241</v>
      </c>
      <c r="F30" s="191">
        <f>(F29+C29)/2</f>
        <v>4747655360.5</v>
      </c>
      <c r="G30" s="192">
        <v>572268179571.45398</v>
      </c>
    </row>
    <row r="31" spans="1:9">
      <c r="A31" s="195" t="s">
        <v>10</v>
      </c>
      <c r="B31" s="183"/>
      <c r="C31" s="192">
        <v>5329529382</v>
      </c>
      <c r="D31" s="192">
        <v>5885931833</v>
      </c>
      <c r="E31" s="192">
        <v>5987418090</v>
      </c>
      <c r="F31" s="192">
        <f>SFP!AV32</f>
        <v>5987418</v>
      </c>
      <c r="G31" s="192">
        <v>405238975476.07001</v>
      </c>
    </row>
    <row r="32" spans="1:9">
      <c r="A32" s="195" t="s">
        <v>329</v>
      </c>
      <c r="B32" s="183"/>
      <c r="C32" s="193">
        <v>6805841374</v>
      </c>
      <c r="D32" s="193">
        <v>6867846697</v>
      </c>
      <c r="E32" s="193">
        <v>7229275042</v>
      </c>
      <c r="F32" s="193">
        <f>SFP!AV15</f>
        <v>7274066</v>
      </c>
      <c r="G32" s="192">
        <v>446426759624.63</v>
      </c>
    </row>
    <row r="33" spans="1:7">
      <c r="A33" s="195" t="s">
        <v>16</v>
      </c>
      <c r="B33" s="183"/>
      <c r="C33" s="191">
        <v>2617751466</v>
      </c>
      <c r="D33" s="191">
        <v>2690338040</v>
      </c>
      <c r="E33" s="191">
        <v>2786049857</v>
      </c>
      <c r="F33" s="191">
        <f>Financials!AD13</f>
        <v>3680360</v>
      </c>
      <c r="G33" s="192">
        <v>93691212705.705002</v>
      </c>
    </row>
    <row r="34" spans="1:7">
      <c r="A34" s="195" t="s">
        <v>330</v>
      </c>
      <c r="B34" s="183"/>
      <c r="C34" s="191">
        <v>1808823837</v>
      </c>
      <c r="D34" s="191">
        <v>1757278420</v>
      </c>
      <c r="E34" s="191">
        <v>1834501058</v>
      </c>
      <c r="F34" s="191">
        <f>Financials!AD14</f>
        <v>2728811</v>
      </c>
      <c r="G34" s="192">
        <v>54922811407.665001</v>
      </c>
    </row>
    <row r="35" spans="1:7">
      <c r="A35" s="195" t="s">
        <v>331</v>
      </c>
      <c r="B35" s="183"/>
      <c r="C35" s="192">
        <v>0</v>
      </c>
      <c r="D35" s="192">
        <v>666845059.5</v>
      </c>
      <c r="E35" s="192">
        <v>521826244.06</v>
      </c>
      <c r="F35" s="192">
        <f>66481+104376+350968</f>
        <v>521825</v>
      </c>
      <c r="G35" s="192">
        <v>36223992997.295601</v>
      </c>
    </row>
    <row r="36" spans="1:7">
      <c r="A36" s="195" t="s">
        <v>43</v>
      </c>
      <c r="B36" s="183"/>
      <c r="C36" s="193">
        <v>415460971</v>
      </c>
      <c r="D36" s="193">
        <v>500572883</v>
      </c>
      <c r="E36" s="193">
        <v>483321073</v>
      </c>
      <c r="F36" s="193">
        <f>Financials!AD38</f>
        <v>570700</v>
      </c>
      <c r="G36" s="192">
        <v>60881157176.568001</v>
      </c>
    </row>
    <row r="37" spans="1:7">
      <c r="A37" s="195" t="s">
        <v>44</v>
      </c>
      <c r="B37" s="183"/>
      <c r="C37" s="191">
        <v>46090986</v>
      </c>
      <c r="D37" s="191">
        <v>38810445</v>
      </c>
      <c r="E37" s="191">
        <v>50583196</v>
      </c>
      <c r="F37" s="193">
        <f>Financials!AD39</f>
        <v>137151</v>
      </c>
      <c r="G37" s="192">
        <v>17541924557.598</v>
      </c>
    </row>
    <row r="38" spans="1:7">
      <c r="A38" s="195" t="s">
        <v>332</v>
      </c>
      <c r="B38" s="183"/>
      <c r="C38" s="191">
        <v>549538367</v>
      </c>
      <c r="D38" s="191">
        <v>603074365</v>
      </c>
      <c r="E38" s="191">
        <v>603074365</v>
      </c>
      <c r="F38" s="191">
        <f>SFP!AV12+SFP!AV13</f>
        <v>516866</v>
      </c>
      <c r="G38" s="192">
        <v>13638308069.879999</v>
      </c>
    </row>
    <row r="39" spans="1:7">
      <c r="A39" s="195" t="s">
        <v>179</v>
      </c>
      <c r="B39" s="183"/>
      <c r="C39" s="191">
        <v>1521547182</v>
      </c>
      <c r="D39" s="191">
        <v>920190865</v>
      </c>
      <c r="E39" s="191">
        <v>875296140</v>
      </c>
      <c r="F39" s="191">
        <f>SFP!AV8</f>
        <v>789087</v>
      </c>
      <c r="G39" s="192">
        <v>27027558949.110001</v>
      </c>
    </row>
    <row r="40" spans="1:7">
      <c r="A40" s="195" t="s">
        <v>333</v>
      </c>
      <c r="B40" s="183"/>
      <c r="C40" s="191">
        <v>779458417</v>
      </c>
      <c r="D40" s="191">
        <v>1975034505</v>
      </c>
      <c r="E40" s="191">
        <v>2082110709</v>
      </c>
      <c r="F40" s="191">
        <f>SFP!AV4+SFP!AV11</f>
        <v>2354486</v>
      </c>
      <c r="G40" s="192">
        <v>69487500645.889999</v>
      </c>
    </row>
    <row r="41" spans="1:7">
      <c r="A41" s="195" t="s">
        <v>334</v>
      </c>
      <c r="B41" s="183"/>
      <c r="C41" s="191">
        <v>678351797</v>
      </c>
      <c r="D41" s="191">
        <v>1465875703.3499999</v>
      </c>
      <c r="E41" s="191">
        <v>1709911049.95</v>
      </c>
      <c r="F41" s="191">
        <f>SFP!AV29+SFP!AV30+SFP!AV33-SFP!AV39</f>
        <v>1606169</v>
      </c>
      <c r="G41" s="192">
        <v>111915588791.55499</v>
      </c>
    </row>
    <row r="42" spans="1:7">
      <c r="A42" s="195" t="s">
        <v>335</v>
      </c>
      <c r="B42" s="183"/>
      <c r="C42" s="191">
        <v>0</v>
      </c>
      <c r="D42" s="191">
        <v>0</v>
      </c>
      <c r="E42" s="191">
        <v>0</v>
      </c>
      <c r="F42" s="191">
        <f>SFP!AV39</f>
        <v>0</v>
      </c>
      <c r="G42" s="192">
        <v>21414587104.221001</v>
      </c>
    </row>
    <row r="43" spans="1:7">
      <c r="A43" s="195" t="s">
        <v>336</v>
      </c>
      <c r="B43" s="183"/>
      <c r="C43" s="191">
        <v>6978421443.5</v>
      </c>
      <c r="D43" s="191">
        <v>6813952491.5</v>
      </c>
      <c r="E43" s="191">
        <v>7017558208</v>
      </c>
      <c r="F43" s="191">
        <f>(C32+F32)/2</f>
        <v>3406557720</v>
      </c>
      <c r="G43" s="192">
        <v>433440328796.19</v>
      </c>
    </row>
    <row r="44" spans="1:7">
      <c r="A44" s="195" t="s">
        <v>337</v>
      </c>
      <c r="B44" s="183"/>
      <c r="C44" s="191">
        <v>1427100855</v>
      </c>
      <c r="D44" s="191">
        <v>1014379689</v>
      </c>
      <c r="E44" s="191">
        <v>1410031215</v>
      </c>
      <c r="F44" s="191">
        <f>SCI!AU3</f>
        <v>1410031</v>
      </c>
      <c r="G44" s="192">
        <v>89459919464.139999</v>
      </c>
    </row>
    <row r="45" spans="1:7">
      <c r="A45" s="195" t="s">
        <v>338</v>
      </c>
      <c r="B45" s="183"/>
      <c r="C45" s="191">
        <v>818697253</v>
      </c>
      <c r="D45" s="191">
        <v>392939291.08999997</v>
      </c>
      <c r="E45" s="191">
        <v>560381646.97000003</v>
      </c>
      <c r="F45" s="191">
        <f>SCI!AU19</f>
        <v>782965</v>
      </c>
      <c r="G45" s="192">
        <v>53897611535.760002</v>
      </c>
    </row>
    <row r="46" spans="1:7">
      <c r="A46" s="195" t="s">
        <v>339</v>
      </c>
      <c r="B46" s="183"/>
      <c r="C46" s="191">
        <v>578430008</v>
      </c>
      <c r="D46" s="191">
        <v>615102609.90999997</v>
      </c>
      <c r="E46" s="191">
        <v>841931230.02999997</v>
      </c>
      <c r="F46" s="191">
        <f>SCI!AU13</f>
        <v>623569</v>
      </c>
      <c r="G46" s="192">
        <v>30267483490.919998</v>
      </c>
    </row>
    <row r="47" spans="1:7">
      <c r="A47" s="195" t="s">
        <v>243</v>
      </c>
      <c r="B47" s="183"/>
      <c r="C47" s="191">
        <v>297778993</v>
      </c>
      <c r="D47" s="191">
        <v>215727328</v>
      </c>
      <c r="E47" s="191">
        <v>298283536</v>
      </c>
      <c r="F47" s="191">
        <f>SCI!AU23</f>
        <v>282095</v>
      </c>
      <c r="G47" s="192">
        <v>26909397861.860001</v>
      </c>
    </row>
    <row r="48" spans="1:7">
      <c r="A48" s="195" t="s">
        <v>340</v>
      </c>
      <c r="B48" s="183"/>
      <c r="C48" s="191">
        <v>1268904530</v>
      </c>
      <c r="D48" s="191">
        <v>900812162</v>
      </c>
      <c r="E48" s="191">
        <v>1217860781</v>
      </c>
      <c r="F48" s="191">
        <f>SCI!AU4</f>
        <v>1217861</v>
      </c>
      <c r="G48" s="192">
        <v>77131665422.539993</v>
      </c>
    </row>
    <row r="49" spans="1:7">
      <c r="A49" s="195" t="s">
        <v>341</v>
      </c>
      <c r="B49" s="183"/>
      <c r="C49" s="191">
        <v>906182595</v>
      </c>
      <c r="D49" s="191">
        <v>837167725.90999997</v>
      </c>
      <c r="E49" s="191">
        <v>1147933104.03</v>
      </c>
      <c r="F49" s="191">
        <f>SCI!AU12+SCI!AU20+SCI!AU23</f>
        <v>1013674</v>
      </c>
      <c r="G49" s="192">
        <v>62567212560.300003</v>
      </c>
    </row>
    <row r="50" spans="1:7">
      <c r="A50" s="195" t="s">
        <v>342</v>
      </c>
      <c r="B50" s="183"/>
      <c r="C50" s="191">
        <v>474738488</v>
      </c>
      <c r="D50" s="191">
        <v>3283962.09</v>
      </c>
      <c r="E50" s="191">
        <v>157584837.97</v>
      </c>
      <c r="F50" s="191">
        <f>SCI!AU37</f>
        <v>368214</v>
      </c>
      <c r="G50" s="192">
        <v>21880939085.66</v>
      </c>
    </row>
    <row r="51" spans="1:7">
      <c r="A51" s="463" t="s">
        <v>343</v>
      </c>
      <c r="B51" s="464"/>
      <c r="C51" s="464"/>
      <c r="D51" s="464"/>
      <c r="E51" s="464"/>
      <c r="F51" s="464"/>
      <c r="G51" s="465"/>
    </row>
    <row r="52" spans="1:7">
      <c r="A52" s="157">
        <v>1</v>
      </c>
      <c r="B52" s="153"/>
      <c r="C52" s="158"/>
      <c r="D52" s="158"/>
      <c r="E52" s="158"/>
      <c r="F52" s="159"/>
      <c r="G52" s="160"/>
    </row>
    <row r="53" spans="1:7">
      <c r="A53" s="157">
        <v>2</v>
      </c>
      <c r="B53" s="153"/>
      <c r="C53" s="158"/>
      <c r="D53" s="158"/>
      <c r="E53" s="158"/>
      <c r="F53" s="159"/>
      <c r="G53" s="160"/>
    </row>
    <row r="54" spans="1:7">
      <c r="A54" s="157">
        <v>3</v>
      </c>
      <c r="B54" s="153"/>
      <c r="C54" s="158"/>
      <c r="D54" s="158"/>
      <c r="E54" s="158"/>
      <c r="F54" s="159"/>
      <c r="G54" s="160"/>
    </row>
    <row r="55" spans="1:7">
      <c r="A55" s="156">
        <v>4</v>
      </c>
      <c r="B55" s="158"/>
      <c r="C55" s="158"/>
      <c r="D55" s="158"/>
      <c r="E55" s="159"/>
      <c r="F55" s="159"/>
      <c r="G55" s="194"/>
    </row>
    <row r="56" spans="1:7">
      <c r="A56" s="184" t="s">
        <v>344</v>
      </c>
      <c r="B56" s="153"/>
      <c r="C56" s="452"/>
      <c r="D56" s="453"/>
      <c r="E56" s="453"/>
      <c r="F56" s="453"/>
      <c r="G56" s="454"/>
    </row>
    <row r="57" spans="1:7">
      <c r="A57" s="184"/>
      <c r="B57" s="153"/>
      <c r="C57" s="161"/>
      <c r="D57" s="161"/>
      <c r="E57" s="162"/>
      <c r="F57" s="162"/>
      <c r="G57" s="163"/>
    </row>
    <row r="58" spans="1:7">
      <c r="A58" s="185" t="s">
        <v>345</v>
      </c>
      <c r="B58" s="164"/>
      <c r="C58" s="452"/>
      <c r="D58" s="453"/>
      <c r="E58" s="453"/>
      <c r="F58" s="453"/>
      <c r="G58" s="454"/>
    </row>
    <row r="59" spans="1:7">
      <c r="A59" s="182"/>
      <c r="B59" s="153"/>
      <c r="C59" s="158"/>
      <c r="D59" s="158"/>
      <c r="E59" s="158"/>
      <c r="F59" s="159"/>
      <c r="G59" s="160"/>
    </row>
    <row r="60" spans="1:7">
      <c r="A60" s="184" t="s">
        <v>346</v>
      </c>
      <c r="B60" s="153"/>
      <c r="C60" s="452"/>
      <c r="D60" s="453"/>
      <c r="E60" s="453"/>
      <c r="F60" s="453"/>
      <c r="G60" s="454"/>
    </row>
    <row r="61" spans="1:7" ht="15" thickBot="1">
      <c r="A61" s="186"/>
      <c r="B61" s="165"/>
      <c r="C61" s="166"/>
      <c r="D61" s="166"/>
      <c r="E61" s="166"/>
      <c r="F61" s="167"/>
      <c r="G61" s="168"/>
    </row>
    <row r="62" spans="1:7">
      <c r="A62" s="196" t="s">
        <v>347</v>
      </c>
    </row>
    <row r="63" spans="1:7">
      <c r="A63" s="169"/>
    </row>
    <row r="64" spans="1:7">
      <c r="A64" s="169"/>
    </row>
  </sheetData>
  <mergeCells count="16">
    <mergeCell ref="C58:G58"/>
    <mergeCell ref="C60:G60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6:G56"/>
    <mergeCell ref="D3:E3"/>
    <mergeCell ref="F3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P34"/>
  <sheetViews>
    <sheetView workbookViewId="0">
      <selection activeCell="F5" sqref="F5"/>
    </sheetView>
  </sheetViews>
  <sheetFormatPr defaultRowHeight="14.45"/>
  <cols>
    <col min="2" max="2" width="38.7109375" bestFit="1" customWidth="1"/>
    <col min="3" max="4" width="14" bestFit="1" customWidth="1"/>
    <col min="5" max="7" width="15.7109375" bestFit="1" customWidth="1"/>
    <col min="8" max="8" width="15.28515625" hidden="1" customWidth="1"/>
    <col min="9" max="9" width="15.42578125" hidden="1" customWidth="1"/>
    <col min="10" max="10" width="14" bestFit="1" customWidth="1"/>
    <col min="11" max="12" width="15.42578125" hidden="1" customWidth="1"/>
    <col min="13" max="13" width="14" bestFit="1" customWidth="1"/>
    <col min="14" max="15" width="15.42578125" hidden="1" customWidth="1"/>
    <col min="16" max="16" width="15.7109375" bestFit="1" customWidth="1"/>
  </cols>
  <sheetData>
    <row r="3" spans="2:16">
      <c r="B3" s="108"/>
      <c r="C3" s="108">
        <v>2013</v>
      </c>
      <c r="D3" s="108">
        <v>2014</v>
      </c>
      <c r="E3" s="108">
        <v>2015</v>
      </c>
      <c r="F3" s="108">
        <v>2016</v>
      </c>
      <c r="G3" s="108">
        <v>2017</v>
      </c>
      <c r="H3" s="109">
        <v>43101</v>
      </c>
      <c r="I3" s="109">
        <v>43132</v>
      </c>
      <c r="J3" s="109">
        <v>43160</v>
      </c>
      <c r="K3" s="109">
        <v>43191</v>
      </c>
      <c r="L3" s="109">
        <v>43221</v>
      </c>
      <c r="M3" s="109">
        <v>43252</v>
      </c>
      <c r="N3" s="109">
        <v>43282</v>
      </c>
      <c r="O3" s="109">
        <v>43313</v>
      </c>
      <c r="P3" s="109">
        <v>43344</v>
      </c>
    </row>
    <row r="4" spans="2:16">
      <c r="B4" s="108" t="s">
        <v>348</v>
      </c>
      <c r="C4" s="119">
        <v>676832181</v>
      </c>
      <c r="D4" s="119">
        <v>946830578</v>
      </c>
      <c r="E4" s="119">
        <v>1227499577</v>
      </c>
      <c r="F4" s="119">
        <v>1143452459</v>
      </c>
      <c r="G4" s="119">
        <v>1341798042</v>
      </c>
      <c r="H4" s="119">
        <v>111748333</v>
      </c>
      <c r="I4" s="119">
        <v>231152913</v>
      </c>
      <c r="J4" s="119">
        <v>350478980</v>
      </c>
      <c r="K4" s="119">
        <v>468699233</v>
      </c>
      <c r="L4" s="119">
        <v>582634997</v>
      </c>
      <c r="M4" s="119">
        <v>709048044</v>
      </c>
      <c r="N4" s="119">
        <v>822328328</v>
      </c>
      <c r="O4" s="119">
        <v>949281415</v>
      </c>
      <c r="P4" s="119">
        <v>1078093939</v>
      </c>
    </row>
    <row r="5" spans="2:16">
      <c r="B5" s="110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</row>
    <row r="6" spans="2:16">
      <c r="B6" s="108" t="s">
        <v>349</v>
      </c>
      <c r="C6" s="113">
        <f>SUM(C7:C11)</f>
        <v>202791555</v>
      </c>
      <c r="D6" s="113">
        <f t="shared" ref="D6:P6" si="0">SUM(D7:D11)</f>
        <v>206012139</v>
      </c>
      <c r="E6" s="113">
        <f t="shared" si="0"/>
        <v>301548982</v>
      </c>
      <c r="F6" s="113">
        <f t="shared" si="0"/>
        <v>224824612</v>
      </c>
      <c r="G6" s="113">
        <f t="shared" si="0"/>
        <v>246012008</v>
      </c>
      <c r="H6" s="113">
        <f t="shared" si="0"/>
        <v>21167855</v>
      </c>
      <c r="I6" s="113">
        <f t="shared" si="0"/>
        <v>36719246</v>
      </c>
      <c r="J6" s="113">
        <f t="shared" si="0"/>
        <v>51888119</v>
      </c>
      <c r="K6" s="113">
        <f t="shared" si="0"/>
        <v>77648383</v>
      </c>
      <c r="L6" s="113">
        <f t="shared" si="0"/>
        <v>96045724</v>
      </c>
      <c r="M6" s="113">
        <f t="shared" si="0"/>
        <v>115646876</v>
      </c>
      <c r="N6" s="113">
        <f t="shared" si="0"/>
        <v>128976949</v>
      </c>
      <c r="O6" s="113">
        <f t="shared" si="0"/>
        <v>146428740</v>
      </c>
      <c r="P6" s="113">
        <f t="shared" si="0"/>
        <v>167498573</v>
      </c>
    </row>
    <row r="7" spans="2:16">
      <c r="B7" s="114" t="s">
        <v>244</v>
      </c>
      <c r="C7" s="115">
        <v>97671925</v>
      </c>
      <c r="D7" s="111">
        <v>105681103</v>
      </c>
      <c r="E7" s="111">
        <v>184493557</v>
      </c>
      <c r="F7" s="111">
        <v>57781248</v>
      </c>
      <c r="G7" s="116">
        <f>68094770</f>
        <v>68094770</v>
      </c>
      <c r="H7" s="116">
        <v>4444252</v>
      </c>
      <c r="I7" s="116">
        <v>8773301</v>
      </c>
      <c r="J7" s="116">
        <v>13392582</v>
      </c>
      <c r="K7" s="116">
        <v>17607423</v>
      </c>
      <c r="L7" s="116">
        <v>28810989</v>
      </c>
      <c r="M7" s="116">
        <v>38252636</v>
      </c>
      <c r="N7" s="116">
        <v>43409915</v>
      </c>
      <c r="O7" s="116">
        <v>50004706</v>
      </c>
      <c r="P7" s="116">
        <v>55009025</v>
      </c>
    </row>
    <row r="8" spans="2:16">
      <c r="B8" s="114" t="s">
        <v>57</v>
      </c>
      <c r="C8" s="115">
        <v>13566600</v>
      </c>
      <c r="D8" s="111">
        <v>14672808</v>
      </c>
      <c r="E8" s="111">
        <v>17845321</v>
      </c>
      <c r="F8" s="111">
        <v>40827606</v>
      </c>
      <c r="G8" s="117">
        <f>43709999</f>
        <v>43709999</v>
      </c>
      <c r="H8" s="117">
        <v>10156455</v>
      </c>
      <c r="I8" s="117">
        <v>17049410</v>
      </c>
      <c r="J8" s="117">
        <v>23225674</v>
      </c>
      <c r="K8" s="117">
        <v>39888253</v>
      </c>
      <c r="L8" s="117">
        <v>41913308</v>
      </c>
      <c r="M8" s="117">
        <v>47501288</v>
      </c>
      <c r="N8" s="117">
        <v>50665568</v>
      </c>
      <c r="O8" s="117">
        <v>56827373</v>
      </c>
      <c r="P8" s="117">
        <v>65104149</v>
      </c>
    </row>
    <row r="9" spans="2:16">
      <c r="B9" s="114" t="s">
        <v>245</v>
      </c>
      <c r="C9" s="115">
        <v>8333350</v>
      </c>
      <c r="D9" s="111">
        <v>11827454</v>
      </c>
      <c r="E9" s="111">
        <v>14836218</v>
      </c>
      <c r="F9" s="111">
        <v>17441689</v>
      </c>
      <c r="G9" s="117">
        <f>15647811</f>
        <v>15647811</v>
      </c>
      <c r="H9" s="117">
        <v>2991016</v>
      </c>
      <c r="I9" s="117">
        <v>3946016</v>
      </c>
      <c r="J9" s="117">
        <v>5586456</v>
      </c>
      <c r="K9" s="117">
        <v>7406272</v>
      </c>
      <c r="L9" s="117">
        <v>8975272</v>
      </c>
      <c r="M9" s="117">
        <v>10265272</v>
      </c>
      <c r="N9" s="117">
        <v>11898252</v>
      </c>
      <c r="O9" s="117">
        <v>13228172</v>
      </c>
      <c r="P9" s="117">
        <v>14945944</v>
      </c>
    </row>
    <row r="10" spans="2:16">
      <c r="B10" s="114" t="s">
        <v>246</v>
      </c>
      <c r="C10" s="115">
        <v>22457890</v>
      </c>
      <c r="D10" s="111">
        <v>26473936</v>
      </c>
      <c r="E10" s="111">
        <v>33998254</v>
      </c>
      <c r="F10" s="111">
        <v>14282307</v>
      </c>
      <c r="G10" s="117">
        <f>12111887</f>
        <v>12111887</v>
      </c>
      <c r="H10" s="117">
        <v>802006</v>
      </c>
      <c r="I10" s="117">
        <v>1604012</v>
      </c>
      <c r="J10" s="117">
        <v>2489236</v>
      </c>
      <c r="K10" s="117">
        <v>3351454</v>
      </c>
      <c r="L10" s="117">
        <v>4189318</v>
      </c>
      <c r="M10" s="117">
        <v>5027182</v>
      </c>
      <c r="N10" s="117">
        <v>5865045</v>
      </c>
      <c r="O10" s="117">
        <v>7052865</v>
      </c>
      <c r="P10" s="117">
        <v>8063848</v>
      </c>
    </row>
    <row r="11" spans="2:16">
      <c r="B11" s="114" t="s">
        <v>56</v>
      </c>
      <c r="C11" s="115">
        <v>60761790</v>
      </c>
      <c r="D11" s="111">
        <v>47356838</v>
      </c>
      <c r="E11" s="111">
        <v>50375632</v>
      </c>
      <c r="F11" s="111">
        <v>94491762</v>
      </c>
      <c r="G11" s="117">
        <f>106447541</f>
        <v>106447541</v>
      </c>
      <c r="H11" s="117">
        <v>2774126</v>
      </c>
      <c r="I11" s="117">
        <v>5346507</v>
      </c>
      <c r="J11" s="117">
        <v>7194171</v>
      </c>
      <c r="K11" s="117">
        <v>9394981</v>
      </c>
      <c r="L11" s="117">
        <v>12156837</v>
      </c>
      <c r="M11" s="117">
        <v>14600498</v>
      </c>
      <c r="N11" s="117">
        <v>17138169</v>
      </c>
      <c r="O11" s="117">
        <v>19315624</v>
      </c>
      <c r="P11" s="117">
        <v>24375607</v>
      </c>
    </row>
    <row r="12" spans="2:16">
      <c r="B12" s="110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2:16">
      <c r="B13" s="121" t="s">
        <v>350</v>
      </c>
      <c r="C13" s="118">
        <v>645911469</v>
      </c>
      <c r="D13" s="119">
        <v>728984668</v>
      </c>
      <c r="E13" s="119">
        <v>945397143</v>
      </c>
      <c r="F13" s="119">
        <v>815646313</v>
      </c>
      <c r="G13" s="119">
        <v>853143249</v>
      </c>
      <c r="H13" s="119">
        <v>79342187.019999996</v>
      </c>
      <c r="I13" s="119">
        <v>208247710</v>
      </c>
      <c r="J13" s="119">
        <v>269017533.30000001</v>
      </c>
      <c r="K13" s="119">
        <v>377491451.12</v>
      </c>
      <c r="L13" s="119">
        <v>458224047.73000002</v>
      </c>
      <c r="M13" s="119">
        <v>583489285.81999993</v>
      </c>
      <c r="N13" s="119">
        <v>675399514.99000001</v>
      </c>
      <c r="O13" s="119">
        <v>802594992.03999996</v>
      </c>
      <c r="P13" s="119">
        <v>904876732.99000001</v>
      </c>
    </row>
    <row r="14" spans="2:16"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</row>
    <row r="15" spans="2:16">
      <c r="B15" s="122" t="s">
        <v>351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</row>
    <row r="16" spans="2:16">
      <c r="B16" s="114" t="s">
        <v>244</v>
      </c>
      <c r="C16" s="120">
        <f>C7/C4</f>
        <v>0.14430744834811571</v>
      </c>
      <c r="D16" s="120">
        <f t="shared" ref="D16:P16" si="1">D7/D4</f>
        <v>0.11161564218091824</v>
      </c>
      <c r="E16" s="120">
        <f t="shared" si="1"/>
        <v>0.15030030189574559</v>
      </c>
      <c r="F16" s="120">
        <f t="shared" si="1"/>
        <v>5.0532269658619886E-2</v>
      </c>
      <c r="G16" s="120">
        <f t="shared" si="1"/>
        <v>5.0748896531777769E-2</v>
      </c>
      <c r="H16" s="120">
        <f t="shared" si="1"/>
        <v>3.9770186102015499E-2</v>
      </c>
      <c r="I16" s="120">
        <f t="shared" si="1"/>
        <v>3.7954533586172026E-2</v>
      </c>
      <c r="J16" s="120">
        <f t="shared" si="1"/>
        <v>3.8212226022798855E-2</v>
      </c>
      <c r="K16" s="120">
        <f t="shared" si="1"/>
        <v>3.7566570969831306E-2</v>
      </c>
      <c r="L16" s="120">
        <f t="shared" si="1"/>
        <v>4.9449465185490739E-2</v>
      </c>
      <c r="M16" s="120">
        <f t="shared" si="1"/>
        <v>5.3949286404067702E-2</v>
      </c>
      <c r="N16" s="120">
        <f t="shared" si="1"/>
        <v>5.2789030271616764E-2</v>
      </c>
      <c r="O16" s="120">
        <f t="shared" si="1"/>
        <v>5.2676377320628361E-2</v>
      </c>
      <c r="P16" s="120">
        <f t="shared" si="1"/>
        <v>5.1024333789525179E-2</v>
      </c>
    </row>
    <row r="17" spans="2:16">
      <c r="B17" s="124" t="s">
        <v>57</v>
      </c>
      <c r="C17" s="125">
        <f>C8/C4</f>
        <v>2.0044259686286991E-2</v>
      </c>
      <c r="D17" s="125">
        <f t="shared" ref="D17:P17" si="2">D8/D4</f>
        <v>1.5496761871583746E-2</v>
      </c>
      <c r="E17" s="125">
        <f t="shared" si="2"/>
        <v>1.4537944724684821E-2</v>
      </c>
      <c r="F17" s="125">
        <f t="shared" si="2"/>
        <v>3.5705556167770679E-2</v>
      </c>
      <c r="G17" s="125">
        <f t="shared" si="2"/>
        <v>3.2575691446716244E-2</v>
      </c>
      <c r="H17" s="125">
        <f t="shared" si="2"/>
        <v>9.0886859135518375E-2</v>
      </c>
      <c r="I17" s="125">
        <f t="shared" si="2"/>
        <v>7.3758144678886223E-2</v>
      </c>
      <c r="J17" s="125">
        <f t="shared" si="2"/>
        <v>6.6268379347600243E-2</v>
      </c>
      <c r="K17" s="125">
        <f t="shared" si="2"/>
        <v>8.5104156763149641E-2</v>
      </c>
      <c r="L17" s="125">
        <f t="shared" si="2"/>
        <v>7.1937504983072623E-2</v>
      </c>
      <c r="M17" s="125">
        <f t="shared" si="2"/>
        <v>6.6993045678580276E-2</v>
      </c>
      <c r="N17" s="125">
        <f t="shared" si="2"/>
        <v>6.1612334483508148E-2</v>
      </c>
      <c r="O17" s="125">
        <f t="shared" si="2"/>
        <v>5.9863568486695801E-2</v>
      </c>
      <c r="P17" s="125">
        <f t="shared" si="2"/>
        <v>6.0388196839681892E-2</v>
      </c>
    </row>
    <row r="18" spans="2:16">
      <c r="B18" s="114" t="s">
        <v>245</v>
      </c>
      <c r="C18" s="120">
        <f>C9/C4</f>
        <v>1.2312283951522097E-2</v>
      </c>
      <c r="D18" s="120">
        <f t="shared" ref="D18:P18" si="3">D9/D4</f>
        <v>1.2491626564261638E-2</v>
      </c>
      <c r="E18" s="120">
        <f t="shared" si="3"/>
        <v>1.2086536140614898E-2</v>
      </c>
      <c r="F18" s="120">
        <f t="shared" si="3"/>
        <v>1.5253532285245626E-2</v>
      </c>
      <c r="G18" s="120">
        <f t="shared" si="3"/>
        <v>1.1661822800602954E-2</v>
      </c>
      <c r="H18" s="120">
        <f t="shared" si="3"/>
        <v>2.6765643117020815E-2</v>
      </c>
      <c r="I18" s="120">
        <f t="shared" si="3"/>
        <v>1.7071019996187545E-2</v>
      </c>
      <c r="J18" s="120">
        <f t="shared" si="3"/>
        <v>1.5939489438139772E-2</v>
      </c>
      <c r="K18" s="120">
        <f t="shared" si="3"/>
        <v>1.5801758310110142E-2</v>
      </c>
      <c r="L18" s="120">
        <f t="shared" si="3"/>
        <v>1.5404622184066984E-2</v>
      </c>
      <c r="M18" s="120">
        <f t="shared" si="3"/>
        <v>1.4477540819504749E-2</v>
      </c>
      <c r="N18" s="120">
        <f t="shared" si="3"/>
        <v>1.4468979840373443E-2</v>
      </c>
      <c r="O18" s="120">
        <f t="shared" si="3"/>
        <v>1.3934932034880299E-2</v>
      </c>
      <c r="P18" s="120">
        <f t="shared" si="3"/>
        <v>1.3863303984310777E-2</v>
      </c>
    </row>
    <row r="19" spans="2:16">
      <c r="B19" s="114" t="s">
        <v>246</v>
      </c>
      <c r="C19" s="120">
        <f>C10/C4</f>
        <v>3.3180883874078089E-2</v>
      </c>
      <c r="D19" s="120">
        <f t="shared" ref="D19:P19" si="4">D10/D4</f>
        <v>2.7960584095119919E-2</v>
      </c>
      <c r="E19" s="120">
        <f t="shared" si="4"/>
        <v>2.7697161479347702E-2</v>
      </c>
      <c r="F19" s="120">
        <f t="shared" si="4"/>
        <v>1.249051229684749E-2</v>
      </c>
      <c r="G19" s="120">
        <f t="shared" si="4"/>
        <v>9.0266095350286703E-3</v>
      </c>
      <c r="H19" s="120">
        <f t="shared" si="4"/>
        <v>7.1768945313931435E-3</v>
      </c>
      <c r="I19" s="120">
        <f t="shared" si="4"/>
        <v>6.9391814240299015E-3</v>
      </c>
      <c r="J19" s="120">
        <f t="shared" si="4"/>
        <v>7.102383144347202E-3</v>
      </c>
      <c r="K19" s="120">
        <f t="shared" si="4"/>
        <v>7.1505429581106231E-3</v>
      </c>
      <c r="L19" s="120">
        <f t="shared" si="4"/>
        <v>7.1902958482941938E-3</v>
      </c>
      <c r="M19" s="120">
        <f t="shared" si="4"/>
        <v>7.0900442396538083E-3</v>
      </c>
      <c r="N19" s="120">
        <f t="shared" si="4"/>
        <v>7.1322424392997437E-3</v>
      </c>
      <c r="O19" s="120">
        <f t="shared" si="4"/>
        <v>7.4296882763684995E-3</v>
      </c>
      <c r="P19" s="120">
        <f t="shared" si="4"/>
        <v>7.4797266808490984E-3</v>
      </c>
    </row>
    <row r="20" spans="2:16">
      <c r="B20" s="114" t="s">
        <v>56</v>
      </c>
      <c r="C20" s="120">
        <f>C11/C4</f>
        <v>8.9773789878350954E-2</v>
      </c>
      <c r="D20" s="120">
        <f t="shared" ref="D20:P20" si="5">D11/D4</f>
        <v>5.001616878495025E-2</v>
      </c>
      <c r="E20" s="120">
        <f t="shared" si="5"/>
        <v>4.1039225547529458E-2</v>
      </c>
      <c r="F20" s="120">
        <f t="shared" si="5"/>
        <v>8.263724587433853E-2</v>
      </c>
      <c r="G20" s="120">
        <f t="shared" si="5"/>
        <v>7.9332013960413866E-2</v>
      </c>
      <c r="H20" s="120">
        <f t="shared" si="5"/>
        <v>2.4824764052632446E-2</v>
      </c>
      <c r="I20" s="120">
        <f t="shared" si="5"/>
        <v>2.3129740960694707E-2</v>
      </c>
      <c r="J20" s="120">
        <f t="shared" si="5"/>
        <v>2.0526683226480515E-2</v>
      </c>
      <c r="K20" s="120">
        <f t="shared" si="5"/>
        <v>2.0044797043651232E-2</v>
      </c>
      <c r="L20" s="120">
        <f t="shared" si="5"/>
        <v>2.0865270817228304E-2</v>
      </c>
      <c r="M20" s="120">
        <f t="shared" si="5"/>
        <v>2.0591690680977326E-2</v>
      </c>
      <c r="N20" s="120">
        <f t="shared" si="5"/>
        <v>2.0841029569882458E-2</v>
      </c>
      <c r="O20" s="120">
        <f t="shared" si="5"/>
        <v>2.0347626841509373E-2</v>
      </c>
      <c r="P20" s="120">
        <f t="shared" si="5"/>
        <v>2.2609910062763094E-2</v>
      </c>
    </row>
    <row r="21" spans="2:16"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</row>
    <row r="22" spans="2:16" ht="17.45">
      <c r="B22" s="123" t="s">
        <v>352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</row>
    <row r="23" spans="2:16">
      <c r="B23" s="114" t="s">
        <v>244</v>
      </c>
      <c r="C23" s="120">
        <f>C7/C6</f>
        <v>0.48163704351495307</v>
      </c>
      <c r="D23" s="120">
        <f t="shared" ref="D23:P23" si="6">D7/D6</f>
        <v>0.51298483435483377</v>
      </c>
      <c r="E23" s="120">
        <f t="shared" si="6"/>
        <v>0.61181953185966986</v>
      </c>
      <c r="F23" s="120">
        <f t="shared" si="6"/>
        <v>0.25700588332384178</v>
      </c>
      <c r="G23" s="120">
        <f t="shared" si="6"/>
        <v>0.27679449695805092</v>
      </c>
      <c r="H23" s="120">
        <f t="shared" si="6"/>
        <v>0.20995287429926179</v>
      </c>
      <c r="I23" s="120">
        <f t="shared" si="6"/>
        <v>0.23892922528964783</v>
      </c>
      <c r="J23" s="120">
        <f t="shared" si="6"/>
        <v>0.25810498160474848</v>
      </c>
      <c r="K23" s="120">
        <f t="shared" si="6"/>
        <v>0.2267583988194577</v>
      </c>
      <c r="L23" s="120">
        <f t="shared" si="6"/>
        <v>0.29997159477916996</v>
      </c>
      <c r="M23" s="120">
        <f t="shared" si="6"/>
        <v>0.33077102748542903</v>
      </c>
      <c r="N23" s="120">
        <f t="shared" si="6"/>
        <v>0.33657111085795649</v>
      </c>
      <c r="O23" s="120">
        <f t="shared" si="6"/>
        <v>0.34149516003484015</v>
      </c>
      <c r="P23" s="120">
        <f t="shared" si="6"/>
        <v>0.32841488745101127</v>
      </c>
    </row>
    <row r="24" spans="2:16">
      <c r="B24" s="124" t="s">
        <v>57</v>
      </c>
      <c r="C24" s="125">
        <f>C8/C6</f>
        <v>6.6899235522899364E-2</v>
      </c>
      <c r="D24" s="125">
        <f t="shared" ref="D24:P24" si="7">D8/D6</f>
        <v>7.1223026328560188E-2</v>
      </c>
      <c r="E24" s="125">
        <f t="shared" si="7"/>
        <v>5.9178846771898573E-2</v>
      </c>
      <c r="F24" s="125">
        <f t="shared" si="7"/>
        <v>0.18159758238568649</v>
      </c>
      <c r="G24" s="125">
        <f t="shared" si="7"/>
        <v>0.17767424994962033</v>
      </c>
      <c r="H24" s="125">
        <f t="shared" si="7"/>
        <v>0.47980558256847472</v>
      </c>
      <c r="I24" s="125">
        <f t="shared" si="7"/>
        <v>0.46431808539859454</v>
      </c>
      <c r="J24" s="125">
        <f t="shared" si="7"/>
        <v>0.44761063703234261</v>
      </c>
      <c r="K24" s="125">
        <f t="shared" si="7"/>
        <v>0.51370358865039079</v>
      </c>
      <c r="L24" s="125">
        <f t="shared" si="7"/>
        <v>0.43638910983689394</v>
      </c>
      <c r="M24" s="125">
        <f t="shared" si="7"/>
        <v>0.4107442383484704</v>
      </c>
      <c r="N24" s="125">
        <f t="shared" si="7"/>
        <v>0.39282653522839961</v>
      </c>
      <c r="O24" s="125">
        <f t="shared" si="7"/>
        <v>0.38808892980981741</v>
      </c>
      <c r="P24" s="125">
        <f t="shared" si="7"/>
        <v>0.38868479792959193</v>
      </c>
    </row>
    <row r="25" spans="2:16">
      <c r="B25" s="114" t="s">
        <v>245</v>
      </c>
      <c r="C25" s="120">
        <f>C9/C6</f>
        <v>4.1093180630722023E-2</v>
      </c>
      <c r="D25" s="120">
        <f t="shared" ref="D25:P25" si="8">D9/D6</f>
        <v>5.7411442148076523E-2</v>
      </c>
      <c r="E25" s="120">
        <f t="shared" si="8"/>
        <v>4.9200026813554287E-2</v>
      </c>
      <c r="F25" s="120">
        <f t="shared" si="8"/>
        <v>7.7579090851494503E-2</v>
      </c>
      <c r="G25" s="120">
        <f t="shared" si="8"/>
        <v>6.3605883010393535E-2</v>
      </c>
      <c r="H25" s="120">
        <f t="shared" si="8"/>
        <v>0.14129990969798309</v>
      </c>
      <c r="I25" s="120">
        <f t="shared" si="8"/>
        <v>0.10746451601974616</v>
      </c>
      <c r="J25" s="120">
        <f t="shared" si="8"/>
        <v>0.10766349036472106</v>
      </c>
      <c r="K25" s="120">
        <f t="shared" si="8"/>
        <v>9.5382179433150596E-2</v>
      </c>
      <c r="L25" s="120">
        <f t="shared" si="8"/>
        <v>9.3447908206720373E-2</v>
      </c>
      <c r="M25" s="120">
        <f t="shared" si="8"/>
        <v>8.8763936865877816E-2</v>
      </c>
      <c r="N25" s="120">
        <f t="shared" si="8"/>
        <v>9.2250995951222256E-2</v>
      </c>
      <c r="O25" s="120">
        <f t="shared" si="8"/>
        <v>9.0338631610160688E-2</v>
      </c>
      <c r="P25" s="120">
        <f t="shared" si="8"/>
        <v>8.9230276606595327E-2</v>
      </c>
    </row>
    <row r="26" spans="2:16">
      <c r="B26" s="114" t="s">
        <v>246</v>
      </c>
      <c r="C26" s="120">
        <f>C10/C6</f>
        <v>0.11074371415515799</v>
      </c>
      <c r="D26" s="120">
        <f t="shared" ref="D26:P26" si="9">D10/D6</f>
        <v>0.12850667989035344</v>
      </c>
      <c r="E26" s="120">
        <f t="shared" si="9"/>
        <v>0.11274537812898337</v>
      </c>
      <c r="F26" s="120">
        <f t="shared" si="9"/>
        <v>6.3526439000370652E-2</v>
      </c>
      <c r="G26" s="120">
        <f t="shared" si="9"/>
        <v>4.923290980170366E-2</v>
      </c>
      <c r="H26" s="120">
        <f t="shared" si="9"/>
        <v>3.7887920150624615E-2</v>
      </c>
      <c r="I26" s="120">
        <f t="shared" si="9"/>
        <v>4.3683140988243607E-2</v>
      </c>
      <c r="J26" s="120">
        <f t="shared" si="9"/>
        <v>4.7973140055433502E-2</v>
      </c>
      <c r="K26" s="120">
        <f t="shared" si="9"/>
        <v>4.3161929077132233E-2</v>
      </c>
      <c r="L26" s="120">
        <f t="shared" si="9"/>
        <v>4.3617954298517232E-2</v>
      </c>
      <c r="M26" s="120">
        <f t="shared" si="9"/>
        <v>4.3470106360676788E-2</v>
      </c>
      <c r="N26" s="120">
        <f t="shared" si="9"/>
        <v>4.5473590788692016E-2</v>
      </c>
      <c r="O26" s="120">
        <f t="shared" si="9"/>
        <v>4.8165851867604678E-2</v>
      </c>
      <c r="P26" s="120">
        <f t="shared" si="9"/>
        <v>4.8142786267200019E-2</v>
      </c>
    </row>
    <row r="27" spans="2:16">
      <c r="B27" s="114" t="s">
        <v>56</v>
      </c>
      <c r="C27" s="120">
        <f>C11/C6</f>
        <v>0.29962682617626757</v>
      </c>
      <c r="D27" s="120">
        <f t="shared" ref="D27:P27" si="10">D11/D6</f>
        <v>0.22987401727817602</v>
      </c>
      <c r="E27" s="120">
        <f t="shared" si="10"/>
        <v>0.16705621642589397</v>
      </c>
      <c r="F27" s="120">
        <f t="shared" si="10"/>
        <v>0.42029100443860656</v>
      </c>
      <c r="G27" s="120">
        <f t="shared" si="10"/>
        <v>0.43269246028023151</v>
      </c>
      <c r="H27" s="120">
        <f t="shared" si="10"/>
        <v>0.13105371328365581</v>
      </c>
      <c r="I27" s="120">
        <f t="shared" si="10"/>
        <v>0.1456050323037679</v>
      </c>
      <c r="J27" s="120">
        <f t="shared" si="10"/>
        <v>0.13864775094275436</v>
      </c>
      <c r="K27" s="120">
        <f t="shared" si="10"/>
        <v>0.12099390401986865</v>
      </c>
      <c r="L27" s="120">
        <f t="shared" si="10"/>
        <v>0.12657343287869849</v>
      </c>
      <c r="M27" s="120">
        <f t="shared" si="10"/>
        <v>0.126250690939546</v>
      </c>
      <c r="N27" s="120">
        <f t="shared" si="10"/>
        <v>0.13287776717372962</v>
      </c>
      <c r="O27" s="120">
        <f t="shared" si="10"/>
        <v>0.1319114266775771</v>
      </c>
      <c r="P27" s="120">
        <f t="shared" si="10"/>
        <v>0.14552725174560144</v>
      </c>
    </row>
    <row r="28" spans="2:16"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</row>
    <row r="29" spans="2:16">
      <c r="B29" s="122" t="s">
        <v>353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</row>
    <row r="30" spans="2:16">
      <c r="B30" s="114" t="s">
        <v>244</v>
      </c>
      <c r="C30" s="120">
        <f>C7/C13</f>
        <v>0.15121565367342935</v>
      </c>
      <c r="D30" s="120">
        <f t="shared" ref="D30:P30" si="11">D7/D13</f>
        <v>0.14497026842819691</v>
      </c>
      <c r="E30" s="120">
        <f t="shared" si="11"/>
        <v>0.19514926437639976</v>
      </c>
      <c r="F30" s="120">
        <f t="shared" si="11"/>
        <v>7.0841058286007355E-2</v>
      </c>
      <c r="G30" s="120">
        <f t="shared" si="11"/>
        <v>7.9816338088376529E-2</v>
      </c>
      <c r="H30" s="120">
        <f t="shared" si="11"/>
        <v>5.6013731999594689E-2</v>
      </c>
      <c r="I30" s="120">
        <f t="shared" si="11"/>
        <v>4.2129159547540762E-2</v>
      </c>
      <c r="J30" s="120">
        <f t="shared" si="11"/>
        <v>4.9783305332240214E-2</v>
      </c>
      <c r="K30" s="120">
        <f t="shared" si="11"/>
        <v>4.6643236417035605E-2</v>
      </c>
      <c r="L30" s="120">
        <f t="shared" si="11"/>
        <v>6.2875331713224139E-2</v>
      </c>
      <c r="M30" s="120">
        <f t="shared" si="11"/>
        <v>6.5558420573639323E-2</v>
      </c>
      <c r="N30" s="120">
        <f t="shared" si="11"/>
        <v>6.4272943697098642E-2</v>
      </c>
      <c r="O30" s="120">
        <f t="shared" si="11"/>
        <v>6.2303785216626231E-2</v>
      </c>
      <c r="P30" s="120">
        <f t="shared" si="11"/>
        <v>6.0791733276457136E-2</v>
      </c>
    </row>
    <row r="31" spans="2:16">
      <c r="B31" s="124" t="s">
        <v>57</v>
      </c>
      <c r="C31" s="125">
        <f>C8/C13</f>
        <v>2.1003807257059248E-2</v>
      </c>
      <c r="D31" s="125">
        <f t="shared" ref="D31:P31" si="12">D8/D13</f>
        <v>2.0127731959377778E-2</v>
      </c>
      <c r="E31" s="125">
        <f t="shared" si="12"/>
        <v>1.8876004790295837E-2</v>
      </c>
      <c r="F31" s="125">
        <f t="shared" si="12"/>
        <v>5.005552694749936E-2</v>
      </c>
      <c r="G31" s="125">
        <f t="shared" si="12"/>
        <v>5.1234067726884165E-2</v>
      </c>
      <c r="H31" s="125">
        <f t="shared" si="12"/>
        <v>0.12800825615557881</v>
      </c>
      <c r="I31" s="125">
        <f t="shared" si="12"/>
        <v>8.1870816250512429E-2</v>
      </c>
      <c r="J31" s="125">
        <f t="shared" si="12"/>
        <v>8.6335168251280667E-2</v>
      </c>
      <c r="K31" s="125">
        <f t="shared" si="12"/>
        <v>0.10566663928852789</v>
      </c>
      <c r="L31" s="125">
        <f t="shared" si="12"/>
        <v>9.146902744985709E-2</v>
      </c>
      <c r="M31" s="125">
        <f t="shared" si="12"/>
        <v>8.140901496287907E-2</v>
      </c>
      <c r="N31" s="125">
        <f t="shared" si="12"/>
        <v>7.5015700893344819E-2</v>
      </c>
      <c r="O31" s="125">
        <f t="shared" si="12"/>
        <v>7.0804544712593745E-2</v>
      </c>
      <c r="P31" s="125">
        <f t="shared" si="12"/>
        <v>7.1948085994956709E-2</v>
      </c>
    </row>
    <row r="32" spans="2:16">
      <c r="B32" s="114" t="s">
        <v>245</v>
      </c>
      <c r="C32" s="120">
        <f>C9/C13</f>
        <v>1.2901690711424727E-2</v>
      </c>
      <c r="D32" s="120">
        <f t="shared" ref="D32:P32" si="13">D9/D13</f>
        <v>1.6224557962856909E-2</v>
      </c>
      <c r="E32" s="120">
        <f t="shared" si="13"/>
        <v>1.5693106447223524E-2</v>
      </c>
      <c r="F32" s="120">
        <f t="shared" si="13"/>
        <v>2.1383887503700395E-2</v>
      </c>
      <c r="G32" s="120">
        <f t="shared" si="13"/>
        <v>1.8341364147628623E-2</v>
      </c>
      <c r="H32" s="120">
        <f t="shared" si="13"/>
        <v>3.769767525120081E-2</v>
      </c>
      <c r="I32" s="120">
        <f t="shared" si="13"/>
        <v>1.8948664549540545E-2</v>
      </c>
      <c r="J32" s="120">
        <f t="shared" si="13"/>
        <v>2.0766140895991925E-2</v>
      </c>
      <c r="K32" s="120">
        <f t="shared" si="13"/>
        <v>1.9619707884843293E-2</v>
      </c>
      <c r="L32" s="120">
        <f t="shared" si="13"/>
        <v>1.9587082005980864E-2</v>
      </c>
      <c r="M32" s="120">
        <f t="shared" si="13"/>
        <v>1.7592905730177751E-2</v>
      </c>
      <c r="N32" s="120">
        <f t="shared" si="13"/>
        <v>1.7616613183644596E-2</v>
      </c>
      <c r="O32" s="120">
        <f t="shared" si="13"/>
        <v>1.648175247938842E-2</v>
      </c>
      <c r="P32" s="120">
        <f t="shared" si="13"/>
        <v>1.6517104988006327E-2</v>
      </c>
    </row>
    <row r="33" spans="2:16">
      <c r="B33" s="114" t="s">
        <v>246</v>
      </c>
      <c r="C33" s="120">
        <f>C10/C13</f>
        <v>3.4769300558742673E-2</v>
      </c>
      <c r="D33" s="120">
        <f t="shared" ref="D33:P33" si="14">D10/D13</f>
        <v>3.6316176679863997E-2</v>
      </c>
      <c r="E33" s="120">
        <f t="shared" si="14"/>
        <v>3.5961875124896583E-2</v>
      </c>
      <c r="F33" s="120">
        <f t="shared" si="14"/>
        <v>1.7510416920133862E-2</v>
      </c>
      <c r="G33" s="120">
        <f t="shared" si="14"/>
        <v>1.4196779982959228E-2</v>
      </c>
      <c r="H33" s="120">
        <f t="shared" si="14"/>
        <v>1.0108191242545863E-2</v>
      </c>
      <c r="I33" s="120">
        <f t="shared" si="14"/>
        <v>7.7024232343299234E-3</v>
      </c>
      <c r="J33" s="120">
        <f t="shared" si="14"/>
        <v>9.2530623170352291E-3</v>
      </c>
      <c r="K33" s="120">
        <f t="shared" si="14"/>
        <v>8.8782248976934132E-3</v>
      </c>
      <c r="L33" s="120">
        <f t="shared" si="14"/>
        <v>9.1425101339693924E-3</v>
      </c>
      <c r="M33" s="120">
        <f t="shared" si="14"/>
        <v>8.6157228970110532E-3</v>
      </c>
      <c r="N33" s="120">
        <f t="shared" si="14"/>
        <v>8.683815830230257E-3</v>
      </c>
      <c r="O33" s="120">
        <f t="shared" si="14"/>
        <v>8.787576635724258E-3</v>
      </c>
      <c r="P33" s="120">
        <f t="shared" si="14"/>
        <v>8.9115430931177627E-3</v>
      </c>
    </row>
    <row r="34" spans="2:16">
      <c r="B34" s="114" t="s">
        <v>56</v>
      </c>
      <c r="C34" s="120">
        <f>C11/C13</f>
        <v>9.4071390455523873E-2</v>
      </c>
      <c r="D34" s="120">
        <f t="shared" ref="D34:P34" si="15">D11/D13</f>
        <v>6.4962735265647595E-2</v>
      </c>
      <c r="E34" s="120">
        <f t="shared" si="15"/>
        <v>5.3285153623528564E-2</v>
      </c>
      <c r="F34" s="120">
        <f t="shared" si="15"/>
        <v>0.11584894150070167</v>
      </c>
      <c r="G34" s="120">
        <f t="shared" si="15"/>
        <v>0.12477100548444943</v>
      </c>
      <c r="H34" s="120">
        <f t="shared" si="15"/>
        <v>3.4964072761199776E-2</v>
      </c>
      <c r="I34" s="120">
        <f t="shared" si="15"/>
        <v>2.5673785320376393E-2</v>
      </c>
      <c r="J34" s="120">
        <f t="shared" si="15"/>
        <v>2.6742387054665629E-2</v>
      </c>
      <c r="K34" s="120">
        <f t="shared" si="15"/>
        <v>2.4887930500480257E-2</v>
      </c>
      <c r="L34" s="120">
        <f t="shared" si="15"/>
        <v>2.6530333927745297E-2</v>
      </c>
      <c r="M34" s="120">
        <f t="shared" si="15"/>
        <v>2.502273538661701E-2</v>
      </c>
      <c r="N34" s="120">
        <f t="shared" si="15"/>
        <v>2.5374861277852337E-2</v>
      </c>
      <c r="O34" s="120">
        <f t="shared" si="15"/>
        <v>2.4066464644769851E-2</v>
      </c>
      <c r="P34" s="120">
        <f t="shared" si="15"/>
        <v>2.6938041515837473E-2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6E99AD-CD12-45A9-96C2-E14F1D9F9F07}"/>
</file>

<file path=customXml/itemProps2.xml><?xml version="1.0" encoding="utf-8"?>
<ds:datastoreItem xmlns:ds="http://schemas.openxmlformats.org/officeDocument/2006/customXml" ds:itemID="{3320BA19-67B7-4A3C-A370-AF40A97BF7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David Onyango</cp:lastModifiedBy>
  <cp:revision/>
  <dcterms:created xsi:type="dcterms:W3CDTF">2012-07-31T14:31:17Z</dcterms:created>
  <dcterms:modified xsi:type="dcterms:W3CDTF">2023-02-21T09:26:16Z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2023-02-03T06:40:43Z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8b4c31fb-0aa9-4996-bbc0-1295b66336cf</vt:lpwstr>
  </property>
  <property fmtid="{D5CDD505-2E9C-101B-9397-08002B2CF9AE}" pid="9" name="MSIP_Label_6294dde6-398b-42fd-9ab1-a1959fc6b9e2_ContentBits">
    <vt:lpwstr>0</vt:lpwstr>
  </property>
</Properties>
</file>
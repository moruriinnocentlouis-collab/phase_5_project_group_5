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/>
  <mc:AlternateContent xmlns:mc="http://schemas.openxmlformats.org/markup-compatibility/2006">
    <mc:Choice Requires="x15">
      <x15ac:absPath xmlns:x15ac="http://schemas.microsoft.com/office/spreadsheetml/2010/11/ac" url="C:\Users\sodhiambo.SASRA\Desktop\Port1\2022 Returns\"/>
    </mc:Choice>
  </mc:AlternateContent>
  <xr:revisionPtr revIDLastSave="230" documentId="13_ncr:1_{023995EF-2AC7-4F82-AC5A-19E2796AC72F}" xr6:coauthVersionLast="47" xr6:coauthVersionMax="47" xr10:uidLastSave="{AD128160-3E4A-4E9E-BF3E-0D64682DCA0D}"/>
  <bookViews>
    <workbookView xWindow="-108" yWindow="-108" windowWidth="23256" windowHeight="12576" xr2:uid="{00000000-000D-0000-FFFF-FFFF00000000}"/>
  </bookViews>
  <sheets>
    <sheet name="Balance Sheet" sheetId="1" r:id="rId1"/>
    <sheet name="Income Stat." sheetId="2" r:id="rId2"/>
    <sheet name="Form 4" sheetId="5" r:id="rId3"/>
    <sheet name="Financials" sheetId="3" r:id="rId4"/>
    <sheet name="CAEL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5" l="1"/>
  <c r="E63" i="5"/>
  <c r="D63" i="5"/>
  <c r="G62" i="5"/>
  <c r="G61" i="5"/>
  <c r="G60" i="5"/>
  <c r="G59" i="5"/>
  <c r="G58" i="5"/>
  <c r="G63" i="5" s="1"/>
  <c r="W16" i="3"/>
  <c r="X16" i="3"/>
  <c r="Y16" i="3"/>
  <c r="Z16" i="3"/>
  <c r="W18" i="3"/>
  <c r="X18" i="3"/>
  <c r="Y18" i="3"/>
  <c r="Z18" i="3"/>
  <c r="W19" i="3"/>
  <c r="X19" i="3"/>
  <c r="Y19" i="3"/>
  <c r="Z19" i="3"/>
  <c r="W20" i="3"/>
  <c r="X20" i="3"/>
  <c r="Y20" i="3"/>
  <c r="Z20" i="3"/>
  <c r="W21" i="3"/>
  <c r="X21" i="3"/>
  <c r="Y21" i="3"/>
  <c r="Z21" i="3"/>
  <c r="AC3" i="4"/>
  <c r="AD3" i="4"/>
  <c r="AE3" i="4"/>
  <c r="AF3" i="4"/>
  <c r="AC4" i="4"/>
  <c r="AD4" i="4"/>
  <c r="AE4" i="4"/>
  <c r="AF4" i="4"/>
  <c r="AC5" i="4"/>
  <c r="AD5" i="4"/>
  <c r="AE5" i="4"/>
  <c r="AF5" i="4"/>
  <c r="AC6" i="4"/>
  <c r="AD6" i="4"/>
  <c r="AE6" i="4"/>
  <c r="AF6" i="4"/>
  <c r="Y9" i="4"/>
  <c r="Z9" i="4"/>
  <c r="AA9" i="4"/>
  <c r="AB9" i="4"/>
  <c r="AC9" i="4"/>
  <c r="AD9" i="4"/>
  <c r="AE9" i="4"/>
  <c r="AF9" i="4"/>
  <c r="Y10" i="4"/>
  <c r="Z10" i="4"/>
  <c r="AA10" i="4"/>
  <c r="AB10" i="4"/>
  <c r="AC10" i="4"/>
  <c r="AD10" i="4"/>
  <c r="AE10" i="4"/>
  <c r="AF10" i="4"/>
  <c r="Y11" i="4"/>
  <c r="Z11" i="4"/>
  <c r="AA11" i="4"/>
  <c r="AB11" i="4"/>
  <c r="AC11" i="4"/>
  <c r="AD11" i="4"/>
  <c r="AE11" i="4"/>
  <c r="AF11" i="4"/>
  <c r="AC12" i="4"/>
  <c r="AD12" i="4"/>
  <c r="AE12" i="4"/>
  <c r="AF12" i="4"/>
  <c r="Y13" i="4"/>
  <c r="Z13" i="4"/>
  <c r="AA13" i="4"/>
  <c r="AB13" i="4"/>
  <c r="AC13" i="4"/>
  <c r="AD13" i="4"/>
  <c r="AE13" i="4"/>
  <c r="AF13" i="4"/>
  <c r="Y14" i="4"/>
  <c r="Z14" i="4"/>
  <c r="AA14" i="4"/>
  <c r="AB14" i="4"/>
  <c r="AC14" i="4"/>
  <c r="AD14" i="4"/>
  <c r="AE14" i="4"/>
  <c r="AF14" i="4"/>
  <c r="Y15" i="4"/>
  <c r="Z15" i="4"/>
  <c r="AA15" i="4"/>
  <c r="AB15" i="4"/>
  <c r="AC15" i="4"/>
  <c r="AD15" i="4"/>
  <c r="AE15" i="4"/>
  <c r="AF15" i="4"/>
  <c r="Y16" i="4"/>
  <c r="Z16" i="4"/>
  <c r="AA16" i="4"/>
  <c r="AB16" i="4"/>
  <c r="AC16" i="4"/>
  <c r="AD16" i="4"/>
  <c r="AE16" i="4"/>
  <c r="AF16" i="4"/>
  <c r="Y17" i="4"/>
  <c r="Z17" i="4"/>
  <c r="AA17" i="4"/>
  <c r="AB17" i="4"/>
  <c r="AC17" i="4"/>
  <c r="AD17" i="4"/>
  <c r="AE17" i="4"/>
  <c r="AF17" i="4"/>
  <c r="Y18" i="4"/>
  <c r="Z18" i="4"/>
  <c r="AA18" i="4"/>
  <c r="AB18" i="4"/>
  <c r="AC18" i="4"/>
  <c r="AD18" i="4"/>
  <c r="AE18" i="4"/>
  <c r="AF18" i="4"/>
  <c r="Y19" i="4"/>
  <c r="Z19" i="4"/>
  <c r="AA19" i="4"/>
  <c r="AB19" i="4"/>
  <c r="AC19" i="4"/>
  <c r="AD19" i="4"/>
  <c r="AE19" i="4"/>
  <c r="AF19" i="4"/>
  <c r="X50" i="1"/>
  <c r="Y50" i="1"/>
  <c r="Z50" i="1"/>
  <c r="AA50" i="1"/>
  <c r="X51" i="1"/>
  <c r="Y51" i="1"/>
  <c r="Z51" i="1"/>
  <c r="AA51" i="1"/>
  <c r="X44" i="1"/>
  <c r="Y44" i="1"/>
  <c r="Z44" i="1"/>
  <c r="AA44" i="1"/>
  <c r="X41" i="1"/>
  <c r="Y41" i="1"/>
  <c r="Z41" i="1"/>
  <c r="AA41" i="1"/>
  <c r="X38" i="1"/>
  <c r="Y38" i="1"/>
  <c r="Z38" i="1"/>
  <c r="AA38" i="1"/>
  <c r="X30" i="1"/>
  <c r="Y30" i="1"/>
  <c r="Z30" i="1"/>
  <c r="AA30" i="1"/>
  <c r="X31" i="1"/>
  <c r="Y31" i="1"/>
  <c r="Z31" i="1"/>
  <c r="AA31" i="1"/>
  <c r="X26" i="1"/>
  <c r="Y26" i="1"/>
  <c r="Z26" i="1"/>
  <c r="AA26" i="1"/>
  <c r="X20" i="1"/>
  <c r="Y20" i="1"/>
  <c r="Z20" i="1"/>
  <c r="AA20" i="1"/>
  <c r="X13" i="1"/>
  <c r="Y13" i="1"/>
  <c r="Z13" i="1"/>
  <c r="AA13" i="1"/>
  <c r="X8" i="1"/>
  <c r="Y8" i="1"/>
  <c r="Z8" i="1"/>
  <c r="AA8" i="1"/>
  <c r="X4" i="1"/>
  <c r="Y4" i="1"/>
  <c r="Z4" i="1"/>
  <c r="AA4" i="1"/>
  <c r="AB6" i="1"/>
  <c r="AB4" i="1" s="1"/>
  <c r="AB8" i="1"/>
  <c r="AB13" i="1"/>
  <c r="AB16" i="1"/>
  <c r="AB20" i="1"/>
  <c r="AB26" i="1"/>
  <c r="AB30" i="1"/>
  <c r="AB31" i="1"/>
  <c r="AB38" i="1"/>
  <c r="AB41" i="1"/>
  <c r="AB44" i="1"/>
  <c r="W5" i="3"/>
  <c r="X5" i="3"/>
  <c r="Y5" i="3"/>
  <c r="Z5" i="3"/>
  <c r="AA5" i="3"/>
  <c r="AB5" i="3"/>
  <c r="AC5" i="3"/>
  <c r="AD5" i="3"/>
  <c r="AE5" i="3"/>
  <c r="AF5" i="3"/>
  <c r="W7" i="3"/>
  <c r="X7" i="3"/>
  <c r="Y7" i="3"/>
  <c r="Z7" i="3"/>
  <c r="AA7" i="3"/>
  <c r="AB7" i="3"/>
  <c r="AC7" i="3"/>
  <c r="AD7" i="3"/>
  <c r="AE7" i="3"/>
  <c r="AF7" i="3"/>
  <c r="W8" i="3"/>
  <c r="X8" i="3"/>
  <c r="Y8" i="3"/>
  <c r="Z8" i="3"/>
  <c r="AA8" i="3"/>
  <c r="AB8" i="3"/>
  <c r="AC8" i="3"/>
  <c r="AD8" i="3"/>
  <c r="AE8" i="3"/>
  <c r="AF8" i="3"/>
  <c r="W9" i="3"/>
  <c r="X9" i="3"/>
  <c r="Y9" i="3"/>
  <c r="Z9" i="3"/>
  <c r="AA9" i="3"/>
  <c r="AB9" i="3"/>
  <c r="AC9" i="3"/>
  <c r="AD9" i="3"/>
  <c r="AE9" i="3"/>
  <c r="AF9" i="3"/>
  <c r="W10" i="3"/>
  <c r="X10" i="3"/>
  <c r="Y10" i="3"/>
  <c r="Z10" i="3"/>
  <c r="AA10" i="3"/>
  <c r="AB10" i="3"/>
  <c r="AC10" i="3"/>
  <c r="AD10" i="3"/>
  <c r="AE10" i="3"/>
  <c r="AF10" i="3"/>
  <c r="AA16" i="3"/>
  <c r="AB16" i="3"/>
  <c r="AC16" i="3"/>
  <c r="AD16" i="3"/>
  <c r="AE16" i="3"/>
  <c r="AF16" i="3"/>
  <c r="AA18" i="3"/>
  <c r="AB18" i="3"/>
  <c r="AC18" i="3"/>
  <c r="AD18" i="3"/>
  <c r="AE18" i="3"/>
  <c r="AF18" i="3"/>
  <c r="AA19" i="3"/>
  <c r="AB19" i="3"/>
  <c r="AC19" i="3"/>
  <c r="AD19" i="3"/>
  <c r="AE19" i="3"/>
  <c r="AF19" i="3"/>
  <c r="AA20" i="3"/>
  <c r="AB20" i="3"/>
  <c r="AC20" i="3"/>
  <c r="AD20" i="3"/>
  <c r="AE20" i="3"/>
  <c r="AF20" i="3"/>
  <c r="AA21" i="3"/>
  <c r="AB21" i="3"/>
  <c r="AC21" i="3"/>
  <c r="AD21" i="3"/>
  <c r="AE21" i="3"/>
  <c r="AF21" i="3"/>
  <c r="W26" i="3"/>
  <c r="X26" i="3"/>
  <c r="Y26" i="3"/>
  <c r="Z26" i="3"/>
  <c r="AA26" i="3"/>
  <c r="AB26" i="3"/>
  <c r="AC26" i="3"/>
  <c r="AD26" i="3"/>
  <c r="AE26" i="3"/>
  <c r="AF26" i="3"/>
  <c r="W27" i="3"/>
  <c r="X27" i="3"/>
  <c r="Y27" i="3"/>
  <c r="Z27" i="3"/>
  <c r="AA27" i="3"/>
  <c r="AB27" i="3"/>
  <c r="AC27" i="3"/>
  <c r="AD27" i="3"/>
  <c r="AE27" i="3"/>
  <c r="AF27" i="3"/>
  <c r="W28" i="3"/>
  <c r="X28" i="3"/>
  <c r="Y28" i="3"/>
  <c r="Z28" i="3"/>
  <c r="AA28" i="3"/>
  <c r="AB28" i="3"/>
  <c r="AC28" i="3"/>
  <c r="AD28" i="3"/>
  <c r="AE28" i="3"/>
  <c r="AF28" i="3"/>
  <c r="W29" i="3"/>
  <c r="X29" i="3"/>
  <c r="Y29" i="3"/>
  <c r="Z29" i="3"/>
  <c r="AA29" i="3"/>
  <c r="AB29" i="3"/>
  <c r="AC29" i="3"/>
  <c r="AD29" i="3"/>
  <c r="AE29" i="3"/>
  <c r="AF29" i="3"/>
  <c r="W31" i="3"/>
  <c r="X31" i="3"/>
  <c r="Y31" i="3"/>
  <c r="Z31" i="3"/>
  <c r="AA31" i="3"/>
  <c r="AB31" i="3"/>
  <c r="AC31" i="3"/>
  <c r="AD31" i="3"/>
  <c r="AE31" i="3"/>
  <c r="AF31" i="3"/>
  <c r="W32" i="3"/>
  <c r="X32" i="3"/>
  <c r="Y32" i="3"/>
  <c r="Z32" i="3"/>
  <c r="AA32" i="3"/>
  <c r="AB32" i="3"/>
  <c r="AC32" i="3"/>
  <c r="AD32" i="3"/>
  <c r="AE32" i="3"/>
  <c r="AF32" i="3"/>
  <c r="W34" i="3"/>
  <c r="X34" i="3"/>
  <c r="Y34" i="3"/>
  <c r="Z34" i="3"/>
  <c r="AA34" i="3"/>
  <c r="AB34" i="3"/>
  <c r="AC34" i="3"/>
  <c r="AD34" i="3"/>
  <c r="AE34" i="3"/>
  <c r="AF34" i="3"/>
  <c r="W35" i="3"/>
  <c r="X35" i="3"/>
  <c r="Y35" i="3"/>
  <c r="Z35" i="3"/>
  <c r="AA35" i="3"/>
  <c r="AB35" i="3"/>
  <c r="AC35" i="3"/>
  <c r="AD35" i="3"/>
  <c r="AE35" i="3"/>
  <c r="AF35" i="3"/>
  <c r="W39" i="3"/>
  <c r="X39" i="3"/>
  <c r="Y39" i="3"/>
  <c r="Z39" i="3"/>
  <c r="AA39" i="3"/>
  <c r="AB39" i="3"/>
  <c r="AC39" i="3"/>
  <c r="AD39" i="3"/>
  <c r="AE39" i="3"/>
  <c r="AF39" i="3"/>
  <c r="W40" i="3"/>
  <c r="X40" i="3"/>
  <c r="Y40" i="3"/>
  <c r="Z40" i="3"/>
  <c r="AA40" i="3"/>
  <c r="AB40" i="3"/>
  <c r="AC40" i="3"/>
  <c r="AD40" i="3"/>
  <c r="AE40" i="3"/>
  <c r="AF40" i="3"/>
  <c r="W41" i="3"/>
  <c r="X41" i="3"/>
  <c r="Y41" i="3"/>
  <c r="Z41" i="3"/>
  <c r="AA41" i="3"/>
  <c r="AB41" i="3"/>
  <c r="AC41" i="3"/>
  <c r="AD41" i="3"/>
  <c r="AE41" i="3"/>
  <c r="AF41" i="3"/>
  <c r="W42" i="3"/>
  <c r="X42" i="3"/>
  <c r="Y42" i="3"/>
  <c r="Z42" i="3"/>
  <c r="AA42" i="3"/>
  <c r="AB42" i="3"/>
  <c r="AC42" i="3"/>
  <c r="AD42" i="3"/>
  <c r="AE42" i="3"/>
  <c r="AF42" i="3"/>
  <c r="W45" i="3"/>
  <c r="X45" i="3"/>
  <c r="Y45" i="3"/>
  <c r="Z45" i="3"/>
  <c r="AA45" i="3"/>
  <c r="AB45" i="3"/>
  <c r="AC45" i="3"/>
  <c r="AD45" i="3"/>
  <c r="AE45" i="3"/>
  <c r="AF45" i="3"/>
  <c r="W46" i="3"/>
  <c r="X46" i="3"/>
  <c r="Y46" i="3"/>
  <c r="Z46" i="3"/>
  <c r="AA46" i="3"/>
  <c r="AB46" i="3"/>
  <c r="AC46" i="3"/>
  <c r="AD46" i="3"/>
  <c r="AE46" i="3"/>
  <c r="AF46" i="3"/>
  <c r="W47" i="3"/>
  <c r="X47" i="3"/>
  <c r="Y47" i="3"/>
  <c r="Z47" i="3"/>
  <c r="AA47" i="3"/>
  <c r="AB47" i="3"/>
  <c r="AC47" i="3"/>
  <c r="AD47" i="3"/>
  <c r="AE47" i="3"/>
  <c r="AF47" i="3"/>
  <c r="W48" i="3"/>
  <c r="X48" i="3"/>
  <c r="Y48" i="3"/>
  <c r="Z48" i="3"/>
  <c r="AA48" i="3"/>
  <c r="AB48" i="3"/>
  <c r="AC48" i="3"/>
  <c r="AD48" i="3"/>
  <c r="AE48" i="3"/>
  <c r="AF48" i="3"/>
  <c r="AC4" i="1"/>
  <c r="P44" i="1"/>
  <c r="Q44" i="1"/>
  <c r="R44" i="1"/>
  <c r="S44" i="1"/>
  <c r="T44" i="1"/>
  <c r="U44" i="1"/>
  <c r="V44" i="1"/>
  <c r="W44" i="1"/>
  <c r="P41" i="1"/>
  <c r="P50" i="1" s="1"/>
  <c r="Q41" i="1"/>
  <c r="Q50" i="1" s="1"/>
  <c r="R41" i="1"/>
  <c r="R50" i="1" s="1"/>
  <c r="S41" i="1"/>
  <c r="S50" i="1" s="1"/>
  <c r="T41" i="1"/>
  <c r="T50" i="1" s="1"/>
  <c r="U41" i="1"/>
  <c r="U50" i="1" s="1"/>
  <c r="V41" i="1"/>
  <c r="V50" i="1" s="1"/>
  <c r="W41" i="1"/>
  <c r="W50" i="1" s="1"/>
  <c r="P30" i="1"/>
  <c r="Q30" i="1"/>
  <c r="R30" i="1"/>
  <c r="S30" i="1"/>
  <c r="T30" i="1"/>
  <c r="U30" i="1"/>
  <c r="V30" i="1"/>
  <c r="W30" i="1"/>
  <c r="P31" i="1"/>
  <c r="Q31" i="1"/>
  <c r="R31" i="1"/>
  <c r="S31" i="1"/>
  <c r="T31" i="1"/>
  <c r="U31" i="1"/>
  <c r="V31" i="1"/>
  <c r="W31" i="1"/>
  <c r="P20" i="1"/>
  <c r="Q20" i="1"/>
  <c r="R20" i="1"/>
  <c r="S20" i="1"/>
  <c r="T20" i="1"/>
  <c r="U20" i="1"/>
  <c r="V20" i="1"/>
  <c r="W20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E16" i="1"/>
  <c r="P13" i="1"/>
  <c r="Q13" i="1"/>
  <c r="R13" i="1"/>
  <c r="S13" i="1"/>
  <c r="T13" i="1"/>
  <c r="U13" i="1"/>
  <c r="V13" i="1"/>
  <c r="W13" i="1"/>
  <c r="P8" i="1"/>
  <c r="Q8" i="1"/>
  <c r="R8" i="1"/>
  <c r="S8" i="1"/>
  <c r="T8" i="1"/>
  <c r="U8" i="1"/>
  <c r="V8" i="1"/>
  <c r="W8" i="1"/>
  <c r="P4" i="1"/>
  <c r="P26" i="1" s="1"/>
  <c r="Q4" i="1"/>
  <c r="Q26" i="1" s="1"/>
  <c r="R4" i="1"/>
  <c r="R26" i="1" s="1"/>
  <c r="S4" i="1"/>
  <c r="S26" i="1" s="1"/>
  <c r="T4" i="1"/>
  <c r="T26" i="1" s="1"/>
  <c r="U4" i="1"/>
  <c r="U26" i="1" s="1"/>
  <c r="V4" i="1"/>
  <c r="V26" i="1" s="1"/>
  <c r="W4" i="1"/>
  <c r="W26" i="1" s="1"/>
  <c r="P30" i="2"/>
  <c r="Q30" i="2"/>
  <c r="R30" i="2"/>
  <c r="S30" i="2"/>
  <c r="T30" i="2"/>
  <c r="U30" i="2"/>
  <c r="V30" i="2"/>
  <c r="W30" i="2"/>
  <c r="P34" i="2"/>
  <c r="P36" i="2" s="1"/>
  <c r="P38" i="2" s="1"/>
  <c r="Q34" i="2"/>
  <c r="Q36" i="2" s="1"/>
  <c r="Q38" i="2" s="1"/>
  <c r="R34" i="2"/>
  <c r="R36" i="2" s="1"/>
  <c r="R38" i="2" s="1"/>
  <c r="S34" i="2"/>
  <c r="S36" i="2" s="1"/>
  <c r="S38" i="2" s="1"/>
  <c r="T34" i="2"/>
  <c r="T36" i="2" s="1"/>
  <c r="T38" i="2" s="1"/>
  <c r="U34" i="2"/>
  <c r="U36" i="2" s="1"/>
  <c r="U38" i="2" s="1"/>
  <c r="V34" i="2"/>
  <c r="V36" i="2" s="1"/>
  <c r="V38" i="2" s="1"/>
  <c r="W34" i="2"/>
  <c r="W36" i="2" s="1"/>
  <c r="W38" i="2" s="1"/>
  <c r="P24" i="2"/>
  <c r="Q24" i="2"/>
  <c r="R24" i="2"/>
  <c r="S24" i="2"/>
  <c r="T24" i="2"/>
  <c r="U24" i="2"/>
  <c r="V24" i="2"/>
  <c r="W24" i="2"/>
  <c r="AB24" i="2"/>
  <c r="P20" i="2"/>
  <c r="Q20" i="2"/>
  <c r="R20" i="2"/>
  <c r="S20" i="2"/>
  <c r="T20" i="2"/>
  <c r="U20" i="2"/>
  <c r="V20" i="2"/>
  <c r="W20" i="2"/>
  <c r="P21" i="2"/>
  <c r="Q21" i="2"/>
  <c r="R21" i="2"/>
  <c r="S21" i="2"/>
  <c r="T21" i="2"/>
  <c r="U21" i="2"/>
  <c r="V21" i="2"/>
  <c r="W21" i="2"/>
  <c r="AB21" i="2"/>
  <c r="P13" i="2"/>
  <c r="Q13" i="2"/>
  <c r="R13" i="2"/>
  <c r="S13" i="2"/>
  <c r="T13" i="2"/>
  <c r="U13" i="2"/>
  <c r="V13" i="2"/>
  <c r="W13" i="2"/>
  <c r="AB13" i="2"/>
  <c r="P8" i="2"/>
  <c r="Q8" i="2"/>
  <c r="R8" i="2"/>
  <c r="S8" i="2"/>
  <c r="T8" i="2"/>
  <c r="U8" i="2"/>
  <c r="V8" i="2"/>
  <c r="W8" i="2"/>
  <c r="AB8" i="2"/>
  <c r="P4" i="2"/>
  <c r="Q4" i="2"/>
  <c r="R4" i="2"/>
  <c r="S4" i="2"/>
  <c r="T4" i="2"/>
  <c r="U4" i="2"/>
  <c r="V4" i="2"/>
  <c r="W4" i="2"/>
  <c r="AB4" i="2"/>
  <c r="AB20" i="2" s="1"/>
  <c r="AB30" i="2" s="1"/>
  <c r="AB34" i="2" s="1"/>
  <c r="AB36" i="2" s="1"/>
  <c r="AB38" i="2" s="1"/>
  <c r="D36" i="2"/>
  <c r="E36" i="2"/>
  <c r="F36" i="2"/>
  <c r="G36" i="2"/>
  <c r="H36" i="2"/>
  <c r="I36" i="2"/>
  <c r="J36" i="2"/>
  <c r="K36" i="2"/>
  <c r="L36" i="2"/>
  <c r="M36" i="2"/>
  <c r="N36" i="2"/>
  <c r="O36" i="2"/>
  <c r="D34" i="2"/>
  <c r="E34" i="2"/>
  <c r="F34" i="2"/>
  <c r="G34" i="2"/>
  <c r="H34" i="2"/>
  <c r="I34" i="2"/>
  <c r="J34" i="2"/>
  <c r="K34" i="2"/>
  <c r="L34" i="2"/>
  <c r="M34" i="2"/>
  <c r="N34" i="2"/>
  <c r="O34" i="2"/>
  <c r="C38" i="2"/>
  <c r="C36" i="2"/>
  <c r="C34" i="2"/>
  <c r="X9" i="4"/>
  <c r="X10" i="4"/>
  <c r="X11" i="4"/>
  <c r="X15" i="4"/>
  <c r="X16" i="4"/>
  <c r="X17" i="4"/>
  <c r="X18" i="4"/>
  <c r="X19" i="4"/>
  <c r="V5" i="3"/>
  <c r="V7" i="3"/>
  <c r="V8" i="3"/>
  <c r="V9" i="3"/>
  <c r="V10" i="3"/>
  <c r="V16" i="3"/>
  <c r="V18" i="3"/>
  <c r="V19" i="3"/>
  <c r="V20" i="3"/>
  <c r="V21" i="3"/>
  <c r="V26" i="3"/>
  <c r="V27" i="3"/>
  <c r="V28" i="3"/>
  <c r="V29" i="3"/>
  <c r="V31" i="3"/>
  <c r="X13" i="4" s="1"/>
  <c r="V32" i="3"/>
  <c r="V34" i="3"/>
  <c r="V35" i="3"/>
  <c r="V39" i="3"/>
  <c r="V40" i="3"/>
  <c r="V41" i="3"/>
  <c r="V42" i="3"/>
  <c r="V45" i="3"/>
  <c r="V46" i="3"/>
  <c r="V47" i="3"/>
  <c r="V48" i="3"/>
  <c r="W11" i="4"/>
  <c r="O19" i="3"/>
  <c r="P19" i="3"/>
  <c r="Q19" i="3"/>
  <c r="R19" i="3"/>
  <c r="S19" i="3"/>
  <c r="T19" i="3"/>
  <c r="U19" i="3"/>
  <c r="O20" i="3"/>
  <c r="P20" i="3"/>
  <c r="Q20" i="3"/>
  <c r="R20" i="3"/>
  <c r="S20" i="3"/>
  <c r="T20" i="3"/>
  <c r="U20" i="3"/>
  <c r="O21" i="3"/>
  <c r="P21" i="3"/>
  <c r="Q21" i="3"/>
  <c r="R21" i="3"/>
  <c r="S21" i="3"/>
  <c r="T21" i="3"/>
  <c r="U21" i="3"/>
  <c r="U7" i="3"/>
  <c r="U8" i="3"/>
  <c r="U9" i="3"/>
  <c r="U10" i="3"/>
  <c r="U16" i="3"/>
  <c r="U27" i="3"/>
  <c r="U28" i="3"/>
  <c r="U29" i="3"/>
  <c r="U32" i="3"/>
  <c r="U34" i="3"/>
  <c r="U35" i="3"/>
  <c r="U39" i="3"/>
  <c r="U40" i="3"/>
  <c r="U42" i="3"/>
  <c r="U45" i="3"/>
  <c r="U46" i="3"/>
  <c r="U47" i="3"/>
  <c r="E75" i="5" l="1"/>
  <c r="W38" i="1"/>
  <c r="W51" i="1" s="1"/>
  <c r="V38" i="1"/>
  <c r="V51" i="1" s="1"/>
  <c r="U38" i="1"/>
  <c r="U51" i="1" s="1"/>
  <c r="T38" i="1"/>
  <c r="T51" i="1" s="1"/>
  <c r="S38" i="1"/>
  <c r="S51" i="1" s="1"/>
  <c r="R38" i="1"/>
  <c r="R51" i="1" s="1"/>
  <c r="Q38" i="1"/>
  <c r="Q51" i="1" s="1"/>
  <c r="P38" i="1"/>
  <c r="P51" i="1" s="1"/>
  <c r="AF44" i="3"/>
  <c r="AE44" i="3"/>
  <c r="AD44" i="3"/>
  <c r="AC44" i="3"/>
  <c r="AB44" i="3"/>
  <c r="AA44" i="3"/>
  <c r="Z44" i="3"/>
  <c r="Y44" i="3"/>
  <c r="X44" i="3"/>
  <c r="W44" i="3"/>
  <c r="AF38" i="3"/>
  <c r="AE38" i="3"/>
  <c r="AD38" i="3"/>
  <c r="AC38" i="3"/>
  <c r="AB38" i="3"/>
  <c r="AA38" i="3"/>
  <c r="Z38" i="3"/>
  <c r="Y38" i="3"/>
  <c r="X38" i="3"/>
  <c r="W38" i="3"/>
  <c r="AF30" i="3"/>
  <c r="AE30" i="3"/>
  <c r="AD30" i="3"/>
  <c r="AC30" i="3"/>
  <c r="AB30" i="3"/>
  <c r="AA30" i="3"/>
  <c r="Z30" i="3"/>
  <c r="Y30" i="3"/>
  <c r="X30" i="3"/>
  <c r="W30" i="3"/>
  <c r="AF25" i="3"/>
  <c r="AE25" i="3"/>
  <c r="AD25" i="3"/>
  <c r="AC25" i="3"/>
  <c r="AB25" i="3"/>
  <c r="AA25" i="3"/>
  <c r="Z25" i="3"/>
  <c r="Y25" i="3"/>
  <c r="X25" i="3"/>
  <c r="W25" i="3"/>
  <c r="AF15" i="3"/>
  <c r="AF13" i="3" s="1"/>
  <c r="AF14" i="3" s="1"/>
  <c r="AE15" i="3"/>
  <c r="AE13" i="3" s="1"/>
  <c r="AE14" i="3" s="1"/>
  <c r="AD15" i="3"/>
  <c r="AD13" i="3" s="1"/>
  <c r="AD14" i="3" s="1"/>
  <c r="AC15" i="3"/>
  <c r="AC13" i="3" s="1"/>
  <c r="AC14" i="3" s="1"/>
  <c r="AB15" i="3"/>
  <c r="AB13" i="3" s="1"/>
  <c r="AB14" i="3" s="1"/>
  <c r="AA15" i="3"/>
  <c r="AA13" i="3" s="1"/>
  <c r="AA14" i="3" s="1"/>
  <c r="Z15" i="3"/>
  <c r="Y15" i="3"/>
  <c r="X15" i="3"/>
  <c r="W15" i="3"/>
  <c r="AF6" i="3"/>
  <c r="AE6" i="3"/>
  <c r="AD6" i="3"/>
  <c r="AC6" i="3"/>
  <c r="AB6" i="3"/>
  <c r="AA6" i="3"/>
  <c r="Z6" i="3"/>
  <c r="Y6" i="3"/>
  <c r="X6" i="3"/>
  <c r="W6" i="3"/>
  <c r="AB50" i="1"/>
  <c r="AB51" i="1" s="1"/>
  <c r="X14" i="4"/>
  <c r="V44" i="3"/>
  <c r="V38" i="3"/>
  <c r="V30" i="3"/>
  <c r="V25" i="3"/>
  <c r="V15" i="3"/>
  <c r="V6" i="3"/>
  <c r="U41" i="3"/>
  <c r="W16" i="4"/>
  <c r="U38" i="3"/>
  <c r="U6" i="3"/>
  <c r="U31" i="3"/>
  <c r="U26" i="3"/>
  <c r="U25" i="3" s="1"/>
  <c r="E50" i="5"/>
  <c r="E39" i="5"/>
  <c r="D39" i="5"/>
  <c r="G38" i="5"/>
  <c r="G37" i="5"/>
  <c r="G36" i="5"/>
  <c r="G35" i="5"/>
  <c r="G34" i="5"/>
  <c r="Q11" i="4"/>
  <c r="R11" i="4"/>
  <c r="S11" i="4"/>
  <c r="T11" i="4"/>
  <c r="U11" i="4"/>
  <c r="V11" i="4"/>
  <c r="P7" i="3"/>
  <c r="Q7" i="3"/>
  <c r="R7" i="3"/>
  <c r="S7" i="3"/>
  <c r="T7" i="3"/>
  <c r="P8" i="3"/>
  <c r="Q8" i="3"/>
  <c r="R8" i="3"/>
  <c r="S8" i="3"/>
  <c r="T8" i="3"/>
  <c r="P9" i="3"/>
  <c r="Q9" i="3"/>
  <c r="R9" i="3"/>
  <c r="S9" i="3"/>
  <c r="T9" i="3"/>
  <c r="P10" i="3"/>
  <c r="Q10" i="3"/>
  <c r="R10" i="3"/>
  <c r="S10" i="3"/>
  <c r="T10" i="3"/>
  <c r="P16" i="3"/>
  <c r="Q16" i="3"/>
  <c r="R16" i="3"/>
  <c r="S16" i="3"/>
  <c r="T16" i="3"/>
  <c r="P27" i="3"/>
  <c r="Q27" i="3"/>
  <c r="R27" i="3"/>
  <c r="S27" i="3"/>
  <c r="T27" i="3"/>
  <c r="P28" i="3"/>
  <c r="Q28" i="3"/>
  <c r="R28" i="3"/>
  <c r="S28" i="3"/>
  <c r="T28" i="3"/>
  <c r="P29" i="3"/>
  <c r="Q29" i="3"/>
  <c r="R29" i="3"/>
  <c r="S29" i="3"/>
  <c r="T29" i="3"/>
  <c r="P32" i="3"/>
  <c r="Q32" i="3"/>
  <c r="R32" i="3"/>
  <c r="S32" i="3"/>
  <c r="T32" i="3"/>
  <c r="P34" i="3"/>
  <c r="Q34" i="3"/>
  <c r="R34" i="3"/>
  <c r="S34" i="3"/>
  <c r="T34" i="3"/>
  <c r="P35" i="3"/>
  <c r="Q35" i="3"/>
  <c r="R35" i="3"/>
  <c r="S35" i="3"/>
  <c r="T35" i="3"/>
  <c r="P39" i="3"/>
  <c r="Q39" i="3"/>
  <c r="R39" i="3"/>
  <c r="S39" i="3"/>
  <c r="T39" i="3"/>
  <c r="P40" i="3"/>
  <c r="Q40" i="3"/>
  <c r="R40" i="3"/>
  <c r="S40" i="3"/>
  <c r="T40" i="3"/>
  <c r="P42" i="3"/>
  <c r="Q42" i="3"/>
  <c r="R42" i="3"/>
  <c r="S42" i="3"/>
  <c r="T42" i="3"/>
  <c r="P45" i="3"/>
  <c r="Q45" i="3"/>
  <c r="R45" i="3"/>
  <c r="S45" i="3"/>
  <c r="T45" i="3"/>
  <c r="P46" i="3"/>
  <c r="Q46" i="3"/>
  <c r="R46" i="3"/>
  <c r="S46" i="3"/>
  <c r="T46" i="3"/>
  <c r="P47" i="3"/>
  <c r="Q47" i="3"/>
  <c r="R47" i="3"/>
  <c r="S47" i="3"/>
  <c r="T47" i="3"/>
  <c r="T6" i="3"/>
  <c r="P5" i="2"/>
  <c r="Q5" i="2"/>
  <c r="R5" i="2"/>
  <c r="S5" i="2"/>
  <c r="T5" i="2"/>
  <c r="U5" i="2"/>
  <c r="Q41" i="3"/>
  <c r="T41" i="3"/>
  <c r="Q18" i="3"/>
  <c r="P31" i="3"/>
  <c r="Q31" i="3"/>
  <c r="R31" i="3"/>
  <c r="S31" i="3"/>
  <c r="T31" i="3"/>
  <c r="P26" i="3"/>
  <c r="Q26" i="3"/>
  <c r="R26" i="3"/>
  <c r="S26" i="3"/>
  <c r="S25" i="3" s="1"/>
  <c r="T26" i="3"/>
  <c r="O24" i="2"/>
  <c r="O21" i="2"/>
  <c r="O13" i="2"/>
  <c r="O8" i="2"/>
  <c r="O5" i="2"/>
  <c r="O4" i="2" s="1"/>
  <c r="O20" i="2" s="1"/>
  <c r="O30" i="2" s="1"/>
  <c r="O38" i="2" s="1"/>
  <c r="O29" i="1"/>
  <c r="O27" i="1"/>
  <c r="O30" i="1" s="1"/>
  <c r="L4" i="1"/>
  <c r="I44" i="1"/>
  <c r="J44" i="1"/>
  <c r="K44" i="1"/>
  <c r="L44" i="1"/>
  <c r="M44" i="1"/>
  <c r="N44" i="1"/>
  <c r="O44" i="1"/>
  <c r="I41" i="1"/>
  <c r="I50" i="1" s="1"/>
  <c r="J41" i="1"/>
  <c r="J50" i="1" s="1"/>
  <c r="K41" i="1"/>
  <c r="K50" i="1" s="1"/>
  <c r="L41" i="1"/>
  <c r="L50" i="1" s="1"/>
  <c r="M41" i="1"/>
  <c r="M50" i="1" s="1"/>
  <c r="N41" i="1"/>
  <c r="N50" i="1" s="1"/>
  <c r="O41" i="1"/>
  <c r="J30" i="1"/>
  <c r="K30" i="1"/>
  <c r="L30" i="1"/>
  <c r="M30" i="1"/>
  <c r="N30" i="1"/>
  <c r="J31" i="1"/>
  <c r="K31" i="1"/>
  <c r="L31" i="1"/>
  <c r="M31" i="1"/>
  <c r="N31" i="1"/>
  <c r="O31" i="1"/>
  <c r="J20" i="1"/>
  <c r="K20" i="1"/>
  <c r="L20" i="1"/>
  <c r="M20" i="1"/>
  <c r="N20" i="1"/>
  <c r="O20" i="1"/>
  <c r="J13" i="1"/>
  <c r="K13" i="1"/>
  <c r="L13" i="1"/>
  <c r="M13" i="1"/>
  <c r="N13" i="1"/>
  <c r="O13" i="1"/>
  <c r="J8" i="1"/>
  <c r="K8" i="1"/>
  <c r="L8" i="1"/>
  <c r="L26" i="1" s="1"/>
  <c r="M8" i="1"/>
  <c r="N8" i="1"/>
  <c r="O8" i="1"/>
  <c r="J4" i="1"/>
  <c r="J26" i="1" s="1"/>
  <c r="K4" i="1"/>
  <c r="K26" i="1" s="1"/>
  <c r="M4" i="1"/>
  <c r="M26" i="1" s="1"/>
  <c r="N4" i="1"/>
  <c r="N26" i="1" s="1"/>
  <c r="O4" i="1"/>
  <c r="W13" i="3" l="1"/>
  <c r="Y6" i="4"/>
  <c r="X13" i="3"/>
  <c r="Z6" i="4"/>
  <c r="Y13" i="3"/>
  <c r="AA6" i="4"/>
  <c r="Z13" i="3"/>
  <c r="AB6" i="4"/>
  <c r="V13" i="3"/>
  <c r="X6" i="4"/>
  <c r="V17" i="4"/>
  <c r="V18" i="4"/>
  <c r="U17" i="4"/>
  <c r="U18" i="4"/>
  <c r="T17" i="4"/>
  <c r="T18" i="4"/>
  <c r="S17" i="4"/>
  <c r="S18" i="4"/>
  <c r="R17" i="4"/>
  <c r="R18" i="4"/>
  <c r="Q17" i="4"/>
  <c r="Q18" i="4"/>
  <c r="V9" i="4"/>
  <c r="U9" i="4"/>
  <c r="T18" i="3"/>
  <c r="S18" i="3"/>
  <c r="R18" i="3"/>
  <c r="P18" i="3"/>
  <c r="O18" i="3"/>
  <c r="Q48" i="3"/>
  <c r="S41" i="3"/>
  <c r="R41" i="3"/>
  <c r="R38" i="3" s="1"/>
  <c r="P41" i="3"/>
  <c r="U16" i="4"/>
  <c r="T16" i="4"/>
  <c r="S15" i="4"/>
  <c r="S16" i="4"/>
  <c r="R16" i="4"/>
  <c r="Q44" i="3"/>
  <c r="T38" i="3"/>
  <c r="S38" i="3"/>
  <c r="Q38" i="3"/>
  <c r="P38" i="3"/>
  <c r="R30" i="3"/>
  <c r="E51" i="5"/>
  <c r="W17" i="4"/>
  <c r="W18" i="4"/>
  <c r="U30" i="3"/>
  <c r="W9" i="4"/>
  <c r="U18" i="3"/>
  <c r="U15" i="3" s="1"/>
  <c r="W15" i="4"/>
  <c r="P6" i="3"/>
  <c r="R25" i="3"/>
  <c r="S6" i="3"/>
  <c r="S30" i="3"/>
  <c r="T25" i="3"/>
  <c r="P15" i="3"/>
  <c r="P13" i="3" s="1"/>
  <c r="R5" i="4" s="1"/>
  <c r="R6" i="3"/>
  <c r="Q6" i="3"/>
  <c r="Q15" i="3"/>
  <c r="Q13" i="3" s="1"/>
  <c r="T30" i="3"/>
  <c r="Q30" i="3"/>
  <c r="Q25" i="3"/>
  <c r="P25" i="3"/>
  <c r="R15" i="3"/>
  <c r="P30" i="3"/>
  <c r="S15" i="3"/>
  <c r="T15" i="3"/>
  <c r="G39" i="5"/>
  <c r="N38" i="1"/>
  <c r="N51" i="1" s="1"/>
  <c r="M38" i="1"/>
  <c r="M51" i="1" s="1"/>
  <c r="L38" i="1"/>
  <c r="K38" i="1"/>
  <c r="K51" i="1" s="1"/>
  <c r="J38" i="1"/>
  <c r="J51" i="1" s="1"/>
  <c r="L51" i="1"/>
  <c r="O50" i="1"/>
  <c r="O38" i="1"/>
  <c r="O26" i="1"/>
  <c r="J11" i="4"/>
  <c r="J15" i="4"/>
  <c r="J16" i="4"/>
  <c r="H38" i="3"/>
  <c r="H7" i="3"/>
  <c r="H8" i="3"/>
  <c r="H9" i="3"/>
  <c r="H10" i="3"/>
  <c r="H16" i="3"/>
  <c r="H18" i="3"/>
  <c r="H19" i="3"/>
  <c r="H20" i="3"/>
  <c r="H21" i="3"/>
  <c r="H27" i="3"/>
  <c r="H28" i="3"/>
  <c r="H29" i="3"/>
  <c r="H32" i="3"/>
  <c r="H34" i="3"/>
  <c r="H35" i="3"/>
  <c r="G44" i="1"/>
  <c r="H44" i="1"/>
  <c r="G41" i="1"/>
  <c r="G50" i="1" s="1"/>
  <c r="H41" i="1"/>
  <c r="H50" i="1" s="1"/>
  <c r="G30" i="1"/>
  <c r="H30" i="1"/>
  <c r="I30" i="1"/>
  <c r="G31" i="1"/>
  <c r="H31" i="1"/>
  <c r="I31" i="1"/>
  <c r="G20" i="1"/>
  <c r="H20" i="1"/>
  <c r="I20" i="1"/>
  <c r="G13" i="1"/>
  <c r="H13" i="1"/>
  <c r="I13" i="1"/>
  <c r="H31" i="3" s="1"/>
  <c r="G8" i="1"/>
  <c r="H8" i="1"/>
  <c r="I8" i="1"/>
  <c r="H26" i="3" s="1"/>
  <c r="G4" i="1"/>
  <c r="G26" i="1" s="1"/>
  <c r="H4" i="1"/>
  <c r="H26" i="1" s="1"/>
  <c r="I4" i="1"/>
  <c r="E26" i="5"/>
  <c r="D15" i="5"/>
  <c r="E15" i="5"/>
  <c r="G11" i="5"/>
  <c r="G12" i="5"/>
  <c r="G13" i="5"/>
  <c r="G14" i="5"/>
  <c r="G10" i="5"/>
  <c r="G15" i="5" s="1"/>
  <c r="F10" i="3"/>
  <c r="G10" i="3"/>
  <c r="H19" i="4"/>
  <c r="I19" i="4"/>
  <c r="F16" i="3"/>
  <c r="G16" i="3"/>
  <c r="F19" i="3"/>
  <c r="G19" i="3"/>
  <c r="F20" i="3"/>
  <c r="G20" i="3"/>
  <c r="F21" i="3"/>
  <c r="G21" i="3"/>
  <c r="F18" i="3"/>
  <c r="G18" i="3"/>
  <c r="C4" i="1"/>
  <c r="D4" i="1"/>
  <c r="E4" i="1"/>
  <c r="F4" i="1"/>
  <c r="C8" i="1"/>
  <c r="D8" i="1"/>
  <c r="E8" i="1"/>
  <c r="F8" i="1"/>
  <c r="C13" i="1"/>
  <c r="D13" i="1"/>
  <c r="E13" i="1"/>
  <c r="F13" i="1"/>
  <c r="C20" i="1"/>
  <c r="D20" i="1"/>
  <c r="E20" i="1"/>
  <c r="F20" i="1"/>
  <c r="C26" i="1"/>
  <c r="C30" i="1"/>
  <c r="D30" i="1"/>
  <c r="E30" i="1"/>
  <c r="F30" i="1"/>
  <c r="C31" i="1"/>
  <c r="D31" i="1"/>
  <c r="E31" i="1"/>
  <c r="F31" i="1"/>
  <c r="C38" i="1"/>
  <c r="D38" i="1"/>
  <c r="E38" i="1"/>
  <c r="F38" i="1"/>
  <c r="C41" i="1"/>
  <c r="D41" i="1"/>
  <c r="E41" i="1"/>
  <c r="F41" i="1"/>
  <c r="C44" i="1"/>
  <c r="D44" i="1"/>
  <c r="E44" i="1"/>
  <c r="F44" i="1"/>
  <c r="Z14" i="3" l="1"/>
  <c r="AB3" i="4"/>
  <c r="AB4" i="4"/>
  <c r="AB5" i="4"/>
  <c r="AB12" i="4"/>
  <c r="Y14" i="3"/>
  <c r="AA3" i="4"/>
  <c r="AA4" i="4"/>
  <c r="AA5" i="4"/>
  <c r="AA12" i="4"/>
  <c r="X14" i="3"/>
  <c r="Z3" i="4"/>
  <c r="Z4" i="4"/>
  <c r="Z5" i="4"/>
  <c r="Z12" i="4"/>
  <c r="W14" i="3"/>
  <c r="Y3" i="4"/>
  <c r="Y4" i="4"/>
  <c r="Y5" i="4"/>
  <c r="Y12" i="4"/>
  <c r="V14" i="3"/>
  <c r="X3" i="4"/>
  <c r="X5" i="4"/>
  <c r="X12" i="4"/>
  <c r="X4" i="4"/>
  <c r="Q10" i="4"/>
  <c r="Q19" i="4"/>
  <c r="Q9" i="4"/>
  <c r="R10" i="4"/>
  <c r="R19" i="4"/>
  <c r="P5" i="3"/>
  <c r="R9" i="4"/>
  <c r="S10" i="4"/>
  <c r="S19" i="4"/>
  <c r="Q5" i="3"/>
  <c r="S9" i="4"/>
  <c r="T10" i="4"/>
  <c r="T19" i="4"/>
  <c r="R5" i="3"/>
  <c r="T9" i="4"/>
  <c r="V16" i="4"/>
  <c r="Q16" i="4"/>
  <c r="T15" i="4"/>
  <c r="R15" i="4"/>
  <c r="U15" i="4"/>
  <c r="U48" i="3"/>
  <c r="U44" i="3" s="1"/>
  <c r="U13" i="3"/>
  <c r="W10" i="4"/>
  <c r="W19" i="4"/>
  <c r="U5" i="3"/>
  <c r="U10" i="4"/>
  <c r="U19" i="4"/>
  <c r="S5" i="3"/>
  <c r="V10" i="4"/>
  <c r="V19" i="4"/>
  <c r="T5" i="3"/>
  <c r="V13" i="4" s="1"/>
  <c r="R3" i="4"/>
  <c r="R6" i="4"/>
  <c r="P14" i="3"/>
  <c r="R4" i="4"/>
  <c r="R12" i="4"/>
  <c r="T13" i="3"/>
  <c r="V6" i="4"/>
  <c r="S13" i="3"/>
  <c r="U6" i="4"/>
  <c r="R13" i="3"/>
  <c r="T6" i="4"/>
  <c r="Q14" i="3"/>
  <c r="S3" i="4"/>
  <c r="S12" i="4"/>
  <c r="S4" i="4"/>
  <c r="S5" i="4"/>
  <c r="E27" i="5"/>
  <c r="J17" i="4"/>
  <c r="J18" i="4"/>
  <c r="I26" i="1"/>
  <c r="J9" i="4"/>
  <c r="I38" i="1"/>
  <c r="I51" i="1" s="1"/>
  <c r="H38" i="1"/>
  <c r="H51" i="1" s="1"/>
  <c r="G38" i="1"/>
  <c r="G51" i="1" s="1"/>
  <c r="O51" i="1"/>
  <c r="H30" i="3"/>
  <c r="H25" i="3"/>
  <c r="H15" i="3"/>
  <c r="H13" i="3" s="1"/>
  <c r="H6" i="3"/>
  <c r="E50" i="1"/>
  <c r="E51" i="1" s="1"/>
  <c r="C50" i="1"/>
  <c r="C51" i="1" s="1"/>
  <c r="F50" i="1"/>
  <c r="F51" i="1" s="1"/>
  <c r="D50" i="1"/>
  <c r="D51" i="1" s="1"/>
  <c r="E26" i="1"/>
  <c r="D26" i="1"/>
  <c r="F26" i="1"/>
  <c r="U13" i="4" l="1"/>
  <c r="W13" i="4"/>
  <c r="W6" i="4"/>
  <c r="U14" i="3"/>
  <c r="W3" i="4"/>
  <c r="W4" i="4"/>
  <c r="W5" i="4"/>
  <c r="W12" i="4"/>
  <c r="W14" i="4"/>
  <c r="S48" i="3"/>
  <c r="S44" i="3" s="1"/>
  <c r="U14" i="4"/>
  <c r="P48" i="3"/>
  <c r="P44" i="3" s="1"/>
  <c r="R48" i="3"/>
  <c r="R44" i="3" s="1"/>
  <c r="Q15" i="4"/>
  <c r="V15" i="4"/>
  <c r="T14" i="4"/>
  <c r="T13" i="4"/>
  <c r="S14" i="4"/>
  <c r="S13" i="4"/>
  <c r="S6" i="4"/>
  <c r="R14" i="4"/>
  <c r="R13" i="4"/>
  <c r="R14" i="3"/>
  <c r="T4" i="4"/>
  <c r="T3" i="4"/>
  <c r="T12" i="4"/>
  <c r="T5" i="4"/>
  <c r="S14" i="3"/>
  <c r="U4" i="4"/>
  <c r="U3" i="4"/>
  <c r="U12" i="4"/>
  <c r="U5" i="4"/>
  <c r="T14" i="3"/>
  <c r="V5" i="4"/>
  <c r="V4" i="4"/>
  <c r="V3" i="4"/>
  <c r="V12" i="4"/>
  <c r="J10" i="4"/>
  <c r="J19" i="4"/>
  <c r="H5" i="3"/>
  <c r="J4" i="4" s="1"/>
  <c r="H14" i="3"/>
  <c r="J3" i="4"/>
  <c r="J12" i="4"/>
  <c r="J5" i="4"/>
  <c r="T48" i="3" l="1"/>
  <c r="T44" i="3" s="1"/>
  <c r="V14" i="4"/>
  <c r="J6" i="4"/>
  <c r="J14" i="4"/>
  <c r="J13" i="4"/>
  <c r="Q1" i="1"/>
  <c r="C19" i="3"/>
  <c r="D19" i="3"/>
  <c r="E19" i="3"/>
  <c r="I19" i="3"/>
  <c r="J19" i="3"/>
  <c r="K19" i="3"/>
  <c r="L19" i="3"/>
  <c r="M19" i="3"/>
  <c r="N19" i="3"/>
  <c r="B19" i="3"/>
  <c r="C21" i="3"/>
  <c r="D21" i="3"/>
  <c r="E21" i="3"/>
  <c r="I21" i="3"/>
  <c r="J21" i="3"/>
  <c r="K21" i="3"/>
  <c r="L21" i="3"/>
  <c r="M21" i="3"/>
  <c r="N21" i="3"/>
  <c r="B21" i="3"/>
  <c r="C20" i="3"/>
  <c r="D20" i="3"/>
  <c r="E20" i="3"/>
  <c r="I20" i="3"/>
  <c r="J20" i="3"/>
  <c r="K20" i="3"/>
  <c r="L20" i="3"/>
  <c r="M20" i="3"/>
  <c r="N20" i="3"/>
  <c r="B20" i="3"/>
  <c r="C7" i="3"/>
  <c r="D7" i="3"/>
  <c r="E7" i="3"/>
  <c r="F7" i="3"/>
  <c r="G7" i="3"/>
  <c r="I7" i="3"/>
  <c r="J7" i="3"/>
  <c r="K7" i="3"/>
  <c r="L7" i="3"/>
  <c r="M7" i="3"/>
  <c r="N7" i="3"/>
  <c r="O7" i="3"/>
  <c r="C8" i="3"/>
  <c r="D8" i="3"/>
  <c r="E8" i="3"/>
  <c r="F8" i="3"/>
  <c r="G8" i="3"/>
  <c r="I8" i="3"/>
  <c r="J8" i="3"/>
  <c r="K8" i="3"/>
  <c r="K6" i="3" s="1"/>
  <c r="L8" i="3"/>
  <c r="M8" i="3"/>
  <c r="N8" i="3"/>
  <c r="O8" i="3"/>
  <c r="C9" i="3"/>
  <c r="D9" i="3"/>
  <c r="E9" i="3"/>
  <c r="F9" i="3"/>
  <c r="G9" i="3"/>
  <c r="I9" i="3"/>
  <c r="J9" i="3"/>
  <c r="K9" i="3"/>
  <c r="L9" i="3"/>
  <c r="M9" i="3"/>
  <c r="N9" i="3"/>
  <c r="O9" i="3"/>
  <c r="B9" i="3"/>
  <c r="B8" i="3"/>
  <c r="B7" i="3"/>
  <c r="O5" i="3"/>
  <c r="Q14" i="4" s="1"/>
  <c r="E11" i="4"/>
  <c r="F11" i="4"/>
  <c r="G11" i="4"/>
  <c r="H11" i="4"/>
  <c r="I11" i="4"/>
  <c r="K11" i="4"/>
  <c r="L11" i="4"/>
  <c r="M11" i="4"/>
  <c r="N11" i="4"/>
  <c r="O11" i="4"/>
  <c r="P11" i="4"/>
  <c r="E15" i="4"/>
  <c r="F15" i="4"/>
  <c r="G15" i="4"/>
  <c r="H15" i="4"/>
  <c r="I15" i="4"/>
  <c r="K15" i="4"/>
  <c r="L15" i="4"/>
  <c r="M15" i="4"/>
  <c r="N15" i="4"/>
  <c r="O15" i="4"/>
  <c r="P15" i="4"/>
  <c r="E16" i="4"/>
  <c r="F16" i="4"/>
  <c r="G16" i="4"/>
  <c r="H16" i="4"/>
  <c r="I16" i="4"/>
  <c r="K16" i="4"/>
  <c r="L16" i="4"/>
  <c r="M16" i="4"/>
  <c r="N16" i="4"/>
  <c r="O16" i="4"/>
  <c r="P16" i="4"/>
  <c r="O10" i="3"/>
  <c r="O16" i="3"/>
  <c r="O26" i="3"/>
  <c r="O27" i="3"/>
  <c r="O28" i="3"/>
  <c r="O29" i="3"/>
  <c r="O31" i="3"/>
  <c r="Q13" i="4" s="1"/>
  <c r="O32" i="3"/>
  <c r="O34" i="3"/>
  <c r="O35" i="3"/>
  <c r="O39" i="3"/>
  <c r="O40" i="3"/>
  <c r="O41" i="3"/>
  <c r="O42" i="3"/>
  <c r="O45" i="3"/>
  <c r="O46" i="3"/>
  <c r="O47" i="3"/>
  <c r="O48" i="3"/>
  <c r="M10" i="3"/>
  <c r="N10" i="3"/>
  <c r="M16" i="3"/>
  <c r="N16" i="3"/>
  <c r="M27" i="3"/>
  <c r="N27" i="3"/>
  <c r="M28" i="3"/>
  <c r="N28" i="3"/>
  <c r="M29" i="3"/>
  <c r="N29" i="3"/>
  <c r="M32" i="3"/>
  <c r="N32" i="3"/>
  <c r="M34" i="3"/>
  <c r="N34" i="3"/>
  <c r="M35" i="3"/>
  <c r="N35" i="3"/>
  <c r="M39" i="3"/>
  <c r="N39" i="3"/>
  <c r="M40" i="3"/>
  <c r="N40" i="3"/>
  <c r="M41" i="3"/>
  <c r="N41" i="3"/>
  <c r="M42" i="3"/>
  <c r="N42" i="3"/>
  <c r="M45" i="3"/>
  <c r="N45" i="3"/>
  <c r="M46" i="3"/>
  <c r="N46" i="3"/>
  <c r="M47" i="3"/>
  <c r="N47" i="3"/>
  <c r="M48" i="3"/>
  <c r="N48" i="3"/>
  <c r="C10" i="3"/>
  <c r="D10" i="3"/>
  <c r="E10" i="3"/>
  <c r="I10" i="3"/>
  <c r="J10" i="3"/>
  <c r="K10" i="3"/>
  <c r="L10" i="3"/>
  <c r="C16" i="3"/>
  <c r="D16" i="3"/>
  <c r="E16" i="3"/>
  <c r="I16" i="3"/>
  <c r="J16" i="3"/>
  <c r="K16" i="3"/>
  <c r="L16" i="3"/>
  <c r="C27" i="3"/>
  <c r="D27" i="3"/>
  <c r="E27" i="3"/>
  <c r="F27" i="3"/>
  <c r="G27" i="3"/>
  <c r="I27" i="3"/>
  <c r="J27" i="3"/>
  <c r="K27" i="3"/>
  <c r="L27" i="3"/>
  <c r="C28" i="3"/>
  <c r="D28" i="3"/>
  <c r="E28" i="3"/>
  <c r="F28" i="3"/>
  <c r="G28" i="3"/>
  <c r="I28" i="3"/>
  <c r="J28" i="3"/>
  <c r="K28" i="3"/>
  <c r="L28" i="3"/>
  <c r="C29" i="3"/>
  <c r="D29" i="3"/>
  <c r="E29" i="3"/>
  <c r="F29" i="3"/>
  <c r="G29" i="3"/>
  <c r="I29" i="3"/>
  <c r="J29" i="3"/>
  <c r="K29" i="3"/>
  <c r="L29" i="3"/>
  <c r="C32" i="3"/>
  <c r="D32" i="3"/>
  <c r="E32" i="3"/>
  <c r="F32" i="3"/>
  <c r="G32" i="3"/>
  <c r="I32" i="3"/>
  <c r="J32" i="3"/>
  <c r="K32" i="3"/>
  <c r="L32" i="3"/>
  <c r="C34" i="3"/>
  <c r="D34" i="3"/>
  <c r="E34" i="3"/>
  <c r="F34" i="3"/>
  <c r="G34" i="3"/>
  <c r="I34" i="3"/>
  <c r="J34" i="3"/>
  <c r="K34" i="3"/>
  <c r="L34" i="3"/>
  <c r="C35" i="3"/>
  <c r="D35" i="3"/>
  <c r="E35" i="3"/>
  <c r="F35" i="3"/>
  <c r="G35" i="3"/>
  <c r="I35" i="3"/>
  <c r="J35" i="3"/>
  <c r="K35" i="3"/>
  <c r="L35" i="3"/>
  <c r="C39" i="3"/>
  <c r="D39" i="3"/>
  <c r="E39" i="3"/>
  <c r="F39" i="3"/>
  <c r="G39" i="3"/>
  <c r="I39" i="3"/>
  <c r="J39" i="3"/>
  <c r="K39" i="3"/>
  <c r="L39" i="3"/>
  <c r="C40" i="3"/>
  <c r="D40" i="3"/>
  <c r="E40" i="3"/>
  <c r="F40" i="3"/>
  <c r="G40" i="3"/>
  <c r="I40" i="3"/>
  <c r="J40" i="3"/>
  <c r="K40" i="3"/>
  <c r="L40" i="3"/>
  <c r="C41" i="3"/>
  <c r="D41" i="3"/>
  <c r="E41" i="3"/>
  <c r="F41" i="3"/>
  <c r="G41" i="3"/>
  <c r="I41" i="3"/>
  <c r="J41" i="3"/>
  <c r="K41" i="3"/>
  <c r="L41" i="3"/>
  <c r="C42" i="3"/>
  <c r="D42" i="3"/>
  <c r="E42" i="3"/>
  <c r="F42" i="3"/>
  <c r="G42" i="3"/>
  <c r="I42" i="3"/>
  <c r="J42" i="3"/>
  <c r="K42" i="3"/>
  <c r="L42" i="3"/>
  <c r="C45" i="3"/>
  <c r="D45" i="3"/>
  <c r="E45" i="3"/>
  <c r="F45" i="3"/>
  <c r="G45" i="3"/>
  <c r="I45" i="3"/>
  <c r="J45" i="3"/>
  <c r="K45" i="3"/>
  <c r="L45" i="3"/>
  <c r="C46" i="3"/>
  <c r="D46" i="3"/>
  <c r="E46" i="3"/>
  <c r="F46" i="3"/>
  <c r="G46" i="3"/>
  <c r="I46" i="3"/>
  <c r="J46" i="3"/>
  <c r="K46" i="3"/>
  <c r="L46" i="3"/>
  <c r="C47" i="3"/>
  <c r="D47" i="3"/>
  <c r="E47" i="3"/>
  <c r="F47" i="3"/>
  <c r="G47" i="3"/>
  <c r="I47" i="3"/>
  <c r="J47" i="3"/>
  <c r="K47" i="3"/>
  <c r="L47" i="3"/>
  <c r="C48" i="3"/>
  <c r="D48" i="3"/>
  <c r="E48" i="3"/>
  <c r="F48" i="3"/>
  <c r="G48" i="3"/>
  <c r="I48" i="3"/>
  <c r="J48" i="3"/>
  <c r="K48" i="3"/>
  <c r="L48" i="3"/>
  <c r="B18" i="3"/>
  <c r="I18" i="3"/>
  <c r="J18" i="3"/>
  <c r="L18" i="3"/>
  <c r="M18" i="3"/>
  <c r="C31" i="3"/>
  <c r="D31" i="3"/>
  <c r="E31" i="3"/>
  <c r="F31" i="3"/>
  <c r="F30" i="3" s="1"/>
  <c r="G31" i="3"/>
  <c r="I31" i="3"/>
  <c r="J31" i="3"/>
  <c r="J30" i="3" s="1"/>
  <c r="K31" i="3"/>
  <c r="K30" i="3" s="1"/>
  <c r="L31" i="3"/>
  <c r="M31" i="3"/>
  <c r="C26" i="3"/>
  <c r="D26" i="3"/>
  <c r="E26" i="3"/>
  <c r="F26" i="3"/>
  <c r="G26" i="3"/>
  <c r="I26" i="3"/>
  <c r="J26" i="3"/>
  <c r="K26" i="3"/>
  <c r="L26" i="3"/>
  <c r="M26" i="3"/>
  <c r="M25" i="3" s="1"/>
  <c r="E18" i="4"/>
  <c r="F18" i="4"/>
  <c r="K17" i="4"/>
  <c r="N17" i="4"/>
  <c r="O18" i="4"/>
  <c r="N18" i="3"/>
  <c r="N31" i="3"/>
  <c r="N26" i="3"/>
  <c r="P17" i="4"/>
  <c r="L6" i="3" l="1"/>
  <c r="N15" i="3"/>
  <c r="M30" i="3"/>
  <c r="I30" i="3"/>
  <c r="E25" i="3"/>
  <c r="N44" i="3"/>
  <c r="G38" i="3"/>
  <c r="M44" i="3"/>
  <c r="I6" i="3"/>
  <c r="D19" i="4"/>
  <c r="G25" i="3"/>
  <c r="C25" i="3"/>
  <c r="J5" i="3"/>
  <c r="I25" i="3"/>
  <c r="D25" i="3"/>
  <c r="L30" i="3"/>
  <c r="G30" i="3"/>
  <c r="N18" i="4"/>
  <c r="N25" i="3"/>
  <c r="F25" i="3"/>
  <c r="E6" i="3"/>
  <c r="E10" i="4"/>
  <c r="M9" i="4"/>
  <c r="H10" i="4"/>
  <c r="N19" i="4"/>
  <c r="O17" i="4"/>
  <c r="G6" i="3"/>
  <c r="D18" i="3"/>
  <c r="D15" i="3" s="1"/>
  <c r="D13" i="3" s="1"/>
  <c r="O30" i="3"/>
  <c r="O25" i="3"/>
  <c r="M18" i="4"/>
  <c r="O6" i="3"/>
  <c r="F6" i="3"/>
  <c r="C18" i="3"/>
  <c r="C15" i="3" s="1"/>
  <c r="D9" i="4"/>
  <c r="F19" i="4"/>
  <c r="K9" i="4"/>
  <c r="P18" i="4"/>
  <c r="L18" i="4"/>
  <c r="M17" i="4"/>
  <c r="F15" i="3"/>
  <c r="F13" i="3" s="1"/>
  <c r="I10" i="4"/>
  <c r="E30" i="3"/>
  <c r="M5" i="3"/>
  <c r="O13" i="4" s="1"/>
  <c r="L17" i="4"/>
  <c r="E18" i="3"/>
  <c r="E15" i="3" s="1"/>
  <c r="E13" i="3" s="1"/>
  <c r="M38" i="3"/>
  <c r="L44" i="3"/>
  <c r="J38" i="3"/>
  <c r="K38" i="3"/>
  <c r="D30" i="3"/>
  <c r="C30" i="3"/>
  <c r="G9" i="4"/>
  <c r="G19" i="4"/>
  <c r="G10" i="4"/>
  <c r="E5" i="3"/>
  <c r="G13" i="4" s="1"/>
  <c r="I15" i="3"/>
  <c r="I13" i="3" s="1"/>
  <c r="K12" i="4" s="1"/>
  <c r="I18" i="4"/>
  <c r="H17" i="4"/>
  <c r="B5" i="3"/>
  <c r="M6" i="3"/>
  <c r="D10" i="4"/>
  <c r="N30" i="3"/>
  <c r="H18" i="4"/>
  <c r="G17" i="4"/>
  <c r="C6" i="3"/>
  <c r="J25" i="3"/>
  <c r="F10" i="4"/>
  <c r="K18" i="4"/>
  <c r="I17" i="4"/>
  <c r="D5" i="3"/>
  <c r="F14" i="4" s="1"/>
  <c r="N6" i="3"/>
  <c r="L25" i="3"/>
  <c r="G18" i="4"/>
  <c r="F17" i="4"/>
  <c r="K18" i="3"/>
  <c r="K15" i="3" s="1"/>
  <c r="K13" i="3" s="1"/>
  <c r="K25" i="3"/>
  <c r="E17" i="4"/>
  <c r="J6" i="3"/>
  <c r="L15" i="3"/>
  <c r="L13" i="3" s="1"/>
  <c r="N10" i="4"/>
  <c r="D6" i="3"/>
  <c r="P9" i="4"/>
  <c r="L5" i="3"/>
  <c r="E44" i="3"/>
  <c r="G44" i="3"/>
  <c r="D44" i="3"/>
  <c r="O38" i="3"/>
  <c r="F44" i="3"/>
  <c r="C44" i="3"/>
  <c r="N38" i="3"/>
  <c r="I44" i="3"/>
  <c r="L38" i="3"/>
  <c r="K44" i="3"/>
  <c r="J44" i="3"/>
  <c r="D38" i="3"/>
  <c r="F38" i="3"/>
  <c r="C38" i="3"/>
  <c r="E38" i="3"/>
  <c r="I38" i="3"/>
  <c r="O44" i="3"/>
  <c r="O15" i="3"/>
  <c r="Q6" i="4" s="1"/>
  <c r="N13" i="3"/>
  <c r="G15" i="3"/>
  <c r="G13" i="3" s="1"/>
  <c r="M15" i="3"/>
  <c r="M13" i="3" s="1"/>
  <c r="J15" i="3"/>
  <c r="D17" i="4"/>
  <c r="B47" i="3"/>
  <c r="B46" i="3"/>
  <c r="B45" i="3"/>
  <c r="B42" i="3"/>
  <c r="B40" i="3"/>
  <c r="B39" i="3"/>
  <c r="B32" i="3"/>
  <c r="B31" i="3"/>
  <c r="B29" i="3"/>
  <c r="B28" i="3"/>
  <c r="B27" i="3"/>
  <c r="B26" i="3"/>
  <c r="B16" i="3"/>
  <c r="B10" i="3"/>
  <c r="G6" i="4" l="1"/>
  <c r="H3" i="4"/>
  <c r="F6" i="4"/>
  <c r="K5" i="4"/>
  <c r="O19" i="4"/>
  <c r="O10" i="4"/>
  <c r="L9" i="4"/>
  <c r="K19" i="4"/>
  <c r="L10" i="4"/>
  <c r="K10" i="4"/>
  <c r="F5" i="3"/>
  <c r="H9" i="4"/>
  <c r="L19" i="4"/>
  <c r="O14" i="4"/>
  <c r="I5" i="3"/>
  <c r="K4" i="4" s="1"/>
  <c r="N4" i="4"/>
  <c r="M10" i="4"/>
  <c r="G5" i="3"/>
  <c r="I6" i="4" s="1"/>
  <c r="I9" i="4"/>
  <c r="K5" i="3"/>
  <c r="M6" i="4" s="1"/>
  <c r="M19" i="4"/>
  <c r="E9" i="4"/>
  <c r="N6" i="4"/>
  <c r="N12" i="4"/>
  <c r="F9" i="4"/>
  <c r="C5" i="3"/>
  <c r="E14" i="4" s="1"/>
  <c r="E19" i="4"/>
  <c r="O9" i="4"/>
  <c r="N9" i="4"/>
  <c r="O6" i="4"/>
  <c r="I14" i="3"/>
  <c r="K3" i="4"/>
  <c r="G14" i="4"/>
  <c r="I3" i="4"/>
  <c r="N13" i="4"/>
  <c r="N14" i="4"/>
  <c r="P19" i="4"/>
  <c r="N5" i="3"/>
  <c r="P4" i="4" s="1"/>
  <c r="P10" i="4"/>
  <c r="N14" i="3"/>
  <c r="P3" i="4"/>
  <c r="D14" i="3"/>
  <c r="F3" i="4"/>
  <c r="F13" i="4"/>
  <c r="E14" i="3"/>
  <c r="G3" i="4"/>
  <c r="L14" i="3"/>
  <c r="N3" i="4"/>
  <c r="N5" i="4"/>
  <c r="L14" i="4"/>
  <c r="L13" i="4"/>
  <c r="M5" i="4"/>
  <c r="M3" i="4"/>
  <c r="O5" i="4"/>
  <c r="O3" i="4"/>
  <c r="O13" i="3"/>
  <c r="F12" i="4"/>
  <c r="F4" i="4"/>
  <c r="P12" i="4"/>
  <c r="G12" i="4"/>
  <c r="P5" i="4"/>
  <c r="G4" i="4"/>
  <c r="G5" i="4"/>
  <c r="F5" i="4"/>
  <c r="J13" i="3"/>
  <c r="L3" i="4" s="1"/>
  <c r="L6" i="4"/>
  <c r="K14" i="3"/>
  <c r="M12" i="4"/>
  <c r="C13" i="3"/>
  <c r="F14" i="3"/>
  <c r="H5" i="4"/>
  <c r="H12" i="4"/>
  <c r="G14" i="3"/>
  <c r="I12" i="4"/>
  <c r="I5" i="4"/>
  <c r="M14" i="3"/>
  <c r="O12" i="4"/>
  <c r="H4" i="4"/>
  <c r="O4" i="4"/>
  <c r="B25" i="3"/>
  <c r="B34" i="3"/>
  <c r="Q3" i="4" l="1"/>
  <c r="Q12" i="4"/>
  <c r="Q5" i="4"/>
  <c r="Q4" i="4"/>
  <c r="E3" i="4"/>
  <c r="E6" i="4"/>
  <c r="H14" i="4"/>
  <c r="H6" i="4"/>
  <c r="K6" i="4"/>
  <c r="K13" i="4"/>
  <c r="K14" i="4"/>
  <c r="H13" i="4"/>
  <c r="I4" i="4"/>
  <c r="E13" i="4"/>
  <c r="M14" i="4"/>
  <c r="M13" i="4"/>
  <c r="M4" i="4"/>
  <c r="I14" i="4"/>
  <c r="I13" i="4"/>
  <c r="P13" i="4"/>
  <c r="P6" i="4"/>
  <c r="P14" i="4"/>
  <c r="O14" i="3"/>
  <c r="J14" i="3"/>
  <c r="L12" i="4"/>
  <c r="L4" i="4"/>
  <c r="L5" i="4"/>
  <c r="C14" i="3"/>
  <c r="E4" i="4"/>
  <c r="E12" i="4"/>
  <c r="E5" i="4"/>
  <c r="D11" i="4"/>
  <c r="D18" i="4"/>
  <c r="B35" i="3"/>
  <c r="B15" i="3"/>
  <c r="B41" i="3"/>
  <c r="B38" i="3" s="1"/>
  <c r="B30" i="3"/>
  <c r="B6" i="3"/>
  <c r="B48" i="3" l="1"/>
  <c r="B44" i="3" s="1"/>
  <c r="B13" i="3"/>
  <c r="D6" i="4" s="1"/>
  <c r="D15" i="4"/>
  <c r="D13" i="4"/>
  <c r="D16" i="4"/>
  <c r="D3" i="4" l="1"/>
  <c r="D4" i="4"/>
  <c r="D14" i="4"/>
  <c r="B14" i="3"/>
  <c r="D5" i="4"/>
  <c r="D12" i="4"/>
</calcChain>
</file>

<file path=xl/sharedStrings.xml><?xml version="1.0" encoding="utf-8"?>
<sst xmlns="http://schemas.openxmlformats.org/spreadsheetml/2006/main" count="294" uniqueCount="188">
  <si>
    <t>KIPSIGIS EDIS SACCO SOCIETY</t>
  </si>
  <si>
    <t xml:space="preserve"> STATEMENT OF FINANCIAL POSITION</t>
  </si>
  <si>
    <t>FINANCIAL YEAR  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</si>
  <si>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</si>
  <si>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</si>
  <si>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</si>
  <si>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</si>
  <si>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</si>
  <si>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</si>
  <si>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</si>
  <si>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</si>
  <si>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</si>
  <si>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</si>
  <si>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</si>
  <si>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</si>
  <si>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Aud-21</t>
  </si>
  <si>
    <t>Audited 2022</t>
  </si>
  <si>
    <t>Cash &amp; Cash Equivalent</t>
  </si>
  <si>
    <t>Cash in hand(both local and foreign notes and coins)</t>
  </si>
  <si>
    <t>Cash at bank:(placement with financial institutions)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</si>
  <si>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</si>
  <si>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</si>
  <si>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</si>
  <si>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</si>
  <si>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3.3a</t>
  </si>
  <si>
    <t>Balances with other SACCO Societies</t>
  </si>
  <si>
    <t>3.3b</t>
  </si>
  <si>
    <t xml:space="preserve">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</si>
  <si>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</si>
  <si>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</si>
  <si>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</si>
  <si>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</si>
  <si>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</si>
  <si>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</si>
  <si>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</si>
  <si>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</si>
  <si>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</si>
  <si>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</si>
  <si>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</si>
  <si>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</si>
  <si>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</si>
  <si>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</si>
  <si>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</si>
  <si>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</si>
  <si>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</si>
  <si>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</si>
  <si>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</si>
  <si>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</si>
  <si>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</si>
  <si>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</si>
  <si>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</si>
  <si>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</si>
  <si>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</si>
  <si>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</si>
  <si>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</si>
  <si>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</si>
  <si>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</si>
  <si>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</si>
  <si>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</si>
  <si>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</si>
  <si>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</si>
  <si>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</si>
  <si>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</si>
  <si>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</si>
  <si>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</si>
  <si>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</si>
  <si>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</si>
  <si>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t>STATEMENT OF COMPREHENSIVE INCOME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</si>
  <si>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</si>
  <si>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</si>
  <si>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</si>
  <si>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</si>
  <si>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</si>
  <si>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</si>
  <si>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</si>
  <si>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</si>
  <si>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</si>
  <si>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</si>
  <si>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</si>
  <si>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</si>
  <si>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</si>
  <si>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</si>
  <si>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</si>
  <si>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</si>
  <si>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</si>
  <si>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</si>
  <si>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</si>
  <si>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</si>
  <si>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</si>
  <si>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</si>
  <si>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</si>
  <si>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</si>
  <si>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</si>
  <si>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</si>
  <si>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</si>
  <si>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</si>
  <si>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</si>
  <si>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</si>
  <si>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0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</si>
  <si>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</si>
  <si>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</si>
  <si>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</si>
  <si>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FORM 4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</si>
  <si>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</si>
  <si>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</si>
  <si>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</si>
  <si>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</si>
  <si>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</si>
  <si>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</si>
  <si>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</si>
  <si>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</si>
  <si>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</si>
  <si>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</si>
  <si>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</si>
  <si>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 xml:space="preserve">  -   </t>
  </si>
  <si>
    <t>NPL</t>
  </si>
  <si>
    <t>PAR</t>
  </si>
  <si>
    <t>Aud-2022</t>
  </si>
  <si>
    <t>KIPSIGIS EDIS SACCO FINANCIALS</t>
  </si>
  <si>
    <t>Year/month</t>
  </si>
  <si>
    <t>Aud-22</t>
  </si>
  <si>
    <t>Membership</t>
  </si>
  <si>
    <t>Total Deposits</t>
  </si>
  <si>
    <t>Deposits-Members(BOSA)</t>
  </si>
  <si>
    <t>Deposits-Customers(FOSA)</t>
  </si>
  <si>
    <t>Deposits-Term</t>
  </si>
  <si>
    <t>External Borrowing</t>
  </si>
  <si>
    <t>Share capital and Reserves</t>
  </si>
  <si>
    <t>Core Capital</t>
  </si>
  <si>
    <t>Institutional Capital</t>
  </si>
  <si>
    <t>Total Capital</t>
  </si>
  <si>
    <t>Members Share Capital</t>
  </si>
  <si>
    <t>Entrance Fees</t>
  </si>
  <si>
    <t>Appropriation Account</t>
  </si>
  <si>
    <t>Statutory Reserves</t>
  </si>
  <si>
    <t>Capital Reserves</t>
  </si>
  <si>
    <t>Supplementary Capital &amp; reserves</t>
  </si>
  <si>
    <t>Benevolent  Fund</t>
  </si>
  <si>
    <t>Investments</t>
  </si>
  <si>
    <t>Govt bills</t>
  </si>
  <si>
    <t xml:space="preserve"> Investments in naccos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</si>
  <si>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</si>
  <si>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</si>
  <si>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</si>
  <si>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</si>
  <si>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</si>
  <si>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</si>
  <si>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Property and Equipment</t>
  </si>
  <si>
    <t>Turnover</t>
  </si>
  <si>
    <t>Loan Interest</t>
  </si>
  <si>
    <t>Yield on loans</t>
  </si>
  <si>
    <t>Income from investments</t>
  </si>
  <si>
    <t>Fees &amp; Commissions</t>
  </si>
  <si>
    <t>Finanacial and Operating costs</t>
  </si>
  <si>
    <t>Interest expense on deposits</t>
  </si>
  <si>
    <t>Dividend expense on share capital</t>
  </si>
  <si>
    <t>Interest expense on borrowed funds</t>
  </si>
  <si>
    <t>Operating expenses</t>
  </si>
  <si>
    <t>Net Surplus</t>
  </si>
  <si>
    <t>KIPSIGIS EDIS SACCO CAELS 2020</t>
  </si>
  <si>
    <t>Regulatory Stds</t>
  </si>
  <si>
    <t xml:space="preserve">Jan </t>
  </si>
  <si>
    <t>CAPITAL ADEQUACY</t>
  </si>
  <si>
    <t>10 M</t>
  </si>
  <si>
    <t>CCA</t>
  </si>
  <si>
    <t>CCD</t>
  </si>
  <si>
    <t>ICA</t>
  </si>
  <si>
    <t>ASSET QUALITY</t>
  </si>
  <si>
    <t>A/LNPL30</t>
  </si>
  <si>
    <t>NPL30</t>
  </si>
  <si>
    <t>Non-earning Asset ratio</t>
  </si>
  <si>
    <t>Max 10%</t>
  </si>
  <si>
    <t>Land and Building ratio</t>
  </si>
  <si>
    <t>Max 5%</t>
  </si>
  <si>
    <t>EARNINGS</t>
  </si>
  <si>
    <t>Non-Government Investment to Deposit ratio</t>
  </si>
  <si>
    <t>Non-Government Investment to Core Capital ratio</t>
  </si>
  <si>
    <t>Max 40%</t>
  </si>
  <si>
    <t>Gross loans/TA</t>
  </si>
  <si>
    <t>ROA</t>
  </si>
  <si>
    <t>Cost Income ratio</t>
  </si>
  <si>
    <t>Operating Expense  ratio</t>
  </si>
  <si>
    <t>LIQUIDITY</t>
  </si>
  <si>
    <t>MIN LIQ ratio</t>
  </si>
  <si>
    <t>Min 15%</t>
  </si>
  <si>
    <t>Technical LIQ ratio</t>
  </si>
  <si>
    <t>External Borrowing ratio</t>
  </si>
  <si>
    <t>Max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</si>
</sst>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\-??_);_(@_)"/>
    <numFmt numFmtId="165" formatCode="0.0"/>
    <numFmt numFmtId="166" formatCode="_(* #,##0_);_(* \(#,##0\);_(* &quot;-&quot;??_);_(@_)"/>
    <numFmt numFmtId="167" formatCode="[$-10409]#,##0.00;\-\ #,##0.00"/>
    <numFmt numFmtId="168" formatCode="_(* #,##0.00_);_(* \(#,##0.00\);_(* \-??_);_(@_)"/>
    <numFmt numFmtId="169" formatCode="[$-10409]0.00;\-\ 0.00"/>
    <numFmt numFmtId="170" formatCode="0.0%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mbria"/>
      <family val="1"/>
    </font>
    <font>
      <b/>
      <sz val="10"/>
      <name val="Cambria"/>
      <family val="1"/>
    </font>
    <font>
      <sz val="10"/>
      <color indexed="8"/>
      <name val="Cambria"/>
      <family val="1"/>
    </font>
    <font>
      <sz val="10"/>
      <color rgb="FF000000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theme="1"/>
      <name val="Cambria"/>
      <family val="1"/>
    </font>
    <font>
      <i/>
      <sz val="10"/>
      <name val="Cambria"/>
      <family val="1"/>
    </font>
    <font>
      <b/>
      <sz val="10"/>
      <color indexed="8"/>
      <name val="Cambria"/>
      <family val="1"/>
    </font>
    <font>
      <b/>
      <sz val="11"/>
      <color theme="1"/>
      <name val="Cambria"/>
      <family val="1"/>
    </font>
    <font>
      <sz val="10"/>
      <color rgb="FF000000"/>
      <name val="Arial"/>
      <family val="2"/>
    </font>
    <font>
      <b/>
      <sz val="10"/>
      <color rgb="FF000000"/>
      <name val="Cambria"/>
      <family val="1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charset val="1"/>
    </font>
    <font>
      <sz val="9"/>
      <color indexed="8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0"/>
      </patternFill>
    </fill>
    <fill>
      <patternFill patternType="solid">
        <fgColor indexed="52"/>
        <bgColor indexed="51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A520"/>
        <bgColor rgb="FF000000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6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2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165" fontId="3" fillId="0" borderId="4" xfId="0" applyNumberFormat="1" applyFont="1" applyBorder="1" applyAlignment="1">
      <alignment horizontal="right"/>
    </xf>
    <xf numFmtId="0" fontId="3" fillId="0" borderId="5" xfId="0" applyFont="1" applyBorder="1"/>
    <xf numFmtId="166" fontId="4" fillId="5" borderId="1" xfId="1" applyNumberFormat="1" applyFont="1" applyFill="1" applyBorder="1"/>
    <xf numFmtId="167" fontId="5" fillId="0" borderId="3" xfId="0" applyNumberFormat="1" applyFont="1" applyBorder="1" applyAlignment="1" applyProtection="1">
      <alignment vertical="top" wrapText="1" readingOrder="1"/>
      <protection locked="0"/>
    </xf>
    <xf numFmtId="0" fontId="4" fillId="0" borderId="5" xfId="0" applyFont="1" applyBorder="1"/>
    <xf numFmtId="0" fontId="3" fillId="0" borderId="4" xfId="0" applyFont="1" applyBorder="1" applyAlignment="1">
      <alignment horizontal="right"/>
    </xf>
    <xf numFmtId="164" fontId="4" fillId="5" borderId="1" xfId="5" applyNumberFormat="1" applyFont="1" applyFill="1" applyBorder="1" applyAlignment="1" applyProtection="1"/>
    <xf numFmtId="169" fontId="5" fillId="0" borderId="3" xfId="0" applyNumberFormat="1" applyFont="1" applyBorder="1" applyAlignment="1" applyProtection="1">
      <alignment vertical="top" wrapText="1" readingOrder="1"/>
      <protection locked="0"/>
    </xf>
    <xf numFmtId="0" fontId="7" fillId="0" borderId="1" xfId="0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/>
    </xf>
    <xf numFmtId="0" fontId="7" fillId="0" borderId="0" xfId="0" applyFont="1"/>
    <xf numFmtId="0" fontId="9" fillId="0" borderId="0" xfId="0" applyFont="1"/>
    <xf numFmtId="17" fontId="8" fillId="6" borderId="1" xfId="0" applyNumberFormat="1" applyFont="1" applyFill="1" applyBorder="1"/>
    <xf numFmtId="0" fontId="8" fillId="0" borderId="0" xfId="0" applyFont="1"/>
    <xf numFmtId="9" fontId="7" fillId="0" borderId="1" xfId="2" applyFont="1" applyBorder="1"/>
    <xf numFmtId="170" fontId="7" fillId="0" borderId="1" xfId="2" applyNumberFormat="1" applyFont="1" applyBorder="1"/>
    <xf numFmtId="9" fontId="7" fillId="0" borderId="1" xfId="2" applyFont="1" applyBorder="1" applyAlignment="1"/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 applyAlignment="1">
      <alignment wrapText="1"/>
    </xf>
    <xf numFmtId="0" fontId="3" fillId="0" borderId="1" xfId="0" applyFont="1" applyBorder="1"/>
    <xf numFmtId="0" fontId="4" fillId="0" borderId="6" xfId="0" applyFont="1" applyBorder="1" applyAlignment="1">
      <alignment wrapText="1"/>
    </xf>
    <xf numFmtId="43" fontId="4" fillId="7" borderId="1" xfId="1" applyFont="1" applyFill="1" applyBorder="1" applyAlignment="1" applyProtection="1"/>
    <xf numFmtId="0" fontId="3" fillId="0" borderId="6" xfId="0" applyFont="1" applyBorder="1" applyAlignment="1">
      <alignment wrapText="1"/>
    </xf>
    <xf numFmtId="43" fontId="4" fillId="9" borderId="1" xfId="1" applyFont="1" applyFill="1" applyBorder="1" applyAlignment="1"/>
    <xf numFmtId="0" fontId="3" fillId="0" borderId="6" xfId="0" applyFont="1" applyBorder="1"/>
    <xf numFmtId="43" fontId="4" fillId="5" borderId="1" xfId="1" applyFont="1" applyFill="1" applyBorder="1" applyAlignment="1" applyProtection="1"/>
    <xf numFmtId="43" fontId="3" fillId="9" borderId="1" xfId="1" applyFont="1" applyFill="1" applyBorder="1" applyAlignment="1"/>
    <xf numFmtId="0" fontId="8" fillId="0" borderId="0" xfId="161" applyFont="1"/>
    <xf numFmtId="0" fontId="8" fillId="0" borderId="2" xfId="161" applyFont="1" applyBorder="1"/>
    <xf numFmtId="43" fontId="8" fillId="0" borderId="8" xfId="162" applyFont="1" applyFill="1" applyBorder="1"/>
    <xf numFmtId="3" fontId="3" fillId="0" borderId="9" xfId="161" applyNumberFormat="1" applyFont="1" applyBorder="1"/>
    <xf numFmtId="0" fontId="3" fillId="0" borderId="9" xfId="161" applyFont="1" applyBorder="1"/>
    <xf numFmtId="43" fontId="7" fillId="2" borderId="1" xfId="1" applyFont="1" applyFill="1" applyBorder="1"/>
    <xf numFmtId="0" fontId="4" fillId="0" borderId="9" xfId="161" applyFont="1" applyBorder="1"/>
    <xf numFmtId="43" fontId="8" fillId="2" borderId="1" xfId="1" applyFont="1" applyFill="1" applyBorder="1"/>
    <xf numFmtId="0" fontId="7" fillId="0" borderId="9" xfId="161" applyFont="1" applyBorder="1"/>
    <xf numFmtId="0" fontId="8" fillId="0" borderId="9" xfId="161" applyFont="1" applyBorder="1"/>
    <xf numFmtId="9" fontId="3" fillId="0" borderId="9" xfId="163" applyFont="1" applyFill="1" applyBorder="1"/>
    <xf numFmtId="43" fontId="4" fillId="2" borderId="1" xfId="1" applyFont="1" applyFill="1" applyBorder="1"/>
    <xf numFmtId="43" fontId="3" fillId="2" borderId="1" xfId="1" applyFont="1" applyFill="1" applyBorder="1"/>
    <xf numFmtId="0" fontId="3" fillId="0" borderId="10" xfId="161" applyFont="1" applyBorder="1"/>
    <xf numFmtId="0" fontId="3" fillId="0" borderId="0" xfId="161" applyFont="1"/>
    <xf numFmtId="0" fontId="8" fillId="6" borderId="2" xfId="0" applyFont="1" applyFill="1" applyBorder="1"/>
    <xf numFmtId="0" fontId="7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center" vertical="center" wrapText="1"/>
    </xf>
    <xf numFmtId="166" fontId="7" fillId="0" borderId="12" xfId="1" applyNumberFormat="1" applyFont="1" applyBorder="1"/>
    <xf numFmtId="0" fontId="7" fillId="0" borderId="15" xfId="0" applyFont="1" applyBorder="1" applyAlignment="1">
      <alignment horizontal="left" vertical="top" wrapText="1"/>
    </xf>
    <xf numFmtId="9" fontId="7" fillId="0" borderId="15" xfId="0" applyNumberFormat="1" applyFont="1" applyBorder="1" applyAlignment="1">
      <alignment horizontal="center" vertical="center" wrapText="1"/>
    </xf>
    <xf numFmtId="170" fontId="7" fillId="0" borderId="15" xfId="2" applyNumberFormat="1" applyFont="1" applyBorder="1"/>
    <xf numFmtId="0" fontId="7" fillId="0" borderId="12" xfId="0" applyFont="1" applyBorder="1"/>
    <xf numFmtId="0" fontId="7" fillId="0" borderId="15" xfId="0" applyFont="1" applyBorder="1" applyAlignment="1">
      <alignment horizontal="center" vertical="center" wrapText="1"/>
    </xf>
    <xf numFmtId="9" fontId="7" fillId="0" borderId="15" xfId="2" applyFont="1" applyBorder="1"/>
    <xf numFmtId="0" fontId="7" fillId="0" borderId="12" xfId="0" applyFont="1" applyBorder="1" applyAlignment="1">
      <alignment horizontal="center" vertical="center"/>
    </xf>
    <xf numFmtId="9" fontId="7" fillId="0" borderId="12" xfId="2" applyFont="1" applyBorder="1" applyAlignment="1"/>
    <xf numFmtId="0" fontId="7" fillId="0" borderId="15" xfId="0" applyFont="1" applyBorder="1" applyAlignment="1">
      <alignment horizontal="left" vertical="top"/>
    </xf>
    <xf numFmtId="9" fontId="7" fillId="0" borderId="12" xfId="2" applyFont="1" applyBorder="1"/>
    <xf numFmtId="0" fontId="4" fillId="0" borderId="1" xfId="0" applyFont="1" applyBorder="1"/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167" fontId="5" fillId="8" borderId="3" xfId="0" applyNumberFormat="1" applyFont="1" applyFill="1" applyBorder="1" applyAlignment="1" applyProtection="1">
      <alignment vertical="top" wrapText="1" readingOrder="1"/>
      <protection locked="0"/>
    </xf>
    <xf numFmtId="0" fontId="11" fillId="3" borderId="3" xfId="0" applyFont="1" applyFill="1" applyBorder="1" applyAlignment="1" applyProtection="1">
      <alignment vertical="top" wrapText="1" readingOrder="1"/>
      <protection locked="0"/>
    </xf>
    <xf numFmtId="43" fontId="7" fillId="0" borderId="0" xfId="1" applyFont="1"/>
    <xf numFmtId="43" fontId="5" fillId="8" borderId="3" xfId="1" applyFont="1" applyFill="1" applyBorder="1" applyAlignment="1" applyProtection="1">
      <alignment vertical="top" wrapText="1" readingOrder="1"/>
      <protection locked="0"/>
    </xf>
    <xf numFmtId="43" fontId="5" fillId="0" borderId="3" xfId="1" applyFont="1" applyBorder="1" applyAlignment="1" applyProtection="1">
      <alignment vertical="top" wrapText="1" readingOrder="1"/>
      <protection locked="0"/>
    </xf>
    <xf numFmtId="0" fontId="11" fillId="3" borderId="16" xfId="0" applyFont="1" applyFill="1" applyBorder="1" applyAlignment="1" applyProtection="1">
      <alignment vertical="top" wrapText="1" readingOrder="1"/>
      <protection locked="0"/>
    </xf>
    <xf numFmtId="0" fontId="12" fillId="0" borderId="0" xfId="0" applyFont="1"/>
    <xf numFmtId="4" fontId="9" fillId="0" borderId="0" xfId="0" applyNumberFormat="1" applyFont="1"/>
    <xf numFmtId="9" fontId="9" fillId="0" borderId="0" xfId="0" applyNumberFormat="1" applyFont="1"/>
    <xf numFmtId="0" fontId="9" fillId="0" borderId="1" xfId="0" applyFont="1" applyBorder="1"/>
    <xf numFmtId="4" fontId="9" fillId="0" borderId="1" xfId="0" applyNumberFormat="1" applyFont="1" applyBorder="1"/>
    <xf numFmtId="9" fontId="9" fillId="0" borderId="1" xfId="0" applyNumberFormat="1" applyFont="1" applyBorder="1"/>
    <xf numFmtId="4" fontId="12" fillId="0" borderId="1" xfId="0" applyNumberFormat="1" applyFont="1" applyBorder="1"/>
    <xf numFmtId="0" fontId="12" fillId="0" borderId="1" xfId="0" applyFont="1" applyBorder="1"/>
    <xf numFmtId="164" fontId="4" fillId="4" borderId="1" xfId="5" applyNumberFormat="1" applyFont="1" applyFill="1" applyBorder="1" applyAlignment="1" applyProtection="1"/>
    <xf numFmtId="0" fontId="8" fillId="10" borderId="1" xfId="0" applyFont="1" applyFill="1" applyBorder="1"/>
    <xf numFmtId="43" fontId="5" fillId="8" borderId="16" xfId="1" applyFont="1" applyFill="1" applyBorder="1" applyAlignment="1" applyProtection="1">
      <alignment vertical="top" wrapText="1" readingOrder="1"/>
      <protection locked="0"/>
    </xf>
    <xf numFmtId="43" fontId="5" fillId="0" borderId="16" xfId="1" applyFont="1" applyBorder="1" applyAlignment="1" applyProtection="1">
      <alignment vertical="top" wrapText="1" readingOrder="1"/>
      <protection locked="0"/>
    </xf>
    <xf numFmtId="43" fontId="4" fillId="9" borderId="6" xfId="1" applyFont="1" applyFill="1" applyBorder="1" applyAlignment="1"/>
    <xf numFmtId="43" fontId="4" fillId="5" borderId="6" xfId="1" applyFont="1" applyFill="1" applyBorder="1" applyAlignment="1" applyProtection="1"/>
    <xf numFmtId="43" fontId="7" fillId="0" borderId="1" xfId="1" applyFont="1" applyBorder="1"/>
    <xf numFmtId="43" fontId="7" fillId="9" borderId="1" xfId="1" applyFont="1" applyFill="1" applyBorder="1"/>
    <xf numFmtId="43" fontId="8" fillId="9" borderId="1" xfId="1" applyFont="1" applyFill="1" applyBorder="1"/>
    <xf numFmtId="43" fontId="8" fillId="0" borderId="1" xfId="1" applyFont="1" applyBorder="1"/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9" fontId="7" fillId="0" borderId="2" xfId="2" applyFont="1" applyBorder="1"/>
    <xf numFmtId="0" fontId="7" fillId="0" borderId="1" xfId="0" applyFont="1" applyBorder="1"/>
    <xf numFmtId="9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17" fontId="12" fillId="0" borderId="0" xfId="0" applyNumberFormat="1" applyFont="1"/>
    <xf numFmtId="4" fontId="13" fillId="0" borderId="17" xfId="0" applyNumberFormat="1" applyFont="1" applyBorder="1" applyAlignment="1">
      <alignment wrapText="1" readingOrder="1"/>
    </xf>
    <xf numFmtId="0" fontId="13" fillId="0" borderId="18" xfId="0" applyFont="1" applyBorder="1" applyAlignment="1">
      <alignment wrapText="1" readingOrder="1"/>
    </xf>
    <xf numFmtId="4" fontId="13" fillId="0" borderId="18" xfId="0" applyNumberFormat="1" applyFont="1" applyBorder="1" applyAlignment="1">
      <alignment wrapText="1" readingOrder="1"/>
    </xf>
    <xf numFmtId="0" fontId="6" fillId="0" borderId="18" xfId="0" applyFont="1" applyBorder="1" applyAlignment="1">
      <alignment wrapText="1" readingOrder="1"/>
    </xf>
    <xf numFmtId="4" fontId="6" fillId="0" borderId="18" xfId="0" applyNumberFormat="1" applyFont="1" applyBorder="1" applyAlignment="1">
      <alignment wrapText="1" readingOrder="1"/>
    </xf>
    <xf numFmtId="4" fontId="14" fillId="12" borderId="19" xfId="0" applyNumberFormat="1" applyFont="1" applyFill="1" applyBorder="1" applyAlignment="1">
      <alignment wrapText="1" readingOrder="1"/>
    </xf>
    <xf numFmtId="4" fontId="6" fillId="12" borderId="19" xfId="0" applyNumberFormat="1" applyFont="1" applyFill="1" applyBorder="1" applyAlignment="1">
      <alignment wrapText="1" readingOrder="1"/>
    </xf>
    <xf numFmtId="4" fontId="6" fillId="0" borderId="19" xfId="0" applyNumberFormat="1" applyFont="1" applyBorder="1" applyAlignment="1">
      <alignment wrapText="1" readingOrder="1"/>
    </xf>
    <xf numFmtId="0" fontId="6" fillId="12" borderId="19" xfId="0" applyFont="1" applyFill="1" applyBorder="1" applyAlignment="1">
      <alignment wrapText="1" readingOrder="1"/>
    </xf>
    <xf numFmtId="0" fontId="6" fillId="0" borderId="19" xfId="0" applyFont="1" applyBorder="1" applyAlignment="1">
      <alignment wrapText="1" readingOrder="1"/>
    </xf>
    <xf numFmtId="4" fontId="14" fillId="13" borderId="19" xfId="0" applyNumberFormat="1" applyFont="1" applyFill="1" applyBorder="1" applyAlignment="1">
      <alignment wrapText="1" readingOrder="1"/>
    </xf>
    <xf numFmtId="43" fontId="4" fillId="7" borderId="6" xfId="1" applyFont="1" applyFill="1" applyBorder="1" applyAlignment="1" applyProtection="1"/>
    <xf numFmtId="43" fontId="7" fillId="0" borderId="6" xfId="1" applyFont="1" applyBorder="1"/>
    <xf numFmtId="43" fontId="7" fillId="9" borderId="6" xfId="1" applyFont="1" applyFill="1" applyBorder="1"/>
    <xf numFmtId="43" fontId="8" fillId="9" borderId="6" xfId="1" applyFont="1" applyFill="1" applyBorder="1"/>
    <xf numFmtId="43" fontId="8" fillId="11" borderId="6" xfId="1" applyFont="1" applyFill="1" applyBorder="1"/>
    <xf numFmtId="43" fontId="4" fillId="7" borderId="20" xfId="1" applyFont="1" applyFill="1" applyBorder="1" applyAlignment="1" applyProtection="1"/>
    <xf numFmtId="43" fontId="7" fillId="0" borderId="20" xfId="1" applyFont="1" applyBorder="1"/>
    <xf numFmtId="43" fontId="7" fillId="9" borderId="20" xfId="1" applyFont="1" applyFill="1" applyBorder="1"/>
    <xf numFmtId="43" fontId="8" fillId="9" borderId="20" xfId="1" applyFont="1" applyFill="1" applyBorder="1"/>
    <xf numFmtId="43" fontId="8" fillId="0" borderId="20" xfId="1" applyFont="1" applyBorder="1"/>
    <xf numFmtId="0" fontId="11" fillId="3" borderId="21" xfId="0" applyFont="1" applyFill="1" applyBorder="1" applyAlignment="1" applyProtection="1">
      <alignment vertical="top" wrapText="1" readingOrder="1"/>
      <protection locked="0"/>
    </xf>
    <xf numFmtId="16" fontId="7" fillId="0" borderId="0" xfId="0" applyNumberFormat="1" applyFont="1"/>
    <xf numFmtId="167" fontId="15" fillId="0" borderId="3" xfId="161" applyNumberFormat="1" applyFont="1" applyBorder="1" applyAlignment="1" applyProtection="1">
      <alignment vertical="top" wrapText="1" readingOrder="1"/>
      <protection locked="0"/>
    </xf>
    <xf numFmtId="169" fontId="15" fillId="0" borderId="3" xfId="161" applyNumberFormat="1" applyFont="1" applyBorder="1" applyAlignment="1" applyProtection="1">
      <alignment vertical="top" wrapText="1" readingOrder="1"/>
      <protection locked="0"/>
    </xf>
    <xf numFmtId="167" fontId="16" fillId="0" borderId="3" xfId="161" applyNumberFormat="1" applyFont="1" applyBorder="1" applyAlignment="1" applyProtection="1">
      <alignment vertical="top" wrapText="1" readingOrder="1"/>
      <protection locked="0"/>
    </xf>
    <xf numFmtId="167" fontId="16" fillId="8" borderId="3" xfId="161" applyNumberFormat="1" applyFont="1" applyFill="1" applyBorder="1" applyAlignment="1" applyProtection="1">
      <alignment vertical="top" wrapText="1" readingOrder="1"/>
      <protection locked="0"/>
    </xf>
    <xf numFmtId="16" fontId="9" fillId="0" borderId="0" xfId="0" applyNumberFormat="1" applyFont="1"/>
    <xf numFmtId="167" fontId="15" fillId="0" borderId="3" xfId="0" applyNumberFormat="1" applyFont="1" applyBorder="1" applyAlignment="1" applyProtection="1">
      <alignment vertical="top" wrapText="1" readingOrder="1"/>
      <protection locked="0"/>
    </xf>
    <xf numFmtId="167" fontId="17" fillId="0" borderId="3" xfId="0" applyNumberFormat="1" applyFont="1" applyBorder="1" applyAlignment="1" applyProtection="1">
      <alignment vertical="top" wrapText="1" readingOrder="1"/>
      <protection locked="0"/>
    </xf>
    <xf numFmtId="169" fontId="17" fillId="0" borderId="3" xfId="0" applyNumberFormat="1" applyFont="1" applyBorder="1" applyAlignment="1" applyProtection="1">
      <alignment vertical="top" wrapText="1" readingOrder="1"/>
      <protection locked="0"/>
    </xf>
    <xf numFmtId="167" fontId="18" fillId="8" borderId="3" xfId="0" applyNumberFormat="1" applyFont="1" applyFill="1" applyBorder="1" applyAlignment="1" applyProtection="1">
      <alignment vertical="top" wrapText="1" readingOrder="1"/>
      <protection locked="0"/>
    </xf>
    <xf numFmtId="167" fontId="18" fillId="0" borderId="3" xfId="0" applyNumberFormat="1" applyFont="1" applyBorder="1" applyAlignment="1" applyProtection="1">
      <alignment vertical="top" wrapText="1" readingOrder="1"/>
      <protection locked="0"/>
    </xf>
    <xf numFmtId="0" fontId="19" fillId="0" borderId="22" xfId="0" applyFont="1" applyBorder="1" applyAlignment="1">
      <alignment wrapText="1" readingOrder="1"/>
    </xf>
    <xf numFmtId="4" fontId="19" fillId="0" borderId="22" xfId="0" applyNumberFormat="1" applyFont="1" applyBorder="1" applyAlignment="1">
      <alignment wrapText="1" readingOrder="1"/>
    </xf>
    <xf numFmtId="0" fontId="19" fillId="0" borderId="23" xfId="0" applyFont="1" applyBorder="1" applyAlignment="1">
      <alignment wrapText="1" readingOrder="1"/>
    </xf>
    <xf numFmtId="4" fontId="19" fillId="0" borderId="23" xfId="0" applyNumberFormat="1" applyFont="1" applyBorder="1" applyAlignment="1">
      <alignment wrapText="1" readingOrder="1"/>
    </xf>
    <xf numFmtId="0" fontId="20" fillId="14" borderId="22" xfId="0" applyFont="1" applyFill="1" applyBorder="1" applyAlignment="1">
      <alignment wrapText="1" readingOrder="1"/>
    </xf>
    <xf numFmtId="4" fontId="20" fillId="14" borderId="22" xfId="0" applyNumberFormat="1" applyFont="1" applyFill="1" applyBorder="1" applyAlignment="1">
      <alignment wrapText="1" readingOrder="1"/>
    </xf>
    <xf numFmtId="0" fontId="20" fillId="0" borderId="23" xfId="0" applyFont="1" applyBorder="1" applyAlignment="1">
      <alignment wrapText="1" readingOrder="1"/>
    </xf>
    <xf numFmtId="4" fontId="20" fillId="0" borderId="23" xfId="0" applyNumberFormat="1" applyFont="1" applyBorder="1" applyAlignment="1">
      <alignment wrapText="1" readingOrder="1"/>
    </xf>
    <xf numFmtId="0" fontId="20" fillId="0" borderId="22" xfId="0" applyFont="1" applyBorder="1" applyAlignment="1">
      <alignment wrapText="1" readingOrder="1"/>
    </xf>
    <xf numFmtId="0" fontId="20" fillId="14" borderId="23" xfId="0" applyFont="1" applyFill="1" applyBorder="1" applyAlignment="1">
      <alignment wrapText="1" readingOrder="1"/>
    </xf>
    <xf numFmtId="4" fontId="20" fillId="0" borderId="22" xfId="0" applyNumberFormat="1" applyFont="1" applyBorder="1" applyAlignment="1">
      <alignment wrapText="1" readingOrder="1"/>
    </xf>
    <xf numFmtId="0" fontId="7" fillId="0" borderId="19" xfId="0" applyFont="1" applyBorder="1"/>
    <xf numFmtId="167" fontId="16" fillId="8" borderId="25" xfId="161" applyNumberFormat="1" applyFont="1" applyFill="1" applyBorder="1" applyAlignment="1" applyProtection="1">
      <alignment vertical="top" wrapText="1" readingOrder="1"/>
      <protection locked="0"/>
    </xf>
    <xf numFmtId="167" fontId="16" fillId="0" borderId="25" xfId="161" applyNumberFormat="1" applyFont="1" applyBorder="1" applyAlignment="1" applyProtection="1">
      <alignment vertical="top" wrapText="1" readingOrder="1"/>
      <protection locked="0"/>
    </xf>
    <xf numFmtId="43" fontId="3" fillId="9" borderId="24" xfId="1" applyFont="1" applyFill="1" applyBorder="1" applyAlignment="1"/>
    <xf numFmtId="43" fontId="8" fillId="15" borderId="2" xfId="1" applyFont="1" applyFill="1" applyBorder="1"/>
    <xf numFmtId="16" fontId="8" fillId="0" borderId="0" xfId="1" applyNumberFormat="1" applyFont="1"/>
    <xf numFmtId="16" fontId="8" fillId="0" borderId="0" xfId="0" applyNumberFormat="1" applyFont="1"/>
    <xf numFmtId="167" fontId="11" fillId="8" borderId="3" xfId="0" applyNumberFormat="1" applyFont="1" applyFill="1" applyBorder="1" applyAlignment="1" applyProtection="1">
      <alignment vertical="top" wrapText="1" readingOrder="1"/>
      <protection locked="0"/>
    </xf>
    <xf numFmtId="0" fontId="8" fillId="0" borderId="19" xfId="0" applyFont="1" applyBorder="1"/>
    <xf numFmtId="166" fontId="4" fillId="5" borderId="19" xfId="1" applyNumberFormat="1" applyFont="1" applyFill="1" applyBorder="1"/>
    <xf numFmtId="164" fontId="4" fillId="4" borderId="19" xfId="5" applyNumberFormat="1" applyFont="1" applyFill="1" applyBorder="1" applyAlignment="1" applyProtection="1"/>
    <xf numFmtId="167" fontId="5" fillId="0" borderId="19" xfId="0" applyNumberFormat="1" applyFont="1" applyBorder="1" applyAlignment="1" applyProtection="1">
      <alignment vertical="top" wrapText="1" readingOrder="1"/>
      <protection locked="0"/>
    </xf>
    <xf numFmtId="164" fontId="4" fillId="5" borderId="19" xfId="5" applyNumberFormat="1" applyFont="1" applyFill="1" applyBorder="1" applyAlignment="1" applyProtection="1"/>
    <xf numFmtId="166" fontId="4" fillId="5" borderId="24" xfId="1" applyNumberFormat="1" applyFont="1" applyFill="1" applyBorder="1"/>
    <xf numFmtId="4" fontId="0" fillId="0" borderId="0" xfId="0" applyNumberFormat="1"/>
    <xf numFmtId="43" fontId="7" fillId="0" borderId="19" xfId="0" applyNumberFormat="1" applyFont="1" applyBorder="1"/>
    <xf numFmtId="4" fontId="7" fillId="0" borderId="0" xfId="0" applyNumberFormat="1" applyFont="1"/>
    <xf numFmtId="0" fontId="19" fillId="0" borderId="18" xfId="0" applyFont="1" applyFill="1" applyBorder="1" applyAlignment="1">
      <alignment wrapText="1" readingOrder="1"/>
    </xf>
    <xf numFmtId="4" fontId="19" fillId="0" borderId="18" xfId="0" applyNumberFormat="1" applyFont="1" applyFill="1" applyBorder="1" applyAlignment="1">
      <alignment wrapText="1" readingOrder="1"/>
    </xf>
    <xf numFmtId="0" fontId="19" fillId="0" borderId="27" xfId="0" applyFont="1" applyFill="1" applyBorder="1" applyAlignment="1">
      <alignment wrapText="1" readingOrder="1"/>
    </xf>
    <xf numFmtId="4" fontId="19" fillId="0" borderId="27" xfId="0" applyNumberFormat="1" applyFont="1" applyFill="1" applyBorder="1" applyAlignment="1">
      <alignment wrapText="1" readingOrder="1"/>
    </xf>
    <xf numFmtId="0" fontId="19" fillId="12" borderId="18" xfId="0" applyFont="1" applyFill="1" applyBorder="1" applyAlignment="1">
      <alignment wrapText="1" readingOrder="1"/>
    </xf>
    <xf numFmtId="0" fontId="19" fillId="12" borderId="27" xfId="0" applyFont="1" applyFill="1" applyBorder="1" applyAlignment="1">
      <alignment wrapText="1" readingOrder="1"/>
    </xf>
    <xf numFmtId="4" fontId="20" fillId="12" borderId="17" xfId="0" applyNumberFormat="1" applyFont="1" applyFill="1" applyBorder="1" applyAlignment="1">
      <alignment wrapText="1" readingOrder="1"/>
    </xf>
    <xf numFmtId="4" fontId="20" fillId="12" borderId="26" xfId="0" applyNumberFormat="1" applyFont="1" applyFill="1" applyBorder="1" applyAlignment="1">
      <alignment wrapText="1" readingOrder="1"/>
    </xf>
    <xf numFmtId="0" fontId="20" fillId="12" borderId="18" xfId="0" applyFont="1" applyFill="1" applyBorder="1" applyAlignment="1">
      <alignment wrapText="1" readingOrder="1"/>
    </xf>
    <xf numFmtId="4" fontId="20" fillId="12" borderId="18" xfId="0" applyNumberFormat="1" applyFont="1" applyFill="1" applyBorder="1" applyAlignment="1">
      <alignment wrapText="1" readingOrder="1"/>
    </xf>
    <xf numFmtId="0" fontId="20" fillId="12" borderId="27" xfId="0" applyFont="1" applyFill="1" applyBorder="1" applyAlignment="1">
      <alignment wrapText="1" readingOrder="1"/>
    </xf>
    <xf numFmtId="4" fontId="20" fillId="12" borderId="27" xfId="0" applyNumberFormat="1" applyFont="1" applyFill="1" applyBorder="1" applyAlignment="1">
      <alignment wrapText="1" readingOrder="1"/>
    </xf>
    <xf numFmtId="0" fontId="20" fillId="0" borderId="18" xfId="0" applyFont="1" applyFill="1" applyBorder="1" applyAlignment="1">
      <alignment wrapText="1" readingOrder="1"/>
    </xf>
    <xf numFmtId="4" fontId="20" fillId="0" borderId="18" xfId="0" applyNumberFormat="1" applyFont="1" applyFill="1" applyBorder="1" applyAlignment="1">
      <alignment wrapText="1" readingOrder="1"/>
    </xf>
    <xf numFmtId="0" fontId="20" fillId="0" borderId="27" xfId="0" applyFont="1" applyFill="1" applyBorder="1" applyAlignment="1">
      <alignment wrapText="1" readingOrder="1"/>
    </xf>
    <xf numFmtId="4" fontId="20" fillId="0" borderId="27" xfId="0" applyNumberFormat="1" applyFont="1" applyFill="1" applyBorder="1" applyAlignment="1">
      <alignment wrapText="1" readingOrder="1"/>
    </xf>
    <xf numFmtId="16" fontId="7" fillId="0" borderId="0" xfId="0" applyNumberFormat="1" applyFont="1" applyAlignment="1">
      <alignment horizontal="right"/>
    </xf>
    <xf numFmtId="16" fontId="9" fillId="0" borderId="0" xfId="0" applyNumberFormat="1" applyFont="1" applyAlignment="1">
      <alignment horizontal="right"/>
    </xf>
    <xf numFmtId="170" fontId="9" fillId="0" borderId="0" xfId="0" applyNumberFormat="1" applyFont="1"/>
  </cellXfs>
  <cellStyles count="164">
    <cellStyle name="Comma" xfId="1" builtinId="3"/>
    <cellStyle name="Comma 10" xfId="5" xr:uid="{00000000-0005-0000-0000-000001000000}"/>
    <cellStyle name="Comma 10 10 2" xfId="3" xr:uid="{00000000-0005-0000-0000-000002000000}"/>
    <cellStyle name="Comma 18" xfId="4" xr:uid="{00000000-0005-0000-0000-000003000000}"/>
    <cellStyle name="Comma 369" xfId="162" xr:uid="{00000000-0005-0000-0000-000004000000}"/>
    <cellStyle name="Comma 375" xfId="37" xr:uid="{00000000-0005-0000-0000-000005000000}"/>
    <cellStyle name="Comma 376" xfId="57" xr:uid="{00000000-0005-0000-0000-000006000000}"/>
    <cellStyle name="Comma 380" xfId="86" xr:uid="{00000000-0005-0000-0000-000007000000}"/>
    <cellStyle name="Comma 398" xfId="6" xr:uid="{00000000-0005-0000-0000-000008000000}"/>
    <cellStyle name="Comma 399" xfId="13" xr:uid="{00000000-0005-0000-0000-000009000000}"/>
    <cellStyle name="Comma 400" xfId="19" xr:uid="{00000000-0005-0000-0000-00000A000000}"/>
    <cellStyle name="Comma 401" xfId="27" xr:uid="{00000000-0005-0000-0000-00000B000000}"/>
    <cellStyle name="Comma 402" xfId="35" xr:uid="{00000000-0005-0000-0000-00000C000000}"/>
    <cellStyle name="Comma 403" xfId="44" xr:uid="{00000000-0005-0000-0000-00000D000000}"/>
    <cellStyle name="Comma 404" xfId="52" xr:uid="{00000000-0005-0000-0000-00000E000000}"/>
    <cellStyle name="Comma 405" xfId="64" xr:uid="{00000000-0005-0000-0000-00000F000000}"/>
    <cellStyle name="Comma 406" xfId="74" xr:uid="{00000000-0005-0000-0000-000010000000}"/>
    <cellStyle name="Comma 407" xfId="84" xr:uid="{00000000-0005-0000-0000-000011000000}"/>
    <cellStyle name="Comma 408" xfId="93" xr:uid="{00000000-0005-0000-0000-000012000000}"/>
    <cellStyle name="Comma 409" xfId="102" xr:uid="{00000000-0005-0000-0000-000013000000}"/>
    <cellStyle name="Comma 410" xfId="111" xr:uid="{00000000-0005-0000-0000-000014000000}"/>
    <cellStyle name="Comma 412" xfId="121" xr:uid="{00000000-0005-0000-0000-000015000000}"/>
    <cellStyle name="Comma 413" xfId="133" xr:uid="{00000000-0005-0000-0000-000016000000}"/>
    <cellStyle name="Comma 414" xfId="151" xr:uid="{00000000-0005-0000-0000-000017000000}"/>
    <cellStyle name="Comma 415" xfId="142" xr:uid="{00000000-0005-0000-0000-000018000000}"/>
    <cellStyle name="Comma 416" xfId="110" xr:uid="{00000000-0005-0000-0000-000019000000}"/>
    <cellStyle name="Comma 417" xfId="119" xr:uid="{00000000-0005-0000-0000-00001A000000}"/>
    <cellStyle name="Comma 418" xfId="125" xr:uid="{00000000-0005-0000-0000-00001B000000}"/>
    <cellStyle name="Comma 419" xfId="132" xr:uid="{00000000-0005-0000-0000-00001C000000}"/>
    <cellStyle name="Comma 420" xfId="141" xr:uid="{00000000-0005-0000-0000-00001D000000}"/>
    <cellStyle name="Comma 421" xfId="150" xr:uid="{00000000-0005-0000-0000-00001E000000}"/>
    <cellStyle name="Comma 422" xfId="159" xr:uid="{00000000-0005-0000-0000-00001F000000}"/>
    <cellStyle name="Comma 426" xfId="28" xr:uid="{00000000-0005-0000-0000-000020000000}"/>
    <cellStyle name="Comma 431" xfId="76" xr:uid="{00000000-0005-0000-0000-000021000000}"/>
    <cellStyle name="Comma 435" xfId="112" xr:uid="{00000000-0005-0000-0000-000022000000}"/>
    <cellStyle name="Comma 436" xfId="120" xr:uid="{00000000-0005-0000-0000-000023000000}"/>
    <cellStyle name="Comma 437" xfId="134" xr:uid="{00000000-0005-0000-0000-000024000000}"/>
    <cellStyle name="Comma 438" xfId="143" xr:uid="{00000000-0005-0000-0000-000025000000}"/>
    <cellStyle name="Comma 439" xfId="152" xr:uid="{00000000-0005-0000-0000-000026000000}"/>
    <cellStyle name="Comma 440" xfId="160" xr:uid="{00000000-0005-0000-0000-000027000000}"/>
    <cellStyle name="Comma 441" xfId="14" xr:uid="{00000000-0005-0000-0000-000028000000}"/>
    <cellStyle name="Comma 442" xfId="20" xr:uid="{00000000-0005-0000-0000-000029000000}"/>
    <cellStyle name="Comma 443" xfId="36" xr:uid="{00000000-0005-0000-0000-00002A000000}"/>
    <cellStyle name="Comma 444" xfId="45" xr:uid="{00000000-0005-0000-0000-00002B000000}"/>
    <cellStyle name="Comma 445" xfId="53" xr:uid="{00000000-0005-0000-0000-00002C000000}"/>
    <cellStyle name="Comma 446" xfId="65" xr:uid="{00000000-0005-0000-0000-00002D000000}"/>
    <cellStyle name="Comma 447" xfId="75" xr:uid="{00000000-0005-0000-0000-00002E000000}"/>
    <cellStyle name="Comma 448" xfId="85" xr:uid="{00000000-0005-0000-0000-00002F000000}"/>
    <cellStyle name="Comma 449" xfId="94" xr:uid="{00000000-0005-0000-0000-000030000000}"/>
    <cellStyle name="Comma 450" xfId="103" xr:uid="{00000000-0005-0000-0000-000031000000}"/>
    <cellStyle name="Normal" xfId="0" builtinId="0"/>
    <cellStyle name="Normal 385" xfId="161" xr:uid="{00000000-0005-0000-0000-000033000000}"/>
    <cellStyle name="Normal 392" xfId="54" xr:uid="{00000000-0005-0000-0000-000034000000}"/>
    <cellStyle name="Normal 393" xfId="66" xr:uid="{00000000-0005-0000-0000-000035000000}"/>
    <cellStyle name="Normal 394" xfId="67" xr:uid="{00000000-0005-0000-0000-000036000000}"/>
    <cellStyle name="Normal 395" xfId="77" xr:uid="{00000000-0005-0000-0000-000037000000}"/>
    <cellStyle name="Normal 398" xfId="95" xr:uid="{00000000-0005-0000-0000-000038000000}"/>
    <cellStyle name="Normal 417" xfId="104" xr:uid="{00000000-0005-0000-0000-000039000000}"/>
    <cellStyle name="Normal 418" xfId="113" xr:uid="{00000000-0005-0000-0000-00003A000000}"/>
    <cellStyle name="Normal 419" xfId="122" xr:uid="{00000000-0005-0000-0000-00003B000000}"/>
    <cellStyle name="Normal 420" xfId="126" xr:uid="{00000000-0005-0000-0000-00003C000000}"/>
    <cellStyle name="Normal 421" xfId="135" xr:uid="{00000000-0005-0000-0000-00003D000000}"/>
    <cellStyle name="Normal 422" xfId="144" xr:uid="{00000000-0005-0000-0000-00003E000000}"/>
    <cellStyle name="Normal 423" xfId="153" xr:uid="{00000000-0005-0000-0000-00003F000000}"/>
    <cellStyle name="Normal 424" xfId="16" xr:uid="{00000000-0005-0000-0000-000040000000}"/>
    <cellStyle name="Normal 425" xfId="7" xr:uid="{00000000-0005-0000-0000-000041000000}"/>
    <cellStyle name="Normal 426" xfId="21" xr:uid="{00000000-0005-0000-0000-000042000000}"/>
    <cellStyle name="Normal 427" xfId="29" xr:uid="{00000000-0005-0000-0000-000043000000}"/>
    <cellStyle name="Normal 428" xfId="38" xr:uid="{00000000-0005-0000-0000-000044000000}"/>
    <cellStyle name="Normal 429" xfId="46" xr:uid="{00000000-0005-0000-0000-000045000000}"/>
    <cellStyle name="Normal 430" xfId="58" xr:uid="{00000000-0005-0000-0000-000046000000}"/>
    <cellStyle name="Normal 431" xfId="68" xr:uid="{00000000-0005-0000-0000-000047000000}"/>
    <cellStyle name="Normal 432" xfId="78" xr:uid="{00000000-0005-0000-0000-000048000000}"/>
    <cellStyle name="Normal 433" xfId="87" xr:uid="{00000000-0005-0000-0000-000049000000}"/>
    <cellStyle name="Normal 434" xfId="96" xr:uid="{00000000-0005-0000-0000-00004A000000}"/>
    <cellStyle name="Normal 435" xfId="105" xr:uid="{00000000-0005-0000-0000-00004B000000}"/>
    <cellStyle name="Normal 436" xfId="114" xr:uid="{00000000-0005-0000-0000-00004C000000}"/>
    <cellStyle name="Normal 437" xfId="123" xr:uid="{00000000-0005-0000-0000-00004D000000}"/>
    <cellStyle name="Normal 438" xfId="127" xr:uid="{00000000-0005-0000-0000-00004E000000}"/>
    <cellStyle name="Normal 439" xfId="136" xr:uid="{00000000-0005-0000-0000-00004F000000}"/>
    <cellStyle name="Normal 440" xfId="145" xr:uid="{00000000-0005-0000-0000-000050000000}"/>
    <cellStyle name="Normal 441" xfId="154" xr:uid="{00000000-0005-0000-0000-000051000000}"/>
    <cellStyle name="Normal 442" xfId="8" xr:uid="{00000000-0005-0000-0000-000052000000}"/>
    <cellStyle name="Normal 443" xfId="22" xr:uid="{00000000-0005-0000-0000-000053000000}"/>
    <cellStyle name="Normal 444" xfId="30" xr:uid="{00000000-0005-0000-0000-000054000000}"/>
    <cellStyle name="Normal 445" xfId="39" xr:uid="{00000000-0005-0000-0000-000055000000}"/>
    <cellStyle name="Normal 446" xfId="47" xr:uid="{00000000-0005-0000-0000-000056000000}"/>
    <cellStyle name="Normal 447" xfId="59" xr:uid="{00000000-0005-0000-0000-000057000000}"/>
    <cellStyle name="Normal 448" xfId="69" xr:uid="{00000000-0005-0000-0000-000058000000}"/>
    <cellStyle name="Normal 449" xfId="79" xr:uid="{00000000-0005-0000-0000-000059000000}"/>
    <cellStyle name="Normal 450" xfId="88" xr:uid="{00000000-0005-0000-0000-00005A000000}"/>
    <cellStyle name="Normal 451" xfId="97" xr:uid="{00000000-0005-0000-0000-00005B000000}"/>
    <cellStyle name="Normal 452" xfId="106" xr:uid="{00000000-0005-0000-0000-00005C000000}"/>
    <cellStyle name="Normal 453" xfId="115" xr:uid="{00000000-0005-0000-0000-00005D000000}"/>
    <cellStyle name="Normal 454" xfId="124" xr:uid="{00000000-0005-0000-0000-00005E000000}"/>
    <cellStyle name="Normal 455" xfId="128" xr:uid="{00000000-0005-0000-0000-00005F000000}"/>
    <cellStyle name="Normal 456" xfId="137" xr:uid="{00000000-0005-0000-0000-000060000000}"/>
    <cellStyle name="Normal 457" xfId="146" xr:uid="{00000000-0005-0000-0000-000061000000}"/>
    <cellStyle name="Normal 458" xfId="155" xr:uid="{00000000-0005-0000-0000-000062000000}"/>
    <cellStyle name="Normal 459" xfId="107" xr:uid="{00000000-0005-0000-0000-000063000000}"/>
    <cellStyle name="Normal 460" xfId="116" xr:uid="{00000000-0005-0000-0000-000064000000}"/>
    <cellStyle name="Normal 461" xfId="129" xr:uid="{00000000-0005-0000-0000-000065000000}"/>
    <cellStyle name="Normal 462" xfId="138" xr:uid="{00000000-0005-0000-0000-000066000000}"/>
    <cellStyle name="Normal 463" xfId="147" xr:uid="{00000000-0005-0000-0000-000067000000}"/>
    <cellStyle name="Normal 464" xfId="156" xr:uid="{00000000-0005-0000-0000-000068000000}"/>
    <cellStyle name="Normal 465" xfId="9" xr:uid="{00000000-0005-0000-0000-000069000000}"/>
    <cellStyle name="Normal 466" xfId="23" xr:uid="{00000000-0005-0000-0000-00006A000000}"/>
    <cellStyle name="Normal 467" xfId="31" xr:uid="{00000000-0005-0000-0000-00006B000000}"/>
    <cellStyle name="Normal 468" xfId="40" xr:uid="{00000000-0005-0000-0000-00006C000000}"/>
    <cellStyle name="Normal 469" xfId="48" xr:uid="{00000000-0005-0000-0000-00006D000000}"/>
    <cellStyle name="Normal 470" xfId="60" xr:uid="{00000000-0005-0000-0000-00006E000000}"/>
    <cellStyle name="Normal 471" xfId="70" xr:uid="{00000000-0005-0000-0000-00006F000000}"/>
    <cellStyle name="Normal 472" xfId="80" xr:uid="{00000000-0005-0000-0000-000070000000}"/>
    <cellStyle name="Normal 473" xfId="89" xr:uid="{00000000-0005-0000-0000-000071000000}"/>
    <cellStyle name="Normal 474" xfId="98" xr:uid="{00000000-0005-0000-0000-000072000000}"/>
    <cellStyle name="Normal 477" xfId="117" xr:uid="{00000000-0005-0000-0000-000073000000}"/>
    <cellStyle name="Normal 478" xfId="130" xr:uid="{00000000-0005-0000-0000-000074000000}"/>
    <cellStyle name="Normal 479" xfId="139" xr:uid="{00000000-0005-0000-0000-000075000000}"/>
    <cellStyle name="Normal 480" xfId="148" xr:uid="{00000000-0005-0000-0000-000076000000}"/>
    <cellStyle name="Normal 481" xfId="157" xr:uid="{00000000-0005-0000-0000-000077000000}"/>
    <cellStyle name="Normal 485" xfId="10" xr:uid="{00000000-0005-0000-0000-000078000000}"/>
    <cellStyle name="Normal 486" xfId="24" xr:uid="{00000000-0005-0000-0000-000079000000}"/>
    <cellStyle name="Normal 487" xfId="32" xr:uid="{00000000-0005-0000-0000-00007A000000}"/>
    <cellStyle name="Normal 488" xfId="41" xr:uid="{00000000-0005-0000-0000-00007B000000}"/>
    <cellStyle name="Normal 489" xfId="49" xr:uid="{00000000-0005-0000-0000-00007C000000}"/>
    <cellStyle name="Normal 490" xfId="61" xr:uid="{00000000-0005-0000-0000-00007D000000}"/>
    <cellStyle name="Normal 491" xfId="71" xr:uid="{00000000-0005-0000-0000-00007E000000}"/>
    <cellStyle name="Normal 492" xfId="81" xr:uid="{00000000-0005-0000-0000-00007F000000}"/>
    <cellStyle name="Normal 493" xfId="90" xr:uid="{00000000-0005-0000-0000-000080000000}"/>
    <cellStyle name="Normal 494" xfId="99" xr:uid="{00000000-0005-0000-0000-000081000000}"/>
    <cellStyle name="Normal 495" xfId="108" xr:uid="{00000000-0005-0000-0000-000082000000}"/>
    <cellStyle name="Normal 496" xfId="11" xr:uid="{00000000-0005-0000-0000-000083000000}"/>
    <cellStyle name="Normal 497" xfId="25" xr:uid="{00000000-0005-0000-0000-000084000000}"/>
    <cellStyle name="Normal 498" xfId="33" xr:uid="{00000000-0005-0000-0000-000085000000}"/>
    <cellStyle name="Normal 499" xfId="42" xr:uid="{00000000-0005-0000-0000-000086000000}"/>
    <cellStyle name="Normal 500" xfId="50" xr:uid="{00000000-0005-0000-0000-000087000000}"/>
    <cellStyle name="Normal 501" xfId="62" xr:uid="{00000000-0005-0000-0000-000088000000}"/>
    <cellStyle name="Normal 502" xfId="72" xr:uid="{00000000-0005-0000-0000-000089000000}"/>
    <cellStyle name="Normal 503" xfId="82" xr:uid="{00000000-0005-0000-0000-00008A000000}"/>
    <cellStyle name="Normal 504" xfId="91" xr:uid="{00000000-0005-0000-0000-00008B000000}"/>
    <cellStyle name="Normal 505" xfId="100" xr:uid="{00000000-0005-0000-0000-00008C000000}"/>
    <cellStyle name="Normal 506" xfId="109" xr:uid="{00000000-0005-0000-0000-00008D000000}"/>
    <cellStyle name="Normal 507" xfId="118" xr:uid="{00000000-0005-0000-0000-00008E000000}"/>
    <cellStyle name="Normal 508" xfId="131" xr:uid="{00000000-0005-0000-0000-00008F000000}"/>
    <cellStyle name="Normal 509" xfId="140" xr:uid="{00000000-0005-0000-0000-000090000000}"/>
    <cellStyle name="Normal 510" xfId="149" xr:uid="{00000000-0005-0000-0000-000091000000}"/>
    <cellStyle name="Normal 511" xfId="158" xr:uid="{00000000-0005-0000-0000-000092000000}"/>
    <cellStyle name="Normal 513" xfId="12" xr:uid="{00000000-0005-0000-0000-000093000000}"/>
    <cellStyle name="Normal 514" xfId="26" xr:uid="{00000000-0005-0000-0000-000094000000}"/>
    <cellStyle name="Normal 515" xfId="34" xr:uid="{00000000-0005-0000-0000-000095000000}"/>
    <cellStyle name="Normal 516" xfId="43" xr:uid="{00000000-0005-0000-0000-000096000000}"/>
    <cellStyle name="Normal 517" xfId="51" xr:uid="{00000000-0005-0000-0000-000097000000}"/>
    <cellStyle name="Normal 518" xfId="63" xr:uid="{00000000-0005-0000-0000-000098000000}"/>
    <cellStyle name="Normal 519" xfId="73" xr:uid="{00000000-0005-0000-0000-000099000000}"/>
    <cellStyle name="Normal 520" xfId="83" xr:uid="{00000000-0005-0000-0000-00009A000000}"/>
    <cellStyle name="Normal 521" xfId="92" xr:uid="{00000000-0005-0000-0000-00009B000000}"/>
    <cellStyle name="Normal 522" xfId="101" xr:uid="{00000000-0005-0000-0000-00009C000000}"/>
    <cellStyle name="Normal 527" xfId="17" xr:uid="{00000000-0005-0000-0000-00009D000000}"/>
    <cellStyle name="Normal 532" xfId="55" xr:uid="{00000000-0005-0000-0000-00009E000000}"/>
    <cellStyle name="Normal 569" xfId="18" xr:uid="{00000000-0005-0000-0000-00009F000000}"/>
    <cellStyle name="Normal 573" xfId="56" xr:uid="{00000000-0005-0000-0000-0000A0000000}"/>
    <cellStyle name="Normal 579" xfId="15" xr:uid="{00000000-0005-0000-0000-0000A1000000}"/>
    <cellStyle name="Per cent" xfId="2" builtinId="5"/>
    <cellStyle name="Percent 2 2" xfId="163" xr:uid="{00000000-0005-0000-0000-0000A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3"/>
  <sheetViews>
    <sheetView tabSelected="1" topLeftCell="A40" workbookViewId="0">
      <pane xSplit="2" topLeftCell="Y1" activePane="topRight" state="frozen"/>
      <selection pane="topRight" activeCell="AM16" sqref="AM16"/>
      <selection activeCell="A31" sqref="A31"/>
    </sheetView>
  </sheetViews>
  <sheetFormatPr defaultColWidth="9.140625" defaultRowHeight="13.15"/>
  <cols>
    <col min="1" max="1" width="5.42578125" style="18" bestFit="1" customWidth="1"/>
    <col min="2" max="2" width="47.28515625" style="18" bestFit="1" customWidth="1"/>
    <col min="3" max="7" width="15.42578125" style="18" customWidth="1"/>
    <col min="8" max="8" width="18.7109375" style="18" bestFit="1" customWidth="1"/>
    <col min="9" max="10" width="18.7109375" style="18" customWidth="1"/>
    <col min="11" max="11" width="18.7109375" style="18" bestFit="1" customWidth="1"/>
    <col min="12" max="13" width="18.7109375" style="18" customWidth="1"/>
    <col min="14" max="14" width="18.7109375" style="18" bestFit="1" customWidth="1"/>
    <col min="15" max="15" width="15.28515625" style="18" bestFit="1" customWidth="1"/>
    <col min="16" max="16" width="13.85546875" style="18" customWidth="1"/>
    <col min="17" max="21" width="13.85546875" style="73" customWidth="1"/>
    <col min="22" max="22" width="15.42578125" style="73" customWidth="1"/>
    <col min="23" max="23" width="13.85546875" style="18" customWidth="1"/>
    <col min="24" max="24" width="19.28515625" style="18" customWidth="1"/>
    <col min="25" max="26" width="14" style="18" customWidth="1"/>
    <col min="27" max="27" width="20.28515625" style="18" customWidth="1"/>
    <col min="28" max="28" width="16.140625" style="18" customWidth="1"/>
    <col min="29" max="29" width="9.140625" style="18"/>
    <col min="30" max="30" width="13.7109375" style="18" bestFit="1" customWidth="1"/>
    <col min="31" max="16384" width="9.140625" style="18"/>
  </cols>
  <sheetData>
    <row r="1" spans="1:30" ht="12.75">
      <c r="A1" s="1"/>
      <c r="B1" s="2" t="s">
        <v>0</v>
      </c>
      <c r="C1" s="3"/>
      <c r="D1" s="3"/>
      <c r="E1" s="3"/>
      <c r="F1" s="3"/>
      <c r="G1" s="3"/>
      <c r="Q1" s="73">
        <f>+V:V</f>
        <v>0</v>
      </c>
    </row>
    <row r="2" spans="1:30">
      <c r="A2" s="1"/>
      <c r="B2" s="4" t="s">
        <v>1</v>
      </c>
      <c r="C2" s="3"/>
      <c r="D2" s="3"/>
      <c r="E2" s="3"/>
      <c r="F2" s="3"/>
      <c r="G2" s="3"/>
    </row>
    <row r="3" spans="1:30" s="21" customFormat="1" ht="12.75">
      <c r="A3" s="5"/>
      <c r="B3" s="4" t="s">
        <v>2</v>
      </c>
      <c r="C3" s="4" t="s">
        <v>3</v>
      </c>
      <c r="D3" s="4" t="s">
        <v>4</v>
      </c>
      <c r="E3" s="67" t="s">
        <v>5</v>
      </c>
      <c r="F3" s="67" t="s">
        <v>6</v>
      </c>
      <c r="G3" s="67" t="s">
        <v>7</v>
      </c>
      <c r="H3" s="67" t="s">
        <v>8</v>
      </c>
      <c r="I3" s="67" t="s">
        <v>9</v>
      </c>
      <c r="J3" s="67" t="s">
        <v>10</v>
      </c>
      <c r="K3" s="67" t="s">
        <v>11</v>
      </c>
      <c r="L3" s="67" t="s">
        <v>12</v>
      </c>
      <c r="M3" s="67" t="s">
        <v>13</v>
      </c>
      <c r="N3" s="67" t="s">
        <v>14</v>
      </c>
      <c r="O3" s="67" t="s">
        <v>15</v>
      </c>
      <c r="P3" s="152">
        <v>44583</v>
      </c>
      <c r="Q3" s="151">
        <v>44614</v>
      </c>
      <c r="R3" s="152">
        <v>44642</v>
      </c>
      <c r="S3" s="151">
        <v>44673</v>
      </c>
      <c r="T3" s="152">
        <v>44703</v>
      </c>
      <c r="U3" s="151">
        <v>44734</v>
      </c>
      <c r="V3" s="152">
        <v>44764</v>
      </c>
      <c r="W3" s="151">
        <v>44795</v>
      </c>
      <c r="X3" s="151">
        <v>44826</v>
      </c>
      <c r="Y3" s="151">
        <v>44856</v>
      </c>
      <c r="Z3" s="151">
        <v>44887</v>
      </c>
      <c r="AA3" s="151">
        <v>44917</v>
      </c>
      <c r="AB3" s="154" t="s">
        <v>16</v>
      </c>
    </row>
    <row r="4" spans="1:30" ht="12.75" customHeight="1">
      <c r="A4" s="6">
        <v>1</v>
      </c>
      <c r="B4" s="7" t="s">
        <v>17</v>
      </c>
      <c r="C4" s="8">
        <f t="shared" ref="C4:AC4" si="0">C5+C6</f>
        <v>21869558.740000002</v>
      </c>
      <c r="D4" s="8">
        <f t="shared" si="0"/>
        <v>20393308.789999999</v>
      </c>
      <c r="E4" s="8">
        <f t="shared" si="0"/>
        <v>13152600.440000001</v>
      </c>
      <c r="F4" s="8">
        <f t="shared" si="0"/>
        <v>8085101.1399999997</v>
      </c>
      <c r="G4" s="8">
        <f t="shared" si="0"/>
        <v>5660346.5999999996</v>
      </c>
      <c r="H4" s="8">
        <f t="shared" si="0"/>
        <v>8033299.3499999996</v>
      </c>
      <c r="I4" s="8">
        <f t="shared" si="0"/>
        <v>5971670.1799999997</v>
      </c>
      <c r="J4" s="8">
        <f t="shared" si="0"/>
        <v>9141548.7599999998</v>
      </c>
      <c r="K4" s="8">
        <f t="shared" si="0"/>
        <v>5176524.76</v>
      </c>
      <c r="L4" s="8">
        <f>L5+L6</f>
        <v>4284011.7799999993</v>
      </c>
      <c r="M4" s="8">
        <f t="shared" si="0"/>
        <v>3766885.67</v>
      </c>
      <c r="N4" s="8">
        <f t="shared" si="0"/>
        <v>3928172.1799999997</v>
      </c>
      <c r="O4" s="8">
        <f t="shared" si="0"/>
        <v>9728438</v>
      </c>
      <c r="P4" s="8">
        <f t="shared" si="0"/>
        <v>9666594.2200000007</v>
      </c>
      <c r="Q4" s="8">
        <f t="shared" si="0"/>
        <v>8278673.0199999996</v>
      </c>
      <c r="R4" s="8">
        <f t="shared" si="0"/>
        <v>5257671.37</v>
      </c>
      <c r="S4" s="8">
        <f t="shared" si="0"/>
        <v>1871559.48</v>
      </c>
      <c r="T4" s="8">
        <f t="shared" si="0"/>
        <v>6465260.8199999994</v>
      </c>
      <c r="U4" s="8">
        <f t="shared" si="0"/>
        <v>9449244.1500000004</v>
      </c>
      <c r="V4" s="8">
        <f t="shared" si="0"/>
        <v>13051202.940000001</v>
      </c>
      <c r="W4" s="8">
        <f t="shared" si="0"/>
        <v>16037584.73</v>
      </c>
      <c r="X4" s="8">
        <f t="shared" si="0"/>
        <v>16570136.92</v>
      </c>
      <c r="Y4" s="8">
        <f t="shared" si="0"/>
        <v>8336075.8300000001</v>
      </c>
      <c r="Z4" s="8">
        <f t="shared" si="0"/>
        <v>10256807.33</v>
      </c>
      <c r="AA4" s="8">
        <f t="shared" si="0"/>
        <v>6939028.7299999995</v>
      </c>
      <c r="AB4" s="155">
        <f t="shared" si="0"/>
        <v>9010955</v>
      </c>
      <c r="AC4" s="155">
        <f t="shared" si="0"/>
        <v>0</v>
      </c>
    </row>
    <row r="5" spans="1:30" ht="15">
      <c r="A5" s="6">
        <v>1.1000000000000001</v>
      </c>
      <c r="B5" s="7" t="s">
        <v>18</v>
      </c>
      <c r="C5" s="9">
        <v>3547039.05</v>
      </c>
      <c r="D5" s="9">
        <v>2873262.05</v>
      </c>
      <c r="E5" s="9">
        <v>3617583.05</v>
      </c>
      <c r="F5" s="9">
        <v>2812329.05</v>
      </c>
      <c r="G5" s="9">
        <v>3355911.05</v>
      </c>
      <c r="H5" s="9">
        <v>2941444.05</v>
      </c>
      <c r="I5" s="106">
        <v>2735368.05</v>
      </c>
      <c r="J5" s="9">
        <v>3832464.05</v>
      </c>
      <c r="K5" s="9">
        <v>3233753.05</v>
      </c>
      <c r="L5" s="9">
        <v>3479163.05</v>
      </c>
      <c r="M5" s="9">
        <v>2703381.05</v>
      </c>
      <c r="N5" s="9">
        <v>425510.05</v>
      </c>
      <c r="O5" s="9">
        <v>474905</v>
      </c>
      <c r="P5" s="125">
        <v>933625.05</v>
      </c>
      <c r="Q5" s="125">
        <v>209945.05</v>
      </c>
      <c r="R5" s="125">
        <v>811794.05</v>
      </c>
      <c r="S5" s="125">
        <v>1316251.05</v>
      </c>
      <c r="T5" s="125">
        <v>1448677.05</v>
      </c>
      <c r="U5" s="125">
        <v>1268559.05</v>
      </c>
      <c r="V5" s="131">
        <v>415967.05</v>
      </c>
      <c r="W5" s="136">
        <v>1027703.05</v>
      </c>
      <c r="X5" s="164">
        <v>1124591.05</v>
      </c>
      <c r="Y5" s="166">
        <v>1231041.05</v>
      </c>
      <c r="Z5" s="166">
        <v>1753516.05</v>
      </c>
      <c r="AA5" s="166">
        <v>342812.05</v>
      </c>
      <c r="AB5" s="160">
        <v>342812</v>
      </c>
    </row>
    <row r="6" spans="1:30" ht="15">
      <c r="A6" s="6">
        <v>1.2</v>
      </c>
      <c r="B6" s="7" t="s">
        <v>19</v>
      </c>
      <c r="C6" s="9">
        <v>18322519.690000001</v>
      </c>
      <c r="D6" s="9">
        <v>17520046.739999998</v>
      </c>
      <c r="E6" s="9">
        <v>9535017.3900000006</v>
      </c>
      <c r="F6" s="9">
        <v>5272772.09</v>
      </c>
      <c r="G6" s="9">
        <v>2304435.5499999998</v>
      </c>
      <c r="H6" s="9">
        <v>5091855.3</v>
      </c>
      <c r="I6" s="106">
        <v>3236302.13</v>
      </c>
      <c r="J6" s="9">
        <v>5309084.71</v>
      </c>
      <c r="K6" s="9">
        <v>1942771.71</v>
      </c>
      <c r="L6" s="9">
        <v>804848.73</v>
      </c>
      <c r="M6" s="9">
        <v>1063504.6200000001</v>
      </c>
      <c r="N6" s="9">
        <v>3502662.13</v>
      </c>
      <c r="O6" s="9">
        <v>9253533</v>
      </c>
      <c r="P6" s="125">
        <v>8732969.1699999999</v>
      </c>
      <c r="Q6" s="125">
        <v>8068727.9699999997</v>
      </c>
      <c r="R6" s="125">
        <v>4445877.32</v>
      </c>
      <c r="S6" s="125">
        <v>555308.43000000005</v>
      </c>
      <c r="T6" s="125">
        <v>5016583.7699999996</v>
      </c>
      <c r="U6" s="125">
        <v>8180685.0999999996</v>
      </c>
      <c r="V6" s="131">
        <v>12635235.890000001</v>
      </c>
      <c r="W6" s="138">
        <v>15009881.68</v>
      </c>
      <c r="X6" s="164">
        <v>15445545.869999999</v>
      </c>
      <c r="Y6" s="166">
        <v>7105034.7800000003</v>
      </c>
      <c r="Z6" s="166">
        <v>8503291.2799999993</v>
      </c>
      <c r="AA6" s="166">
        <v>6596216.6799999997</v>
      </c>
      <c r="AB6" s="161">
        <f>9010955-342812</f>
        <v>8668143</v>
      </c>
      <c r="AD6" s="160"/>
    </row>
    <row r="7" spans="1:30" ht="15">
      <c r="A7" s="6">
        <v>2</v>
      </c>
      <c r="B7" s="10" t="s">
        <v>20</v>
      </c>
      <c r="C7" s="9">
        <v>8228625.46</v>
      </c>
      <c r="D7" s="9">
        <v>8166766.8099999996</v>
      </c>
      <c r="E7" s="9">
        <v>8109412.4699999997</v>
      </c>
      <c r="F7" s="9">
        <v>9162507.1999999993</v>
      </c>
      <c r="G7" s="9">
        <v>8765505.3300000001</v>
      </c>
      <c r="H7" s="9">
        <v>8495541.8499999996</v>
      </c>
      <c r="I7" s="106">
        <v>8435282.4600000009</v>
      </c>
      <c r="J7" s="9">
        <v>7382024.0199999996</v>
      </c>
      <c r="K7" s="9">
        <v>7545191.9000000004</v>
      </c>
      <c r="L7" s="9">
        <v>7554749.4800000004</v>
      </c>
      <c r="M7" s="9">
        <v>7870453.4199999999</v>
      </c>
      <c r="N7" s="9">
        <v>6759764.1100000003</v>
      </c>
      <c r="O7" s="9">
        <v>24569795</v>
      </c>
      <c r="P7" s="125">
        <v>7600054.5999999996</v>
      </c>
      <c r="Q7" s="125">
        <v>8474968.0199999996</v>
      </c>
      <c r="R7" s="125">
        <v>8475708.3800000008</v>
      </c>
      <c r="S7" s="125">
        <v>8542990.8800000008</v>
      </c>
      <c r="T7" s="125">
        <v>8069519</v>
      </c>
      <c r="U7" s="125">
        <v>7982954.9199999999</v>
      </c>
      <c r="V7" s="131">
        <v>8147430.1100000003</v>
      </c>
      <c r="W7" s="138">
        <v>10718178.039999999</v>
      </c>
      <c r="X7" s="164">
        <v>9863994.6600000001</v>
      </c>
      <c r="Y7" s="166">
        <v>10142079.66</v>
      </c>
      <c r="Z7" s="166">
        <v>11632055.16</v>
      </c>
      <c r="AA7" s="166">
        <v>11655613.99</v>
      </c>
      <c r="AB7" s="160">
        <v>30879703</v>
      </c>
      <c r="AD7" s="160"/>
    </row>
    <row r="8" spans="1:30" ht="15">
      <c r="A8" s="6">
        <v>3</v>
      </c>
      <c r="B8" s="10" t="s">
        <v>21</v>
      </c>
      <c r="C8" s="85">
        <f t="shared" ref="C8:AB8" si="1">SUM(C9:C12)</f>
        <v>6000</v>
      </c>
      <c r="D8" s="85">
        <f t="shared" si="1"/>
        <v>6000</v>
      </c>
      <c r="E8" s="85">
        <f t="shared" si="1"/>
        <v>6000</v>
      </c>
      <c r="F8" s="85">
        <f t="shared" si="1"/>
        <v>6000</v>
      </c>
      <c r="G8" s="85">
        <f t="shared" si="1"/>
        <v>6000</v>
      </c>
      <c r="H8" s="85">
        <f t="shared" si="1"/>
        <v>6000</v>
      </c>
      <c r="I8" s="85">
        <f t="shared" si="1"/>
        <v>6000</v>
      </c>
      <c r="J8" s="85">
        <f t="shared" si="1"/>
        <v>6000</v>
      </c>
      <c r="K8" s="85">
        <f t="shared" si="1"/>
        <v>6000</v>
      </c>
      <c r="L8" s="85">
        <f t="shared" si="1"/>
        <v>6000</v>
      </c>
      <c r="M8" s="85">
        <f t="shared" si="1"/>
        <v>6000</v>
      </c>
      <c r="N8" s="85">
        <f t="shared" si="1"/>
        <v>6000</v>
      </c>
      <c r="O8" s="85">
        <f t="shared" si="1"/>
        <v>6000</v>
      </c>
      <c r="P8" s="85">
        <f t="shared" si="1"/>
        <v>6000</v>
      </c>
      <c r="Q8" s="85">
        <f t="shared" si="1"/>
        <v>6000</v>
      </c>
      <c r="R8" s="85">
        <f t="shared" si="1"/>
        <v>6000</v>
      </c>
      <c r="S8" s="85">
        <f t="shared" si="1"/>
        <v>6000</v>
      </c>
      <c r="T8" s="85">
        <f t="shared" si="1"/>
        <v>6000</v>
      </c>
      <c r="U8" s="85">
        <f t="shared" si="1"/>
        <v>56000</v>
      </c>
      <c r="V8" s="85">
        <f t="shared" si="1"/>
        <v>56000</v>
      </c>
      <c r="W8" s="85">
        <f t="shared" si="1"/>
        <v>106000</v>
      </c>
      <c r="X8" s="85">
        <f t="shared" si="1"/>
        <v>106000</v>
      </c>
      <c r="Y8" s="85">
        <f t="shared" si="1"/>
        <v>106000</v>
      </c>
      <c r="Z8" s="85">
        <f t="shared" si="1"/>
        <v>106000</v>
      </c>
      <c r="AA8" s="85">
        <f t="shared" si="1"/>
        <v>106000</v>
      </c>
      <c r="AB8" s="156">
        <f t="shared" si="1"/>
        <v>106000</v>
      </c>
      <c r="AD8" s="160"/>
    </row>
    <row r="9" spans="1:30" ht="12.75">
      <c r="A9" s="6">
        <v>3.1</v>
      </c>
      <c r="B9" s="7" t="s">
        <v>22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105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/>
      <c r="P9" s="125">
        <v>0</v>
      </c>
      <c r="Q9" s="125">
        <v>0</v>
      </c>
      <c r="R9" s="125">
        <v>0</v>
      </c>
      <c r="S9" s="125">
        <v>0</v>
      </c>
      <c r="T9" s="125">
        <v>0</v>
      </c>
      <c r="U9" s="125">
        <v>0</v>
      </c>
      <c r="V9" s="131">
        <v>0</v>
      </c>
      <c r="W9" s="135">
        <v>0</v>
      </c>
      <c r="X9" s="163">
        <v>0</v>
      </c>
      <c r="Y9" s="165">
        <v>0</v>
      </c>
      <c r="Z9" s="165">
        <v>0</v>
      </c>
      <c r="AA9" s="165">
        <v>0</v>
      </c>
      <c r="AB9" s="146"/>
    </row>
    <row r="10" spans="1:30" ht="12.75">
      <c r="A10" s="6">
        <v>3.2</v>
      </c>
      <c r="B10" s="7" t="s">
        <v>23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105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/>
      <c r="P10" s="125">
        <v>0</v>
      </c>
      <c r="Q10" s="125">
        <v>0</v>
      </c>
      <c r="R10" s="125">
        <v>0</v>
      </c>
      <c r="S10" s="125">
        <v>0</v>
      </c>
      <c r="T10" s="125">
        <v>0</v>
      </c>
      <c r="U10" s="125">
        <v>0</v>
      </c>
      <c r="V10" s="131">
        <v>0</v>
      </c>
      <c r="W10" s="137">
        <v>0</v>
      </c>
      <c r="X10" s="163">
        <v>0</v>
      </c>
      <c r="Y10" s="165">
        <v>0</v>
      </c>
      <c r="Z10" s="165">
        <v>0</v>
      </c>
      <c r="AA10" s="165">
        <v>0</v>
      </c>
      <c r="AB10" s="146"/>
    </row>
    <row r="11" spans="1:30" ht="15">
      <c r="A11" s="6" t="s">
        <v>24</v>
      </c>
      <c r="B11" s="7" t="s">
        <v>25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5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6000</v>
      </c>
      <c r="P11" s="125">
        <v>0</v>
      </c>
      <c r="Q11" s="125">
        <v>0</v>
      </c>
      <c r="R11" s="125">
        <v>0</v>
      </c>
      <c r="S11" s="125">
        <v>0</v>
      </c>
      <c r="T11" s="125">
        <v>0</v>
      </c>
      <c r="U11" s="125">
        <v>0</v>
      </c>
      <c r="V11" s="131">
        <v>0</v>
      </c>
      <c r="W11" s="137">
        <v>0</v>
      </c>
      <c r="X11" s="163">
        <v>0</v>
      </c>
      <c r="Y11" s="165">
        <v>0</v>
      </c>
      <c r="Z11" s="165">
        <v>0</v>
      </c>
      <c r="AA11" s="165">
        <v>0</v>
      </c>
      <c r="AB11" s="160">
        <v>106000</v>
      </c>
    </row>
    <row r="12" spans="1:30" ht="12.75">
      <c r="A12" s="6" t="s">
        <v>26</v>
      </c>
      <c r="B12" s="7" t="s">
        <v>27</v>
      </c>
      <c r="C12" s="9">
        <v>6000</v>
      </c>
      <c r="D12" s="9">
        <v>6000</v>
      </c>
      <c r="E12" s="9">
        <v>6000</v>
      </c>
      <c r="F12" s="9">
        <v>6000</v>
      </c>
      <c r="G12" s="9">
        <v>6000</v>
      </c>
      <c r="H12" s="9">
        <v>6000</v>
      </c>
      <c r="I12" s="106">
        <v>6000</v>
      </c>
      <c r="J12" s="9">
        <v>6000</v>
      </c>
      <c r="K12" s="9">
        <v>6000</v>
      </c>
      <c r="L12" s="9">
        <v>6000</v>
      </c>
      <c r="M12" s="9">
        <v>6000</v>
      </c>
      <c r="N12" s="9">
        <v>6000</v>
      </c>
      <c r="O12" s="9"/>
      <c r="P12" s="125">
        <v>6000</v>
      </c>
      <c r="Q12" s="125">
        <v>6000</v>
      </c>
      <c r="R12" s="125">
        <v>6000</v>
      </c>
      <c r="S12" s="125">
        <v>6000</v>
      </c>
      <c r="T12" s="125">
        <v>6000</v>
      </c>
      <c r="U12" s="125">
        <v>56000</v>
      </c>
      <c r="V12" s="131">
        <v>56000</v>
      </c>
      <c r="W12" s="138">
        <v>106000</v>
      </c>
      <c r="X12" s="164">
        <v>106000</v>
      </c>
      <c r="Y12" s="166">
        <v>106000</v>
      </c>
      <c r="Z12" s="166">
        <v>106000</v>
      </c>
      <c r="AA12" s="166">
        <v>106000</v>
      </c>
      <c r="AB12" s="146"/>
    </row>
    <row r="13" spans="1:30" ht="12.75">
      <c r="A13" s="6">
        <v>4</v>
      </c>
      <c r="B13" s="10" t="s">
        <v>28</v>
      </c>
      <c r="C13" s="85">
        <f t="shared" ref="C13:AB13" si="2">C14-C15</f>
        <v>153661342.56</v>
      </c>
      <c r="D13" s="85">
        <f t="shared" si="2"/>
        <v>156185327.94</v>
      </c>
      <c r="E13" s="85">
        <f t="shared" si="2"/>
        <v>166038894.19999999</v>
      </c>
      <c r="F13" s="85">
        <f t="shared" si="2"/>
        <v>168667888.38999999</v>
      </c>
      <c r="G13" s="85">
        <f t="shared" si="2"/>
        <v>172444858.74000001</v>
      </c>
      <c r="H13" s="85">
        <f t="shared" si="2"/>
        <v>173776048.94999999</v>
      </c>
      <c r="I13" s="85">
        <f t="shared" si="2"/>
        <v>179886695.22999999</v>
      </c>
      <c r="J13" s="85">
        <f t="shared" si="2"/>
        <v>183630992.5</v>
      </c>
      <c r="K13" s="85">
        <f t="shared" si="2"/>
        <v>186892830.99000001</v>
      </c>
      <c r="L13" s="85">
        <f t="shared" si="2"/>
        <v>188392747.13999999</v>
      </c>
      <c r="M13" s="85">
        <f t="shared" si="2"/>
        <v>192101586.19999999</v>
      </c>
      <c r="N13" s="85">
        <f t="shared" si="2"/>
        <v>183838232.83000001</v>
      </c>
      <c r="O13" s="85">
        <f t="shared" si="2"/>
        <v>181921858</v>
      </c>
      <c r="P13" s="85">
        <f t="shared" si="2"/>
        <v>205143716.97999999</v>
      </c>
      <c r="Q13" s="85">
        <f t="shared" si="2"/>
        <v>205649494.50999999</v>
      </c>
      <c r="R13" s="85">
        <f t="shared" si="2"/>
        <v>202311042.35999998</v>
      </c>
      <c r="S13" s="85">
        <f t="shared" si="2"/>
        <v>200082922.19</v>
      </c>
      <c r="T13" s="85">
        <f t="shared" si="2"/>
        <v>207926089.91999999</v>
      </c>
      <c r="U13" s="85">
        <f t="shared" si="2"/>
        <v>204974419.44999999</v>
      </c>
      <c r="V13" s="85">
        <f t="shared" si="2"/>
        <v>208095328.31</v>
      </c>
      <c r="W13" s="85">
        <f t="shared" si="2"/>
        <v>209657252.97999999</v>
      </c>
      <c r="X13" s="85">
        <f t="shared" si="2"/>
        <v>210456549.68000001</v>
      </c>
      <c r="Y13" s="85">
        <f t="shared" si="2"/>
        <v>219669812.16</v>
      </c>
      <c r="Z13" s="85">
        <f t="shared" si="2"/>
        <v>218843598.78999999</v>
      </c>
      <c r="AA13" s="85">
        <f t="shared" si="2"/>
        <v>225108565.28999999</v>
      </c>
      <c r="AB13" s="156">
        <f t="shared" si="2"/>
        <v>214255208</v>
      </c>
    </row>
    <row r="14" spans="1:30" ht="15">
      <c r="A14" s="11">
        <v>4.0999999999999996</v>
      </c>
      <c r="B14" s="7" t="s">
        <v>29</v>
      </c>
      <c r="C14" s="9">
        <v>165021717.56</v>
      </c>
      <c r="D14" s="9">
        <v>167545702.94</v>
      </c>
      <c r="E14" s="9">
        <v>177399269.19999999</v>
      </c>
      <c r="F14" s="9">
        <v>180028263.38999999</v>
      </c>
      <c r="G14" s="9">
        <v>183805233.74000001</v>
      </c>
      <c r="H14" s="9">
        <v>185136423.94999999</v>
      </c>
      <c r="I14" s="106">
        <v>191247070.22999999</v>
      </c>
      <c r="J14" s="9">
        <v>194991367.5</v>
      </c>
      <c r="K14" s="9">
        <v>198253205.99000001</v>
      </c>
      <c r="L14" s="9">
        <v>199753122.13999999</v>
      </c>
      <c r="M14" s="9">
        <v>203461961.19999999</v>
      </c>
      <c r="N14" s="9">
        <v>196198607.83000001</v>
      </c>
      <c r="O14" s="9">
        <v>195282233</v>
      </c>
      <c r="P14" s="125">
        <v>206257081.97999999</v>
      </c>
      <c r="Q14" s="125">
        <v>207876224.50999999</v>
      </c>
      <c r="R14" s="125">
        <v>205651136.09999999</v>
      </c>
      <c r="S14" s="125">
        <v>204536380.19</v>
      </c>
      <c r="T14" s="125">
        <v>213492912.91999999</v>
      </c>
      <c r="U14" s="125">
        <v>211654609.44999999</v>
      </c>
      <c r="V14" s="131">
        <v>215888883.31</v>
      </c>
      <c r="W14" s="136">
        <v>218564172.97999999</v>
      </c>
      <c r="X14" s="164">
        <v>223816924.68000001</v>
      </c>
      <c r="Y14" s="166">
        <v>233030187.16</v>
      </c>
      <c r="Z14" s="166">
        <v>232203973.78999999</v>
      </c>
      <c r="AA14" s="166">
        <v>238468940.28999999</v>
      </c>
      <c r="AB14" s="161">
        <v>229615583</v>
      </c>
      <c r="AD14" s="160"/>
    </row>
    <row r="15" spans="1:30" ht="15">
      <c r="A15" s="11">
        <v>4.2</v>
      </c>
      <c r="B15" s="7" t="s">
        <v>30</v>
      </c>
      <c r="C15" s="9">
        <v>11360375</v>
      </c>
      <c r="D15" s="9">
        <v>11360375</v>
      </c>
      <c r="E15" s="9">
        <v>11360375</v>
      </c>
      <c r="F15" s="9">
        <v>11360375</v>
      </c>
      <c r="G15" s="9">
        <v>11360375</v>
      </c>
      <c r="H15" s="9">
        <v>11360375</v>
      </c>
      <c r="I15" s="106">
        <v>11360375</v>
      </c>
      <c r="J15" s="9">
        <v>11360375</v>
      </c>
      <c r="K15" s="9">
        <v>11360375</v>
      </c>
      <c r="L15" s="9">
        <v>11360375</v>
      </c>
      <c r="M15" s="9">
        <v>11360375</v>
      </c>
      <c r="N15" s="9">
        <v>12360375</v>
      </c>
      <c r="O15" s="9">
        <v>13360375</v>
      </c>
      <c r="P15" s="125">
        <v>1113365</v>
      </c>
      <c r="Q15" s="125">
        <v>2226730</v>
      </c>
      <c r="R15" s="125">
        <v>3340093.74</v>
      </c>
      <c r="S15" s="125">
        <v>4453458</v>
      </c>
      <c r="T15" s="125">
        <v>5566823</v>
      </c>
      <c r="U15" s="125">
        <v>6680190</v>
      </c>
      <c r="V15" s="131">
        <v>7793555</v>
      </c>
      <c r="W15" s="138">
        <v>8906920</v>
      </c>
      <c r="X15" s="164">
        <v>13360375</v>
      </c>
      <c r="Y15" s="166">
        <v>13360375</v>
      </c>
      <c r="Z15" s="166">
        <v>13360375</v>
      </c>
      <c r="AA15" s="166">
        <v>13360375</v>
      </c>
      <c r="AB15" s="161">
        <v>15360375</v>
      </c>
      <c r="AD15" s="160"/>
    </row>
    <row r="16" spans="1:30" ht="12.75">
      <c r="A16" s="6">
        <v>5</v>
      </c>
      <c r="B16" s="10" t="s">
        <v>31</v>
      </c>
      <c r="C16" s="71">
        <v>0</v>
      </c>
      <c r="D16" s="71">
        <v>0</v>
      </c>
      <c r="E16" s="153">
        <f>E17+E18+E19</f>
        <v>0</v>
      </c>
      <c r="F16" s="153">
        <f t="shared" ref="F16:AB16" si="3">F17+F18+F19</f>
        <v>0</v>
      </c>
      <c r="G16" s="153">
        <f t="shared" si="3"/>
        <v>0</v>
      </c>
      <c r="H16" s="153">
        <f t="shared" si="3"/>
        <v>0</v>
      </c>
      <c r="I16" s="153">
        <f t="shared" si="3"/>
        <v>0</v>
      </c>
      <c r="J16" s="153">
        <f t="shared" si="3"/>
        <v>0</v>
      </c>
      <c r="K16" s="153">
        <f t="shared" si="3"/>
        <v>0</v>
      </c>
      <c r="L16" s="153">
        <f t="shared" si="3"/>
        <v>0</v>
      </c>
      <c r="M16" s="153">
        <f t="shared" si="3"/>
        <v>0</v>
      </c>
      <c r="N16" s="153">
        <f t="shared" si="3"/>
        <v>0</v>
      </c>
      <c r="O16" s="153">
        <f t="shared" si="3"/>
        <v>0</v>
      </c>
      <c r="P16" s="153">
        <f t="shared" si="3"/>
        <v>0</v>
      </c>
      <c r="Q16" s="153">
        <f t="shared" si="3"/>
        <v>0</v>
      </c>
      <c r="R16" s="153">
        <f t="shared" si="3"/>
        <v>0</v>
      </c>
      <c r="S16" s="153">
        <f t="shared" si="3"/>
        <v>0</v>
      </c>
      <c r="T16" s="153">
        <f t="shared" si="3"/>
        <v>0</v>
      </c>
      <c r="U16" s="153">
        <f t="shared" si="3"/>
        <v>0</v>
      </c>
      <c r="V16" s="153">
        <f t="shared" si="3"/>
        <v>0</v>
      </c>
      <c r="W16" s="153">
        <f t="shared" si="3"/>
        <v>0</v>
      </c>
      <c r="X16" s="167">
        <v>0</v>
      </c>
      <c r="Y16" s="168">
        <v>0</v>
      </c>
      <c r="Z16" s="168">
        <v>0</v>
      </c>
      <c r="AA16" s="168">
        <v>0</v>
      </c>
      <c r="AB16" s="156">
        <f t="shared" si="3"/>
        <v>0</v>
      </c>
      <c r="AD16" s="162"/>
    </row>
    <row r="17" spans="1:30" ht="12.75">
      <c r="A17" s="11">
        <v>5.0999999999999996</v>
      </c>
      <c r="B17" s="7" t="s">
        <v>32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5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163">
        <v>0</v>
      </c>
      <c r="Y17" s="165">
        <v>0</v>
      </c>
      <c r="Z17" s="165">
        <v>0</v>
      </c>
      <c r="AA17" s="165">
        <v>0</v>
      </c>
      <c r="AB17" s="157">
        <v>0</v>
      </c>
    </row>
    <row r="18" spans="1:30" ht="12.75">
      <c r="A18" s="11">
        <v>5.2</v>
      </c>
      <c r="B18" s="7" t="s">
        <v>33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105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163">
        <v>0</v>
      </c>
      <c r="Y18" s="165">
        <v>0</v>
      </c>
      <c r="Z18" s="165">
        <v>0</v>
      </c>
      <c r="AA18" s="165">
        <v>0</v>
      </c>
      <c r="AB18" s="157">
        <v>0</v>
      </c>
    </row>
    <row r="19" spans="1:30" ht="12.75">
      <c r="A19" s="11">
        <v>5.3</v>
      </c>
      <c r="B19" s="7" t="s">
        <v>34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105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163">
        <v>0</v>
      </c>
      <c r="Y19" s="165">
        <v>0</v>
      </c>
      <c r="Z19" s="165">
        <v>0</v>
      </c>
      <c r="AA19" s="165">
        <v>0</v>
      </c>
      <c r="AB19" s="157">
        <v>0</v>
      </c>
    </row>
    <row r="20" spans="1:30" ht="12.75">
      <c r="A20" s="6">
        <v>6</v>
      </c>
      <c r="B20" s="10" t="s">
        <v>35</v>
      </c>
      <c r="C20" s="85">
        <f t="shared" ref="C20:AB20" si="4">SUM(C21:C25)</f>
        <v>4383284.5999999996</v>
      </c>
      <c r="D20" s="85">
        <f t="shared" si="4"/>
        <v>4388784.5999999996</v>
      </c>
      <c r="E20" s="85">
        <f t="shared" si="4"/>
        <v>4432424.5999999996</v>
      </c>
      <c r="F20" s="85">
        <f t="shared" si="4"/>
        <v>7706340.8799999999</v>
      </c>
      <c r="G20" s="85">
        <f t="shared" si="4"/>
        <v>4443024.5999999996</v>
      </c>
      <c r="H20" s="85">
        <f t="shared" si="4"/>
        <v>4466264.5999999996</v>
      </c>
      <c r="I20" s="85">
        <f t="shared" si="4"/>
        <v>4477609.5999999996</v>
      </c>
      <c r="J20" s="85">
        <f t="shared" si="4"/>
        <v>4488609.5999999996</v>
      </c>
      <c r="K20" s="85">
        <f t="shared" si="4"/>
        <v>5563539.5999999996</v>
      </c>
      <c r="L20" s="85">
        <f t="shared" si="4"/>
        <v>5589039.5999999996</v>
      </c>
      <c r="M20" s="85">
        <f t="shared" si="4"/>
        <v>6409039.5999999996</v>
      </c>
      <c r="N20" s="85">
        <f t="shared" si="4"/>
        <v>7123083.5999999996</v>
      </c>
      <c r="O20" s="85">
        <f t="shared" si="4"/>
        <v>6707831</v>
      </c>
      <c r="P20" s="85">
        <f t="shared" si="4"/>
        <v>7138938.5999999996</v>
      </c>
      <c r="Q20" s="85">
        <f t="shared" si="4"/>
        <v>7156638.5999999996</v>
      </c>
      <c r="R20" s="85">
        <f t="shared" si="4"/>
        <v>7365466.5999999996</v>
      </c>
      <c r="S20" s="85">
        <f t="shared" si="4"/>
        <v>7372906.5999999996</v>
      </c>
      <c r="T20" s="85">
        <f t="shared" si="4"/>
        <v>7378206.5999999996</v>
      </c>
      <c r="U20" s="85">
        <f t="shared" si="4"/>
        <v>7385476.5999999996</v>
      </c>
      <c r="V20" s="85">
        <f t="shared" si="4"/>
        <v>7427201.5999999996</v>
      </c>
      <c r="W20" s="85">
        <f t="shared" si="4"/>
        <v>6965519</v>
      </c>
      <c r="X20" s="85">
        <f t="shared" si="4"/>
        <v>6988519</v>
      </c>
      <c r="Y20" s="85">
        <f t="shared" si="4"/>
        <v>6988519</v>
      </c>
      <c r="Z20" s="85">
        <f t="shared" si="4"/>
        <v>6988519</v>
      </c>
      <c r="AA20" s="85">
        <f t="shared" si="4"/>
        <v>6988519</v>
      </c>
      <c r="AB20" s="156">
        <f t="shared" si="4"/>
        <v>6571511</v>
      </c>
    </row>
    <row r="21" spans="1:30" ht="12.75">
      <c r="A21" s="11">
        <v>6.1</v>
      </c>
      <c r="B21" s="7" t="s">
        <v>36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105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/>
      <c r="P21" s="125">
        <v>0</v>
      </c>
      <c r="Q21" s="125">
        <v>0</v>
      </c>
      <c r="R21" s="125">
        <v>0</v>
      </c>
      <c r="S21" s="125">
        <v>0</v>
      </c>
      <c r="T21" s="125">
        <v>0</v>
      </c>
      <c r="U21" s="125">
        <v>0</v>
      </c>
      <c r="V21" s="131">
        <v>0</v>
      </c>
      <c r="W21" s="135">
        <v>0</v>
      </c>
      <c r="X21" s="163">
        <v>0</v>
      </c>
      <c r="Y21" s="165">
        <v>0</v>
      </c>
      <c r="Z21" s="165">
        <v>0</v>
      </c>
      <c r="AA21" s="165">
        <v>0</v>
      </c>
      <c r="AB21" s="146"/>
    </row>
    <row r="22" spans="1:30" ht="15">
      <c r="A22" s="11">
        <v>6.2</v>
      </c>
      <c r="B22" s="7" t="s">
        <v>37</v>
      </c>
      <c r="C22" s="9">
        <v>2606642</v>
      </c>
      <c r="D22" s="9">
        <v>2606642</v>
      </c>
      <c r="E22" s="9">
        <v>2637642</v>
      </c>
      <c r="F22" s="9">
        <v>2637642</v>
      </c>
      <c r="G22" s="9">
        <v>2637642</v>
      </c>
      <c r="H22" s="9">
        <v>2637642</v>
      </c>
      <c r="I22" s="106">
        <v>2637642</v>
      </c>
      <c r="J22" s="9">
        <v>2637642</v>
      </c>
      <c r="K22" s="9">
        <v>3706622</v>
      </c>
      <c r="L22" s="9">
        <v>3723122</v>
      </c>
      <c r="M22" s="9">
        <v>4538122</v>
      </c>
      <c r="N22" s="9">
        <v>5724072</v>
      </c>
      <c r="O22" s="9">
        <v>5724072</v>
      </c>
      <c r="P22" s="125">
        <v>5740072</v>
      </c>
      <c r="Q22" s="125">
        <v>5752272</v>
      </c>
      <c r="R22" s="125">
        <v>5946760</v>
      </c>
      <c r="S22" s="125">
        <v>5946760</v>
      </c>
      <c r="T22" s="125">
        <v>5946760</v>
      </c>
      <c r="U22" s="125">
        <v>5946760</v>
      </c>
      <c r="V22" s="131">
        <v>5981760</v>
      </c>
      <c r="W22" s="138">
        <v>5981760</v>
      </c>
      <c r="X22" s="164">
        <v>6004760</v>
      </c>
      <c r="Y22" s="166">
        <v>6004760</v>
      </c>
      <c r="Z22" s="166">
        <v>6004760</v>
      </c>
      <c r="AA22" s="166">
        <v>6004760</v>
      </c>
      <c r="AB22" s="160">
        <v>5915639</v>
      </c>
    </row>
    <row r="23" spans="1:30" ht="12.75">
      <c r="A23" s="11">
        <v>6.3</v>
      </c>
      <c r="B23" s="7" t="s">
        <v>38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5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/>
      <c r="P23" s="125">
        <v>0</v>
      </c>
      <c r="Q23" s="125">
        <v>0</v>
      </c>
      <c r="R23" s="125">
        <v>0</v>
      </c>
      <c r="S23" s="125">
        <v>0</v>
      </c>
      <c r="T23" s="125">
        <v>0</v>
      </c>
      <c r="U23" s="125">
        <v>0</v>
      </c>
      <c r="V23" s="131">
        <v>0</v>
      </c>
      <c r="W23" s="137">
        <v>0</v>
      </c>
      <c r="X23" s="163">
        <v>0</v>
      </c>
      <c r="Y23" s="165">
        <v>0</v>
      </c>
      <c r="Z23" s="165">
        <v>0</v>
      </c>
      <c r="AA23" s="165">
        <v>0</v>
      </c>
      <c r="AB23" s="146"/>
    </row>
    <row r="24" spans="1:30" ht="15">
      <c r="A24" s="11">
        <v>6.4</v>
      </c>
      <c r="B24" s="7" t="s">
        <v>39</v>
      </c>
      <c r="C24" s="9">
        <v>1475565</v>
      </c>
      <c r="D24" s="9">
        <v>1475565</v>
      </c>
      <c r="E24" s="9">
        <v>1475565</v>
      </c>
      <c r="F24" s="9">
        <v>1475565</v>
      </c>
      <c r="G24" s="9">
        <v>1475565</v>
      </c>
      <c r="H24" s="9">
        <v>1475565</v>
      </c>
      <c r="I24" s="106">
        <v>1475565</v>
      </c>
      <c r="J24" s="9">
        <v>1475565</v>
      </c>
      <c r="K24" s="9">
        <v>1475565</v>
      </c>
      <c r="L24" s="9">
        <v>1475565</v>
      </c>
      <c r="M24" s="9">
        <v>1475565</v>
      </c>
      <c r="N24" s="9">
        <v>983759</v>
      </c>
      <c r="O24" s="9">
        <v>983759</v>
      </c>
      <c r="P24" s="125">
        <v>983759</v>
      </c>
      <c r="Q24" s="125">
        <v>983759</v>
      </c>
      <c r="R24" s="125">
        <v>983759</v>
      </c>
      <c r="S24" s="125">
        <v>983759</v>
      </c>
      <c r="T24" s="125">
        <v>983759</v>
      </c>
      <c r="U24" s="125">
        <v>983759</v>
      </c>
      <c r="V24" s="131">
        <v>983759</v>
      </c>
      <c r="W24" s="138">
        <v>983759</v>
      </c>
      <c r="X24" s="164">
        <v>983759</v>
      </c>
      <c r="Y24" s="166">
        <v>983759</v>
      </c>
      <c r="Z24" s="166">
        <v>983759</v>
      </c>
      <c r="AA24" s="166">
        <v>983759</v>
      </c>
      <c r="AB24" s="160">
        <v>655872</v>
      </c>
    </row>
    <row r="25" spans="1:30" ht="12.75">
      <c r="A25" s="11">
        <v>6.5</v>
      </c>
      <c r="B25" s="7" t="s">
        <v>40</v>
      </c>
      <c r="C25" s="9">
        <v>301077.59999999998</v>
      </c>
      <c r="D25" s="9">
        <v>306577.59999999998</v>
      </c>
      <c r="E25" s="9">
        <v>319217.59999999998</v>
      </c>
      <c r="F25" s="9">
        <v>3593133.88</v>
      </c>
      <c r="G25" s="9">
        <v>329817.59999999998</v>
      </c>
      <c r="H25" s="9">
        <v>353057.6</v>
      </c>
      <c r="I25" s="106">
        <v>364402.6</v>
      </c>
      <c r="J25" s="9">
        <v>375402.6</v>
      </c>
      <c r="K25" s="9">
        <v>381352.6</v>
      </c>
      <c r="L25" s="9">
        <v>390352.6</v>
      </c>
      <c r="M25" s="9">
        <v>395352.6</v>
      </c>
      <c r="N25" s="9">
        <v>415252.6</v>
      </c>
      <c r="O25" s="9"/>
      <c r="P25" s="125">
        <v>415107.6</v>
      </c>
      <c r="Q25" s="125">
        <v>420607.6</v>
      </c>
      <c r="R25" s="125">
        <v>434947.6</v>
      </c>
      <c r="S25" s="125">
        <v>442387.6</v>
      </c>
      <c r="T25" s="125">
        <v>447687.6</v>
      </c>
      <c r="U25" s="125">
        <v>454957.6</v>
      </c>
      <c r="V25" s="131">
        <v>461682.6</v>
      </c>
      <c r="W25" s="137">
        <v>0</v>
      </c>
      <c r="X25" s="163">
        <v>0</v>
      </c>
      <c r="Y25" s="165">
        <v>0</v>
      </c>
      <c r="Z25" s="165">
        <v>0</v>
      </c>
      <c r="AA25" s="165">
        <v>0</v>
      </c>
      <c r="AB25" s="146"/>
    </row>
    <row r="26" spans="1:30" ht="12.75">
      <c r="A26" s="11"/>
      <c r="B26" s="10" t="s">
        <v>41</v>
      </c>
      <c r="C26" s="85">
        <f t="shared" ref="C26:AB26" si="5">C4+C7+C8+C13+C16+C20</f>
        <v>188148811.35999998</v>
      </c>
      <c r="D26" s="85">
        <f t="shared" si="5"/>
        <v>189140188.13999999</v>
      </c>
      <c r="E26" s="85">
        <f t="shared" si="5"/>
        <v>191739331.70999998</v>
      </c>
      <c r="F26" s="85">
        <f t="shared" si="5"/>
        <v>193627837.60999998</v>
      </c>
      <c r="G26" s="85">
        <f t="shared" si="5"/>
        <v>191319735.27000001</v>
      </c>
      <c r="H26" s="85">
        <f t="shared" si="5"/>
        <v>194777154.74999997</v>
      </c>
      <c r="I26" s="85">
        <f t="shared" si="5"/>
        <v>198777257.47</v>
      </c>
      <c r="J26" s="85">
        <f t="shared" si="5"/>
        <v>204649174.88</v>
      </c>
      <c r="K26" s="85">
        <f t="shared" si="5"/>
        <v>205184087.25</v>
      </c>
      <c r="L26" s="85">
        <f t="shared" si="5"/>
        <v>205826547.99999997</v>
      </c>
      <c r="M26" s="85">
        <f t="shared" si="5"/>
        <v>210153964.88999999</v>
      </c>
      <c r="N26" s="85">
        <f t="shared" si="5"/>
        <v>201655252.72</v>
      </c>
      <c r="O26" s="85">
        <f t="shared" si="5"/>
        <v>222933922</v>
      </c>
      <c r="P26" s="85">
        <f t="shared" si="5"/>
        <v>229555304.39999998</v>
      </c>
      <c r="Q26" s="85">
        <f t="shared" si="5"/>
        <v>229565774.14999998</v>
      </c>
      <c r="R26" s="85">
        <f t="shared" si="5"/>
        <v>223415888.70999998</v>
      </c>
      <c r="S26" s="85">
        <f t="shared" si="5"/>
        <v>217876379.15000001</v>
      </c>
      <c r="T26" s="85">
        <f t="shared" si="5"/>
        <v>229845076.33999997</v>
      </c>
      <c r="U26" s="85">
        <f t="shared" si="5"/>
        <v>229848095.11999997</v>
      </c>
      <c r="V26" s="85">
        <f t="shared" si="5"/>
        <v>236777162.96000001</v>
      </c>
      <c r="W26" s="85">
        <f t="shared" si="5"/>
        <v>243484534.75</v>
      </c>
      <c r="X26" s="85">
        <f t="shared" si="5"/>
        <v>243985200.25999999</v>
      </c>
      <c r="Y26" s="85">
        <f t="shared" si="5"/>
        <v>245242486.65000001</v>
      </c>
      <c r="Z26" s="85">
        <f t="shared" si="5"/>
        <v>247826980.28</v>
      </c>
      <c r="AA26" s="85">
        <f t="shared" si="5"/>
        <v>250797727.00999999</v>
      </c>
      <c r="AB26" s="156">
        <f t="shared" si="5"/>
        <v>260823377</v>
      </c>
    </row>
    <row r="27" spans="1:30" ht="15">
      <c r="A27" s="11">
        <v>7</v>
      </c>
      <c r="B27" s="7" t="s">
        <v>42</v>
      </c>
      <c r="C27" s="9">
        <v>11874266.26</v>
      </c>
      <c r="D27" s="9">
        <v>11948733.720000001</v>
      </c>
      <c r="E27" s="9">
        <v>15024170.75</v>
      </c>
      <c r="F27" s="9">
        <v>11683163.51</v>
      </c>
      <c r="G27" s="9">
        <v>13769370.560000001</v>
      </c>
      <c r="H27" s="9">
        <v>14352217.869999999</v>
      </c>
      <c r="I27" s="106">
        <v>16708106.699999999</v>
      </c>
      <c r="J27" s="9">
        <v>15380446.25</v>
      </c>
      <c r="K27" s="9">
        <v>14633752.710000001</v>
      </c>
      <c r="L27" s="9">
        <v>13847084.73</v>
      </c>
      <c r="M27" s="9">
        <v>13516146.24</v>
      </c>
      <c r="N27" s="9">
        <v>19885235</v>
      </c>
      <c r="O27" s="9">
        <f>18832630+1575739</f>
        <v>20408369</v>
      </c>
      <c r="P27" s="125">
        <v>17794371.649999999</v>
      </c>
      <c r="Q27" s="125">
        <v>14324250.470000001</v>
      </c>
      <c r="R27" s="125">
        <v>14569254.960000001</v>
      </c>
      <c r="S27" s="125">
        <v>18211961</v>
      </c>
      <c r="T27" s="125">
        <v>18804672.27</v>
      </c>
      <c r="U27" s="125">
        <v>18642493.440000001</v>
      </c>
      <c r="V27" s="131">
        <v>17224412.140000001</v>
      </c>
      <c r="W27" s="136">
        <v>18478902.57</v>
      </c>
      <c r="X27" s="164">
        <v>19486731.879999999</v>
      </c>
      <c r="Y27" s="166">
        <v>18947652.780000001</v>
      </c>
      <c r="Z27" s="166">
        <v>18161733.760000002</v>
      </c>
      <c r="AA27" s="166">
        <v>18038817.82</v>
      </c>
      <c r="AB27" s="160">
        <v>25328764</v>
      </c>
      <c r="AD27" s="160"/>
    </row>
    <row r="28" spans="1:30" ht="15">
      <c r="A28" s="11">
        <v>8</v>
      </c>
      <c r="B28" s="7" t="s">
        <v>43</v>
      </c>
      <c r="C28" s="9">
        <v>106000</v>
      </c>
      <c r="D28" s="9">
        <v>106000</v>
      </c>
      <c r="E28" s="9">
        <v>0</v>
      </c>
      <c r="F28" s="9">
        <v>0</v>
      </c>
      <c r="G28" s="9">
        <v>0</v>
      </c>
      <c r="H28" s="9">
        <v>0</v>
      </c>
      <c r="I28" s="105">
        <v>0</v>
      </c>
      <c r="J28" s="9">
        <v>0</v>
      </c>
      <c r="K28" s="9">
        <v>0</v>
      </c>
      <c r="L28" s="9">
        <v>86000</v>
      </c>
      <c r="M28" s="9">
        <v>86000</v>
      </c>
      <c r="N28" s="9">
        <v>86000</v>
      </c>
      <c r="O28" s="9">
        <v>86000</v>
      </c>
      <c r="P28" s="125">
        <v>146000</v>
      </c>
      <c r="Q28" s="125">
        <v>146000</v>
      </c>
      <c r="R28" s="125">
        <v>146000</v>
      </c>
      <c r="S28" s="125">
        <v>246000</v>
      </c>
      <c r="T28" s="125">
        <v>1046000</v>
      </c>
      <c r="U28" s="125">
        <v>1446000</v>
      </c>
      <c r="V28" s="131">
        <v>1486000</v>
      </c>
      <c r="W28" s="138">
        <v>2231000</v>
      </c>
      <c r="X28" s="164">
        <v>2145000</v>
      </c>
      <c r="Y28" s="166">
        <v>2505000</v>
      </c>
      <c r="Z28" s="166">
        <v>2505000</v>
      </c>
      <c r="AA28" s="166">
        <v>1660000</v>
      </c>
      <c r="AB28" s="146">
        <v>4108688</v>
      </c>
      <c r="AD28" s="160"/>
    </row>
    <row r="29" spans="1:30" ht="15">
      <c r="A29" s="11">
        <v>9</v>
      </c>
      <c r="B29" s="7" t="s">
        <v>44</v>
      </c>
      <c r="C29" s="9">
        <v>117290676.59</v>
      </c>
      <c r="D29" s="9">
        <v>118284584.91</v>
      </c>
      <c r="E29" s="9">
        <v>119333496.31</v>
      </c>
      <c r="F29" s="9">
        <v>109669467.84999999</v>
      </c>
      <c r="G29" s="9">
        <v>121238889.09999999</v>
      </c>
      <c r="H29" s="9">
        <v>122900227.06</v>
      </c>
      <c r="I29" s="106">
        <v>124636613.89</v>
      </c>
      <c r="J29" s="9">
        <v>122383207.90000001</v>
      </c>
      <c r="K29" s="9">
        <v>123766664.43000001</v>
      </c>
      <c r="L29" s="9">
        <v>125318204.97</v>
      </c>
      <c r="M29" s="9">
        <v>127215589.76000001</v>
      </c>
      <c r="N29" s="9">
        <v>116861714</v>
      </c>
      <c r="O29" s="9">
        <f>115552140+173043</f>
        <v>115725183</v>
      </c>
      <c r="P29" s="125">
        <v>128129099.54000001</v>
      </c>
      <c r="Q29" s="125">
        <v>129565831.01000001</v>
      </c>
      <c r="R29" s="125">
        <v>129670464.20999999</v>
      </c>
      <c r="S29" s="125">
        <v>130861405.98999999</v>
      </c>
      <c r="T29" s="125">
        <v>132150997.59999999</v>
      </c>
      <c r="U29" s="125">
        <v>133207905.08</v>
      </c>
      <c r="V29" s="131">
        <v>134163825.48999999</v>
      </c>
      <c r="W29" s="138">
        <v>136376632.31</v>
      </c>
      <c r="X29" s="164">
        <v>138544013.43000001</v>
      </c>
      <c r="Y29" s="166">
        <v>139600125.53</v>
      </c>
      <c r="Z29" s="166">
        <v>140581337.34</v>
      </c>
      <c r="AA29" s="166">
        <v>141873954.84</v>
      </c>
      <c r="AB29" s="160">
        <v>130510902</v>
      </c>
      <c r="AD29" s="160"/>
    </row>
    <row r="30" spans="1:30" ht="12.75">
      <c r="A30" s="11"/>
      <c r="B30" s="10" t="s">
        <v>45</v>
      </c>
      <c r="C30" s="85">
        <f t="shared" ref="C30:F30" si="6">SUM(C27:C29)</f>
        <v>129270942.85000001</v>
      </c>
      <c r="D30" s="85">
        <f t="shared" si="6"/>
        <v>130339318.63</v>
      </c>
      <c r="E30" s="85">
        <f t="shared" si="6"/>
        <v>134357667.06</v>
      </c>
      <c r="F30" s="85">
        <f t="shared" si="6"/>
        <v>121352631.36</v>
      </c>
      <c r="G30" s="85">
        <f t="shared" ref="G30:I30" si="7">SUM(G27:G29)</f>
        <v>135008259.66</v>
      </c>
      <c r="H30" s="85">
        <f t="shared" si="7"/>
        <v>137252444.93000001</v>
      </c>
      <c r="I30" s="85">
        <f t="shared" si="7"/>
        <v>141344720.59</v>
      </c>
      <c r="J30" s="85">
        <f t="shared" ref="J30:O30" si="8">SUM(J27:J29)</f>
        <v>137763654.15000001</v>
      </c>
      <c r="K30" s="85">
        <f t="shared" si="8"/>
        <v>138400417.14000002</v>
      </c>
      <c r="L30" s="85">
        <f t="shared" si="8"/>
        <v>139251289.69999999</v>
      </c>
      <c r="M30" s="85">
        <f t="shared" si="8"/>
        <v>140817736</v>
      </c>
      <c r="N30" s="85">
        <f t="shared" si="8"/>
        <v>136832949</v>
      </c>
      <c r="O30" s="85">
        <f t="shared" si="8"/>
        <v>136219552</v>
      </c>
      <c r="P30" s="85">
        <f t="shared" ref="P30:AB30" si="9">SUM(P27:P29)</f>
        <v>146069471.19</v>
      </c>
      <c r="Q30" s="85">
        <f t="shared" si="9"/>
        <v>144036081.48000002</v>
      </c>
      <c r="R30" s="85">
        <f t="shared" si="9"/>
        <v>144385719.16999999</v>
      </c>
      <c r="S30" s="85">
        <f t="shared" si="9"/>
        <v>149319366.99000001</v>
      </c>
      <c r="T30" s="85">
        <f t="shared" si="9"/>
        <v>152001669.87</v>
      </c>
      <c r="U30" s="85">
        <f t="shared" si="9"/>
        <v>153296398.52000001</v>
      </c>
      <c r="V30" s="85">
        <f t="shared" si="9"/>
        <v>152874237.63</v>
      </c>
      <c r="W30" s="85">
        <f t="shared" si="9"/>
        <v>157086534.88</v>
      </c>
      <c r="X30" s="85">
        <f t="shared" ref="X30:AA30" si="10">SUM(X27:X29)</f>
        <v>160175745.31</v>
      </c>
      <c r="Y30" s="85">
        <f t="shared" si="10"/>
        <v>161052778.31</v>
      </c>
      <c r="Z30" s="85">
        <f t="shared" si="10"/>
        <v>161248071.09999999</v>
      </c>
      <c r="AA30" s="85">
        <f t="shared" si="10"/>
        <v>161572772.66</v>
      </c>
      <c r="AB30" s="156">
        <f t="shared" si="9"/>
        <v>159948354</v>
      </c>
      <c r="AD30" s="162"/>
    </row>
    <row r="31" spans="1:30" ht="12.75">
      <c r="A31" s="11">
        <v>10</v>
      </c>
      <c r="B31" s="10" t="s">
        <v>46</v>
      </c>
      <c r="C31" s="12">
        <f t="shared" ref="C31:F31" si="11">SUM(C32:C37)</f>
        <v>4704745.43</v>
      </c>
      <c r="D31" s="12">
        <f t="shared" si="11"/>
        <v>12020264.07</v>
      </c>
      <c r="E31" s="12">
        <f t="shared" si="11"/>
        <v>8561775.8399999999</v>
      </c>
      <c r="F31" s="12">
        <f t="shared" si="11"/>
        <v>23177478.710000001</v>
      </c>
      <c r="G31" s="12">
        <f t="shared" ref="G31:I31" si="12">SUM(G32:G37)</f>
        <v>3949000.0700000003</v>
      </c>
      <c r="H31" s="12">
        <f t="shared" si="12"/>
        <v>2912831.67</v>
      </c>
      <c r="I31" s="12">
        <f t="shared" si="12"/>
        <v>204863.44</v>
      </c>
      <c r="J31" s="12">
        <f t="shared" ref="J31:O31" si="13">SUM(J32:J37)</f>
        <v>17425224.630000003</v>
      </c>
      <c r="K31" s="12">
        <f t="shared" si="13"/>
        <v>15110094.73</v>
      </c>
      <c r="L31" s="12">
        <f t="shared" si="13"/>
        <v>13013550.91</v>
      </c>
      <c r="M31" s="12">
        <f t="shared" si="13"/>
        <v>13740624.869999999</v>
      </c>
      <c r="N31" s="12">
        <f t="shared" si="13"/>
        <v>8394694.7800000012</v>
      </c>
      <c r="O31" s="12">
        <f t="shared" si="13"/>
        <v>27948412</v>
      </c>
      <c r="P31" s="12">
        <f t="shared" ref="P31:AB31" si="14">SUM(P32:P37)</f>
        <v>27570103.550000001</v>
      </c>
      <c r="Q31" s="12">
        <f t="shared" si="14"/>
        <v>29772609.25</v>
      </c>
      <c r="R31" s="12">
        <f t="shared" si="14"/>
        <v>22872814.899999999</v>
      </c>
      <c r="S31" s="12">
        <f t="shared" si="14"/>
        <v>10370503.969999999</v>
      </c>
      <c r="T31" s="12">
        <f t="shared" si="14"/>
        <v>18572500.469999999</v>
      </c>
      <c r="U31" s="12">
        <f t="shared" si="14"/>
        <v>16062179.120000001</v>
      </c>
      <c r="V31" s="12">
        <f t="shared" si="14"/>
        <v>23292730.710000001</v>
      </c>
      <c r="W31" s="12">
        <f t="shared" si="14"/>
        <v>25042195.84</v>
      </c>
      <c r="X31" s="12">
        <f t="shared" ref="X31:AA31" si="15">SUM(X32:X37)</f>
        <v>22778349.530000001</v>
      </c>
      <c r="Y31" s="12">
        <f t="shared" si="15"/>
        <v>20690964.009999998</v>
      </c>
      <c r="Z31" s="12">
        <f t="shared" si="15"/>
        <v>22639611.060000002</v>
      </c>
      <c r="AA31" s="12">
        <f t="shared" si="15"/>
        <v>23632527.59</v>
      </c>
      <c r="AB31" s="158">
        <f t="shared" si="14"/>
        <v>33371025</v>
      </c>
    </row>
    <row r="32" spans="1:30" ht="12.75">
      <c r="A32" s="11">
        <v>10.1</v>
      </c>
      <c r="B32" s="7" t="s">
        <v>47</v>
      </c>
      <c r="C32" s="9">
        <v>0</v>
      </c>
      <c r="D32" s="9">
        <v>515208</v>
      </c>
      <c r="E32" s="9">
        <v>649250.87</v>
      </c>
      <c r="F32" s="9">
        <v>594764.23</v>
      </c>
      <c r="G32" s="12">
        <v>781204.79</v>
      </c>
      <c r="H32" s="12">
        <v>643094.18999999994</v>
      </c>
      <c r="I32" s="105">
        <v>0</v>
      </c>
      <c r="J32" s="9">
        <v>0</v>
      </c>
      <c r="K32" s="9">
        <v>138318.26999999999</v>
      </c>
      <c r="L32" s="9">
        <v>141875.79999999999</v>
      </c>
      <c r="M32" s="9">
        <v>131392.6</v>
      </c>
      <c r="N32" s="9">
        <v>177801.2</v>
      </c>
      <c r="O32" s="9"/>
      <c r="P32" s="125">
        <v>1451335.2</v>
      </c>
      <c r="Q32" s="125">
        <v>1408708.2</v>
      </c>
      <c r="R32" s="125">
        <v>1441109.6</v>
      </c>
      <c r="S32" s="125">
        <v>938132.93</v>
      </c>
      <c r="T32" s="125">
        <v>831511.13</v>
      </c>
      <c r="U32" s="125">
        <v>140564.53</v>
      </c>
      <c r="V32" s="131">
        <v>115641.89</v>
      </c>
      <c r="W32" s="136">
        <v>154491.09</v>
      </c>
      <c r="X32" s="164">
        <v>117765.89</v>
      </c>
      <c r="Y32" s="166">
        <v>98586.29</v>
      </c>
      <c r="Z32" s="166">
        <v>148393.89000000001</v>
      </c>
      <c r="AA32" s="166">
        <v>138761.69</v>
      </c>
      <c r="AB32" s="146"/>
    </row>
    <row r="33" spans="1:30" ht="12.75">
      <c r="A33" s="11">
        <v>10.199999999999999</v>
      </c>
      <c r="B33" s="7" t="s">
        <v>48</v>
      </c>
      <c r="C33" s="9">
        <v>0</v>
      </c>
      <c r="D33" s="9">
        <v>2497750</v>
      </c>
      <c r="E33" s="9">
        <v>2497750</v>
      </c>
      <c r="F33" s="9">
        <v>2497750</v>
      </c>
      <c r="G33" s="9">
        <v>114887.95</v>
      </c>
      <c r="H33" s="9">
        <v>114887.95</v>
      </c>
      <c r="I33" s="105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/>
      <c r="P33" s="125">
        <v>3252077</v>
      </c>
      <c r="Q33" s="125">
        <v>3252077</v>
      </c>
      <c r="R33" s="125">
        <v>3252077</v>
      </c>
      <c r="S33" s="125">
        <v>1861696.68</v>
      </c>
      <c r="T33" s="125">
        <v>1715092.68</v>
      </c>
      <c r="U33" s="125">
        <v>1715092.68</v>
      </c>
      <c r="V33" s="131">
        <v>1715092.68</v>
      </c>
      <c r="W33" s="137">
        <v>0</v>
      </c>
      <c r="X33" s="163">
        <v>0</v>
      </c>
      <c r="Y33" s="165">
        <v>0</v>
      </c>
      <c r="Z33" s="165">
        <v>0</v>
      </c>
      <c r="AA33" s="165">
        <v>0</v>
      </c>
      <c r="AB33" s="146"/>
    </row>
    <row r="34" spans="1:30" ht="12.75">
      <c r="A34" s="11">
        <v>10.3</v>
      </c>
      <c r="B34" s="7" t="s">
        <v>49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105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/>
      <c r="P34" s="125">
        <v>0</v>
      </c>
      <c r="Q34" s="125">
        <v>0</v>
      </c>
      <c r="R34" s="125">
        <v>0</v>
      </c>
      <c r="S34" s="125">
        <v>0</v>
      </c>
      <c r="T34" s="125">
        <v>0</v>
      </c>
      <c r="U34" s="125">
        <v>0</v>
      </c>
      <c r="V34" s="131">
        <v>0</v>
      </c>
      <c r="W34" s="137">
        <v>0</v>
      </c>
      <c r="X34" s="163">
        <v>0</v>
      </c>
      <c r="Y34" s="165">
        <v>0</v>
      </c>
      <c r="Z34" s="165">
        <v>0</v>
      </c>
      <c r="AA34" s="165">
        <v>0</v>
      </c>
      <c r="AB34" s="146"/>
    </row>
    <row r="35" spans="1:30" ht="12.75">
      <c r="A35" s="11">
        <v>10.4</v>
      </c>
      <c r="B35" s="7" t="s">
        <v>50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105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/>
      <c r="P35" s="125">
        <v>0</v>
      </c>
      <c r="Q35" s="125">
        <v>0</v>
      </c>
      <c r="R35" s="125">
        <v>0</v>
      </c>
      <c r="S35" s="125">
        <v>0</v>
      </c>
      <c r="T35" s="125">
        <v>0</v>
      </c>
      <c r="U35" s="125">
        <v>0</v>
      </c>
      <c r="V35" s="131">
        <v>0</v>
      </c>
      <c r="W35" s="137">
        <v>0</v>
      </c>
      <c r="X35" s="163">
        <v>0</v>
      </c>
      <c r="Y35" s="165">
        <v>0</v>
      </c>
      <c r="Z35" s="165">
        <v>0</v>
      </c>
      <c r="AA35" s="165">
        <v>0</v>
      </c>
      <c r="AB35" s="146"/>
    </row>
    <row r="36" spans="1:30" ht="15">
      <c r="A36" s="11">
        <v>10.5</v>
      </c>
      <c r="B36" s="7" t="s">
        <v>51</v>
      </c>
      <c r="C36" s="18">
        <v>3372373.43</v>
      </c>
      <c r="D36" s="18">
        <v>7923360.0700000003</v>
      </c>
      <c r="E36" s="18">
        <v>4330828.97</v>
      </c>
      <c r="F36" s="18">
        <v>19759809.48</v>
      </c>
      <c r="G36" s="9">
        <v>2727752.33</v>
      </c>
      <c r="H36" s="9">
        <v>1829694.53</v>
      </c>
      <c r="I36" s="106">
        <v>204863.44</v>
      </c>
      <c r="J36" s="18">
        <v>9425224.6300000008</v>
      </c>
      <c r="K36" s="18">
        <v>6971776.46</v>
      </c>
      <c r="L36" s="18">
        <v>5626928.1100000003</v>
      </c>
      <c r="M36" s="18">
        <v>6702890.2699999996</v>
      </c>
      <c r="N36" s="18">
        <v>1996243.58</v>
      </c>
      <c r="O36" s="9">
        <v>21727762</v>
      </c>
      <c r="P36" s="125">
        <v>16646041.35</v>
      </c>
      <c r="Q36" s="125">
        <v>19239894.050000001</v>
      </c>
      <c r="R36" s="125">
        <v>12659477.300000001</v>
      </c>
      <c r="S36" s="125">
        <v>2412304.36</v>
      </c>
      <c r="T36" s="125">
        <v>10867526.66</v>
      </c>
      <c r="U36" s="125">
        <v>10103175.91</v>
      </c>
      <c r="V36" s="131">
        <v>14231912.15</v>
      </c>
      <c r="W36" s="138">
        <v>19200311.43</v>
      </c>
      <c r="X36" s="164">
        <v>18139856.989999998</v>
      </c>
      <c r="Y36" s="166">
        <v>18004290.719999999</v>
      </c>
      <c r="Z36" s="166">
        <v>19903130.170000002</v>
      </c>
      <c r="AA36" s="166">
        <v>14689348.9</v>
      </c>
      <c r="AB36" s="162">
        <v>24566608</v>
      </c>
      <c r="AD36" s="160"/>
    </row>
    <row r="37" spans="1:30" ht="15">
      <c r="A37" s="11">
        <v>10.6</v>
      </c>
      <c r="B37" s="7" t="s">
        <v>52</v>
      </c>
      <c r="C37" s="9">
        <v>1332372</v>
      </c>
      <c r="D37" s="9">
        <v>1083946</v>
      </c>
      <c r="E37" s="9">
        <v>1083946</v>
      </c>
      <c r="F37" s="9">
        <v>325155</v>
      </c>
      <c r="G37" s="18">
        <v>325155</v>
      </c>
      <c r="H37" s="18">
        <v>325155</v>
      </c>
      <c r="I37" s="105">
        <v>0</v>
      </c>
      <c r="J37" s="9">
        <v>8000000</v>
      </c>
      <c r="K37" s="9">
        <v>8000000</v>
      </c>
      <c r="L37" s="9">
        <v>7244747</v>
      </c>
      <c r="M37" s="9">
        <v>6906342</v>
      </c>
      <c r="N37" s="9">
        <v>6220650</v>
      </c>
      <c r="O37" s="9">
        <v>6220650</v>
      </c>
      <c r="P37" s="125">
        <v>6220650</v>
      </c>
      <c r="Q37" s="125">
        <v>5871930</v>
      </c>
      <c r="R37" s="125">
        <v>5520151</v>
      </c>
      <c r="S37" s="125">
        <v>5158370</v>
      </c>
      <c r="T37" s="125">
        <v>5158370</v>
      </c>
      <c r="U37" s="125">
        <v>4103346</v>
      </c>
      <c r="V37" s="131">
        <v>7230083.9900000002</v>
      </c>
      <c r="W37" s="138">
        <v>5687393.3200000003</v>
      </c>
      <c r="X37" s="164">
        <v>4520726.6500000004</v>
      </c>
      <c r="Y37" s="166">
        <v>2588087</v>
      </c>
      <c r="Z37" s="166">
        <v>2588087</v>
      </c>
      <c r="AA37" s="166">
        <v>8804417</v>
      </c>
      <c r="AB37" s="160">
        <v>8804417</v>
      </c>
      <c r="AD37" s="160"/>
    </row>
    <row r="38" spans="1:30" ht="12.75">
      <c r="A38" s="11"/>
      <c r="B38" s="10" t="s">
        <v>53</v>
      </c>
      <c r="C38" s="85">
        <f t="shared" ref="C38:AB38" si="16">C30+C31</f>
        <v>133975688.28</v>
      </c>
      <c r="D38" s="85">
        <f t="shared" si="16"/>
        <v>142359582.69999999</v>
      </c>
      <c r="E38" s="85">
        <f t="shared" si="16"/>
        <v>142919442.90000001</v>
      </c>
      <c r="F38" s="85">
        <f t="shared" si="16"/>
        <v>144530110.06999999</v>
      </c>
      <c r="G38" s="85">
        <f t="shared" si="16"/>
        <v>138957259.72999999</v>
      </c>
      <c r="H38" s="85">
        <f t="shared" si="16"/>
        <v>140165276.59999999</v>
      </c>
      <c r="I38" s="85">
        <f t="shared" si="16"/>
        <v>141549584.03</v>
      </c>
      <c r="J38" s="85">
        <f t="shared" si="16"/>
        <v>155188878.78</v>
      </c>
      <c r="K38" s="85">
        <f t="shared" si="16"/>
        <v>153510511.87</v>
      </c>
      <c r="L38" s="85">
        <f t="shared" si="16"/>
        <v>152264840.60999998</v>
      </c>
      <c r="M38" s="85">
        <f t="shared" si="16"/>
        <v>154558360.87</v>
      </c>
      <c r="N38" s="85">
        <f t="shared" si="16"/>
        <v>145227643.78</v>
      </c>
      <c r="O38" s="85">
        <f t="shared" si="16"/>
        <v>164167964</v>
      </c>
      <c r="P38" s="85">
        <f t="shared" si="16"/>
        <v>173639574.74000001</v>
      </c>
      <c r="Q38" s="85">
        <f t="shared" si="16"/>
        <v>173808690.73000002</v>
      </c>
      <c r="R38" s="85">
        <f t="shared" si="16"/>
        <v>167258534.06999999</v>
      </c>
      <c r="S38" s="85">
        <f t="shared" si="16"/>
        <v>159689870.96000001</v>
      </c>
      <c r="T38" s="85">
        <f t="shared" si="16"/>
        <v>170574170.34</v>
      </c>
      <c r="U38" s="85">
        <f t="shared" si="16"/>
        <v>169358577.64000002</v>
      </c>
      <c r="V38" s="85">
        <f t="shared" si="16"/>
        <v>176166968.34</v>
      </c>
      <c r="W38" s="85">
        <f t="shared" si="16"/>
        <v>182128730.72</v>
      </c>
      <c r="X38" s="85">
        <f t="shared" si="16"/>
        <v>182954094.84</v>
      </c>
      <c r="Y38" s="85">
        <f t="shared" si="16"/>
        <v>181743742.31999999</v>
      </c>
      <c r="Z38" s="85">
        <f t="shared" si="16"/>
        <v>183887682.16</v>
      </c>
      <c r="AA38" s="85">
        <f t="shared" si="16"/>
        <v>185205300.25</v>
      </c>
      <c r="AB38" s="156">
        <f t="shared" si="16"/>
        <v>193319379</v>
      </c>
      <c r="AD38" s="162"/>
    </row>
    <row r="39" spans="1:30" ht="15">
      <c r="A39" s="11">
        <v>11</v>
      </c>
      <c r="B39" s="7" t="s">
        <v>54</v>
      </c>
      <c r="C39" s="9">
        <v>28889545.280000001</v>
      </c>
      <c r="D39" s="9">
        <v>29115768.600000001</v>
      </c>
      <c r="E39" s="9">
        <v>29367423.809999999</v>
      </c>
      <c r="F39" s="9">
        <v>29618333.539999999</v>
      </c>
      <c r="G39" s="85">
        <v>29862795.34</v>
      </c>
      <c r="H39" s="85">
        <v>30038037.649999999</v>
      </c>
      <c r="I39" s="106">
        <v>30197603.940000001</v>
      </c>
      <c r="J39" s="9">
        <v>30382178.199999999</v>
      </c>
      <c r="K39" s="9">
        <v>30507337.579999998</v>
      </c>
      <c r="L39" s="9">
        <v>30625984.09</v>
      </c>
      <c r="M39" s="9">
        <v>30720265.82</v>
      </c>
      <c r="N39" s="9">
        <v>30853771.68</v>
      </c>
      <c r="O39" s="9">
        <v>30863970</v>
      </c>
      <c r="P39" s="125">
        <v>30916708.66</v>
      </c>
      <c r="Q39" s="125">
        <v>30979717.120000001</v>
      </c>
      <c r="R39" s="125">
        <v>31092274.789999999</v>
      </c>
      <c r="S39" s="125">
        <v>31212903.09</v>
      </c>
      <c r="T39" s="125">
        <v>31097438.800000001</v>
      </c>
      <c r="U39" s="125">
        <v>31212940.98</v>
      </c>
      <c r="V39" s="131">
        <v>31240515.420000002</v>
      </c>
      <c r="W39" s="136">
        <v>31348375.550000001</v>
      </c>
      <c r="X39" s="164">
        <v>31498466.620000001</v>
      </c>
      <c r="Y39" s="166">
        <v>31550671.149999999</v>
      </c>
      <c r="Z39" s="166">
        <v>31588115.010000002</v>
      </c>
      <c r="AA39" s="166">
        <v>31661544.760000002</v>
      </c>
      <c r="AB39" s="160">
        <v>31724224</v>
      </c>
    </row>
    <row r="40" spans="1:30" ht="12.75">
      <c r="A40" s="11">
        <v>12</v>
      </c>
      <c r="B40" s="7" t="s">
        <v>55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05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/>
      <c r="P40" s="125">
        <v>0</v>
      </c>
      <c r="Q40" s="125">
        <v>0</v>
      </c>
      <c r="R40" s="125">
        <v>0</v>
      </c>
      <c r="S40" s="125">
        <v>0</v>
      </c>
      <c r="T40" s="125">
        <v>0</v>
      </c>
      <c r="U40" s="125">
        <v>0</v>
      </c>
      <c r="V40" s="131">
        <v>0</v>
      </c>
      <c r="W40" s="137">
        <v>0</v>
      </c>
      <c r="X40" s="163">
        <v>0</v>
      </c>
      <c r="Y40" s="165">
        <v>0</v>
      </c>
      <c r="Z40" s="165">
        <v>0</v>
      </c>
      <c r="AA40" s="165">
        <v>0</v>
      </c>
      <c r="AB40" s="146"/>
    </row>
    <row r="41" spans="1:30" ht="12.75">
      <c r="A41" s="11">
        <v>13</v>
      </c>
      <c r="B41" s="10" t="s">
        <v>56</v>
      </c>
      <c r="C41" s="8">
        <f t="shared" ref="C41:AB41" si="17">SUM(C42+C43)</f>
        <v>17601338.300000001</v>
      </c>
      <c r="D41" s="8">
        <f t="shared" si="17"/>
        <v>9327413.8999999985</v>
      </c>
      <c r="E41" s="8">
        <f t="shared" si="17"/>
        <v>11115042.1</v>
      </c>
      <c r="F41" s="8">
        <f t="shared" si="17"/>
        <v>11141971.1</v>
      </c>
      <c r="G41" s="8">
        <f t="shared" si="17"/>
        <v>14162257.299999999</v>
      </c>
      <c r="H41" s="8">
        <f t="shared" si="17"/>
        <v>16236417.6</v>
      </c>
      <c r="I41" s="8">
        <f t="shared" si="17"/>
        <v>18692646.600000001</v>
      </c>
      <c r="J41" s="8">
        <f t="shared" si="17"/>
        <v>10740695</v>
      </c>
      <c r="K41" s="8">
        <f t="shared" si="17"/>
        <v>12828814.899999999</v>
      </c>
      <c r="L41" s="8">
        <f t="shared" si="17"/>
        <v>14598300.4</v>
      </c>
      <c r="M41" s="8">
        <f t="shared" si="17"/>
        <v>16537915.299999999</v>
      </c>
      <c r="N41" s="8">
        <f t="shared" si="17"/>
        <v>17236414.299999997</v>
      </c>
      <c r="O41" s="8">
        <f t="shared" si="17"/>
        <v>11173990.74</v>
      </c>
      <c r="P41" s="8">
        <f t="shared" si="17"/>
        <v>11523100.84</v>
      </c>
      <c r="Q41" s="8">
        <f t="shared" si="17"/>
        <v>11301446.140000001</v>
      </c>
      <c r="R41" s="8">
        <f t="shared" si="17"/>
        <v>11589159.689999999</v>
      </c>
      <c r="S41" s="8">
        <f t="shared" si="17"/>
        <v>13497684.939999999</v>
      </c>
      <c r="T41" s="8">
        <f t="shared" si="17"/>
        <v>14697547.039999999</v>
      </c>
      <c r="U41" s="8">
        <f t="shared" si="17"/>
        <v>15800656.34</v>
      </c>
      <c r="V41" s="8">
        <f t="shared" si="17"/>
        <v>15893759.039999999</v>
      </c>
      <c r="W41" s="8">
        <f t="shared" si="17"/>
        <v>16531508.34</v>
      </c>
      <c r="X41" s="8">
        <f t="shared" si="17"/>
        <v>16056718.640000001</v>
      </c>
      <c r="Y41" s="8">
        <f t="shared" si="17"/>
        <v>18472153.02</v>
      </c>
      <c r="Z41" s="8">
        <f t="shared" si="17"/>
        <v>18875262.949999999</v>
      </c>
      <c r="AA41" s="8">
        <f t="shared" si="17"/>
        <v>20454961.84</v>
      </c>
      <c r="AB41" s="155">
        <f t="shared" si="17"/>
        <v>15653575.84</v>
      </c>
    </row>
    <row r="42" spans="1:30" ht="15">
      <c r="A42" s="11">
        <v>13.1</v>
      </c>
      <c r="B42" s="7" t="s">
        <v>57</v>
      </c>
      <c r="C42" s="9">
        <v>5556768.5</v>
      </c>
      <c r="D42" s="9">
        <v>5679752.0999999996</v>
      </c>
      <c r="E42" s="9">
        <v>5679752.0999999996</v>
      </c>
      <c r="F42" s="9">
        <v>5679752.0999999996</v>
      </c>
      <c r="G42" s="9">
        <v>5679752.0999999996</v>
      </c>
      <c r="H42" s="9">
        <v>5679752.0999999996</v>
      </c>
      <c r="I42" s="106">
        <v>5679752.0999999996</v>
      </c>
      <c r="J42" s="9">
        <v>5679752.0999999996</v>
      </c>
      <c r="K42" s="9">
        <v>5679752.0999999996</v>
      </c>
      <c r="L42" s="9">
        <v>5679752.0999999996</v>
      </c>
      <c r="M42" s="9">
        <v>5679752.0999999996</v>
      </c>
      <c r="N42" s="9">
        <v>5679752.0999999996</v>
      </c>
      <c r="O42" s="9">
        <v>5679752</v>
      </c>
      <c r="P42" s="125">
        <v>11173990.84</v>
      </c>
      <c r="Q42" s="125">
        <v>11173990.84</v>
      </c>
      <c r="R42" s="125">
        <v>11173990.84</v>
      </c>
      <c r="S42" s="125">
        <v>11173990.84</v>
      </c>
      <c r="T42" s="125">
        <v>11173990.84</v>
      </c>
      <c r="U42" s="125">
        <v>11173990.84</v>
      </c>
      <c r="V42" s="131">
        <v>11173990.84</v>
      </c>
      <c r="W42" s="136">
        <v>10642988.84</v>
      </c>
      <c r="X42" s="164">
        <v>10249909.84</v>
      </c>
      <c r="Y42" s="166">
        <v>10249909.84</v>
      </c>
      <c r="Z42" s="166">
        <v>10249909.84</v>
      </c>
      <c r="AA42" s="166">
        <v>10249909.84</v>
      </c>
      <c r="AB42" s="160">
        <v>11173990.84</v>
      </c>
      <c r="AD42" s="160"/>
    </row>
    <row r="43" spans="1:30" ht="12.75">
      <c r="A43" s="11">
        <v>13.2</v>
      </c>
      <c r="B43" s="7" t="s">
        <v>58</v>
      </c>
      <c r="C43" s="9">
        <v>12044569.800000001</v>
      </c>
      <c r="D43" s="9">
        <v>3647661.8</v>
      </c>
      <c r="E43" s="9">
        <v>5435290</v>
      </c>
      <c r="F43" s="9">
        <v>5462219</v>
      </c>
      <c r="G43" s="8">
        <v>8482505.1999999993</v>
      </c>
      <c r="H43" s="8">
        <v>10556665.5</v>
      </c>
      <c r="I43" s="106">
        <v>13012894.5</v>
      </c>
      <c r="J43" s="9">
        <v>5060942.9000000004</v>
      </c>
      <c r="K43" s="9">
        <v>7149062.7999999998</v>
      </c>
      <c r="L43" s="9">
        <v>8918548.3000000007</v>
      </c>
      <c r="M43" s="9">
        <v>10858163.199999999</v>
      </c>
      <c r="N43" s="9">
        <v>11556662.199999999</v>
      </c>
      <c r="O43" s="9">
        <v>5494238.7400000002</v>
      </c>
      <c r="P43" s="125">
        <v>349110</v>
      </c>
      <c r="Q43" s="125">
        <v>127455.3</v>
      </c>
      <c r="R43" s="125">
        <v>415168.85</v>
      </c>
      <c r="S43" s="125">
        <v>2323694.1</v>
      </c>
      <c r="T43" s="125">
        <v>3523556.2</v>
      </c>
      <c r="U43" s="125">
        <v>4626665.5</v>
      </c>
      <c r="V43" s="131">
        <v>4719768.2</v>
      </c>
      <c r="W43" s="138">
        <v>5888519.5</v>
      </c>
      <c r="X43" s="164">
        <v>5806808.7999999998</v>
      </c>
      <c r="Y43" s="166">
        <v>8222243.1799999997</v>
      </c>
      <c r="Z43" s="166">
        <v>8625353.1099999994</v>
      </c>
      <c r="AA43" s="166">
        <v>10205052</v>
      </c>
      <c r="AB43" s="146">
        <v>4479585</v>
      </c>
      <c r="AD43" s="162"/>
    </row>
    <row r="44" spans="1:30" ht="12.75">
      <c r="A44" s="11">
        <v>14</v>
      </c>
      <c r="B44" s="10" t="s">
        <v>59</v>
      </c>
      <c r="C44" s="8">
        <f t="shared" ref="C44:AB44" si="18">SUM(C45:C49)</f>
        <v>7682239.5</v>
      </c>
      <c r="D44" s="8">
        <f t="shared" si="18"/>
        <v>8337422.8999999994</v>
      </c>
      <c r="E44" s="8">
        <f t="shared" si="18"/>
        <v>8337422.8999999994</v>
      </c>
      <c r="F44" s="8">
        <f t="shared" si="18"/>
        <v>8337422.8999999994</v>
      </c>
      <c r="G44" s="8">
        <f t="shared" si="18"/>
        <v>8337422.8999999994</v>
      </c>
      <c r="H44" s="8">
        <f t="shared" si="18"/>
        <v>8337422.8999999994</v>
      </c>
      <c r="I44" s="8">
        <f t="shared" si="18"/>
        <v>8337422.8999999994</v>
      </c>
      <c r="J44" s="8">
        <f t="shared" si="18"/>
        <v>8337422.8999999994</v>
      </c>
      <c r="K44" s="8">
        <f t="shared" si="18"/>
        <v>8337422.8999999994</v>
      </c>
      <c r="L44" s="8">
        <f t="shared" si="18"/>
        <v>8337422.8999999994</v>
      </c>
      <c r="M44" s="8">
        <f t="shared" si="18"/>
        <v>8337422.8999999994</v>
      </c>
      <c r="N44" s="8">
        <f t="shared" si="18"/>
        <v>8337422.8999999994</v>
      </c>
      <c r="O44" s="8">
        <f t="shared" si="18"/>
        <v>16727997.16</v>
      </c>
      <c r="P44" s="8">
        <f t="shared" si="18"/>
        <v>13475920.16</v>
      </c>
      <c r="Q44" s="8">
        <f t="shared" si="18"/>
        <v>13475920.16</v>
      </c>
      <c r="R44" s="8">
        <f t="shared" si="18"/>
        <v>13475920.16</v>
      </c>
      <c r="S44" s="8">
        <f t="shared" si="18"/>
        <v>13475920.16</v>
      </c>
      <c r="T44" s="8">
        <f t="shared" si="18"/>
        <v>13475920.16</v>
      </c>
      <c r="U44" s="8">
        <f t="shared" si="18"/>
        <v>13475920.16</v>
      </c>
      <c r="V44" s="8">
        <f t="shared" si="18"/>
        <v>13475920.16</v>
      </c>
      <c r="W44" s="8">
        <f t="shared" si="18"/>
        <v>13475920.16</v>
      </c>
      <c r="X44" s="8">
        <f t="shared" si="18"/>
        <v>13475920.16</v>
      </c>
      <c r="Y44" s="8">
        <f t="shared" si="18"/>
        <v>13475920.16</v>
      </c>
      <c r="Z44" s="8">
        <f t="shared" si="18"/>
        <v>13475920.16</v>
      </c>
      <c r="AA44" s="8">
        <f t="shared" si="18"/>
        <v>13475920.16</v>
      </c>
      <c r="AB44" s="155">
        <f t="shared" si="18"/>
        <v>20126197.890000001</v>
      </c>
    </row>
    <row r="45" spans="1:30" ht="15">
      <c r="A45" s="11"/>
      <c r="B45" s="7" t="s">
        <v>60</v>
      </c>
      <c r="C45" s="9">
        <v>5685968.2000000002</v>
      </c>
      <c r="D45" s="9">
        <v>6341151.5999999996</v>
      </c>
      <c r="E45" s="9">
        <v>6341151.5999999996</v>
      </c>
      <c r="F45" s="9">
        <v>6341151.5999999996</v>
      </c>
      <c r="G45" s="9">
        <v>6341151.5999999996</v>
      </c>
      <c r="H45" s="9">
        <v>6341151.5999999996</v>
      </c>
      <c r="I45" s="106">
        <v>6341151.5999999996</v>
      </c>
      <c r="J45" s="9">
        <v>6341151.5999999996</v>
      </c>
      <c r="K45" s="9">
        <v>6341151.5999999996</v>
      </c>
      <c r="L45" s="9">
        <v>6341151.5999999996</v>
      </c>
      <c r="M45" s="9">
        <v>6341151.5999999996</v>
      </c>
      <c r="N45" s="9">
        <v>6341151.5999999996</v>
      </c>
      <c r="O45" s="9">
        <v>9118114.1999999993</v>
      </c>
      <c r="P45" s="125">
        <v>9118114.1999999993</v>
      </c>
      <c r="Q45" s="125">
        <v>9118114.1999999993</v>
      </c>
      <c r="R45" s="125">
        <v>9118114.1999999993</v>
      </c>
      <c r="S45" s="125">
        <v>9118114.1999999993</v>
      </c>
      <c r="T45" s="125">
        <v>9118114.1999999993</v>
      </c>
      <c r="U45" s="125">
        <v>9118114.1999999993</v>
      </c>
      <c r="V45" s="131">
        <v>9118114.1999999993</v>
      </c>
      <c r="W45" s="136">
        <v>9118114.1999999993</v>
      </c>
      <c r="X45" s="164">
        <v>9118114.1999999993</v>
      </c>
      <c r="Y45" s="166">
        <v>9118114.1999999993</v>
      </c>
      <c r="Z45" s="166">
        <v>9118114.1999999993</v>
      </c>
      <c r="AA45" s="166">
        <v>9118114.1999999993</v>
      </c>
      <c r="AB45" s="160">
        <v>11528902.98</v>
      </c>
    </row>
    <row r="46" spans="1:30" ht="15">
      <c r="A46" s="11"/>
      <c r="B46" s="7" t="s">
        <v>61</v>
      </c>
      <c r="C46" s="9">
        <v>1996271.3</v>
      </c>
      <c r="D46" s="9">
        <v>1996271.3</v>
      </c>
      <c r="E46" s="9">
        <v>1996271.3</v>
      </c>
      <c r="F46" s="9">
        <v>1996271.3</v>
      </c>
      <c r="G46" s="9">
        <v>1996271.3</v>
      </c>
      <c r="H46" s="9">
        <v>1996271.3</v>
      </c>
      <c r="I46" s="106">
        <v>1996271.3</v>
      </c>
      <c r="J46" s="9">
        <v>1996271.3</v>
      </c>
      <c r="K46" s="9">
        <v>1996271.3</v>
      </c>
      <c r="L46" s="9">
        <v>1996271.3</v>
      </c>
      <c r="M46" s="9">
        <v>1996271.3</v>
      </c>
      <c r="N46" s="9">
        <v>1996271.3</v>
      </c>
      <c r="O46" s="9">
        <v>4357805.96</v>
      </c>
      <c r="P46" s="125">
        <v>4357805.96</v>
      </c>
      <c r="Q46" s="125">
        <v>4357805.96</v>
      </c>
      <c r="R46" s="125">
        <v>4357805.96</v>
      </c>
      <c r="S46" s="125">
        <v>4357805.96</v>
      </c>
      <c r="T46" s="125">
        <v>4357805.96</v>
      </c>
      <c r="U46" s="125">
        <v>4357805.96</v>
      </c>
      <c r="V46" s="131">
        <v>4357805.96</v>
      </c>
      <c r="W46" s="138">
        <v>4357805.96</v>
      </c>
      <c r="X46" s="164">
        <v>4357805.96</v>
      </c>
      <c r="Y46" s="166">
        <v>4357805.96</v>
      </c>
      <c r="Z46" s="166">
        <v>4357805.96</v>
      </c>
      <c r="AA46" s="166">
        <v>4357805.96</v>
      </c>
      <c r="AB46" s="160">
        <v>5148320.96</v>
      </c>
    </row>
    <row r="47" spans="1:30" ht="12.75">
      <c r="A47" s="11"/>
      <c r="B47" s="7" t="s">
        <v>62</v>
      </c>
      <c r="C47" s="9">
        <v>0</v>
      </c>
      <c r="D47" s="9">
        <v>0</v>
      </c>
      <c r="E47" s="9">
        <v>0</v>
      </c>
      <c r="F47" s="9">
        <v>0</v>
      </c>
      <c r="G47" s="8">
        <v>0</v>
      </c>
      <c r="H47" s="8">
        <v>0</v>
      </c>
      <c r="I47" s="105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/>
      <c r="P47" s="125">
        <v>0</v>
      </c>
      <c r="Q47" s="125">
        <v>0</v>
      </c>
      <c r="R47" s="125">
        <v>0</v>
      </c>
      <c r="S47" s="125">
        <v>0</v>
      </c>
      <c r="T47" s="125">
        <v>0</v>
      </c>
      <c r="U47" s="125">
        <v>0</v>
      </c>
      <c r="V47" s="131">
        <v>0</v>
      </c>
      <c r="W47" s="137">
        <v>0</v>
      </c>
      <c r="X47" s="163">
        <v>0</v>
      </c>
      <c r="Y47" s="165">
        <v>0</v>
      </c>
      <c r="Z47" s="165">
        <v>0</v>
      </c>
      <c r="AA47" s="165">
        <v>0</v>
      </c>
      <c r="AB47" s="146"/>
    </row>
    <row r="48" spans="1:30" ht="15">
      <c r="A48" s="11"/>
      <c r="B48" s="7" t="s">
        <v>63</v>
      </c>
      <c r="C48" s="13">
        <v>0</v>
      </c>
      <c r="D48" s="13">
        <v>0</v>
      </c>
      <c r="E48" s="13">
        <v>0</v>
      </c>
      <c r="F48" s="13">
        <v>0</v>
      </c>
      <c r="G48" s="9">
        <v>0</v>
      </c>
      <c r="H48" s="9">
        <v>0</v>
      </c>
      <c r="I48" s="105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75">
        <v>3252077</v>
      </c>
      <c r="P48" s="126">
        <v>0</v>
      </c>
      <c r="Q48" s="126">
        <v>0</v>
      </c>
      <c r="R48" s="126">
        <v>0</v>
      </c>
      <c r="S48" s="126">
        <v>0</v>
      </c>
      <c r="T48" s="126">
        <v>0</v>
      </c>
      <c r="U48" s="126">
        <v>0</v>
      </c>
      <c r="V48" s="132">
        <v>0</v>
      </c>
      <c r="W48" s="137">
        <v>0</v>
      </c>
      <c r="X48" s="163">
        <v>0</v>
      </c>
      <c r="Y48" s="165">
        <v>0</v>
      </c>
      <c r="Z48" s="165">
        <v>0</v>
      </c>
      <c r="AA48" s="165">
        <v>0</v>
      </c>
      <c r="AB48" s="160">
        <v>3448973.95</v>
      </c>
    </row>
    <row r="49" spans="1:28" ht="12.75">
      <c r="A49" s="11"/>
      <c r="B49" s="7" t="s">
        <v>64</v>
      </c>
      <c r="C49" s="13">
        <v>0</v>
      </c>
      <c r="D49" s="13">
        <v>0</v>
      </c>
      <c r="E49" s="13">
        <v>0</v>
      </c>
      <c r="F49" s="13">
        <v>0</v>
      </c>
      <c r="G49" s="9">
        <v>0</v>
      </c>
      <c r="H49" s="9">
        <v>0</v>
      </c>
      <c r="I49" s="105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/>
      <c r="P49" s="126">
        <v>0</v>
      </c>
      <c r="Q49" s="126">
        <v>0</v>
      </c>
      <c r="R49" s="126">
        <v>0</v>
      </c>
      <c r="S49" s="126">
        <v>0</v>
      </c>
      <c r="T49" s="126">
        <v>0</v>
      </c>
      <c r="U49" s="126">
        <v>0</v>
      </c>
      <c r="V49" s="132">
        <v>0</v>
      </c>
      <c r="W49" s="137">
        <v>0</v>
      </c>
      <c r="X49" s="163">
        <v>0</v>
      </c>
      <c r="Y49" s="165">
        <v>0</v>
      </c>
      <c r="Z49" s="165">
        <v>0</v>
      </c>
      <c r="AA49" s="165">
        <v>0</v>
      </c>
      <c r="AB49" s="146"/>
    </row>
    <row r="50" spans="1:28" ht="12.75">
      <c r="A50" s="11"/>
      <c r="B50" s="10" t="s">
        <v>65</v>
      </c>
      <c r="C50" s="8">
        <f t="shared" ref="C50:F50" si="19">SUM(C39+C40+C41+C44)</f>
        <v>54173123.079999998</v>
      </c>
      <c r="D50" s="8">
        <f t="shared" si="19"/>
        <v>46780605.399999999</v>
      </c>
      <c r="E50" s="8">
        <f t="shared" si="19"/>
        <v>48819888.809999995</v>
      </c>
      <c r="F50" s="8">
        <f t="shared" si="19"/>
        <v>49097727.539999999</v>
      </c>
      <c r="G50" s="8">
        <f t="shared" ref="G50:H50" si="20">SUM(G39+G40+G41+G44)</f>
        <v>52362475.539999999</v>
      </c>
      <c r="H50" s="8">
        <f t="shared" si="20"/>
        <v>54611878.149999999</v>
      </c>
      <c r="I50" s="8">
        <f t="shared" ref="I50:O50" si="21">SUM(I39+I40+I41+I44)</f>
        <v>57227673.440000005</v>
      </c>
      <c r="J50" s="8">
        <f t="shared" si="21"/>
        <v>49460296.100000001</v>
      </c>
      <c r="K50" s="8">
        <f t="shared" si="21"/>
        <v>51673575.379999995</v>
      </c>
      <c r="L50" s="8">
        <f t="shared" si="21"/>
        <v>53561707.390000001</v>
      </c>
      <c r="M50" s="8">
        <f t="shared" si="21"/>
        <v>55595604.019999996</v>
      </c>
      <c r="N50" s="8">
        <f t="shared" si="21"/>
        <v>56427608.879999995</v>
      </c>
      <c r="O50" s="8">
        <f t="shared" si="21"/>
        <v>58765957.900000006</v>
      </c>
      <c r="P50" s="8">
        <f t="shared" ref="P50:AB50" si="22">SUM(P39+P40+P41+P44)</f>
        <v>55915729.659999996</v>
      </c>
      <c r="Q50" s="8">
        <f t="shared" si="22"/>
        <v>55757083.420000002</v>
      </c>
      <c r="R50" s="8">
        <f t="shared" si="22"/>
        <v>56157354.640000001</v>
      </c>
      <c r="S50" s="8">
        <f t="shared" si="22"/>
        <v>58186508.189999998</v>
      </c>
      <c r="T50" s="8">
        <f t="shared" si="22"/>
        <v>59270906</v>
      </c>
      <c r="U50" s="8">
        <f t="shared" si="22"/>
        <v>60489517.480000004</v>
      </c>
      <c r="V50" s="8">
        <f t="shared" si="22"/>
        <v>60610194.620000005</v>
      </c>
      <c r="W50" s="8">
        <f t="shared" si="22"/>
        <v>61355804.049999997</v>
      </c>
      <c r="X50" s="8">
        <f t="shared" ref="X50:AA50" si="23">SUM(X39+X40+X41+X44)</f>
        <v>61031105.420000002</v>
      </c>
      <c r="Y50" s="8">
        <f t="shared" si="23"/>
        <v>63498744.329999998</v>
      </c>
      <c r="Z50" s="8">
        <f t="shared" si="23"/>
        <v>63939298.120000005</v>
      </c>
      <c r="AA50" s="8">
        <f t="shared" si="23"/>
        <v>65592426.760000005</v>
      </c>
      <c r="AB50" s="159">
        <f t="shared" si="22"/>
        <v>67503997.730000004</v>
      </c>
    </row>
    <row r="51" spans="1:28" ht="12.75">
      <c r="A51" s="11"/>
      <c r="B51" s="10" t="s">
        <v>66</v>
      </c>
      <c r="C51" s="8">
        <f t="shared" ref="C51:F51" si="24">SUM(C38+C50)</f>
        <v>188148811.36000001</v>
      </c>
      <c r="D51" s="8">
        <f t="shared" si="24"/>
        <v>189140188.09999999</v>
      </c>
      <c r="E51" s="8">
        <f t="shared" si="24"/>
        <v>191739331.71000001</v>
      </c>
      <c r="F51" s="8">
        <f t="shared" si="24"/>
        <v>193627837.60999998</v>
      </c>
      <c r="G51" s="8">
        <f t="shared" ref="G51:H51" si="25">SUM(G38+G50)</f>
        <v>191319735.26999998</v>
      </c>
      <c r="H51" s="8">
        <f t="shared" si="25"/>
        <v>194777154.75</v>
      </c>
      <c r="I51" s="8">
        <f t="shared" ref="I51:O51" si="26">SUM(I38+I50)</f>
        <v>198777257.47</v>
      </c>
      <c r="J51" s="8">
        <f t="shared" si="26"/>
        <v>204649174.88</v>
      </c>
      <c r="K51" s="8">
        <f t="shared" si="26"/>
        <v>205184087.25</v>
      </c>
      <c r="L51" s="8">
        <f t="shared" si="26"/>
        <v>205826548</v>
      </c>
      <c r="M51" s="8">
        <f t="shared" si="26"/>
        <v>210153964.88999999</v>
      </c>
      <c r="N51" s="8">
        <f t="shared" si="26"/>
        <v>201655252.66</v>
      </c>
      <c r="O51" s="8">
        <f t="shared" si="26"/>
        <v>222933921.90000001</v>
      </c>
      <c r="P51" s="8">
        <f t="shared" ref="P51:AB51" si="27">SUM(P38+P50)</f>
        <v>229555304.40000001</v>
      </c>
      <c r="Q51" s="8">
        <f t="shared" si="27"/>
        <v>229565774.15000004</v>
      </c>
      <c r="R51" s="8">
        <f t="shared" si="27"/>
        <v>223415888.70999998</v>
      </c>
      <c r="S51" s="8">
        <f t="shared" si="27"/>
        <v>217876379.15000001</v>
      </c>
      <c r="T51" s="8">
        <f t="shared" si="27"/>
        <v>229845076.34</v>
      </c>
      <c r="U51" s="8">
        <f t="shared" si="27"/>
        <v>229848095.12</v>
      </c>
      <c r="V51" s="8">
        <f t="shared" si="27"/>
        <v>236777162.96000001</v>
      </c>
      <c r="W51" s="8">
        <f t="shared" si="27"/>
        <v>243484534.76999998</v>
      </c>
      <c r="X51" s="8">
        <f t="shared" ref="X51:AA51" si="28">SUM(X38+X50)</f>
        <v>243985200.25999999</v>
      </c>
      <c r="Y51" s="8">
        <f t="shared" si="28"/>
        <v>245242486.64999998</v>
      </c>
      <c r="Z51" s="8">
        <f t="shared" si="28"/>
        <v>247826980.28</v>
      </c>
      <c r="AA51" s="8">
        <f t="shared" si="28"/>
        <v>250797727.00999999</v>
      </c>
      <c r="AB51" s="8">
        <f t="shared" si="27"/>
        <v>260823376.73000002</v>
      </c>
    </row>
    <row r="52" spans="1:28" ht="12.75">
      <c r="A52" s="1"/>
      <c r="B52" s="3"/>
      <c r="C52" s="3"/>
      <c r="D52" s="3"/>
      <c r="E52" s="3"/>
      <c r="F52" s="3"/>
      <c r="G52" s="3"/>
    </row>
    <row r="53" spans="1:28">
      <c r="A53" s="1"/>
      <c r="B53" s="3"/>
      <c r="C53" s="3"/>
      <c r="D53" s="3"/>
      <c r="E53" s="3"/>
      <c r="F53" s="3"/>
      <c r="G5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8"/>
  <sheetViews>
    <sheetView topLeftCell="A19" workbookViewId="0">
      <pane xSplit="2" topLeftCell="V1" activePane="topRight" state="frozen"/>
      <selection pane="topRight" activeCell="AE9" sqref="AE9"/>
    </sheetView>
  </sheetViews>
  <sheetFormatPr defaultColWidth="9.140625" defaultRowHeight="13.15"/>
  <cols>
    <col min="1" max="1" width="9.28515625" style="18" bestFit="1" customWidth="1"/>
    <col min="2" max="2" width="69.85546875" style="18" customWidth="1"/>
    <col min="3" max="4" width="17.140625" style="18" customWidth="1"/>
    <col min="5" max="5" width="17.140625" style="18" bestFit="1" customWidth="1"/>
    <col min="6" max="6" width="17.140625" style="18" customWidth="1"/>
    <col min="7" max="7" width="19" style="18" customWidth="1"/>
    <col min="8" max="8" width="16.7109375" style="18" bestFit="1" customWidth="1"/>
    <col min="9" max="10" width="16.7109375" style="18" customWidth="1"/>
    <col min="11" max="11" width="16.7109375" style="18" bestFit="1" customWidth="1"/>
    <col min="12" max="13" width="16.7109375" style="18" customWidth="1"/>
    <col min="14" max="14" width="16.7109375" style="18" bestFit="1" customWidth="1"/>
    <col min="15" max="15" width="16.42578125" style="18" bestFit="1" customWidth="1"/>
    <col min="16" max="16" width="12.42578125" style="18" customWidth="1"/>
    <col min="17" max="21" width="14.140625" style="18" customWidth="1"/>
    <col min="22" max="22" width="15.140625" style="18" customWidth="1"/>
    <col min="23" max="23" width="15.7109375" style="18" customWidth="1"/>
    <col min="24" max="24" width="12.85546875" style="18" customWidth="1"/>
    <col min="25" max="25" width="14.28515625" style="18" customWidth="1"/>
    <col min="26" max="26" width="16.140625" style="18" customWidth="1"/>
    <col min="27" max="27" width="16.28515625" style="18" customWidth="1"/>
    <col min="28" max="28" width="14.7109375" style="18" customWidth="1"/>
    <col min="29" max="29" width="9.140625" style="18"/>
    <col min="30" max="30" width="10.85546875" style="18" bestFit="1" customWidth="1"/>
    <col min="31" max="16384" width="9.140625" style="18"/>
  </cols>
  <sheetData>
    <row r="1" spans="1:28">
      <c r="A1" s="67" t="s">
        <v>0</v>
      </c>
      <c r="B1" s="67"/>
      <c r="C1" s="3"/>
      <c r="D1" s="3"/>
      <c r="E1" s="3"/>
      <c r="F1" s="3"/>
      <c r="G1" s="3"/>
    </row>
    <row r="2" spans="1:28">
      <c r="A2" s="28" t="s">
        <v>67</v>
      </c>
      <c r="B2" s="29"/>
      <c r="C2" s="3"/>
      <c r="D2" s="3"/>
      <c r="E2" s="3"/>
      <c r="F2" s="3"/>
      <c r="G2" s="3"/>
    </row>
    <row r="3" spans="1:28">
      <c r="A3" s="20" t="s">
        <v>2</v>
      </c>
      <c r="B3" s="20"/>
      <c r="C3" s="72" t="s">
        <v>3</v>
      </c>
      <c r="D3" s="72" t="s">
        <v>4</v>
      </c>
      <c r="E3" s="72" t="s">
        <v>5</v>
      </c>
      <c r="F3" s="72" t="s">
        <v>6</v>
      </c>
      <c r="G3" s="72" t="s">
        <v>7</v>
      </c>
      <c r="H3" s="72" t="s">
        <v>8</v>
      </c>
      <c r="I3" s="123" t="s">
        <v>9</v>
      </c>
      <c r="J3" s="72" t="s">
        <v>10</v>
      </c>
      <c r="K3" s="72" t="s">
        <v>11</v>
      </c>
      <c r="L3" s="72" t="s">
        <v>12</v>
      </c>
      <c r="M3" s="72" t="s">
        <v>13</v>
      </c>
      <c r="N3" s="76" t="s">
        <v>14</v>
      </c>
      <c r="O3" s="86" t="s">
        <v>15</v>
      </c>
      <c r="P3" s="124">
        <v>44583</v>
      </c>
      <c r="Q3" s="124">
        <v>44614</v>
      </c>
      <c r="R3" s="124">
        <v>44642</v>
      </c>
      <c r="S3" s="124">
        <v>44673</v>
      </c>
      <c r="T3" s="124">
        <v>44703</v>
      </c>
      <c r="U3" s="124">
        <v>44734</v>
      </c>
      <c r="V3" s="124">
        <v>44764</v>
      </c>
      <c r="W3" s="124">
        <v>44795</v>
      </c>
      <c r="X3" s="124">
        <v>44805</v>
      </c>
      <c r="Y3" s="124">
        <v>44835</v>
      </c>
      <c r="Z3" s="124">
        <v>44866</v>
      </c>
      <c r="AA3" s="124">
        <v>44896</v>
      </c>
      <c r="AB3" s="18" t="s">
        <v>16</v>
      </c>
    </row>
    <row r="4" spans="1:28" ht="12.75">
      <c r="A4" s="30">
        <v>1</v>
      </c>
      <c r="B4" s="31" t="s">
        <v>68</v>
      </c>
      <c r="C4" s="32">
        <v>26153074.059999999</v>
      </c>
      <c r="D4" s="32">
        <v>5625994.0899999999</v>
      </c>
      <c r="E4" s="32">
        <v>8800240.2899999991</v>
      </c>
      <c r="F4" s="32">
        <v>10359912.33</v>
      </c>
      <c r="G4" s="32">
        <v>14479136.5</v>
      </c>
      <c r="H4" s="113">
        <v>17794512.100000001</v>
      </c>
      <c r="I4" s="107">
        <v>21321915.68</v>
      </c>
      <c r="J4" s="118">
        <v>25725136.149999999</v>
      </c>
      <c r="K4" s="32">
        <v>28671203</v>
      </c>
      <c r="L4" s="32">
        <v>32055994.579999998</v>
      </c>
      <c r="M4" s="32">
        <v>34998235.409999996</v>
      </c>
      <c r="N4" s="32">
        <v>39607908.520000003</v>
      </c>
      <c r="O4" s="32">
        <f>O5+O8</f>
        <v>39856481</v>
      </c>
      <c r="P4" s="32">
        <f t="shared" ref="P4:AB4" si="0">P5+P8</f>
        <v>769720.99</v>
      </c>
      <c r="Q4" s="32">
        <f t="shared" si="0"/>
        <v>1406802.9300000002</v>
      </c>
      <c r="R4" s="32">
        <f t="shared" si="0"/>
        <v>2724356.67</v>
      </c>
      <c r="S4" s="32">
        <f t="shared" si="0"/>
        <v>6005760.54</v>
      </c>
      <c r="T4" s="32">
        <f t="shared" si="0"/>
        <v>8293536.1600000001</v>
      </c>
      <c r="U4" s="32">
        <f t="shared" si="0"/>
        <v>9624665.6999999993</v>
      </c>
      <c r="V4" s="32">
        <f t="shared" si="0"/>
        <v>22732298.200000003</v>
      </c>
      <c r="W4" s="32">
        <f t="shared" si="0"/>
        <v>20780612.609999999</v>
      </c>
      <c r="X4" s="169">
        <v>32194253.18</v>
      </c>
      <c r="Y4" s="170">
        <v>35786689.390000001</v>
      </c>
      <c r="Z4" s="170">
        <v>37015193.369999997</v>
      </c>
      <c r="AA4" s="170">
        <v>40196197.130000003</v>
      </c>
      <c r="AB4" s="32">
        <f t="shared" si="0"/>
        <v>42267504</v>
      </c>
    </row>
    <row r="5" spans="1:28" ht="15">
      <c r="A5" s="67">
        <v>2</v>
      </c>
      <c r="B5" s="31" t="s">
        <v>69</v>
      </c>
      <c r="C5" s="74">
        <v>21163467.530000001</v>
      </c>
      <c r="D5" s="74">
        <v>4783810.3</v>
      </c>
      <c r="E5" s="74">
        <v>7371541.7699999996</v>
      </c>
      <c r="F5" s="74">
        <v>8633208.3100000005</v>
      </c>
      <c r="G5" s="87">
        <v>11535162.859999999</v>
      </c>
      <c r="H5" s="114">
        <v>14226271.83</v>
      </c>
      <c r="I5" s="108">
        <v>16984766.359999999</v>
      </c>
      <c r="J5" s="119">
        <v>20729231.829999998</v>
      </c>
      <c r="K5" s="91">
        <v>23136893.039999999</v>
      </c>
      <c r="L5" s="91">
        <v>25748675.09</v>
      </c>
      <c r="M5" s="91">
        <v>28215679</v>
      </c>
      <c r="N5" s="91">
        <v>32093553.350000001</v>
      </c>
      <c r="O5" s="91">
        <f>O6+O7</f>
        <v>38680363</v>
      </c>
      <c r="P5" s="91">
        <f t="shared" ref="P5:U5" si="1">P6+P7</f>
        <v>271961.89</v>
      </c>
      <c r="Q5" s="91">
        <f t="shared" si="1"/>
        <v>560586.83000000007</v>
      </c>
      <c r="R5" s="91">
        <f t="shared" si="1"/>
        <v>1037674.5700000001</v>
      </c>
      <c r="S5" s="91">
        <f t="shared" si="1"/>
        <v>3020931.43</v>
      </c>
      <c r="T5" s="91">
        <f t="shared" si="1"/>
        <v>3553976.6</v>
      </c>
      <c r="U5" s="91">
        <f t="shared" si="1"/>
        <v>4072571.14</v>
      </c>
      <c r="V5" s="133">
        <v>17657830.920000002</v>
      </c>
      <c r="W5" s="140">
        <v>20780612.609999999</v>
      </c>
      <c r="X5" s="172">
        <v>25549464.899999999</v>
      </c>
      <c r="Y5" s="174">
        <v>28554693.34</v>
      </c>
      <c r="Z5" s="174">
        <v>29581357.32</v>
      </c>
      <c r="AA5" s="174">
        <v>32283641.079999998</v>
      </c>
      <c r="AB5" s="160">
        <v>31904066</v>
      </c>
    </row>
    <row r="6" spans="1:28" ht="12.75">
      <c r="A6" s="30">
        <v>2.1</v>
      </c>
      <c r="B6" s="33" t="s">
        <v>70</v>
      </c>
      <c r="C6" s="75">
        <v>18951478.030000001</v>
      </c>
      <c r="D6" s="75">
        <v>4030548.9</v>
      </c>
      <c r="E6" s="75">
        <v>6130837.6699999999</v>
      </c>
      <c r="F6" s="75">
        <v>7210830.71</v>
      </c>
      <c r="G6" s="88">
        <v>9661087.5600000005</v>
      </c>
      <c r="H6" s="114">
        <v>12033899.83</v>
      </c>
      <c r="I6" s="109">
        <v>14355932.16</v>
      </c>
      <c r="J6" s="119">
        <v>17611502.329999998</v>
      </c>
      <c r="K6" s="91">
        <v>19679354.84</v>
      </c>
      <c r="L6" s="91">
        <v>21980809.289999999</v>
      </c>
      <c r="M6" s="91">
        <v>24118145.800000001</v>
      </c>
      <c r="N6" s="91">
        <v>27728406.050000001</v>
      </c>
      <c r="O6" s="91">
        <v>30137296</v>
      </c>
      <c r="P6" s="127">
        <v>247107.89</v>
      </c>
      <c r="Q6" s="127">
        <v>496047.53</v>
      </c>
      <c r="R6" s="127">
        <v>900582.77</v>
      </c>
      <c r="S6" s="127">
        <v>2839488.43</v>
      </c>
      <c r="T6" s="127">
        <v>3097488.6</v>
      </c>
      <c r="U6" s="127">
        <v>3481563.64</v>
      </c>
      <c r="V6" s="134">
        <v>15373875.42</v>
      </c>
      <c r="W6" s="142">
        <v>18087766.510000002</v>
      </c>
      <c r="X6" s="176">
        <v>22203283.300000001</v>
      </c>
      <c r="Y6" s="178">
        <v>24697584.739999998</v>
      </c>
      <c r="Z6" s="178">
        <v>25627817.920000002</v>
      </c>
      <c r="AA6" s="178">
        <v>27888353.579999998</v>
      </c>
    </row>
    <row r="7" spans="1:28" ht="12.75">
      <c r="A7" s="30">
        <v>2.2000000000000002</v>
      </c>
      <c r="B7" s="33" t="s">
        <v>71</v>
      </c>
      <c r="C7" s="75">
        <v>2211989.5</v>
      </c>
      <c r="D7" s="75">
        <v>753261.4</v>
      </c>
      <c r="E7" s="75">
        <v>1240704.1000000001</v>
      </c>
      <c r="F7" s="75">
        <v>1422377.6</v>
      </c>
      <c r="G7" s="88">
        <v>1874075.3</v>
      </c>
      <c r="H7" s="114">
        <v>2192372</v>
      </c>
      <c r="I7" s="109">
        <v>2628834.2000000002</v>
      </c>
      <c r="J7" s="119">
        <v>3117729.5</v>
      </c>
      <c r="K7" s="91">
        <v>3457538.2</v>
      </c>
      <c r="L7" s="91">
        <v>3767865.8</v>
      </c>
      <c r="M7" s="91">
        <v>4097533.2</v>
      </c>
      <c r="N7" s="91">
        <v>4365147.3</v>
      </c>
      <c r="O7" s="91">
        <v>8543067</v>
      </c>
      <c r="P7" s="127">
        <v>24854</v>
      </c>
      <c r="Q7" s="127">
        <v>64539.3</v>
      </c>
      <c r="R7" s="127">
        <v>137091.79999999999</v>
      </c>
      <c r="S7" s="127">
        <v>181443</v>
      </c>
      <c r="T7" s="127">
        <v>456488</v>
      </c>
      <c r="U7" s="127">
        <v>591007.5</v>
      </c>
      <c r="V7" s="134">
        <v>2283955.5</v>
      </c>
      <c r="W7" s="142">
        <v>2692846.1</v>
      </c>
      <c r="X7" s="176">
        <v>3346181.6</v>
      </c>
      <c r="Y7" s="178">
        <v>3857108.6</v>
      </c>
      <c r="Z7" s="178">
        <v>3953539.4</v>
      </c>
      <c r="AA7" s="178">
        <v>4395287.5</v>
      </c>
    </row>
    <row r="8" spans="1:28" ht="12.75">
      <c r="A8" s="30">
        <v>3</v>
      </c>
      <c r="B8" s="31" t="s">
        <v>72</v>
      </c>
      <c r="C8" s="34">
        <v>0</v>
      </c>
      <c r="D8" s="34">
        <v>0</v>
      </c>
      <c r="E8" s="34">
        <v>0</v>
      </c>
      <c r="F8" s="34">
        <v>0</v>
      </c>
      <c r="G8" s="89">
        <v>0</v>
      </c>
      <c r="H8" s="115">
        <v>0</v>
      </c>
      <c r="I8" s="110">
        <v>0</v>
      </c>
      <c r="J8" s="120">
        <v>0</v>
      </c>
      <c r="K8" s="92">
        <v>0</v>
      </c>
      <c r="L8" s="92">
        <v>0</v>
      </c>
      <c r="M8" s="92">
        <v>0</v>
      </c>
      <c r="N8" s="92">
        <v>0</v>
      </c>
      <c r="O8" s="92">
        <f>O9+O10+O11+O12</f>
        <v>1176118</v>
      </c>
      <c r="P8" s="92">
        <f t="shared" ref="P8:AB8" si="2">P9+P10+P11+P12</f>
        <v>497759.1</v>
      </c>
      <c r="Q8" s="92">
        <f t="shared" si="2"/>
        <v>846216.1</v>
      </c>
      <c r="R8" s="92">
        <f t="shared" si="2"/>
        <v>1686682.1</v>
      </c>
      <c r="S8" s="92">
        <f t="shared" si="2"/>
        <v>2984829.11</v>
      </c>
      <c r="T8" s="92">
        <f t="shared" si="2"/>
        <v>4739559.5599999996</v>
      </c>
      <c r="U8" s="92">
        <f t="shared" si="2"/>
        <v>5552094.5599999996</v>
      </c>
      <c r="V8" s="92">
        <f t="shared" si="2"/>
        <v>5074467.28</v>
      </c>
      <c r="W8" s="92">
        <f t="shared" si="2"/>
        <v>0</v>
      </c>
      <c r="X8" s="171">
        <v>0</v>
      </c>
      <c r="Y8" s="173">
        <v>0</v>
      </c>
      <c r="Z8" s="173">
        <v>0</v>
      </c>
      <c r="AA8" s="173">
        <v>0</v>
      </c>
      <c r="AB8" s="92">
        <f t="shared" si="2"/>
        <v>10363438</v>
      </c>
    </row>
    <row r="9" spans="1:28" ht="12.75">
      <c r="A9" s="30">
        <v>3.1</v>
      </c>
      <c r="B9" s="33" t="s">
        <v>73</v>
      </c>
      <c r="C9" s="75">
        <v>0</v>
      </c>
      <c r="D9" s="75">
        <v>0</v>
      </c>
      <c r="E9" s="75">
        <v>0</v>
      </c>
      <c r="F9" s="75">
        <v>0</v>
      </c>
      <c r="G9" s="88">
        <v>0</v>
      </c>
      <c r="H9" s="114">
        <v>0</v>
      </c>
      <c r="I9" s="111">
        <v>0</v>
      </c>
      <c r="J9" s="119">
        <v>0</v>
      </c>
      <c r="K9" s="91">
        <v>0</v>
      </c>
      <c r="L9" s="91">
        <v>0</v>
      </c>
      <c r="M9" s="91">
        <v>0</v>
      </c>
      <c r="N9" s="91">
        <v>0</v>
      </c>
      <c r="O9" s="91"/>
      <c r="P9" s="127">
        <v>0</v>
      </c>
      <c r="Q9" s="127">
        <v>0</v>
      </c>
      <c r="R9" s="127">
        <v>0</v>
      </c>
      <c r="S9" s="127">
        <v>0</v>
      </c>
      <c r="T9" s="127">
        <v>0</v>
      </c>
      <c r="U9" s="127">
        <v>0</v>
      </c>
      <c r="V9" s="134">
        <v>0</v>
      </c>
      <c r="W9" s="143">
        <v>0</v>
      </c>
      <c r="X9" s="175">
        <v>0</v>
      </c>
      <c r="Y9" s="177">
        <v>0</v>
      </c>
      <c r="Z9" s="177">
        <v>0</v>
      </c>
      <c r="AA9" s="177">
        <v>0</v>
      </c>
    </row>
    <row r="10" spans="1:28" ht="15">
      <c r="A10" s="30">
        <v>3.2</v>
      </c>
      <c r="B10" s="33" t="s">
        <v>74</v>
      </c>
      <c r="C10" s="75">
        <v>0</v>
      </c>
      <c r="D10" s="75">
        <v>0</v>
      </c>
      <c r="E10" s="75">
        <v>0</v>
      </c>
      <c r="F10" s="75">
        <v>0</v>
      </c>
      <c r="G10" s="88">
        <v>0</v>
      </c>
      <c r="H10" s="114">
        <v>0</v>
      </c>
      <c r="I10" s="111">
        <v>0</v>
      </c>
      <c r="J10" s="119">
        <v>0</v>
      </c>
      <c r="K10" s="91">
        <v>0</v>
      </c>
      <c r="L10" s="91">
        <v>0</v>
      </c>
      <c r="M10" s="91">
        <v>0</v>
      </c>
      <c r="N10" s="91">
        <v>0</v>
      </c>
      <c r="O10" s="91">
        <v>966917</v>
      </c>
      <c r="P10" s="127">
        <v>0</v>
      </c>
      <c r="Q10" s="127">
        <v>0</v>
      </c>
      <c r="R10" s="127">
        <v>0</v>
      </c>
      <c r="S10" s="127">
        <v>0</v>
      </c>
      <c r="T10" s="127">
        <v>0</v>
      </c>
      <c r="U10" s="127">
        <v>0</v>
      </c>
      <c r="V10" s="134">
        <v>0</v>
      </c>
      <c r="W10" s="141">
        <v>0</v>
      </c>
      <c r="X10" s="175">
        <v>0</v>
      </c>
      <c r="Y10" s="177">
        <v>0</v>
      </c>
      <c r="Z10" s="177">
        <v>0</v>
      </c>
      <c r="AA10" s="177">
        <v>0</v>
      </c>
      <c r="AB10" s="160">
        <v>1025964</v>
      </c>
    </row>
    <row r="11" spans="1:28" ht="12.75">
      <c r="A11" s="30">
        <v>3.3</v>
      </c>
      <c r="B11" s="33" t="s">
        <v>75</v>
      </c>
      <c r="C11" s="75">
        <v>0</v>
      </c>
      <c r="D11" s="75">
        <v>0</v>
      </c>
      <c r="E11" s="75">
        <v>0</v>
      </c>
      <c r="F11" s="75">
        <v>0</v>
      </c>
      <c r="G11" s="88">
        <v>0</v>
      </c>
      <c r="H11" s="114">
        <v>0</v>
      </c>
      <c r="I11" s="111">
        <v>0</v>
      </c>
      <c r="J11" s="119">
        <v>0</v>
      </c>
      <c r="K11" s="91">
        <v>0</v>
      </c>
      <c r="L11" s="91">
        <v>0</v>
      </c>
      <c r="M11" s="91">
        <v>0</v>
      </c>
      <c r="N11" s="91">
        <v>0</v>
      </c>
      <c r="O11" s="91">
        <v>209201</v>
      </c>
      <c r="P11" s="127">
        <v>0</v>
      </c>
      <c r="Q11" s="127">
        <v>0</v>
      </c>
      <c r="R11" s="127">
        <v>0</v>
      </c>
      <c r="S11" s="127">
        <v>0</v>
      </c>
      <c r="T11" s="127">
        <v>0</v>
      </c>
      <c r="U11" s="127">
        <v>0</v>
      </c>
      <c r="V11" s="134">
        <v>0</v>
      </c>
      <c r="W11" s="141">
        <v>0</v>
      </c>
      <c r="X11" s="175">
        <v>0</v>
      </c>
      <c r="Y11" s="177">
        <v>0</v>
      </c>
      <c r="Z11" s="177">
        <v>0</v>
      </c>
      <c r="AA11" s="177">
        <v>0</v>
      </c>
    </row>
    <row r="12" spans="1:28" ht="15">
      <c r="A12" s="30">
        <v>3.4</v>
      </c>
      <c r="B12" s="35" t="s">
        <v>76</v>
      </c>
      <c r="C12" s="74">
        <v>4989606.53</v>
      </c>
      <c r="D12" s="74">
        <v>842183.79</v>
      </c>
      <c r="E12" s="74">
        <v>1428698.52</v>
      </c>
      <c r="F12" s="74">
        <v>1726704.02</v>
      </c>
      <c r="G12" s="87">
        <v>2943973.64</v>
      </c>
      <c r="H12" s="114">
        <v>3568240.27</v>
      </c>
      <c r="I12" s="108">
        <v>4337149.32</v>
      </c>
      <c r="J12" s="119">
        <v>4995904.32</v>
      </c>
      <c r="K12" s="91">
        <v>5534309.96</v>
      </c>
      <c r="L12" s="91">
        <v>6307319.4900000002</v>
      </c>
      <c r="M12" s="91">
        <v>6782556.4100000001</v>
      </c>
      <c r="N12" s="91">
        <v>7514355.1699999999</v>
      </c>
      <c r="O12" s="91"/>
      <c r="P12" s="128">
        <v>497759.1</v>
      </c>
      <c r="Q12" s="128">
        <v>846216.1</v>
      </c>
      <c r="R12" s="128">
        <v>1686682.1</v>
      </c>
      <c r="S12" s="128">
        <v>2984829.11</v>
      </c>
      <c r="T12" s="128">
        <v>4739559.5599999996</v>
      </c>
      <c r="U12" s="128">
        <v>5552094.5599999996</v>
      </c>
      <c r="V12" s="133">
        <v>5074467.28</v>
      </c>
      <c r="W12" s="144">
        <v>0</v>
      </c>
      <c r="X12" s="172">
        <v>6644788.2800000003</v>
      </c>
      <c r="Y12" s="174">
        <v>7231996.0499999998</v>
      </c>
      <c r="Z12" s="174">
        <v>7433836.0499999998</v>
      </c>
      <c r="AA12" s="174">
        <v>7912556.0499999998</v>
      </c>
      <c r="AB12" s="160">
        <v>9337474</v>
      </c>
    </row>
    <row r="13" spans="1:28" ht="12.75">
      <c r="A13" s="30">
        <v>4</v>
      </c>
      <c r="B13" s="31" t="s">
        <v>77</v>
      </c>
      <c r="C13" s="34">
        <v>2374091</v>
      </c>
      <c r="D13" s="34">
        <v>43717</v>
      </c>
      <c r="E13" s="34">
        <v>52527</v>
      </c>
      <c r="F13" s="34">
        <v>87485</v>
      </c>
      <c r="G13" s="89">
        <v>92195</v>
      </c>
      <c r="H13" s="116">
        <v>326356.3</v>
      </c>
      <c r="I13" s="112">
        <v>442786.96</v>
      </c>
      <c r="J13" s="121">
        <v>454220.96</v>
      </c>
      <c r="K13" s="93">
        <v>462714.96</v>
      </c>
      <c r="L13" s="93">
        <v>567218.96</v>
      </c>
      <c r="M13" s="93">
        <v>659453.96</v>
      </c>
      <c r="N13" s="93">
        <v>1822664.96</v>
      </c>
      <c r="O13" s="93">
        <f>O14+O15+O16+O17+O18+O19</f>
        <v>8688629</v>
      </c>
      <c r="P13" s="93">
        <f t="shared" ref="P13:AB13" si="3">P14+P15+P16+P17+P18+P19</f>
        <v>0</v>
      </c>
      <c r="Q13" s="93">
        <f t="shared" si="3"/>
        <v>0</v>
      </c>
      <c r="R13" s="93">
        <f t="shared" si="3"/>
        <v>0</v>
      </c>
      <c r="S13" s="93">
        <f t="shared" si="3"/>
        <v>0</v>
      </c>
      <c r="T13" s="93">
        <f t="shared" si="3"/>
        <v>0</v>
      </c>
      <c r="U13" s="93">
        <f t="shared" si="3"/>
        <v>1178990.57</v>
      </c>
      <c r="V13" s="93">
        <f t="shared" si="3"/>
        <v>1009364.55</v>
      </c>
      <c r="W13" s="93">
        <f t="shared" si="3"/>
        <v>1123405.3900000001</v>
      </c>
      <c r="X13" s="172">
        <v>1163602.45</v>
      </c>
      <c r="Y13" s="174">
        <v>1266597.21</v>
      </c>
      <c r="Z13" s="174">
        <v>1271451.21</v>
      </c>
      <c r="AA13" s="174">
        <v>1640003.21</v>
      </c>
      <c r="AB13" s="93">
        <f t="shared" si="3"/>
        <v>10689887.119999999</v>
      </c>
    </row>
    <row r="14" spans="1:28" ht="15">
      <c r="A14" s="30">
        <v>4.2</v>
      </c>
      <c r="B14" s="33" t="s">
        <v>78</v>
      </c>
      <c r="C14" s="75">
        <v>8020</v>
      </c>
      <c r="D14" s="75">
        <v>0</v>
      </c>
      <c r="E14" s="75">
        <v>3710</v>
      </c>
      <c r="F14" s="75">
        <v>3710</v>
      </c>
      <c r="G14" s="88">
        <v>3710</v>
      </c>
      <c r="H14" s="114">
        <v>3710</v>
      </c>
      <c r="I14" s="109">
        <v>3710</v>
      </c>
      <c r="J14" s="119">
        <v>3710</v>
      </c>
      <c r="K14" s="91">
        <v>3710</v>
      </c>
      <c r="L14" s="91">
        <v>8515</v>
      </c>
      <c r="M14" s="91">
        <v>8515</v>
      </c>
      <c r="N14" s="91">
        <v>8515</v>
      </c>
      <c r="O14" s="91">
        <v>7859162</v>
      </c>
      <c r="P14" s="127">
        <v>0</v>
      </c>
      <c r="Q14" s="127">
        <v>0</v>
      </c>
      <c r="R14" s="127">
        <v>0</v>
      </c>
      <c r="S14" s="127">
        <v>0</v>
      </c>
      <c r="T14" s="127">
        <v>0</v>
      </c>
      <c r="U14" s="127">
        <v>0</v>
      </c>
      <c r="V14" s="134">
        <v>6370</v>
      </c>
      <c r="W14" s="145">
        <v>26370</v>
      </c>
      <c r="X14" s="176">
        <v>35892.5</v>
      </c>
      <c r="Y14" s="178">
        <v>35892.5</v>
      </c>
      <c r="Z14" s="178">
        <v>35892.5</v>
      </c>
      <c r="AA14" s="178">
        <v>78142.5</v>
      </c>
      <c r="AB14" s="160">
        <v>9041252.1199999992</v>
      </c>
    </row>
    <row r="15" spans="1:28" ht="15">
      <c r="A15" s="30">
        <v>4.3</v>
      </c>
      <c r="B15" s="33" t="s">
        <v>79</v>
      </c>
      <c r="C15" s="75">
        <v>409590</v>
      </c>
      <c r="D15" s="75">
        <v>16157</v>
      </c>
      <c r="E15" s="75">
        <v>16157</v>
      </c>
      <c r="F15" s="75">
        <v>51115</v>
      </c>
      <c r="G15" s="88">
        <v>51115</v>
      </c>
      <c r="H15" s="114">
        <v>275124.3</v>
      </c>
      <c r="I15" s="109">
        <v>360288.96</v>
      </c>
      <c r="J15" s="119">
        <v>360288.96</v>
      </c>
      <c r="K15" s="91">
        <v>360288.96</v>
      </c>
      <c r="L15" s="91">
        <v>451701.96</v>
      </c>
      <c r="M15" s="91">
        <v>536629.96</v>
      </c>
      <c r="N15" s="91">
        <v>697603.96</v>
      </c>
      <c r="O15" s="91">
        <v>697604</v>
      </c>
      <c r="P15" s="127">
        <v>0</v>
      </c>
      <c r="Q15" s="127">
        <v>0</v>
      </c>
      <c r="R15" s="127">
        <v>0</v>
      </c>
      <c r="S15" s="127">
        <v>0</v>
      </c>
      <c r="T15" s="127">
        <v>0</v>
      </c>
      <c r="U15" s="127">
        <v>1178990.57</v>
      </c>
      <c r="V15" s="134">
        <v>870400.55</v>
      </c>
      <c r="W15" s="142">
        <v>956353.39</v>
      </c>
      <c r="X15" s="176">
        <v>1042716.95</v>
      </c>
      <c r="Y15" s="178">
        <v>1135875.71</v>
      </c>
      <c r="Z15" s="178">
        <v>1135875.71</v>
      </c>
      <c r="AA15" s="178">
        <v>1458371.71</v>
      </c>
      <c r="AB15" s="160">
        <v>1458372</v>
      </c>
    </row>
    <row r="16" spans="1:28" ht="12.75">
      <c r="A16" s="30">
        <v>4.4000000000000004</v>
      </c>
      <c r="B16" s="33" t="s">
        <v>80</v>
      </c>
      <c r="C16" s="75">
        <v>0</v>
      </c>
      <c r="D16" s="75">
        <v>0</v>
      </c>
      <c r="E16" s="75">
        <v>0</v>
      </c>
      <c r="F16" s="75">
        <v>0</v>
      </c>
      <c r="G16" s="88">
        <v>0</v>
      </c>
      <c r="H16" s="114">
        <v>0</v>
      </c>
      <c r="I16" s="111">
        <v>0</v>
      </c>
      <c r="J16" s="119">
        <v>0</v>
      </c>
      <c r="K16" s="91">
        <v>0</v>
      </c>
      <c r="L16" s="91">
        <v>0</v>
      </c>
      <c r="M16" s="91">
        <v>0</v>
      </c>
      <c r="N16" s="91">
        <v>0</v>
      </c>
      <c r="O16" s="91"/>
      <c r="P16" s="127">
        <v>0</v>
      </c>
      <c r="Q16" s="127">
        <v>0</v>
      </c>
      <c r="R16" s="127">
        <v>0</v>
      </c>
      <c r="S16" s="127">
        <v>0</v>
      </c>
      <c r="T16" s="127">
        <v>0</v>
      </c>
      <c r="U16" s="127">
        <v>0</v>
      </c>
      <c r="V16" s="134">
        <v>0</v>
      </c>
      <c r="W16" s="141">
        <v>0</v>
      </c>
      <c r="X16" s="175">
        <v>0</v>
      </c>
      <c r="Y16" s="177">
        <v>0</v>
      </c>
      <c r="Z16" s="177">
        <v>0</v>
      </c>
      <c r="AA16" s="177">
        <v>0</v>
      </c>
    </row>
    <row r="17" spans="1:30" ht="12.75">
      <c r="A17" s="30">
        <v>4.5</v>
      </c>
      <c r="B17" s="33" t="s">
        <v>81</v>
      </c>
      <c r="C17" s="75">
        <v>1850000</v>
      </c>
      <c r="D17" s="75">
        <v>0</v>
      </c>
      <c r="E17" s="75">
        <v>0</v>
      </c>
      <c r="F17" s="75">
        <v>0</v>
      </c>
      <c r="G17" s="88">
        <v>0</v>
      </c>
      <c r="H17" s="114">
        <v>0</v>
      </c>
      <c r="I17" s="111">
        <v>0</v>
      </c>
      <c r="J17" s="119">
        <v>0</v>
      </c>
      <c r="K17" s="91">
        <v>0</v>
      </c>
      <c r="L17" s="91">
        <v>0</v>
      </c>
      <c r="M17" s="91">
        <v>0</v>
      </c>
      <c r="N17" s="91">
        <v>1000000</v>
      </c>
      <c r="O17" s="91"/>
      <c r="P17" s="127">
        <v>0</v>
      </c>
      <c r="Q17" s="127">
        <v>0</v>
      </c>
      <c r="R17" s="127">
        <v>0</v>
      </c>
      <c r="S17" s="127">
        <v>0</v>
      </c>
      <c r="T17" s="127">
        <v>0</v>
      </c>
      <c r="U17" s="127">
        <v>0</v>
      </c>
      <c r="V17" s="134">
        <v>0</v>
      </c>
      <c r="W17" s="141">
        <v>0</v>
      </c>
      <c r="X17" s="175">
        <v>0</v>
      </c>
      <c r="Y17" s="177">
        <v>0</v>
      </c>
      <c r="Z17" s="177">
        <v>0</v>
      </c>
      <c r="AA17" s="177">
        <v>0</v>
      </c>
    </row>
    <row r="18" spans="1:30" ht="12.75">
      <c r="A18" s="30">
        <v>4.5999999999999996</v>
      </c>
      <c r="B18" s="33" t="s">
        <v>82</v>
      </c>
      <c r="C18" s="75">
        <v>106481</v>
      </c>
      <c r="D18" s="75">
        <v>27560</v>
      </c>
      <c r="E18" s="75">
        <v>32660</v>
      </c>
      <c r="F18" s="75">
        <v>32660</v>
      </c>
      <c r="G18" s="88">
        <v>37370</v>
      </c>
      <c r="H18" s="114">
        <v>47522</v>
      </c>
      <c r="I18" s="109">
        <v>78788</v>
      </c>
      <c r="J18" s="119">
        <v>90222</v>
      </c>
      <c r="K18" s="91">
        <v>98716</v>
      </c>
      <c r="L18" s="91">
        <v>107002</v>
      </c>
      <c r="M18" s="91">
        <v>114309</v>
      </c>
      <c r="N18" s="91">
        <v>116546</v>
      </c>
      <c r="O18" s="91"/>
      <c r="P18" s="127">
        <v>0</v>
      </c>
      <c r="Q18" s="127">
        <v>0</v>
      </c>
      <c r="R18" s="127">
        <v>0</v>
      </c>
      <c r="S18" s="127">
        <v>0</v>
      </c>
      <c r="T18" s="127">
        <v>0</v>
      </c>
      <c r="U18" s="127">
        <v>0</v>
      </c>
      <c r="V18" s="134">
        <v>132594</v>
      </c>
      <c r="W18" s="142">
        <v>140682</v>
      </c>
      <c r="X18" s="176">
        <v>84993</v>
      </c>
      <c r="Y18" s="178">
        <v>94829</v>
      </c>
      <c r="Z18" s="178">
        <v>99683</v>
      </c>
      <c r="AA18" s="178">
        <v>103489</v>
      </c>
    </row>
    <row r="19" spans="1:30" ht="15">
      <c r="A19" s="30">
        <v>4.7</v>
      </c>
      <c r="B19" s="33" t="s">
        <v>83</v>
      </c>
      <c r="C19" s="75">
        <v>0</v>
      </c>
      <c r="D19" s="75">
        <v>0</v>
      </c>
      <c r="E19" s="75">
        <v>0</v>
      </c>
      <c r="F19" s="75">
        <v>0</v>
      </c>
      <c r="G19" s="88">
        <v>0</v>
      </c>
      <c r="H19" s="114">
        <v>0</v>
      </c>
      <c r="I19" s="111">
        <v>0</v>
      </c>
      <c r="J19" s="119">
        <v>0</v>
      </c>
      <c r="K19" s="91">
        <v>0</v>
      </c>
      <c r="L19" s="91">
        <v>0</v>
      </c>
      <c r="M19" s="91">
        <v>0</v>
      </c>
      <c r="N19" s="91">
        <v>0</v>
      </c>
      <c r="O19" s="91">
        <v>131863</v>
      </c>
      <c r="P19" s="127">
        <v>0</v>
      </c>
      <c r="Q19" s="127">
        <v>0</v>
      </c>
      <c r="R19" s="127">
        <v>0</v>
      </c>
      <c r="S19" s="127">
        <v>0</v>
      </c>
      <c r="T19" s="127">
        <v>0</v>
      </c>
      <c r="U19" s="127">
        <v>0</v>
      </c>
      <c r="V19" s="134">
        <v>0</v>
      </c>
      <c r="W19" s="141">
        <v>0</v>
      </c>
      <c r="X19" s="175">
        <v>0</v>
      </c>
      <c r="Y19" s="177">
        <v>0</v>
      </c>
      <c r="Z19" s="177">
        <v>0</v>
      </c>
      <c r="AA19" s="177">
        <v>0</v>
      </c>
      <c r="AB19" s="18">
        <v>190263</v>
      </c>
      <c r="AD19" s="160"/>
    </row>
    <row r="20" spans="1:30" ht="15">
      <c r="A20" s="30">
        <v>5</v>
      </c>
      <c r="B20" s="31" t="s">
        <v>84</v>
      </c>
      <c r="C20" s="34">
        <v>23778983.059999999</v>
      </c>
      <c r="D20" s="34">
        <v>5582277.0899999999</v>
      </c>
      <c r="E20" s="34">
        <v>8747713.2899999991</v>
      </c>
      <c r="F20" s="34">
        <v>10272427.33</v>
      </c>
      <c r="G20" s="89">
        <v>14386941.5</v>
      </c>
      <c r="H20" s="116">
        <v>17468155.800000001</v>
      </c>
      <c r="I20" s="112">
        <v>20879128.719999999</v>
      </c>
      <c r="J20" s="121">
        <v>25270915.190000001</v>
      </c>
      <c r="K20" s="93">
        <v>28208488.039999999</v>
      </c>
      <c r="L20" s="93">
        <v>31488775.620000001</v>
      </c>
      <c r="M20" s="93">
        <v>34338781.450000003</v>
      </c>
      <c r="N20" s="93">
        <v>37785243.560000002</v>
      </c>
      <c r="O20" s="93">
        <f>O4-O13</f>
        <v>31167852</v>
      </c>
      <c r="P20" s="93">
        <f t="shared" ref="P20:AB20" si="4">P4-P13</f>
        <v>769720.99</v>
      </c>
      <c r="Q20" s="93">
        <f t="shared" si="4"/>
        <v>1406802.9300000002</v>
      </c>
      <c r="R20" s="93">
        <f t="shared" si="4"/>
        <v>2724356.67</v>
      </c>
      <c r="S20" s="93">
        <f t="shared" si="4"/>
        <v>6005760.54</v>
      </c>
      <c r="T20" s="93">
        <f t="shared" si="4"/>
        <v>8293536.1600000001</v>
      </c>
      <c r="U20" s="93">
        <f t="shared" si="4"/>
        <v>8445675.129999999</v>
      </c>
      <c r="V20" s="93">
        <f t="shared" si="4"/>
        <v>21722933.650000002</v>
      </c>
      <c r="W20" s="93">
        <f t="shared" si="4"/>
        <v>19657207.219999999</v>
      </c>
      <c r="X20" s="172">
        <v>31030650.73</v>
      </c>
      <c r="Y20" s="174">
        <v>34520092.18</v>
      </c>
      <c r="Z20" s="174">
        <v>35743742.159999996</v>
      </c>
      <c r="AA20" s="174">
        <v>38556193.920000002</v>
      </c>
      <c r="AB20" s="93">
        <f t="shared" si="4"/>
        <v>31577616.880000003</v>
      </c>
      <c r="AD20" s="160"/>
    </row>
    <row r="21" spans="1:30" ht="12.75">
      <c r="A21" s="30">
        <v>6</v>
      </c>
      <c r="B21" s="31" t="s">
        <v>30</v>
      </c>
      <c r="C21" s="34">
        <v>0</v>
      </c>
      <c r="D21" s="34">
        <v>0</v>
      </c>
      <c r="E21" s="34">
        <v>0</v>
      </c>
      <c r="F21" s="34">
        <v>0</v>
      </c>
      <c r="G21" s="89">
        <v>0</v>
      </c>
      <c r="H21" s="116">
        <v>0</v>
      </c>
      <c r="I21" s="110">
        <v>0</v>
      </c>
      <c r="J21" s="121">
        <v>11360375</v>
      </c>
      <c r="K21" s="93">
        <v>11360375</v>
      </c>
      <c r="L21" s="93">
        <v>11360375</v>
      </c>
      <c r="M21" s="93">
        <v>11360375</v>
      </c>
      <c r="N21" s="93">
        <v>12360375</v>
      </c>
      <c r="O21" s="93">
        <f>O22-O23</f>
        <v>2000000</v>
      </c>
      <c r="P21" s="93">
        <f t="shared" ref="P21:AB21" si="5">P22-P23</f>
        <v>0</v>
      </c>
      <c r="Q21" s="93">
        <f t="shared" si="5"/>
        <v>0</v>
      </c>
      <c r="R21" s="93">
        <f t="shared" si="5"/>
        <v>0</v>
      </c>
      <c r="S21" s="93">
        <f t="shared" si="5"/>
        <v>0</v>
      </c>
      <c r="T21" s="93">
        <f t="shared" si="5"/>
        <v>0</v>
      </c>
      <c r="U21" s="93">
        <f t="shared" si="5"/>
        <v>0</v>
      </c>
      <c r="V21" s="93">
        <f t="shared" si="5"/>
        <v>7793555</v>
      </c>
      <c r="W21" s="93">
        <f t="shared" si="5"/>
        <v>8906920</v>
      </c>
      <c r="X21" s="172">
        <v>13360375</v>
      </c>
      <c r="Y21" s="174">
        <v>13360375</v>
      </c>
      <c r="Z21" s="174">
        <v>13360375</v>
      </c>
      <c r="AA21" s="174">
        <v>13360375</v>
      </c>
      <c r="AB21" s="93">
        <f t="shared" si="5"/>
        <v>2000000</v>
      </c>
      <c r="AD21" s="162"/>
    </row>
    <row r="22" spans="1:30" ht="15">
      <c r="A22" s="30">
        <v>6.1</v>
      </c>
      <c r="B22" s="33" t="s">
        <v>85</v>
      </c>
      <c r="C22" s="75">
        <v>0</v>
      </c>
      <c r="D22" s="75">
        <v>0</v>
      </c>
      <c r="E22" s="75">
        <v>0</v>
      </c>
      <c r="F22" s="75">
        <v>0</v>
      </c>
      <c r="G22" s="88">
        <v>0</v>
      </c>
      <c r="H22" s="114">
        <v>0</v>
      </c>
      <c r="I22" s="111">
        <v>0</v>
      </c>
      <c r="J22" s="119">
        <v>11360375</v>
      </c>
      <c r="K22" s="91">
        <v>11360375</v>
      </c>
      <c r="L22" s="91">
        <v>11360375</v>
      </c>
      <c r="M22" s="91">
        <v>11360375</v>
      </c>
      <c r="N22" s="91">
        <v>12360375</v>
      </c>
      <c r="O22" s="91">
        <v>2000000</v>
      </c>
      <c r="P22" s="127">
        <v>0</v>
      </c>
      <c r="Q22" s="127">
        <v>0</v>
      </c>
      <c r="R22" s="127">
        <v>0</v>
      </c>
      <c r="S22" s="127">
        <v>0</v>
      </c>
      <c r="T22" s="127">
        <v>0</v>
      </c>
      <c r="U22" s="127">
        <v>0</v>
      </c>
      <c r="V22" s="134">
        <v>7793555</v>
      </c>
      <c r="W22" s="145">
        <v>8906920</v>
      </c>
      <c r="X22" s="176">
        <v>13360375</v>
      </c>
      <c r="Y22" s="178">
        <v>13360375</v>
      </c>
      <c r="Z22" s="178">
        <v>13360375</v>
      </c>
      <c r="AA22" s="178">
        <v>13360375</v>
      </c>
      <c r="AB22" s="160">
        <v>2000000</v>
      </c>
    </row>
    <row r="23" spans="1:30" ht="12.75">
      <c r="A23" s="30">
        <v>6.2</v>
      </c>
      <c r="B23" s="33" t="s">
        <v>86</v>
      </c>
      <c r="C23" s="75">
        <v>0</v>
      </c>
      <c r="D23" s="75">
        <v>0</v>
      </c>
      <c r="E23" s="75">
        <v>0</v>
      </c>
      <c r="F23" s="75">
        <v>0</v>
      </c>
      <c r="G23" s="88">
        <v>0</v>
      </c>
      <c r="H23" s="114">
        <v>0</v>
      </c>
      <c r="I23" s="111">
        <v>0</v>
      </c>
      <c r="J23" s="119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127">
        <v>0</v>
      </c>
      <c r="Q23" s="127">
        <v>0</v>
      </c>
      <c r="R23" s="127">
        <v>0</v>
      </c>
      <c r="S23" s="127">
        <v>0</v>
      </c>
      <c r="T23" s="127">
        <v>0</v>
      </c>
      <c r="U23" s="127">
        <v>0</v>
      </c>
      <c r="V23" s="134">
        <v>0</v>
      </c>
      <c r="W23" s="141">
        <v>0</v>
      </c>
      <c r="X23" s="175">
        <v>0</v>
      </c>
      <c r="Y23" s="177">
        <v>0</v>
      </c>
      <c r="Z23" s="177">
        <v>0</v>
      </c>
      <c r="AA23" s="177">
        <v>0</v>
      </c>
    </row>
    <row r="24" spans="1:30" ht="12.75">
      <c r="A24" s="30">
        <v>7</v>
      </c>
      <c r="B24" s="31" t="s">
        <v>87</v>
      </c>
      <c r="C24" s="34">
        <v>11734413.300000001</v>
      </c>
      <c r="D24" s="34">
        <v>1934615.27</v>
      </c>
      <c r="E24" s="34">
        <v>3312423.27</v>
      </c>
      <c r="F24" s="34">
        <v>4810208.2699999996</v>
      </c>
      <c r="G24" s="89">
        <v>5904436.2699999996</v>
      </c>
      <c r="H24" s="116">
        <v>6911490.2699999996</v>
      </c>
      <c r="I24" s="112">
        <v>7866234.2699999996</v>
      </c>
      <c r="J24" s="121">
        <v>8849597.2699999996</v>
      </c>
      <c r="K24" s="93">
        <v>9699050.2699999996</v>
      </c>
      <c r="L24" s="93">
        <v>11209852.27</v>
      </c>
      <c r="M24" s="93">
        <v>12120243.27</v>
      </c>
      <c r="N24" s="93">
        <v>13868206.27</v>
      </c>
      <c r="O24" s="93">
        <f>O25+O26+O27+O28+O29</f>
        <v>13978406</v>
      </c>
      <c r="P24" s="93">
        <f t="shared" ref="P24:AB24" si="6">P25+P26+P27+P28+P29</f>
        <v>733848</v>
      </c>
      <c r="Q24" s="93">
        <f t="shared" si="6"/>
        <v>1257218</v>
      </c>
      <c r="R24" s="93">
        <f t="shared" si="6"/>
        <v>2457689</v>
      </c>
      <c r="S24" s="93">
        <f t="shared" si="6"/>
        <v>3248053.99</v>
      </c>
      <c r="T24" s="93">
        <f t="shared" si="6"/>
        <v>5245635.25</v>
      </c>
      <c r="U24" s="93">
        <f t="shared" si="6"/>
        <v>4750821</v>
      </c>
      <c r="V24" s="93">
        <f t="shared" si="6"/>
        <v>9209610.4499999993</v>
      </c>
      <c r="W24" s="93">
        <f t="shared" si="6"/>
        <v>10564673</v>
      </c>
      <c r="X24" s="172">
        <v>11863467</v>
      </c>
      <c r="Y24" s="174">
        <v>12937474</v>
      </c>
      <c r="Z24" s="174">
        <v>13758014</v>
      </c>
      <c r="AA24" s="174">
        <v>14990767</v>
      </c>
      <c r="AB24" s="93">
        <f t="shared" si="6"/>
        <v>16024855</v>
      </c>
    </row>
    <row r="25" spans="1:30" ht="15">
      <c r="A25" s="30">
        <v>7.1</v>
      </c>
      <c r="B25" s="33" t="s">
        <v>88</v>
      </c>
      <c r="C25" s="75">
        <v>5610045</v>
      </c>
      <c r="D25" s="75">
        <v>803936</v>
      </c>
      <c r="E25" s="75">
        <v>1242399</v>
      </c>
      <c r="F25" s="75">
        <v>1669222</v>
      </c>
      <c r="G25" s="88">
        <v>2114381</v>
      </c>
      <c r="H25" s="114">
        <v>2565860</v>
      </c>
      <c r="I25" s="109">
        <v>3051359</v>
      </c>
      <c r="J25" s="119">
        <v>3521178</v>
      </c>
      <c r="K25" s="91">
        <v>3998196</v>
      </c>
      <c r="L25" s="91">
        <v>4559278</v>
      </c>
      <c r="M25" s="91">
        <v>5149794</v>
      </c>
      <c r="N25" s="91">
        <v>5713536</v>
      </c>
      <c r="O25" s="91">
        <v>5060751</v>
      </c>
      <c r="P25" s="127">
        <v>227526</v>
      </c>
      <c r="Q25" s="127">
        <v>497166</v>
      </c>
      <c r="R25" s="127">
        <v>965843</v>
      </c>
      <c r="S25" s="127">
        <v>1260014</v>
      </c>
      <c r="T25" s="127">
        <v>1497308</v>
      </c>
      <c r="U25" s="127">
        <v>1894769</v>
      </c>
      <c r="V25" s="134">
        <v>4155402</v>
      </c>
      <c r="W25" s="145">
        <v>4733772</v>
      </c>
      <c r="X25" s="176">
        <v>5429623</v>
      </c>
      <c r="Y25" s="178">
        <v>5931915</v>
      </c>
      <c r="Z25" s="178">
        <v>6462655</v>
      </c>
      <c r="AA25" s="178">
        <v>7139117</v>
      </c>
      <c r="AB25" s="160">
        <v>6647897</v>
      </c>
    </row>
    <row r="26" spans="1:30" ht="15">
      <c r="A26" s="30">
        <v>7.2</v>
      </c>
      <c r="B26" s="33" t="s">
        <v>89</v>
      </c>
      <c r="C26" s="75">
        <v>1045210</v>
      </c>
      <c r="D26" s="75">
        <v>230680</v>
      </c>
      <c r="E26" s="75">
        <v>519390</v>
      </c>
      <c r="F26" s="75">
        <v>1078645</v>
      </c>
      <c r="G26" s="88">
        <v>1269415</v>
      </c>
      <c r="H26" s="114">
        <v>1524305</v>
      </c>
      <c r="I26" s="109">
        <v>1635575</v>
      </c>
      <c r="J26" s="119">
        <v>1738245</v>
      </c>
      <c r="K26" s="91">
        <v>1770905</v>
      </c>
      <c r="L26" s="91">
        <v>2297795</v>
      </c>
      <c r="M26" s="91">
        <v>2359060</v>
      </c>
      <c r="N26" s="91">
        <v>2447420</v>
      </c>
      <c r="O26" s="91">
        <v>2447420</v>
      </c>
      <c r="P26" s="127">
        <v>240200</v>
      </c>
      <c r="Q26" s="127">
        <v>383740</v>
      </c>
      <c r="R26" s="127">
        <v>497030</v>
      </c>
      <c r="S26" s="127">
        <v>601580</v>
      </c>
      <c r="T26" s="127">
        <v>728796</v>
      </c>
      <c r="U26" s="127">
        <v>887090</v>
      </c>
      <c r="V26" s="134">
        <v>1549731</v>
      </c>
      <c r="W26" s="142">
        <v>1633671</v>
      </c>
      <c r="X26" s="176">
        <v>1773666</v>
      </c>
      <c r="Y26" s="178">
        <v>2065481</v>
      </c>
      <c r="Z26" s="178">
        <v>2089446</v>
      </c>
      <c r="AA26" s="178">
        <v>2168666</v>
      </c>
      <c r="AB26" s="160">
        <v>2168666</v>
      </c>
    </row>
    <row r="27" spans="1:30" ht="15">
      <c r="A27" s="30">
        <v>7.3</v>
      </c>
      <c r="B27" s="33" t="s">
        <v>90</v>
      </c>
      <c r="C27" s="75">
        <v>193410</v>
      </c>
      <c r="D27" s="75">
        <v>40000</v>
      </c>
      <c r="E27" s="75">
        <v>50500</v>
      </c>
      <c r="F27" s="75">
        <v>58200</v>
      </c>
      <c r="G27" s="88">
        <v>78600</v>
      </c>
      <c r="H27" s="114">
        <v>201300</v>
      </c>
      <c r="I27" s="109">
        <v>249990</v>
      </c>
      <c r="J27" s="119">
        <v>278980</v>
      </c>
      <c r="K27" s="91">
        <v>292980</v>
      </c>
      <c r="L27" s="91">
        <v>297780</v>
      </c>
      <c r="M27" s="91">
        <v>307980</v>
      </c>
      <c r="N27" s="91">
        <v>315930</v>
      </c>
      <c r="O27" s="91">
        <v>315930</v>
      </c>
      <c r="P27" s="127">
        <v>24580</v>
      </c>
      <c r="Q27" s="127">
        <v>66320</v>
      </c>
      <c r="R27" s="127">
        <v>153405</v>
      </c>
      <c r="S27" s="127">
        <v>337805</v>
      </c>
      <c r="T27" s="127">
        <v>434905</v>
      </c>
      <c r="U27" s="127">
        <v>502505</v>
      </c>
      <c r="V27" s="134">
        <v>95290</v>
      </c>
      <c r="W27" s="142">
        <v>97720</v>
      </c>
      <c r="X27" s="176">
        <v>101370</v>
      </c>
      <c r="Y27" s="178">
        <v>120970</v>
      </c>
      <c r="Z27" s="178">
        <v>217970</v>
      </c>
      <c r="AA27" s="178">
        <v>346990</v>
      </c>
      <c r="AB27" s="160">
        <v>346990</v>
      </c>
    </row>
    <row r="28" spans="1:30" ht="15">
      <c r="A28" s="30">
        <v>7.4</v>
      </c>
      <c r="B28" s="35" t="s">
        <v>91</v>
      </c>
      <c r="C28" s="75">
        <v>1017647</v>
      </c>
      <c r="D28" s="75">
        <v>0</v>
      </c>
      <c r="E28" s="75">
        <v>0</v>
      </c>
      <c r="F28" s="75">
        <v>0</v>
      </c>
      <c r="G28" s="88">
        <v>0</v>
      </c>
      <c r="H28" s="114">
        <v>0</v>
      </c>
      <c r="I28" s="111">
        <v>0</v>
      </c>
      <c r="J28" s="119">
        <v>0</v>
      </c>
      <c r="K28" s="91">
        <v>0</v>
      </c>
      <c r="L28" s="91">
        <v>0</v>
      </c>
      <c r="M28" s="91">
        <v>0</v>
      </c>
      <c r="N28" s="91">
        <v>820356</v>
      </c>
      <c r="O28" s="91">
        <v>820356</v>
      </c>
      <c r="P28" s="127">
        <v>0</v>
      </c>
      <c r="Q28" s="127">
        <v>0</v>
      </c>
      <c r="R28" s="127">
        <v>0</v>
      </c>
      <c r="S28" s="127">
        <v>0</v>
      </c>
      <c r="T28" s="127">
        <v>0</v>
      </c>
      <c r="U28" s="127">
        <v>0</v>
      </c>
      <c r="V28" s="134">
        <v>0</v>
      </c>
      <c r="W28" s="141">
        <v>0</v>
      </c>
      <c r="X28" s="175">
        <v>0</v>
      </c>
      <c r="Y28" s="177">
        <v>0</v>
      </c>
      <c r="Z28" s="177">
        <v>0</v>
      </c>
      <c r="AA28" s="177">
        <v>0</v>
      </c>
      <c r="AB28" s="160">
        <v>976088</v>
      </c>
    </row>
    <row r="29" spans="1:30" ht="15">
      <c r="A29" s="30">
        <v>7.5</v>
      </c>
      <c r="B29" s="33" t="s">
        <v>92</v>
      </c>
      <c r="C29" s="75">
        <v>3868101.3</v>
      </c>
      <c r="D29" s="75">
        <v>859999.27</v>
      </c>
      <c r="E29" s="75">
        <v>1500134.27</v>
      </c>
      <c r="F29" s="75">
        <v>2004141.27</v>
      </c>
      <c r="G29" s="88">
        <v>2442040.27</v>
      </c>
      <c r="H29" s="114">
        <v>2620025.27</v>
      </c>
      <c r="I29" s="109">
        <v>2929310.27</v>
      </c>
      <c r="J29" s="119">
        <v>3311194.27</v>
      </c>
      <c r="K29" s="91">
        <v>3636969.27</v>
      </c>
      <c r="L29" s="91">
        <v>4054999.27</v>
      </c>
      <c r="M29" s="91">
        <v>4303409.2699999996</v>
      </c>
      <c r="N29" s="91">
        <v>4570964.2699999996</v>
      </c>
      <c r="O29" s="91">
        <v>5333949</v>
      </c>
      <c r="P29" s="127">
        <v>241542</v>
      </c>
      <c r="Q29" s="127">
        <v>309992</v>
      </c>
      <c r="R29" s="127">
        <v>841411</v>
      </c>
      <c r="S29" s="127">
        <v>1048654.99</v>
      </c>
      <c r="T29" s="127">
        <v>2584626.25</v>
      </c>
      <c r="U29" s="127">
        <v>1466457</v>
      </c>
      <c r="V29" s="134">
        <v>3409187.45</v>
      </c>
      <c r="W29" s="142">
        <v>4099510</v>
      </c>
      <c r="X29" s="176">
        <v>4558808</v>
      </c>
      <c r="Y29" s="178">
        <v>4819108</v>
      </c>
      <c r="Z29" s="178">
        <v>4987943</v>
      </c>
      <c r="AA29" s="178">
        <v>5335994</v>
      </c>
      <c r="AB29" s="160">
        <v>5885214</v>
      </c>
    </row>
    <row r="30" spans="1:30" ht="12.75">
      <c r="A30" s="30">
        <v>8</v>
      </c>
      <c r="B30" s="31" t="s">
        <v>93</v>
      </c>
      <c r="C30" s="36">
        <v>12044569.76</v>
      </c>
      <c r="D30" s="36">
        <v>3647661.82</v>
      </c>
      <c r="E30" s="36">
        <v>5435290.0199999996</v>
      </c>
      <c r="F30" s="36">
        <v>5462219.0599999996</v>
      </c>
      <c r="G30" s="90">
        <v>8482505.2300000004</v>
      </c>
      <c r="H30" s="117">
        <v>10556665.529999999</v>
      </c>
      <c r="I30" s="107">
        <v>13012894.449999999</v>
      </c>
      <c r="J30" s="122">
        <v>5060942.92</v>
      </c>
      <c r="K30" s="94">
        <v>7149062.7699999996</v>
      </c>
      <c r="L30" s="94">
        <v>8918548.3499999996</v>
      </c>
      <c r="M30" s="94">
        <v>10858163.18</v>
      </c>
      <c r="N30" s="94">
        <v>11556662.289999999</v>
      </c>
      <c r="O30" s="150">
        <f>O20-O21-O24</f>
        <v>15189446</v>
      </c>
      <c r="P30" s="150">
        <f t="shared" ref="P30:AB30" si="7">P20-P21-P24</f>
        <v>35872.989999999991</v>
      </c>
      <c r="Q30" s="150">
        <f t="shared" si="7"/>
        <v>149584.93000000017</v>
      </c>
      <c r="R30" s="150">
        <f t="shared" si="7"/>
        <v>266667.66999999993</v>
      </c>
      <c r="S30" s="150">
        <f t="shared" si="7"/>
        <v>2757706.55</v>
      </c>
      <c r="T30" s="150">
        <f t="shared" si="7"/>
        <v>3047900.91</v>
      </c>
      <c r="U30" s="150">
        <f t="shared" si="7"/>
        <v>3694854.129999999</v>
      </c>
      <c r="V30" s="150">
        <f t="shared" si="7"/>
        <v>4719768.200000003</v>
      </c>
      <c r="W30" s="150">
        <f t="shared" si="7"/>
        <v>185614.21999999881</v>
      </c>
      <c r="X30" s="172">
        <v>5806808.7300000004</v>
      </c>
      <c r="Y30" s="174">
        <v>8222243.1799999997</v>
      </c>
      <c r="Z30" s="174">
        <v>8625353.1600000001</v>
      </c>
      <c r="AA30" s="174">
        <v>10205051.92</v>
      </c>
      <c r="AB30" s="150">
        <f t="shared" si="7"/>
        <v>13552761.880000003</v>
      </c>
    </row>
    <row r="31" spans="1:30" ht="12.75">
      <c r="A31" s="30">
        <v>9</v>
      </c>
      <c r="B31" s="31" t="s">
        <v>94</v>
      </c>
      <c r="C31" s="74">
        <v>0</v>
      </c>
      <c r="D31" s="74">
        <v>0</v>
      </c>
      <c r="E31" s="74">
        <v>0</v>
      </c>
      <c r="F31" s="74">
        <v>0</v>
      </c>
      <c r="G31" s="87">
        <v>0</v>
      </c>
      <c r="H31" s="114">
        <v>0</v>
      </c>
      <c r="I31" s="110">
        <v>0</v>
      </c>
      <c r="J31" s="119">
        <v>0</v>
      </c>
      <c r="K31" s="91">
        <v>0</v>
      </c>
      <c r="L31" s="91">
        <v>0</v>
      </c>
      <c r="M31" s="91">
        <v>0</v>
      </c>
      <c r="N31" s="114">
        <v>0</v>
      </c>
      <c r="O31" s="146"/>
      <c r="P31" s="147">
        <v>0</v>
      </c>
      <c r="Q31" s="128">
        <v>0</v>
      </c>
      <c r="R31" s="128">
        <v>0</v>
      </c>
      <c r="S31" s="128">
        <v>0</v>
      </c>
      <c r="T31" s="128">
        <v>0</v>
      </c>
      <c r="U31" s="128">
        <v>0</v>
      </c>
      <c r="V31" s="133">
        <v>0</v>
      </c>
      <c r="W31" s="139">
        <v>0</v>
      </c>
      <c r="X31" s="171">
        <v>0</v>
      </c>
      <c r="Y31" s="173">
        <v>0</v>
      </c>
      <c r="Z31" s="173">
        <v>0</v>
      </c>
      <c r="AA31" s="173">
        <v>0</v>
      </c>
    </row>
    <row r="32" spans="1:30" ht="12.75">
      <c r="A32" s="30">
        <v>9.1</v>
      </c>
      <c r="B32" s="33" t="s">
        <v>95</v>
      </c>
      <c r="C32" s="75">
        <v>0</v>
      </c>
      <c r="D32" s="75">
        <v>0</v>
      </c>
      <c r="E32" s="75">
        <v>0</v>
      </c>
      <c r="F32" s="75">
        <v>0</v>
      </c>
      <c r="G32" s="88">
        <v>0</v>
      </c>
      <c r="H32" s="114">
        <v>0</v>
      </c>
      <c r="I32" s="111">
        <v>0</v>
      </c>
      <c r="J32" s="119">
        <v>0</v>
      </c>
      <c r="K32" s="91">
        <v>0</v>
      </c>
      <c r="L32" s="91">
        <v>0</v>
      </c>
      <c r="M32" s="91">
        <v>0</v>
      </c>
      <c r="N32" s="114">
        <v>0</v>
      </c>
      <c r="O32" s="146"/>
      <c r="P32" s="148">
        <v>0</v>
      </c>
      <c r="Q32" s="127">
        <v>0</v>
      </c>
      <c r="R32" s="127">
        <v>0</v>
      </c>
      <c r="S32" s="127">
        <v>0</v>
      </c>
      <c r="T32" s="127">
        <v>0</v>
      </c>
      <c r="U32" s="127">
        <v>0</v>
      </c>
      <c r="V32" s="134">
        <v>0</v>
      </c>
      <c r="W32" s="141">
        <v>0</v>
      </c>
      <c r="X32" s="175">
        <v>0</v>
      </c>
      <c r="Y32" s="177">
        <v>0</v>
      </c>
      <c r="Z32" s="177">
        <v>0</v>
      </c>
      <c r="AA32" s="177">
        <v>0</v>
      </c>
    </row>
    <row r="33" spans="1:28" ht="12.75">
      <c r="A33" s="30">
        <v>9.1999999999999993</v>
      </c>
      <c r="B33" s="33" t="s">
        <v>96</v>
      </c>
      <c r="C33" s="75">
        <v>0</v>
      </c>
      <c r="D33" s="75">
        <v>0</v>
      </c>
      <c r="E33" s="75">
        <v>0</v>
      </c>
      <c r="F33" s="75">
        <v>0</v>
      </c>
      <c r="G33" s="88">
        <v>0</v>
      </c>
      <c r="H33" s="114">
        <v>0</v>
      </c>
      <c r="I33" s="111">
        <v>0</v>
      </c>
      <c r="J33" s="119">
        <v>0</v>
      </c>
      <c r="K33" s="91">
        <v>0</v>
      </c>
      <c r="L33" s="91">
        <v>0</v>
      </c>
      <c r="M33" s="91">
        <v>0</v>
      </c>
      <c r="N33" s="114">
        <v>0</v>
      </c>
      <c r="O33" s="146"/>
      <c r="P33" s="148">
        <v>0</v>
      </c>
      <c r="Q33" s="127">
        <v>0</v>
      </c>
      <c r="R33" s="127">
        <v>0</v>
      </c>
      <c r="S33" s="127">
        <v>0</v>
      </c>
      <c r="T33" s="127">
        <v>0</v>
      </c>
      <c r="U33" s="127">
        <v>0</v>
      </c>
      <c r="V33" s="134">
        <v>0</v>
      </c>
      <c r="W33" s="141">
        <v>0</v>
      </c>
      <c r="X33" s="175">
        <v>0</v>
      </c>
      <c r="Y33" s="177">
        <v>0</v>
      </c>
      <c r="Z33" s="177">
        <v>0</v>
      </c>
      <c r="AA33" s="177">
        <v>0</v>
      </c>
    </row>
    <row r="34" spans="1:28" ht="12.75">
      <c r="A34" s="30">
        <v>10</v>
      </c>
      <c r="B34" s="33" t="s">
        <v>97</v>
      </c>
      <c r="C34" s="37">
        <f>C30-C31</f>
        <v>12044569.76</v>
      </c>
      <c r="D34" s="37">
        <f t="shared" ref="D34:AB34" si="8">D30-D31</f>
        <v>3647661.82</v>
      </c>
      <c r="E34" s="37">
        <f t="shared" si="8"/>
        <v>5435290.0199999996</v>
      </c>
      <c r="F34" s="37">
        <f t="shared" si="8"/>
        <v>5462219.0599999996</v>
      </c>
      <c r="G34" s="37">
        <f t="shared" si="8"/>
        <v>8482505.2300000004</v>
      </c>
      <c r="H34" s="37">
        <f t="shared" si="8"/>
        <v>10556665.529999999</v>
      </c>
      <c r="I34" s="37">
        <f t="shared" si="8"/>
        <v>13012894.449999999</v>
      </c>
      <c r="J34" s="37">
        <f t="shared" si="8"/>
        <v>5060942.92</v>
      </c>
      <c r="K34" s="37">
        <f t="shared" si="8"/>
        <v>7149062.7699999996</v>
      </c>
      <c r="L34" s="37">
        <f t="shared" si="8"/>
        <v>8918548.3499999996</v>
      </c>
      <c r="M34" s="37">
        <f t="shared" si="8"/>
        <v>10858163.18</v>
      </c>
      <c r="N34" s="37">
        <f t="shared" si="8"/>
        <v>11556662.289999999</v>
      </c>
      <c r="O34" s="149">
        <f t="shared" si="8"/>
        <v>15189446</v>
      </c>
      <c r="P34" s="149">
        <f t="shared" si="8"/>
        <v>35872.989999999991</v>
      </c>
      <c r="Q34" s="149">
        <f t="shared" si="8"/>
        <v>149584.93000000017</v>
      </c>
      <c r="R34" s="149">
        <f t="shared" si="8"/>
        <v>266667.66999999993</v>
      </c>
      <c r="S34" s="149">
        <f t="shared" si="8"/>
        <v>2757706.55</v>
      </c>
      <c r="T34" s="149">
        <f t="shared" si="8"/>
        <v>3047900.91</v>
      </c>
      <c r="U34" s="149">
        <f t="shared" si="8"/>
        <v>3694854.129999999</v>
      </c>
      <c r="V34" s="149">
        <f t="shared" si="8"/>
        <v>4719768.200000003</v>
      </c>
      <c r="W34" s="149">
        <f t="shared" si="8"/>
        <v>185614.21999999881</v>
      </c>
      <c r="X34" s="172">
        <v>5806808.7300000004</v>
      </c>
      <c r="Y34" s="174">
        <v>8222243.1799999997</v>
      </c>
      <c r="Z34" s="174">
        <v>8625353.1600000001</v>
      </c>
      <c r="AA34" s="174">
        <v>10205051.92</v>
      </c>
      <c r="AB34" s="149">
        <f t="shared" si="8"/>
        <v>13552761.880000003</v>
      </c>
    </row>
    <row r="35" spans="1:28" ht="15">
      <c r="A35" s="30">
        <v>11</v>
      </c>
      <c r="B35" s="33" t="s">
        <v>98</v>
      </c>
      <c r="C35" s="75">
        <v>0</v>
      </c>
      <c r="D35" s="75">
        <v>0</v>
      </c>
      <c r="E35" s="75">
        <v>0</v>
      </c>
      <c r="F35" s="75">
        <v>0</v>
      </c>
      <c r="G35" s="88">
        <v>0</v>
      </c>
      <c r="H35" s="114">
        <v>0</v>
      </c>
      <c r="I35" s="111">
        <v>0</v>
      </c>
      <c r="J35" s="119">
        <v>0</v>
      </c>
      <c r="K35" s="91">
        <v>0</v>
      </c>
      <c r="L35" s="91">
        <v>0</v>
      </c>
      <c r="M35" s="91">
        <v>0</v>
      </c>
      <c r="N35" s="91">
        <v>0</v>
      </c>
      <c r="O35" s="91">
        <v>1304633</v>
      </c>
      <c r="P35" s="127">
        <v>0</v>
      </c>
      <c r="Q35" s="127">
        <v>0</v>
      </c>
      <c r="R35" s="127">
        <v>0</v>
      </c>
      <c r="S35" s="127">
        <v>0</v>
      </c>
      <c r="T35" s="127">
        <v>0</v>
      </c>
      <c r="U35" s="127">
        <v>0</v>
      </c>
      <c r="V35" s="134">
        <v>0</v>
      </c>
      <c r="W35" s="143">
        <v>0</v>
      </c>
      <c r="X35" s="175">
        <v>0</v>
      </c>
      <c r="Y35" s="177">
        <v>0</v>
      </c>
      <c r="Z35" s="177">
        <v>0</v>
      </c>
      <c r="AA35" s="177">
        <v>0</v>
      </c>
      <c r="AB35" s="160">
        <v>1498818</v>
      </c>
    </row>
    <row r="36" spans="1:28" ht="12.75">
      <c r="A36" s="30">
        <v>12</v>
      </c>
      <c r="B36" s="31" t="s">
        <v>99</v>
      </c>
      <c r="C36" s="34">
        <f>C34-C35</f>
        <v>12044569.76</v>
      </c>
      <c r="D36" s="34">
        <f t="shared" ref="D36:AB36" si="9">D34-D35</f>
        <v>3647661.82</v>
      </c>
      <c r="E36" s="34">
        <f t="shared" si="9"/>
        <v>5435290.0199999996</v>
      </c>
      <c r="F36" s="34">
        <f t="shared" si="9"/>
        <v>5462219.0599999996</v>
      </c>
      <c r="G36" s="34">
        <f t="shared" si="9"/>
        <v>8482505.2300000004</v>
      </c>
      <c r="H36" s="34">
        <f t="shared" si="9"/>
        <v>10556665.529999999</v>
      </c>
      <c r="I36" s="34">
        <f t="shared" si="9"/>
        <v>13012894.449999999</v>
      </c>
      <c r="J36" s="34">
        <f t="shared" si="9"/>
        <v>5060942.92</v>
      </c>
      <c r="K36" s="34">
        <f t="shared" si="9"/>
        <v>7149062.7699999996</v>
      </c>
      <c r="L36" s="34">
        <f t="shared" si="9"/>
        <v>8918548.3499999996</v>
      </c>
      <c r="M36" s="34">
        <f t="shared" si="9"/>
        <v>10858163.18</v>
      </c>
      <c r="N36" s="34">
        <f t="shared" si="9"/>
        <v>11556662.289999999</v>
      </c>
      <c r="O36" s="34">
        <f t="shared" si="9"/>
        <v>13884813</v>
      </c>
      <c r="P36" s="34">
        <f t="shared" si="9"/>
        <v>35872.989999999991</v>
      </c>
      <c r="Q36" s="34">
        <f t="shared" si="9"/>
        <v>149584.93000000017</v>
      </c>
      <c r="R36" s="34">
        <f t="shared" si="9"/>
        <v>266667.66999999993</v>
      </c>
      <c r="S36" s="34">
        <f t="shared" si="9"/>
        <v>2757706.55</v>
      </c>
      <c r="T36" s="34">
        <f t="shared" si="9"/>
        <v>3047900.91</v>
      </c>
      <c r="U36" s="34">
        <f t="shared" si="9"/>
        <v>3694854.129999999</v>
      </c>
      <c r="V36" s="34">
        <f t="shared" si="9"/>
        <v>4719768.200000003</v>
      </c>
      <c r="W36" s="34">
        <f t="shared" si="9"/>
        <v>185614.21999999881</v>
      </c>
      <c r="X36" s="172">
        <v>5806808.7300000004</v>
      </c>
      <c r="Y36" s="174">
        <v>8222243.1799999997</v>
      </c>
      <c r="Z36" s="174">
        <v>8625353.1600000001</v>
      </c>
      <c r="AA36" s="174">
        <v>10205051.92</v>
      </c>
      <c r="AB36" s="34">
        <f t="shared" si="9"/>
        <v>12053943.880000003</v>
      </c>
    </row>
    <row r="37" spans="1:28" ht="12.75">
      <c r="A37" s="30">
        <v>13</v>
      </c>
      <c r="B37" s="33" t="s">
        <v>100</v>
      </c>
      <c r="C37" s="75">
        <v>0</v>
      </c>
      <c r="D37" s="75">
        <v>0</v>
      </c>
      <c r="E37" s="75">
        <v>0</v>
      </c>
      <c r="F37" s="75">
        <v>0</v>
      </c>
      <c r="G37" s="88">
        <v>0</v>
      </c>
      <c r="H37" s="114">
        <v>0</v>
      </c>
      <c r="I37" s="111">
        <v>0</v>
      </c>
      <c r="J37" s="119">
        <v>0</v>
      </c>
      <c r="K37" s="91">
        <v>0</v>
      </c>
      <c r="L37" s="91">
        <v>0</v>
      </c>
      <c r="M37" s="91">
        <v>0</v>
      </c>
      <c r="N37" s="91">
        <v>0</v>
      </c>
      <c r="O37" s="91"/>
      <c r="P37" s="127">
        <v>0</v>
      </c>
      <c r="Q37" s="127">
        <v>0</v>
      </c>
      <c r="R37" s="127">
        <v>0</v>
      </c>
      <c r="S37" s="127">
        <v>0</v>
      </c>
      <c r="T37" s="127">
        <v>0</v>
      </c>
      <c r="U37" s="127">
        <v>0</v>
      </c>
      <c r="V37" s="134">
        <v>0</v>
      </c>
      <c r="W37" s="143">
        <v>0</v>
      </c>
      <c r="X37" s="175">
        <v>0</v>
      </c>
      <c r="Y37" s="177">
        <v>0</v>
      </c>
      <c r="Z37" s="177">
        <v>0</v>
      </c>
      <c r="AA37" s="177">
        <v>0</v>
      </c>
    </row>
    <row r="38" spans="1:28" ht="12.75">
      <c r="A38" s="30">
        <v>14</v>
      </c>
      <c r="B38" s="31" t="s">
        <v>101</v>
      </c>
      <c r="C38" s="34">
        <f>C36-C37</f>
        <v>12044569.76</v>
      </c>
      <c r="D38" s="34">
        <v>3647661.82</v>
      </c>
      <c r="E38" s="34">
        <v>5435290.0199999996</v>
      </c>
      <c r="F38" s="34">
        <v>5462219.0599999996</v>
      </c>
      <c r="G38" s="89">
        <v>8482505.2300000004</v>
      </c>
      <c r="H38" s="116">
        <v>10556665.529999999</v>
      </c>
      <c r="I38" s="112">
        <v>13012894.449999999</v>
      </c>
      <c r="J38" s="121">
        <v>5060942.92</v>
      </c>
      <c r="K38" s="93">
        <v>7149062.7699999996</v>
      </c>
      <c r="L38" s="93">
        <v>8918548.3499999996</v>
      </c>
      <c r="M38" s="93">
        <v>10858163.18</v>
      </c>
      <c r="N38" s="93">
        <v>11556662.289999999</v>
      </c>
      <c r="O38" s="93">
        <f>O36-O37</f>
        <v>13884813</v>
      </c>
      <c r="P38" s="93">
        <f t="shared" ref="P38:AB38" si="10">P36-P37</f>
        <v>35872.989999999991</v>
      </c>
      <c r="Q38" s="93">
        <f t="shared" si="10"/>
        <v>149584.93000000017</v>
      </c>
      <c r="R38" s="93">
        <f t="shared" si="10"/>
        <v>266667.66999999993</v>
      </c>
      <c r="S38" s="93">
        <f t="shared" si="10"/>
        <v>2757706.55</v>
      </c>
      <c r="T38" s="93">
        <f t="shared" si="10"/>
        <v>3047900.91</v>
      </c>
      <c r="U38" s="93">
        <f t="shared" si="10"/>
        <v>3694854.129999999</v>
      </c>
      <c r="V38" s="93">
        <f t="shared" si="10"/>
        <v>4719768.200000003</v>
      </c>
      <c r="W38" s="93">
        <f t="shared" si="10"/>
        <v>185614.21999999881</v>
      </c>
      <c r="X38" s="172">
        <v>5806808.7300000004</v>
      </c>
      <c r="Y38" s="174">
        <v>8222243.1799999997</v>
      </c>
      <c r="Z38" s="174">
        <v>8625353.1600000001</v>
      </c>
      <c r="AA38" s="174">
        <v>10205051.92</v>
      </c>
      <c r="AB38" s="93">
        <f t="shared" si="10"/>
        <v>12053943.880000003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G75"/>
  <sheetViews>
    <sheetView topLeftCell="A55" workbookViewId="0">
      <selection activeCell="E75" sqref="E75"/>
    </sheetView>
  </sheetViews>
  <sheetFormatPr defaultColWidth="9.140625" defaultRowHeight="13.9"/>
  <cols>
    <col min="1" max="2" width="9.140625" style="19"/>
    <col min="3" max="3" width="18" style="19" bestFit="1" customWidth="1"/>
    <col min="4" max="4" width="12.85546875" style="19" bestFit="1" customWidth="1"/>
    <col min="5" max="5" width="41.28515625" style="19" bestFit="1" customWidth="1"/>
    <col min="6" max="6" width="23.7109375" style="19" bestFit="1" customWidth="1"/>
    <col min="7" max="7" width="40.140625" style="19" bestFit="1" customWidth="1"/>
    <col min="8" max="16384" width="9.140625" style="19"/>
  </cols>
  <sheetData>
    <row r="6" spans="3:7">
      <c r="C6" s="77" t="s">
        <v>102</v>
      </c>
    </row>
    <row r="7" spans="3:7">
      <c r="E7" s="101">
        <v>44348</v>
      </c>
    </row>
    <row r="9" spans="3:7">
      <c r="C9" s="84" t="s">
        <v>103</v>
      </c>
      <c r="D9" s="84" t="s">
        <v>104</v>
      </c>
      <c r="E9" s="84" t="s">
        <v>105</v>
      </c>
      <c r="F9" s="84" t="s">
        <v>106</v>
      </c>
      <c r="G9" s="84" t="s">
        <v>107</v>
      </c>
    </row>
    <row r="10" spans="3:7">
      <c r="C10" s="80" t="s">
        <v>108</v>
      </c>
      <c r="D10" s="102">
        <v>3003</v>
      </c>
      <c r="E10" s="102">
        <v>161184780.16</v>
      </c>
      <c r="F10" s="82">
        <v>0.01</v>
      </c>
      <c r="G10" s="81">
        <f>F10*E10</f>
        <v>1611847.8015999999</v>
      </c>
    </row>
    <row r="11" spans="3:7">
      <c r="C11" s="80" t="s">
        <v>109</v>
      </c>
      <c r="D11" s="103">
        <v>134</v>
      </c>
      <c r="E11" s="104">
        <v>6166641.3499999996</v>
      </c>
      <c r="F11" s="82">
        <v>0.05</v>
      </c>
      <c r="G11" s="81">
        <f t="shared" ref="G11:G14" si="0">F11*E11</f>
        <v>308332.0675</v>
      </c>
    </row>
    <row r="12" spans="3:7">
      <c r="C12" s="80" t="s">
        <v>110</v>
      </c>
      <c r="D12" s="103">
        <v>54</v>
      </c>
      <c r="E12" s="104">
        <v>2153434.23</v>
      </c>
      <c r="F12" s="82">
        <v>0.25</v>
      </c>
      <c r="G12" s="81">
        <f t="shared" si="0"/>
        <v>538358.5575</v>
      </c>
    </row>
    <row r="13" spans="3:7">
      <c r="C13" s="80" t="s">
        <v>111</v>
      </c>
      <c r="D13" s="103">
        <v>126</v>
      </c>
      <c r="E13" s="104">
        <v>4375007.3600000003</v>
      </c>
      <c r="F13" s="82">
        <v>0.5</v>
      </c>
      <c r="G13" s="81">
        <f t="shared" si="0"/>
        <v>2187503.6800000002</v>
      </c>
    </row>
    <row r="14" spans="3:7">
      <c r="C14" s="80" t="s">
        <v>112</v>
      </c>
      <c r="D14" s="103">
        <v>352</v>
      </c>
      <c r="E14" s="104">
        <v>11256560.85</v>
      </c>
      <c r="F14" s="82">
        <v>1</v>
      </c>
      <c r="G14" s="81">
        <f t="shared" si="0"/>
        <v>11256560.85</v>
      </c>
    </row>
    <row r="15" spans="3:7">
      <c r="C15" s="84" t="s">
        <v>113</v>
      </c>
      <c r="D15" s="83">
        <f>SUM(D10:D14)</f>
        <v>3669</v>
      </c>
      <c r="E15" s="83">
        <f>SUM(E10:E14)</f>
        <v>185136423.94999999</v>
      </c>
      <c r="F15" s="84">
        <v>1.81</v>
      </c>
      <c r="G15" s="83">
        <f>SUM(G10:G14)</f>
        <v>15902602.956599999</v>
      </c>
    </row>
    <row r="16" spans="3:7">
      <c r="C16" s="80"/>
      <c r="D16" s="80"/>
      <c r="E16" s="80"/>
      <c r="F16" s="80"/>
      <c r="G16" s="80"/>
    </row>
    <row r="17" spans="3:7">
      <c r="C17" s="80" t="s">
        <v>108</v>
      </c>
      <c r="D17" s="80"/>
      <c r="E17" s="80"/>
      <c r="F17" s="82">
        <v>0.01</v>
      </c>
      <c r="G17" s="80" t="s">
        <v>114</v>
      </c>
    </row>
    <row r="18" spans="3:7">
      <c r="C18" s="80" t="s">
        <v>109</v>
      </c>
      <c r="D18" s="80"/>
      <c r="E18" s="80"/>
      <c r="F18" s="82">
        <v>0.05</v>
      </c>
      <c r="G18" s="80" t="s">
        <v>114</v>
      </c>
    </row>
    <row r="19" spans="3:7">
      <c r="C19" s="80" t="s">
        <v>110</v>
      </c>
      <c r="D19" s="80"/>
      <c r="E19" s="80"/>
      <c r="F19" s="82">
        <v>0.25</v>
      </c>
      <c r="G19" s="80" t="s">
        <v>114</v>
      </c>
    </row>
    <row r="20" spans="3:7">
      <c r="C20" s="80" t="s">
        <v>111</v>
      </c>
      <c r="D20" s="80"/>
      <c r="E20" s="80"/>
      <c r="F20" s="82">
        <v>0.5</v>
      </c>
      <c r="G20" s="80" t="s">
        <v>114</v>
      </c>
    </row>
    <row r="21" spans="3:7">
      <c r="C21" s="80" t="s">
        <v>112</v>
      </c>
      <c r="D21" s="80"/>
      <c r="E21" s="80"/>
      <c r="F21" s="82">
        <v>1</v>
      </c>
      <c r="G21" s="80" t="s">
        <v>114</v>
      </c>
    </row>
    <row r="22" spans="3:7">
      <c r="C22" s="80" t="s">
        <v>113</v>
      </c>
      <c r="D22" s="83"/>
      <c r="E22" s="83"/>
      <c r="F22" s="84"/>
      <c r="G22" s="83"/>
    </row>
    <row r="23" spans="3:7">
      <c r="C23" s="80"/>
    </row>
    <row r="26" spans="3:7">
      <c r="D26" s="77" t="s">
        <v>115</v>
      </c>
      <c r="E26" s="78">
        <f>E14+E13+E12</f>
        <v>17785002.440000001</v>
      </c>
    </row>
    <row r="27" spans="3:7">
      <c r="D27" s="77" t="s">
        <v>116</v>
      </c>
      <c r="E27" s="79">
        <f>E26/E15</f>
        <v>9.6064307933285006E-2</v>
      </c>
    </row>
    <row r="28" spans="3:7">
      <c r="D28" s="77"/>
    </row>
    <row r="32" spans="3:7">
      <c r="E32" s="129">
        <v>44734</v>
      </c>
    </row>
    <row r="33" spans="3:7">
      <c r="C33" s="84" t="s">
        <v>103</v>
      </c>
      <c r="D33" s="84" t="s">
        <v>104</v>
      </c>
      <c r="E33" s="84" t="s">
        <v>105</v>
      </c>
      <c r="F33" s="84" t="s">
        <v>106</v>
      </c>
      <c r="G33" s="84" t="s">
        <v>107</v>
      </c>
    </row>
    <row r="34" spans="3:7">
      <c r="C34" s="80" t="s">
        <v>108</v>
      </c>
      <c r="D34" s="130">
        <v>3673</v>
      </c>
      <c r="E34" s="130">
        <v>204275996.31999999</v>
      </c>
      <c r="F34" s="82">
        <v>0.01</v>
      </c>
      <c r="G34" s="81">
        <f>F34*E34</f>
        <v>2042759.9631999999</v>
      </c>
    </row>
    <row r="35" spans="3:7">
      <c r="C35" s="80" t="s">
        <v>109</v>
      </c>
      <c r="D35" s="130">
        <v>36</v>
      </c>
      <c r="E35" s="130">
        <v>1173234.57</v>
      </c>
      <c r="F35" s="82">
        <v>0.05</v>
      </c>
      <c r="G35" s="81">
        <f t="shared" ref="G35:G38" si="1">F35*E35</f>
        <v>58661.728500000005</v>
      </c>
    </row>
    <row r="36" spans="3:7">
      <c r="C36" s="80" t="s">
        <v>110</v>
      </c>
      <c r="D36" s="130">
        <v>56</v>
      </c>
      <c r="E36" s="130">
        <v>1480271.25</v>
      </c>
      <c r="F36" s="82">
        <v>0.25</v>
      </c>
      <c r="G36" s="81">
        <f t="shared" si="1"/>
        <v>370067.8125</v>
      </c>
    </row>
    <row r="37" spans="3:7">
      <c r="C37" s="80" t="s">
        <v>111</v>
      </c>
      <c r="D37" s="130">
        <v>91</v>
      </c>
      <c r="E37" s="130">
        <v>4015481.09</v>
      </c>
      <c r="F37" s="82">
        <v>0.5</v>
      </c>
      <c r="G37" s="81">
        <f t="shared" si="1"/>
        <v>2007740.5449999999</v>
      </c>
    </row>
    <row r="38" spans="3:7">
      <c r="C38" s="80" t="s">
        <v>112</v>
      </c>
      <c r="D38" s="130">
        <v>193</v>
      </c>
      <c r="E38" s="130">
        <v>5217836.41</v>
      </c>
      <c r="F38" s="82">
        <v>1</v>
      </c>
      <c r="G38" s="81">
        <f t="shared" si="1"/>
        <v>5217836.41</v>
      </c>
    </row>
    <row r="39" spans="3:7">
      <c r="C39" s="84" t="s">
        <v>113</v>
      </c>
      <c r="D39" s="83">
        <f>SUM(D34:D38)</f>
        <v>4049</v>
      </c>
      <c r="E39" s="83">
        <f>SUM(E34:E38)</f>
        <v>216162819.63999999</v>
      </c>
      <c r="F39" s="84"/>
      <c r="G39" s="83">
        <f>SUM(G34:G38)</f>
        <v>9697066.4592000004</v>
      </c>
    </row>
    <row r="40" spans="3:7">
      <c r="C40" s="80"/>
      <c r="D40" s="80"/>
      <c r="E40" s="80"/>
      <c r="F40" s="80"/>
      <c r="G40" s="80"/>
    </row>
    <row r="41" spans="3:7">
      <c r="C41" s="80" t="s">
        <v>108</v>
      </c>
      <c r="D41" s="80"/>
      <c r="E41" s="80"/>
      <c r="F41" s="82">
        <v>0.01</v>
      </c>
      <c r="G41" s="80" t="s">
        <v>114</v>
      </c>
    </row>
    <row r="42" spans="3:7">
      <c r="C42" s="80" t="s">
        <v>109</v>
      </c>
      <c r="D42" s="80"/>
      <c r="E42" s="80"/>
      <c r="F42" s="82">
        <v>0.05</v>
      </c>
      <c r="G42" s="80" t="s">
        <v>114</v>
      </c>
    </row>
    <row r="43" spans="3:7">
      <c r="C43" s="80" t="s">
        <v>110</v>
      </c>
      <c r="D43" s="80"/>
      <c r="E43" s="80"/>
      <c r="F43" s="82">
        <v>0.25</v>
      </c>
      <c r="G43" s="80" t="s">
        <v>114</v>
      </c>
    </row>
    <row r="44" spans="3:7">
      <c r="C44" s="80" t="s">
        <v>111</v>
      </c>
      <c r="D44" s="80"/>
      <c r="E44" s="80"/>
      <c r="F44" s="82">
        <v>0.5</v>
      </c>
      <c r="G44" s="80" t="s">
        <v>114</v>
      </c>
    </row>
    <row r="45" spans="3:7">
      <c r="C45" s="80" t="s">
        <v>112</v>
      </c>
      <c r="D45" s="80"/>
      <c r="E45" s="80"/>
      <c r="F45" s="82">
        <v>1</v>
      </c>
      <c r="G45" s="80" t="s">
        <v>114</v>
      </c>
    </row>
    <row r="46" spans="3:7">
      <c r="C46" s="80" t="s">
        <v>113</v>
      </c>
      <c r="D46" s="83"/>
      <c r="E46" s="83"/>
      <c r="F46" s="84"/>
      <c r="G46" s="83"/>
    </row>
    <row r="47" spans="3:7">
      <c r="C47" s="80"/>
    </row>
    <row r="50" spans="3:7">
      <c r="D50" s="77" t="s">
        <v>115</v>
      </c>
      <c r="E50" s="78">
        <f>E38+E37+E36</f>
        <v>10713588.75</v>
      </c>
    </row>
    <row r="51" spans="3:7">
      <c r="D51" s="77" t="s">
        <v>116</v>
      </c>
      <c r="E51" s="79">
        <f>E50/E39</f>
        <v>4.9562587904074029E-2</v>
      </c>
    </row>
    <row r="56" spans="3:7">
      <c r="E56" s="180" t="s">
        <v>117</v>
      </c>
    </row>
    <row r="57" spans="3:7" ht="14.25">
      <c r="C57" s="84" t="s">
        <v>103</v>
      </c>
      <c r="D57" s="84" t="s">
        <v>104</v>
      </c>
      <c r="E57" s="84" t="s">
        <v>105</v>
      </c>
      <c r="F57" s="84" t="s">
        <v>106</v>
      </c>
      <c r="G57" s="84" t="s">
        <v>107</v>
      </c>
    </row>
    <row r="58" spans="3:7" ht="15">
      <c r="C58" s="80" t="s">
        <v>108</v>
      </c>
      <c r="D58" s="130"/>
      <c r="E58" s="160">
        <v>216037973.90000001</v>
      </c>
      <c r="F58" s="82">
        <v>0.01</v>
      </c>
      <c r="G58" s="81">
        <f>F58*E58</f>
        <v>2160379.7390000001</v>
      </c>
    </row>
    <row r="59" spans="3:7" ht="15">
      <c r="C59" s="80" t="s">
        <v>109</v>
      </c>
      <c r="D59" s="130"/>
      <c r="E59" s="160">
        <v>3484233.05</v>
      </c>
      <c r="F59" s="82">
        <v>0.05</v>
      </c>
      <c r="G59" s="81">
        <f t="shared" ref="G59:G62" si="2">F59*E59</f>
        <v>174211.6525</v>
      </c>
    </row>
    <row r="60" spans="3:7" ht="15">
      <c r="C60" s="80" t="s">
        <v>110</v>
      </c>
      <c r="D60" s="130"/>
      <c r="E60" s="160">
        <v>6443360.0899999999</v>
      </c>
      <c r="F60" s="82">
        <v>0.25</v>
      </c>
      <c r="G60" s="81">
        <f t="shared" si="2"/>
        <v>1610840.0225</v>
      </c>
    </row>
    <row r="61" spans="3:7" ht="15">
      <c r="C61" s="80" t="s">
        <v>111</v>
      </c>
      <c r="D61" s="130"/>
      <c r="E61" s="160">
        <v>4713350.2</v>
      </c>
      <c r="F61" s="82">
        <v>0.5</v>
      </c>
      <c r="G61" s="81">
        <f t="shared" si="2"/>
        <v>2356675.1</v>
      </c>
    </row>
    <row r="62" spans="3:7" ht="15">
      <c r="C62" s="80" t="s">
        <v>112</v>
      </c>
      <c r="D62" s="130"/>
      <c r="E62" s="160">
        <v>7790023.0899999999</v>
      </c>
      <c r="F62" s="82">
        <v>1</v>
      </c>
      <c r="G62" s="81">
        <f t="shared" si="2"/>
        <v>7790023.0899999999</v>
      </c>
    </row>
    <row r="63" spans="3:7" ht="14.25">
      <c r="C63" s="84" t="s">
        <v>113</v>
      </c>
      <c r="D63" s="83">
        <f>SUM(D58:D62)</f>
        <v>0</v>
      </c>
      <c r="E63" s="83">
        <f>SUM(E58:E62)</f>
        <v>238468940.33000001</v>
      </c>
      <c r="F63" s="84"/>
      <c r="G63" s="83">
        <f>SUM(G58:G62)</f>
        <v>14092129.604</v>
      </c>
    </row>
    <row r="64" spans="3:7">
      <c r="C64" s="80"/>
      <c r="D64" s="80"/>
      <c r="E64" s="80"/>
      <c r="F64" s="80"/>
      <c r="G64" s="80"/>
    </row>
    <row r="65" spans="3:7">
      <c r="C65" s="80" t="s">
        <v>108</v>
      </c>
      <c r="D65" s="80"/>
      <c r="E65" s="80"/>
      <c r="F65" s="82">
        <v>0.01</v>
      </c>
      <c r="G65" s="80" t="s">
        <v>114</v>
      </c>
    </row>
    <row r="66" spans="3:7">
      <c r="C66" s="80" t="s">
        <v>109</v>
      </c>
      <c r="D66" s="80"/>
      <c r="E66" s="80"/>
      <c r="F66" s="82">
        <v>0.05</v>
      </c>
      <c r="G66" s="80" t="s">
        <v>114</v>
      </c>
    </row>
    <row r="67" spans="3:7">
      <c r="C67" s="80" t="s">
        <v>110</v>
      </c>
      <c r="D67" s="80"/>
      <c r="E67" s="80"/>
      <c r="F67" s="82">
        <v>0.25</v>
      </c>
      <c r="G67" s="80" t="s">
        <v>114</v>
      </c>
    </row>
    <row r="68" spans="3:7">
      <c r="C68" s="80" t="s">
        <v>111</v>
      </c>
      <c r="D68" s="80"/>
      <c r="E68" s="80"/>
      <c r="F68" s="82">
        <v>0.5</v>
      </c>
      <c r="G68" s="80" t="s">
        <v>114</v>
      </c>
    </row>
    <row r="69" spans="3:7">
      <c r="C69" s="80" t="s">
        <v>112</v>
      </c>
      <c r="D69" s="80"/>
      <c r="E69" s="80"/>
      <c r="F69" s="82">
        <v>1</v>
      </c>
      <c r="G69" s="80" t="s">
        <v>114</v>
      </c>
    </row>
    <row r="70" spans="3:7" ht="14.25">
      <c r="C70" s="80" t="s">
        <v>113</v>
      </c>
      <c r="D70" s="83"/>
      <c r="E70" s="83"/>
      <c r="F70" s="84"/>
      <c r="G70" s="83"/>
    </row>
    <row r="71" spans="3:7">
      <c r="C71" s="80"/>
    </row>
    <row r="74" spans="3:7" ht="14.25">
      <c r="D74" s="77" t="s">
        <v>115</v>
      </c>
      <c r="E74" s="78">
        <f>E62+E61+E60</f>
        <v>18946733.379999999</v>
      </c>
    </row>
    <row r="75" spans="3:7" ht="14.25">
      <c r="D75" s="77" t="s">
        <v>116</v>
      </c>
      <c r="E75" s="181">
        <f>E74/E63</f>
        <v>7.9451577022068273E-2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9"/>
  <sheetViews>
    <sheetView workbookViewId="0">
      <pane xSplit="1" topLeftCell="T1" activePane="topRight" state="frozen"/>
      <selection pane="topRight" activeCell="V16" sqref="V16:Z16"/>
    </sheetView>
  </sheetViews>
  <sheetFormatPr defaultColWidth="9.140625" defaultRowHeight="13.15"/>
  <cols>
    <col min="1" max="1" width="29.85546875" style="18" bestFit="1" customWidth="1"/>
    <col min="2" max="3" width="18.140625" style="18" customWidth="1"/>
    <col min="4" max="4" width="18.140625" style="18" bestFit="1" customWidth="1"/>
    <col min="5" max="6" width="18.140625" style="18" customWidth="1"/>
    <col min="7" max="7" width="18.140625" style="18" bestFit="1" customWidth="1"/>
    <col min="8" max="9" width="18.140625" style="18" customWidth="1"/>
    <col min="10" max="10" width="18.140625" style="18" bestFit="1" customWidth="1"/>
    <col min="11" max="12" width="18.140625" style="18" hidden="1" customWidth="1"/>
    <col min="13" max="14" width="18.140625" style="18" bestFit="1" customWidth="1"/>
    <col min="15" max="20" width="16.42578125" style="18" bestFit="1" customWidth="1"/>
    <col min="21" max="21" width="16.28515625" style="18" bestFit="1" customWidth="1"/>
    <col min="22" max="22" width="16.5703125" style="18" customWidth="1"/>
    <col min="23" max="23" width="18.85546875" style="18" customWidth="1"/>
    <col min="24" max="24" width="15.42578125" style="18" customWidth="1"/>
    <col min="25" max="26" width="15.7109375" style="18" customWidth="1"/>
    <col min="27" max="27" width="20.42578125" style="18" customWidth="1"/>
    <col min="28" max="16384" width="9.140625" style="18"/>
  </cols>
  <sheetData>
    <row r="1" spans="1:32">
      <c r="A1" s="38" t="s">
        <v>118</v>
      </c>
    </row>
    <row r="2" spans="1:32">
      <c r="A2" s="39"/>
    </row>
    <row r="3" spans="1:32">
      <c r="A3" s="40" t="s">
        <v>119</v>
      </c>
      <c r="B3" s="21" t="s">
        <v>3</v>
      </c>
      <c r="C3" s="21" t="s">
        <v>4</v>
      </c>
      <c r="D3" s="21" t="s">
        <v>5</v>
      </c>
      <c r="E3" s="21" t="s">
        <v>6</v>
      </c>
      <c r="F3" s="21" t="s">
        <v>7</v>
      </c>
      <c r="G3" s="21" t="s">
        <v>8</v>
      </c>
      <c r="H3" s="21" t="s">
        <v>9</v>
      </c>
      <c r="I3" s="21" t="s">
        <v>10</v>
      </c>
      <c r="J3" s="21" t="s">
        <v>11</v>
      </c>
      <c r="K3" s="21" t="s">
        <v>12</v>
      </c>
      <c r="L3" s="21" t="s">
        <v>13</v>
      </c>
      <c r="M3" s="21" t="s">
        <v>14</v>
      </c>
      <c r="N3" s="21" t="s">
        <v>15</v>
      </c>
      <c r="O3" s="124">
        <v>44583</v>
      </c>
      <c r="P3" s="124">
        <v>44614</v>
      </c>
      <c r="Q3" s="124">
        <v>44642</v>
      </c>
      <c r="R3" s="124">
        <v>44673</v>
      </c>
      <c r="S3" s="124">
        <v>44703</v>
      </c>
      <c r="T3" s="124">
        <v>44734</v>
      </c>
      <c r="U3" s="124">
        <v>44764</v>
      </c>
      <c r="V3" s="124">
        <v>44795</v>
      </c>
      <c r="W3" s="124">
        <v>44826</v>
      </c>
      <c r="X3" s="124">
        <v>44856</v>
      </c>
      <c r="Y3" s="124">
        <v>44887</v>
      </c>
      <c r="Z3" s="124">
        <v>44917</v>
      </c>
      <c r="AA3" s="179" t="s">
        <v>120</v>
      </c>
    </row>
    <row r="4" spans="1:32">
      <c r="A4" s="41" t="s">
        <v>121</v>
      </c>
    </row>
    <row r="5" spans="1:32">
      <c r="A5" s="42" t="s">
        <v>41</v>
      </c>
      <c r="B5" s="43">
        <f>'Balance Sheet'!C26</f>
        <v>188148811.35999998</v>
      </c>
      <c r="C5" s="43">
        <f>'Balance Sheet'!D26</f>
        <v>189140188.13999999</v>
      </c>
      <c r="D5" s="43">
        <f>'Balance Sheet'!E26</f>
        <v>191739331.70999998</v>
      </c>
      <c r="E5" s="43">
        <f>'Balance Sheet'!F26</f>
        <v>193627837.60999998</v>
      </c>
      <c r="F5" s="43">
        <f>'Balance Sheet'!G26</f>
        <v>191319735.27000001</v>
      </c>
      <c r="G5" s="43">
        <f>'Balance Sheet'!H26</f>
        <v>194777154.74999997</v>
      </c>
      <c r="H5" s="43">
        <f>'Balance Sheet'!I26</f>
        <v>198777257.47</v>
      </c>
      <c r="I5" s="43">
        <f>'Balance Sheet'!J26</f>
        <v>204649174.88</v>
      </c>
      <c r="J5" s="43">
        <f>'Balance Sheet'!K26</f>
        <v>205184087.25</v>
      </c>
      <c r="K5" s="43">
        <f>'Balance Sheet'!L26</f>
        <v>205826547.99999997</v>
      </c>
      <c r="L5" s="43">
        <f>'Balance Sheet'!M26</f>
        <v>210153964.88999999</v>
      </c>
      <c r="M5" s="43">
        <f>'Balance Sheet'!N26</f>
        <v>201655252.72</v>
      </c>
      <c r="N5" s="43">
        <f>'Balance Sheet'!O26</f>
        <v>222933922</v>
      </c>
      <c r="O5" s="43">
        <f>'Balance Sheet'!P26</f>
        <v>229555304.39999998</v>
      </c>
      <c r="P5" s="43">
        <f>'Balance Sheet'!Q26</f>
        <v>229565774.14999998</v>
      </c>
      <c r="Q5" s="43">
        <f>'Balance Sheet'!R26</f>
        <v>223415888.70999998</v>
      </c>
      <c r="R5" s="43">
        <f>'Balance Sheet'!S26</f>
        <v>217876379.15000001</v>
      </c>
      <c r="S5" s="43">
        <f>'Balance Sheet'!T26</f>
        <v>229845076.33999997</v>
      </c>
      <c r="T5" s="43">
        <f>'Balance Sheet'!U26</f>
        <v>229848095.11999997</v>
      </c>
      <c r="U5" s="43">
        <f>'Balance Sheet'!V26</f>
        <v>236777162.96000001</v>
      </c>
      <c r="V5" s="43">
        <f>'Balance Sheet'!W26</f>
        <v>243484534.75</v>
      </c>
      <c r="W5" s="43">
        <f>'Balance Sheet'!X26</f>
        <v>243985200.25999999</v>
      </c>
      <c r="X5" s="43">
        <f>'Balance Sheet'!Y26</f>
        <v>245242486.65000001</v>
      </c>
      <c r="Y5" s="43">
        <f>'Balance Sheet'!Z26</f>
        <v>247826980.28</v>
      </c>
      <c r="Z5" s="43">
        <f>'Balance Sheet'!AA26</f>
        <v>250797727.00999999</v>
      </c>
      <c r="AA5" s="43">
        <f>'Balance Sheet'!AB26</f>
        <v>260823377</v>
      </c>
      <c r="AB5" s="43">
        <f>'Balance Sheet'!AC26</f>
        <v>0</v>
      </c>
      <c r="AC5" s="43">
        <f>'Balance Sheet'!AD26</f>
        <v>0</v>
      </c>
      <c r="AD5" s="43">
        <f>'Balance Sheet'!AE26</f>
        <v>0</v>
      </c>
      <c r="AE5" s="43">
        <f>'Balance Sheet'!AF26</f>
        <v>0</v>
      </c>
      <c r="AF5" s="43">
        <f>'Balance Sheet'!AG26</f>
        <v>0</v>
      </c>
    </row>
    <row r="6" spans="1:32" ht="12.75">
      <c r="A6" s="44" t="s">
        <v>122</v>
      </c>
      <c r="B6" s="45">
        <f t="shared" ref="B6:T6" si="0">B7+B8</f>
        <v>129164942.85000001</v>
      </c>
      <c r="C6" s="45">
        <f t="shared" si="0"/>
        <v>130233318.63</v>
      </c>
      <c r="D6" s="45">
        <f t="shared" si="0"/>
        <v>134357667.06</v>
      </c>
      <c r="E6" s="45">
        <f t="shared" si="0"/>
        <v>121352631.36</v>
      </c>
      <c r="F6" s="45">
        <f t="shared" si="0"/>
        <v>135008259.66</v>
      </c>
      <c r="G6" s="45">
        <f t="shared" si="0"/>
        <v>137252444.93000001</v>
      </c>
      <c r="H6" s="45">
        <f t="shared" ref="H6" si="1">H7+H8</f>
        <v>141344720.59</v>
      </c>
      <c r="I6" s="45">
        <f t="shared" si="0"/>
        <v>137763654.15000001</v>
      </c>
      <c r="J6" s="45">
        <f t="shared" si="0"/>
        <v>138400417.14000002</v>
      </c>
      <c r="K6" s="45">
        <f t="shared" si="0"/>
        <v>139165289.69999999</v>
      </c>
      <c r="L6" s="45">
        <f t="shared" si="0"/>
        <v>140731736</v>
      </c>
      <c r="M6" s="45">
        <f t="shared" si="0"/>
        <v>136746949</v>
      </c>
      <c r="N6" s="45">
        <f t="shared" si="0"/>
        <v>136133552</v>
      </c>
      <c r="O6" s="45">
        <f t="shared" si="0"/>
        <v>145923471.19</v>
      </c>
      <c r="P6" s="45">
        <f t="shared" si="0"/>
        <v>143890081.48000002</v>
      </c>
      <c r="Q6" s="45">
        <f t="shared" si="0"/>
        <v>144239719.16999999</v>
      </c>
      <c r="R6" s="45">
        <f t="shared" si="0"/>
        <v>149073366.99000001</v>
      </c>
      <c r="S6" s="45">
        <f t="shared" si="0"/>
        <v>150955669.87</v>
      </c>
      <c r="T6" s="45">
        <f t="shared" si="0"/>
        <v>151850398.52000001</v>
      </c>
      <c r="U6" s="45">
        <f t="shared" ref="U6:V6" si="2">U7+U8</f>
        <v>151388237.63</v>
      </c>
      <c r="V6" s="45">
        <f t="shared" si="2"/>
        <v>154855534.88</v>
      </c>
      <c r="W6" s="45">
        <f t="shared" ref="W6:AF6" si="3">W7+W8</f>
        <v>158030745.31</v>
      </c>
      <c r="X6" s="45">
        <f t="shared" si="3"/>
        <v>158547778.31</v>
      </c>
      <c r="Y6" s="45">
        <f t="shared" si="3"/>
        <v>158743071.09999999</v>
      </c>
      <c r="Z6" s="45">
        <f t="shared" si="3"/>
        <v>159912772.66</v>
      </c>
      <c r="AA6" s="45">
        <f t="shared" si="3"/>
        <v>155839666</v>
      </c>
      <c r="AB6" s="45">
        <f t="shared" si="3"/>
        <v>0</v>
      </c>
      <c r="AC6" s="45">
        <f t="shared" si="3"/>
        <v>0</v>
      </c>
      <c r="AD6" s="45">
        <f t="shared" si="3"/>
        <v>0</v>
      </c>
      <c r="AE6" s="45">
        <f t="shared" si="3"/>
        <v>0</v>
      </c>
      <c r="AF6" s="45">
        <f t="shared" si="3"/>
        <v>0</v>
      </c>
    </row>
    <row r="7" spans="1:32">
      <c r="A7" s="46" t="s">
        <v>123</v>
      </c>
      <c r="B7" s="43">
        <f>'Balance Sheet'!C29</f>
        <v>117290676.59</v>
      </c>
      <c r="C7" s="43">
        <f>'Balance Sheet'!D29</f>
        <v>118284584.91</v>
      </c>
      <c r="D7" s="43">
        <f>'Balance Sheet'!E29</f>
        <v>119333496.31</v>
      </c>
      <c r="E7" s="43">
        <f>'Balance Sheet'!F29</f>
        <v>109669467.84999999</v>
      </c>
      <c r="F7" s="43">
        <f>'Balance Sheet'!G29</f>
        <v>121238889.09999999</v>
      </c>
      <c r="G7" s="43">
        <f>'Balance Sheet'!H29</f>
        <v>122900227.06</v>
      </c>
      <c r="H7" s="43">
        <f>'Balance Sheet'!I29</f>
        <v>124636613.89</v>
      </c>
      <c r="I7" s="43">
        <f>'Balance Sheet'!J29</f>
        <v>122383207.90000001</v>
      </c>
      <c r="J7" s="43">
        <f>'Balance Sheet'!K29</f>
        <v>123766664.43000001</v>
      </c>
      <c r="K7" s="43">
        <f>'Balance Sheet'!L29</f>
        <v>125318204.97</v>
      </c>
      <c r="L7" s="43">
        <f>'Balance Sheet'!M29</f>
        <v>127215589.76000001</v>
      </c>
      <c r="M7" s="43">
        <f>'Balance Sheet'!N29</f>
        <v>116861714</v>
      </c>
      <c r="N7" s="43">
        <f>'Balance Sheet'!O29</f>
        <v>115725183</v>
      </c>
      <c r="O7" s="43">
        <f>'Balance Sheet'!P29</f>
        <v>128129099.54000001</v>
      </c>
      <c r="P7" s="43">
        <f>'Balance Sheet'!Q29</f>
        <v>129565831.01000001</v>
      </c>
      <c r="Q7" s="43">
        <f>'Balance Sheet'!R29</f>
        <v>129670464.20999999</v>
      </c>
      <c r="R7" s="43">
        <f>'Balance Sheet'!S29</f>
        <v>130861405.98999999</v>
      </c>
      <c r="S7" s="43">
        <f>'Balance Sheet'!T29</f>
        <v>132150997.59999999</v>
      </c>
      <c r="T7" s="43">
        <f>'Balance Sheet'!U29</f>
        <v>133207905.08</v>
      </c>
      <c r="U7" s="43">
        <f>'Balance Sheet'!V29</f>
        <v>134163825.48999999</v>
      </c>
      <c r="V7" s="43">
        <f>'Balance Sheet'!W29</f>
        <v>136376632.31</v>
      </c>
      <c r="W7" s="43">
        <f>'Balance Sheet'!X29</f>
        <v>138544013.43000001</v>
      </c>
      <c r="X7" s="43">
        <f>'Balance Sheet'!Y29</f>
        <v>139600125.53</v>
      </c>
      <c r="Y7" s="43">
        <f>'Balance Sheet'!Z29</f>
        <v>140581337.34</v>
      </c>
      <c r="Z7" s="43">
        <f>'Balance Sheet'!AA29</f>
        <v>141873954.84</v>
      </c>
      <c r="AA7" s="43">
        <f>'Balance Sheet'!AB29</f>
        <v>130510902</v>
      </c>
      <c r="AB7" s="43">
        <f>'Balance Sheet'!AC29</f>
        <v>0</v>
      </c>
      <c r="AC7" s="43">
        <f>'Balance Sheet'!AD29</f>
        <v>0</v>
      </c>
      <c r="AD7" s="43">
        <f>'Balance Sheet'!AE29</f>
        <v>0</v>
      </c>
      <c r="AE7" s="43">
        <f>'Balance Sheet'!AF29</f>
        <v>0</v>
      </c>
      <c r="AF7" s="43">
        <f>'Balance Sheet'!AG29</f>
        <v>0</v>
      </c>
    </row>
    <row r="8" spans="1:32">
      <c r="A8" s="46" t="s">
        <v>124</v>
      </c>
      <c r="B8" s="43">
        <f>'Balance Sheet'!C27</f>
        <v>11874266.26</v>
      </c>
      <c r="C8" s="43">
        <f>'Balance Sheet'!D27</f>
        <v>11948733.720000001</v>
      </c>
      <c r="D8" s="43">
        <f>'Balance Sheet'!E27</f>
        <v>15024170.75</v>
      </c>
      <c r="E8" s="43">
        <f>'Balance Sheet'!F27</f>
        <v>11683163.51</v>
      </c>
      <c r="F8" s="43">
        <f>'Balance Sheet'!G27</f>
        <v>13769370.560000001</v>
      </c>
      <c r="G8" s="43">
        <f>'Balance Sheet'!H27</f>
        <v>14352217.869999999</v>
      </c>
      <c r="H8" s="43">
        <f>'Balance Sheet'!I27</f>
        <v>16708106.699999999</v>
      </c>
      <c r="I8" s="43">
        <f>'Balance Sheet'!J27</f>
        <v>15380446.25</v>
      </c>
      <c r="J8" s="43">
        <f>'Balance Sheet'!K27</f>
        <v>14633752.710000001</v>
      </c>
      <c r="K8" s="43">
        <f>'Balance Sheet'!L27</f>
        <v>13847084.73</v>
      </c>
      <c r="L8" s="43">
        <f>'Balance Sheet'!M27</f>
        <v>13516146.24</v>
      </c>
      <c r="M8" s="43">
        <f>'Balance Sheet'!N27</f>
        <v>19885235</v>
      </c>
      <c r="N8" s="43">
        <f>'Balance Sheet'!O27</f>
        <v>20408369</v>
      </c>
      <c r="O8" s="43">
        <f>'Balance Sheet'!P27</f>
        <v>17794371.649999999</v>
      </c>
      <c r="P8" s="43">
        <f>'Balance Sheet'!Q27</f>
        <v>14324250.470000001</v>
      </c>
      <c r="Q8" s="43">
        <f>'Balance Sheet'!R27</f>
        <v>14569254.960000001</v>
      </c>
      <c r="R8" s="43">
        <f>'Balance Sheet'!S27</f>
        <v>18211961</v>
      </c>
      <c r="S8" s="43">
        <f>'Balance Sheet'!T27</f>
        <v>18804672.27</v>
      </c>
      <c r="T8" s="43">
        <f>'Balance Sheet'!U27</f>
        <v>18642493.440000001</v>
      </c>
      <c r="U8" s="43">
        <f>'Balance Sheet'!V27</f>
        <v>17224412.140000001</v>
      </c>
      <c r="V8" s="43">
        <f>'Balance Sheet'!W27</f>
        <v>18478902.57</v>
      </c>
      <c r="W8" s="43">
        <f>'Balance Sheet'!X27</f>
        <v>19486731.879999999</v>
      </c>
      <c r="X8" s="43">
        <f>'Balance Sheet'!Y27</f>
        <v>18947652.780000001</v>
      </c>
      <c r="Y8" s="43">
        <f>'Balance Sheet'!Z27</f>
        <v>18161733.760000002</v>
      </c>
      <c r="Z8" s="43">
        <f>'Balance Sheet'!AA27</f>
        <v>18038817.82</v>
      </c>
      <c r="AA8" s="43">
        <f>'Balance Sheet'!AB27</f>
        <v>25328764</v>
      </c>
      <c r="AB8" s="43">
        <f>'Balance Sheet'!AC27</f>
        <v>0</v>
      </c>
      <c r="AC8" s="43">
        <f>'Balance Sheet'!AD27</f>
        <v>0</v>
      </c>
      <c r="AD8" s="43">
        <f>'Balance Sheet'!AE27</f>
        <v>0</v>
      </c>
      <c r="AE8" s="43">
        <f>'Balance Sheet'!AF27</f>
        <v>0</v>
      </c>
      <c r="AF8" s="43">
        <f>'Balance Sheet'!AG27</f>
        <v>0</v>
      </c>
    </row>
    <row r="9" spans="1:32">
      <c r="A9" s="46" t="s">
        <v>125</v>
      </c>
      <c r="B9" s="43">
        <f>'Balance Sheet'!C28</f>
        <v>106000</v>
      </c>
      <c r="C9" s="43">
        <f>'Balance Sheet'!D28</f>
        <v>106000</v>
      </c>
      <c r="D9" s="43">
        <f>'Balance Sheet'!E28</f>
        <v>0</v>
      </c>
      <c r="E9" s="43">
        <f>'Balance Sheet'!F28</f>
        <v>0</v>
      </c>
      <c r="F9" s="43">
        <f>'Balance Sheet'!G28</f>
        <v>0</v>
      </c>
      <c r="G9" s="43">
        <f>'Balance Sheet'!H28</f>
        <v>0</v>
      </c>
      <c r="H9" s="43">
        <f>'Balance Sheet'!I28</f>
        <v>0</v>
      </c>
      <c r="I9" s="43">
        <f>'Balance Sheet'!J28</f>
        <v>0</v>
      </c>
      <c r="J9" s="43">
        <f>'Balance Sheet'!K28</f>
        <v>0</v>
      </c>
      <c r="K9" s="43">
        <f>'Balance Sheet'!L28</f>
        <v>86000</v>
      </c>
      <c r="L9" s="43">
        <f>'Balance Sheet'!M28</f>
        <v>86000</v>
      </c>
      <c r="M9" s="43">
        <f>'Balance Sheet'!N28</f>
        <v>86000</v>
      </c>
      <c r="N9" s="43">
        <f>'Balance Sheet'!O28</f>
        <v>86000</v>
      </c>
      <c r="O9" s="43">
        <f>'Balance Sheet'!P28</f>
        <v>146000</v>
      </c>
      <c r="P9" s="43">
        <f>'Balance Sheet'!Q28</f>
        <v>146000</v>
      </c>
      <c r="Q9" s="43">
        <f>'Balance Sheet'!R28</f>
        <v>146000</v>
      </c>
      <c r="R9" s="43">
        <f>'Balance Sheet'!S28</f>
        <v>246000</v>
      </c>
      <c r="S9" s="43">
        <f>'Balance Sheet'!T28</f>
        <v>1046000</v>
      </c>
      <c r="T9" s="43">
        <f>'Balance Sheet'!U28</f>
        <v>1446000</v>
      </c>
      <c r="U9" s="43">
        <f>'Balance Sheet'!V28</f>
        <v>1486000</v>
      </c>
      <c r="V9" s="43">
        <f>'Balance Sheet'!W28</f>
        <v>2231000</v>
      </c>
      <c r="W9" s="43">
        <f>'Balance Sheet'!X28</f>
        <v>2145000</v>
      </c>
      <c r="X9" s="43">
        <f>'Balance Sheet'!Y28</f>
        <v>2505000</v>
      </c>
      <c r="Y9" s="43">
        <f>'Balance Sheet'!Z28</f>
        <v>2505000</v>
      </c>
      <c r="Z9" s="43">
        <f>'Balance Sheet'!AA28</f>
        <v>1660000</v>
      </c>
      <c r="AA9" s="43">
        <f>'Balance Sheet'!AB28</f>
        <v>4108688</v>
      </c>
      <c r="AB9" s="43">
        <f>'Balance Sheet'!AC28</f>
        <v>0</v>
      </c>
      <c r="AC9" s="43">
        <f>'Balance Sheet'!AD28</f>
        <v>0</v>
      </c>
      <c r="AD9" s="43">
        <f>'Balance Sheet'!AE28</f>
        <v>0</v>
      </c>
      <c r="AE9" s="43">
        <f>'Balance Sheet'!AF28</f>
        <v>0</v>
      </c>
      <c r="AF9" s="43">
        <f>'Balance Sheet'!AG28</f>
        <v>0</v>
      </c>
    </row>
    <row r="10" spans="1:32">
      <c r="A10" s="42" t="s">
        <v>126</v>
      </c>
      <c r="B10" s="43">
        <f>'Balance Sheet'!C37</f>
        <v>1332372</v>
      </c>
      <c r="C10" s="43">
        <f>'Balance Sheet'!D37</f>
        <v>1083946</v>
      </c>
      <c r="D10" s="43">
        <f>'Balance Sheet'!E37</f>
        <v>1083946</v>
      </c>
      <c r="E10" s="43">
        <f>'Balance Sheet'!F37</f>
        <v>325155</v>
      </c>
      <c r="F10" s="43">
        <f>'Balance Sheet'!G37</f>
        <v>325155</v>
      </c>
      <c r="G10" s="43">
        <f>'Balance Sheet'!H37</f>
        <v>325155</v>
      </c>
      <c r="H10" s="43">
        <f>'Balance Sheet'!I37</f>
        <v>0</v>
      </c>
      <c r="I10" s="43">
        <f>'Balance Sheet'!J37</f>
        <v>8000000</v>
      </c>
      <c r="J10" s="43">
        <f>'Balance Sheet'!K37</f>
        <v>8000000</v>
      </c>
      <c r="K10" s="43">
        <f>'Balance Sheet'!L37</f>
        <v>7244747</v>
      </c>
      <c r="L10" s="43">
        <f>'Balance Sheet'!M37</f>
        <v>6906342</v>
      </c>
      <c r="M10" s="43">
        <f>'Balance Sheet'!N37</f>
        <v>6220650</v>
      </c>
      <c r="N10" s="43">
        <f>'Balance Sheet'!O37</f>
        <v>6220650</v>
      </c>
      <c r="O10" s="43">
        <f>'Balance Sheet'!P37</f>
        <v>6220650</v>
      </c>
      <c r="P10" s="43">
        <f>'Balance Sheet'!Q37</f>
        <v>5871930</v>
      </c>
      <c r="Q10" s="43">
        <f>'Balance Sheet'!R37</f>
        <v>5520151</v>
      </c>
      <c r="R10" s="43">
        <f>'Balance Sheet'!S37</f>
        <v>5158370</v>
      </c>
      <c r="S10" s="43">
        <f>'Balance Sheet'!T37</f>
        <v>5158370</v>
      </c>
      <c r="T10" s="43">
        <f>'Balance Sheet'!U37</f>
        <v>4103346</v>
      </c>
      <c r="U10" s="43">
        <f>'Balance Sheet'!V37</f>
        <v>7230083.9900000002</v>
      </c>
      <c r="V10" s="43">
        <f>'Balance Sheet'!W37</f>
        <v>5687393.3200000003</v>
      </c>
      <c r="W10" s="43">
        <f>'Balance Sheet'!X38</f>
        <v>182954094.84</v>
      </c>
      <c r="X10" s="43">
        <f>'Balance Sheet'!Y38</f>
        <v>181743742.31999999</v>
      </c>
      <c r="Y10" s="43">
        <f>'Balance Sheet'!Z38</f>
        <v>183887682.16</v>
      </c>
      <c r="Z10" s="43">
        <f>'Balance Sheet'!AA38</f>
        <v>185205300.25</v>
      </c>
      <c r="AA10" s="43">
        <f>'Balance Sheet'!AB37</f>
        <v>8804417</v>
      </c>
      <c r="AB10" s="43">
        <f>'Balance Sheet'!AC37</f>
        <v>0</v>
      </c>
      <c r="AC10" s="43">
        <f>'Balance Sheet'!AD37</f>
        <v>0</v>
      </c>
      <c r="AD10" s="43">
        <f>'Balance Sheet'!AE37</f>
        <v>0</v>
      </c>
      <c r="AE10" s="43">
        <f>'Balance Sheet'!AF37</f>
        <v>0</v>
      </c>
      <c r="AF10" s="43">
        <f>'Balance Sheet'!AG37</f>
        <v>0</v>
      </c>
    </row>
    <row r="11" spans="1:32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</row>
    <row r="12" spans="1:32" ht="12.75">
      <c r="A12" s="47" t="s">
        <v>127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3" spans="1:32" ht="12.75">
      <c r="A13" s="47" t="s">
        <v>128</v>
      </c>
      <c r="B13" s="45">
        <f t="shared" ref="B13:L13" si="4">B15-B28</f>
        <v>54173123.079999998</v>
      </c>
      <c r="C13" s="45">
        <f t="shared" si="4"/>
        <v>46780605.399999999</v>
      </c>
      <c r="D13" s="45">
        <f t="shared" si="4"/>
        <v>48819888.809999995</v>
      </c>
      <c r="E13" s="45">
        <f t="shared" si="4"/>
        <v>49097727.539999999</v>
      </c>
      <c r="F13" s="45">
        <f t="shared" si="4"/>
        <v>52362475.539999999</v>
      </c>
      <c r="G13" s="45">
        <f t="shared" si="4"/>
        <v>54611878.149999999</v>
      </c>
      <c r="H13" s="45">
        <f t="shared" ref="H13" si="5">H15-H28</f>
        <v>57227673.440000005</v>
      </c>
      <c r="I13" s="45">
        <f t="shared" si="4"/>
        <v>49460296.100000001</v>
      </c>
      <c r="J13" s="45">
        <f t="shared" si="4"/>
        <v>51673575.379999995</v>
      </c>
      <c r="K13" s="45">
        <f t="shared" si="4"/>
        <v>53561707.390000001</v>
      </c>
      <c r="L13" s="45">
        <f t="shared" si="4"/>
        <v>55595604.019999996</v>
      </c>
      <c r="M13" s="45">
        <f t="shared" ref="M13:O13" si="6">M15-M28</f>
        <v>56427608.879999995</v>
      </c>
      <c r="N13" s="45">
        <f t="shared" si="6"/>
        <v>55513880.899999999</v>
      </c>
      <c r="O13" s="45">
        <f t="shared" si="6"/>
        <v>55915729.660000004</v>
      </c>
      <c r="P13" s="45">
        <f t="shared" ref="P13:T13" si="7">P15-P28</f>
        <v>55757083.420000009</v>
      </c>
      <c r="Q13" s="45">
        <f t="shared" si="7"/>
        <v>56157354.639999993</v>
      </c>
      <c r="R13" s="45">
        <f t="shared" si="7"/>
        <v>58186508.190000005</v>
      </c>
      <c r="S13" s="45">
        <f t="shared" si="7"/>
        <v>59270906.000000007</v>
      </c>
      <c r="T13" s="45">
        <f t="shared" si="7"/>
        <v>60489517.479999997</v>
      </c>
      <c r="U13" s="45">
        <f t="shared" ref="U13:V13" si="8">U15-U28</f>
        <v>60610194.619999997</v>
      </c>
      <c r="V13" s="45">
        <f t="shared" si="8"/>
        <v>61355804.050000004</v>
      </c>
      <c r="W13" s="45">
        <f t="shared" ref="W13:AF13" si="9">W15-W28</f>
        <v>61031105.420000009</v>
      </c>
      <c r="X13" s="45">
        <f t="shared" si="9"/>
        <v>63498744.330000006</v>
      </c>
      <c r="Y13" s="45">
        <f t="shared" si="9"/>
        <v>63939298.119999997</v>
      </c>
      <c r="Z13" s="45">
        <f t="shared" si="9"/>
        <v>65592426.759999998</v>
      </c>
      <c r="AA13" s="45">
        <f t="shared" si="9"/>
        <v>67503997.730000004</v>
      </c>
      <c r="AB13" s="45">
        <f t="shared" si="9"/>
        <v>0</v>
      </c>
      <c r="AC13" s="45">
        <f t="shared" si="9"/>
        <v>0</v>
      </c>
      <c r="AD13" s="45">
        <f t="shared" si="9"/>
        <v>0</v>
      </c>
      <c r="AE13" s="45">
        <f t="shared" si="9"/>
        <v>0</v>
      </c>
      <c r="AF13" s="45">
        <f t="shared" si="9"/>
        <v>0</v>
      </c>
    </row>
    <row r="14" spans="1:32" ht="12.75">
      <c r="A14" s="47" t="s">
        <v>129</v>
      </c>
      <c r="B14" s="45">
        <f t="shared" ref="B14:L14" si="10">B13-B16</f>
        <v>25283577.799999997</v>
      </c>
      <c r="C14" s="45">
        <f t="shared" si="10"/>
        <v>17664836.799999997</v>
      </c>
      <c r="D14" s="45">
        <f t="shared" si="10"/>
        <v>19452464.999999996</v>
      </c>
      <c r="E14" s="45">
        <f t="shared" si="10"/>
        <v>19479394</v>
      </c>
      <c r="F14" s="45">
        <f t="shared" si="10"/>
        <v>22499680.199999999</v>
      </c>
      <c r="G14" s="45">
        <f t="shared" si="10"/>
        <v>24573840.5</v>
      </c>
      <c r="H14" s="45">
        <f t="shared" ref="H14" si="11">H13-H16</f>
        <v>27030069.500000004</v>
      </c>
      <c r="I14" s="45">
        <f t="shared" si="10"/>
        <v>19078117.900000002</v>
      </c>
      <c r="J14" s="45">
        <f t="shared" si="10"/>
        <v>21166237.799999997</v>
      </c>
      <c r="K14" s="45">
        <f t="shared" si="10"/>
        <v>22935723.300000001</v>
      </c>
      <c r="L14" s="45">
        <f t="shared" si="10"/>
        <v>24875338.199999996</v>
      </c>
      <c r="M14" s="45">
        <f t="shared" ref="M14:O14" si="12">M13-M16</f>
        <v>25573837.199999996</v>
      </c>
      <c r="N14" s="45">
        <f t="shared" si="12"/>
        <v>24649910.899999999</v>
      </c>
      <c r="O14" s="45">
        <f t="shared" si="12"/>
        <v>24999021.000000004</v>
      </c>
      <c r="P14" s="45">
        <f t="shared" ref="P14:T14" si="13">P13-P16</f>
        <v>24777366.300000008</v>
      </c>
      <c r="Q14" s="45">
        <f t="shared" si="13"/>
        <v>25065079.849999994</v>
      </c>
      <c r="R14" s="45">
        <f t="shared" si="13"/>
        <v>26973605.100000005</v>
      </c>
      <c r="S14" s="45">
        <f t="shared" si="13"/>
        <v>28173467.200000007</v>
      </c>
      <c r="T14" s="45">
        <f t="shared" si="13"/>
        <v>29276576.499999996</v>
      </c>
      <c r="U14" s="45">
        <f t="shared" ref="U14:V14" si="14">U13-U16</f>
        <v>29369679.199999996</v>
      </c>
      <c r="V14" s="45">
        <f t="shared" si="14"/>
        <v>30007428.500000004</v>
      </c>
      <c r="W14" s="45">
        <f t="shared" ref="W14:AF14" si="15">W13-W16</f>
        <v>29532638.800000008</v>
      </c>
      <c r="X14" s="45">
        <f t="shared" si="15"/>
        <v>31948073.180000007</v>
      </c>
      <c r="Y14" s="45">
        <f t="shared" si="15"/>
        <v>32351183.109999996</v>
      </c>
      <c r="Z14" s="45">
        <f t="shared" si="15"/>
        <v>33930882</v>
      </c>
      <c r="AA14" s="45">
        <f t="shared" si="15"/>
        <v>35779773.730000004</v>
      </c>
      <c r="AB14" s="45">
        <f t="shared" si="15"/>
        <v>0</v>
      </c>
      <c r="AC14" s="45">
        <f t="shared" si="15"/>
        <v>0</v>
      </c>
      <c r="AD14" s="45">
        <f t="shared" si="15"/>
        <v>0</v>
      </c>
      <c r="AE14" s="45">
        <f t="shared" si="15"/>
        <v>0</v>
      </c>
      <c r="AF14" s="45">
        <f t="shared" si="15"/>
        <v>0</v>
      </c>
    </row>
    <row r="15" spans="1:32" ht="12.75">
      <c r="A15" s="47" t="s">
        <v>130</v>
      </c>
      <c r="B15" s="45">
        <f t="shared" ref="B15:L15" si="16">B16+B17+B18+B19+B20+B21</f>
        <v>54173123.079999998</v>
      </c>
      <c r="C15" s="45">
        <f t="shared" si="16"/>
        <v>46780605.399999999</v>
      </c>
      <c r="D15" s="45">
        <f t="shared" si="16"/>
        <v>48819888.809999995</v>
      </c>
      <c r="E15" s="45">
        <f t="shared" si="16"/>
        <v>49097727.539999999</v>
      </c>
      <c r="F15" s="45">
        <f t="shared" si="16"/>
        <v>52362475.539999999</v>
      </c>
      <c r="G15" s="45">
        <f t="shared" si="16"/>
        <v>54611878.149999999</v>
      </c>
      <c r="H15" s="45">
        <f t="shared" ref="H15" si="17">H16+H17+H18+H19+H20+H21</f>
        <v>57227673.440000005</v>
      </c>
      <c r="I15" s="45">
        <f t="shared" si="16"/>
        <v>49460296.100000001</v>
      </c>
      <c r="J15" s="45">
        <f t="shared" si="16"/>
        <v>51673575.379999995</v>
      </c>
      <c r="K15" s="45">
        <f t="shared" si="16"/>
        <v>53561707.390000001</v>
      </c>
      <c r="L15" s="45">
        <f t="shared" si="16"/>
        <v>55595604.019999996</v>
      </c>
      <c r="M15" s="45">
        <f t="shared" ref="M15:O15" si="18">M16+M17+M18+M19+M20+M21</f>
        <v>56427608.879999995</v>
      </c>
      <c r="N15" s="45">
        <f>N16+N17+N18+N20+N21</f>
        <v>55513880.899999999</v>
      </c>
      <c r="O15" s="45">
        <f t="shared" si="18"/>
        <v>55915729.660000004</v>
      </c>
      <c r="P15" s="45">
        <f t="shared" ref="P15:T15" si="19">P16+P17+P18+P19+P20+P21</f>
        <v>55757083.420000009</v>
      </c>
      <c r="Q15" s="45">
        <f t="shared" si="19"/>
        <v>56157354.639999993</v>
      </c>
      <c r="R15" s="45">
        <f t="shared" si="19"/>
        <v>58186508.190000005</v>
      </c>
      <c r="S15" s="45">
        <f t="shared" si="19"/>
        <v>59270906.000000007</v>
      </c>
      <c r="T15" s="45">
        <f t="shared" si="19"/>
        <v>60489517.479999997</v>
      </c>
      <c r="U15" s="45">
        <f t="shared" ref="U15:V15" si="20">U16+U17+U18+U19+U20+U21</f>
        <v>60610194.619999997</v>
      </c>
      <c r="V15" s="45">
        <f t="shared" si="20"/>
        <v>61355804.050000004</v>
      </c>
      <c r="W15" s="45">
        <f t="shared" ref="W15:AF15" si="21">W16+W17+W18+W19+W20+W21</f>
        <v>61031105.420000009</v>
      </c>
      <c r="X15" s="45">
        <f t="shared" si="21"/>
        <v>63498744.330000006</v>
      </c>
      <c r="Y15" s="45">
        <f t="shared" si="21"/>
        <v>63939298.119999997</v>
      </c>
      <c r="Z15" s="45">
        <f t="shared" si="21"/>
        <v>65592426.759999998</v>
      </c>
      <c r="AA15" s="45">
        <f t="shared" si="21"/>
        <v>67503997.730000004</v>
      </c>
      <c r="AB15" s="45">
        <f t="shared" si="21"/>
        <v>0</v>
      </c>
      <c r="AC15" s="45">
        <f t="shared" si="21"/>
        <v>0</v>
      </c>
      <c r="AD15" s="45">
        <f t="shared" si="21"/>
        <v>0</v>
      </c>
      <c r="AE15" s="45">
        <f t="shared" si="21"/>
        <v>0</v>
      </c>
      <c r="AF15" s="45">
        <f t="shared" si="21"/>
        <v>0</v>
      </c>
    </row>
    <row r="16" spans="1:32">
      <c r="A16" s="48" t="s">
        <v>131</v>
      </c>
      <c r="B16" s="43">
        <f>'Balance Sheet'!C39</f>
        <v>28889545.280000001</v>
      </c>
      <c r="C16" s="43">
        <f>'Balance Sheet'!D39</f>
        <v>29115768.600000001</v>
      </c>
      <c r="D16" s="43">
        <f>'Balance Sheet'!E39</f>
        <v>29367423.809999999</v>
      </c>
      <c r="E16" s="43">
        <f>'Balance Sheet'!F39</f>
        <v>29618333.539999999</v>
      </c>
      <c r="F16" s="43">
        <f>'Balance Sheet'!G39</f>
        <v>29862795.34</v>
      </c>
      <c r="G16" s="43">
        <f>'Balance Sheet'!H39</f>
        <v>30038037.649999999</v>
      </c>
      <c r="H16" s="43">
        <f>'Balance Sheet'!I39</f>
        <v>30197603.940000001</v>
      </c>
      <c r="I16" s="43">
        <f>'Balance Sheet'!J39</f>
        <v>30382178.199999999</v>
      </c>
      <c r="J16" s="43">
        <f>'Balance Sheet'!K39</f>
        <v>30507337.579999998</v>
      </c>
      <c r="K16" s="43">
        <f>'Balance Sheet'!L39</f>
        <v>30625984.09</v>
      </c>
      <c r="L16" s="43">
        <f>'Balance Sheet'!M39</f>
        <v>30720265.82</v>
      </c>
      <c r="M16" s="43">
        <f>'Balance Sheet'!N39</f>
        <v>30853771.68</v>
      </c>
      <c r="N16" s="43">
        <f>'Balance Sheet'!O39</f>
        <v>30863970</v>
      </c>
      <c r="O16" s="43">
        <f>'Balance Sheet'!P39</f>
        <v>30916708.66</v>
      </c>
      <c r="P16" s="43">
        <f>'Balance Sheet'!Q39</f>
        <v>30979717.120000001</v>
      </c>
      <c r="Q16" s="43">
        <f>'Balance Sheet'!R39</f>
        <v>31092274.789999999</v>
      </c>
      <c r="R16" s="43">
        <f>'Balance Sheet'!S39</f>
        <v>31212903.09</v>
      </c>
      <c r="S16" s="43">
        <f>'Balance Sheet'!T39</f>
        <v>31097438.800000001</v>
      </c>
      <c r="T16" s="43">
        <f>'Balance Sheet'!U39</f>
        <v>31212940.98</v>
      </c>
      <c r="U16" s="43">
        <f>'Balance Sheet'!V39</f>
        <v>31240515.420000002</v>
      </c>
      <c r="V16" s="43">
        <f>'Balance Sheet'!W39</f>
        <v>31348375.550000001</v>
      </c>
      <c r="W16" s="43">
        <f>'Balance Sheet'!X39</f>
        <v>31498466.620000001</v>
      </c>
      <c r="X16" s="43">
        <f>'Balance Sheet'!Y39</f>
        <v>31550671.149999999</v>
      </c>
      <c r="Y16" s="43">
        <f>'Balance Sheet'!Z39</f>
        <v>31588115.010000002</v>
      </c>
      <c r="Z16" s="43">
        <f>'Balance Sheet'!AA39</f>
        <v>31661544.760000002</v>
      </c>
      <c r="AA16" s="43">
        <f>'Balance Sheet'!AB39</f>
        <v>31724224</v>
      </c>
      <c r="AB16" s="43">
        <f>'Balance Sheet'!AC39</f>
        <v>0</v>
      </c>
      <c r="AC16" s="43">
        <f>'Balance Sheet'!AD39</f>
        <v>0</v>
      </c>
      <c r="AD16" s="43">
        <f>'Balance Sheet'!AE39</f>
        <v>0</v>
      </c>
      <c r="AE16" s="43">
        <f>'Balance Sheet'!AF39</f>
        <v>0</v>
      </c>
      <c r="AF16" s="43">
        <f>'Balance Sheet'!AG39</f>
        <v>0</v>
      </c>
    </row>
    <row r="17" spans="1:32">
      <c r="A17" s="42" t="s">
        <v>132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</row>
    <row r="18" spans="1:32">
      <c r="A18" s="42" t="s">
        <v>56</v>
      </c>
      <c r="B18" s="43">
        <f>'Balance Sheet'!C41</f>
        <v>17601338.300000001</v>
      </c>
      <c r="C18" s="43">
        <f>'Balance Sheet'!D41</f>
        <v>9327413.8999999985</v>
      </c>
      <c r="D18" s="43">
        <f>'Balance Sheet'!E41</f>
        <v>11115042.1</v>
      </c>
      <c r="E18" s="43">
        <f>'Balance Sheet'!F41</f>
        <v>11141971.1</v>
      </c>
      <c r="F18" s="43">
        <f>'Balance Sheet'!G41</f>
        <v>14162257.299999999</v>
      </c>
      <c r="G18" s="43">
        <f>'Balance Sheet'!H41</f>
        <v>16236417.6</v>
      </c>
      <c r="H18" s="43">
        <f>'Balance Sheet'!I41</f>
        <v>18692646.600000001</v>
      </c>
      <c r="I18" s="43">
        <f>'Balance Sheet'!J41</f>
        <v>10740695</v>
      </c>
      <c r="J18" s="43">
        <f>'Balance Sheet'!K41</f>
        <v>12828814.899999999</v>
      </c>
      <c r="K18" s="43">
        <f>'Balance Sheet'!L41</f>
        <v>14598300.4</v>
      </c>
      <c r="L18" s="43">
        <f>'Balance Sheet'!M41</f>
        <v>16537915.299999999</v>
      </c>
      <c r="M18" s="43">
        <f>'Balance Sheet'!N41</f>
        <v>17236414.299999997</v>
      </c>
      <c r="N18" s="43">
        <f>'Balance Sheet'!O41</f>
        <v>11173990.74</v>
      </c>
      <c r="O18" s="43">
        <f>'Balance Sheet'!P41</f>
        <v>11523100.84</v>
      </c>
      <c r="P18" s="43">
        <f>'Balance Sheet'!Q41</f>
        <v>11301446.140000001</v>
      </c>
      <c r="Q18" s="43">
        <f>'Balance Sheet'!R41</f>
        <v>11589159.689999999</v>
      </c>
      <c r="R18" s="43">
        <f>'Balance Sheet'!S41</f>
        <v>13497684.939999999</v>
      </c>
      <c r="S18" s="43">
        <f>'Balance Sheet'!T41</f>
        <v>14697547.039999999</v>
      </c>
      <c r="T18" s="43">
        <f>'Balance Sheet'!U41</f>
        <v>15800656.34</v>
      </c>
      <c r="U18" s="43">
        <f>'Balance Sheet'!V41</f>
        <v>15893759.039999999</v>
      </c>
      <c r="V18" s="43">
        <f>'Balance Sheet'!W41</f>
        <v>16531508.34</v>
      </c>
      <c r="W18" s="43">
        <f>'Balance Sheet'!X41</f>
        <v>16056718.640000001</v>
      </c>
      <c r="X18" s="43">
        <f>'Balance Sheet'!Y41</f>
        <v>18472153.02</v>
      </c>
      <c r="Y18" s="43">
        <f>'Balance Sheet'!Z41</f>
        <v>18875262.949999999</v>
      </c>
      <c r="Z18" s="43">
        <f>'Balance Sheet'!AA41</f>
        <v>20454961.84</v>
      </c>
      <c r="AA18" s="43">
        <f>'Balance Sheet'!AB41</f>
        <v>15653575.84</v>
      </c>
      <c r="AB18" s="43">
        <f>'Balance Sheet'!AC41</f>
        <v>0</v>
      </c>
      <c r="AC18" s="43">
        <f>'Balance Sheet'!AD41</f>
        <v>0</v>
      </c>
      <c r="AD18" s="43">
        <f>'Balance Sheet'!AE41</f>
        <v>0</v>
      </c>
      <c r="AE18" s="43">
        <f>'Balance Sheet'!AF41</f>
        <v>0</v>
      </c>
      <c r="AF18" s="43">
        <f>'Balance Sheet'!AG41</f>
        <v>0</v>
      </c>
    </row>
    <row r="19" spans="1:32">
      <c r="A19" s="42" t="s">
        <v>133</v>
      </c>
      <c r="B19" s="43">
        <f>'Balance Sheet'!C48</f>
        <v>0</v>
      </c>
      <c r="C19" s="43">
        <f>'Balance Sheet'!D48</f>
        <v>0</v>
      </c>
      <c r="D19" s="43">
        <f>'Balance Sheet'!E48</f>
        <v>0</v>
      </c>
      <c r="E19" s="43">
        <f>'Balance Sheet'!F48</f>
        <v>0</v>
      </c>
      <c r="F19" s="43">
        <f>'Balance Sheet'!G48</f>
        <v>0</v>
      </c>
      <c r="G19" s="43">
        <f>'Balance Sheet'!H48</f>
        <v>0</v>
      </c>
      <c r="H19" s="43">
        <f>'Balance Sheet'!I48</f>
        <v>0</v>
      </c>
      <c r="I19" s="43">
        <f>'Balance Sheet'!J48</f>
        <v>0</v>
      </c>
      <c r="J19" s="43">
        <f>'Balance Sheet'!K48</f>
        <v>0</v>
      </c>
      <c r="K19" s="43">
        <f>'Balance Sheet'!L48</f>
        <v>0</v>
      </c>
      <c r="L19" s="43">
        <f>'Balance Sheet'!M48</f>
        <v>0</v>
      </c>
      <c r="M19" s="43">
        <f>'Balance Sheet'!N48</f>
        <v>0</v>
      </c>
      <c r="N19" s="43">
        <f>'Balance Sheet'!O48</f>
        <v>3252077</v>
      </c>
      <c r="O19" s="43">
        <f>'Balance Sheet'!P48</f>
        <v>0</v>
      </c>
      <c r="P19" s="43">
        <f>'Balance Sheet'!Q48</f>
        <v>0</v>
      </c>
      <c r="Q19" s="43">
        <f>'Balance Sheet'!R48</f>
        <v>0</v>
      </c>
      <c r="R19" s="43">
        <f>'Balance Sheet'!S48</f>
        <v>0</v>
      </c>
      <c r="S19" s="43">
        <f>'Balance Sheet'!T48</f>
        <v>0</v>
      </c>
      <c r="T19" s="43">
        <f>'Balance Sheet'!U48</f>
        <v>0</v>
      </c>
      <c r="U19" s="43">
        <f>'Balance Sheet'!V48</f>
        <v>0</v>
      </c>
      <c r="V19" s="43">
        <f>'Balance Sheet'!W48</f>
        <v>0</v>
      </c>
      <c r="W19" s="43">
        <f>'Balance Sheet'!X48</f>
        <v>0</v>
      </c>
      <c r="X19" s="43">
        <f>'Balance Sheet'!Y48</f>
        <v>0</v>
      </c>
      <c r="Y19" s="43">
        <f>'Balance Sheet'!Z48</f>
        <v>0</v>
      </c>
      <c r="Z19" s="43">
        <f>'Balance Sheet'!AA48</f>
        <v>0</v>
      </c>
      <c r="AA19" s="43">
        <f>'Balance Sheet'!AB48</f>
        <v>3448973.95</v>
      </c>
      <c r="AB19" s="43">
        <f>'Balance Sheet'!AC48</f>
        <v>0</v>
      </c>
      <c r="AC19" s="43">
        <f>'Balance Sheet'!AD48</f>
        <v>0</v>
      </c>
      <c r="AD19" s="43">
        <f>'Balance Sheet'!AE48</f>
        <v>0</v>
      </c>
      <c r="AE19" s="43">
        <f>'Balance Sheet'!AF48</f>
        <v>0</v>
      </c>
      <c r="AF19" s="43">
        <f>'Balance Sheet'!AG48</f>
        <v>0</v>
      </c>
    </row>
    <row r="20" spans="1:32">
      <c r="A20" s="42" t="s">
        <v>134</v>
      </c>
      <c r="B20" s="43">
        <f>'Balance Sheet'!C45</f>
        <v>5685968.2000000002</v>
      </c>
      <c r="C20" s="43">
        <f>'Balance Sheet'!D45</f>
        <v>6341151.5999999996</v>
      </c>
      <c r="D20" s="43">
        <f>'Balance Sheet'!E45</f>
        <v>6341151.5999999996</v>
      </c>
      <c r="E20" s="43">
        <f>'Balance Sheet'!F45</f>
        <v>6341151.5999999996</v>
      </c>
      <c r="F20" s="43">
        <f>'Balance Sheet'!G45</f>
        <v>6341151.5999999996</v>
      </c>
      <c r="G20" s="43">
        <f>'Balance Sheet'!H45</f>
        <v>6341151.5999999996</v>
      </c>
      <c r="H20" s="43">
        <f>'Balance Sheet'!I45</f>
        <v>6341151.5999999996</v>
      </c>
      <c r="I20" s="43">
        <f>'Balance Sheet'!J45</f>
        <v>6341151.5999999996</v>
      </c>
      <c r="J20" s="43">
        <f>'Balance Sheet'!K45</f>
        <v>6341151.5999999996</v>
      </c>
      <c r="K20" s="43">
        <f>'Balance Sheet'!L45</f>
        <v>6341151.5999999996</v>
      </c>
      <c r="L20" s="43">
        <f>'Balance Sheet'!M45</f>
        <v>6341151.5999999996</v>
      </c>
      <c r="M20" s="43">
        <f>'Balance Sheet'!N45</f>
        <v>6341151.5999999996</v>
      </c>
      <c r="N20" s="43">
        <f>'Balance Sheet'!O45</f>
        <v>9118114.1999999993</v>
      </c>
      <c r="O20" s="43">
        <f>'Balance Sheet'!P45</f>
        <v>9118114.1999999993</v>
      </c>
      <c r="P20" s="43">
        <f>'Balance Sheet'!Q45</f>
        <v>9118114.1999999993</v>
      </c>
      <c r="Q20" s="43">
        <f>'Balance Sheet'!R45</f>
        <v>9118114.1999999993</v>
      </c>
      <c r="R20" s="43">
        <f>'Balance Sheet'!S45</f>
        <v>9118114.1999999993</v>
      </c>
      <c r="S20" s="43">
        <f>'Balance Sheet'!T45</f>
        <v>9118114.1999999993</v>
      </c>
      <c r="T20" s="43">
        <f>'Balance Sheet'!U45</f>
        <v>9118114.1999999993</v>
      </c>
      <c r="U20" s="43">
        <f>'Balance Sheet'!V45</f>
        <v>9118114.1999999993</v>
      </c>
      <c r="V20" s="43">
        <f>'Balance Sheet'!W45</f>
        <v>9118114.1999999993</v>
      </c>
      <c r="W20" s="43">
        <f>'Balance Sheet'!X45</f>
        <v>9118114.1999999993</v>
      </c>
      <c r="X20" s="43">
        <f>'Balance Sheet'!Y45</f>
        <v>9118114.1999999993</v>
      </c>
      <c r="Y20" s="43">
        <f>'Balance Sheet'!Z45</f>
        <v>9118114.1999999993</v>
      </c>
      <c r="Z20" s="43">
        <f>'Balance Sheet'!AA45</f>
        <v>9118114.1999999993</v>
      </c>
      <c r="AA20" s="43">
        <f>'Balance Sheet'!AB45</f>
        <v>11528902.98</v>
      </c>
      <c r="AB20" s="43">
        <f>'Balance Sheet'!AC45</f>
        <v>0</v>
      </c>
      <c r="AC20" s="43">
        <f>'Balance Sheet'!AD45</f>
        <v>0</v>
      </c>
      <c r="AD20" s="43">
        <f>'Balance Sheet'!AE45</f>
        <v>0</v>
      </c>
      <c r="AE20" s="43">
        <f>'Balance Sheet'!AF45</f>
        <v>0</v>
      </c>
      <c r="AF20" s="43">
        <f>'Balance Sheet'!AG45</f>
        <v>0</v>
      </c>
    </row>
    <row r="21" spans="1:32">
      <c r="A21" s="42" t="s">
        <v>135</v>
      </c>
      <c r="B21" s="43">
        <f>'Balance Sheet'!C46</f>
        <v>1996271.3</v>
      </c>
      <c r="C21" s="43">
        <f>'Balance Sheet'!D46</f>
        <v>1996271.3</v>
      </c>
      <c r="D21" s="43">
        <f>'Balance Sheet'!E46</f>
        <v>1996271.3</v>
      </c>
      <c r="E21" s="43">
        <f>'Balance Sheet'!F46</f>
        <v>1996271.3</v>
      </c>
      <c r="F21" s="43">
        <f>'Balance Sheet'!G46</f>
        <v>1996271.3</v>
      </c>
      <c r="G21" s="43">
        <f>'Balance Sheet'!H46</f>
        <v>1996271.3</v>
      </c>
      <c r="H21" s="43">
        <f>'Balance Sheet'!I46</f>
        <v>1996271.3</v>
      </c>
      <c r="I21" s="43">
        <f>'Balance Sheet'!J46</f>
        <v>1996271.3</v>
      </c>
      <c r="J21" s="43">
        <f>'Balance Sheet'!K46</f>
        <v>1996271.3</v>
      </c>
      <c r="K21" s="43">
        <f>'Balance Sheet'!L46</f>
        <v>1996271.3</v>
      </c>
      <c r="L21" s="43">
        <f>'Balance Sheet'!M46</f>
        <v>1996271.3</v>
      </c>
      <c r="M21" s="43">
        <f>'Balance Sheet'!N46</f>
        <v>1996271.3</v>
      </c>
      <c r="N21" s="43">
        <f>'Balance Sheet'!O46</f>
        <v>4357805.96</v>
      </c>
      <c r="O21" s="43">
        <f>'Balance Sheet'!P46</f>
        <v>4357805.96</v>
      </c>
      <c r="P21" s="43">
        <f>'Balance Sheet'!Q46</f>
        <v>4357805.96</v>
      </c>
      <c r="Q21" s="43">
        <f>'Balance Sheet'!R46</f>
        <v>4357805.96</v>
      </c>
      <c r="R21" s="43">
        <f>'Balance Sheet'!S46</f>
        <v>4357805.96</v>
      </c>
      <c r="S21" s="43">
        <f>'Balance Sheet'!T46</f>
        <v>4357805.96</v>
      </c>
      <c r="T21" s="43">
        <f>'Balance Sheet'!U46</f>
        <v>4357805.96</v>
      </c>
      <c r="U21" s="43">
        <f>'Balance Sheet'!V46</f>
        <v>4357805.96</v>
      </c>
      <c r="V21" s="43">
        <f>'Balance Sheet'!W46</f>
        <v>4357805.96</v>
      </c>
      <c r="W21" s="43">
        <f>'Balance Sheet'!X46</f>
        <v>4357805.96</v>
      </c>
      <c r="X21" s="43">
        <f>'Balance Sheet'!Y46</f>
        <v>4357805.96</v>
      </c>
      <c r="Y21" s="43">
        <f>'Balance Sheet'!Z46</f>
        <v>4357805.96</v>
      </c>
      <c r="Z21" s="43">
        <f>'Balance Sheet'!AA46</f>
        <v>4357805.96</v>
      </c>
      <c r="AA21" s="43">
        <f>'Balance Sheet'!AB46</f>
        <v>5148320.96</v>
      </c>
      <c r="AB21" s="43">
        <f>'Balance Sheet'!AC46</f>
        <v>0</v>
      </c>
      <c r="AC21" s="43">
        <f>'Balance Sheet'!AD46</f>
        <v>0</v>
      </c>
      <c r="AD21" s="43">
        <f>'Balance Sheet'!AE46</f>
        <v>0</v>
      </c>
      <c r="AE21" s="43">
        <f>'Balance Sheet'!AF46</f>
        <v>0</v>
      </c>
      <c r="AF21" s="43">
        <f>'Balance Sheet'!AG46</f>
        <v>0</v>
      </c>
    </row>
    <row r="22" spans="1:32">
      <c r="A22" s="44" t="s">
        <v>136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</row>
    <row r="23" spans="1:32">
      <c r="A23" s="42" t="s">
        <v>63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</row>
    <row r="24" spans="1:32">
      <c r="A24" s="42" t="s">
        <v>137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</row>
    <row r="25" spans="1:32" ht="12.75">
      <c r="A25" s="44" t="s">
        <v>138</v>
      </c>
      <c r="B25" s="49">
        <f t="shared" ref="B25:L25" si="22">B26+B27+B29</f>
        <v>6000</v>
      </c>
      <c r="C25" s="49">
        <f t="shared" si="22"/>
        <v>6000</v>
      </c>
      <c r="D25" s="49">
        <f t="shared" si="22"/>
        <v>6000</v>
      </c>
      <c r="E25" s="49">
        <f t="shared" si="22"/>
        <v>6000</v>
      </c>
      <c r="F25" s="49">
        <f t="shared" si="22"/>
        <v>6000</v>
      </c>
      <c r="G25" s="49">
        <f t="shared" si="22"/>
        <v>6000</v>
      </c>
      <c r="H25" s="49">
        <f t="shared" ref="H25" si="23">H26+H27+H29</f>
        <v>6000</v>
      </c>
      <c r="I25" s="49">
        <f t="shared" si="22"/>
        <v>6000</v>
      </c>
      <c r="J25" s="49">
        <f t="shared" si="22"/>
        <v>6000</v>
      </c>
      <c r="K25" s="49">
        <f t="shared" si="22"/>
        <v>6000</v>
      </c>
      <c r="L25" s="49">
        <f t="shared" si="22"/>
        <v>6000</v>
      </c>
      <c r="M25" s="49">
        <f t="shared" ref="M25:O25" si="24">M26+M27+M29</f>
        <v>6000</v>
      </c>
      <c r="N25" s="49">
        <f t="shared" si="24"/>
        <v>12000</v>
      </c>
      <c r="O25" s="49">
        <f t="shared" si="24"/>
        <v>6000</v>
      </c>
      <c r="P25" s="49">
        <f t="shared" ref="P25:T25" si="25">P26+P27+P29</f>
        <v>6000</v>
      </c>
      <c r="Q25" s="49">
        <f t="shared" si="25"/>
        <v>6000</v>
      </c>
      <c r="R25" s="49">
        <f t="shared" si="25"/>
        <v>6000</v>
      </c>
      <c r="S25" s="49">
        <f t="shared" si="25"/>
        <v>6000</v>
      </c>
      <c r="T25" s="49">
        <f t="shared" si="25"/>
        <v>56000</v>
      </c>
      <c r="U25" s="49">
        <f t="shared" ref="U25:V25" si="26">U26+U27+U29</f>
        <v>56000</v>
      </c>
      <c r="V25" s="49">
        <f t="shared" si="26"/>
        <v>106000</v>
      </c>
      <c r="W25" s="49">
        <f t="shared" ref="W25:AF25" si="27">W26+W27+W29</f>
        <v>106000</v>
      </c>
      <c r="X25" s="49">
        <f t="shared" si="27"/>
        <v>106000</v>
      </c>
      <c r="Y25" s="49">
        <f t="shared" si="27"/>
        <v>106000</v>
      </c>
      <c r="Z25" s="49">
        <f t="shared" si="27"/>
        <v>106000</v>
      </c>
      <c r="AA25" s="49">
        <f t="shared" si="27"/>
        <v>212000</v>
      </c>
      <c r="AB25" s="49">
        <f t="shared" si="27"/>
        <v>0</v>
      </c>
      <c r="AC25" s="49">
        <f t="shared" si="27"/>
        <v>0</v>
      </c>
      <c r="AD25" s="49">
        <f t="shared" si="27"/>
        <v>0</v>
      </c>
      <c r="AE25" s="49">
        <f t="shared" si="27"/>
        <v>0</v>
      </c>
      <c r="AF25" s="49">
        <f t="shared" si="27"/>
        <v>0</v>
      </c>
    </row>
    <row r="26" spans="1:32">
      <c r="A26" s="42" t="s">
        <v>139</v>
      </c>
      <c r="B26" s="43">
        <f>'Balance Sheet'!C8</f>
        <v>6000</v>
      </c>
      <c r="C26" s="43">
        <f>'Balance Sheet'!D8</f>
        <v>6000</v>
      </c>
      <c r="D26" s="43">
        <f>'Balance Sheet'!E8</f>
        <v>6000</v>
      </c>
      <c r="E26" s="43">
        <f>'Balance Sheet'!F8</f>
        <v>6000</v>
      </c>
      <c r="F26" s="43">
        <f>'Balance Sheet'!G8</f>
        <v>6000</v>
      </c>
      <c r="G26" s="43">
        <f>'Balance Sheet'!H8</f>
        <v>6000</v>
      </c>
      <c r="H26" s="43">
        <f>'Balance Sheet'!I8</f>
        <v>6000</v>
      </c>
      <c r="I26" s="43">
        <f>'Balance Sheet'!J8</f>
        <v>6000</v>
      </c>
      <c r="J26" s="43">
        <f>'Balance Sheet'!K8</f>
        <v>6000</v>
      </c>
      <c r="K26" s="43">
        <f>'Balance Sheet'!L8</f>
        <v>6000</v>
      </c>
      <c r="L26" s="43">
        <f>'Balance Sheet'!M8</f>
        <v>6000</v>
      </c>
      <c r="M26" s="43">
        <f>'Balance Sheet'!N8</f>
        <v>6000</v>
      </c>
      <c r="N26" s="43">
        <f>'Balance Sheet'!O8</f>
        <v>6000</v>
      </c>
      <c r="O26" s="43">
        <f>'Balance Sheet'!P8</f>
        <v>6000</v>
      </c>
      <c r="P26" s="43">
        <f>'Balance Sheet'!Q8</f>
        <v>6000</v>
      </c>
      <c r="Q26" s="43">
        <f>'Balance Sheet'!R8</f>
        <v>6000</v>
      </c>
      <c r="R26" s="43">
        <f>'Balance Sheet'!S8</f>
        <v>6000</v>
      </c>
      <c r="S26" s="43">
        <f>'Balance Sheet'!T8</f>
        <v>6000</v>
      </c>
      <c r="T26" s="43">
        <f>'Balance Sheet'!U8</f>
        <v>56000</v>
      </c>
      <c r="U26" s="43">
        <f>'Balance Sheet'!V8</f>
        <v>56000</v>
      </c>
      <c r="V26" s="43">
        <f>'Balance Sheet'!W8</f>
        <v>106000</v>
      </c>
      <c r="W26" s="43">
        <f>'Balance Sheet'!X8</f>
        <v>106000</v>
      </c>
      <c r="X26" s="43">
        <f>'Balance Sheet'!Y8</f>
        <v>106000</v>
      </c>
      <c r="Y26" s="43">
        <f>'Balance Sheet'!Z8</f>
        <v>106000</v>
      </c>
      <c r="Z26" s="43">
        <f>'Balance Sheet'!AA8</f>
        <v>106000</v>
      </c>
      <c r="AA26" s="43">
        <f>'Balance Sheet'!AB8</f>
        <v>106000</v>
      </c>
      <c r="AB26" s="43">
        <f>'Balance Sheet'!AC8</f>
        <v>0</v>
      </c>
      <c r="AC26" s="43">
        <f>'Balance Sheet'!AD8</f>
        <v>0</v>
      </c>
      <c r="AD26" s="43">
        <f>'Balance Sheet'!AE8</f>
        <v>0</v>
      </c>
      <c r="AE26" s="43">
        <f>'Balance Sheet'!AF8</f>
        <v>0</v>
      </c>
      <c r="AF26" s="43">
        <f>'Balance Sheet'!AG8</f>
        <v>0</v>
      </c>
    </row>
    <row r="27" spans="1:32">
      <c r="A27" s="42" t="s">
        <v>140</v>
      </c>
      <c r="B27" s="43">
        <f>'Balance Sheet'!C11</f>
        <v>0</v>
      </c>
      <c r="C27" s="43">
        <f>'Balance Sheet'!D11</f>
        <v>0</v>
      </c>
      <c r="D27" s="43">
        <f>'Balance Sheet'!E11</f>
        <v>0</v>
      </c>
      <c r="E27" s="43">
        <f>'Balance Sheet'!F11</f>
        <v>0</v>
      </c>
      <c r="F27" s="43">
        <f>'Balance Sheet'!G11</f>
        <v>0</v>
      </c>
      <c r="G27" s="43">
        <f>'Balance Sheet'!H11</f>
        <v>0</v>
      </c>
      <c r="H27" s="43">
        <f>'Balance Sheet'!I11</f>
        <v>0</v>
      </c>
      <c r="I27" s="43">
        <f>'Balance Sheet'!J11</f>
        <v>0</v>
      </c>
      <c r="J27" s="43">
        <f>'Balance Sheet'!K11</f>
        <v>0</v>
      </c>
      <c r="K27" s="43">
        <f>'Balance Sheet'!L11</f>
        <v>0</v>
      </c>
      <c r="L27" s="43">
        <f>'Balance Sheet'!M11</f>
        <v>0</v>
      </c>
      <c r="M27" s="43">
        <f>'Balance Sheet'!N11</f>
        <v>0</v>
      </c>
      <c r="N27" s="43">
        <f>'Balance Sheet'!O11</f>
        <v>6000</v>
      </c>
      <c r="O27" s="43">
        <f>'Balance Sheet'!P11</f>
        <v>0</v>
      </c>
      <c r="P27" s="43">
        <f>'Balance Sheet'!Q11</f>
        <v>0</v>
      </c>
      <c r="Q27" s="43">
        <f>'Balance Sheet'!R11</f>
        <v>0</v>
      </c>
      <c r="R27" s="43">
        <f>'Balance Sheet'!S11</f>
        <v>0</v>
      </c>
      <c r="S27" s="43">
        <f>'Balance Sheet'!T11</f>
        <v>0</v>
      </c>
      <c r="T27" s="43">
        <f>'Balance Sheet'!U11</f>
        <v>0</v>
      </c>
      <c r="U27" s="43">
        <f>'Balance Sheet'!V11</f>
        <v>0</v>
      </c>
      <c r="V27" s="43">
        <f>'Balance Sheet'!W11</f>
        <v>0</v>
      </c>
      <c r="W27" s="43">
        <f>'Balance Sheet'!X11</f>
        <v>0</v>
      </c>
      <c r="X27" s="43">
        <f>'Balance Sheet'!Y11</f>
        <v>0</v>
      </c>
      <c r="Y27" s="43">
        <f>'Balance Sheet'!Z11</f>
        <v>0</v>
      </c>
      <c r="Z27" s="43">
        <f>'Balance Sheet'!AA11</f>
        <v>0</v>
      </c>
      <c r="AA27" s="43">
        <f>'Balance Sheet'!AB11</f>
        <v>106000</v>
      </c>
      <c r="AB27" s="43">
        <f>'Balance Sheet'!AC11</f>
        <v>0</v>
      </c>
      <c r="AC27" s="43">
        <f>'Balance Sheet'!AD11</f>
        <v>0</v>
      </c>
      <c r="AD27" s="43">
        <f>'Balance Sheet'!AE11</f>
        <v>0</v>
      </c>
      <c r="AE27" s="43">
        <f>'Balance Sheet'!AF11</f>
        <v>0</v>
      </c>
      <c r="AF27" s="43">
        <f>'Balance Sheet'!AG11</f>
        <v>0</v>
      </c>
    </row>
    <row r="28" spans="1:32">
      <c r="A28" s="42" t="s">
        <v>141</v>
      </c>
      <c r="B28" s="43">
        <f>'Balance Sheet'!C9</f>
        <v>0</v>
      </c>
      <c r="C28" s="43">
        <f>'Balance Sheet'!D9</f>
        <v>0</v>
      </c>
      <c r="D28" s="43">
        <f>'Balance Sheet'!E9</f>
        <v>0</v>
      </c>
      <c r="E28" s="43">
        <f>'Balance Sheet'!F9</f>
        <v>0</v>
      </c>
      <c r="F28" s="43">
        <f>'Balance Sheet'!G9</f>
        <v>0</v>
      </c>
      <c r="G28" s="43">
        <f>'Balance Sheet'!H9</f>
        <v>0</v>
      </c>
      <c r="H28" s="43">
        <f>'Balance Sheet'!I9</f>
        <v>0</v>
      </c>
      <c r="I28" s="43">
        <f>'Balance Sheet'!J9</f>
        <v>0</v>
      </c>
      <c r="J28" s="43">
        <f>'Balance Sheet'!K9</f>
        <v>0</v>
      </c>
      <c r="K28" s="43">
        <f>'Balance Sheet'!L9</f>
        <v>0</v>
      </c>
      <c r="L28" s="43">
        <f>'Balance Sheet'!M9</f>
        <v>0</v>
      </c>
      <c r="M28" s="43">
        <f>'Balance Sheet'!N9</f>
        <v>0</v>
      </c>
      <c r="N28" s="43">
        <f>'Balance Sheet'!O9</f>
        <v>0</v>
      </c>
      <c r="O28" s="43">
        <f>'Balance Sheet'!P9</f>
        <v>0</v>
      </c>
      <c r="P28" s="43">
        <f>'Balance Sheet'!Q9</f>
        <v>0</v>
      </c>
      <c r="Q28" s="43">
        <f>'Balance Sheet'!R9</f>
        <v>0</v>
      </c>
      <c r="R28" s="43">
        <f>'Balance Sheet'!S9</f>
        <v>0</v>
      </c>
      <c r="S28" s="43">
        <f>'Balance Sheet'!T9</f>
        <v>0</v>
      </c>
      <c r="T28" s="43">
        <f>'Balance Sheet'!U9</f>
        <v>0</v>
      </c>
      <c r="U28" s="43">
        <f>'Balance Sheet'!V9</f>
        <v>0</v>
      </c>
      <c r="V28" s="43">
        <f>'Balance Sheet'!W9</f>
        <v>0</v>
      </c>
      <c r="W28" s="43">
        <f>'Balance Sheet'!X9</f>
        <v>0</v>
      </c>
      <c r="X28" s="43">
        <f>'Balance Sheet'!Y9</f>
        <v>0</v>
      </c>
      <c r="Y28" s="43">
        <f>'Balance Sheet'!Z9</f>
        <v>0</v>
      </c>
      <c r="Z28" s="43">
        <f>'Balance Sheet'!AA9</f>
        <v>0</v>
      </c>
      <c r="AA28" s="43">
        <f>'Balance Sheet'!AB9</f>
        <v>0</v>
      </c>
      <c r="AB28" s="43">
        <f>'Balance Sheet'!AC9</f>
        <v>0</v>
      </c>
      <c r="AC28" s="43">
        <f>'Balance Sheet'!AD9</f>
        <v>0</v>
      </c>
      <c r="AD28" s="43">
        <f>'Balance Sheet'!AE9</f>
        <v>0</v>
      </c>
      <c r="AE28" s="43">
        <f>'Balance Sheet'!AF9</f>
        <v>0</v>
      </c>
      <c r="AF28" s="43">
        <f>'Balance Sheet'!AG9</f>
        <v>0</v>
      </c>
    </row>
    <row r="29" spans="1:32">
      <c r="A29" s="42" t="s">
        <v>142</v>
      </c>
      <c r="B29" s="43">
        <f>'Balance Sheet'!C10</f>
        <v>0</v>
      </c>
      <c r="C29" s="43">
        <f>'Balance Sheet'!D10</f>
        <v>0</v>
      </c>
      <c r="D29" s="43">
        <f>'Balance Sheet'!E10</f>
        <v>0</v>
      </c>
      <c r="E29" s="43">
        <f>'Balance Sheet'!F10</f>
        <v>0</v>
      </c>
      <c r="F29" s="43">
        <f>'Balance Sheet'!G10</f>
        <v>0</v>
      </c>
      <c r="G29" s="43">
        <f>'Balance Sheet'!H10</f>
        <v>0</v>
      </c>
      <c r="H29" s="43">
        <f>'Balance Sheet'!I10</f>
        <v>0</v>
      </c>
      <c r="I29" s="43">
        <f>'Balance Sheet'!J10</f>
        <v>0</v>
      </c>
      <c r="J29" s="43">
        <f>'Balance Sheet'!K10</f>
        <v>0</v>
      </c>
      <c r="K29" s="43">
        <f>'Balance Sheet'!L10</f>
        <v>0</v>
      </c>
      <c r="L29" s="43">
        <f>'Balance Sheet'!M10</f>
        <v>0</v>
      </c>
      <c r="M29" s="43">
        <f>'Balance Sheet'!N10</f>
        <v>0</v>
      </c>
      <c r="N29" s="43">
        <f>'Balance Sheet'!O10</f>
        <v>0</v>
      </c>
      <c r="O29" s="43">
        <f>'Balance Sheet'!P10</f>
        <v>0</v>
      </c>
      <c r="P29" s="43">
        <f>'Balance Sheet'!Q10</f>
        <v>0</v>
      </c>
      <c r="Q29" s="43">
        <f>'Balance Sheet'!R10</f>
        <v>0</v>
      </c>
      <c r="R29" s="43">
        <f>'Balance Sheet'!S10</f>
        <v>0</v>
      </c>
      <c r="S29" s="43">
        <f>'Balance Sheet'!T10</f>
        <v>0</v>
      </c>
      <c r="T29" s="43">
        <f>'Balance Sheet'!U10</f>
        <v>0</v>
      </c>
      <c r="U29" s="43">
        <f>'Balance Sheet'!V10</f>
        <v>0</v>
      </c>
      <c r="V29" s="43">
        <f>'Balance Sheet'!W10</f>
        <v>0</v>
      </c>
      <c r="W29" s="43">
        <f>'Balance Sheet'!X10</f>
        <v>0</v>
      </c>
      <c r="X29" s="43">
        <f>'Balance Sheet'!Y10</f>
        <v>0</v>
      </c>
      <c r="Y29" s="43">
        <f>'Balance Sheet'!Z10</f>
        <v>0</v>
      </c>
      <c r="Z29" s="43">
        <f>'Balance Sheet'!AA10</f>
        <v>0</v>
      </c>
      <c r="AA29" s="43">
        <f>'Balance Sheet'!AB10</f>
        <v>0</v>
      </c>
      <c r="AB29" s="43">
        <f>'Balance Sheet'!AC10</f>
        <v>0</v>
      </c>
      <c r="AC29" s="43">
        <f>'Balance Sheet'!AD10</f>
        <v>0</v>
      </c>
      <c r="AD29" s="43">
        <f>'Balance Sheet'!AE10</f>
        <v>0</v>
      </c>
      <c r="AE29" s="43">
        <f>'Balance Sheet'!AF10</f>
        <v>0</v>
      </c>
      <c r="AF29" s="43">
        <f>'Balance Sheet'!AG10</f>
        <v>0</v>
      </c>
    </row>
    <row r="30" spans="1:32" ht="12.75">
      <c r="A30" s="44" t="s">
        <v>143</v>
      </c>
      <c r="B30" s="49">
        <f t="shared" ref="B30:L30" si="28">B31-B32</f>
        <v>-11360375</v>
      </c>
      <c r="C30" s="49">
        <f t="shared" si="28"/>
        <v>-11360375</v>
      </c>
      <c r="D30" s="49">
        <f t="shared" si="28"/>
        <v>-11360375</v>
      </c>
      <c r="E30" s="49">
        <f t="shared" si="28"/>
        <v>-11360375</v>
      </c>
      <c r="F30" s="49">
        <f t="shared" si="28"/>
        <v>-11360375</v>
      </c>
      <c r="G30" s="49">
        <f t="shared" si="28"/>
        <v>-11360375</v>
      </c>
      <c r="H30" s="49">
        <f t="shared" ref="H30" si="29">H31-H32</f>
        <v>-11360375</v>
      </c>
      <c r="I30" s="49">
        <f t="shared" si="28"/>
        <v>-11360375</v>
      </c>
      <c r="J30" s="49">
        <f t="shared" si="28"/>
        <v>-11360375</v>
      </c>
      <c r="K30" s="49">
        <f t="shared" si="28"/>
        <v>-11360375</v>
      </c>
      <c r="L30" s="49">
        <f t="shared" si="28"/>
        <v>-11360375</v>
      </c>
      <c r="M30" s="49">
        <f t="shared" ref="M30:O30" si="30">M31-M32</f>
        <v>-12360375</v>
      </c>
      <c r="N30" s="49">
        <f t="shared" si="30"/>
        <v>-13360375</v>
      </c>
      <c r="O30" s="49">
        <f t="shared" si="30"/>
        <v>-1113365</v>
      </c>
      <c r="P30" s="49">
        <f t="shared" ref="P30:T30" si="31">P31-P32</f>
        <v>-2226730</v>
      </c>
      <c r="Q30" s="49">
        <f t="shared" si="31"/>
        <v>-3340093.7400000095</v>
      </c>
      <c r="R30" s="49">
        <f t="shared" si="31"/>
        <v>-4453458</v>
      </c>
      <c r="S30" s="49">
        <f t="shared" si="31"/>
        <v>-5566823</v>
      </c>
      <c r="T30" s="49">
        <f t="shared" si="31"/>
        <v>-6680190</v>
      </c>
      <c r="U30" s="49">
        <f t="shared" ref="U30:V30" si="32">U31-U32</f>
        <v>-7793555</v>
      </c>
      <c r="V30" s="49">
        <f t="shared" si="32"/>
        <v>-8906920</v>
      </c>
      <c r="W30" s="49">
        <f t="shared" ref="W30:AF30" si="33">W31-W32</f>
        <v>-13360375</v>
      </c>
      <c r="X30" s="49">
        <f t="shared" si="33"/>
        <v>-13360375</v>
      </c>
      <c r="Y30" s="49">
        <f t="shared" si="33"/>
        <v>-13360375</v>
      </c>
      <c r="Z30" s="49">
        <f t="shared" si="33"/>
        <v>-13360375</v>
      </c>
      <c r="AA30" s="49">
        <f t="shared" si="33"/>
        <v>-15360375</v>
      </c>
      <c r="AB30" s="49">
        <f t="shared" si="33"/>
        <v>0</v>
      </c>
      <c r="AC30" s="49">
        <f t="shared" si="33"/>
        <v>0</v>
      </c>
      <c r="AD30" s="49">
        <f t="shared" si="33"/>
        <v>0</v>
      </c>
      <c r="AE30" s="49">
        <f t="shared" si="33"/>
        <v>0</v>
      </c>
      <c r="AF30" s="49">
        <f t="shared" si="33"/>
        <v>0</v>
      </c>
    </row>
    <row r="31" spans="1:32">
      <c r="A31" s="42" t="s">
        <v>144</v>
      </c>
      <c r="B31" s="43">
        <f>'Balance Sheet'!C13</f>
        <v>153661342.56</v>
      </c>
      <c r="C31" s="43">
        <f>'Balance Sheet'!D13</f>
        <v>156185327.94</v>
      </c>
      <c r="D31" s="43">
        <f>'Balance Sheet'!E13</f>
        <v>166038894.19999999</v>
      </c>
      <c r="E31" s="43">
        <f>'Balance Sheet'!F13</f>
        <v>168667888.38999999</v>
      </c>
      <c r="F31" s="43">
        <f>'Balance Sheet'!G13</f>
        <v>172444858.74000001</v>
      </c>
      <c r="G31" s="43">
        <f>'Balance Sheet'!H13</f>
        <v>173776048.94999999</v>
      </c>
      <c r="H31" s="43">
        <f>'Balance Sheet'!I13</f>
        <v>179886695.22999999</v>
      </c>
      <c r="I31" s="43">
        <f>'Balance Sheet'!J13</f>
        <v>183630992.5</v>
      </c>
      <c r="J31" s="43">
        <f>'Balance Sheet'!K13</f>
        <v>186892830.99000001</v>
      </c>
      <c r="K31" s="43">
        <f>'Balance Sheet'!L13</f>
        <v>188392747.13999999</v>
      </c>
      <c r="L31" s="43">
        <f>'Balance Sheet'!M13</f>
        <v>192101586.19999999</v>
      </c>
      <c r="M31" s="43">
        <f>'Balance Sheet'!N13</f>
        <v>183838232.83000001</v>
      </c>
      <c r="N31" s="43">
        <f>'Balance Sheet'!O13</f>
        <v>181921858</v>
      </c>
      <c r="O31" s="43">
        <f>'Balance Sheet'!P13</f>
        <v>205143716.97999999</v>
      </c>
      <c r="P31" s="43">
        <f>'Balance Sheet'!Q13</f>
        <v>205649494.50999999</v>
      </c>
      <c r="Q31" s="43">
        <f>'Balance Sheet'!R13</f>
        <v>202311042.35999998</v>
      </c>
      <c r="R31" s="43">
        <f>'Balance Sheet'!S13</f>
        <v>200082922.19</v>
      </c>
      <c r="S31" s="43">
        <f>'Balance Sheet'!T13</f>
        <v>207926089.91999999</v>
      </c>
      <c r="T31" s="43">
        <f>'Balance Sheet'!U13</f>
        <v>204974419.44999999</v>
      </c>
      <c r="U31" s="43">
        <f>'Balance Sheet'!V13</f>
        <v>208095328.31</v>
      </c>
      <c r="V31" s="43">
        <f>'Balance Sheet'!W13</f>
        <v>209657252.97999999</v>
      </c>
      <c r="W31" s="43">
        <f>'Balance Sheet'!X13</f>
        <v>210456549.68000001</v>
      </c>
      <c r="X31" s="43">
        <f>'Balance Sheet'!Y13</f>
        <v>219669812.16</v>
      </c>
      <c r="Y31" s="43">
        <f>'Balance Sheet'!Z13</f>
        <v>218843598.78999999</v>
      </c>
      <c r="Z31" s="43">
        <f>'Balance Sheet'!AA13</f>
        <v>225108565.28999999</v>
      </c>
      <c r="AA31" s="43">
        <f>'Balance Sheet'!AB13</f>
        <v>214255208</v>
      </c>
      <c r="AB31" s="43">
        <f>'Balance Sheet'!AC13</f>
        <v>0</v>
      </c>
      <c r="AC31" s="43">
        <f>'Balance Sheet'!AD13</f>
        <v>0</v>
      </c>
      <c r="AD31" s="43">
        <f>'Balance Sheet'!AE13</f>
        <v>0</v>
      </c>
      <c r="AE31" s="43">
        <f>'Balance Sheet'!AF13</f>
        <v>0</v>
      </c>
      <c r="AF31" s="43">
        <f>'Balance Sheet'!AG13</f>
        <v>0</v>
      </c>
    </row>
    <row r="32" spans="1:32">
      <c r="A32" s="42" t="s">
        <v>145</v>
      </c>
      <c r="B32" s="43">
        <f>'Balance Sheet'!C14</f>
        <v>165021717.56</v>
      </c>
      <c r="C32" s="43">
        <f>'Balance Sheet'!D14</f>
        <v>167545702.94</v>
      </c>
      <c r="D32" s="43">
        <f>'Balance Sheet'!E14</f>
        <v>177399269.19999999</v>
      </c>
      <c r="E32" s="43">
        <f>'Balance Sheet'!F14</f>
        <v>180028263.38999999</v>
      </c>
      <c r="F32" s="43">
        <f>'Balance Sheet'!G14</f>
        <v>183805233.74000001</v>
      </c>
      <c r="G32" s="43">
        <f>'Balance Sheet'!H14</f>
        <v>185136423.94999999</v>
      </c>
      <c r="H32" s="43">
        <f>'Balance Sheet'!I14</f>
        <v>191247070.22999999</v>
      </c>
      <c r="I32" s="43">
        <f>'Balance Sheet'!J14</f>
        <v>194991367.5</v>
      </c>
      <c r="J32" s="43">
        <f>'Balance Sheet'!K14</f>
        <v>198253205.99000001</v>
      </c>
      <c r="K32" s="43">
        <f>'Balance Sheet'!L14</f>
        <v>199753122.13999999</v>
      </c>
      <c r="L32" s="43">
        <f>'Balance Sheet'!M14</f>
        <v>203461961.19999999</v>
      </c>
      <c r="M32" s="43">
        <f>'Balance Sheet'!N14</f>
        <v>196198607.83000001</v>
      </c>
      <c r="N32" s="43">
        <f>'Balance Sheet'!O14</f>
        <v>195282233</v>
      </c>
      <c r="O32" s="43">
        <f>'Balance Sheet'!P14</f>
        <v>206257081.97999999</v>
      </c>
      <c r="P32" s="43">
        <f>'Balance Sheet'!Q14</f>
        <v>207876224.50999999</v>
      </c>
      <c r="Q32" s="43">
        <f>'Balance Sheet'!R14</f>
        <v>205651136.09999999</v>
      </c>
      <c r="R32" s="43">
        <f>'Balance Sheet'!S14</f>
        <v>204536380.19</v>
      </c>
      <c r="S32" s="43">
        <f>'Balance Sheet'!T14</f>
        <v>213492912.91999999</v>
      </c>
      <c r="T32" s="43">
        <f>'Balance Sheet'!U14</f>
        <v>211654609.44999999</v>
      </c>
      <c r="U32" s="43">
        <f>'Balance Sheet'!V14</f>
        <v>215888883.31</v>
      </c>
      <c r="V32" s="43">
        <f>'Balance Sheet'!W14</f>
        <v>218564172.97999999</v>
      </c>
      <c r="W32" s="43">
        <f>'Balance Sheet'!X14</f>
        <v>223816924.68000001</v>
      </c>
      <c r="X32" s="43">
        <f>'Balance Sheet'!Y14</f>
        <v>233030187.16</v>
      </c>
      <c r="Y32" s="43">
        <f>'Balance Sheet'!Z14</f>
        <v>232203973.78999999</v>
      </c>
      <c r="Z32" s="43">
        <f>'Balance Sheet'!AA14</f>
        <v>238468940.28999999</v>
      </c>
      <c r="AA32" s="43">
        <f>'Balance Sheet'!AB14</f>
        <v>229615583</v>
      </c>
      <c r="AB32" s="43">
        <f>'Balance Sheet'!AC14</f>
        <v>0</v>
      </c>
      <c r="AC32" s="43">
        <f>'Balance Sheet'!AD14</f>
        <v>0</v>
      </c>
      <c r="AD32" s="43">
        <f>'Balance Sheet'!AE14</f>
        <v>0</v>
      </c>
      <c r="AE32" s="43">
        <f>'Balance Sheet'!AF14</f>
        <v>0</v>
      </c>
      <c r="AF32" s="43">
        <f>'Balance Sheet'!AG14</f>
        <v>0</v>
      </c>
    </row>
    <row r="33" spans="1:32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</row>
    <row r="34" spans="1:32">
      <c r="A34" s="42" t="s">
        <v>146</v>
      </c>
      <c r="B34" s="43">
        <f>'Balance Sheet'!C6+'Balance Sheet'!C15+'Balance Sheet'!C19</f>
        <v>29682894.690000001</v>
      </c>
      <c r="C34" s="43">
        <f>'Balance Sheet'!D6+'Balance Sheet'!D15+'Balance Sheet'!D19</f>
        <v>28880421.739999998</v>
      </c>
      <c r="D34" s="43">
        <f>'Balance Sheet'!E6+'Balance Sheet'!E15+'Balance Sheet'!E19</f>
        <v>20895392.390000001</v>
      </c>
      <c r="E34" s="43">
        <f>'Balance Sheet'!F6+'Balance Sheet'!F15+'Balance Sheet'!F19</f>
        <v>16633147.09</v>
      </c>
      <c r="F34" s="43">
        <f>'Balance Sheet'!G6+'Balance Sheet'!G15+'Balance Sheet'!G19</f>
        <v>13664810.550000001</v>
      </c>
      <c r="G34" s="43">
        <f>'Balance Sheet'!H6+'Balance Sheet'!H15+'Balance Sheet'!H19</f>
        <v>16452230.300000001</v>
      </c>
      <c r="H34" s="43">
        <f>'Balance Sheet'!I6+'Balance Sheet'!I15+'Balance Sheet'!I19</f>
        <v>14596677.129999999</v>
      </c>
      <c r="I34" s="43">
        <f>'Balance Sheet'!J6+'Balance Sheet'!J15+'Balance Sheet'!J19</f>
        <v>16669459.710000001</v>
      </c>
      <c r="J34" s="43">
        <f>'Balance Sheet'!K6+'Balance Sheet'!K15+'Balance Sheet'!K19</f>
        <v>13303146.710000001</v>
      </c>
      <c r="K34" s="43">
        <f>'Balance Sheet'!L6+'Balance Sheet'!L15+'Balance Sheet'!L19</f>
        <v>12165223.73</v>
      </c>
      <c r="L34" s="43">
        <f>'Balance Sheet'!M6+'Balance Sheet'!M15+'Balance Sheet'!M19</f>
        <v>12423879.620000001</v>
      </c>
      <c r="M34" s="43">
        <f>'Balance Sheet'!N6+'Balance Sheet'!N15+'Balance Sheet'!N19</f>
        <v>15863037.129999999</v>
      </c>
      <c r="N34" s="43">
        <f>'Balance Sheet'!O6+'Balance Sheet'!O15+'Balance Sheet'!O19</f>
        <v>22613908</v>
      </c>
      <c r="O34" s="43">
        <f>'Balance Sheet'!P6+'Balance Sheet'!P15+'Balance Sheet'!P19</f>
        <v>9846334.1699999999</v>
      </c>
      <c r="P34" s="43">
        <f>'Balance Sheet'!Q6+'Balance Sheet'!Q15+'Balance Sheet'!Q19</f>
        <v>10295457.969999999</v>
      </c>
      <c r="Q34" s="43">
        <f>'Balance Sheet'!R6+'Balance Sheet'!R15+'Balance Sheet'!R19</f>
        <v>7785971.0600000005</v>
      </c>
      <c r="R34" s="43">
        <f>'Balance Sheet'!S6+'Balance Sheet'!S15+'Balance Sheet'!S19</f>
        <v>5008766.43</v>
      </c>
      <c r="S34" s="43">
        <f>'Balance Sheet'!T6+'Balance Sheet'!T15+'Balance Sheet'!T19</f>
        <v>10583406.77</v>
      </c>
      <c r="T34" s="43">
        <f>'Balance Sheet'!U6+'Balance Sheet'!U15+'Balance Sheet'!U19</f>
        <v>14860875.1</v>
      </c>
      <c r="U34" s="43">
        <f>'Balance Sheet'!V6+'Balance Sheet'!V15+'Balance Sheet'!V19</f>
        <v>20428790.890000001</v>
      </c>
      <c r="V34" s="43">
        <f>'Balance Sheet'!W6+'Balance Sheet'!W15+'Balance Sheet'!W19</f>
        <v>23916801.68</v>
      </c>
      <c r="W34" s="43">
        <f>'Balance Sheet'!X6+'Balance Sheet'!X15+'Balance Sheet'!X19</f>
        <v>28805920.869999997</v>
      </c>
      <c r="X34" s="43">
        <f>'Balance Sheet'!Y6+'Balance Sheet'!Y15+'Balance Sheet'!Y19</f>
        <v>20465409.780000001</v>
      </c>
      <c r="Y34" s="43">
        <f>'Balance Sheet'!Z6+'Balance Sheet'!Z15+'Balance Sheet'!Z19</f>
        <v>21863666.280000001</v>
      </c>
      <c r="Z34" s="43">
        <f>'Balance Sheet'!AA6+'Balance Sheet'!AA15+'Balance Sheet'!AA19</f>
        <v>19956591.68</v>
      </c>
      <c r="AA34" s="43">
        <f>'Balance Sheet'!AB6+'Balance Sheet'!AB15+'Balance Sheet'!AB19</f>
        <v>24028518</v>
      </c>
      <c r="AB34" s="43">
        <f>'Balance Sheet'!AC6+'Balance Sheet'!AC15+'Balance Sheet'!AC19</f>
        <v>0</v>
      </c>
      <c r="AC34" s="43">
        <f>'Balance Sheet'!AD6+'Balance Sheet'!AD15+'Balance Sheet'!AD19</f>
        <v>0</v>
      </c>
      <c r="AD34" s="43">
        <f>'Balance Sheet'!AE6+'Balance Sheet'!AE15+'Balance Sheet'!AE19</f>
        <v>0</v>
      </c>
      <c r="AE34" s="43">
        <f>'Balance Sheet'!AF6+'Balance Sheet'!AF15+'Balance Sheet'!AF19</f>
        <v>0</v>
      </c>
      <c r="AF34" s="43">
        <f>'Balance Sheet'!AG6+'Balance Sheet'!AG15+'Balance Sheet'!AG19</f>
        <v>0</v>
      </c>
    </row>
    <row r="35" spans="1:32">
      <c r="A35" s="42" t="s">
        <v>147</v>
      </c>
      <c r="B35" s="43">
        <f>'Balance Sheet'!C19</f>
        <v>0</v>
      </c>
      <c r="C35" s="43">
        <f>'Balance Sheet'!D19</f>
        <v>0</v>
      </c>
      <c r="D35" s="43">
        <f>'Balance Sheet'!E19</f>
        <v>0</v>
      </c>
      <c r="E35" s="43">
        <f>'Balance Sheet'!F19</f>
        <v>0</v>
      </c>
      <c r="F35" s="43">
        <f>'Balance Sheet'!G19</f>
        <v>0</v>
      </c>
      <c r="G35" s="43">
        <f>'Balance Sheet'!H19</f>
        <v>0</v>
      </c>
      <c r="H35" s="43">
        <f>'Balance Sheet'!I19</f>
        <v>0</v>
      </c>
      <c r="I35" s="43">
        <f>'Balance Sheet'!J19</f>
        <v>0</v>
      </c>
      <c r="J35" s="43">
        <f>'Balance Sheet'!K19</f>
        <v>0</v>
      </c>
      <c r="K35" s="43">
        <f>'Balance Sheet'!L19</f>
        <v>0</v>
      </c>
      <c r="L35" s="43">
        <f>'Balance Sheet'!M19</f>
        <v>0</v>
      </c>
      <c r="M35" s="43">
        <f>'Balance Sheet'!N19</f>
        <v>0</v>
      </c>
      <c r="N35" s="43">
        <f>'Balance Sheet'!O19</f>
        <v>0</v>
      </c>
      <c r="O35" s="43">
        <f>'Balance Sheet'!P19</f>
        <v>0</v>
      </c>
      <c r="P35" s="43">
        <f>'Balance Sheet'!Q19</f>
        <v>0</v>
      </c>
      <c r="Q35" s="43">
        <f>'Balance Sheet'!R19</f>
        <v>0</v>
      </c>
      <c r="R35" s="43">
        <f>'Balance Sheet'!S19</f>
        <v>0</v>
      </c>
      <c r="S35" s="43">
        <f>'Balance Sheet'!T19</f>
        <v>0</v>
      </c>
      <c r="T35" s="43">
        <f>'Balance Sheet'!U19</f>
        <v>0</v>
      </c>
      <c r="U35" s="43">
        <f>'Balance Sheet'!V19</f>
        <v>0</v>
      </c>
      <c r="V35" s="43">
        <f>'Balance Sheet'!W19</f>
        <v>0</v>
      </c>
      <c r="W35" s="43">
        <f>'Balance Sheet'!X19</f>
        <v>0</v>
      </c>
      <c r="X35" s="43">
        <f>'Balance Sheet'!Y19</f>
        <v>0</v>
      </c>
      <c r="Y35" s="43">
        <f>'Balance Sheet'!Z19</f>
        <v>0</v>
      </c>
      <c r="Z35" s="43">
        <f>'Balance Sheet'!AA19</f>
        <v>0</v>
      </c>
      <c r="AA35" s="43">
        <f>'Balance Sheet'!AB19</f>
        <v>0</v>
      </c>
      <c r="AB35" s="43">
        <f>'Balance Sheet'!AC19</f>
        <v>0</v>
      </c>
      <c r="AC35" s="43">
        <f>'Balance Sheet'!AD19</f>
        <v>0</v>
      </c>
      <c r="AD35" s="43">
        <f>'Balance Sheet'!AE19</f>
        <v>0</v>
      </c>
      <c r="AE35" s="43">
        <f>'Balance Sheet'!AF19</f>
        <v>0</v>
      </c>
      <c r="AF35" s="43">
        <f>'Balance Sheet'!AG19</f>
        <v>0</v>
      </c>
    </row>
    <row r="36" spans="1:32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1:32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  <row r="38" spans="1:32" ht="12.75">
      <c r="A38" s="44" t="s">
        <v>148</v>
      </c>
      <c r="B38" s="49">
        <f t="shared" ref="B38:L38" si="34">B39+B41+B42</f>
        <v>21163467.530000001</v>
      </c>
      <c r="C38" s="49">
        <f t="shared" si="34"/>
        <v>4783810.3</v>
      </c>
      <c r="D38" s="49">
        <f t="shared" si="34"/>
        <v>7371541.7699999996</v>
      </c>
      <c r="E38" s="49">
        <f t="shared" si="34"/>
        <v>8633208.3100000005</v>
      </c>
      <c r="F38" s="49">
        <f t="shared" si="34"/>
        <v>11535162.860000001</v>
      </c>
      <c r="G38" s="49">
        <f t="shared" si="34"/>
        <v>14226271.83</v>
      </c>
      <c r="H38" s="49">
        <f t="shared" si="34"/>
        <v>0</v>
      </c>
      <c r="I38" s="49">
        <f t="shared" si="34"/>
        <v>20729231.829999998</v>
      </c>
      <c r="J38" s="49">
        <f t="shared" si="34"/>
        <v>23136893.039999999</v>
      </c>
      <c r="K38" s="49">
        <f t="shared" si="34"/>
        <v>25748675.09</v>
      </c>
      <c r="L38" s="49">
        <f t="shared" si="34"/>
        <v>28215679</v>
      </c>
      <c r="M38" s="49">
        <f t="shared" ref="M38:O38" si="35">M39+M41+M42</f>
        <v>32093553.350000001</v>
      </c>
      <c r="N38" s="49">
        <f t="shared" si="35"/>
        <v>39856481</v>
      </c>
      <c r="O38" s="49">
        <f t="shared" si="35"/>
        <v>769720.99</v>
      </c>
      <c r="P38" s="49">
        <f t="shared" ref="P38:T38" si="36">P39+P41+P42</f>
        <v>1406802.93</v>
      </c>
      <c r="Q38" s="49">
        <f t="shared" si="36"/>
        <v>2724356.67</v>
      </c>
      <c r="R38" s="49">
        <f t="shared" si="36"/>
        <v>6005760.54</v>
      </c>
      <c r="S38" s="49">
        <f t="shared" si="36"/>
        <v>8293536.1600000001</v>
      </c>
      <c r="T38" s="49">
        <f t="shared" si="36"/>
        <v>9624665.6999999993</v>
      </c>
      <c r="U38" s="49">
        <f t="shared" ref="U38:V38" si="37">U39+U41+U42</f>
        <v>22732298.199999999</v>
      </c>
      <c r="V38" s="49">
        <f t="shared" si="37"/>
        <v>20780612.610000003</v>
      </c>
      <c r="W38" s="49">
        <f t="shared" ref="W38:AF38" si="38">W39+W41+W42</f>
        <v>25549464.900000002</v>
      </c>
      <c r="X38" s="49">
        <f t="shared" si="38"/>
        <v>28554693.34</v>
      </c>
      <c r="Y38" s="49">
        <f t="shared" si="38"/>
        <v>29581357.32</v>
      </c>
      <c r="Z38" s="49">
        <f t="shared" si="38"/>
        <v>32283641.079999998</v>
      </c>
      <c r="AA38" s="49">
        <f t="shared" si="38"/>
        <v>10363438</v>
      </c>
      <c r="AB38" s="49">
        <f t="shared" si="38"/>
        <v>0</v>
      </c>
      <c r="AC38" s="49">
        <f t="shared" si="38"/>
        <v>0</v>
      </c>
      <c r="AD38" s="49">
        <f t="shared" si="38"/>
        <v>0</v>
      </c>
      <c r="AE38" s="49">
        <f t="shared" si="38"/>
        <v>0</v>
      </c>
      <c r="AF38" s="49">
        <f t="shared" si="38"/>
        <v>0</v>
      </c>
    </row>
    <row r="39" spans="1:32" ht="12.75">
      <c r="A39" s="42" t="s">
        <v>149</v>
      </c>
      <c r="B39" s="50">
        <f>'Income Stat.'!C6</f>
        <v>18951478.030000001</v>
      </c>
      <c r="C39" s="50">
        <f>'Income Stat.'!D6</f>
        <v>4030548.9</v>
      </c>
      <c r="D39" s="50">
        <f>'Income Stat.'!E6</f>
        <v>6130837.6699999999</v>
      </c>
      <c r="E39" s="50">
        <f>'Income Stat.'!F6</f>
        <v>7210830.71</v>
      </c>
      <c r="F39" s="50">
        <f>'Income Stat.'!G6</f>
        <v>9661087.5600000005</v>
      </c>
      <c r="G39" s="50">
        <f>'Income Stat.'!H6</f>
        <v>12033899.83</v>
      </c>
      <c r="H39" s="50"/>
      <c r="I39" s="50">
        <f>'Income Stat.'!J6</f>
        <v>17611502.329999998</v>
      </c>
      <c r="J39" s="50">
        <f>'Income Stat.'!K6</f>
        <v>19679354.84</v>
      </c>
      <c r="K39" s="50">
        <f>'Income Stat.'!L6</f>
        <v>21980809.289999999</v>
      </c>
      <c r="L39" s="50">
        <f>'Income Stat.'!M6</f>
        <v>24118145.800000001</v>
      </c>
      <c r="M39" s="50">
        <f>'Income Stat.'!N6</f>
        <v>27728406.050000001</v>
      </c>
      <c r="N39" s="50">
        <f>'Income Stat.'!O6</f>
        <v>30137296</v>
      </c>
      <c r="O39" s="50">
        <f>'Income Stat.'!P6</f>
        <v>247107.89</v>
      </c>
      <c r="P39" s="50">
        <f>'Income Stat.'!Q6</f>
        <v>496047.53</v>
      </c>
      <c r="Q39" s="50">
        <f>'Income Stat.'!R6</f>
        <v>900582.77</v>
      </c>
      <c r="R39" s="50">
        <f>'Income Stat.'!S6</f>
        <v>2839488.43</v>
      </c>
      <c r="S39" s="50">
        <f>'Income Stat.'!T6</f>
        <v>3097488.6</v>
      </c>
      <c r="T39" s="50">
        <f>'Income Stat.'!U6</f>
        <v>3481563.64</v>
      </c>
      <c r="U39" s="50">
        <f>'Income Stat.'!V6</f>
        <v>15373875.42</v>
      </c>
      <c r="V39" s="50">
        <f>'Income Stat.'!W6</f>
        <v>18087766.510000002</v>
      </c>
      <c r="W39" s="50">
        <f>'Income Stat.'!X6</f>
        <v>22203283.300000001</v>
      </c>
      <c r="X39" s="50">
        <f>'Income Stat.'!Y6</f>
        <v>24697584.739999998</v>
      </c>
      <c r="Y39" s="50">
        <f>'Income Stat.'!Z6</f>
        <v>25627817.920000002</v>
      </c>
      <c r="Z39" s="50">
        <f>'Income Stat.'!AA6</f>
        <v>27888353.579999998</v>
      </c>
      <c r="AA39" s="50">
        <f>'Income Stat.'!AB6</f>
        <v>0</v>
      </c>
      <c r="AB39" s="50">
        <f>'Income Stat.'!AC6</f>
        <v>0</v>
      </c>
      <c r="AC39" s="50">
        <f>'Income Stat.'!AD6</f>
        <v>0</v>
      </c>
      <c r="AD39" s="50">
        <f>'Income Stat.'!AE6</f>
        <v>0</v>
      </c>
      <c r="AE39" s="50">
        <f>'Income Stat.'!AF6</f>
        <v>0</v>
      </c>
      <c r="AF39" s="50">
        <f>'Income Stat.'!AG6</f>
        <v>0</v>
      </c>
    </row>
    <row r="40" spans="1:32" ht="12.75">
      <c r="A40" s="42" t="s">
        <v>150</v>
      </c>
      <c r="B40" s="50">
        <f>'Income Stat.'!C6/'Income Stat.'!C14</f>
        <v>2363.0271857855364</v>
      </c>
      <c r="C40" s="50" t="e">
        <f>'Income Stat.'!D6/'Income Stat.'!D14</f>
        <v>#DIV/0!</v>
      </c>
      <c r="D40" s="50">
        <f>'Income Stat.'!E6/'Income Stat.'!E14</f>
        <v>1652.5168921832883</v>
      </c>
      <c r="E40" s="50">
        <f>'Income Stat.'!F6/'Income Stat.'!F14</f>
        <v>1943.6201374663074</v>
      </c>
      <c r="F40" s="50">
        <f>'Income Stat.'!G6/'Income Stat.'!G14</f>
        <v>2604.0667277628036</v>
      </c>
      <c r="G40" s="50">
        <f>'Income Stat.'!H6/'Income Stat.'!H14</f>
        <v>3243.6387681940701</v>
      </c>
      <c r="H40" s="50"/>
      <c r="I40" s="50">
        <f>'Income Stat.'!J6/'Income Stat.'!J14</f>
        <v>4747.0356684636117</v>
      </c>
      <c r="J40" s="50">
        <f>'Income Stat.'!K6/'Income Stat.'!K14</f>
        <v>5304.4083126684636</v>
      </c>
      <c r="K40" s="50">
        <f>'Income Stat.'!L6/'Income Stat.'!L14</f>
        <v>2581.4221127422197</v>
      </c>
      <c r="L40" s="50">
        <f>'Income Stat.'!M6/'Income Stat.'!M14</f>
        <v>2832.4305108631829</v>
      </c>
      <c r="M40" s="50">
        <f>'Income Stat.'!N6/'Income Stat.'!N14</f>
        <v>3256.418796241926</v>
      </c>
      <c r="N40" s="50">
        <f>'Income Stat.'!O6/'Income Stat.'!O14</f>
        <v>3.8346704139703442</v>
      </c>
      <c r="O40" s="50" t="e">
        <f>'Income Stat.'!P6/'Income Stat.'!P14</f>
        <v>#DIV/0!</v>
      </c>
      <c r="P40" s="50" t="e">
        <f>'Income Stat.'!Q6/'Income Stat.'!Q14</f>
        <v>#DIV/0!</v>
      </c>
      <c r="Q40" s="50" t="e">
        <f>'Income Stat.'!R6/'Income Stat.'!R14</f>
        <v>#DIV/0!</v>
      </c>
      <c r="R40" s="50" t="e">
        <f>'Income Stat.'!S6/'Income Stat.'!S14</f>
        <v>#DIV/0!</v>
      </c>
      <c r="S40" s="50" t="e">
        <f>'Income Stat.'!T6/'Income Stat.'!T14</f>
        <v>#DIV/0!</v>
      </c>
      <c r="T40" s="50" t="e">
        <f>'Income Stat.'!U6/'Income Stat.'!U14</f>
        <v>#DIV/0!</v>
      </c>
      <c r="U40" s="50">
        <f>'Income Stat.'!V6/'Income Stat.'!V14</f>
        <v>2413.4812276295133</v>
      </c>
      <c r="V40" s="50">
        <f>'Income Stat.'!W6/'Income Stat.'!W14</f>
        <v>685.92212779673878</v>
      </c>
      <c r="W40" s="50">
        <f>'Income Stat.'!X6/'Income Stat.'!X14</f>
        <v>618.60509298599993</v>
      </c>
      <c r="X40" s="50">
        <f>'Income Stat.'!Y6/'Income Stat.'!Y14</f>
        <v>688.0987599080587</v>
      </c>
      <c r="Y40" s="50">
        <f>'Income Stat.'!Z6/'Income Stat.'!Z14</f>
        <v>714.01596210907576</v>
      </c>
      <c r="Z40" s="50">
        <f>'Income Stat.'!AA6/'Income Stat.'!AA14</f>
        <v>356.89098224397731</v>
      </c>
      <c r="AA40" s="50">
        <f>'Income Stat.'!AB6/'Income Stat.'!AB14</f>
        <v>0</v>
      </c>
      <c r="AB40" s="50" t="e">
        <f>'Income Stat.'!AC6/'Income Stat.'!AC14</f>
        <v>#DIV/0!</v>
      </c>
      <c r="AC40" s="50" t="e">
        <f>'Income Stat.'!AD6/'Income Stat.'!AD14</f>
        <v>#DIV/0!</v>
      </c>
      <c r="AD40" s="50" t="e">
        <f>'Income Stat.'!AE6/'Income Stat.'!AE14</f>
        <v>#DIV/0!</v>
      </c>
      <c r="AE40" s="50" t="e">
        <f>'Income Stat.'!AF6/'Income Stat.'!AF14</f>
        <v>#DIV/0!</v>
      </c>
      <c r="AF40" s="50" t="e">
        <f>'Income Stat.'!AG6/'Income Stat.'!AG14</f>
        <v>#DIV/0!</v>
      </c>
    </row>
    <row r="41" spans="1:32">
      <c r="A41" s="42" t="s">
        <v>151</v>
      </c>
      <c r="B41" s="43">
        <f>'Income Stat.'!C8</f>
        <v>0</v>
      </c>
      <c r="C41" s="43">
        <f>'Income Stat.'!D8</f>
        <v>0</v>
      </c>
      <c r="D41" s="43">
        <f>'Income Stat.'!E8</f>
        <v>0</v>
      </c>
      <c r="E41" s="43">
        <f>'Income Stat.'!F8</f>
        <v>0</v>
      </c>
      <c r="F41" s="43">
        <f>'Income Stat.'!G8</f>
        <v>0</v>
      </c>
      <c r="G41" s="43">
        <f>'Income Stat.'!H8</f>
        <v>0</v>
      </c>
      <c r="H41" s="43"/>
      <c r="I41" s="43">
        <f>'Income Stat.'!J8</f>
        <v>0</v>
      </c>
      <c r="J41" s="43">
        <f>'Income Stat.'!K8</f>
        <v>0</v>
      </c>
      <c r="K41" s="43">
        <f>'Income Stat.'!L8</f>
        <v>0</v>
      </c>
      <c r="L41" s="43">
        <f>'Income Stat.'!M8</f>
        <v>0</v>
      </c>
      <c r="M41" s="43">
        <f>'Income Stat.'!N8</f>
        <v>0</v>
      </c>
      <c r="N41" s="43">
        <f>'Income Stat.'!O8</f>
        <v>1176118</v>
      </c>
      <c r="O41" s="43">
        <f>'Income Stat.'!P8</f>
        <v>497759.1</v>
      </c>
      <c r="P41" s="43">
        <f>'Income Stat.'!Q8</f>
        <v>846216.1</v>
      </c>
      <c r="Q41" s="43">
        <f>'Income Stat.'!R8</f>
        <v>1686682.1</v>
      </c>
      <c r="R41" s="43">
        <f>'Income Stat.'!S8</f>
        <v>2984829.11</v>
      </c>
      <c r="S41" s="43">
        <f>'Income Stat.'!T8</f>
        <v>4739559.5599999996</v>
      </c>
      <c r="T41" s="43">
        <f>'Income Stat.'!U8</f>
        <v>5552094.5599999996</v>
      </c>
      <c r="U41" s="43">
        <f>'Income Stat.'!V8</f>
        <v>5074467.28</v>
      </c>
      <c r="V41" s="43">
        <f>'Income Stat.'!W8</f>
        <v>0</v>
      </c>
      <c r="W41" s="43">
        <f>'Income Stat.'!X8</f>
        <v>0</v>
      </c>
      <c r="X41" s="43">
        <f>'Income Stat.'!Y8</f>
        <v>0</v>
      </c>
      <c r="Y41" s="43">
        <f>'Income Stat.'!Z8</f>
        <v>0</v>
      </c>
      <c r="Z41" s="43">
        <f>'Income Stat.'!AA8</f>
        <v>0</v>
      </c>
      <c r="AA41" s="43">
        <f>'Income Stat.'!AB8</f>
        <v>10363438</v>
      </c>
      <c r="AB41" s="43">
        <f>'Income Stat.'!AC8</f>
        <v>0</v>
      </c>
      <c r="AC41" s="43">
        <f>'Income Stat.'!AD8</f>
        <v>0</v>
      </c>
      <c r="AD41" s="43">
        <f>'Income Stat.'!AE8</f>
        <v>0</v>
      </c>
      <c r="AE41" s="43">
        <f>'Income Stat.'!AF8</f>
        <v>0</v>
      </c>
      <c r="AF41" s="43">
        <f>'Income Stat.'!AG8</f>
        <v>0</v>
      </c>
    </row>
    <row r="42" spans="1:32">
      <c r="A42" s="42" t="s">
        <v>152</v>
      </c>
      <c r="B42" s="43">
        <f>'Income Stat.'!C7</f>
        <v>2211989.5</v>
      </c>
      <c r="C42" s="43">
        <f>'Income Stat.'!D7</f>
        <v>753261.4</v>
      </c>
      <c r="D42" s="43">
        <f>'Income Stat.'!E7</f>
        <v>1240704.1000000001</v>
      </c>
      <c r="E42" s="43">
        <f>'Income Stat.'!F7</f>
        <v>1422377.6</v>
      </c>
      <c r="F42" s="43">
        <f>'Income Stat.'!G7</f>
        <v>1874075.3</v>
      </c>
      <c r="G42" s="43">
        <f>'Income Stat.'!H7</f>
        <v>2192372</v>
      </c>
      <c r="H42" s="43"/>
      <c r="I42" s="43">
        <f>'Income Stat.'!J7</f>
        <v>3117729.5</v>
      </c>
      <c r="J42" s="43">
        <f>'Income Stat.'!K7</f>
        <v>3457538.2</v>
      </c>
      <c r="K42" s="43">
        <f>'Income Stat.'!L7</f>
        <v>3767865.8</v>
      </c>
      <c r="L42" s="43">
        <f>'Income Stat.'!M7</f>
        <v>4097533.2</v>
      </c>
      <c r="M42" s="43">
        <f>'Income Stat.'!N7</f>
        <v>4365147.3</v>
      </c>
      <c r="N42" s="43">
        <f>'Income Stat.'!O7</f>
        <v>8543067</v>
      </c>
      <c r="O42" s="43">
        <f>'Income Stat.'!P7</f>
        <v>24854</v>
      </c>
      <c r="P42" s="43">
        <f>'Income Stat.'!Q7</f>
        <v>64539.3</v>
      </c>
      <c r="Q42" s="43">
        <f>'Income Stat.'!R7</f>
        <v>137091.79999999999</v>
      </c>
      <c r="R42" s="43">
        <f>'Income Stat.'!S7</f>
        <v>181443</v>
      </c>
      <c r="S42" s="43">
        <f>'Income Stat.'!T7</f>
        <v>456488</v>
      </c>
      <c r="T42" s="43">
        <f>'Income Stat.'!U7</f>
        <v>591007.5</v>
      </c>
      <c r="U42" s="43">
        <f>'Income Stat.'!V7</f>
        <v>2283955.5</v>
      </c>
      <c r="V42" s="43">
        <f>'Income Stat.'!W7</f>
        <v>2692846.1</v>
      </c>
      <c r="W42" s="43">
        <f>'Income Stat.'!X7</f>
        <v>3346181.6</v>
      </c>
      <c r="X42" s="43">
        <f>'Income Stat.'!Y7</f>
        <v>3857108.6</v>
      </c>
      <c r="Y42" s="43">
        <f>'Income Stat.'!Z7</f>
        <v>3953539.4</v>
      </c>
      <c r="Z42" s="43">
        <f>'Income Stat.'!AA7</f>
        <v>4395287.5</v>
      </c>
      <c r="AA42" s="43">
        <f>'Income Stat.'!AB7</f>
        <v>0</v>
      </c>
      <c r="AB42" s="43">
        <f>'Income Stat.'!AC7</f>
        <v>0</v>
      </c>
      <c r="AC42" s="43">
        <f>'Income Stat.'!AD7</f>
        <v>0</v>
      </c>
      <c r="AD42" s="43">
        <f>'Income Stat.'!AE7</f>
        <v>0</v>
      </c>
      <c r="AE42" s="43">
        <f>'Income Stat.'!AF7</f>
        <v>0</v>
      </c>
      <c r="AF42" s="43">
        <f>'Income Stat.'!AG7</f>
        <v>0</v>
      </c>
    </row>
    <row r="43" spans="1:32">
      <c r="A43" s="4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</row>
    <row r="44" spans="1:32" ht="12.75">
      <c r="A44" s="44" t="s">
        <v>153</v>
      </c>
      <c r="B44" s="49">
        <f t="shared" ref="B44:L44" si="39">B45+B46+B47+B48</f>
        <v>12462179.76</v>
      </c>
      <c r="C44" s="49">
        <f t="shared" si="39"/>
        <v>3663818.82</v>
      </c>
      <c r="D44" s="49">
        <f t="shared" si="39"/>
        <v>5455157.0199999996</v>
      </c>
      <c r="E44" s="49">
        <f t="shared" si="39"/>
        <v>5517044.0599999996</v>
      </c>
      <c r="F44" s="49">
        <f t="shared" si="39"/>
        <v>8537330.2300000004</v>
      </c>
      <c r="G44" s="49">
        <f t="shared" si="39"/>
        <v>10835499.83</v>
      </c>
      <c r="H44" s="49"/>
      <c r="I44" s="49">
        <f t="shared" si="39"/>
        <v>5424941.8799999999</v>
      </c>
      <c r="J44" s="49">
        <f t="shared" si="39"/>
        <v>7513061.7299999995</v>
      </c>
      <c r="K44" s="49">
        <f t="shared" si="39"/>
        <v>9378765.3100000005</v>
      </c>
      <c r="L44" s="49">
        <f t="shared" si="39"/>
        <v>11403308.140000001</v>
      </c>
      <c r="M44" s="49">
        <f t="shared" ref="M44:O44" si="40">M45+M46+M47+M48</f>
        <v>12262781.25</v>
      </c>
      <c r="N44" s="49">
        <f t="shared" si="40"/>
        <v>23746212</v>
      </c>
      <c r="O44" s="49">
        <f t="shared" si="40"/>
        <v>35872.989999999991</v>
      </c>
      <c r="P44" s="49">
        <f t="shared" ref="P44:T44" si="41">P45+P46+P47+P48</f>
        <v>149584.93000000017</v>
      </c>
      <c r="Q44" s="49">
        <f t="shared" si="41"/>
        <v>266667.66999999993</v>
      </c>
      <c r="R44" s="49">
        <f t="shared" si="41"/>
        <v>2757706.55</v>
      </c>
      <c r="S44" s="49">
        <f t="shared" si="41"/>
        <v>3047900.91</v>
      </c>
      <c r="T44" s="49">
        <f t="shared" si="41"/>
        <v>4873844.6999999993</v>
      </c>
      <c r="U44" s="49">
        <f t="shared" ref="U44:V44" si="42">U45+U46+U47+U48</f>
        <v>5596538.7500000028</v>
      </c>
      <c r="V44" s="49">
        <f t="shared" si="42"/>
        <v>1168337.6099999989</v>
      </c>
      <c r="W44" s="49">
        <f t="shared" ref="W44:AF44" si="43">W45+W46+W47+W48</f>
        <v>6885418.1800000006</v>
      </c>
      <c r="X44" s="49">
        <f t="shared" si="43"/>
        <v>9394011.3900000006</v>
      </c>
      <c r="Y44" s="49">
        <f t="shared" si="43"/>
        <v>9797121.370000001</v>
      </c>
      <c r="Z44" s="49">
        <f t="shared" si="43"/>
        <v>11741566.129999999</v>
      </c>
      <c r="AA44" s="49">
        <f t="shared" si="43"/>
        <v>24052386</v>
      </c>
      <c r="AB44" s="49">
        <f t="shared" si="43"/>
        <v>0</v>
      </c>
      <c r="AC44" s="49">
        <f t="shared" si="43"/>
        <v>0</v>
      </c>
      <c r="AD44" s="49">
        <f t="shared" si="43"/>
        <v>0</v>
      </c>
      <c r="AE44" s="49">
        <f t="shared" si="43"/>
        <v>0</v>
      </c>
      <c r="AF44" s="49">
        <f t="shared" si="43"/>
        <v>0</v>
      </c>
    </row>
    <row r="45" spans="1:32">
      <c r="A45" s="42" t="s">
        <v>154</v>
      </c>
      <c r="B45" s="43">
        <f>'Income Stat.'!C14</f>
        <v>8020</v>
      </c>
      <c r="C45" s="43">
        <f>'Income Stat.'!D14</f>
        <v>0</v>
      </c>
      <c r="D45" s="43">
        <f>'Income Stat.'!E14</f>
        <v>3710</v>
      </c>
      <c r="E45" s="43">
        <f>'Income Stat.'!F14</f>
        <v>3710</v>
      </c>
      <c r="F45" s="43">
        <f>'Income Stat.'!G14</f>
        <v>3710</v>
      </c>
      <c r="G45" s="43">
        <f>'Income Stat.'!H14</f>
        <v>3710</v>
      </c>
      <c r="H45" s="43"/>
      <c r="I45" s="43">
        <f>'Income Stat.'!J14</f>
        <v>3710</v>
      </c>
      <c r="J45" s="43">
        <f>'Income Stat.'!K14</f>
        <v>3710</v>
      </c>
      <c r="K45" s="43">
        <f>'Income Stat.'!L14</f>
        <v>8515</v>
      </c>
      <c r="L45" s="43">
        <f>'Income Stat.'!M14</f>
        <v>8515</v>
      </c>
      <c r="M45" s="43">
        <f>'Income Stat.'!N14</f>
        <v>8515</v>
      </c>
      <c r="N45" s="43">
        <f>'Income Stat.'!O14</f>
        <v>7859162</v>
      </c>
      <c r="O45" s="43">
        <f>'Income Stat.'!P14</f>
        <v>0</v>
      </c>
      <c r="P45" s="43">
        <f>'Income Stat.'!Q14</f>
        <v>0</v>
      </c>
      <c r="Q45" s="43">
        <f>'Income Stat.'!R14</f>
        <v>0</v>
      </c>
      <c r="R45" s="43">
        <f>'Income Stat.'!S14</f>
        <v>0</v>
      </c>
      <c r="S45" s="43">
        <f>'Income Stat.'!T14</f>
        <v>0</v>
      </c>
      <c r="T45" s="43">
        <f>'Income Stat.'!U14</f>
        <v>0</v>
      </c>
      <c r="U45" s="43">
        <f>'Income Stat.'!V14</f>
        <v>6370</v>
      </c>
      <c r="V45" s="43">
        <f>'Income Stat.'!W14</f>
        <v>26370</v>
      </c>
      <c r="W45" s="43">
        <f>'Income Stat.'!X14</f>
        <v>35892.5</v>
      </c>
      <c r="X45" s="43">
        <f>'Income Stat.'!Y14</f>
        <v>35892.5</v>
      </c>
      <c r="Y45" s="43">
        <f>'Income Stat.'!Z14</f>
        <v>35892.5</v>
      </c>
      <c r="Z45" s="43">
        <f>'Income Stat.'!AA14</f>
        <v>78142.5</v>
      </c>
      <c r="AA45" s="43">
        <f>'Income Stat.'!AB14</f>
        <v>9041252.1199999992</v>
      </c>
      <c r="AB45" s="43">
        <f>'Income Stat.'!AC14</f>
        <v>0</v>
      </c>
      <c r="AC45" s="43">
        <f>'Income Stat.'!AD14</f>
        <v>0</v>
      </c>
      <c r="AD45" s="43">
        <f>'Income Stat.'!AE14</f>
        <v>0</v>
      </c>
      <c r="AE45" s="43">
        <f>'Income Stat.'!AF14</f>
        <v>0</v>
      </c>
      <c r="AF45" s="43">
        <f>'Income Stat.'!AG14</f>
        <v>0</v>
      </c>
    </row>
    <row r="46" spans="1:32">
      <c r="A46" s="42" t="s">
        <v>155</v>
      </c>
      <c r="B46" s="43">
        <f>'Income Stat.'!C16</f>
        <v>0</v>
      </c>
      <c r="C46" s="43">
        <f>'Income Stat.'!D16</f>
        <v>0</v>
      </c>
      <c r="D46" s="43">
        <f>'Income Stat.'!E16</f>
        <v>0</v>
      </c>
      <c r="E46" s="43">
        <f>'Income Stat.'!F16</f>
        <v>0</v>
      </c>
      <c r="F46" s="43">
        <f>'Income Stat.'!G16</f>
        <v>0</v>
      </c>
      <c r="G46" s="43">
        <f>'Income Stat.'!H16</f>
        <v>0</v>
      </c>
      <c r="H46" s="43"/>
      <c r="I46" s="43">
        <f>'Income Stat.'!J16</f>
        <v>0</v>
      </c>
      <c r="J46" s="43">
        <f>'Income Stat.'!K16</f>
        <v>0</v>
      </c>
      <c r="K46" s="43">
        <f>'Income Stat.'!L16</f>
        <v>0</v>
      </c>
      <c r="L46" s="43">
        <f>'Income Stat.'!M16</f>
        <v>0</v>
      </c>
      <c r="M46" s="43">
        <f>'Income Stat.'!N16</f>
        <v>0</v>
      </c>
      <c r="N46" s="43">
        <f>'Income Stat.'!O16</f>
        <v>0</v>
      </c>
      <c r="O46" s="43">
        <f>'Income Stat.'!P16</f>
        <v>0</v>
      </c>
      <c r="P46" s="43">
        <f>'Income Stat.'!Q16</f>
        <v>0</v>
      </c>
      <c r="Q46" s="43">
        <f>'Income Stat.'!R16</f>
        <v>0</v>
      </c>
      <c r="R46" s="43">
        <f>'Income Stat.'!S16</f>
        <v>0</v>
      </c>
      <c r="S46" s="43">
        <f>'Income Stat.'!T16</f>
        <v>0</v>
      </c>
      <c r="T46" s="43">
        <f>'Income Stat.'!U16</f>
        <v>0</v>
      </c>
      <c r="U46" s="43">
        <f>'Income Stat.'!V16</f>
        <v>0</v>
      </c>
      <c r="V46" s="43">
        <f>'Income Stat.'!W16</f>
        <v>0</v>
      </c>
      <c r="W46" s="43">
        <f>'Income Stat.'!X16</f>
        <v>0</v>
      </c>
      <c r="X46" s="43">
        <f>'Income Stat.'!Y16</f>
        <v>0</v>
      </c>
      <c r="Y46" s="43">
        <f>'Income Stat.'!Z16</f>
        <v>0</v>
      </c>
      <c r="Z46" s="43">
        <f>'Income Stat.'!AA16</f>
        <v>0</v>
      </c>
      <c r="AA46" s="43">
        <f>'Income Stat.'!AB16</f>
        <v>0</v>
      </c>
      <c r="AB46" s="43">
        <f>'Income Stat.'!AC16</f>
        <v>0</v>
      </c>
      <c r="AC46" s="43">
        <f>'Income Stat.'!AD16</f>
        <v>0</v>
      </c>
      <c r="AD46" s="43">
        <f>'Income Stat.'!AE16</f>
        <v>0</v>
      </c>
      <c r="AE46" s="43">
        <f>'Income Stat.'!AF16</f>
        <v>0</v>
      </c>
      <c r="AF46" s="43">
        <f>'Income Stat.'!AG16</f>
        <v>0</v>
      </c>
    </row>
    <row r="47" spans="1:32">
      <c r="A47" s="42" t="s">
        <v>156</v>
      </c>
      <c r="B47" s="43">
        <f>'Income Stat.'!C15</f>
        <v>409590</v>
      </c>
      <c r="C47" s="43">
        <f>'Income Stat.'!D15</f>
        <v>16157</v>
      </c>
      <c r="D47" s="43">
        <f>'Income Stat.'!E15</f>
        <v>16157</v>
      </c>
      <c r="E47" s="43">
        <f>'Income Stat.'!F15</f>
        <v>51115</v>
      </c>
      <c r="F47" s="43">
        <f>'Income Stat.'!G15</f>
        <v>51115</v>
      </c>
      <c r="G47" s="43">
        <f>'Income Stat.'!H15</f>
        <v>275124.3</v>
      </c>
      <c r="H47" s="43"/>
      <c r="I47" s="43">
        <f>'Income Stat.'!J15</f>
        <v>360288.96</v>
      </c>
      <c r="J47" s="43">
        <f>'Income Stat.'!K15</f>
        <v>360288.96</v>
      </c>
      <c r="K47" s="43">
        <f>'Income Stat.'!L15</f>
        <v>451701.96</v>
      </c>
      <c r="L47" s="43">
        <f>'Income Stat.'!M15</f>
        <v>536629.96</v>
      </c>
      <c r="M47" s="43">
        <f>'Income Stat.'!N15</f>
        <v>697603.96</v>
      </c>
      <c r="N47" s="43">
        <f>'Income Stat.'!O15</f>
        <v>697604</v>
      </c>
      <c r="O47" s="43">
        <f>'Income Stat.'!P15</f>
        <v>0</v>
      </c>
      <c r="P47" s="43">
        <f>'Income Stat.'!Q15</f>
        <v>0</v>
      </c>
      <c r="Q47" s="43">
        <f>'Income Stat.'!R15</f>
        <v>0</v>
      </c>
      <c r="R47" s="43">
        <f>'Income Stat.'!S15</f>
        <v>0</v>
      </c>
      <c r="S47" s="43">
        <f>'Income Stat.'!T15</f>
        <v>0</v>
      </c>
      <c r="T47" s="43">
        <f>'Income Stat.'!U15</f>
        <v>1178990.57</v>
      </c>
      <c r="U47" s="43">
        <f>'Income Stat.'!V15</f>
        <v>870400.55</v>
      </c>
      <c r="V47" s="43">
        <f>'Income Stat.'!W15</f>
        <v>956353.39</v>
      </c>
      <c r="W47" s="43">
        <f>'Income Stat.'!X15</f>
        <v>1042716.95</v>
      </c>
      <c r="X47" s="43">
        <f>'Income Stat.'!Y15</f>
        <v>1135875.71</v>
      </c>
      <c r="Y47" s="43">
        <f>'Income Stat.'!Z15</f>
        <v>1135875.71</v>
      </c>
      <c r="Z47" s="43">
        <f>'Income Stat.'!AA15</f>
        <v>1458371.71</v>
      </c>
      <c r="AA47" s="43">
        <f>'Income Stat.'!AB15</f>
        <v>1458372</v>
      </c>
      <c r="AB47" s="43">
        <f>'Income Stat.'!AC15</f>
        <v>0</v>
      </c>
      <c r="AC47" s="43">
        <f>'Income Stat.'!AD15</f>
        <v>0</v>
      </c>
      <c r="AD47" s="43">
        <f>'Income Stat.'!AE15</f>
        <v>0</v>
      </c>
      <c r="AE47" s="43">
        <f>'Income Stat.'!AF15</f>
        <v>0</v>
      </c>
      <c r="AF47" s="43">
        <f>'Income Stat.'!AG15</f>
        <v>0</v>
      </c>
    </row>
    <row r="48" spans="1:32">
      <c r="A48" s="51" t="s">
        <v>157</v>
      </c>
      <c r="B48" s="43">
        <f>'Income Stat.'!C30</f>
        <v>12044569.76</v>
      </c>
      <c r="C48" s="43">
        <f>'Income Stat.'!D30</f>
        <v>3647661.82</v>
      </c>
      <c r="D48" s="43">
        <f>'Income Stat.'!E30</f>
        <v>5435290.0199999996</v>
      </c>
      <c r="E48" s="43">
        <f>'Income Stat.'!F30</f>
        <v>5462219.0599999996</v>
      </c>
      <c r="F48" s="43">
        <f>'Income Stat.'!G30</f>
        <v>8482505.2300000004</v>
      </c>
      <c r="G48" s="43">
        <f>'Income Stat.'!H30</f>
        <v>10556665.529999999</v>
      </c>
      <c r="H48" s="43"/>
      <c r="I48" s="43">
        <f>'Income Stat.'!J30</f>
        <v>5060942.92</v>
      </c>
      <c r="J48" s="43">
        <f>'Income Stat.'!K30</f>
        <v>7149062.7699999996</v>
      </c>
      <c r="K48" s="43">
        <f>'Income Stat.'!L30</f>
        <v>8918548.3499999996</v>
      </c>
      <c r="L48" s="43">
        <f>'Income Stat.'!M30</f>
        <v>10858163.18</v>
      </c>
      <c r="M48" s="43">
        <f>'Income Stat.'!N30</f>
        <v>11556662.289999999</v>
      </c>
      <c r="N48" s="43">
        <f>'Income Stat.'!O30</f>
        <v>15189446</v>
      </c>
      <c r="O48" s="43">
        <f>'Income Stat.'!P30</f>
        <v>35872.989999999991</v>
      </c>
      <c r="P48" s="43">
        <f>'Income Stat.'!Q30</f>
        <v>149584.93000000017</v>
      </c>
      <c r="Q48" s="43">
        <f>'Income Stat.'!R30</f>
        <v>266667.66999999993</v>
      </c>
      <c r="R48" s="43">
        <f>'Income Stat.'!S30</f>
        <v>2757706.55</v>
      </c>
      <c r="S48" s="43">
        <f>'Income Stat.'!T30</f>
        <v>3047900.91</v>
      </c>
      <c r="T48" s="43">
        <f>'Income Stat.'!U30</f>
        <v>3694854.129999999</v>
      </c>
      <c r="U48" s="43">
        <f>'Income Stat.'!V30</f>
        <v>4719768.200000003</v>
      </c>
      <c r="V48" s="43">
        <f>'Income Stat.'!W30</f>
        <v>185614.21999999881</v>
      </c>
      <c r="W48" s="43">
        <f>'Income Stat.'!X30</f>
        <v>5806808.7300000004</v>
      </c>
      <c r="X48" s="43">
        <f>'Income Stat.'!Y30</f>
        <v>8222243.1799999997</v>
      </c>
      <c r="Y48" s="43">
        <f>'Income Stat.'!Z30</f>
        <v>8625353.1600000001</v>
      </c>
      <c r="Z48" s="43">
        <f>'Income Stat.'!AA30</f>
        <v>10205051.92</v>
      </c>
      <c r="AA48" s="43">
        <f>'Income Stat.'!AB30</f>
        <v>13552761.880000003</v>
      </c>
      <c r="AB48" s="43">
        <f>'Income Stat.'!AC30</f>
        <v>0</v>
      </c>
      <c r="AC48" s="43">
        <f>'Income Stat.'!AD30</f>
        <v>0</v>
      </c>
      <c r="AD48" s="43">
        <f>'Income Stat.'!AE30</f>
        <v>0</v>
      </c>
      <c r="AE48" s="43">
        <f>'Income Stat.'!AF30</f>
        <v>0</v>
      </c>
      <c r="AF48" s="43">
        <f>'Income Stat.'!AG30</f>
        <v>0</v>
      </c>
    </row>
    <row r="49" spans="1:14">
      <c r="A49" s="52" t="s">
        <v>158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0"/>
  <sheetViews>
    <sheetView workbookViewId="0">
      <pane xSplit="3" topLeftCell="V1" activePane="topRight" state="frozen"/>
      <selection pane="topRight" activeCell="Z15" sqref="Z15"/>
    </sheetView>
  </sheetViews>
  <sheetFormatPr defaultColWidth="9.140625" defaultRowHeight="13.9"/>
  <cols>
    <col min="1" max="1" width="26.28515625" style="19" bestFit="1" customWidth="1"/>
    <col min="2" max="2" width="36.42578125" style="19" customWidth="1"/>
    <col min="3" max="3" width="15.140625" style="19" bestFit="1" customWidth="1"/>
    <col min="4" max="5" width="14" style="19" customWidth="1"/>
    <col min="6" max="6" width="14" style="19" bestFit="1" customWidth="1"/>
    <col min="7" max="8" width="12.28515625" style="19" customWidth="1"/>
    <col min="9" max="9" width="14" style="19" bestFit="1" customWidth="1"/>
    <col min="10" max="11" width="14" style="19" customWidth="1"/>
    <col min="12" max="12" width="14" style="19" bestFit="1" customWidth="1"/>
    <col min="13" max="14" width="14" style="19" hidden="1" customWidth="1"/>
    <col min="15" max="16" width="14" style="19" bestFit="1" customWidth="1"/>
    <col min="17" max="22" width="11.28515625" style="19" bestFit="1" customWidth="1"/>
    <col min="23" max="23" width="11" style="19" bestFit="1" customWidth="1"/>
    <col min="24" max="24" width="13.28515625" style="19" customWidth="1"/>
    <col min="25" max="28" width="12" style="19" bestFit="1" customWidth="1"/>
    <col min="29" max="29" width="11" style="19" bestFit="1" customWidth="1"/>
    <col min="30" max="16384" width="9.140625" style="19"/>
  </cols>
  <sheetData>
    <row r="1" spans="1:32">
      <c r="A1" s="17" t="s">
        <v>159</v>
      </c>
      <c r="B1" s="17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32" ht="14.25">
      <c r="A2" s="53"/>
      <c r="B2" s="53"/>
      <c r="C2" s="53" t="s">
        <v>160</v>
      </c>
      <c r="D2" s="21" t="s">
        <v>161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21" t="s">
        <v>10</v>
      </c>
      <c r="L2" s="21" t="s">
        <v>11</v>
      </c>
      <c r="M2" s="21" t="s">
        <v>12</v>
      </c>
      <c r="N2" s="21" t="s">
        <v>13</v>
      </c>
      <c r="O2" s="21" t="s">
        <v>14</v>
      </c>
      <c r="P2" s="21" t="s">
        <v>15</v>
      </c>
      <c r="Q2" s="124">
        <v>44583</v>
      </c>
      <c r="R2" s="124">
        <v>44614</v>
      </c>
      <c r="S2" s="124">
        <v>44642</v>
      </c>
      <c r="T2" s="124">
        <v>44673</v>
      </c>
      <c r="U2" s="124">
        <v>44703</v>
      </c>
      <c r="V2" s="124">
        <v>44734</v>
      </c>
      <c r="W2" s="124">
        <v>44764</v>
      </c>
      <c r="X2" s="124">
        <v>44795</v>
      </c>
      <c r="Y2" s="124">
        <v>44826</v>
      </c>
      <c r="Z2" s="124">
        <v>44856</v>
      </c>
      <c r="AA2" s="124">
        <v>44887</v>
      </c>
      <c r="AB2" s="124">
        <v>44917</v>
      </c>
      <c r="AC2" s="179" t="s">
        <v>120</v>
      </c>
    </row>
    <row r="3" spans="1:32" ht="14.25">
      <c r="A3" s="68" t="s">
        <v>162</v>
      </c>
      <c r="B3" s="54" t="s">
        <v>128</v>
      </c>
      <c r="C3" s="55" t="s">
        <v>163</v>
      </c>
      <c r="D3" s="56">
        <f>Financials!B13</f>
        <v>54173123.079999998</v>
      </c>
      <c r="E3" s="56">
        <f>Financials!C13</f>
        <v>46780605.399999999</v>
      </c>
      <c r="F3" s="56">
        <f>Financials!D13</f>
        <v>48819888.809999995</v>
      </c>
      <c r="G3" s="56">
        <f>Financials!E13</f>
        <v>49097727.539999999</v>
      </c>
      <c r="H3" s="56">
        <f>Financials!F13</f>
        <v>52362475.539999999</v>
      </c>
      <c r="I3" s="56">
        <f>Financials!G13</f>
        <v>54611878.149999999</v>
      </c>
      <c r="J3" s="56">
        <f>Financials!H13</f>
        <v>57227673.440000005</v>
      </c>
      <c r="K3" s="56">
        <f>Financials!I13</f>
        <v>49460296.100000001</v>
      </c>
      <c r="L3" s="56">
        <f>Financials!J13</f>
        <v>51673575.379999995</v>
      </c>
      <c r="M3" s="56">
        <f>Financials!K13</f>
        <v>53561707.390000001</v>
      </c>
      <c r="N3" s="56">
        <f>Financials!L13</f>
        <v>55595604.019999996</v>
      </c>
      <c r="O3" s="56">
        <f>Financials!M13</f>
        <v>56427608.879999995</v>
      </c>
      <c r="P3" s="56">
        <f>Financials!N13</f>
        <v>55513880.899999999</v>
      </c>
      <c r="Q3" s="56">
        <f>Financials!O13</f>
        <v>55915729.660000004</v>
      </c>
      <c r="R3" s="56">
        <f>Financials!P13</f>
        <v>55757083.420000009</v>
      </c>
      <c r="S3" s="56">
        <f>Financials!Q13</f>
        <v>56157354.639999993</v>
      </c>
      <c r="T3" s="56">
        <f>Financials!R13</f>
        <v>58186508.190000005</v>
      </c>
      <c r="U3" s="56">
        <f>Financials!S13</f>
        <v>59270906.000000007</v>
      </c>
      <c r="V3" s="56">
        <f>Financials!T13</f>
        <v>60489517.479999997</v>
      </c>
      <c r="W3" s="56">
        <f>Financials!U13</f>
        <v>60610194.619999997</v>
      </c>
      <c r="X3" s="56">
        <f>Financials!V13</f>
        <v>61355804.050000004</v>
      </c>
      <c r="Y3" s="56">
        <f>Financials!W13</f>
        <v>61031105.420000009</v>
      </c>
      <c r="Z3" s="56">
        <f>Financials!X13</f>
        <v>63498744.330000006</v>
      </c>
      <c r="AA3" s="56">
        <f>Financials!Y13</f>
        <v>63939298.119999997</v>
      </c>
      <c r="AB3" s="56">
        <f>Financials!Z13</f>
        <v>65592426.759999998</v>
      </c>
      <c r="AC3" s="56">
        <f>Financials!AA13</f>
        <v>67503997.730000004</v>
      </c>
      <c r="AD3" s="56">
        <f>Financials!AB13</f>
        <v>0</v>
      </c>
      <c r="AE3" s="56">
        <f>Financials!AC13</f>
        <v>0</v>
      </c>
      <c r="AF3" s="56">
        <f>Financials!AD13</f>
        <v>0</v>
      </c>
    </row>
    <row r="4" spans="1:32" ht="14.25">
      <c r="A4" s="69"/>
      <c r="B4" s="16" t="s">
        <v>164</v>
      </c>
      <c r="C4" s="15">
        <v>0.1</v>
      </c>
      <c r="D4" s="22">
        <f>Financials!B13/Financials!B5</f>
        <v>0.28792700144326866</v>
      </c>
      <c r="E4" s="22">
        <f>Financials!C13/Financials!C5</f>
        <v>0.24733297486927203</v>
      </c>
      <c r="F4" s="22">
        <f>Financials!D13/Financials!D5</f>
        <v>0.25461593286367878</v>
      </c>
      <c r="G4" s="22">
        <f>Financials!E13/Financials!E5</f>
        <v>0.25356750427018315</v>
      </c>
      <c r="H4" s="22">
        <f>Financials!F13/Financials!F5</f>
        <v>0.27369092616662599</v>
      </c>
      <c r="I4" s="22">
        <f>Financials!G13/Financials!G5</f>
        <v>0.28038133229790391</v>
      </c>
      <c r="J4" s="22">
        <f>Financials!H13/Financials!H5</f>
        <v>0.28789849587615407</v>
      </c>
      <c r="K4" s="22">
        <f>Financials!I13/Financials!I5</f>
        <v>0.24168333993529173</v>
      </c>
      <c r="L4" s="22">
        <f>Financials!J13/Financials!J5</f>
        <v>0.25184007235921751</v>
      </c>
      <c r="M4" s="22">
        <f>Financials!K13/Financials!K5</f>
        <v>0.2602273997715786</v>
      </c>
      <c r="N4" s="22">
        <f>Financials!L13/Financials!L5</f>
        <v>0.26454701460950392</v>
      </c>
      <c r="O4" s="22">
        <f>Financials!M13/Financials!M5</f>
        <v>0.27982216242266794</v>
      </c>
      <c r="P4" s="22">
        <f>Financials!N13/Financials!N5</f>
        <v>0.24901495654842515</v>
      </c>
      <c r="Q4" s="22">
        <f>Financials!O13/Financials!O5</f>
        <v>0.24358282552498495</v>
      </c>
      <c r="R4" s="22">
        <f>Financials!P13/Financials!P5</f>
        <v>0.24288064554243141</v>
      </c>
      <c r="S4" s="22">
        <f>Financials!Q13/Financials!Q5</f>
        <v>0.25135792697758302</v>
      </c>
      <c r="T4" s="22">
        <f>Financials!R13/Financials!R5</f>
        <v>0.26706203039082405</v>
      </c>
      <c r="U4" s="22">
        <f>Financials!S13/Financials!S5</f>
        <v>0.25787328988645852</v>
      </c>
      <c r="V4" s="22">
        <f>Financials!T13/Financials!T5</f>
        <v>0.26317171542543955</v>
      </c>
      <c r="W4" s="22">
        <f>Financials!U13/Financials!U5</f>
        <v>0.25597990052038588</v>
      </c>
      <c r="X4" s="22">
        <f>Financials!V13/Financials!V5</f>
        <v>0.25199055912523416</v>
      </c>
      <c r="Y4" s="22">
        <f>Financials!W13/Financials!W5</f>
        <v>0.25014265355014537</v>
      </c>
      <c r="Z4" s="22">
        <f>Financials!X13/Financials!X5</f>
        <v>0.25892228217626417</v>
      </c>
      <c r="AA4" s="22">
        <f>Financials!Y13/Financials!Y5</f>
        <v>0.25799974662871683</v>
      </c>
      <c r="AB4" s="22">
        <f>Financials!Z13/Financials!Z5</f>
        <v>0.26153517235578716</v>
      </c>
      <c r="AC4" s="22">
        <f>Financials!AA13/Financials!AA5</f>
        <v>0.25881114839641084</v>
      </c>
      <c r="AD4" s="22" t="e">
        <f>Financials!AB13/Financials!AB5</f>
        <v>#DIV/0!</v>
      </c>
      <c r="AE4" s="22" t="e">
        <f>Financials!AC13/Financials!AC5</f>
        <v>#DIV/0!</v>
      </c>
      <c r="AF4" s="22" t="e">
        <f>Financials!AD13/Financials!AD5</f>
        <v>#DIV/0!</v>
      </c>
    </row>
    <row r="5" spans="1:32" ht="14.25">
      <c r="A5" s="69"/>
      <c r="B5" s="16" t="s">
        <v>165</v>
      </c>
      <c r="C5" s="15">
        <v>0.08</v>
      </c>
      <c r="D5" s="22">
        <f>Financials!B13/Financials!B6</f>
        <v>0.41941042116134836</v>
      </c>
      <c r="E5" s="22">
        <f>Financials!C13/Financials!C6</f>
        <v>0.35920612245861805</v>
      </c>
      <c r="F5" s="22">
        <f>Financials!D13/Financials!D6</f>
        <v>0.3633576697055817</v>
      </c>
      <c r="G5" s="22">
        <f>Financials!E13/Financials!E6</f>
        <v>0.40458725113548294</v>
      </c>
      <c r="H5" s="22">
        <f>Financials!F13/Financials!F6</f>
        <v>0.38784645970452325</v>
      </c>
      <c r="I5" s="22">
        <f>Financials!G13/Financials!G6</f>
        <v>0.39789366359085665</v>
      </c>
      <c r="J5" s="22">
        <f>Financials!H13/Financials!H6</f>
        <v>0.40488016249295133</v>
      </c>
      <c r="K5" s="22">
        <f>Financials!I13/Financials!I6</f>
        <v>0.35902282358267423</v>
      </c>
      <c r="L5" s="22">
        <f>Financials!J13/Financials!J6</f>
        <v>0.37336285863740704</v>
      </c>
      <c r="M5" s="22">
        <f>Financials!K13/Financials!K6</f>
        <v>0.38487835224906664</v>
      </c>
      <c r="N5" s="22">
        <f>Financials!L13/Financials!L6</f>
        <v>0.39504667248615477</v>
      </c>
      <c r="O5" s="22">
        <f>Financials!M13/Financials!M6</f>
        <v>0.41264254371042675</v>
      </c>
      <c r="P5" s="22">
        <f>Financials!N13/Financials!N6</f>
        <v>0.40778985110151245</v>
      </c>
      <c r="Q5" s="22">
        <f>Financials!O13/Financials!O6</f>
        <v>0.38318530394054839</v>
      </c>
      <c r="R5" s="22">
        <f>Financials!P13/Financials!P6</f>
        <v>0.38749775416417398</v>
      </c>
      <c r="S5" s="22">
        <f>Financials!Q13/Financials!Q6</f>
        <v>0.38933349955994645</v>
      </c>
      <c r="T5" s="22">
        <f>Financials!R13/Financials!R6</f>
        <v>0.39032128518237075</v>
      </c>
      <c r="U5" s="22">
        <f>Financials!S13/Financials!S6</f>
        <v>0.39263782573415706</v>
      </c>
      <c r="V5" s="22">
        <f>Financials!T13/Financials!T6</f>
        <v>0.39834941540856744</v>
      </c>
      <c r="W5" s="22">
        <f>Financials!U13/Financials!U6</f>
        <v>0.40036264090829948</v>
      </c>
      <c r="X5" s="22">
        <f>Financials!V13/Financials!V6</f>
        <v>0.39621318086916035</v>
      </c>
      <c r="Y5" s="22">
        <f>Financials!W13/Financials!W6</f>
        <v>0.38619766868958777</v>
      </c>
      <c r="Z5" s="22">
        <f>Financials!X13/Financials!X6</f>
        <v>0.40050226503864533</v>
      </c>
      <c r="AA5" s="22">
        <f>Financials!Y13/Financials!Y6</f>
        <v>0.40278481244527214</v>
      </c>
      <c r="AB5" s="22">
        <f>Financials!Z13/Financials!Z6</f>
        <v>0.41017628341333268</v>
      </c>
      <c r="AC5" s="22">
        <f>Financials!AA13/Financials!AA6</f>
        <v>0.43316313145845681</v>
      </c>
      <c r="AD5" s="22" t="e">
        <f>Financials!AB13/Financials!AB6</f>
        <v>#DIV/0!</v>
      </c>
      <c r="AE5" s="22" t="e">
        <f>Financials!AC13/Financials!AC6</f>
        <v>#DIV/0!</v>
      </c>
      <c r="AF5" s="22" t="e">
        <f>Financials!AD13/Financials!AD6</f>
        <v>#DIV/0!</v>
      </c>
    </row>
    <row r="6" spans="1:32" ht="14.25">
      <c r="A6" s="70"/>
      <c r="B6" s="57" t="s">
        <v>166</v>
      </c>
      <c r="C6" s="58">
        <v>0.08</v>
      </c>
      <c r="D6" s="59">
        <f>(Financials!B13-Financials!B16)/Financials!B5</f>
        <v>0.13438074690582513</v>
      </c>
      <c r="E6" s="59">
        <f>(Financials!C13-Financials!C16)/Financials!C5</f>
        <v>9.339547017329089E-2</v>
      </c>
      <c r="F6" s="59">
        <f>(Financials!D13-Financials!D16)/Financials!D5</f>
        <v>0.1014526588077467</v>
      </c>
      <c r="G6" s="59">
        <f>(Financials!E13-Financials!E16)/Financials!E5</f>
        <v>0.1006022390191377</v>
      </c>
      <c r="H6" s="59">
        <f>(Financials!F13-Financials!F16)/Financials!F5</f>
        <v>0.11760250539886709</v>
      </c>
      <c r="I6" s="59">
        <f>(Financials!G13-Financials!G16)/Financials!G5</f>
        <v>0.12616387446228472</v>
      </c>
      <c r="J6" s="59">
        <f>(Financials!H13-Financials!H16)/Financials!H5</f>
        <v>0.13598170054277692</v>
      </c>
      <c r="K6" s="59">
        <f>(Financials!I15-Financials!I16)/Financials!I5</f>
        <v>9.3223527097955936E-2</v>
      </c>
      <c r="L6" s="59">
        <f>(Financials!J15-Financials!J16)/Financials!J5</f>
        <v>0.10315730661028635</v>
      </c>
      <c r="M6" s="59">
        <f>(Financials!K15-Financials!K16)/Financials!K5</f>
        <v>0.11143228860836749</v>
      </c>
      <c r="N6" s="59">
        <f>(Financials!L15-Financials!L16)/Financials!L5</f>
        <v>0.11836720859880226</v>
      </c>
      <c r="O6" s="59">
        <f>(Financials!M15-Financials!M16)/Financials!M5</f>
        <v>0.12681959361360887</v>
      </c>
      <c r="P6" s="62">
        <f>(Financials!N15-Financials!N16)/Financials!N5</f>
        <v>0.11057048061084215</v>
      </c>
      <c r="Q6" s="62">
        <f>(Financials!O15-Financials!O16)/Financials!O5</f>
        <v>0.10890195312777101</v>
      </c>
      <c r="R6" s="62">
        <f>(Financials!P15-Financials!P16)/Financials!P5</f>
        <v>0.10793144749796324</v>
      </c>
      <c r="S6" s="62">
        <f>(Financials!Q15-Financials!Q16)/Financials!Q5</f>
        <v>0.11219022959703266</v>
      </c>
      <c r="T6" s="62">
        <f>(Financials!R15-Financials!R16)/Financials!R5</f>
        <v>0.12380233784512112</v>
      </c>
      <c r="U6" s="62">
        <f>(Financials!S15-Financials!S16)/Financials!S5</f>
        <v>0.12257590046577375</v>
      </c>
      <c r="V6" s="62">
        <f>(Financials!T15-Financials!T16)/Financials!T5</f>
        <v>0.1273735876937121</v>
      </c>
      <c r="W6" s="62">
        <f>(Financials!U15-Financials!U16)/Financials!U5</f>
        <v>0.12403932386402301</v>
      </c>
      <c r="X6" s="62">
        <f>(Financials!V15-Financials!V16)/Financials!V5</f>
        <v>0.12324161996904817</v>
      </c>
      <c r="Y6" s="62">
        <f>(Financials!W15-Financials!W16)/Financials!W5</f>
        <v>0.12104274672614936</v>
      </c>
      <c r="Z6" s="62">
        <f>(Financials!X15-Financials!X16)/Financials!X5</f>
        <v>0.13027136372823925</v>
      </c>
      <c r="AA6" s="62">
        <f>(Financials!Y15-Financials!Y16)/Financials!Y5</f>
        <v>0.13053939112460219</v>
      </c>
      <c r="AB6" s="62">
        <f>(Financials!Z15-Financials!Z16)/Financials!Z5</f>
        <v>0.13529182423031721</v>
      </c>
      <c r="AC6" s="62">
        <f>(Financials!AA15-Financials!AA16)/Financials!AA5</f>
        <v>0.13718008769589699</v>
      </c>
      <c r="AD6" s="62" t="e">
        <f>(Financials!AB15-Financials!AB16)/Financials!AB5</f>
        <v>#DIV/0!</v>
      </c>
      <c r="AE6" s="62" t="e">
        <f>(Financials!AC15-Financials!AC16)/Financials!AC5</f>
        <v>#DIV/0!</v>
      </c>
      <c r="AF6" s="62" t="e">
        <f>(Financials!AD15-Financials!AD16)/Financials!AD5</f>
        <v>#DIV/0!</v>
      </c>
    </row>
    <row r="7" spans="1:32" ht="14.25">
      <c r="A7" s="68" t="s">
        <v>167</v>
      </c>
      <c r="B7" s="54" t="s">
        <v>168</v>
      </c>
      <c r="C7" s="54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</row>
    <row r="8" spans="1:32" ht="14.25">
      <c r="A8" s="69"/>
      <c r="B8" s="16" t="s">
        <v>169</v>
      </c>
      <c r="C8" s="16"/>
      <c r="D8" s="23"/>
      <c r="E8" s="23"/>
      <c r="F8" s="23"/>
      <c r="G8" s="23"/>
      <c r="H8" s="23"/>
      <c r="I8" s="23">
        <v>0.1</v>
      </c>
      <c r="J8" s="23">
        <v>1.1000000000000001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>
        <v>0.08</v>
      </c>
      <c r="W8" s="23"/>
      <c r="X8" s="23"/>
      <c r="Y8" s="23">
        <v>0.08</v>
      </c>
      <c r="Z8" s="23"/>
      <c r="AA8" s="23"/>
      <c r="AB8" s="23">
        <v>0.08</v>
      </c>
      <c r="AC8" s="23">
        <v>0.08</v>
      </c>
      <c r="AD8" s="23"/>
      <c r="AE8" s="23"/>
      <c r="AF8" s="23"/>
    </row>
    <row r="9" spans="1:32" ht="14.25">
      <c r="A9" s="69"/>
      <c r="B9" s="16" t="s">
        <v>170</v>
      </c>
      <c r="C9" s="14" t="s">
        <v>171</v>
      </c>
      <c r="D9" s="22">
        <f>('Balance Sheet'!C7+'Balance Sheet'!C20)/'Balance Sheet'!C26</f>
        <v>6.7031569154421253E-2</v>
      </c>
      <c r="E9" s="22">
        <f>('Balance Sheet'!D7+'Balance Sheet'!D20)/'Balance Sheet'!D26</f>
        <v>6.6382250823957545E-2</v>
      </c>
      <c r="F9" s="22">
        <f>('Balance Sheet'!E7+'Balance Sheet'!E20)/'Balance Sheet'!E26</f>
        <v>6.5410872970857931E-2</v>
      </c>
      <c r="G9" s="22">
        <f>('Balance Sheet'!F7+'Balance Sheet'!F20)/'Balance Sheet'!F26</f>
        <v>8.7119952834348036E-2</v>
      </c>
      <c r="H9" s="22">
        <f>('Balance Sheet'!G7+'Balance Sheet'!G20)/'Balance Sheet'!G26</f>
        <v>6.9039035159438517E-2</v>
      </c>
      <c r="I9" s="22">
        <f>('Balance Sheet'!H7+'Balance Sheet'!H20)/'Balance Sheet'!H26</f>
        <v>6.654685179397303E-2</v>
      </c>
      <c r="J9" s="22">
        <f>('Balance Sheet'!I7+'Balance Sheet'!I20)/'Balance Sheet'!I26</f>
        <v>6.4961616959368945E-2</v>
      </c>
      <c r="K9" s="22">
        <f>('Balance Sheet'!J7+'Balance Sheet'!J20)/'Balance Sheet'!J26</f>
        <v>5.8004795899912982E-2</v>
      </c>
      <c r="L9" s="22">
        <f>('Balance Sheet'!K7+'Balance Sheet'!K20)/'Balance Sheet'!K26</f>
        <v>6.3887661444369637E-2</v>
      </c>
      <c r="M9" s="22">
        <f>('Balance Sheet'!L7+'Balance Sheet'!L20)/'Balance Sheet'!L26</f>
        <v>6.3858570275395196E-2</v>
      </c>
      <c r="N9" s="22">
        <f>('Balance Sheet'!M7+'Balance Sheet'!M20)/'Balance Sheet'!M26</f>
        <v>6.7947768805952602E-2</v>
      </c>
      <c r="O9" s="22">
        <f>('Balance Sheet'!N7+'Balance Sheet'!N20)/'Balance Sheet'!N26</f>
        <v>6.8844463621666477E-2</v>
      </c>
      <c r="P9" s="22">
        <f>('Balance Sheet'!O7+'Balance Sheet'!O20)/'Balance Sheet'!O26</f>
        <v>0.14029998539208402</v>
      </c>
      <c r="Q9" s="22">
        <f>('Balance Sheet'!P7+'Balance Sheet'!P20)/'Balance Sheet'!P26</f>
        <v>6.4206720199840445E-2</v>
      </c>
      <c r="R9" s="22">
        <f>('Balance Sheet'!Q7+'Balance Sheet'!Q20)/'Balance Sheet'!Q26</f>
        <v>6.8092060664871543E-2</v>
      </c>
      <c r="S9" s="22">
        <f>('Balance Sheet'!R7+'Balance Sheet'!R20)/'Balance Sheet'!R26</f>
        <v>7.0904424351673059E-2</v>
      </c>
      <c r="T9" s="22">
        <f>('Balance Sheet'!S7+'Balance Sheet'!S20)/'Balance Sheet'!S26</f>
        <v>7.305012843564139E-2</v>
      </c>
      <c r="U9" s="22">
        <f>('Balance Sheet'!T7+'Balance Sheet'!T20)/'Balance Sheet'!T26</f>
        <v>6.7209295260903662E-2</v>
      </c>
      <c r="V9" s="22">
        <f>('Balance Sheet'!U7+'Balance Sheet'!U20)/'Balance Sheet'!U26</f>
        <v>6.6863427830351999E-2</v>
      </c>
      <c r="W9" s="22">
        <f>('Balance Sheet'!V7+'Balance Sheet'!V20)/'Balance Sheet'!V26</f>
        <v>6.5777592379680228E-2</v>
      </c>
      <c r="X9" s="22">
        <f>('Balance Sheet'!W7+'Balance Sheet'!W20)/'Balance Sheet'!W26</f>
        <v>7.2627598537857441E-2</v>
      </c>
      <c r="Y9" s="22">
        <f>('Balance Sheet'!X7+'Balance Sheet'!X20)/'Balance Sheet'!X26</f>
        <v>6.9071868465961528E-2</v>
      </c>
      <c r="Z9" s="22">
        <f>('Balance Sheet'!Y7+'Balance Sheet'!Y20)/'Balance Sheet'!Y26</f>
        <v>6.9851675759788248E-2</v>
      </c>
      <c r="AA9" s="22">
        <f>('Balance Sheet'!Z7+'Balance Sheet'!Z20)/'Balance Sheet'!Z26</f>
        <v>7.5135379283410117E-2</v>
      </c>
      <c r="AB9" s="22">
        <f>('Balance Sheet'!AA7+'Balance Sheet'!AA20)/'Balance Sheet'!AA26</f>
        <v>7.4339322019679271E-2</v>
      </c>
      <c r="AC9" s="22">
        <f>('Balance Sheet'!AB7+'Balance Sheet'!AB20)/'Balance Sheet'!AB26</f>
        <v>0.14358841002200504</v>
      </c>
      <c r="AD9" s="22" t="e">
        <f>('Balance Sheet'!AC7+'Balance Sheet'!AC20)/'Balance Sheet'!AC26</f>
        <v>#DIV/0!</v>
      </c>
      <c r="AE9" s="22" t="e">
        <f>('Balance Sheet'!AD7+'Balance Sheet'!AD20)/'Balance Sheet'!AD26</f>
        <v>#DIV/0!</v>
      </c>
      <c r="AF9" s="22" t="e">
        <f>('Balance Sheet'!AE7+'Balance Sheet'!AE20)/'Balance Sheet'!AE26</f>
        <v>#DIV/0!</v>
      </c>
    </row>
    <row r="10" spans="1:32" ht="14.25">
      <c r="A10" s="70"/>
      <c r="B10" s="57" t="s">
        <v>172</v>
      </c>
      <c r="C10" s="61" t="s">
        <v>173</v>
      </c>
      <c r="D10" s="62">
        <f>('Balance Sheet'!C21+'Balance Sheet'!C22)/'Balance Sheet'!C26</f>
        <v>1.3854150771181359E-2</v>
      </c>
      <c r="E10" s="62">
        <f>('Balance Sheet'!D21+'Balance Sheet'!D22)/'Balance Sheet'!D26</f>
        <v>1.3781534350968211E-2</v>
      </c>
      <c r="F10" s="62">
        <f>('Balance Sheet'!E21+'Balance Sheet'!E22)/'Balance Sheet'!E26</f>
        <v>1.3756395083244343E-2</v>
      </c>
      <c r="G10" s="62">
        <f>('Balance Sheet'!F21+'Balance Sheet'!F22)/'Balance Sheet'!F26</f>
        <v>1.3622225153971238E-2</v>
      </c>
      <c r="H10" s="62">
        <f>('Balance Sheet'!G21+'Balance Sheet'!G22)/'Balance Sheet'!G26</f>
        <v>1.3786565177280991E-2</v>
      </c>
      <c r="I10" s="62">
        <f>('Balance Sheet'!H21+'Balance Sheet'!H22)/'Balance Sheet'!H26</f>
        <v>1.3541844798921421E-2</v>
      </c>
      <c r="J10" s="62">
        <f>('Balance Sheet'!I21+'Balance Sheet'!I22)/'Balance Sheet'!I26</f>
        <v>1.3269334900639125E-2</v>
      </c>
      <c r="K10" s="62">
        <f>('Balance Sheet'!J21+'Balance Sheet'!J22)/'Balance Sheet'!J26</f>
        <v>1.2888603149984027E-2</v>
      </c>
      <c r="L10" s="62">
        <f>('Balance Sheet'!K21+'Balance Sheet'!K22)/'Balance Sheet'!K26</f>
        <v>1.8064860924052968E-2</v>
      </c>
      <c r="M10" s="62">
        <f>('Balance Sheet'!L21+'Balance Sheet'!L22)/'Balance Sheet'!L26</f>
        <v>1.8088638400523535E-2</v>
      </c>
      <c r="N10" s="62">
        <f>('Balance Sheet'!M21+'Balance Sheet'!M22)/'Balance Sheet'!M26</f>
        <v>2.1594272572375069E-2</v>
      </c>
      <c r="O10" s="62">
        <f>('Balance Sheet'!N21+'Balance Sheet'!N22)/'Balance Sheet'!N26</f>
        <v>2.8385434660350366E-2</v>
      </c>
      <c r="P10" s="62">
        <f>('Balance Sheet'!O21+'Balance Sheet'!O22)/'Balance Sheet'!O26</f>
        <v>2.5676092488069176E-2</v>
      </c>
      <c r="Q10" s="62">
        <f>('Balance Sheet'!P21+'Balance Sheet'!P22)/'Balance Sheet'!P26</f>
        <v>2.50051812786601E-2</v>
      </c>
      <c r="R10" s="62">
        <f>('Balance Sheet'!Q21+'Balance Sheet'!Q22)/'Balance Sheet'!Q26</f>
        <v>2.5057184683991363E-2</v>
      </c>
      <c r="S10" s="62">
        <f>('Balance Sheet'!R21+'Balance Sheet'!R22)/'Balance Sheet'!R26</f>
        <v>2.6617444418731828E-2</v>
      </c>
      <c r="T10" s="62">
        <f>('Balance Sheet'!S21+'Balance Sheet'!S22)/'Balance Sheet'!S26</f>
        <v>2.7294193263170907E-2</v>
      </c>
      <c r="U10" s="62">
        <f>('Balance Sheet'!T21+'Balance Sheet'!T22)/'Balance Sheet'!T26</f>
        <v>2.5872905761980355E-2</v>
      </c>
      <c r="V10" s="62">
        <f>('Balance Sheet'!U21+'Balance Sheet'!U22)/'Balance Sheet'!U26</f>
        <v>2.5872565952288151E-2</v>
      </c>
      <c r="W10" s="62">
        <f>('Balance Sheet'!V21+'Balance Sheet'!V22)/'Balance Sheet'!V26</f>
        <v>2.5263247203492042E-2</v>
      </c>
      <c r="X10" s="62">
        <f>('Balance Sheet'!W21+'Balance Sheet'!W22)/'Balance Sheet'!W26</f>
        <v>2.4567309813503461E-2</v>
      </c>
      <c r="Y10" s="62">
        <f>('Balance Sheet'!X21+'Balance Sheet'!X22)/'Balance Sheet'!X26</f>
        <v>2.4611164913286122E-2</v>
      </c>
      <c r="Z10" s="62">
        <f>('Balance Sheet'!Y21+'Balance Sheet'!Y22)/'Balance Sheet'!Y26</f>
        <v>2.4484990680141597E-2</v>
      </c>
      <c r="AA10" s="62">
        <f>('Balance Sheet'!Z21+'Balance Sheet'!Z22)/'Balance Sheet'!Z26</f>
        <v>2.4229645994216203E-2</v>
      </c>
      <c r="AB10" s="62">
        <f>('Balance Sheet'!AA21+'Balance Sheet'!AA22)/'Balance Sheet'!AA26</f>
        <v>2.3942641233588906E-2</v>
      </c>
      <c r="AC10" s="62">
        <f>('Balance Sheet'!AB21+'Balance Sheet'!AB22)/'Balance Sheet'!AB26</f>
        <v>2.2680631882164459E-2</v>
      </c>
      <c r="AD10" s="62" t="e">
        <f>('Balance Sheet'!AC21+'Balance Sheet'!AC22)/'Balance Sheet'!AC26</f>
        <v>#DIV/0!</v>
      </c>
      <c r="AE10" s="62" t="e">
        <f>('Balance Sheet'!AD21+'Balance Sheet'!AD22)/'Balance Sheet'!AD26</f>
        <v>#DIV/0!</v>
      </c>
      <c r="AF10" s="62" t="e">
        <f>('Balance Sheet'!AE21+'Balance Sheet'!AE22)/'Balance Sheet'!AE26</f>
        <v>#DIV/0!</v>
      </c>
    </row>
    <row r="11" spans="1:32" ht="25.5">
      <c r="A11" s="68" t="s">
        <v>174</v>
      </c>
      <c r="B11" s="54" t="s">
        <v>175</v>
      </c>
      <c r="C11" s="63" t="s">
        <v>173</v>
      </c>
      <c r="D11" s="64">
        <f>'Balance Sheet'!C11/'Balance Sheet'!C29</f>
        <v>0</v>
      </c>
      <c r="E11" s="64">
        <f>'Balance Sheet'!D11/'Balance Sheet'!D29</f>
        <v>0</v>
      </c>
      <c r="F11" s="64">
        <f>'Balance Sheet'!E11/'Balance Sheet'!E29</f>
        <v>0</v>
      </c>
      <c r="G11" s="64">
        <f>'Balance Sheet'!F11/'Balance Sheet'!F29</f>
        <v>0</v>
      </c>
      <c r="H11" s="64">
        <f>'Balance Sheet'!G11/'Balance Sheet'!G29</f>
        <v>0</v>
      </c>
      <c r="I11" s="64">
        <f>'Balance Sheet'!H11/'Balance Sheet'!H29</f>
        <v>0</v>
      </c>
      <c r="J11" s="64">
        <f>'Balance Sheet'!I11/'Balance Sheet'!I29</f>
        <v>0</v>
      </c>
      <c r="K11" s="64">
        <f>'Balance Sheet'!J11/'Balance Sheet'!J29</f>
        <v>0</v>
      </c>
      <c r="L11" s="64">
        <f>'Balance Sheet'!K11/'Balance Sheet'!K29</f>
        <v>0</v>
      </c>
      <c r="M11" s="64">
        <f>'Balance Sheet'!L11/'Balance Sheet'!L29</f>
        <v>0</v>
      </c>
      <c r="N11" s="64">
        <f>'Balance Sheet'!M11/'Balance Sheet'!M29</f>
        <v>0</v>
      </c>
      <c r="O11" s="64">
        <f>'Balance Sheet'!N11/'Balance Sheet'!N29</f>
        <v>0</v>
      </c>
      <c r="P11" s="64">
        <f>'Balance Sheet'!O11/'Balance Sheet'!O29</f>
        <v>5.1846969211532806E-5</v>
      </c>
      <c r="Q11" s="64">
        <f>'Balance Sheet'!P11/'Balance Sheet'!P29</f>
        <v>0</v>
      </c>
      <c r="R11" s="64">
        <f>'Balance Sheet'!Q11/'Balance Sheet'!Q29</f>
        <v>0</v>
      </c>
      <c r="S11" s="64">
        <f>'Balance Sheet'!R11/'Balance Sheet'!R29</f>
        <v>0</v>
      </c>
      <c r="T11" s="64">
        <f>'Balance Sheet'!S11/'Balance Sheet'!S29</f>
        <v>0</v>
      </c>
      <c r="U11" s="64">
        <f>'Balance Sheet'!T11/'Balance Sheet'!T29</f>
        <v>0</v>
      </c>
      <c r="V11" s="64">
        <f>'Balance Sheet'!U11/'Balance Sheet'!U29</f>
        <v>0</v>
      </c>
      <c r="W11" s="64">
        <f>'Balance Sheet'!V11/'Balance Sheet'!V29</f>
        <v>0</v>
      </c>
      <c r="X11" s="64">
        <f>'Balance Sheet'!W11/'Balance Sheet'!W29</f>
        <v>0</v>
      </c>
      <c r="Y11" s="64">
        <f>'Balance Sheet'!X11/'Balance Sheet'!X29</f>
        <v>0</v>
      </c>
      <c r="Z11" s="64">
        <f>'Balance Sheet'!Y11/'Balance Sheet'!Y29</f>
        <v>0</v>
      </c>
      <c r="AA11" s="64">
        <f>'Balance Sheet'!Z11/'Balance Sheet'!Z29</f>
        <v>0</v>
      </c>
      <c r="AB11" s="64">
        <f>'Balance Sheet'!AA11/'Balance Sheet'!AA29</f>
        <v>0</v>
      </c>
      <c r="AC11" s="64">
        <f>'Balance Sheet'!AB11/'Balance Sheet'!AB29</f>
        <v>8.1219268563479849E-4</v>
      </c>
      <c r="AD11" s="64" t="e">
        <f>'Balance Sheet'!AC11/'Balance Sheet'!AC29</f>
        <v>#DIV/0!</v>
      </c>
      <c r="AE11" s="64" t="e">
        <f>'Balance Sheet'!AD11/'Balance Sheet'!AD29</f>
        <v>#DIV/0!</v>
      </c>
      <c r="AF11" s="64" t="e">
        <f>'Balance Sheet'!AE11/'Balance Sheet'!AE29</f>
        <v>#DIV/0!</v>
      </c>
    </row>
    <row r="12" spans="1:32" ht="25.5">
      <c r="A12" s="69"/>
      <c r="B12" s="25" t="s">
        <v>176</v>
      </c>
      <c r="C12" s="26" t="s">
        <v>177</v>
      </c>
      <c r="D12" s="24">
        <f>'Balance Sheet'!C11/Financials!B13</f>
        <v>0</v>
      </c>
      <c r="E12" s="24">
        <f>'Balance Sheet'!D11/Financials!C13</f>
        <v>0</v>
      </c>
      <c r="F12" s="24">
        <f>'Balance Sheet'!E11/Financials!D13</f>
        <v>0</v>
      </c>
      <c r="G12" s="24">
        <f>'Balance Sheet'!F11/Financials!E13</f>
        <v>0</v>
      </c>
      <c r="H12" s="24">
        <f>'Balance Sheet'!G11/Financials!F13</f>
        <v>0</v>
      </c>
      <c r="I12" s="24">
        <f>'Balance Sheet'!H11/Financials!G13</f>
        <v>0</v>
      </c>
      <c r="J12" s="24">
        <f>'Balance Sheet'!I11/Financials!H13</f>
        <v>0</v>
      </c>
      <c r="K12" s="24">
        <f>'Balance Sheet'!J11/Financials!I13</f>
        <v>0</v>
      </c>
      <c r="L12" s="24">
        <f>'Balance Sheet'!K11/Financials!J13</f>
        <v>0</v>
      </c>
      <c r="M12" s="24">
        <f>'Balance Sheet'!L11/Financials!K13</f>
        <v>0</v>
      </c>
      <c r="N12" s="24">
        <f>'Balance Sheet'!M11/Financials!L13</f>
        <v>0</v>
      </c>
      <c r="O12" s="24">
        <f>'Balance Sheet'!N11/Financials!M13</f>
        <v>0</v>
      </c>
      <c r="P12" s="24">
        <f>'Balance Sheet'!O11/Financials!N13</f>
        <v>1.0808107634932077E-4</v>
      </c>
      <c r="Q12" s="24">
        <f>'Balance Sheet'!P11/Financials!O13</f>
        <v>0</v>
      </c>
      <c r="R12" s="24">
        <f>'Balance Sheet'!Q11/Financials!P13</f>
        <v>0</v>
      </c>
      <c r="S12" s="24">
        <f>'Balance Sheet'!R11/Financials!Q13</f>
        <v>0</v>
      </c>
      <c r="T12" s="24">
        <f>'Balance Sheet'!S11/Financials!R13</f>
        <v>0</v>
      </c>
      <c r="U12" s="24">
        <f>'Balance Sheet'!T11/Financials!S13</f>
        <v>0</v>
      </c>
      <c r="V12" s="24">
        <f>'Balance Sheet'!U11/Financials!T13</f>
        <v>0</v>
      </c>
      <c r="W12" s="24">
        <f>'Balance Sheet'!V11/Financials!U13</f>
        <v>0</v>
      </c>
      <c r="X12" s="24">
        <f>'Balance Sheet'!W11/Financials!V13</f>
        <v>0</v>
      </c>
      <c r="Y12" s="24">
        <f>'Balance Sheet'!X11/Financials!W13</f>
        <v>0</v>
      </c>
      <c r="Z12" s="24">
        <f>'Balance Sheet'!Y11/Financials!X13</f>
        <v>0</v>
      </c>
      <c r="AA12" s="24">
        <f>'Balance Sheet'!Z11/Financials!Y13</f>
        <v>0</v>
      </c>
      <c r="AB12" s="24">
        <f>'Balance Sheet'!AA11/Financials!Z13</f>
        <v>0</v>
      </c>
      <c r="AC12" s="24">
        <f>'Balance Sheet'!AB11/Financials!AA13</f>
        <v>1.5702773697044564E-3</v>
      </c>
      <c r="AD12" s="24" t="e">
        <f>'Balance Sheet'!AC11/Financials!AB13</f>
        <v>#DIV/0!</v>
      </c>
      <c r="AE12" s="24" t="e">
        <f>'Balance Sheet'!AD11/Financials!AC13</f>
        <v>#DIV/0!</v>
      </c>
      <c r="AF12" s="24" t="e">
        <f>'Balance Sheet'!AE11/Financials!AD13</f>
        <v>#DIV/0!</v>
      </c>
    </row>
    <row r="13" spans="1:32" ht="14.25">
      <c r="A13" s="69"/>
      <c r="B13" s="27" t="s">
        <v>178</v>
      </c>
      <c r="C13" s="27"/>
      <c r="D13" s="22">
        <f>Financials!B31/Financials!B5</f>
        <v>0.8167011072208562</v>
      </c>
      <c r="E13" s="22">
        <f>Financials!C31/Financials!C5</f>
        <v>0.82576489679915577</v>
      </c>
      <c r="F13" s="22">
        <f>Financials!D31/Financials!D5</f>
        <v>0.86596157772745797</v>
      </c>
      <c r="G13" s="22">
        <f>Financials!E31/Financials!E5</f>
        <v>0.87109317788140739</v>
      </c>
      <c r="H13" s="22">
        <f>Financials!F31/Financials!F5</f>
        <v>0.90134380803233483</v>
      </c>
      <c r="I13" s="22">
        <f>Financials!G31/Financials!G5</f>
        <v>0.89217880389024429</v>
      </c>
      <c r="J13" s="22">
        <f>Financials!H31/Financials!H5</f>
        <v>0.90496617932838208</v>
      </c>
      <c r="K13" s="22">
        <f>Financials!I31/Financials!I5</f>
        <v>0.89729652028978657</v>
      </c>
      <c r="L13" s="22">
        <f>Financials!J31/Financials!J5</f>
        <v>0.91085441125015898</v>
      </c>
      <c r="M13" s="22">
        <f>Financials!K31/Financials!K5</f>
        <v>0.915298580142344</v>
      </c>
      <c r="N13" s="22">
        <f>Financials!L31/Financials!L5</f>
        <v>0.91409927145819458</v>
      </c>
      <c r="O13" s="22">
        <f>Financials!M31/Financials!M5</f>
        <v>0.91164614038227376</v>
      </c>
      <c r="P13" s="22">
        <f>Financials!N31/Financials!N5</f>
        <v>0.81603488768299692</v>
      </c>
      <c r="Q13" s="22">
        <f>Financials!O31/Financials!O5</f>
        <v>0.89365705365072801</v>
      </c>
      <c r="R13" s="22">
        <f>Financials!P31/Financials!P5</f>
        <v>0.8958194890830159</v>
      </c>
      <c r="S13" s="22">
        <f>Financials!Q31/Financials!Q5</f>
        <v>0.9055356068368321</v>
      </c>
      <c r="T13" s="22">
        <f>Financials!R31/Financials!R5</f>
        <v>0.9183323266642418</v>
      </c>
      <c r="U13" s="22">
        <f>Financials!S31/Financials!S5</f>
        <v>0.9046358235336911</v>
      </c>
      <c r="V13" s="22">
        <f>Financials!T31/Financials!T5</f>
        <v>0.89178211088930781</v>
      </c>
      <c r="W13" s="22">
        <f>Financials!U31/Financials!U5</f>
        <v>0.8788657052418295</v>
      </c>
      <c r="X13" s="22">
        <f>Financials!V31/Financials!V5</f>
        <v>0.86107010120896388</v>
      </c>
      <c r="Y13" s="22">
        <f>Financials!W31/Financials!W5</f>
        <v>0.86257916240710275</v>
      </c>
      <c r="Z13" s="22">
        <f>Financials!X31/Financials!X5</f>
        <v>0.89572494212026044</v>
      </c>
      <c r="AA13" s="22">
        <f>Financials!Y31/Financials!Y5</f>
        <v>0.88304993484868355</v>
      </c>
      <c r="AB13" s="22">
        <f>Financials!Z31/Financials!Z5</f>
        <v>0.89757019720128606</v>
      </c>
      <c r="AC13" s="22">
        <f>Financials!AA31/Financials!AA5</f>
        <v>0.82145707361192555</v>
      </c>
      <c r="AD13" s="22" t="e">
        <f>Financials!AB31/Financials!AB5</f>
        <v>#DIV/0!</v>
      </c>
      <c r="AE13" s="22" t="e">
        <f>Financials!AC31/Financials!AC5</f>
        <v>#DIV/0!</v>
      </c>
      <c r="AF13" s="22" t="e">
        <f>Financials!AD31/Financials!AD5</f>
        <v>#DIV/0!</v>
      </c>
    </row>
    <row r="14" spans="1:32" ht="14.25">
      <c r="A14" s="69"/>
      <c r="B14" s="16" t="s">
        <v>179</v>
      </c>
      <c r="C14" s="16"/>
      <c r="D14" s="22">
        <f>'Income Stat.'!C38/Financials!B5</f>
        <v>6.4016188425204415E-2</v>
      </c>
      <c r="E14" s="22">
        <f>'Income Stat.'!D38/Financials!C5</f>
        <v>1.928549324112986E-2</v>
      </c>
      <c r="F14" s="22">
        <f>'Income Stat.'!E38/Financials!D5</f>
        <v>2.8347287807494362E-2</v>
      </c>
      <c r="G14" s="22">
        <f>'Income Stat.'!F38/Financials!E5</f>
        <v>2.8209885145760161E-2</v>
      </c>
      <c r="H14" s="22">
        <f>'Income Stat.'!G38/Financials!F5</f>
        <v>4.4336802045168336E-2</v>
      </c>
      <c r="I14" s="22">
        <f>'Income Stat.'!H38/Financials!G5</f>
        <v>5.419868435571755E-2</v>
      </c>
      <c r="J14" s="22">
        <f>'Income Stat.'!I38/Financials!H5</f>
        <v>6.5464704642903826E-2</v>
      </c>
      <c r="K14" s="22">
        <f>'Income Stat.'!J38/Financials!I5</f>
        <v>2.47298476671972E-2</v>
      </c>
      <c r="L14" s="22">
        <f>'Income Stat.'!K38/Financials!J5</f>
        <v>3.4842189108405135E-2</v>
      </c>
      <c r="M14" s="22">
        <f>'Income Stat.'!L38/Financials!K5</f>
        <v>4.3330408232858282E-2</v>
      </c>
      <c r="N14" s="22">
        <f>'Income Stat.'!M38/Financials!L5</f>
        <v>5.1667657974873056E-2</v>
      </c>
      <c r="O14" s="22">
        <f>'Income Stat.'!N38/Financials!M5</f>
        <v>5.7309007001402144E-2</v>
      </c>
      <c r="P14" s="22">
        <f>'Income Stat.'!O38/Financials!N5</f>
        <v>6.2282190504861792E-2</v>
      </c>
      <c r="Q14" s="22">
        <f>'Income Stat.'!P38/Financials!O5</f>
        <v>1.5627166661978469E-4</v>
      </c>
      <c r="R14" s="22">
        <f>'Income Stat.'!Q38/Financials!P5</f>
        <v>6.5159944052574782E-4</v>
      </c>
      <c r="S14" s="22">
        <f>'Income Stat.'!R38/Financials!Q5</f>
        <v>1.1935931304605733E-3</v>
      </c>
      <c r="T14" s="22">
        <f>'Income Stat.'!S38/Financials!R5</f>
        <v>1.2657207544749119E-2</v>
      </c>
      <c r="U14" s="22">
        <f>'Income Stat.'!T38/Financials!S5</f>
        <v>1.3260675227566637E-2</v>
      </c>
      <c r="V14" s="22">
        <f>'Income Stat.'!U38/Financials!T5</f>
        <v>1.6075200136294258E-2</v>
      </c>
      <c r="W14" s="22">
        <f>'Income Stat.'!V38/Financials!U5</f>
        <v>1.9933375926112173E-2</v>
      </c>
      <c r="X14" s="22">
        <f>'Income Stat.'!W38/Financials!V5</f>
        <v>7.6232447449107977E-4</v>
      </c>
      <c r="Y14" s="22">
        <f>'Income Stat.'!X38/Financials!W5</f>
        <v>2.3799840005918563E-2</v>
      </c>
      <c r="Z14" s="22">
        <f>'Income Stat.'!Y38/Financials!X5</f>
        <v>3.3526993190761627E-2</v>
      </c>
      <c r="AA14" s="22">
        <f>'Income Stat.'!Z38/Financials!Y5</f>
        <v>3.4803931154932764E-2</v>
      </c>
      <c r="AB14" s="22">
        <f>'Income Stat.'!AA38/Financials!Z5</f>
        <v>4.0690368456142732E-2</v>
      </c>
      <c r="AC14" s="22">
        <f>'Income Stat.'!AB38/Financials!AA5</f>
        <v>4.6214967456693894E-2</v>
      </c>
      <c r="AD14" s="22" t="e">
        <f>'Income Stat.'!AC38/Financials!AB5</f>
        <v>#DIV/0!</v>
      </c>
      <c r="AE14" s="22" t="e">
        <f>'Income Stat.'!AD38/Financials!AC5</f>
        <v>#DIV/0!</v>
      </c>
      <c r="AF14" s="22" t="e">
        <f>'Income Stat.'!AE38/Financials!AD5</f>
        <v>#DIV/0!</v>
      </c>
    </row>
    <row r="15" spans="1:32" ht="14.25">
      <c r="A15" s="69"/>
      <c r="B15" s="16" t="s">
        <v>180</v>
      </c>
      <c r="C15" s="16"/>
      <c r="D15" s="22">
        <f>'Income Stat.'!C24/('Income Stat.'!C20-'Income Stat.'!C22)</f>
        <v>0.4934783489433211</v>
      </c>
      <c r="E15" s="22">
        <f>'Income Stat.'!D24/('Income Stat.'!D20-'Income Stat.'!D22)</f>
        <v>0.34656381953264881</v>
      </c>
      <c r="F15" s="22">
        <f>'Income Stat.'!E24/('Income Stat.'!E20-'Income Stat.'!E22)</f>
        <v>0.37866161820673944</v>
      </c>
      <c r="G15" s="22">
        <f>'Income Stat.'!F24/('Income Stat.'!F20-'Income Stat.'!F22)</f>
        <v>0.4682640349230876</v>
      </c>
      <c r="H15" s="22">
        <f>'Income Stat.'!G24/('Income Stat.'!G20-'Income Stat.'!G22)</f>
        <v>0.41040246601405861</v>
      </c>
      <c r="I15" s="22">
        <f>'Income Stat.'!H24/('Income Stat.'!H20-'Income Stat.'!H22)</f>
        <v>0.39566227535021181</v>
      </c>
      <c r="J15" s="22">
        <f>'Income Stat.'!I24/('Income Stat.'!I20-'Income Stat.'!I22)</f>
        <v>0.3767510788160896</v>
      </c>
      <c r="K15" s="22">
        <f>'Income Stat.'!J24/('Income Stat.'!J20-'Income Stat.'!J22)</f>
        <v>0.63617926760039067</v>
      </c>
      <c r="L15" s="22">
        <f>'Income Stat.'!K24/('Income Stat.'!K20-'Income Stat.'!K22)</f>
        <v>0.57567575947365557</v>
      </c>
      <c r="M15" s="22">
        <f>'Income Stat.'!L24/('Income Stat.'!L20-'Income Stat.'!L22)</f>
        <v>0.55691718788931766</v>
      </c>
      <c r="N15" s="22">
        <f>'Income Stat.'!M24/('Income Stat.'!M20-'Income Stat.'!M22)</f>
        <v>0.52746230668228078</v>
      </c>
      <c r="O15" s="22">
        <f>'Income Stat.'!N24/('Income Stat.'!N20-'Income Stat.'!N22)</f>
        <v>0.54545832704198638</v>
      </c>
      <c r="P15" s="22">
        <f>'Income Stat.'!O24/('Income Stat.'!O20-'Income Stat.'!O22)</f>
        <v>0.47924015796569458</v>
      </c>
      <c r="Q15" s="22">
        <f>'Income Stat.'!P24/('Income Stat.'!P20-'Income Stat.'!P22)</f>
        <v>0.95339481387924729</v>
      </c>
      <c r="R15" s="22">
        <f>'Income Stat.'!Q24/('Income Stat.'!Q20-'Income Stat.'!Q22)</f>
        <v>0.89367030249219048</v>
      </c>
      <c r="S15" s="22">
        <f>'Income Stat.'!R24/('Income Stat.'!R20-'Income Stat.'!R22)</f>
        <v>0.90211719598374029</v>
      </c>
      <c r="T15" s="22">
        <f>'Income Stat.'!S24/('Income Stat.'!S20-'Income Stat.'!S22)</f>
        <v>0.54082309282347785</v>
      </c>
      <c r="U15" s="22">
        <f>'Income Stat.'!T24/('Income Stat.'!T20-'Income Stat.'!T22)</f>
        <v>0.63249682027069143</v>
      </c>
      <c r="V15" s="22">
        <f>'Income Stat.'!U24/('Income Stat.'!U20-'Income Stat.'!U22)</f>
        <v>0.56251524323076829</v>
      </c>
      <c r="W15" s="22">
        <f>'Income Stat.'!V24/('Income Stat.'!V20-'Income Stat.'!V22)</f>
        <v>0.66116448417460438</v>
      </c>
      <c r="X15" s="22">
        <f>'Income Stat.'!W24/('Income Stat.'!W20-'Income Stat.'!W22)</f>
        <v>0.98273402224503548</v>
      </c>
      <c r="Y15" s="22">
        <f>'Income Stat.'!X24/('Income Stat.'!X20-'Income Stat.'!X22)</f>
        <v>0.67137984609139989</v>
      </c>
      <c r="Z15" s="22">
        <f>'Income Stat.'!Y24/('Income Stat.'!Y20-'Income Stat.'!Y22)</f>
        <v>0.61141998685258425</v>
      </c>
      <c r="AA15" s="22">
        <f>'Income Stat.'!Z24/('Income Stat.'!Z20-'Income Stat.'!Z22)</f>
        <v>0.61465345681261663</v>
      </c>
      <c r="AB15" s="22">
        <f>'Income Stat.'!AA24/('Income Stat.'!AA20-'Income Stat.'!AA22)</f>
        <v>0.59497042138608924</v>
      </c>
      <c r="AC15" s="22">
        <f>'Income Stat.'!AB24/('Income Stat.'!AB20-'Income Stat.'!AB22)</f>
        <v>0.54178993071060422</v>
      </c>
      <c r="AD15" s="22" t="e">
        <f>'Income Stat.'!AC24/('Income Stat.'!AC20-'Income Stat.'!AC22)</f>
        <v>#DIV/0!</v>
      </c>
      <c r="AE15" s="22" t="e">
        <f>'Income Stat.'!AD24/('Income Stat.'!AD20-'Income Stat.'!AD22)</f>
        <v>#DIV/0!</v>
      </c>
      <c r="AF15" s="22" t="e">
        <f>'Income Stat.'!AE24/('Income Stat.'!AE20-'Income Stat.'!AE22)</f>
        <v>#DIV/0!</v>
      </c>
    </row>
    <row r="16" spans="1:32" ht="14.25">
      <c r="A16" s="70"/>
      <c r="B16" s="57" t="s">
        <v>181</v>
      </c>
      <c r="C16" s="65"/>
      <c r="D16" s="62">
        <f>'Income Stat.'!C24/'Income Stat.'!C4</f>
        <v>0.44868198947011284</v>
      </c>
      <c r="E16" s="62">
        <f>'Income Stat.'!D24/'Income Stat.'!D4</f>
        <v>0.34387083225677545</v>
      </c>
      <c r="F16" s="62">
        <f>'Income Stat.'!E24/'Income Stat.'!E4</f>
        <v>0.37640145732884306</v>
      </c>
      <c r="G16" s="62">
        <f>'Income Stat.'!F24/'Income Stat.'!F4</f>
        <v>0.46430974672157282</v>
      </c>
      <c r="H16" s="62">
        <f>'Income Stat.'!G24/'Income Stat.'!G4</f>
        <v>0.40778925386883391</v>
      </c>
      <c r="I16" s="62">
        <f>'Income Stat.'!H24/'Income Stat.'!H4</f>
        <v>0.38840571919923556</v>
      </c>
      <c r="J16" s="62">
        <f>'Income Stat.'!I24/'Income Stat.'!I4</f>
        <v>0.36892718215645809</v>
      </c>
      <c r="K16" s="62">
        <f>'Income Stat.'!J24/'Income Stat.'!J4</f>
        <v>0.34400584775913812</v>
      </c>
      <c r="L16" s="62">
        <f>'Income Stat.'!K24/'Income Stat.'!K4</f>
        <v>0.33828543120426441</v>
      </c>
      <c r="M16" s="62">
        <f>'Income Stat.'!L24/'Income Stat.'!L4</f>
        <v>0.34969597471151059</v>
      </c>
      <c r="N16" s="62">
        <f>'Income Stat.'!M24/'Income Stat.'!M4</f>
        <v>0.34631012472522826</v>
      </c>
      <c r="O16" s="62">
        <f>'Income Stat.'!N24/'Income Stat.'!N4</f>
        <v>0.35013730308423763</v>
      </c>
      <c r="P16" s="62">
        <f>'Income Stat.'!O24/'Income Stat.'!O4</f>
        <v>0.35071851927921083</v>
      </c>
      <c r="Q16" s="62">
        <f>'Income Stat.'!P24/'Income Stat.'!P4</f>
        <v>0.95339481387924729</v>
      </c>
      <c r="R16" s="62">
        <f>'Income Stat.'!Q24/'Income Stat.'!Q4</f>
        <v>0.89367030249219048</v>
      </c>
      <c r="S16" s="62">
        <f>'Income Stat.'!R24/'Income Stat.'!R4</f>
        <v>0.90211719598374029</v>
      </c>
      <c r="T16" s="62">
        <f>'Income Stat.'!S24/'Income Stat.'!S4</f>
        <v>0.54082309282347785</v>
      </c>
      <c r="U16" s="62">
        <f>'Income Stat.'!T24/'Income Stat.'!T4</f>
        <v>0.63249682027069143</v>
      </c>
      <c r="V16" s="62">
        <f>'Income Stat.'!U24/'Income Stat.'!U4</f>
        <v>0.49360893646415172</v>
      </c>
      <c r="W16" s="62">
        <f>'Income Stat.'!V24/'Income Stat.'!V4</f>
        <v>0.40513327640581442</v>
      </c>
      <c r="X16" s="62">
        <f>'Income Stat.'!W24/'Income Stat.'!W4</f>
        <v>0.5083908351631603</v>
      </c>
      <c r="Y16" s="62">
        <f>'Income Stat.'!X24/'Income Stat.'!X4</f>
        <v>0.3684964187139439</v>
      </c>
      <c r="Z16" s="62">
        <f>'Income Stat.'!Y24/'Income Stat.'!Y4</f>
        <v>0.36151636880988391</v>
      </c>
      <c r="AA16" s="62">
        <f>'Income Stat.'!Z24/'Income Stat.'!Z4</f>
        <v>0.37168559035951354</v>
      </c>
      <c r="AB16" s="62">
        <f>'Income Stat.'!AA24/'Income Stat.'!AA4</f>
        <v>0.37293993139494785</v>
      </c>
      <c r="AC16" s="62">
        <f>'Income Stat.'!AB24/'Income Stat.'!AB4</f>
        <v>0.37912943712029934</v>
      </c>
      <c r="AD16" s="62" t="e">
        <f>'Income Stat.'!AC24/'Income Stat.'!AC4</f>
        <v>#DIV/0!</v>
      </c>
      <c r="AE16" s="62" t="e">
        <f>'Income Stat.'!AD24/'Income Stat.'!AD4</f>
        <v>#DIV/0!</v>
      </c>
      <c r="AF16" s="62" t="e">
        <f>'Income Stat.'!AE24/'Income Stat.'!AE4</f>
        <v>#DIV/0!</v>
      </c>
    </row>
    <row r="17" spans="1:32" ht="14.25">
      <c r="A17" s="68" t="s">
        <v>182</v>
      </c>
      <c r="B17" s="54" t="s">
        <v>183</v>
      </c>
      <c r="C17" s="55" t="s">
        <v>184</v>
      </c>
      <c r="D17" s="66">
        <f>'Balance Sheet'!C4/'Balance Sheet'!C27</f>
        <v>1.8417608516721944</v>
      </c>
      <c r="E17" s="66">
        <f>'Balance Sheet'!D4/'Balance Sheet'!D27</f>
        <v>1.7067338906268636</v>
      </c>
      <c r="F17" s="66">
        <f>'Balance Sheet'!E4/'Balance Sheet'!E27</f>
        <v>0.87542937702568391</v>
      </c>
      <c r="G17" s="66">
        <f>'Balance Sheet'!F4/'Balance Sheet'!F27</f>
        <v>0.69203012806246345</v>
      </c>
      <c r="H17" s="66">
        <f>'Balance Sheet'!G4/'Balance Sheet'!G27</f>
        <v>0.41108245110661029</v>
      </c>
      <c r="I17" s="66">
        <f>'Balance Sheet'!H4/'Balance Sheet'!H27</f>
        <v>0.55972529282681516</v>
      </c>
      <c r="J17" s="66">
        <f>'Balance Sheet'!I4/'Balance Sheet'!I27</f>
        <v>0.35741154202708075</v>
      </c>
      <c r="K17" s="66">
        <f>'Balance Sheet'!J4/'Balance Sheet'!J27</f>
        <v>0.59436173771616019</v>
      </c>
      <c r="L17" s="66">
        <f>'Balance Sheet'!K4/'Balance Sheet'!K27</f>
        <v>0.35373870685013098</v>
      </c>
      <c r="M17" s="66">
        <f>'Balance Sheet'!L4/'Balance Sheet'!L27</f>
        <v>0.30938005100225879</v>
      </c>
      <c r="N17" s="66">
        <f>'Balance Sheet'!M4/'Balance Sheet'!M27</f>
        <v>0.27869524368212223</v>
      </c>
      <c r="O17" s="66">
        <f>'Balance Sheet'!N4/'Balance Sheet'!N27</f>
        <v>0.19754215527249236</v>
      </c>
      <c r="P17" s="66">
        <f>'Balance Sheet'!O4/'Balance Sheet'!O27</f>
        <v>0.47668865650165382</v>
      </c>
      <c r="Q17" s="66">
        <f>'Balance Sheet'!P4/'Balance Sheet'!P27</f>
        <v>0.54323886283447398</v>
      </c>
      <c r="R17" s="66">
        <f>'Balance Sheet'!Q4/'Balance Sheet'!Q27</f>
        <v>0.57794807744659604</v>
      </c>
      <c r="S17" s="66">
        <f>'Balance Sheet'!R4/'Balance Sheet'!R27</f>
        <v>0.36087441563998823</v>
      </c>
      <c r="T17" s="66">
        <f>'Balance Sheet'!S4/'Balance Sheet'!S27</f>
        <v>0.10276540126568467</v>
      </c>
      <c r="U17" s="66">
        <f>'Balance Sheet'!T4/'Balance Sheet'!T27</f>
        <v>0.34381140639788449</v>
      </c>
      <c r="V17" s="66">
        <f>'Balance Sheet'!U4/'Balance Sheet'!U27</f>
        <v>0.50686589647527325</v>
      </c>
      <c r="W17" s="66">
        <f>'Balance Sheet'!V4/'Balance Sheet'!V27</f>
        <v>0.75771543515795137</v>
      </c>
      <c r="X17" s="66">
        <f>'Balance Sheet'!W4/'Balance Sheet'!W27</f>
        <v>0.86788621073399597</v>
      </c>
      <c r="Y17" s="66">
        <f>'Balance Sheet'!X4/'Balance Sheet'!X27</f>
        <v>0.85032918921651424</v>
      </c>
      <c r="Z17" s="66">
        <f>'Balance Sheet'!Y4/'Balance Sheet'!Y27</f>
        <v>0.43995295495382197</v>
      </c>
      <c r="AA17" s="66">
        <f>'Balance Sheet'!Z4/'Balance Sheet'!Z27</f>
        <v>0.56474824846237581</v>
      </c>
      <c r="AB17" s="66">
        <f>'Balance Sheet'!AA4/'Balance Sheet'!AA27</f>
        <v>0.38467203334724953</v>
      </c>
      <c r="AC17" s="66">
        <f>'Balance Sheet'!AB4/'Balance Sheet'!AB27</f>
        <v>0.35575975993143605</v>
      </c>
      <c r="AD17" s="66" t="e">
        <f>'Balance Sheet'!AC4/'Balance Sheet'!AC27</f>
        <v>#DIV/0!</v>
      </c>
      <c r="AE17" s="66" t="e">
        <f>'Balance Sheet'!AD4/'Balance Sheet'!AD27</f>
        <v>#DIV/0!</v>
      </c>
      <c r="AF17" s="66" t="e">
        <f>'Balance Sheet'!AE4/'Balance Sheet'!AE27</f>
        <v>#DIV/0!</v>
      </c>
    </row>
    <row r="18" spans="1:32" ht="14.25">
      <c r="A18" s="70"/>
      <c r="B18" s="95" t="s">
        <v>185</v>
      </c>
      <c r="C18" s="96"/>
      <c r="D18" s="97">
        <f>'Balance Sheet'!C4/'Balance Sheet'!C29</f>
        <v>0.18645607115429125</v>
      </c>
      <c r="E18" s="97">
        <f>'Balance Sheet'!D4/'Balance Sheet'!D29</f>
        <v>0.1724088460513836</v>
      </c>
      <c r="F18" s="97">
        <f>'Balance Sheet'!E4/'Balance Sheet'!E29</f>
        <v>0.11021717159641982</v>
      </c>
      <c r="G18" s="97">
        <f>'Balance Sheet'!F4/'Balance Sheet'!F29</f>
        <v>7.3722443433922438E-2</v>
      </c>
      <c r="H18" s="97">
        <f>'Balance Sheet'!G4/'Balance Sheet'!G29</f>
        <v>4.6687549201570505E-2</v>
      </c>
      <c r="I18" s="97">
        <f>'Balance Sheet'!H4/'Balance Sheet'!H29</f>
        <v>6.5364397952480072E-2</v>
      </c>
      <c r="J18" s="97">
        <f>'Balance Sheet'!I4/'Balance Sheet'!I29</f>
        <v>4.7912647765530531E-2</v>
      </c>
      <c r="K18" s="97">
        <f>'Balance Sheet'!J4/'Balance Sheet'!J29</f>
        <v>7.4696103467639205E-2</v>
      </c>
      <c r="L18" s="97">
        <f>'Balance Sheet'!K4/'Balance Sheet'!K29</f>
        <v>4.1824870887812775E-2</v>
      </c>
      <c r="M18" s="97">
        <f>'Balance Sheet'!L4/'Balance Sheet'!L29</f>
        <v>3.4185071363139551E-2</v>
      </c>
      <c r="N18" s="97">
        <f>'Balance Sheet'!M4/'Balance Sheet'!M29</f>
        <v>2.9610251991178598E-2</v>
      </c>
      <c r="O18" s="97">
        <f>'Balance Sheet'!N4/'Balance Sheet'!N29</f>
        <v>3.3613850469453151E-2</v>
      </c>
      <c r="P18" s="97">
        <f>'Balance Sheet'!O4/'Balance Sheet'!O29</f>
        <v>8.4065004243717642E-2</v>
      </c>
      <c r="Q18" s="97">
        <f>'Balance Sheet'!P4/'Balance Sheet'!P29</f>
        <v>7.5444175091406412E-2</v>
      </c>
      <c r="R18" s="97">
        <f>'Balance Sheet'!Q4/'Balance Sheet'!Q29</f>
        <v>6.3895495868513702E-2</v>
      </c>
      <c r="S18" s="97">
        <f>'Balance Sheet'!R4/'Balance Sheet'!R29</f>
        <v>4.0546406631854534E-2</v>
      </c>
      <c r="T18" s="97">
        <f>'Balance Sheet'!S4/'Balance Sheet'!S29</f>
        <v>1.430184450366534E-2</v>
      </c>
      <c r="U18" s="97">
        <f>'Balance Sheet'!T4/'Balance Sheet'!T29</f>
        <v>4.8923284253739145E-2</v>
      </c>
      <c r="V18" s="97">
        <f>'Balance Sheet'!U4/'Balance Sheet'!U29</f>
        <v>7.0936061522213087E-2</v>
      </c>
      <c r="W18" s="97">
        <f>'Balance Sheet'!V4/'Balance Sheet'!V29</f>
        <v>9.7278106764872946E-2</v>
      </c>
      <c r="X18" s="97">
        <f>'Balance Sheet'!W4/'Balance Sheet'!W29</f>
        <v>0.11759774719722289</v>
      </c>
      <c r="Y18" s="97">
        <f>'Balance Sheet'!X4/'Balance Sheet'!X29</f>
        <v>0.11960196987055047</v>
      </c>
      <c r="Z18" s="97">
        <f>'Balance Sheet'!Y4/'Balance Sheet'!Y29</f>
        <v>5.9713956548044657E-2</v>
      </c>
      <c r="AA18" s="97">
        <f>'Balance Sheet'!Z4/'Balance Sheet'!Z29</f>
        <v>7.2959949905680707E-2</v>
      </c>
      <c r="AB18" s="97">
        <f>'Balance Sheet'!AA4/'Balance Sheet'!AA29</f>
        <v>4.8909813910703835E-2</v>
      </c>
      <c r="AC18" s="97">
        <f>'Balance Sheet'!AB4/'Balance Sheet'!AB29</f>
        <v>6.904369567532373E-2</v>
      </c>
      <c r="AD18" s="97" t="e">
        <f>'Balance Sheet'!AC4/'Balance Sheet'!AC29</f>
        <v>#DIV/0!</v>
      </c>
      <c r="AE18" s="97" t="e">
        <f>'Balance Sheet'!AD4/'Balance Sheet'!AD29</f>
        <v>#DIV/0!</v>
      </c>
      <c r="AF18" s="97" t="e">
        <f>'Balance Sheet'!AE4/'Balance Sheet'!AE29</f>
        <v>#DIV/0!</v>
      </c>
    </row>
    <row r="19" spans="1:32" ht="14.25">
      <c r="A19" s="18"/>
      <c r="B19" s="98" t="s">
        <v>186</v>
      </c>
      <c r="C19" s="100" t="s">
        <v>187</v>
      </c>
      <c r="D19" s="99">
        <f>'Balance Sheet'!C37/'Balance Sheet'!C26</f>
        <v>7.0814797625836038E-3</v>
      </c>
      <c r="E19" s="99">
        <f>'Balance Sheet'!D37/'Balance Sheet'!D26</f>
        <v>5.7309131954424841E-3</v>
      </c>
      <c r="F19" s="99">
        <f>'Balance Sheet'!E37/'Balance Sheet'!E26</f>
        <v>5.653227172187269E-3</v>
      </c>
      <c r="G19" s="99">
        <f>'Balance Sheet'!F37/'Balance Sheet'!F26</f>
        <v>1.6792781658540158E-3</v>
      </c>
      <c r="H19" s="99">
        <f>'Balance Sheet'!G37/'Balance Sheet'!G26</f>
        <v>1.6995371624423635E-3</v>
      </c>
      <c r="I19" s="99">
        <f>'Balance Sheet'!H37/'Balance Sheet'!H26</f>
        <v>1.669369287262371E-3</v>
      </c>
      <c r="J19" s="99">
        <f>'Balance Sheet'!I37/'Balance Sheet'!I26</f>
        <v>0</v>
      </c>
      <c r="K19" s="99">
        <f>'Balance Sheet'!J37/'Balance Sheet'!J26</f>
        <v>3.9091288810184331E-2</v>
      </c>
      <c r="L19" s="99">
        <f>'Balance Sheet'!K37/'Balance Sheet'!K26</f>
        <v>3.8989378305212603E-2</v>
      </c>
      <c r="M19" s="99">
        <f>'Balance Sheet'!L37/'Balance Sheet'!L26</f>
        <v>3.5198311735763071E-2</v>
      </c>
      <c r="N19" s="99">
        <f>'Balance Sheet'!M37/'Balance Sheet'!M26</f>
        <v>3.286324863589872E-2</v>
      </c>
      <c r="O19" s="99">
        <f>'Balance Sheet'!N37/'Balance Sheet'!N26</f>
        <v>3.0847944281607306E-2</v>
      </c>
      <c r="P19" s="99">
        <f>'Balance Sheet'!O37/'Balance Sheet'!O26</f>
        <v>2.7903559692454519E-2</v>
      </c>
      <c r="Q19" s="99">
        <f>'Balance Sheet'!P37/'Balance Sheet'!P26</f>
        <v>2.7098698574006902E-2</v>
      </c>
      <c r="R19" s="99">
        <f>'Balance Sheet'!Q37/'Balance Sheet'!Q26</f>
        <v>2.557842091985035E-2</v>
      </c>
      <c r="S19" s="99">
        <f>'Balance Sheet'!R37/'Balance Sheet'!R26</f>
        <v>2.470796070894183E-2</v>
      </c>
      <c r="T19" s="99">
        <f>'Balance Sheet'!S37/'Balance Sheet'!S26</f>
        <v>2.3675673426024071E-2</v>
      </c>
      <c r="U19" s="99">
        <f>'Balance Sheet'!T37/'Balance Sheet'!T26</f>
        <v>2.2442812707327453E-2</v>
      </c>
      <c r="V19" s="99">
        <f>'Balance Sheet'!U37/'Balance Sheet'!U26</f>
        <v>1.7852425524160682E-2</v>
      </c>
      <c r="W19" s="99">
        <f>'Balance Sheet'!V37/'Balance Sheet'!V26</f>
        <v>3.0535394121693298E-2</v>
      </c>
      <c r="X19" s="99">
        <f>'Balance Sheet'!W37/'Balance Sheet'!W26</f>
        <v>2.3358334958890035E-2</v>
      </c>
      <c r="Y19" s="99">
        <f>'Balance Sheet'!X37/'Balance Sheet'!X26</f>
        <v>1.8528692089448625E-2</v>
      </c>
      <c r="Z19" s="99">
        <f>'Balance Sheet'!Y37/'Balance Sheet'!Y26</f>
        <v>1.0553175493174685E-2</v>
      </c>
      <c r="AA19" s="99">
        <f>'Balance Sheet'!Z37/'Balance Sheet'!Z26</f>
        <v>1.0443120426500481E-2</v>
      </c>
      <c r="AB19" s="99">
        <f>'Balance Sheet'!AA37/'Balance Sheet'!AA26</f>
        <v>3.5105649102030914E-2</v>
      </c>
      <c r="AC19" s="99">
        <f>'Balance Sheet'!AB37/'Balance Sheet'!AB26</f>
        <v>3.3756241872445351E-2</v>
      </c>
      <c r="AD19" s="99" t="e">
        <f>'Balance Sheet'!AC37/'Balance Sheet'!AC26</f>
        <v>#DIV/0!</v>
      </c>
      <c r="AE19" s="99" t="e">
        <f>'Balance Sheet'!AD37/'Balance Sheet'!AD26</f>
        <v>#DIV/0!</v>
      </c>
      <c r="AF19" s="99" t="e">
        <f>'Balance Sheet'!AE37/'Balance Sheet'!AE26</f>
        <v>#DIV/0!</v>
      </c>
    </row>
    <row r="20" spans="1:32" ht="14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6B8DBB-5735-4370-A011-BBC125A370D6}"/>
</file>

<file path=customXml/itemProps2.xml><?xml version="1.0" encoding="utf-8"?>
<ds:datastoreItem xmlns:ds="http://schemas.openxmlformats.org/officeDocument/2006/customXml" ds:itemID="{CAAF5F31-A4E8-401E-9D78-B81B5F2E6146}"/>
</file>

<file path=customXml/itemProps3.xml><?xml version="1.0" encoding="utf-8"?>
<ds:datastoreItem xmlns:ds="http://schemas.openxmlformats.org/officeDocument/2006/customXml" ds:itemID="{F4DB99B6-6B6C-44C7-9687-256B7653D7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Steve Odhiambo</cp:lastModifiedBy>
  <cp:revision/>
  <dcterms:created xsi:type="dcterms:W3CDTF">2020-12-13T08:25:54Z</dcterms:created>
  <dcterms:modified xsi:type="dcterms:W3CDTF">2023-02-22T07:09:53Z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2021-07-29T08:07:27Z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e9af2226-26c1-4587-9b56-55f861b55790</vt:lpwstr>
  </property>
  <property fmtid="{D5CDD505-2E9C-101B-9397-08002B2CF9AE}" pid="9" name="MSIP_Label_6294dde6-398b-42fd-9ab1-a1959fc6b9e2_ContentBits">
    <vt:lpwstr>0</vt:lpwstr>
  </property>
  <property fmtid="{D5CDD505-2E9C-101B-9397-08002B2CF9AE}" pid="10" name="MediaServiceImageTags">
    <vt:lpwstr/>
  </property>
</Properties>
</file>
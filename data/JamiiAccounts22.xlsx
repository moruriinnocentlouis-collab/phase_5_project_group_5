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sodhiambo.SASRA\Desktop\"/>
    </mc:Choice>
  </mc:AlternateContent>
  <xr:revisionPtr revIDLastSave="0" documentId="8_{13A9DEB7-7540-43E1-ABF4-99DF30985F9D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Balance Sheet" sheetId="1" r:id="rId1"/>
    <sheet name="Income Stat." sheetId="2" r:id="rId2"/>
    <sheet name="Form 4" sheetId="5" r:id="rId3"/>
    <sheet name="Financials" sheetId="3" r:id="rId4"/>
    <sheet name="CAE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9" i="4" l="1"/>
  <c r="AE19" i="4"/>
  <c r="AF19" i="4"/>
  <c r="AG19" i="4"/>
  <c r="AH19" i="4"/>
  <c r="AI19" i="4"/>
  <c r="AJ19" i="4"/>
  <c r="E77" i="5"/>
  <c r="E75" i="5"/>
  <c r="D75" i="5"/>
  <c r="G74" i="5"/>
  <c r="G73" i="5"/>
  <c r="G72" i="5"/>
  <c r="G71" i="5"/>
  <c r="G70" i="5"/>
  <c r="AB29" i="2"/>
  <c r="AB26" i="2"/>
  <c r="AB43" i="1"/>
  <c r="AB41" i="1" s="1"/>
  <c r="AA18" i="3" s="1"/>
  <c r="AB46" i="1"/>
  <c r="AA21" i="3" s="1"/>
  <c r="AB36" i="1"/>
  <c r="AB33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B25" i="1"/>
  <c r="AB6" i="1"/>
  <c r="AA34" i="3" s="1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D9" i="4"/>
  <c r="AE9" i="4"/>
  <c r="AF9" i="4"/>
  <c r="AG9" i="4"/>
  <c r="AH9" i="4"/>
  <c r="AI9" i="4"/>
  <c r="AJ9" i="4"/>
  <c r="AK9" i="4"/>
  <c r="AL9" i="4"/>
  <c r="AM9" i="4"/>
  <c r="AN9" i="4"/>
  <c r="AD10" i="4"/>
  <c r="AE10" i="4"/>
  <c r="AF10" i="4"/>
  <c r="AG10" i="4"/>
  <c r="AH10" i="4"/>
  <c r="AI10" i="4"/>
  <c r="AJ10" i="4"/>
  <c r="AK10" i="4"/>
  <c r="AL10" i="4"/>
  <c r="AM10" i="4"/>
  <c r="AN10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D15" i="4"/>
  <c r="AE15" i="4"/>
  <c r="AF15" i="4"/>
  <c r="AG15" i="4"/>
  <c r="AH15" i="4"/>
  <c r="AI15" i="4"/>
  <c r="AJ15" i="4"/>
  <c r="AK15" i="4"/>
  <c r="AL15" i="4"/>
  <c r="AM15" i="4"/>
  <c r="AN15" i="4"/>
  <c r="AD16" i="4"/>
  <c r="AE16" i="4"/>
  <c r="AF16" i="4"/>
  <c r="AG16" i="4"/>
  <c r="AH16" i="4"/>
  <c r="AI16" i="4"/>
  <c r="AJ16" i="4"/>
  <c r="AK16" i="4"/>
  <c r="AL16" i="4"/>
  <c r="AM16" i="4"/>
  <c r="AN16" i="4"/>
  <c r="AD17" i="4"/>
  <c r="AE17" i="4"/>
  <c r="AF17" i="4"/>
  <c r="AG17" i="4"/>
  <c r="AH17" i="4"/>
  <c r="AI17" i="4"/>
  <c r="AJ17" i="4"/>
  <c r="AK17" i="4"/>
  <c r="AL17" i="4"/>
  <c r="AM17" i="4"/>
  <c r="AN17" i="4"/>
  <c r="AD18" i="4"/>
  <c r="AE18" i="4"/>
  <c r="AF18" i="4"/>
  <c r="AG18" i="4"/>
  <c r="AH18" i="4"/>
  <c r="AI18" i="4"/>
  <c r="AJ18" i="4"/>
  <c r="AK18" i="4"/>
  <c r="AL18" i="4"/>
  <c r="AM18" i="4"/>
  <c r="AN18" i="4"/>
  <c r="AK19" i="4"/>
  <c r="AL19" i="4"/>
  <c r="AM19" i="4"/>
  <c r="AN19" i="4"/>
  <c r="AB5" i="3"/>
  <c r="AD14" i="4" s="1"/>
  <c r="AC5" i="3"/>
  <c r="AE14" i="4" s="1"/>
  <c r="AD5" i="3"/>
  <c r="AF14" i="4" s="1"/>
  <c r="AE5" i="3"/>
  <c r="AG14" i="4" s="1"/>
  <c r="AF5" i="3"/>
  <c r="AH14" i="4" s="1"/>
  <c r="AG5" i="3"/>
  <c r="AI14" i="4" s="1"/>
  <c r="AH5" i="3"/>
  <c r="AJ14" i="4" s="1"/>
  <c r="AI5" i="3"/>
  <c r="AK14" i="4" s="1"/>
  <c r="AJ5" i="3"/>
  <c r="AL14" i="4" s="1"/>
  <c r="AK5" i="3"/>
  <c r="AM14" i="4" s="1"/>
  <c r="AL5" i="3"/>
  <c r="AN14" i="4" s="1"/>
  <c r="AM5" i="3"/>
  <c r="AN5" i="3"/>
  <c r="AO5" i="3"/>
  <c r="AP5" i="3"/>
  <c r="AQ5" i="3"/>
  <c r="AR5" i="3"/>
  <c r="AS5" i="3"/>
  <c r="AT5" i="3"/>
  <c r="AU5" i="3"/>
  <c r="AV5" i="3"/>
  <c r="AW5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T21" i="3"/>
  <c r="U21" i="3"/>
  <c r="V21" i="3"/>
  <c r="W21" i="3"/>
  <c r="X21" i="3"/>
  <c r="Y21" i="3"/>
  <c r="Z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T29" i="3"/>
  <c r="U29" i="3"/>
  <c r="V29" i="3"/>
  <c r="W29" i="3"/>
  <c r="X29" i="3"/>
  <c r="Y29" i="3"/>
  <c r="Z29" i="3"/>
  <c r="AA29" i="3"/>
  <c r="AB29" i="3"/>
  <c r="AC29" i="3"/>
  <c r="AC25" i="3" s="1"/>
  <c r="AD29" i="3"/>
  <c r="AD25" i="3" s="1"/>
  <c r="AE29" i="3"/>
  <c r="AE25" i="3" s="1"/>
  <c r="AF29" i="3"/>
  <c r="AG29" i="3"/>
  <c r="AH29" i="3"/>
  <c r="AI29" i="3"/>
  <c r="AJ29" i="3"/>
  <c r="AK29" i="3"/>
  <c r="AK25" i="3" s="1"/>
  <c r="AL29" i="3"/>
  <c r="AL25" i="3" s="1"/>
  <c r="AM29" i="3"/>
  <c r="AM25" i="3" s="1"/>
  <c r="AN29" i="3"/>
  <c r="AO29" i="3"/>
  <c r="AP29" i="3"/>
  <c r="AQ29" i="3"/>
  <c r="AR29" i="3"/>
  <c r="AS29" i="3"/>
  <c r="AS25" i="3" s="1"/>
  <c r="AT29" i="3"/>
  <c r="AT25" i="3" s="1"/>
  <c r="AU29" i="3"/>
  <c r="AU25" i="3" s="1"/>
  <c r="AV29" i="3"/>
  <c r="AW29" i="3"/>
  <c r="T31" i="3"/>
  <c r="U31" i="3"/>
  <c r="V31" i="3"/>
  <c r="W31" i="3"/>
  <c r="X31" i="3"/>
  <c r="Y31" i="3"/>
  <c r="Z31" i="3"/>
  <c r="AA31" i="3"/>
  <c r="AB31" i="3"/>
  <c r="AD13" i="4" s="1"/>
  <c r="AC31" i="3"/>
  <c r="AD31" i="3"/>
  <c r="AE31" i="3"/>
  <c r="AF31" i="3"/>
  <c r="AG31" i="3"/>
  <c r="AH31" i="3"/>
  <c r="AI31" i="3"/>
  <c r="AJ31" i="3"/>
  <c r="AL13" i="4" s="1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T32" i="3"/>
  <c r="T30" i="3" s="1"/>
  <c r="U32" i="3"/>
  <c r="V32" i="3"/>
  <c r="W32" i="3"/>
  <c r="X32" i="3"/>
  <c r="Y32" i="3"/>
  <c r="Z32" i="3"/>
  <c r="AA32" i="3"/>
  <c r="AB32" i="3"/>
  <c r="AB30" i="3" s="1"/>
  <c r="AC32" i="3"/>
  <c r="AD32" i="3"/>
  <c r="AE32" i="3"/>
  <c r="AF32" i="3"/>
  <c r="AG32" i="3"/>
  <c r="AH32" i="3"/>
  <c r="AI32" i="3"/>
  <c r="AJ32" i="3"/>
  <c r="AJ30" i="3" s="1"/>
  <c r="AK32" i="3"/>
  <c r="AL32" i="3"/>
  <c r="AM32" i="3"/>
  <c r="AN32" i="3"/>
  <c r="AO32" i="3"/>
  <c r="AP32" i="3"/>
  <c r="AQ32" i="3"/>
  <c r="AR32" i="3"/>
  <c r="AR30" i="3" s="1"/>
  <c r="AS32" i="3"/>
  <c r="AT32" i="3"/>
  <c r="AU32" i="3"/>
  <c r="AV32" i="3"/>
  <c r="AW32" i="3"/>
  <c r="T34" i="3"/>
  <c r="U34" i="3"/>
  <c r="V34" i="3"/>
  <c r="W34" i="3"/>
  <c r="X34" i="3"/>
  <c r="Y34" i="3"/>
  <c r="Z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T42" i="3"/>
  <c r="U42" i="3"/>
  <c r="V42" i="3"/>
  <c r="W42" i="3"/>
  <c r="X42" i="3"/>
  <c r="Y42" i="3"/>
  <c r="Z42" i="3"/>
  <c r="AA42" i="3"/>
  <c r="AB42" i="3"/>
  <c r="AC42" i="3"/>
  <c r="AD42" i="3"/>
  <c r="AD38" i="3" s="1"/>
  <c r="AE42" i="3"/>
  <c r="AF42" i="3"/>
  <c r="AG42" i="3"/>
  <c r="AH42" i="3"/>
  <c r="AH38" i="3" s="1"/>
  <c r="AI42" i="3"/>
  <c r="AI38" i="3" s="1"/>
  <c r="AJ42" i="3"/>
  <c r="AK42" i="3"/>
  <c r="AL42" i="3"/>
  <c r="AL38" i="3" s="1"/>
  <c r="AM42" i="3"/>
  <c r="AN42" i="3"/>
  <c r="AO42" i="3"/>
  <c r="AP42" i="3"/>
  <c r="AP38" i="3" s="1"/>
  <c r="AQ42" i="3"/>
  <c r="AQ38" i="3" s="1"/>
  <c r="AR42" i="3"/>
  <c r="AS42" i="3"/>
  <c r="AT42" i="3"/>
  <c r="AT38" i="3" s="1"/>
  <c r="AU42" i="3"/>
  <c r="AV42" i="3"/>
  <c r="AW42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B48" i="3"/>
  <c r="AB44" i="3" s="1"/>
  <c r="AC48" i="3"/>
  <c r="AC44" i="3" s="1"/>
  <c r="AD48" i="3"/>
  <c r="AE48" i="3"/>
  <c r="AF48" i="3"/>
  <c r="AG48" i="3"/>
  <c r="AH48" i="3"/>
  <c r="AI48" i="3"/>
  <c r="AJ48" i="3"/>
  <c r="AJ44" i="3" s="1"/>
  <c r="AK48" i="3"/>
  <c r="AK44" i="3" s="1"/>
  <c r="AL48" i="3"/>
  <c r="AM48" i="3"/>
  <c r="AN48" i="3"/>
  <c r="AO48" i="3"/>
  <c r="AP48" i="3"/>
  <c r="AQ48" i="3"/>
  <c r="AR48" i="3"/>
  <c r="AR44" i="3" s="1"/>
  <c r="AS48" i="3"/>
  <c r="AS44" i="3" s="1"/>
  <c r="AT48" i="3"/>
  <c r="AU48" i="3"/>
  <c r="AV48" i="3"/>
  <c r="AW48" i="3"/>
  <c r="U8" i="2"/>
  <c r="V8" i="2"/>
  <c r="W8" i="2"/>
  <c r="X8" i="2"/>
  <c r="Y8" i="2"/>
  <c r="Z8" i="2"/>
  <c r="AA8" i="2"/>
  <c r="AB8" i="2"/>
  <c r="AB4" i="2" s="1"/>
  <c r="U13" i="2"/>
  <c r="V13" i="2"/>
  <c r="W13" i="2"/>
  <c r="X13" i="2"/>
  <c r="Y13" i="2"/>
  <c r="Z13" i="2"/>
  <c r="AA13" i="2"/>
  <c r="AB13" i="2"/>
  <c r="U21" i="2"/>
  <c r="V21" i="2"/>
  <c r="W21" i="2"/>
  <c r="X21" i="2"/>
  <c r="Y21" i="2"/>
  <c r="Z21" i="2"/>
  <c r="AA21" i="2"/>
  <c r="AB21" i="2"/>
  <c r="D30" i="2"/>
  <c r="E30" i="2"/>
  <c r="F30" i="2"/>
  <c r="G30" i="2"/>
  <c r="H30" i="2"/>
  <c r="I30" i="2"/>
  <c r="J30" i="2"/>
  <c r="K30" i="2"/>
  <c r="L30" i="2"/>
  <c r="M30" i="2"/>
  <c r="N30" i="2"/>
  <c r="C30" i="2"/>
  <c r="U24" i="2"/>
  <c r="V24" i="2"/>
  <c r="W24" i="2"/>
  <c r="X24" i="2"/>
  <c r="Y24" i="2"/>
  <c r="Z24" i="2"/>
  <c r="AA24" i="2"/>
  <c r="AB24" i="2"/>
  <c r="U44" i="1"/>
  <c r="V44" i="1"/>
  <c r="W44" i="1"/>
  <c r="X44" i="1"/>
  <c r="Y44" i="1"/>
  <c r="Z44" i="1"/>
  <c r="AA44" i="1"/>
  <c r="AB44" i="1"/>
  <c r="U41" i="1"/>
  <c r="V41" i="1"/>
  <c r="W41" i="1"/>
  <c r="X41" i="1"/>
  <c r="Y41" i="1"/>
  <c r="Z41" i="1"/>
  <c r="AA41" i="1"/>
  <c r="U30" i="1"/>
  <c r="V30" i="1"/>
  <c r="W30" i="1"/>
  <c r="X30" i="1"/>
  <c r="Y30" i="1"/>
  <c r="Z30" i="1"/>
  <c r="AA30" i="1"/>
  <c r="AB30" i="1"/>
  <c r="U31" i="1"/>
  <c r="V31" i="1"/>
  <c r="W31" i="1"/>
  <c r="X31" i="1"/>
  <c r="Y31" i="1"/>
  <c r="Z31" i="1"/>
  <c r="AA31" i="1"/>
  <c r="AB31" i="1"/>
  <c r="U20" i="1"/>
  <c r="V20" i="1"/>
  <c r="W20" i="1"/>
  <c r="X20" i="1"/>
  <c r="Y20" i="1"/>
  <c r="Z20" i="1"/>
  <c r="AA20" i="1"/>
  <c r="AB20" i="1"/>
  <c r="AB13" i="1"/>
  <c r="U13" i="1"/>
  <c r="V13" i="1"/>
  <c r="W13" i="1"/>
  <c r="X13" i="1"/>
  <c r="Y13" i="1"/>
  <c r="Z13" i="1"/>
  <c r="AA13" i="1"/>
  <c r="U8" i="1"/>
  <c r="T26" i="3" s="1"/>
  <c r="T25" i="3" s="1"/>
  <c r="V8" i="1"/>
  <c r="U26" i="3" s="1"/>
  <c r="W8" i="1"/>
  <c r="V26" i="3" s="1"/>
  <c r="X8" i="1"/>
  <c r="W26" i="3" s="1"/>
  <c r="Y8" i="1"/>
  <c r="X26" i="3" s="1"/>
  <c r="X25" i="3" s="1"/>
  <c r="Z8" i="1"/>
  <c r="Y26" i="3" s="1"/>
  <c r="Y25" i="3" s="1"/>
  <c r="AA8" i="1"/>
  <c r="Z26" i="3" s="1"/>
  <c r="Z25" i="3" s="1"/>
  <c r="AB8" i="1"/>
  <c r="AA26" i="3" s="1"/>
  <c r="AA25" i="3" s="1"/>
  <c r="U4" i="1"/>
  <c r="V17" i="4" s="1"/>
  <c r="V4" i="1"/>
  <c r="W4" i="1"/>
  <c r="X4" i="1"/>
  <c r="Y4" i="1"/>
  <c r="Z4" i="1"/>
  <c r="AA4" i="1"/>
  <c r="AB4" i="1"/>
  <c r="AC17" i="4" s="1"/>
  <c r="E63" i="5"/>
  <c r="E61" i="5"/>
  <c r="D61" i="5"/>
  <c r="G60" i="5"/>
  <c r="G59" i="5"/>
  <c r="G58" i="5"/>
  <c r="G57" i="5"/>
  <c r="G56" i="5"/>
  <c r="G61" i="5" s="1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B32" i="3"/>
  <c r="B31" i="3"/>
  <c r="O19" i="3"/>
  <c r="P19" i="3"/>
  <c r="Q19" i="3"/>
  <c r="R19" i="3"/>
  <c r="S19" i="3"/>
  <c r="O20" i="3"/>
  <c r="P20" i="3"/>
  <c r="Q20" i="3"/>
  <c r="R20" i="3"/>
  <c r="S20" i="3"/>
  <c r="O21" i="3"/>
  <c r="P21" i="3"/>
  <c r="Q21" i="3"/>
  <c r="R21" i="3"/>
  <c r="S21" i="3"/>
  <c r="Q11" i="4"/>
  <c r="R11" i="4"/>
  <c r="S11" i="4"/>
  <c r="T11" i="4"/>
  <c r="U11" i="4"/>
  <c r="V11" i="4"/>
  <c r="W11" i="4"/>
  <c r="P7" i="3"/>
  <c r="Q7" i="3"/>
  <c r="R7" i="3"/>
  <c r="S7" i="3"/>
  <c r="P8" i="3"/>
  <c r="Q8" i="3"/>
  <c r="R8" i="3"/>
  <c r="S8" i="3"/>
  <c r="P9" i="3"/>
  <c r="Q9" i="3"/>
  <c r="R9" i="3"/>
  <c r="S9" i="3"/>
  <c r="P27" i="3"/>
  <c r="Q27" i="3"/>
  <c r="R27" i="3"/>
  <c r="S27" i="3"/>
  <c r="P28" i="3"/>
  <c r="Q28" i="3"/>
  <c r="R28" i="3"/>
  <c r="S28" i="3"/>
  <c r="P29" i="3"/>
  <c r="Q29" i="3"/>
  <c r="R29" i="3"/>
  <c r="S29" i="3"/>
  <c r="R30" i="3"/>
  <c r="P34" i="3"/>
  <c r="Q34" i="3"/>
  <c r="R34" i="3"/>
  <c r="S34" i="3"/>
  <c r="P35" i="3"/>
  <c r="Q35" i="3"/>
  <c r="R35" i="3"/>
  <c r="S35" i="3"/>
  <c r="P39" i="3"/>
  <c r="Q39" i="3"/>
  <c r="R39" i="3"/>
  <c r="S39" i="3"/>
  <c r="P40" i="3"/>
  <c r="Q40" i="3"/>
  <c r="R40" i="3"/>
  <c r="S40" i="3"/>
  <c r="P42" i="3"/>
  <c r="Q42" i="3"/>
  <c r="R42" i="3"/>
  <c r="S42" i="3"/>
  <c r="P45" i="3"/>
  <c r="Q45" i="3"/>
  <c r="R45" i="3"/>
  <c r="S45" i="3"/>
  <c r="P46" i="3"/>
  <c r="Q46" i="3"/>
  <c r="R46" i="3"/>
  <c r="S46" i="3"/>
  <c r="P47" i="3"/>
  <c r="Q47" i="3"/>
  <c r="R47" i="3"/>
  <c r="S47" i="3"/>
  <c r="P24" i="2"/>
  <c r="Q24" i="2"/>
  <c r="R24" i="2"/>
  <c r="S24" i="2"/>
  <c r="T24" i="2"/>
  <c r="P21" i="2"/>
  <c r="Q21" i="2"/>
  <c r="R21" i="2"/>
  <c r="S21" i="2"/>
  <c r="T21" i="2"/>
  <c r="P13" i="2"/>
  <c r="Q13" i="2"/>
  <c r="R13" i="2"/>
  <c r="S13" i="2"/>
  <c r="T13" i="2"/>
  <c r="P8" i="2"/>
  <c r="Q8" i="2"/>
  <c r="P41" i="3" s="1"/>
  <c r="R8" i="2"/>
  <c r="Q41" i="3" s="1"/>
  <c r="S8" i="2"/>
  <c r="R41" i="3" s="1"/>
  <c r="T8" i="2"/>
  <c r="P4" i="2"/>
  <c r="P20" i="2" s="1"/>
  <c r="P30" i="2" s="1"/>
  <c r="P34" i="2" s="1"/>
  <c r="P36" i="2" s="1"/>
  <c r="P38" i="2" s="1"/>
  <c r="Q4" i="2"/>
  <c r="Q20" i="2" s="1"/>
  <c r="Q30" i="2" s="1"/>
  <c r="R4" i="2"/>
  <c r="R20" i="2" s="1"/>
  <c r="R30" i="2" s="1"/>
  <c r="S4" i="2"/>
  <c r="S20" i="2" s="1"/>
  <c r="S30" i="2" s="1"/>
  <c r="P44" i="1"/>
  <c r="Q44" i="1"/>
  <c r="R44" i="1"/>
  <c r="S44" i="1"/>
  <c r="T44" i="1"/>
  <c r="P41" i="1"/>
  <c r="Q41" i="1"/>
  <c r="R41" i="1"/>
  <c r="S41" i="1"/>
  <c r="T41" i="1"/>
  <c r="P30" i="1"/>
  <c r="Q30" i="1"/>
  <c r="R30" i="1"/>
  <c r="S30" i="1"/>
  <c r="T30" i="1"/>
  <c r="P31" i="1"/>
  <c r="Q31" i="1"/>
  <c r="R31" i="1"/>
  <c r="S31" i="1"/>
  <c r="T31" i="1"/>
  <c r="P20" i="1"/>
  <c r="Q20" i="1"/>
  <c r="R20" i="1"/>
  <c r="S20" i="1"/>
  <c r="T20" i="1"/>
  <c r="P13" i="1"/>
  <c r="Q13" i="1"/>
  <c r="R13" i="1"/>
  <c r="S13" i="1"/>
  <c r="T13" i="1"/>
  <c r="P8" i="1"/>
  <c r="Q8" i="1"/>
  <c r="P26" i="3" s="1"/>
  <c r="R8" i="1"/>
  <c r="Q26" i="3" s="1"/>
  <c r="S8" i="1"/>
  <c r="R26" i="3" s="1"/>
  <c r="T8" i="1"/>
  <c r="S26" i="3" s="1"/>
  <c r="P4" i="1"/>
  <c r="Q4" i="1"/>
  <c r="R4" i="1"/>
  <c r="S4" i="1"/>
  <c r="T4" i="1"/>
  <c r="E49" i="5"/>
  <c r="D49" i="5"/>
  <c r="D50" i="5" s="1"/>
  <c r="G48" i="5"/>
  <c r="G47" i="5"/>
  <c r="G46" i="5"/>
  <c r="G45" i="5"/>
  <c r="O31" i="2"/>
  <c r="O24" i="2"/>
  <c r="O21" i="2"/>
  <c r="O13" i="2"/>
  <c r="O8" i="2"/>
  <c r="O5" i="2"/>
  <c r="O4" i="2" s="1"/>
  <c r="O20" i="2" s="1"/>
  <c r="J44" i="1"/>
  <c r="K44" i="1"/>
  <c r="L44" i="1"/>
  <c r="M44" i="1"/>
  <c r="N44" i="1"/>
  <c r="O44" i="1"/>
  <c r="J41" i="1"/>
  <c r="K41" i="1"/>
  <c r="K50" i="1" s="1"/>
  <c r="L41" i="1"/>
  <c r="L50" i="1" s="1"/>
  <c r="M41" i="1"/>
  <c r="M50" i="1" s="1"/>
  <c r="N41" i="1"/>
  <c r="O41" i="1"/>
  <c r="J30" i="1"/>
  <c r="K30" i="1"/>
  <c r="L30" i="1"/>
  <c r="M30" i="1"/>
  <c r="N30" i="1"/>
  <c r="O30" i="1"/>
  <c r="J31" i="1"/>
  <c r="K31" i="1"/>
  <c r="L31" i="1"/>
  <c r="M31" i="1"/>
  <c r="N31" i="1"/>
  <c r="O31" i="1"/>
  <c r="O38" i="1" s="1"/>
  <c r="J20" i="1"/>
  <c r="K20" i="1"/>
  <c r="L20" i="1"/>
  <c r="M20" i="1"/>
  <c r="N20" i="1"/>
  <c r="O20" i="1"/>
  <c r="D16" i="1"/>
  <c r="E16" i="1"/>
  <c r="C16" i="1"/>
  <c r="J13" i="1"/>
  <c r="K13" i="1"/>
  <c r="L13" i="1"/>
  <c r="M13" i="1"/>
  <c r="N13" i="1"/>
  <c r="O13" i="1"/>
  <c r="J8" i="1"/>
  <c r="K8" i="1"/>
  <c r="L8" i="1"/>
  <c r="M8" i="1"/>
  <c r="N8" i="1"/>
  <c r="O8" i="1"/>
  <c r="J4" i="1"/>
  <c r="K4" i="1"/>
  <c r="L4" i="1"/>
  <c r="L26" i="1" s="1"/>
  <c r="M4" i="1"/>
  <c r="N4" i="1"/>
  <c r="O4" i="1"/>
  <c r="J11" i="4"/>
  <c r="J15" i="4"/>
  <c r="J16" i="4"/>
  <c r="H7" i="3"/>
  <c r="H8" i="3"/>
  <c r="H9" i="3"/>
  <c r="H16" i="3"/>
  <c r="H19" i="3"/>
  <c r="H20" i="3"/>
  <c r="H21" i="3"/>
  <c r="H27" i="3"/>
  <c r="H28" i="3"/>
  <c r="H29" i="3"/>
  <c r="H34" i="3"/>
  <c r="H35" i="3"/>
  <c r="H39" i="3"/>
  <c r="H40" i="3"/>
  <c r="H41" i="3"/>
  <c r="H42" i="3"/>
  <c r="H45" i="3"/>
  <c r="H46" i="3"/>
  <c r="H47" i="3"/>
  <c r="H48" i="3"/>
  <c r="I4" i="1"/>
  <c r="I8" i="1"/>
  <c r="H26" i="3" s="1"/>
  <c r="I13" i="1"/>
  <c r="I20" i="1"/>
  <c r="I30" i="1"/>
  <c r="I31" i="1"/>
  <c r="I41" i="1"/>
  <c r="H18" i="3" s="1"/>
  <c r="I44" i="1"/>
  <c r="E38" i="5"/>
  <c r="D36" i="5"/>
  <c r="E36" i="5"/>
  <c r="G32" i="5"/>
  <c r="G33" i="5"/>
  <c r="G34" i="5"/>
  <c r="G35" i="5"/>
  <c r="G31" i="5"/>
  <c r="G36" i="5" s="1"/>
  <c r="C28" i="3"/>
  <c r="D28" i="3"/>
  <c r="E28" i="3"/>
  <c r="F28" i="3"/>
  <c r="G28" i="3"/>
  <c r="B28" i="3"/>
  <c r="F16" i="3"/>
  <c r="G16" i="3"/>
  <c r="F19" i="3"/>
  <c r="G19" i="3"/>
  <c r="F20" i="3"/>
  <c r="G20" i="3"/>
  <c r="F21" i="3"/>
  <c r="G21" i="3"/>
  <c r="G44" i="1"/>
  <c r="H44" i="1"/>
  <c r="G41" i="1"/>
  <c r="H41" i="1"/>
  <c r="G30" i="1"/>
  <c r="H30" i="1"/>
  <c r="G31" i="1"/>
  <c r="H31" i="1"/>
  <c r="G13" i="1"/>
  <c r="H13" i="1"/>
  <c r="G8" i="1"/>
  <c r="H8" i="1"/>
  <c r="G4" i="1"/>
  <c r="H4" i="1"/>
  <c r="G20" i="1"/>
  <c r="H20" i="1"/>
  <c r="B16" i="3"/>
  <c r="C16" i="3"/>
  <c r="D16" i="3"/>
  <c r="E16" i="3"/>
  <c r="B19" i="3"/>
  <c r="C19" i="3"/>
  <c r="D19" i="3"/>
  <c r="E19" i="3"/>
  <c r="B20" i="3"/>
  <c r="C20" i="3"/>
  <c r="D20" i="3"/>
  <c r="E20" i="3"/>
  <c r="B21" i="3"/>
  <c r="C21" i="3"/>
  <c r="D21" i="3"/>
  <c r="E21" i="3"/>
  <c r="C4" i="1"/>
  <c r="D4" i="1"/>
  <c r="E4" i="1"/>
  <c r="F4" i="1"/>
  <c r="C8" i="1"/>
  <c r="D8" i="1"/>
  <c r="E8" i="1"/>
  <c r="F8" i="1"/>
  <c r="C13" i="1"/>
  <c r="D13" i="1"/>
  <c r="E13" i="1"/>
  <c r="F13" i="1"/>
  <c r="C20" i="1"/>
  <c r="D20" i="1"/>
  <c r="E20" i="1"/>
  <c r="F20" i="1"/>
  <c r="D26" i="1"/>
  <c r="E19" i="4" s="1"/>
  <c r="C30" i="1"/>
  <c r="D30" i="1"/>
  <c r="E30" i="1"/>
  <c r="F30" i="1"/>
  <c r="C31" i="1"/>
  <c r="D31" i="1"/>
  <c r="E31" i="1"/>
  <c r="F31" i="1"/>
  <c r="E38" i="1"/>
  <c r="F38" i="1"/>
  <c r="C41" i="1"/>
  <c r="B18" i="3" s="1"/>
  <c r="D41" i="1"/>
  <c r="C18" i="3" s="1"/>
  <c r="E41" i="1"/>
  <c r="D18" i="3" s="1"/>
  <c r="F41" i="1"/>
  <c r="E18" i="3" s="1"/>
  <c r="C44" i="1"/>
  <c r="D44" i="1"/>
  <c r="E44" i="1"/>
  <c r="F44" i="1"/>
  <c r="F50" i="1" s="1"/>
  <c r="F51" i="1" s="1"/>
  <c r="D38" i="1" l="1"/>
  <c r="C26" i="1"/>
  <c r="D19" i="4" s="1"/>
  <c r="I38" i="1"/>
  <c r="O30" i="2"/>
  <c r="O34" i="2" s="1"/>
  <c r="O36" i="2" s="1"/>
  <c r="O38" i="2" s="1"/>
  <c r="R48" i="3"/>
  <c r="R44" i="3" s="1"/>
  <c r="S34" i="2"/>
  <c r="S36" i="2" s="1"/>
  <c r="S38" i="2" s="1"/>
  <c r="Q48" i="3"/>
  <c r="Q44" i="3" s="1"/>
  <c r="R34" i="2"/>
  <c r="R36" i="2" s="1"/>
  <c r="R38" i="2" s="1"/>
  <c r="P48" i="3"/>
  <c r="Q34" i="2"/>
  <c r="Q36" i="2" s="1"/>
  <c r="Q38" i="2" s="1"/>
  <c r="Q30" i="3"/>
  <c r="AB17" i="4"/>
  <c r="AB18" i="4"/>
  <c r="AA17" i="4"/>
  <c r="AA18" i="4"/>
  <c r="Z26" i="1"/>
  <c r="AA19" i="4" s="1"/>
  <c r="Z17" i="4"/>
  <c r="Z18" i="4"/>
  <c r="Y26" i="1"/>
  <c r="Z19" i="4" s="1"/>
  <c r="Y17" i="4"/>
  <c r="Y18" i="4"/>
  <c r="X26" i="1"/>
  <c r="X17" i="4"/>
  <c r="X18" i="4"/>
  <c r="W26" i="1"/>
  <c r="W17" i="4"/>
  <c r="V26" i="1"/>
  <c r="AA38" i="1"/>
  <c r="Z38" i="1"/>
  <c r="Y38" i="1"/>
  <c r="X38" i="1"/>
  <c r="W38" i="1"/>
  <c r="V38" i="1"/>
  <c r="U38" i="1"/>
  <c r="Z18" i="3"/>
  <c r="AA50" i="1"/>
  <c r="Y18" i="3"/>
  <c r="Z50" i="1"/>
  <c r="X18" i="3"/>
  <c r="X15" i="3" s="1"/>
  <c r="X13" i="3" s="1"/>
  <c r="Y50" i="1"/>
  <c r="W18" i="3"/>
  <c r="X50" i="1"/>
  <c r="V18" i="3"/>
  <c r="W50" i="1"/>
  <c r="U18" i="3"/>
  <c r="V50" i="1"/>
  <c r="T18" i="3"/>
  <c r="T15" i="3" s="1"/>
  <c r="T13" i="3" s="1"/>
  <c r="T14" i="3" s="1"/>
  <c r="U50" i="1"/>
  <c r="Z41" i="3"/>
  <c r="AA4" i="2"/>
  <c r="Y41" i="3"/>
  <c r="Y38" i="3" s="1"/>
  <c r="Z4" i="2"/>
  <c r="X41" i="3"/>
  <c r="Y4" i="2"/>
  <c r="W41" i="3"/>
  <c r="X4" i="2"/>
  <c r="V41" i="3"/>
  <c r="W4" i="2"/>
  <c r="U41" i="3"/>
  <c r="V4" i="2"/>
  <c r="T41" i="3"/>
  <c r="U4" i="2"/>
  <c r="AQ44" i="3"/>
  <c r="AI44" i="3"/>
  <c r="AV44" i="3"/>
  <c r="AN44" i="3"/>
  <c r="AF44" i="3"/>
  <c r="AW44" i="3"/>
  <c r="AU44" i="3"/>
  <c r="AT44" i="3"/>
  <c r="AP44" i="3"/>
  <c r="AO44" i="3"/>
  <c r="AM44" i="3"/>
  <c r="AL44" i="3"/>
  <c r="AH44" i="3"/>
  <c r="AG44" i="3"/>
  <c r="AE44" i="3"/>
  <c r="AD44" i="3"/>
  <c r="Z38" i="3"/>
  <c r="V38" i="3"/>
  <c r="AW38" i="3"/>
  <c r="AO38" i="3"/>
  <c r="AG38" i="3"/>
  <c r="AV38" i="3"/>
  <c r="AU38" i="3"/>
  <c r="AS38" i="3"/>
  <c r="AR38" i="3"/>
  <c r="AN38" i="3"/>
  <c r="AM38" i="3"/>
  <c r="AK38" i="3"/>
  <c r="AJ38" i="3"/>
  <c r="AF38" i="3"/>
  <c r="AE38" i="3"/>
  <c r="AC38" i="3"/>
  <c r="AB38" i="3"/>
  <c r="X38" i="3"/>
  <c r="W38" i="3"/>
  <c r="U38" i="3"/>
  <c r="T38" i="3"/>
  <c r="AW30" i="3"/>
  <c r="AV30" i="3"/>
  <c r="AU30" i="3"/>
  <c r="AT30" i="3"/>
  <c r="AS30" i="3"/>
  <c r="AQ30" i="3"/>
  <c r="AP30" i="3"/>
  <c r="AO30" i="3"/>
  <c r="AN30" i="3"/>
  <c r="AM30" i="3"/>
  <c r="AL30" i="3"/>
  <c r="AN13" i="4"/>
  <c r="AK30" i="3"/>
  <c r="AM13" i="4"/>
  <c r="AI30" i="3"/>
  <c r="AK13" i="4"/>
  <c r="AH30" i="3"/>
  <c r="AJ13" i="4"/>
  <c r="AI13" i="4"/>
  <c r="AG30" i="3"/>
  <c r="AH13" i="4"/>
  <c r="AF30" i="3"/>
  <c r="AG13" i="4"/>
  <c r="AE30" i="3"/>
  <c r="AD30" i="3"/>
  <c r="AF13" i="4"/>
  <c r="AC30" i="3"/>
  <c r="AE13" i="4"/>
  <c r="Z30" i="3"/>
  <c r="Y30" i="3"/>
  <c r="X30" i="3"/>
  <c r="W30" i="3"/>
  <c r="V30" i="3"/>
  <c r="U30" i="3"/>
  <c r="W25" i="3"/>
  <c r="V25" i="3"/>
  <c r="U25" i="3"/>
  <c r="AW25" i="3"/>
  <c r="AV25" i="3"/>
  <c r="AR25" i="3"/>
  <c r="AQ25" i="3"/>
  <c r="AP25" i="3"/>
  <c r="AO25" i="3"/>
  <c r="AN25" i="3"/>
  <c r="AJ25" i="3"/>
  <c r="AI25" i="3"/>
  <c r="AH25" i="3"/>
  <c r="AG25" i="3"/>
  <c r="AF25" i="3"/>
  <c r="AB25" i="3"/>
  <c r="AQ15" i="3"/>
  <c r="AQ13" i="3" s="1"/>
  <c r="AQ14" i="3" s="1"/>
  <c r="AP15" i="3"/>
  <c r="AP13" i="3" s="1"/>
  <c r="AP14" i="3" s="1"/>
  <c r="AI15" i="3"/>
  <c r="AH15" i="3"/>
  <c r="Z15" i="3"/>
  <c r="Z13" i="3" s="1"/>
  <c r="Z14" i="3" s="1"/>
  <c r="AW15" i="3"/>
  <c r="AW13" i="3" s="1"/>
  <c r="AW14" i="3" s="1"/>
  <c r="AO15" i="3"/>
  <c r="AO13" i="3" s="1"/>
  <c r="AO14" i="3" s="1"/>
  <c r="AG15" i="3"/>
  <c r="Y15" i="3"/>
  <c r="Y13" i="3" s="1"/>
  <c r="AV15" i="3"/>
  <c r="AV13" i="3" s="1"/>
  <c r="AV14" i="3" s="1"/>
  <c r="AN15" i="3"/>
  <c r="AN13" i="3" s="1"/>
  <c r="AN14" i="3" s="1"/>
  <c r="AF15" i="3"/>
  <c r="AU15" i="3"/>
  <c r="AU13" i="3" s="1"/>
  <c r="AU14" i="3" s="1"/>
  <c r="AT15" i="3"/>
  <c r="AT13" i="3" s="1"/>
  <c r="AT14" i="3" s="1"/>
  <c r="AS15" i="3"/>
  <c r="AS13" i="3" s="1"/>
  <c r="AS14" i="3" s="1"/>
  <c r="AR15" i="3"/>
  <c r="AR13" i="3" s="1"/>
  <c r="AR14" i="3" s="1"/>
  <c r="AM15" i="3"/>
  <c r="AM13" i="3" s="1"/>
  <c r="AM14" i="3" s="1"/>
  <c r="AL15" i="3"/>
  <c r="AK15" i="3"/>
  <c r="AJ15" i="3"/>
  <c r="AE15" i="3"/>
  <c r="AD15" i="3"/>
  <c r="AC15" i="3"/>
  <c r="AB15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Z6" i="3"/>
  <c r="Y6" i="3"/>
  <c r="X6" i="3"/>
  <c r="W6" i="3"/>
  <c r="V6" i="3"/>
  <c r="U6" i="3"/>
  <c r="T6" i="3"/>
  <c r="W15" i="3"/>
  <c r="V15" i="3"/>
  <c r="U15" i="3"/>
  <c r="U13" i="3" s="1"/>
  <c r="U14" i="3" s="1"/>
  <c r="AA26" i="1"/>
  <c r="AB19" i="4" s="1"/>
  <c r="U26" i="1"/>
  <c r="V19" i="4" s="1"/>
  <c r="G75" i="5"/>
  <c r="E78" i="5"/>
  <c r="AC16" i="4"/>
  <c r="AA41" i="3"/>
  <c r="AA38" i="3" s="1"/>
  <c r="AB20" i="2"/>
  <c r="AC15" i="4"/>
  <c r="AB50" i="1"/>
  <c r="AB38" i="1"/>
  <c r="AA10" i="3" s="1"/>
  <c r="AA6" i="3"/>
  <c r="V10" i="4"/>
  <c r="T5" i="3"/>
  <c r="V13" i="4" s="1"/>
  <c r="AB9" i="4"/>
  <c r="AB10" i="4"/>
  <c r="Z5" i="3"/>
  <c r="X10" i="4"/>
  <c r="X9" i="4"/>
  <c r="K26" i="1"/>
  <c r="Y5" i="3"/>
  <c r="X5" i="3"/>
  <c r="AA10" i="4"/>
  <c r="AA9" i="4"/>
  <c r="W5" i="3"/>
  <c r="Z10" i="4"/>
  <c r="Z9" i="4"/>
  <c r="Y10" i="4"/>
  <c r="AA30" i="3"/>
  <c r="AB26" i="1"/>
  <c r="AC19" i="4" s="1"/>
  <c r="AC18" i="4"/>
  <c r="V13" i="3"/>
  <c r="W13" i="3"/>
  <c r="Y6" i="4"/>
  <c r="Z12" i="4"/>
  <c r="AA15" i="3"/>
  <c r="AA6" i="4"/>
  <c r="AB5" i="4"/>
  <c r="AA5" i="4"/>
  <c r="Z5" i="4"/>
  <c r="AA4" i="4"/>
  <c r="AB3" i="4"/>
  <c r="AB12" i="4"/>
  <c r="Z4" i="4"/>
  <c r="V9" i="4"/>
  <c r="W18" i="4"/>
  <c r="V18" i="4"/>
  <c r="R25" i="3"/>
  <c r="H10" i="3"/>
  <c r="J50" i="1"/>
  <c r="I50" i="1"/>
  <c r="I51" i="1" s="1"/>
  <c r="N26" i="1"/>
  <c r="J26" i="1"/>
  <c r="M26" i="1"/>
  <c r="N50" i="1"/>
  <c r="P25" i="3"/>
  <c r="P30" i="3"/>
  <c r="U17" i="4"/>
  <c r="U18" i="4"/>
  <c r="T26" i="1"/>
  <c r="U9" i="4" s="1"/>
  <c r="T17" i="4"/>
  <c r="T18" i="4"/>
  <c r="S26" i="1"/>
  <c r="T9" i="4" s="1"/>
  <c r="S17" i="4"/>
  <c r="S18" i="4"/>
  <c r="R26" i="1"/>
  <c r="S9" i="4" s="1"/>
  <c r="R17" i="4"/>
  <c r="R18" i="4"/>
  <c r="Q26" i="1"/>
  <c r="R9" i="4" s="1"/>
  <c r="Q17" i="4"/>
  <c r="Q18" i="4"/>
  <c r="P26" i="1"/>
  <c r="Q9" i="4" s="1"/>
  <c r="T38" i="1"/>
  <c r="S10" i="3" s="1"/>
  <c r="S38" i="1"/>
  <c r="R38" i="1"/>
  <c r="Q38" i="1"/>
  <c r="P38" i="1"/>
  <c r="S18" i="3"/>
  <c r="S15" i="3" s="1"/>
  <c r="T50" i="1"/>
  <c r="R18" i="3"/>
  <c r="R15" i="3" s="1"/>
  <c r="R13" i="3" s="1"/>
  <c r="S50" i="1"/>
  <c r="Q18" i="3"/>
  <c r="Q15" i="3" s="1"/>
  <c r="R50" i="1"/>
  <c r="P18" i="3"/>
  <c r="P15" i="3" s="1"/>
  <c r="P13" i="3" s="1"/>
  <c r="P14" i="3" s="1"/>
  <c r="Q50" i="1"/>
  <c r="O18" i="3"/>
  <c r="P50" i="1"/>
  <c r="T4" i="2"/>
  <c r="T20" i="2" s="1"/>
  <c r="T30" i="2" s="1"/>
  <c r="S41" i="3"/>
  <c r="U15" i="4"/>
  <c r="U16" i="4"/>
  <c r="T15" i="4"/>
  <c r="T16" i="4"/>
  <c r="S15" i="4"/>
  <c r="S16" i="4"/>
  <c r="R15" i="4"/>
  <c r="R16" i="4"/>
  <c r="Q15" i="4"/>
  <c r="Q16" i="4"/>
  <c r="P44" i="3"/>
  <c r="P38" i="3"/>
  <c r="S38" i="3"/>
  <c r="R38" i="3"/>
  <c r="Q38" i="3"/>
  <c r="S25" i="3"/>
  <c r="Q25" i="3"/>
  <c r="S6" i="3"/>
  <c r="R6" i="3"/>
  <c r="Q6" i="3"/>
  <c r="P6" i="3"/>
  <c r="S30" i="3"/>
  <c r="E64" i="5"/>
  <c r="E39" i="5"/>
  <c r="J17" i="4"/>
  <c r="J18" i="4"/>
  <c r="I26" i="1"/>
  <c r="J9" i="4" s="1"/>
  <c r="N38" i="1"/>
  <c r="N51" i="1" s="1"/>
  <c r="M38" i="1"/>
  <c r="M51" i="1" s="1"/>
  <c r="L38" i="1"/>
  <c r="L51" i="1" s="1"/>
  <c r="K38" i="1"/>
  <c r="K51" i="1" s="1"/>
  <c r="J38" i="1"/>
  <c r="J51" i="1" s="1"/>
  <c r="O50" i="1"/>
  <c r="E52" i="5"/>
  <c r="G49" i="5"/>
  <c r="G50" i="5" s="1"/>
  <c r="E50" i="5"/>
  <c r="E53" i="5" s="1"/>
  <c r="O51" i="1"/>
  <c r="O26" i="1"/>
  <c r="J10" i="4"/>
  <c r="H44" i="3"/>
  <c r="H38" i="3"/>
  <c r="H30" i="3"/>
  <c r="H25" i="3"/>
  <c r="H15" i="3"/>
  <c r="H13" i="3" s="1"/>
  <c r="H6" i="3"/>
  <c r="H38" i="1"/>
  <c r="G38" i="1"/>
  <c r="G18" i="3"/>
  <c r="H50" i="1"/>
  <c r="F18" i="3"/>
  <c r="G50" i="1"/>
  <c r="G51" i="1" s="1"/>
  <c r="H26" i="1"/>
  <c r="I19" i="4" s="1"/>
  <c r="G26" i="1"/>
  <c r="H19" i="4" s="1"/>
  <c r="E50" i="1"/>
  <c r="E51" i="1" s="1"/>
  <c r="D50" i="1"/>
  <c r="D51" i="1" s="1"/>
  <c r="C50" i="1"/>
  <c r="C38" i="1"/>
  <c r="C51" i="1" s="1"/>
  <c r="E26" i="1"/>
  <c r="F19" i="4" s="1"/>
  <c r="F26" i="1"/>
  <c r="G19" i="4" s="1"/>
  <c r="S48" i="3" l="1"/>
  <c r="S44" i="3" s="1"/>
  <c r="T34" i="2"/>
  <c r="T36" i="2" s="1"/>
  <c r="T38" i="2" s="1"/>
  <c r="AB30" i="2"/>
  <c r="AB34" i="2" s="1"/>
  <c r="AB36" i="2" s="1"/>
  <c r="AB38" i="2" s="1"/>
  <c r="AB13" i="3"/>
  <c r="AD6" i="4"/>
  <c r="AC13" i="3"/>
  <c r="AE6" i="4"/>
  <c r="AD13" i="3"/>
  <c r="AF6" i="4"/>
  <c r="AE13" i="3"/>
  <c r="AG6" i="4"/>
  <c r="AJ13" i="3"/>
  <c r="AL6" i="4"/>
  <c r="AK13" i="3"/>
  <c r="AM6" i="4"/>
  <c r="AL13" i="3"/>
  <c r="AN6" i="4"/>
  <c r="AF13" i="3"/>
  <c r="AH6" i="4"/>
  <c r="Y14" i="3"/>
  <c r="AA3" i="4"/>
  <c r="AA12" i="4"/>
  <c r="AG13" i="3"/>
  <c r="AI6" i="4"/>
  <c r="AH13" i="3"/>
  <c r="AJ6" i="4"/>
  <c r="AI13" i="3"/>
  <c r="AK6" i="4"/>
  <c r="V16" i="4"/>
  <c r="U20" i="2"/>
  <c r="V20" i="2"/>
  <c r="W16" i="4"/>
  <c r="W20" i="2"/>
  <c r="X16" i="4"/>
  <c r="X20" i="2"/>
  <c r="Y16" i="4"/>
  <c r="Z16" i="4"/>
  <c r="Y20" i="2"/>
  <c r="Z20" i="2"/>
  <c r="AA16" i="4"/>
  <c r="AA20" i="2"/>
  <c r="AB16" i="4"/>
  <c r="X14" i="3"/>
  <c r="Z3" i="4"/>
  <c r="T10" i="3"/>
  <c r="U51" i="1"/>
  <c r="U10" i="3"/>
  <c r="V51" i="1"/>
  <c r="V10" i="3"/>
  <c r="W51" i="1"/>
  <c r="W10" i="3"/>
  <c r="X51" i="1"/>
  <c r="X10" i="3"/>
  <c r="Y51" i="1"/>
  <c r="Y10" i="3"/>
  <c r="Z51" i="1"/>
  <c r="Z10" i="3"/>
  <c r="AA51" i="1"/>
  <c r="W19" i="4"/>
  <c r="U5" i="3"/>
  <c r="W13" i="4" s="1"/>
  <c r="W9" i="4"/>
  <c r="W10" i="4"/>
  <c r="V5" i="3"/>
  <c r="X19" i="4"/>
  <c r="Y9" i="4"/>
  <c r="Y19" i="4"/>
  <c r="AA48" i="3"/>
  <c r="AA44" i="3" s="1"/>
  <c r="AB51" i="1"/>
  <c r="AA13" i="4"/>
  <c r="Z13" i="4"/>
  <c r="AB13" i="4"/>
  <c r="AB6" i="4"/>
  <c r="AB4" i="4"/>
  <c r="Z6" i="4"/>
  <c r="Y13" i="4"/>
  <c r="AC10" i="4"/>
  <c r="AC9" i="4"/>
  <c r="AA5" i="3"/>
  <c r="AC6" i="4" s="1"/>
  <c r="AA13" i="3"/>
  <c r="V14" i="3"/>
  <c r="X5" i="4"/>
  <c r="X12" i="4"/>
  <c r="X3" i="4"/>
  <c r="X4" i="4"/>
  <c r="W14" i="3"/>
  <c r="Y5" i="4"/>
  <c r="Y4" i="4"/>
  <c r="Y12" i="4"/>
  <c r="Y3" i="4"/>
  <c r="R12" i="4"/>
  <c r="R5" i="4"/>
  <c r="R3" i="4"/>
  <c r="T51" i="1"/>
  <c r="H5" i="3"/>
  <c r="J19" i="4"/>
  <c r="R14" i="3"/>
  <c r="T5" i="4"/>
  <c r="T3" i="4"/>
  <c r="T12" i="4"/>
  <c r="V6" i="4"/>
  <c r="W6" i="4"/>
  <c r="P51" i="1"/>
  <c r="P10" i="3"/>
  <c r="Q51" i="1"/>
  <c r="Q10" i="3"/>
  <c r="R51" i="1"/>
  <c r="R10" i="3"/>
  <c r="S51" i="1"/>
  <c r="Q10" i="4"/>
  <c r="Q19" i="4"/>
  <c r="R10" i="4"/>
  <c r="R19" i="4"/>
  <c r="P5" i="3"/>
  <c r="S10" i="4"/>
  <c r="S19" i="4"/>
  <c r="Q5" i="3"/>
  <c r="S6" i="4" s="1"/>
  <c r="T10" i="4"/>
  <c r="T19" i="4"/>
  <c r="R5" i="3"/>
  <c r="U10" i="4"/>
  <c r="U19" i="4"/>
  <c r="S5" i="3"/>
  <c r="U6" i="4" s="1"/>
  <c r="S13" i="3"/>
  <c r="Q13" i="3"/>
  <c r="H14" i="3"/>
  <c r="J3" i="4"/>
  <c r="J5" i="4"/>
  <c r="J12" i="4"/>
  <c r="J4" i="4"/>
  <c r="J14" i="4"/>
  <c r="J6" i="4"/>
  <c r="J13" i="4"/>
  <c r="H51" i="1"/>
  <c r="X13" i="4" l="1"/>
  <c r="X6" i="4"/>
  <c r="AA30" i="2"/>
  <c r="AB15" i="4"/>
  <c r="Z30" i="2"/>
  <c r="AA15" i="4"/>
  <c r="Y30" i="2"/>
  <c r="Z15" i="4"/>
  <c r="X30" i="2"/>
  <c r="Y15" i="4"/>
  <c r="W30" i="2"/>
  <c r="X15" i="4"/>
  <c r="V30" i="2"/>
  <c r="W15" i="4"/>
  <c r="U30" i="2"/>
  <c r="V15" i="4"/>
  <c r="AI14" i="3"/>
  <c r="AK3" i="4"/>
  <c r="AK4" i="4"/>
  <c r="AK5" i="4"/>
  <c r="AK12" i="4"/>
  <c r="AH14" i="3"/>
  <c r="AJ3" i="4"/>
  <c r="AJ4" i="4"/>
  <c r="AJ5" i="4"/>
  <c r="AJ12" i="4"/>
  <c r="AG14" i="3"/>
  <c r="AI3" i="4"/>
  <c r="AI4" i="4"/>
  <c r="AI5" i="4"/>
  <c r="AI12" i="4"/>
  <c r="AF14" i="3"/>
  <c r="AH3" i="4"/>
  <c r="AH4" i="4"/>
  <c r="AH5" i="4"/>
  <c r="AH12" i="4"/>
  <c r="AL14" i="3"/>
  <c r="AN3" i="4"/>
  <c r="AN4" i="4"/>
  <c r="AN5" i="4"/>
  <c r="AN12" i="4"/>
  <c r="AK14" i="3"/>
  <c r="AM3" i="4"/>
  <c r="AM4" i="4"/>
  <c r="AM5" i="4"/>
  <c r="AM12" i="4"/>
  <c r="AJ14" i="3"/>
  <c r="AL3" i="4"/>
  <c r="AL4" i="4"/>
  <c r="AL5" i="4"/>
  <c r="AL12" i="4"/>
  <c r="AE14" i="3"/>
  <c r="AG3" i="4"/>
  <c r="AG4" i="4"/>
  <c r="AG5" i="4"/>
  <c r="AG12" i="4"/>
  <c r="AD14" i="3"/>
  <c r="AF3" i="4"/>
  <c r="AF4" i="4"/>
  <c r="AF5" i="4"/>
  <c r="AF12" i="4"/>
  <c r="AC14" i="3"/>
  <c r="AE3" i="4"/>
  <c r="AE4" i="4"/>
  <c r="AE5" i="4"/>
  <c r="AE12" i="4"/>
  <c r="AB14" i="3"/>
  <c r="AD3" i="4"/>
  <c r="AD4" i="4"/>
  <c r="AD5" i="4"/>
  <c r="AD12" i="4"/>
  <c r="AC14" i="4"/>
  <c r="AC13" i="4"/>
  <c r="AA14" i="3"/>
  <c r="AC12" i="4"/>
  <c r="AC3" i="4"/>
  <c r="AC4" i="4"/>
  <c r="AC5" i="4"/>
  <c r="U14" i="4"/>
  <c r="U13" i="4"/>
  <c r="T14" i="4"/>
  <c r="T13" i="4"/>
  <c r="T4" i="4"/>
  <c r="T6" i="4"/>
  <c r="S14" i="4"/>
  <c r="S13" i="4"/>
  <c r="R14" i="4"/>
  <c r="R13" i="4"/>
  <c r="R4" i="4"/>
  <c r="R6" i="4"/>
  <c r="W3" i="4"/>
  <c r="W4" i="4"/>
  <c r="W5" i="4"/>
  <c r="W12" i="4"/>
  <c r="V3" i="4"/>
  <c r="V12" i="4"/>
  <c r="V4" i="4"/>
  <c r="V5" i="4"/>
  <c r="Q14" i="3"/>
  <c r="S4" i="4"/>
  <c r="S5" i="4"/>
  <c r="S3" i="4"/>
  <c r="S12" i="4"/>
  <c r="S14" i="3"/>
  <c r="U3" i="4"/>
  <c r="U12" i="4"/>
  <c r="U5" i="4"/>
  <c r="U4" i="4"/>
  <c r="Q1" i="1"/>
  <c r="I19" i="3"/>
  <c r="J19" i="3"/>
  <c r="K19" i="3"/>
  <c r="L19" i="3"/>
  <c r="M19" i="3"/>
  <c r="N19" i="3"/>
  <c r="I21" i="3"/>
  <c r="J21" i="3"/>
  <c r="K21" i="3"/>
  <c r="L21" i="3"/>
  <c r="M21" i="3"/>
  <c r="N21" i="3"/>
  <c r="I20" i="3"/>
  <c r="J20" i="3"/>
  <c r="K20" i="3"/>
  <c r="L20" i="3"/>
  <c r="M20" i="3"/>
  <c r="N20" i="3"/>
  <c r="C7" i="3"/>
  <c r="D7" i="3"/>
  <c r="E7" i="3"/>
  <c r="F7" i="3"/>
  <c r="G7" i="3"/>
  <c r="I7" i="3"/>
  <c r="J7" i="3"/>
  <c r="K7" i="3"/>
  <c r="L7" i="3"/>
  <c r="M7" i="3"/>
  <c r="N7" i="3"/>
  <c r="O7" i="3"/>
  <c r="C8" i="3"/>
  <c r="D8" i="3"/>
  <c r="E8" i="3"/>
  <c r="F8" i="3"/>
  <c r="G8" i="3"/>
  <c r="I8" i="3"/>
  <c r="J8" i="3"/>
  <c r="K8" i="3"/>
  <c r="K6" i="3" s="1"/>
  <c r="L8" i="3"/>
  <c r="M8" i="3"/>
  <c r="N8" i="3"/>
  <c r="O8" i="3"/>
  <c r="C9" i="3"/>
  <c r="D9" i="3"/>
  <c r="E9" i="3"/>
  <c r="F9" i="3"/>
  <c r="G9" i="3"/>
  <c r="I9" i="3"/>
  <c r="J9" i="3"/>
  <c r="K9" i="3"/>
  <c r="L9" i="3"/>
  <c r="M9" i="3"/>
  <c r="N9" i="3"/>
  <c r="O9" i="3"/>
  <c r="B9" i="3"/>
  <c r="B8" i="3"/>
  <c r="B7" i="3"/>
  <c r="O5" i="3"/>
  <c r="E11" i="4"/>
  <c r="F11" i="4"/>
  <c r="G11" i="4"/>
  <c r="H11" i="4"/>
  <c r="I11" i="4"/>
  <c r="K11" i="4"/>
  <c r="L11" i="4"/>
  <c r="M11" i="4"/>
  <c r="N11" i="4"/>
  <c r="O11" i="4"/>
  <c r="P11" i="4"/>
  <c r="E15" i="4"/>
  <c r="F15" i="4"/>
  <c r="G15" i="4"/>
  <c r="H15" i="4"/>
  <c r="I15" i="4"/>
  <c r="K15" i="4"/>
  <c r="L15" i="4"/>
  <c r="M15" i="4"/>
  <c r="N15" i="4"/>
  <c r="O15" i="4"/>
  <c r="P15" i="4"/>
  <c r="E16" i="4"/>
  <c r="F16" i="4"/>
  <c r="G16" i="4"/>
  <c r="H16" i="4"/>
  <c r="I16" i="4"/>
  <c r="K16" i="4"/>
  <c r="L16" i="4"/>
  <c r="M16" i="4"/>
  <c r="N16" i="4"/>
  <c r="O16" i="4"/>
  <c r="P16" i="4"/>
  <c r="O10" i="3"/>
  <c r="O26" i="3"/>
  <c r="O27" i="3"/>
  <c r="O28" i="3"/>
  <c r="O29" i="3"/>
  <c r="O34" i="3"/>
  <c r="O35" i="3"/>
  <c r="O39" i="3"/>
  <c r="O40" i="3"/>
  <c r="O41" i="3"/>
  <c r="O42" i="3"/>
  <c r="O45" i="3"/>
  <c r="O46" i="3"/>
  <c r="O47" i="3"/>
  <c r="O48" i="3"/>
  <c r="M10" i="3"/>
  <c r="N10" i="3"/>
  <c r="M16" i="3"/>
  <c r="N16" i="3"/>
  <c r="M27" i="3"/>
  <c r="N27" i="3"/>
  <c r="M28" i="3"/>
  <c r="N28" i="3"/>
  <c r="M29" i="3"/>
  <c r="N29" i="3"/>
  <c r="M34" i="3"/>
  <c r="N34" i="3"/>
  <c r="M35" i="3"/>
  <c r="N35" i="3"/>
  <c r="M39" i="3"/>
  <c r="N39" i="3"/>
  <c r="M40" i="3"/>
  <c r="N40" i="3"/>
  <c r="M41" i="3"/>
  <c r="N41" i="3"/>
  <c r="M42" i="3"/>
  <c r="N42" i="3"/>
  <c r="M45" i="3"/>
  <c r="N45" i="3"/>
  <c r="M46" i="3"/>
  <c r="N46" i="3"/>
  <c r="M47" i="3"/>
  <c r="N47" i="3"/>
  <c r="M48" i="3"/>
  <c r="N48" i="3"/>
  <c r="C10" i="3"/>
  <c r="D10" i="3"/>
  <c r="E10" i="3"/>
  <c r="F10" i="3"/>
  <c r="G10" i="3"/>
  <c r="I10" i="3"/>
  <c r="J10" i="3"/>
  <c r="K10" i="3"/>
  <c r="L10" i="3"/>
  <c r="I16" i="3"/>
  <c r="J16" i="3"/>
  <c r="K16" i="3"/>
  <c r="L16" i="3"/>
  <c r="C27" i="3"/>
  <c r="D27" i="3"/>
  <c r="E27" i="3"/>
  <c r="F27" i="3"/>
  <c r="G27" i="3"/>
  <c r="I27" i="3"/>
  <c r="J27" i="3"/>
  <c r="K27" i="3"/>
  <c r="L27" i="3"/>
  <c r="I28" i="3"/>
  <c r="J28" i="3"/>
  <c r="K28" i="3"/>
  <c r="L28" i="3"/>
  <c r="C29" i="3"/>
  <c r="D29" i="3"/>
  <c r="E29" i="3"/>
  <c r="F29" i="3"/>
  <c r="G29" i="3"/>
  <c r="I29" i="3"/>
  <c r="J29" i="3"/>
  <c r="K29" i="3"/>
  <c r="L29" i="3"/>
  <c r="C34" i="3"/>
  <c r="D34" i="3"/>
  <c r="E34" i="3"/>
  <c r="F34" i="3"/>
  <c r="G34" i="3"/>
  <c r="I34" i="3"/>
  <c r="J34" i="3"/>
  <c r="K34" i="3"/>
  <c r="L34" i="3"/>
  <c r="C35" i="3"/>
  <c r="D35" i="3"/>
  <c r="E35" i="3"/>
  <c r="F35" i="3"/>
  <c r="G35" i="3"/>
  <c r="I35" i="3"/>
  <c r="J35" i="3"/>
  <c r="K35" i="3"/>
  <c r="L35" i="3"/>
  <c r="C39" i="3"/>
  <c r="D39" i="3"/>
  <c r="E39" i="3"/>
  <c r="F39" i="3"/>
  <c r="G39" i="3"/>
  <c r="I39" i="3"/>
  <c r="J39" i="3"/>
  <c r="K39" i="3"/>
  <c r="L39" i="3"/>
  <c r="C40" i="3"/>
  <c r="D40" i="3"/>
  <c r="E40" i="3"/>
  <c r="F40" i="3"/>
  <c r="G40" i="3"/>
  <c r="I40" i="3"/>
  <c r="J40" i="3"/>
  <c r="K40" i="3"/>
  <c r="L40" i="3"/>
  <c r="C41" i="3"/>
  <c r="D41" i="3"/>
  <c r="E41" i="3"/>
  <c r="F41" i="3"/>
  <c r="G41" i="3"/>
  <c r="I41" i="3"/>
  <c r="J41" i="3"/>
  <c r="K41" i="3"/>
  <c r="L41" i="3"/>
  <c r="C42" i="3"/>
  <c r="D42" i="3"/>
  <c r="E42" i="3"/>
  <c r="F42" i="3"/>
  <c r="G42" i="3"/>
  <c r="I42" i="3"/>
  <c r="J42" i="3"/>
  <c r="K42" i="3"/>
  <c r="L42" i="3"/>
  <c r="C45" i="3"/>
  <c r="D45" i="3"/>
  <c r="E45" i="3"/>
  <c r="F45" i="3"/>
  <c r="G45" i="3"/>
  <c r="I45" i="3"/>
  <c r="J45" i="3"/>
  <c r="K45" i="3"/>
  <c r="L45" i="3"/>
  <c r="C46" i="3"/>
  <c r="D46" i="3"/>
  <c r="E46" i="3"/>
  <c r="F46" i="3"/>
  <c r="G46" i="3"/>
  <c r="I46" i="3"/>
  <c r="J46" i="3"/>
  <c r="K46" i="3"/>
  <c r="L46" i="3"/>
  <c r="C47" i="3"/>
  <c r="D47" i="3"/>
  <c r="E47" i="3"/>
  <c r="F47" i="3"/>
  <c r="G47" i="3"/>
  <c r="I47" i="3"/>
  <c r="J47" i="3"/>
  <c r="K47" i="3"/>
  <c r="L47" i="3"/>
  <c r="C48" i="3"/>
  <c r="D48" i="3"/>
  <c r="E48" i="3"/>
  <c r="F48" i="3"/>
  <c r="G48" i="3"/>
  <c r="I48" i="3"/>
  <c r="J48" i="3"/>
  <c r="K48" i="3"/>
  <c r="L48" i="3"/>
  <c r="I18" i="3"/>
  <c r="J18" i="3"/>
  <c r="L18" i="3"/>
  <c r="M18" i="3"/>
  <c r="C26" i="3"/>
  <c r="D26" i="3"/>
  <c r="E26" i="3"/>
  <c r="F26" i="3"/>
  <c r="G26" i="3"/>
  <c r="I26" i="3"/>
  <c r="J26" i="3"/>
  <c r="K26" i="3"/>
  <c r="L26" i="3"/>
  <c r="M26" i="3"/>
  <c r="E18" i="4"/>
  <c r="F18" i="4"/>
  <c r="K17" i="4"/>
  <c r="N17" i="4"/>
  <c r="O18" i="4"/>
  <c r="N18" i="3"/>
  <c r="N26" i="3"/>
  <c r="P17" i="4"/>
  <c r="T48" i="3" l="1"/>
  <c r="T44" i="3" s="1"/>
  <c r="U34" i="2"/>
  <c r="U36" i="2" s="1"/>
  <c r="U38" i="2" s="1"/>
  <c r="V14" i="4" s="1"/>
  <c r="V34" i="2"/>
  <c r="V36" i="2" s="1"/>
  <c r="V38" i="2" s="1"/>
  <c r="W14" i="4" s="1"/>
  <c r="U48" i="3"/>
  <c r="U44" i="3" s="1"/>
  <c r="W34" i="2"/>
  <c r="W36" i="2" s="1"/>
  <c r="W38" i="2" s="1"/>
  <c r="X14" i="4" s="1"/>
  <c r="V48" i="3"/>
  <c r="V44" i="3" s="1"/>
  <c r="X34" i="2"/>
  <c r="X36" i="2" s="1"/>
  <c r="X38" i="2" s="1"/>
  <c r="Y14" i="4" s="1"/>
  <c r="W48" i="3"/>
  <c r="W44" i="3" s="1"/>
  <c r="Y34" i="2"/>
  <c r="Y36" i="2" s="1"/>
  <c r="Y38" i="2" s="1"/>
  <c r="Z14" i="4" s="1"/>
  <c r="X48" i="3"/>
  <c r="X44" i="3" s="1"/>
  <c r="Z34" i="2"/>
  <c r="Z36" i="2" s="1"/>
  <c r="Z38" i="2" s="1"/>
  <c r="AA14" i="4" s="1"/>
  <c r="Y48" i="3"/>
  <c r="Y44" i="3" s="1"/>
  <c r="AA34" i="2"/>
  <c r="AA36" i="2" s="1"/>
  <c r="AA38" i="2" s="1"/>
  <c r="AB14" i="4" s="1"/>
  <c r="Z48" i="3"/>
  <c r="Z44" i="3" s="1"/>
  <c r="Q14" i="4"/>
  <c r="Q13" i="4"/>
  <c r="F30" i="3"/>
  <c r="I30" i="3"/>
  <c r="K30" i="3"/>
  <c r="L6" i="3"/>
  <c r="M25" i="3"/>
  <c r="M30" i="3"/>
  <c r="E25" i="3"/>
  <c r="J30" i="3"/>
  <c r="N44" i="3"/>
  <c r="G38" i="3"/>
  <c r="M44" i="3"/>
  <c r="I6" i="3"/>
  <c r="G25" i="3"/>
  <c r="C25" i="3"/>
  <c r="J5" i="3"/>
  <c r="I25" i="3"/>
  <c r="D25" i="3"/>
  <c r="L30" i="3"/>
  <c r="G30" i="3"/>
  <c r="N18" i="4"/>
  <c r="N25" i="3"/>
  <c r="F25" i="3"/>
  <c r="E6" i="3"/>
  <c r="E10" i="4"/>
  <c r="M9" i="4"/>
  <c r="H10" i="4"/>
  <c r="N19" i="4"/>
  <c r="O17" i="4"/>
  <c r="G6" i="3"/>
  <c r="D15" i="3"/>
  <c r="D13" i="3" s="1"/>
  <c r="O30" i="3"/>
  <c r="O25" i="3"/>
  <c r="M18" i="4"/>
  <c r="O6" i="3"/>
  <c r="F6" i="3"/>
  <c r="D9" i="4"/>
  <c r="K9" i="4"/>
  <c r="P18" i="4"/>
  <c r="L18" i="4"/>
  <c r="M17" i="4"/>
  <c r="F15" i="3"/>
  <c r="F13" i="3" s="1"/>
  <c r="I10" i="4"/>
  <c r="E30" i="3"/>
  <c r="M5" i="3"/>
  <c r="O13" i="4" s="1"/>
  <c r="L17" i="4"/>
  <c r="E15" i="3"/>
  <c r="E13" i="3" s="1"/>
  <c r="M38" i="3"/>
  <c r="L44" i="3"/>
  <c r="J38" i="3"/>
  <c r="K38" i="3"/>
  <c r="D30" i="3"/>
  <c r="C30" i="3"/>
  <c r="G9" i="4"/>
  <c r="G10" i="4"/>
  <c r="E5" i="3"/>
  <c r="G13" i="4" s="1"/>
  <c r="I15" i="3"/>
  <c r="I18" i="4"/>
  <c r="H17" i="4"/>
  <c r="B5" i="3"/>
  <c r="M6" i="3"/>
  <c r="D10" i="4"/>
  <c r="N30" i="3"/>
  <c r="H18" i="4"/>
  <c r="G17" i="4"/>
  <c r="C6" i="3"/>
  <c r="J25" i="3"/>
  <c r="F10" i="4"/>
  <c r="K18" i="4"/>
  <c r="I17" i="4"/>
  <c r="D5" i="3"/>
  <c r="F14" i="4" s="1"/>
  <c r="N6" i="3"/>
  <c r="L25" i="3"/>
  <c r="G18" i="4"/>
  <c r="F17" i="4"/>
  <c r="K18" i="3"/>
  <c r="K15" i="3" s="1"/>
  <c r="K13" i="3" s="1"/>
  <c r="K25" i="3"/>
  <c r="E17" i="4"/>
  <c r="J6" i="3"/>
  <c r="L15" i="3"/>
  <c r="L13" i="3" s="1"/>
  <c r="N10" i="4"/>
  <c r="D6" i="3"/>
  <c r="P9" i="4"/>
  <c r="L5" i="3"/>
  <c r="E44" i="3"/>
  <c r="G44" i="3"/>
  <c r="D44" i="3"/>
  <c r="O38" i="3"/>
  <c r="F44" i="3"/>
  <c r="C44" i="3"/>
  <c r="N38" i="3"/>
  <c r="I44" i="3"/>
  <c r="L38" i="3"/>
  <c r="K44" i="3"/>
  <c r="J44" i="3"/>
  <c r="D38" i="3"/>
  <c r="F38" i="3"/>
  <c r="C38" i="3"/>
  <c r="E38" i="3"/>
  <c r="I38" i="3"/>
  <c r="O44" i="3"/>
  <c r="O15" i="3"/>
  <c r="Q6" i="4" s="1"/>
  <c r="N15" i="3"/>
  <c r="N13" i="3" s="1"/>
  <c r="G15" i="3"/>
  <c r="G13" i="3" s="1"/>
  <c r="C15" i="3"/>
  <c r="C13" i="3" s="1"/>
  <c r="M15" i="3"/>
  <c r="M13" i="3" s="1"/>
  <c r="J15" i="3"/>
  <c r="D17" i="4"/>
  <c r="B47" i="3"/>
  <c r="B46" i="3"/>
  <c r="B45" i="3"/>
  <c r="B42" i="3"/>
  <c r="B40" i="3"/>
  <c r="B39" i="3"/>
  <c r="B29" i="3"/>
  <c r="B27" i="3"/>
  <c r="B26" i="3"/>
  <c r="B10" i="3"/>
  <c r="G6" i="4" l="1"/>
  <c r="F6" i="4"/>
  <c r="I13" i="3"/>
  <c r="K12" i="4" s="1"/>
  <c r="H3" i="4"/>
  <c r="O19" i="4"/>
  <c r="O10" i="4"/>
  <c r="L9" i="4"/>
  <c r="K19" i="4"/>
  <c r="L10" i="4"/>
  <c r="K10" i="4"/>
  <c r="F5" i="3"/>
  <c r="H9" i="4"/>
  <c r="L19" i="4"/>
  <c r="O14" i="4"/>
  <c r="I5" i="3"/>
  <c r="K4" i="4" s="1"/>
  <c r="N4" i="4"/>
  <c r="M10" i="4"/>
  <c r="G5" i="3"/>
  <c r="I6" i="4" s="1"/>
  <c r="I9" i="4"/>
  <c r="K5" i="3"/>
  <c r="M6" i="4" s="1"/>
  <c r="M19" i="4"/>
  <c r="E9" i="4"/>
  <c r="N6" i="4"/>
  <c r="N12" i="4"/>
  <c r="F9" i="4"/>
  <c r="C5" i="3"/>
  <c r="O9" i="4"/>
  <c r="N9" i="4"/>
  <c r="O6" i="4"/>
  <c r="I14" i="3"/>
  <c r="G14" i="4"/>
  <c r="I3" i="4"/>
  <c r="N13" i="4"/>
  <c r="N14" i="4"/>
  <c r="P19" i="4"/>
  <c r="N5" i="3"/>
  <c r="P4" i="4" s="1"/>
  <c r="P10" i="4"/>
  <c r="N14" i="3"/>
  <c r="P3" i="4"/>
  <c r="D14" i="3"/>
  <c r="F3" i="4"/>
  <c r="F13" i="4"/>
  <c r="E14" i="3"/>
  <c r="G3" i="4"/>
  <c r="L14" i="3"/>
  <c r="N3" i="4"/>
  <c r="N5" i="4"/>
  <c r="L14" i="4"/>
  <c r="L13" i="4"/>
  <c r="M5" i="4"/>
  <c r="M3" i="4"/>
  <c r="O5" i="4"/>
  <c r="O3" i="4"/>
  <c r="O13" i="3"/>
  <c r="F12" i="4"/>
  <c r="F4" i="4"/>
  <c r="P12" i="4"/>
  <c r="G12" i="4"/>
  <c r="P5" i="4"/>
  <c r="G4" i="4"/>
  <c r="G5" i="4"/>
  <c r="F5" i="4"/>
  <c r="J13" i="3"/>
  <c r="L3" i="4" s="1"/>
  <c r="L6" i="4"/>
  <c r="K14" i="3"/>
  <c r="M12" i="4"/>
  <c r="E3" i="4"/>
  <c r="F14" i="3"/>
  <c r="H5" i="4"/>
  <c r="H12" i="4"/>
  <c r="G14" i="3"/>
  <c r="I12" i="4"/>
  <c r="I5" i="4"/>
  <c r="M14" i="3"/>
  <c r="O12" i="4"/>
  <c r="O4" i="4"/>
  <c r="B25" i="3"/>
  <c r="B34" i="3"/>
  <c r="Q5" i="4" l="1"/>
  <c r="Q12" i="4"/>
  <c r="Q4" i="4"/>
  <c r="Q3" i="4"/>
  <c r="K5" i="4"/>
  <c r="K6" i="4"/>
  <c r="K3" i="4"/>
  <c r="E14" i="4"/>
  <c r="E6" i="4"/>
  <c r="H14" i="4"/>
  <c r="H6" i="4"/>
  <c r="H4" i="4"/>
  <c r="K13" i="4"/>
  <c r="K14" i="4"/>
  <c r="H13" i="4"/>
  <c r="I4" i="4"/>
  <c r="E13" i="4"/>
  <c r="M14" i="4"/>
  <c r="M13" i="4"/>
  <c r="M4" i="4"/>
  <c r="I14" i="4"/>
  <c r="I13" i="4"/>
  <c r="P13" i="4"/>
  <c r="P6" i="4"/>
  <c r="P14" i="4"/>
  <c r="O14" i="3"/>
  <c r="J14" i="3"/>
  <c r="L12" i="4"/>
  <c r="L4" i="4"/>
  <c r="L5" i="4"/>
  <c r="C14" i="3"/>
  <c r="E4" i="4"/>
  <c r="E12" i="4"/>
  <c r="E5" i="4"/>
  <c r="D11" i="4"/>
  <c r="D18" i="4"/>
  <c r="B35" i="3"/>
  <c r="B15" i="3"/>
  <c r="B13" i="3" s="1"/>
  <c r="D6" i="4" s="1"/>
  <c r="B41" i="3"/>
  <c r="B38" i="3" s="1"/>
  <c r="B30" i="3"/>
  <c r="B6" i="3"/>
  <c r="B48" i="3" l="1"/>
  <c r="B44" i="3" s="1"/>
  <c r="D15" i="4"/>
  <c r="D13" i="4"/>
  <c r="D16" i="4"/>
  <c r="D3" i="4" l="1"/>
  <c r="D4" i="4"/>
  <c r="D14" i="4"/>
  <c r="B14" i="3"/>
  <c r="D5" i="4"/>
  <c r="D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sodhiambo</author>
  </authors>
  <commentList>
    <comment ref="T4" authorId="0" shapeId="0" xr:uid="{03F919E0-A4C3-41CE-BFDB-7BF0C1B419AF}">
      <text>
        <r>
          <rPr>
            <b/>
            <sz val="9"/>
            <color indexed="81"/>
            <rFont val="Tahoma"/>
            <family val="2"/>
          </rPr>
          <t>sodhiambo:</t>
        </r>
        <r>
          <rPr>
            <sz val="9"/>
            <color indexed="81"/>
            <rFont val="Tahoma"/>
            <family val="2"/>
          </rPr>
          <t xml:space="preserve">
Decrease in CCE portrayed by the constant drop in liquidity.</t>
        </r>
      </text>
    </comment>
    <comment ref="T13" authorId="0" shapeId="0" xr:uid="{EA9BED91-D7E2-43B4-A6D1-E37621300AE4}">
      <text>
        <r>
          <rPr>
            <b/>
            <sz val="9"/>
            <color indexed="81"/>
            <rFont val="Tahoma"/>
            <family val="2"/>
          </rPr>
          <t>sodhiambo:</t>
        </r>
        <r>
          <rPr>
            <sz val="9"/>
            <color indexed="81"/>
            <rFont val="Tahoma"/>
            <family val="2"/>
          </rPr>
          <t xml:space="preserve">
Low uptake of loans leading to slow asset growth</t>
        </r>
      </text>
    </comment>
  </commentList>
</comments>
</file>

<file path=xl/sharedStrings.xml><?xml version="1.0" encoding="utf-8"?>
<sst xmlns="http://schemas.openxmlformats.org/spreadsheetml/2006/main" count="270" uniqueCount="194">
  <si>
    <t>JAMII SACCO SOCIETY</t>
  </si>
  <si>
    <t xml:space="preserve"> STATEMENT OF FINANCIAL POSITION</t>
  </si>
  <si>
    <t>FINANCIAL YEAR  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</si>
  <si>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</si>
  <si>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</si>
  <si>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</si>
  <si>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</si>
  <si>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</si>
  <si>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</si>
  <si>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</si>
  <si>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</si>
  <si>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</si>
  <si>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</si>
  <si>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</si>
  <si>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</si>
  <si>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Aud-21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</si>
  <si>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</si>
  <si>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</si>
  <si>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</si>
  <si>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</si>
  <si>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</si>
  <si>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</si>
  <si>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</si>
  <si>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</si>
  <si>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</si>
  <si>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</si>
  <si>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</si>
  <si>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</si>
  <si>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</si>
  <si>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</si>
  <si>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</si>
  <si>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</si>
  <si>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</si>
  <si>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</si>
  <si>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</si>
  <si>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</si>
  <si>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</si>
  <si>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</si>
  <si>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</si>
  <si>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</si>
  <si>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</si>
  <si>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</si>
  <si>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</si>
  <si>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</si>
  <si>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</si>
  <si>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</si>
  <si>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</si>
  <si>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</si>
  <si>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</si>
  <si>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</si>
  <si>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</si>
  <si>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</si>
  <si>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</si>
  <si>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</si>
  <si>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</si>
  <si>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</si>
  <si>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</si>
  <si>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</si>
  <si>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</si>
  <si>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</si>
  <si>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</si>
  <si>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</si>
  <si>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</si>
  <si>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</si>
  <si>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</si>
  <si>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</si>
  <si>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</si>
  <si>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</si>
  <si>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</si>
  <si>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</si>
  <si>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</si>
  <si>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</si>
  <si>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</si>
  <si>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</si>
  <si>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</si>
  <si>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</si>
  <si>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</si>
  <si>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</si>
  <si>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</si>
  <si>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</si>
  <si>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</si>
  <si>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</si>
  <si>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</si>
  <si>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</si>
  <si>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</si>
  <si>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</si>
  <si>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</si>
  <si>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</si>
  <si>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</si>
  <si>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</si>
  <si>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</si>
  <si>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</si>
  <si>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</si>
  <si>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</si>
  <si>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</si>
  <si>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</si>
  <si>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</si>
  <si>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</si>
  <si>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</si>
  <si>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</si>
  <si>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</si>
  <si>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FORM 4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</si>
  <si>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</si>
  <si>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</si>
  <si>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</si>
  <si>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</si>
  <si>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</si>
  <si>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</si>
  <si>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</si>
  <si>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</si>
  <si>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</si>
  <si>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</si>
  <si>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</si>
  <si>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Ageing for impairement of loans</t>
  </si>
  <si>
    <t>No.of loans</t>
  </si>
  <si>
    <t>Outstanding Portfolio</t>
  </si>
  <si>
    <t>Rate</t>
  </si>
  <si>
    <t>PAR</t>
  </si>
  <si>
    <t>1%</t>
  </si>
  <si>
    <t>5%</t>
  </si>
  <si>
    <t>25%</t>
  </si>
  <si>
    <t>50%</t>
  </si>
  <si>
    <t>100%</t>
  </si>
  <si>
    <t>Current Loan portofolio</t>
  </si>
  <si>
    <t>Aud-22</t>
  </si>
  <si>
    <t>ASILI SACCO FINANCIALS</t>
  </si>
  <si>
    <t>Year/month</t>
  </si>
  <si>
    <t>Membership</t>
  </si>
  <si>
    <t>Total Deposits</t>
  </si>
  <si>
    <t>Deposits-Members(BOSA)</t>
  </si>
  <si>
    <t>Deposits-Customers(FOSA)</t>
  </si>
  <si>
    <t>Deposits-Term</t>
  </si>
  <si>
    <t>External Borrowing</t>
  </si>
  <si>
    <t>Share capital and Reserves</t>
  </si>
  <si>
    <t>Core Capital</t>
  </si>
  <si>
    <t>Institutional Capital</t>
  </si>
  <si>
    <t>Total Capital</t>
  </si>
  <si>
    <t>Members Share Capital</t>
  </si>
  <si>
    <t>Entrance Fees</t>
  </si>
  <si>
    <t>Appropriation Account</t>
  </si>
  <si>
    <t>Statutory Reserves</t>
  </si>
  <si>
    <t>Capital Reserves</t>
  </si>
  <si>
    <t>Supplementary Capital &amp; reserves</t>
  </si>
  <si>
    <t>Benevolent  Fund</t>
  </si>
  <si>
    <t>Investments</t>
  </si>
  <si>
    <t>Govt bills</t>
  </si>
  <si>
    <t xml:space="preserve"> Investments in naccos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</si>
  <si>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</si>
  <si>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</si>
  <si>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</si>
  <si>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</si>
  <si>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</si>
  <si>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</si>
  <si>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Property and Equipment</t>
  </si>
  <si>
    <t>Turnover</t>
  </si>
  <si>
    <t>Loan Interest</t>
  </si>
  <si>
    <t>Yield on loans</t>
  </si>
  <si>
    <t>Income from investments</t>
  </si>
  <si>
    <t>Fees &amp; Commissions</t>
  </si>
  <si>
    <t>Finanacial and Operating costs</t>
  </si>
  <si>
    <t>Interest expense on deposits</t>
  </si>
  <si>
    <t>Dividend expense on share capital</t>
  </si>
  <si>
    <t>Interest expense on borrowed funds</t>
  </si>
  <si>
    <t>Operating expenses</t>
  </si>
  <si>
    <t>Net Surplus</t>
  </si>
  <si>
    <t>JAMII SACCO CAELS 2020</t>
  </si>
  <si>
    <t>Regulatory Stds</t>
  </si>
  <si>
    <t xml:space="preserve">Jan </t>
  </si>
  <si>
    <t>CAPITAL ADEQUACY</t>
  </si>
  <si>
    <t>10 M</t>
  </si>
  <si>
    <t>CCA</t>
  </si>
  <si>
    <t>CCD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</si>
  <si>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</si>
  <si>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</si>
  <si>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</si>
  <si>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</si>
  <si>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</si>
  <si>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</si>
  <si>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</si>
  <si>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</si>
  <si>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EARNINGS</t>
  </si>
  <si>
    <t>Non-Government Investment to Deposit ratio</t>
  </si>
  <si>
    <t>Non-Government Investment to Core Capital ratio</t>
  </si>
  <si>
    <t>Max 40%</t>
  </si>
  <si>
    <t>Gross loans/TA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</si>
  <si>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</si>
  <si>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</si>
  <si>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</si>
  <si>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</si>
  <si>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</si>
  <si>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</si>
  <si>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</si>
  <si>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External Borrowing ratio</t>
  </si>
  <si>
    <t>Max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</si>
</sst>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(* #,##0_);_(* \(#,##0\);_(* \-??_);_(@_)"/>
    <numFmt numFmtId="166" formatCode="0.0"/>
    <numFmt numFmtId="167" formatCode="_(* #,##0_);_(* \(#,##0\);_(* &quot;-&quot;??_);_(@_)"/>
    <numFmt numFmtId="168" formatCode="[$-10409]#,##0.00;\-\ #,##0.00"/>
    <numFmt numFmtId="169" formatCode="_(* #,##0.00_);_(* \(#,##0.00\);_(* \-??_);_(@_)"/>
    <numFmt numFmtId="170" formatCode="[$-10409]0.00;\-\ 0.00"/>
    <numFmt numFmtId="171" formatCode="0.0%"/>
    <numFmt numFmtId="172" formatCode="#,##0.0_ ;\-#,##0.0\ 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i/>
      <sz val="10"/>
      <name val="Cambria"/>
      <family val="1"/>
    </font>
    <font>
      <b/>
      <sz val="10"/>
      <color indexed="8"/>
      <name val="Cambria"/>
      <family val="1"/>
    </font>
    <font>
      <b/>
      <sz val="11"/>
      <color theme="1"/>
      <name val="Cambria"/>
      <family val="1"/>
    </font>
    <font>
      <sz val="10"/>
      <color rgb="FF000000"/>
      <name val="Arial"/>
      <charset val="1"/>
    </font>
    <font>
      <sz val="10"/>
      <color rgb="FF000000"/>
      <name val="Cambria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sz val="10"/>
      <color indexed="8"/>
      <name val="Arial"/>
      <charset val="1"/>
    </font>
    <font>
      <b/>
      <sz val="10"/>
      <color rgb="FF000000"/>
      <name val="Cambria"/>
      <family val="1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rgb="FF70AD4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4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66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167" fontId="4" fillId="5" borderId="1" xfId="1" applyNumberFormat="1" applyFont="1" applyFill="1" applyBorder="1"/>
    <xf numFmtId="168" fontId="5" fillId="0" borderId="3" xfId="0" applyNumberFormat="1" applyFont="1" applyBorder="1" applyAlignment="1" applyProtection="1">
      <alignment vertical="top" wrapText="1" readingOrder="1"/>
      <protection locked="0"/>
    </xf>
    <xf numFmtId="0" fontId="4" fillId="0" borderId="5" xfId="0" applyFont="1" applyBorder="1"/>
    <xf numFmtId="0" fontId="3" fillId="0" borderId="4" xfId="0" applyFont="1" applyBorder="1" applyAlignment="1">
      <alignment horizontal="right"/>
    </xf>
    <xf numFmtId="165" fontId="4" fillId="5" borderId="1" xfId="5" applyNumberFormat="1" applyFont="1" applyFill="1" applyBorder="1" applyAlignment="1" applyProtection="1"/>
    <xf numFmtId="170" fontId="5" fillId="0" borderId="3" xfId="0" applyNumberFormat="1" applyFont="1" applyBorder="1" applyAlignment="1" applyProtection="1">
      <alignment vertical="top" wrapText="1" readingOrder="1"/>
      <protection locked="0"/>
    </xf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17" fontId="8" fillId="6" borderId="1" xfId="0" applyNumberFormat="1" applyFont="1" applyFill="1" applyBorder="1"/>
    <xf numFmtId="0" fontId="8" fillId="0" borderId="0" xfId="0" applyFont="1"/>
    <xf numFmtId="9" fontId="7" fillId="0" borderId="1" xfId="2" applyFont="1" applyBorder="1"/>
    <xf numFmtId="171" fontId="7" fillId="0" borderId="1" xfId="2" applyNumberFormat="1" applyFont="1" applyBorder="1"/>
    <xf numFmtId="9" fontId="7" fillId="0" borderId="1" xfId="2" applyFont="1" applyBorder="1" applyAlignme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 applyAlignment="1">
      <alignment wrapText="1"/>
    </xf>
    <xf numFmtId="0" fontId="3" fillId="0" borderId="1" xfId="0" applyFont="1" applyBorder="1"/>
    <xf numFmtId="0" fontId="4" fillId="0" borderId="6" xfId="0" applyFont="1" applyBorder="1" applyAlignment="1">
      <alignment wrapText="1"/>
    </xf>
    <xf numFmtId="43" fontId="4" fillId="7" borderId="1" xfId="1" applyFont="1" applyFill="1" applyBorder="1" applyAlignment="1" applyProtection="1"/>
    <xf numFmtId="0" fontId="3" fillId="0" borderId="6" xfId="0" applyFont="1" applyBorder="1" applyAlignment="1">
      <alignment wrapText="1"/>
    </xf>
    <xf numFmtId="43" fontId="4" fillId="9" borderId="1" xfId="1" applyFont="1" applyFill="1" applyBorder="1" applyAlignment="1"/>
    <xf numFmtId="0" fontId="3" fillId="0" borderId="6" xfId="0" applyFont="1" applyBorder="1"/>
    <xf numFmtId="43" fontId="4" fillId="5" borderId="1" xfId="1" applyFont="1" applyFill="1" applyBorder="1" applyAlignment="1" applyProtection="1"/>
    <xf numFmtId="43" fontId="3" fillId="9" borderId="1" xfId="1" applyFont="1" applyFill="1" applyBorder="1" applyAlignment="1"/>
    <xf numFmtId="0" fontId="8" fillId="0" borderId="0" xfId="161" applyFont="1"/>
    <xf numFmtId="0" fontId="8" fillId="0" borderId="2" xfId="161" applyFont="1" applyBorder="1"/>
    <xf numFmtId="43" fontId="8" fillId="0" borderId="8" xfId="162" applyFont="1" applyFill="1" applyBorder="1"/>
    <xf numFmtId="3" fontId="3" fillId="0" borderId="9" xfId="161" applyNumberFormat="1" applyFont="1" applyBorder="1"/>
    <xf numFmtId="0" fontId="3" fillId="0" borderId="9" xfId="161" applyFont="1" applyBorder="1"/>
    <xf numFmtId="43" fontId="7" fillId="2" borderId="1" xfId="1" applyFont="1" applyFill="1" applyBorder="1"/>
    <xf numFmtId="0" fontId="4" fillId="0" borderId="9" xfId="161" applyFont="1" applyBorder="1"/>
    <xf numFmtId="43" fontId="8" fillId="2" borderId="1" xfId="1" applyFont="1" applyFill="1" applyBorder="1"/>
    <xf numFmtId="0" fontId="7" fillId="0" borderId="9" xfId="161" applyFont="1" applyBorder="1"/>
    <xf numFmtId="0" fontId="8" fillId="0" borderId="9" xfId="161" applyFont="1" applyBorder="1"/>
    <xf numFmtId="9" fontId="3" fillId="0" borderId="9" xfId="163" applyFont="1" applyFill="1" applyBorder="1"/>
    <xf numFmtId="43" fontId="4" fillId="2" borderId="1" xfId="1" applyFont="1" applyFill="1" applyBorder="1"/>
    <xf numFmtId="43" fontId="3" fillId="2" borderId="1" xfId="1" applyFont="1" applyFill="1" applyBorder="1"/>
    <xf numFmtId="0" fontId="3" fillId="0" borderId="10" xfId="161" applyFont="1" applyBorder="1"/>
    <xf numFmtId="0" fontId="3" fillId="0" borderId="0" xfId="161" applyFont="1"/>
    <xf numFmtId="0" fontId="8" fillId="6" borderId="2" xfId="0" applyFont="1" applyFill="1" applyBorder="1"/>
    <xf numFmtId="0" fontId="7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center" wrapText="1"/>
    </xf>
    <xf numFmtId="167" fontId="7" fillId="0" borderId="12" xfId="1" applyNumberFormat="1" applyFont="1" applyBorder="1"/>
    <xf numFmtId="0" fontId="7" fillId="0" borderId="15" xfId="0" applyFont="1" applyBorder="1" applyAlignment="1">
      <alignment horizontal="left" vertical="top" wrapText="1"/>
    </xf>
    <xf numFmtId="9" fontId="7" fillId="0" borderId="15" xfId="0" applyNumberFormat="1" applyFont="1" applyBorder="1" applyAlignment="1">
      <alignment horizontal="center" vertical="center" wrapText="1"/>
    </xf>
    <xf numFmtId="171" fontId="7" fillId="0" borderId="15" xfId="2" applyNumberFormat="1" applyFont="1" applyBorder="1"/>
    <xf numFmtId="0" fontId="7" fillId="0" borderId="12" xfId="0" applyFont="1" applyBorder="1"/>
    <xf numFmtId="0" fontId="7" fillId="0" borderId="15" xfId="0" applyFont="1" applyBorder="1" applyAlignment="1">
      <alignment horizontal="center" vertical="center" wrapText="1"/>
    </xf>
    <xf numFmtId="9" fontId="7" fillId="0" borderId="15" xfId="2" applyFont="1" applyBorder="1"/>
    <xf numFmtId="0" fontId="7" fillId="0" borderId="12" xfId="0" applyFont="1" applyBorder="1" applyAlignment="1">
      <alignment horizontal="center" vertical="center"/>
    </xf>
    <xf numFmtId="9" fontId="7" fillId="0" borderId="12" xfId="2" applyFont="1" applyBorder="1" applyAlignment="1"/>
    <xf numFmtId="0" fontId="7" fillId="0" borderId="15" xfId="0" applyFont="1" applyBorder="1" applyAlignment="1">
      <alignment horizontal="left" vertical="top"/>
    </xf>
    <xf numFmtId="9" fontId="7" fillId="0" borderId="12" xfId="2" applyFont="1" applyBorder="1"/>
    <xf numFmtId="0" fontId="4" fillId="0" borderId="1" xfId="0" applyFont="1" applyBorder="1"/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68" fontId="5" fillId="8" borderId="3" xfId="0" applyNumberFormat="1" applyFont="1" applyFill="1" applyBorder="1" applyAlignment="1" applyProtection="1">
      <alignment vertical="top" wrapText="1" readingOrder="1"/>
      <protection locked="0"/>
    </xf>
    <xf numFmtId="0" fontId="11" fillId="3" borderId="3" xfId="0" applyFont="1" applyFill="1" applyBorder="1" applyAlignment="1" applyProtection="1">
      <alignment vertical="top" wrapText="1" readingOrder="1"/>
      <protection locked="0"/>
    </xf>
    <xf numFmtId="43" fontId="7" fillId="0" borderId="0" xfId="1" applyFont="1"/>
    <xf numFmtId="43" fontId="5" fillId="8" borderId="3" xfId="1" applyFont="1" applyFill="1" applyBorder="1" applyAlignment="1" applyProtection="1">
      <alignment vertical="top" wrapText="1" readingOrder="1"/>
      <protection locked="0"/>
    </xf>
    <xf numFmtId="43" fontId="5" fillId="0" borderId="3" xfId="1" applyFont="1" applyBorder="1" applyAlignment="1" applyProtection="1">
      <alignment vertical="top" wrapText="1" readingOrder="1"/>
      <protection locked="0"/>
    </xf>
    <xf numFmtId="0" fontId="11" fillId="3" borderId="16" xfId="0" applyFont="1" applyFill="1" applyBorder="1" applyAlignment="1" applyProtection="1">
      <alignment vertical="top" wrapText="1" readingOrder="1"/>
      <protection locked="0"/>
    </xf>
    <xf numFmtId="0" fontId="12" fillId="0" borderId="0" xfId="0" applyFont="1"/>
    <xf numFmtId="4" fontId="9" fillId="0" borderId="0" xfId="0" applyNumberFormat="1" applyFont="1"/>
    <xf numFmtId="9" fontId="9" fillId="0" borderId="0" xfId="0" applyNumberFormat="1" applyFont="1"/>
    <xf numFmtId="0" fontId="9" fillId="0" borderId="1" xfId="0" applyFont="1" applyBorder="1"/>
    <xf numFmtId="4" fontId="9" fillId="0" borderId="1" xfId="0" applyNumberFormat="1" applyFont="1" applyBorder="1"/>
    <xf numFmtId="9" fontId="9" fillId="0" borderId="1" xfId="0" applyNumberFormat="1" applyFont="1" applyBorder="1"/>
    <xf numFmtId="4" fontId="12" fillId="0" borderId="1" xfId="0" applyNumberFormat="1" applyFont="1" applyBorder="1"/>
    <xf numFmtId="0" fontId="12" fillId="0" borderId="1" xfId="0" applyFont="1" applyBorder="1"/>
    <xf numFmtId="165" fontId="4" fillId="4" borderId="1" xfId="5" applyNumberFormat="1" applyFont="1" applyFill="1" applyBorder="1" applyAlignment="1" applyProtection="1"/>
    <xf numFmtId="0" fontId="8" fillId="10" borderId="1" xfId="0" applyFont="1" applyFill="1" applyBorder="1"/>
    <xf numFmtId="43" fontId="5" fillId="8" borderId="16" xfId="1" applyFont="1" applyFill="1" applyBorder="1" applyAlignment="1" applyProtection="1">
      <alignment vertical="top" wrapText="1" readingOrder="1"/>
      <protection locked="0"/>
    </xf>
    <xf numFmtId="43" fontId="5" fillId="0" borderId="16" xfId="1" applyFont="1" applyBorder="1" applyAlignment="1" applyProtection="1">
      <alignment vertical="top" wrapText="1" readingOrder="1"/>
      <protection locked="0"/>
    </xf>
    <xf numFmtId="43" fontId="4" fillId="9" borderId="6" xfId="1" applyFont="1" applyFill="1" applyBorder="1" applyAlignment="1"/>
    <xf numFmtId="43" fontId="4" fillId="5" borderId="6" xfId="1" applyFont="1" applyFill="1" applyBorder="1" applyAlignment="1" applyProtection="1"/>
    <xf numFmtId="43" fontId="3" fillId="9" borderId="6" xfId="1" applyFont="1" applyFill="1" applyBorder="1" applyAlignment="1"/>
    <xf numFmtId="43" fontId="7" fillId="0" borderId="1" xfId="1" applyFont="1" applyBorder="1"/>
    <xf numFmtId="43" fontId="7" fillId="9" borderId="1" xfId="1" applyFont="1" applyFill="1" applyBorder="1"/>
    <xf numFmtId="43" fontId="8" fillId="9" borderId="1" xfId="1" applyFont="1" applyFill="1" applyBorder="1"/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9" fontId="7" fillId="0" borderId="2" xfId="2" applyFont="1" applyBorder="1"/>
    <xf numFmtId="0" fontId="7" fillId="0" borderId="1" xfId="0" applyFont="1" applyBorder="1"/>
    <xf numFmtId="9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17" fontId="12" fillId="0" borderId="0" xfId="0" applyNumberFormat="1" applyFont="1"/>
    <xf numFmtId="4" fontId="13" fillId="0" borderId="17" xfId="0" applyNumberFormat="1" applyFont="1" applyBorder="1" applyAlignment="1">
      <alignment wrapText="1" readingOrder="1"/>
    </xf>
    <xf numFmtId="0" fontId="13" fillId="0" borderId="18" xfId="0" applyFont="1" applyBorder="1" applyAlignment="1">
      <alignment wrapText="1" readingOrder="1"/>
    </xf>
    <xf numFmtId="4" fontId="13" fillId="0" borderId="18" xfId="0" applyNumberFormat="1" applyFont="1" applyBorder="1" applyAlignment="1">
      <alignment wrapText="1" readingOrder="1"/>
    </xf>
    <xf numFmtId="167" fontId="4" fillId="5" borderId="6" xfId="1" applyNumberFormat="1" applyFont="1" applyFill="1" applyBorder="1"/>
    <xf numFmtId="168" fontId="5" fillId="0" borderId="16" xfId="0" applyNumberFormat="1" applyFont="1" applyBorder="1" applyAlignment="1" applyProtection="1">
      <alignment vertical="top" wrapText="1" readingOrder="1"/>
      <protection locked="0"/>
    </xf>
    <xf numFmtId="165" fontId="4" fillId="4" borderId="6" xfId="5" applyNumberFormat="1" applyFont="1" applyFill="1" applyBorder="1" applyAlignment="1" applyProtection="1"/>
    <xf numFmtId="165" fontId="4" fillId="5" borderId="6" xfId="5" applyNumberFormat="1" applyFont="1" applyFill="1" applyBorder="1" applyAlignment="1" applyProtection="1"/>
    <xf numFmtId="168" fontId="5" fillId="0" borderId="21" xfId="0" applyNumberFormat="1" applyFont="1" applyBorder="1" applyAlignment="1" applyProtection="1">
      <alignment vertical="top" wrapText="1" readingOrder="1"/>
      <protection locked="0"/>
    </xf>
    <xf numFmtId="170" fontId="5" fillId="0" borderId="21" xfId="0" applyNumberFormat="1" applyFont="1" applyBorder="1" applyAlignment="1" applyProtection="1">
      <alignment vertical="top" wrapText="1" readingOrder="1"/>
      <protection locked="0"/>
    </xf>
    <xf numFmtId="0" fontId="4" fillId="0" borderId="2" xfId="0" applyFont="1" applyBorder="1"/>
    <xf numFmtId="4" fontId="14" fillId="0" borderId="19" xfId="0" applyNumberFormat="1" applyFont="1" applyBorder="1" applyAlignment="1">
      <alignment wrapText="1" readingOrder="1"/>
    </xf>
    <xf numFmtId="0" fontId="14" fillId="0" borderId="19" xfId="0" applyFont="1" applyBorder="1" applyAlignment="1">
      <alignment wrapText="1" readingOrder="1"/>
    </xf>
    <xf numFmtId="43" fontId="4" fillId="7" borderId="6" xfId="1" applyFont="1" applyFill="1" applyBorder="1" applyAlignment="1" applyProtection="1"/>
    <xf numFmtId="43" fontId="7" fillId="0" borderId="6" xfId="1" applyFont="1" applyBorder="1"/>
    <xf numFmtId="43" fontId="7" fillId="9" borderId="6" xfId="1" applyFont="1" applyFill="1" applyBorder="1"/>
    <xf numFmtId="43" fontId="8" fillId="9" borderId="6" xfId="1" applyFont="1" applyFill="1" applyBorder="1"/>
    <xf numFmtId="43" fontId="4" fillId="7" borderId="20" xfId="1" applyFont="1" applyFill="1" applyBorder="1" applyAlignment="1" applyProtection="1"/>
    <xf numFmtId="43" fontId="7" fillId="0" borderId="20" xfId="1" applyFont="1" applyBorder="1"/>
    <xf numFmtId="43" fontId="7" fillId="9" borderId="20" xfId="1" applyFont="1" applyFill="1" applyBorder="1"/>
    <xf numFmtId="43" fontId="8" fillId="9" borderId="20" xfId="1" applyFont="1" applyFill="1" applyBorder="1"/>
    <xf numFmtId="0" fontId="11" fillId="3" borderId="22" xfId="0" applyFont="1" applyFill="1" applyBorder="1" applyAlignment="1" applyProtection="1">
      <alignment vertical="top" wrapText="1" readingOrder="1"/>
      <protection locked="0"/>
    </xf>
    <xf numFmtId="0" fontId="15" fillId="0" borderId="0" xfId="0" applyFont="1"/>
    <xf numFmtId="0" fontId="16" fillId="0" borderId="0" xfId="0" applyFont="1"/>
    <xf numFmtId="167" fontId="15" fillId="0" borderId="0" xfId="1" applyNumberFormat="1" applyFont="1" applyFill="1" applyBorder="1" applyAlignment="1" applyProtection="1">
      <alignment horizontal="right"/>
    </xf>
    <xf numFmtId="164" fontId="15" fillId="0" borderId="0" xfId="0" applyNumberFormat="1" applyFont="1"/>
    <xf numFmtId="4" fontId="15" fillId="0" borderId="0" xfId="0" applyNumberFormat="1" applyFont="1" applyAlignment="1">
      <alignment horizontal="right"/>
    </xf>
    <xf numFmtId="0" fontId="17" fillId="0" borderId="0" xfId="0" applyFont="1" applyAlignment="1">
      <alignment horizontal="center"/>
    </xf>
    <xf numFmtId="167" fontId="15" fillId="0" borderId="24" xfId="1" applyNumberFormat="1" applyFont="1" applyFill="1" applyBorder="1" applyAlignment="1" applyProtection="1">
      <alignment horizontal="center" wrapText="1"/>
    </xf>
    <xf numFmtId="0" fontId="17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167" fontId="16" fillId="0" borderId="0" xfId="1" applyNumberFormat="1" applyFont="1" applyFill="1" applyBorder="1" applyAlignment="1" applyProtection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67" fontId="16" fillId="0" borderId="0" xfId="1" applyNumberFormat="1" applyFont="1" applyFill="1" applyBorder="1" applyAlignment="1">
      <alignment horizontal="right"/>
    </xf>
    <xf numFmtId="167" fontId="16" fillId="0" borderId="0" xfId="1" applyNumberFormat="1" applyFont="1" applyFill="1" applyBorder="1" applyAlignment="1" applyProtection="1"/>
    <xf numFmtId="9" fontId="16" fillId="0" borderId="0" xfId="2" quotePrefix="1" applyFont="1" applyFill="1" applyBorder="1" applyAlignment="1">
      <alignment horizontal="right"/>
    </xf>
    <xf numFmtId="167" fontId="18" fillId="0" borderId="0" xfId="1" applyNumberFormat="1" applyFont="1" applyFill="1" applyAlignment="1">
      <alignment horizontal="right"/>
    </xf>
    <xf numFmtId="0" fontId="16" fillId="0" borderId="0" xfId="1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167" fontId="19" fillId="0" borderId="0" xfId="1" applyNumberFormat="1" applyFont="1" applyFill="1" applyBorder="1"/>
    <xf numFmtId="9" fontId="16" fillId="0" borderId="0" xfId="2" quotePrefix="1" applyFont="1" applyFill="1" applyAlignment="1">
      <alignment horizontal="right" vertical="center"/>
    </xf>
    <xf numFmtId="167" fontId="18" fillId="0" borderId="0" xfId="1" applyNumberFormat="1" applyFont="1" applyFill="1" applyAlignment="1">
      <alignment horizontal="right" vertical="center"/>
    </xf>
    <xf numFmtId="43" fontId="16" fillId="0" borderId="0" xfId="1" applyFont="1" applyFill="1" applyBorder="1" applyAlignment="1">
      <alignment horizontal="right" vertical="center"/>
    </xf>
    <xf numFmtId="167" fontId="16" fillId="0" borderId="0" xfId="1" applyNumberFormat="1" applyFont="1" applyAlignment="1">
      <alignment vertical="center"/>
    </xf>
    <xf numFmtId="167" fontId="19" fillId="0" borderId="24" xfId="1" applyNumberFormat="1" applyFont="1" applyFill="1" applyBorder="1"/>
    <xf numFmtId="9" fontId="16" fillId="0" borderId="24" xfId="2" quotePrefix="1" applyFont="1" applyFill="1" applyBorder="1" applyAlignment="1">
      <alignment horizontal="right" vertical="center"/>
    </xf>
    <xf numFmtId="167" fontId="16" fillId="0" borderId="23" xfId="1" applyNumberFormat="1" applyFont="1" applyFill="1" applyBorder="1" applyAlignment="1" applyProtection="1">
      <alignment horizontal="right"/>
    </xf>
    <xf numFmtId="167" fontId="15" fillId="0" borderId="25" xfId="1" applyNumberFormat="1" applyFont="1" applyFill="1" applyBorder="1" applyAlignment="1">
      <alignment horizontal="right" vertical="center"/>
    </xf>
    <xf numFmtId="167" fontId="15" fillId="0" borderId="25" xfId="1" applyNumberFormat="1" applyFont="1" applyFill="1" applyBorder="1" applyAlignment="1" applyProtection="1"/>
    <xf numFmtId="167" fontId="16" fillId="0" borderId="0" xfId="0" applyNumberFormat="1" applyFont="1"/>
    <xf numFmtId="9" fontId="16" fillId="0" borderId="0" xfId="2" applyFont="1" applyFill="1" applyBorder="1" applyAlignment="1" applyProtection="1"/>
    <xf numFmtId="168" fontId="20" fillId="0" borderId="3" xfId="0" applyNumberFormat="1" applyFont="1" applyBorder="1" applyAlignment="1" applyProtection="1">
      <alignment vertical="top" wrapText="1" readingOrder="1"/>
      <protection locked="0"/>
    </xf>
    <xf numFmtId="170" fontId="20" fillId="0" borderId="3" xfId="0" applyNumberFormat="1" applyFont="1" applyBorder="1" applyAlignment="1" applyProtection="1">
      <alignment vertical="top" wrapText="1" readingOrder="1"/>
      <protection locked="0"/>
    </xf>
    <xf numFmtId="4" fontId="21" fillId="11" borderId="19" xfId="0" applyNumberFormat="1" applyFont="1" applyFill="1" applyBorder="1" applyAlignment="1">
      <alignment wrapText="1" readingOrder="1"/>
    </xf>
    <xf numFmtId="4" fontId="6" fillId="11" borderId="19" xfId="0" applyNumberFormat="1" applyFont="1" applyFill="1" applyBorder="1" applyAlignment="1">
      <alignment wrapText="1" readingOrder="1"/>
    </xf>
    <xf numFmtId="4" fontId="6" fillId="0" borderId="19" xfId="0" applyNumberFormat="1" applyFont="1" applyBorder="1" applyAlignment="1">
      <alignment wrapText="1" readingOrder="1"/>
    </xf>
    <xf numFmtId="0" fontId="6" fillId="0" borderId="19" xfId="0" applyFont="1" applyBorder="1" applyAlignment="1">
      <alignment wrapText="1" readingOrder="1"/>
    </xf>
    <xf numFmtId="4" fontId="21" fillId="12" borderId="19" xfId="0" applyNumberFormat="1" applyFont="1" applyFill="1" applyBorder="1" applyAlignment="1">
      <alignment wrapText="1" readingOrder="1"/>
    </xf>
    <xf numFmtId="0" fontId="6" fillId="11" borderId="19" xfId="0" applyFont="1" applyFill="1" applyBorder="1" applyAlignment="1">
      <alignment wrapText="1" readingOrder="1"/>
    </xf>
    <xf numFmtId="17" fontId="8" fillId="0" borderId="0" xfId="0" applyNumberFormat="1" applyFont="1"/>
    <xf numFmtId="171" fontId="7" fillId="0" borderId="1" xfId="2" applyNumberFormat="1" applyFont="1" applyFill="1" applyBorder="1"/>
    <xf numFmtId="168" fontId="22" fillId="0" borderId="3" xfId="0" applyNumberFormat="1" applyFont="1" applyBorder="1" applyAlignment="1" applyProtection="1">
      <alignment vertical="top" wrapText="1" readingOrder="1"/>
      <protection locked="0"/>
    </xf>
    <xf numFmtId="172" fontId="9" fillId="0" borderId="0" xfId="0" applyNumberFormat="1" applyFont="1"/>
    <xf numFmtId="9" fontId="9" fillId="0" borderId="0" xfId="2" applyFont="1"/>
    <xf numFmtId="168" fontId="25" fillId="8" borderId="3" xfId="0" applyNumberFormat="1" applyFont="1" applyFill="1" applyBorder="1" applyAlignment="1" applyProtection="1">
      <alignment vertical="top" wrapText="1" readingOrder="1"/>
      <protection locked="0"/>
    </xf>
    <xf numFmtId="168" fontId="25" fillId="0" borderId="3" xfId="0" applyNumberFormat="1" applyFont="1" applyBorder="1" applyAlignment="1" applyProtection="1">
      <alignment vertical="top" wrapText="1" readingOrder="1"/>
      <protection locked="0"/>
    </xf>
    <xf numFmtId="43" fontId="8" fillId="0" borderId="0" xfId="1" applyFont="1"/>
    <xf numFmtId="43" fontId="4" fillId="5" borderId="6" xfId="1" applyFont="1" applyFill="1" applyBorder="1"/>
    <xf numFmtId="43" fontId="4" fillId="4" borderId="6" xfId="1" applyFont="1" applyFill="1" applyBorder="1" applyAlignment="1" applyProtection="1"/>
    <xf numFmtId="17" fontId="12" fillId="0" borderId="0" xfId="0" applyNumberFormat="1" applyFont="1" applyAlignment="1">
      <alignment horizontal="center"/>
    </xf>
    <xf numFmtId="9" fontId="7" fillId="0" borderId="12" xfId="0" applyNumberFormat="1" applyFont="1" applyBorder="1"/>
  </cellXfs>
  <cellStyles count="164">
    <cellStyle name="Comma" xfId="1" builtinId="3"/>
    <cellStyle name="Comma 10" xfId="5" xr:uid="{00000000-0005-0000-0000-000001000000}"/>
    <cellStyle name="Comma 10 10 2" xfId="3" xr:uid="{00000000-0005-0000-0000-000002000000}"/>
    <cellStyle name="Comma 18" xfId="4" xr:uid="{00000000-0005-0000-0000-000003000000}"/>
    <cellStyle name="Comma 369" xfId="162" xr:uid="{00000000-0005-0000-0000-000004000000}"/>
    <cellStyle name="Comma 375" xfId="37" xr:uid="{00000000-0005-0000-0000-000005000000}"/>
    <cellStyle name="Comma 376" xfId="57" xr:uid="{00000000-0005-0000-0000-000006000000}"/>
    <cellStyle name="Comma 380" xfId="86" xr:uid="{00000000-0005-0000-0000-000007000000}"/>
    <cellStyle name="Comma 398" xfId="6" xr:uid="{00000000-0005-0000-0000-000008000000}"/>
    <cellStyle name="Comma 399" xfId="13" xr:uid="{00000000-0005-0000-0000-000009000000}"/>
    <cellStyle name="Comma 400" xfId="19" xr:uid="{00000000-0005-0000-0000-00000A000000}"/>
    <cellStyle name="Comma 401" xfId="27" xr:uid="{00000000-0005-0000-0000-00000B000000}"/>
    <cellStyle name="Comma 402" xfId="35" xr:uid="{00000000-0005-0000-0000-00000C000000}"/>
    <cellStyle name="Comma 403" xfId="44" xr:uid="{00000000-0005-0000-0000-00000D000000}"/>
    <cellStyle name="Comma 404" xfId="52" xr:uid="{00000000-0005-0000-0000-00000E000000}"/>
    <cellStyle name="Comma 405" xfId="64" xr:uid="{00000000-0005-0000-0000-00000F000000}"/>
    <cellStyle name="Comma 406" xfId="74" xr:uid="{00000000-0005-0000-0000-000010000000}"/>
    <cellStyle name="Comma 407" xfId="84" xr:uid="{00000000-0005-0000-0000-000011000000}"/>
    <cellStyle name="Comma 408" xfId="93" xr:uid="{00000000-0005-0000-0000-000012000000}"/>
    <cellStyle name="Comma 409" xfId="102" xr:uid="{00000000-0005-0000-0000-000013000000}"/>
    <cellStyle name="Comma 410" xfId="111" xr:uid="{00000000-0005-0000-0000-000014000000}"/>
    <cellStyle name="Comma 412" xfId="121" xr:uid="{00000000-0005-0000-0000-000015000000}"/>
    <cellStyle name="Comma 413" xfId="133" xr:uid="{00000000-0005-0000-0000-000016000000}"/>
    <cellStyle name="Comma 414" xfId="151" xr:uid="{00000000-0005-0000-0000-000017000000}"/>
    <cellStyle name="Comma 415" xfId="142" xr:uid="{00000000-0005-0000-0000-000018000000}"/>
    <cellStyle name="Comma 416" xfId="110" xr:uid="{00000000-0005-0000-0000-000019000000}"/>
    <cellStyle name="Comma 417" xfId="119" xr:uid="{00000000-0005-0000-0000-00001A000000}"/>
    <cellStyle name="Comma 418" xfId="125" xr:uid="{00000000-0005-0000-0000-00001B000000}"/>
    <cellStyle name="Comma 419" xfId="132" xr:uid="{00000000-0005-0000-0000-00001C000000}"/>
    <cellStyle name="Comma 420" xfId="141" xr:uid="{00000000-0005-0000-0000-00001D000000}"/>
    <cellStyle name="Comma 421" xfId="150" xr:uid="{00000000-0005-0000-0000-00001E000000}"/>
    <cellStyle name="Comma 422" xfId="159" xr:uid="{00000000-0005-0000-0000-00001F000000}"/>
    <cellStyle name="Comma 426" xfId="28" xr:uid="{00000000-0005-0000-0000-000020000000}"/>
    <cellStyle name="Comma 431" xfId="76" xr:uid="{00000000-0005-0000-0000-000021000000}"/>
    <cellStyle name="Comma 435" xfId="112" xr:uid="{00000000-0005-0000-0000-000022000000}"/>
    <cellStyle name="Comma 436" xfId="120" xr:uid="{00000000-0005-0000-0000-000023000000}"/>
    <cellStyle name="Comma 437" xfId="134" xr:uid="{00000000-0005-0000-0000-000024000000}"/>
    <cellStyle name="Comma 438" xfId="143" xr:uid="{00000000-0005-0000-0000-000025000000}"/>
    <cellStyle name="Comma 439" xfId="152" xr:uid="{00000000-0005-0000-0000-000026000000}"/>
    <cellStyle name="Comma 440" xfId="160" xr:uid="{00000000-0005-0000-0000-000027000000}"/>
    <cellStyle name="Comma 441" xfId="14" xr:uid="{00000000-0005-0000-0000-000028000000}"/>
    <cellStyle name="Comma 442" xfId="20" xr:uid="{00000000-0005-0000-0000-000029000000}"/>
    <cellStyle name="Comma 443" xfId="36" xr:uid="{00000000-0005-0000-0000-00002A000000}"/>
    <cellStyle name="Comma 444" xfId="45" xr:uid="{00000000-0005-0000-0000-00002B000000}"/>
    <cellStyle name="Comma 445" xfId="53" xr:uid="{00000000-0005-0000-0000-00002C000000}"/>
    <cellStyle name="Comma 446" xfId="65" xr:uid="{00000000-0005-0000-0000-00002D000000}"/>
    <cellStyle name="Comma 447" xfId="75" xr:uid="{00000000-0005-0000-0000-00002E000000}"/>
    <cellStyle name="Comma 448" xfId="85" xr:uid="{00000000-0005-0000-0000-00002F000000}"/>
    <cellStyle name="Comma 449" xfId="94" xr:uid="{00000000-0005-0000-0000-000030000000}"/>
    <cellStyle name="Comma 450" xfId="103" xr:uid="{00000000-0005-0000-0000-000031000000}"/>
    <cellStyle name="Normal" xfId="0" builtinId="0"/>
    <cellStyle name="Normal 385" xfId="161" xr:uid="{00000000-0005-0000-0000-000033000000}"/>
    <cellStyle name="Normal 392" xfId="54" xr:uid="{00000000-0005-0000-0000-000034000000}"/>
    <cellStyle name="Normal 393" xfId="66" xr:uid="{00000000-0005-0000-0000-000035000000}"/>
    <cellStyle name="Normal 394" xfId="67" xr:uid="{00000000-0005-0000-0000-000036000000}"/>
    <cellStyle name="Normal 395" xfId="77" xr:uid="{00000000-0005-0000-0000-000037000000}"/>
    <cellStyle name="Normal 398" xfId="95" xr:uid="{00000000-0005-0000-0000-000038000000}"/>
    <cellStyle name="Normal 417" xfId="104" xr:uid="{00000000-0005-0000-0000-000039000000}"/>
    <cellStyle name="Normal 418" xfId="113" xr:uid="{00000000-0005-0000-0000-00003A000000}"/>
    <cellStyle name="Normal 419" xfId="122" xr:uid="{00000000-0005-0000-0000-00003B000000}"/>
    <cellStyle name="Normal 420" xfId="126" xr:uid="{00000000-0005-0000-0000-00003C000000}"/>
    <cellStyle name="Normal 421" xfId="135" xr:uid="{00000000-0005-0000-0000-00003D000000}"/>
    <cellStyle name="Normal 422" xfId="144" xr:uid="{00000000-0005-0000-0000-00003E000000}"/>
    <cellStyle name="Normal 423" xfId="153" xr:uid="{00000000-0005-0000-0000-00003F000000}"/>
    <cellStyle name="Normal 424" xfId="16" xr:uid="{00000000-0005-0000-0000-000040000000}"/>
    <cellStyle name="Normal 425" xfId="7" xr:uid="{00000000-0005-0000-0000-000041000000}"/>
    <cellStyle name="Normal 426" xfId="21" xr:uid="{00000000-0005-0000-0000-000042000000}"/>
    <cellStyle name="Normal 427" xfId="29" xr:uid="{00000000-0005-0000-0000-000043000000}"/>
    <cellStyle name="Normal 428" xfId="38" xr:uid="{00000000-0005-0000-0000-000044000000}"/>
    <cellStyle name="Normal 429" xfId="46" xr:uid="{00000000-0005-0000-0000-000045000000}"/>
    <cellStyle name="Normal 430" xfId="58" xr:uid="{00000000-0005-0000-0000-000046000000}"/>
    <cellStyle name="Normal 431" xfId="68" xr:uid="{00000000-0005-0000-0000-000047000000}"/>
    <cellStyle name="Normal 432" xfId="78" xr:uid="{00000000-0005-0000-0000-000048000000}"/>
    <cellStyle name="Normal 433" xfId="87" xr:uid="{00000000-0005-0000-0000-000049000000}"/>
    <cellStyle name="Normal 434" xfId="96" xr:uid="{00000000-0005-0000-0000-00004A000000}"/>
    <cellStyle name="Normal 435" xfId="105" xr:uid="{00000000-0005-0000-0000-00004B000000}"/>
    <cellStyle name="Normal 436" xfId="114" xr:uid="{00000000-0005-0000-0000-00004C000000}"/>
    <cellStyle name="Normal 437" xfId="123" xr:uid="{00000000-0005-0000-0000-00004D000000}"/>
    <cellStyle name="Normal 438" xfId="127" xr:uid="{00000000-0005-0000-0000-00004E000000}"/>
    <cellStyle name="Normal 439" xfId="136" xr:uid="{00000000-0005-0000-0000-00004F000000}"/>
    <cellStyle name="Normal 440" xfId="145" xr:uid="{00000000-0005-0000-0000-000050000000}"/>
    <cellStyle name="Normal 441" xfId="154" xr:uid="{00000000-0005-0000-0000-000051000000}"/>
    <cellStyle name="Normal 442" xfId="8" xr:uid="{00000000-0005-0000-0000-000052000000}"/>
    <cellStyle name="Normal 443" xfId="22" xr:uid="{00000000-0005-0000-0000-000053000000}"/>
    <cellStyle name="Normal 444" xfId="30" xr:uid="{00000000-0005-0000-0000-000054000000}"/>
    <cellStyle name="Normal 445" xfId="39" xr:uid="{00000000-0005-0000-0000-000055000000}"/>
    <cellStyle name="Normal 446" xfId="47" xr:uid="{00000000-0005-0000-0000-000056000000}"/>
    <cellStyle name="Normal 447" xfId="59" xr:uid="{00000000-0005-0000-0000-000057000000}"/>
    <cellStyle name="Normal 448" xfId="69" xr:uid="{00000000-0005-0000-0000-000058000000}"/>
    <cellStyle name="Normal 449" xfId="79" xr:uid="{00000000-0005-0000-0000-000059000000}"/>
    <cellStyle name="Normal 450" xfId="88" xr:uid="{00000000-0005-0000-0000-00005A000000}"/>
    <cellStyle name="Normal 451" xfId="97" xr:uid="{00000000-0005-0000-0000-00005B000000}"/>
    <cellStyle name="Normal 452" xfId="106" xr:uid="{00000000-0005-0000-0000-00005C000000}"/>
    <cellStyle name="Normal 453" xfId="115" xr:uid="{00000000-0005-0000-0000-00005D000000}"/>
    <cellStyle name="Normal 454" xfId="124" xr:uid="{00000000-0005-0000-0000-00005E000000}"/>
    <cellStyle name="Normal 455" xfId="128" xr:uid="{00000000-0005-0000-0000-00005F000000}"/>
    <cellStyle name="Normal 456" xfId="137" xr:uid="{00000000-0005-0000-0000-000060000000}"/>
    <cellStyle name="Normal 457" xfId="146" xr:uid="{00000000-0005-0000-0000-000061000000}"/>
    <cellStyle name="Normal 458" xfId="155" xr:uid="{00000000-0005-0000-0000-000062000000}"/>
    <cellStyle name="Normal 459" xfId="107" xr:uid="{00000000-0005-0000-0000-000063000000}"/>
    <cellStyle name="Normal 460" xfId="116" xr:uid="{00000000-0005-0000-0000-000064000000}"/>
    <cellStyle name="Normal 461" xfId="129" xr:uid="{00000000-0005-0000-0000-000065000000}"/>
    <cellStyle name="Normal 462" xfId="138" xr:uid="{00000000-0005-0000-0000-000066000000}"/>
    <cellStyle name="Normal 463" xfId="147" xr:uid="{00000000-0005-0000-0000-000067000000}"/>
    <cellStyle name="Normal 464" xfId="156" xr:uid="{00000000-0005-0000-0000-000068000000}"/>
    <cellStyle name="Normal 465" xfId="9" xr:uid="{00000000-0005-0000-0000-000069000000}"/>
    <cellStyle name="Normal 466" xfId="23" xr:uid="{00000000-0005-0000-0000-00006A000000}"/>
    <cellStyle name="Normal 467" xfId="31" xr:uid="{00000000-0005-0000-0000-00006B000000}"/>
    <cellStyle name="Normal 468" xfId="40" xr:uid="{00000000-0005-0000-0000-00006C000000}"/>
    <cellStyle name="Normal 469" xfId="48" xr:uid="{00000000-0005-0000-0000-00006D000000}"/>
    <cellStyle name="Normal 470" xfId="60" xr:uid="{00000000-0005-0000-0000-00006E000000}"/>
    <cellStyle name="Normal 471" xfId="70" xr:uid="{00000000-0005-0000-0000-00006F000000}"/>
    <cellStyle name="Normal 472" xfId="80" xr:uid="{00000000-0005-0000-0000-000070000000}"/>
    <cellStyle name="Normal 473" xfId="89" xr:uid="{00000000-0005-0000-0000-000071000000}"/>
    <cellStyle name="Normal 474" xfId="98" xr:uid="{00000000-0005-0000-0000-000072000000}"/>
    <cellStyle name="Normal 477" xfId="117" xr:uid="{00000000-0005-0000-0000-000073000000}"/>
    <cellStyle name="Normal 478" xfId="130" xr:uid="{00000000-0005-0000-0000-000074000000}"/>
    <cellStyle name="Normal 479" xfId="139" xr:uid="{00000000-0005-0000-0000-000075000000}"/>
    <cellStyle name="Normal 480" xfId="148" xr:uid="{00000000-0005-0000-0000-000076000000}"/>
    <cellStyle name="Normal 481" xfId="157" xr:uid="{00000000-0005-0000-0000-000077000000}"/>
    <cellStyle name="Normal 485" xfId="10" xr:uid="{00000000-0005-0000-0000-000078000000}"/>
    <cellStyle name="Normal 486" xfId="24" xr:uid="{00000000-0005-0000-0000-000079000000}"/>
    <cellStyle name="Normal 487" xfId="32" xr:uid="{00000000-0005-0000-0000-00007A000000}"/>
    <cellStyle name="Normal 488" xfId="41" xr:uid="{00000000-0005-0000-0000-00007B000000}"/>
    <cellStyle name="Normal 489" xfId="49" xr:uid="{00000000-0005-0000-0000-00007C000000}"/>
    <cellStyle name="Normal 490" xfId="61" xr:uid="{00000000-0005-0000-0000-00007D000000}"/>
    <cellStyle name="Normal 491" xfId="71" xr:uid="{00000000-0005-0000-0000-00007E000000}"/>
    <cellStyle name="Normal 492" xfId="81" xr:uid="{00000000-0005-0000-0000-00007F000000}"/>
    <cellStyle name="Normal 493" xfId="90" xr:uid="{00000000-0005-0000-0000-000080000000}"/>
    <cellStyle name="Normal 494" xfId="99" xr:uid="{00000000-0005-0000-0000-000081000000}"/>
    <cellStyle name="Normal 495" xfId="108" xr:uid="{00000000-0005-0000-0000-000082000000}"/>
    <cellStyle name="Normal 496" xfId="11" xr:uid="{00000000-0005-0000-0000-000083000000}"/>
    <cellStyle name="Normal 497" xfId="25" xr:uid="{00000000-0005-0000-0000-000084000000}"/>
    <cellStyle name="Normal 498" xfId="33" xr:uid="{00000000-0005-0000-0000-000085000000}"/>
    <cellStyle name="Normal 499" xfId="42" xr:uid="{00000000-0005-0000-0000-000086000000}"/>
    <cellStyle name="Normal 500" xfId="50" xr:uid="{00000000-0005-0000-0000-000087000000}"/>
    <cellStyle name="Normal 501" xfId="62" xr:uid="{00000000-0005-0000-0000-000088000000}"/>
    <cellStyle name="Normal 502" xfId="72" xr:uid="{00000000-0005-0000-0000-000089000000}"/>
    <cellStyle name="Normal 503" xfId="82" xr:uid="{00000000-0005-0000-0000-00008A000000}"/>
    <cellStyle name="Normal 504" xfId="91" xr:uid="{00000000-0005-0000-0000-00008B000000}"/>
    <cellStyle name="Normal 505" xfId="100" xr:uid="{00000000-0005-0000-0000-00008C000000}"/>
    <cellStyle name="Normal 506" xfId="109" xr:uid="{00000000-0005-0000-0000-00008D000000}"/>
    <cellStyle name="Normal 507" xfId="118" xr:uid="{00000000-0005-0000-0000-00008E000000}"/>
    <cellStyle name="Normal 508" xfId="131" xr:uid="{00000000-0005-0000-0000-00008F000000}"/>
    <cellStyle name="Normal 509" xfId="140" xr:uid="{00000000-0005-0000-0000-000090000000}"/>
    <cellStyle name="Normal 510" xfId="149" xr:uid="{00000000-0005-0000-0000-000091000000}"/>
    <cellStyle name="Normal 511" xfId="158" xr:uid="{00000000-0005-0000-0000-000092000000}"/>
    <cellStyle name="Normal 513" xfId="12" xr:uid="{00000000-0005-0000-0000-000093000000}"/>
    <cellStyle name="Normal 514" xfId="26" xr:uid="{00000000-0005-0000-0000-000094000000}"/>
    <cellStyle name="Normal 515" xfId="34" xr:uid="{00000000-0005-0000-0000-000095000000}"/>
    <cellStyle name="Normal 516" xfId="43" xr:uid="{00000000-0005-0000-0000-000096000000}"/>
    <cellStyle name="Normal 517" xfId="51" xr:uid="{00000000-0005-0000-0000-000097000000}"/>
    <cellStyle name="Normal 518" xfId="63" xr:uid="{00000000-0005-0000-0000-000098000000}"/>
    <cellStyle name="Normal 519" xfId="73" xr:uid="{00000000-0005-0000-0000-000099000000}"/>
    <cellStyle name="Normal 520" xfId="83" xr:uid="{00000000-0005-0000-0000-00009A000000}"/>
    <cellStyle name="Normal 521" xfId="92" xr:uid="{00000000-0005-0000-0000-00009B000000}"/>
    <cellStyle name="Normal 522" xfId="101" xr:uid="{00000000-0005-0000-0000-00009C000000}"/>
    <cellStyle name="Normal 527" xfId="17" xr:uid="{00000000-0005-0000-0000-00009D000000}"/>
    <cellStyle name="Normal 532" xfId="55" xr:uid="{00000000-0005-0000-0000-00009E000000}"/>
    <cellStyle name="Normal 569" xfId="18" xr:uid="{00000000-0005-0000-0000-00009F000000}"/>
    <cellStyle name="Normal 573" xfId="56" xr:uid="{00000000-0005-0000-0000-0000A0000000}"/>
    <cellStyle name="Normal 579" xfId="15" xr:uid="{00000000-0005-0000-0000-0000A1000000}"/>
    <cellStyle name="Percent" xfId="2" builtinId="5"/>
    <cellStyle name="Percent 2 2" xfId="163" xr:uid="{00000000-0005-0000-0000-0000A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opLeftCell="A25" workbookViewId="0">
      <pane xSplit="2" topLeftCell="U1" activePane="topRight" state="frozen"/>
      <selection pane="topRight" activeCell="AB44" sqref="AB44"/>
      <selection activeCell="A31" sqref="A31"/>
    </sheetView>
  </sheetViews>
  <sheetFormatPr defaultColWidth="9.140625" defaultRowHeight="13.15"/>
  <cols>
    <col min="1" max="1" width="5.42578125" style="18" bestFit="1" customWidth="1"/>
    <col min="2" max="2" width="47.28515625" style="18" bestFit="1" customWidth="1"/>
    <col min="3" max="7" width="15.42578125" style="18" customWidth="1"/>
    <col min="8" max="8" width="18.7109375" style="18" bestFit="1" customWidth="1"/>
    <col min="9" max="10" width="18.7109375" style="18" customWidth="1"/>
    <col min="11" max="11" width="18.7109375" style="18" bestFit="1" customWidth="1"/>
    <col min="12" max="13" width="18.7109375" style="18" hidden="1" customWidth="1"/>
    <col min="14" max="14" width="18.7109375" style="18" bestFit="1" customWidth="1"/>
    <col min="15" max="16" width="15.28515625" style="18" bestFit="1" customWidth="1"/>
    <col min="17" max="22" width="15.28515625" style="73" bestFit="1" customWidth="1"/>
    <col min="23" max="27" width="15.28515625" style="18" bestFit="1" customWidth="1"/>
    <col min="28" max="28" width="17.85546875" style="73" bestFit="1" customWidth="1"/>
    <col min="29" max="16384" width="9.140625" style="18"/>
  </cols>
  <sheetData>
    <row r="1" spans="1:31">
      <c r="A1" s="1"/>
      <c r="B1" s="2" t="s">
        <v>0</v>
      </c>
      <c r="C1" s="3"/>
      <c r="D1" s="3"/>
      <c r="E1" s="3"/>
      <c r="F1" s="3"/>
      <c r="G1" s="3"/>
      <c r="Q1" s="73">
        <f>+V:V</f>
        <v>0</v>
      </c>
    </row>
    <row r="2" spans="1:31">
      <c r="A2" s="1"/>
      <c r="B2" s="4" t="s">
        <v>1</v>
      </c>
      <c r="C2" s="3"/>
      <c r="D2" s="3"/>
      <c r="E2" s="3"/>
      <c r="F2" s="3"/>
      <c r="G2" s="3"/>
    </row>
    <row r="3" spans="1:31">
      <c r="A3" s="5"/>
      <c r="B3" s="4" t="s">
        <v>2</v>
      </c>
      <c r="C3" s="4" t="s">
        <v>3</v>
      </c>
      <c r="D3" s="4" t="s">
        <v>4</v>
      </c>
      <c r="E3" s="67" t="s">
        <v>5</v>
      </c>
      <c r="F3" s="67" t="s">
        <v>6</v>
      </c>
      <c r="G3" s="67" t="s">
        <v>7</v>
      </c>
      <c r="H3" s="67" t="s">
        <v>8</v>
      </c>
      <c r="I3" s="111" t="s">
        <v>9</v>
      </c>
      <c r="J3" s="67" t="s">
        <v>10</v>
      </c>
      <c r="K3" s="67" t="s">
        <v>11</v>
      </c>
      <c r="L3" s="67" t="s">
        <v>12</v>
      </c>
      <c r="M3" s="67" t="s">
        <v>13</v>
      </c>
      <c r="N3" s="67" t="s">
        <v>14</v>
      </c>
      <c r="O3" s="67" t="s">
        <v>15</v>
      </c>
      <c r="P3" s="162">
        <v>44562</v>
      </c>
      <c r="Q3" s="162">
        <v>44593</v>
      </c>
      <c r="R3" s="162">
        <v>44621</v>
      </c>
      <c r="S3" s="162">
        <v>44652</v>
      </c>
      <c r="T3" s="162">
        <v>44682</v>
      </c>
      <c r="U3" s="162">
        <v>44713</v>
      </c>
      <c r="V3" s="162">
        <v>44743</v>
      </c>
      <c r="W3" s="162">
        <v>44774</v>
      </c>
      <c r="X3" s="162">
        <v>44805</v>
      </c>
      <c r="Y3" s="162">
        <v>44835</v>
      </c>
      <c r="Z3" s="162">
        <v>44866</v>
      </c>
      <c r="AA3" s="162">
        <v>44896</v>
      </c>
      <c r="AB3" s="169">
        <v>44927</v>
      </c>
    </row>
    <row r="4" spans="1:31">
      <c r="A4" s="6">
        <v>1</v>
      </c>
      <c r="B4" s="7" t="s">
        <v>16</v>
      </c>
      <c r="C4" s="8">
        <f t="shared" ref="C4:AB4" si="0">C5+C6</f>
        <v>135389884.92000002</v>
      </c>
      <c r="D4" s="8">
        <f t="shared" si="0"/>
        <v>131125577.81</v>
      </c>
      <c r="E4" s="8">
        <f t="shared" si="0"/>
        <v>139791330.88</v>
      </c>
      <c r="F4" s="8">
        <f t="shared" si="0"/>
        <v>80204438.020000011</v>
      </c>
      <c r="G4" s="8">
        <f t="shared" si="0"/>
        <v>113731279.47</v>
      </c>
      <c r="H4" s="105">
        <f t="shared" si="0"/>
        <v>209327276.71000001</v>
      </c>
      <c r="I4" s="105">
        <f t="shared" si="0"/>
        <v>104853133.12</v>
      </c>
      <c r="J4" s="105">
        <f t="shared" si="0"/>
        <v>139151322.25</v>
      </c>
      <c r="K4" s="105">
        <f t="shared" si="0"/>
        <v>198033744.40000001</v>
      </c>
      <c r="L4" s="105">
        <f t="shared" si="0"/>
        <v>223340971.5</v>
      </c>
      <c r="M4" s="105">
        <f t="shared" si="0"/>
        <v>217888119.77000001</v>
      </c>
      <c r="N4" s="105">
        <f t="shared" si="0"/>
        <v>371352866.29999995</v>
      </c>
      <c r="O4" s="105">
        <f t="shared" si="0"/>
        <v>462253409.79999977</v>
      </c>
      <c r="P4" s="105">
        <f t="shared" si="0"/>
        <v>383194415.35000002</v>
      </c>
      <c r="Q4" s="105">
        <f t="shared" si="0"/>
        <v>309771541.88999999</v>
      </c>
      <c r="R4" s="105">
        <f t="shared" si="0"/>
        <v>272709192.63999999</v>
      </c>
      <c r="S4" s="105">
        <f t="shared" si="0"/>
        <v>185536234.50999999</v>
      </c>
      <c r="T4" s="105">
        <f t="shared" si="0"/>
        <v>158582291.70999998</v>
      </c>
      <c r="U4" s="105">
        <f t="shared" si="0"/>
        <v>212698439.81</v>
      </c>
      <c r="V4" s="105">
        <f t="shared" si="0"/>
        <v>181487698.96000001</v>
      </c>
      <c r="W4" s="105">
        <f t="shared" si="0"/>
        <v>201036163.39999998</v>
      </c>
      <c r="X4" s="105">
        <f t="shared" si="0"/>
        <v>284760811.47999996</v>
      </c>
      <c r="Y4" s="105">
        <f t="shared" si="0"/>
        <v>178873157.97</v>
      </c>
      <c r="Z4" s="105">
        <f t="shared" si="0"/>
        <v>180534792.23999998</v>
      </c>
      <c r="AA4" s="105">
        <f t="shared" si="0"/>
        <v>177609147.13</v>
      </c>
      <c r="AB4" s="170">
        <f t="shared" si="0"/>
        <v>962830488</v>
      </c>
    </row>
    <row r="5" spans="1:31">
      <c r="A5" s="6">
        <v>1.1000000000000001</v>
      </c>
      <c r="B5" s="7" t="s">
        <v>17</v>
      </c>
      <c r="C5" s="9">
        <v>31279114.829999998</v>
      </c>
      <c r="D5" s="9">
        <v>48127259.969999999</v>
      </c>
      <c r="E5" s="9">
        <v>37977415.469999999</v>
      </c>
      <c r="F5" s="9">
        <v>40077477.740000002</v>
      </c>
      <c r="G5" s="9">
        <v>30251498.920000002</v>
      </c>
      <c r="H5" s="106">
        <v>32422670.210000001</v>
      </c>
      <c r="I5" s="112">
        <v>32412927.390000001</v>
      </c>
      <c r="J5" s="109">
        <v>30878214.609999999</v>
      </c>
      <c r="K5" s="9">
        <v>39884446.130000003</v>
      </c>
      <c r="L5" s="9">
        <v>41553110.369999997</v>
      </c>
      <c r="M5" s="9">
        <v>32734773.16</v>
      </c>
      <c r="N5" s="9">
        <v>51067015.530000001</v>
      </c>
      <c r="O5" s="9">
        <v>11294294.109999999</v>
      </c>
      <c r="P5" s="154">
        <v>32909838.91</v>
      </c>
      <c r="Q5" s="154">
        <v>34036237.079999998</v>
      </c>
      <c r="R5" s="154">
        <v>34940334.759999998</v>
      </c>
      <c r="S5" s="154">
        <v>94164934.939999998</v>
      </c>
      <c r="T5" s="154">
        <v>12160944.26</v>
      </c>
      <c r="U5" s="154">
        <v>12344638.58</v>
      </c>
      <c r="V5" s="154">
        <v>8717409.5800000001</v>
      </c>
      <c r="W5" s="154">
        <v>9616178.1699999999</v>
      </c>
      <c r="X5" s="154">
        <v>11071926.529999999</v>
      </c>
      <c r="Y5" s="154">
        <v>6513818.8499999996</v>
      </c>
      <c r="Z5" s="154">
        <v>9528453.6999999993</v>
      </c>
      <c r="AA5" s="154">
        <v>9269846.4700000007</v>
      </c>
      <c r="AB5" s="73">
        <v>4198511</v>
      </c>
    </row>
    <row r="6" spans="1:31">
      <c r="A6" s="6">
        <v>1.2</v>
      </c>
      <c r="B6" s="7" t="s">
        <v>18</v>
      </c>
      <c r="C6" s="9">
        <v>104110770.09</v>
      </c>
      <c r="D6" s="9">
        <v>82998317.840000004</v>
      </c>
      <c r="E6" s="9">
        <v>101813915.41</v>
      </c>
      <c r="F6" s="9">
        <v>40126960.280000001</v>
      </c>
      <c r="G6" s="9">
        <v>83479780.549999997</v>
      </c>
      <c r="H6" s="106">
        <v>176904606.5</v>
      </c>
      <c r="I6" s="112">
        <v>72440205.730000004</v>
      </c>
      <c r="J6" s="109">
        <v>108273107.64</v>
      </c>
      <c r="K6" s="9">
        <v>158149298.27000001</v>
      </c>
      <c r="L6" s="9">
        <v>181787861.13</v>
      </c>
      <c r="M6" s="9">
        <v>185153346.61000001</v>
      </c>
      <c r="N6" s="9">
        <v>320285850.76999998</v>
      </c>
      <c r="O6" s="9">
        <v>450959115.68999976</v>
      </c>
      <c r="P6" s="154">
        <v>350284576.44</v>
      </c>
      <c r="Q6" s="154">
        <v>275735304.81</v>
      </c>
      <c r="R6" s="154">
        <v>237768857.88</v>
      </c>
      <c r="S6" s="154">
        <v>91371299.569999993</v>
      </c>
      <c r="T6" s="154">
        <v>146421347.44999999</v>
      </c>
      <c r="U6" s="154">
        <v>200353801.22999999</v>
      </c>
      <c r="V6" s="154">
        <v>172770289.38</v>
      </c>
      <c r="W6" s="154">
        <v>191419985.22999999</v>
      </c>
      <c r="X6" s="154">
        <v>273688884.94999999</v>
      </c>
      <c r="Y6" s="154">
        <v>172359339.12</v>
      </c>
      <c r="Z6" s="154">
        <v>171006338.53999999</v>
      </c>
      <c r="AA6" s="154">
        <v>168339300.66</v>
      </c>
      <c r="AB6" s="73">
        <f>962830488-4198511</f>
        <v>958631977</v>
      </c>
    </row>
    <row r="7" spans="1:31">
      <c r="A7" s="6">
        <v>2</v>
      </c>
      <c r="B7" s="10" t="s">
        <v>19</v>
      </c>
      <c r="C7" s="9">
        <v>16827815.010000002</v>
      </c>
      <c r="D7" s="9">
        <v>16854549.010000002</v>
      </c>
      <c r="E7" s="9">
        <v>16514528.01</v>
      </c>
      <c r="F7" s="9">
        <v>16640738.01</v>
      </c>
      <c r="G7" s="9">
        <v>16853397.010000002</v>
      </c>
      <c r="H7" s="106">
        <v>16890326.510000002</v>
      </c>
      <c r="I7" s="112">
        <v>17050969.510000002</v>
      </c>
      <c r="J7" s="109">
        <v>17176349.510000002</v>
      </c>
      <c r="K7" s="9">
        <v>16505982.51</v>
      </c>
      <c r="L7" s="9">
        <v>16542911.51</v>
      </c>
      <c r="M7" s="9">
        <v>16628413.01</v>
      </c>
      <c r="N7" s="9">
        <v>16629913.01</v>
      </c>
      <c r="O7" s="9">
        <v>48893961.009999998</v>
      </c>
      <c r="P7" s="154">
        <v>16697985.01</v>
      </c>
      <c r="Q7" s="154">
        <v>16773085.01</v>
      </c>
      <c r="R7" s="154">
        <v>16995228.010000002</v>
      </c>
      <c r="S7" s="154">
        <v>16694642.369999999</v>
      </c>
      <c r="T7" s="154">
        <v>17001286.370000001</v>
      </c>
      <c r="U7" s="154">
        <v>17236673.59</v>
      </c>
      <c r="V7" s="154">
        <v>17434298.59</v>
      </c>
      <c r="W7" s="154">
        <v>17619007.59</v>
      </c>
      <c r="X7" s="154">
        <v>16533163.59</v>
      </c>
      <c r="Y7" s="154">
        <v>16564306.59</v>
      </c>
      <c r="Z7" s="154">
        <v>16561806.59</v>
      </c>
      <c r="AA7" s="154">
        <v>15789217.5</v>
      </c>
      <c r="AB7" s="73">
        <v>52796232</v>
      </c>
    </row>
    <row r="8" spans="1:31">
      <c r="A8" s="6">
        <v>3</v>
      </c>
      <c r="B8" s="10" t="s">
        <v>20</v>
      </c>
      <c r="C8" s="85">
        <f t="shared" ref="C8:AB8" si="1">SUM(C9:C12)</f>
        <v>513012814.11000001</v>
      </c>
      <c r="D8" s="85">
        <f t="shared" si="1"/>
        <v>513122814.11000001</v>
      </c>
      <c r="E8" s="85">
        <f t="shared" si="1"/>
        <v>482049021.26999998</v>
      </c>
      <c r="F8" s="85">
        <f t="shared" si="1"/>
        <v>482159021.26999998</v>
      </c>
      <c r="G8" s="85">
        <f t="shared" si="1"/>
        <v>432279021.26999998</v>
      </c>
      <c r="H8" s="107">
        <f t="shared" si="1"/>
        <v>430649021.26999998</v>
      </c>
      <c r="I8" s="107">
        <f t="shared" si="1"/>
        <v>480759021.26999998</v>
      </c>
      <c r="J8" s="107">
        <f t="shared" si="1"/>
        <v>480869021.26999998</v>
      </c>
      <c r="K8" s="107">
        <f t="shared" si="1"/>
        <v>480979021.26999998</v>
      </c>
      <c r="L8" s="107">
        <f t="shared" si="1"/>
        <v>479244021.26999998</v>
      </c>
      <c r="M8" s="107">
        <f t="shared" si="1"/>
        <v>524021977.94999999</v>
      </c>
      <c r="N8" s="107">
        <f t="shared" si="1"/>
        <v>530402110.47000003</v>
      </c>
      <c r="O8" s="107">
        <f t="shared" si="1"/>
        <v>447346472.14999998</v>
      </c>
      <c r="P8" s="107">
        <f t="shared" si="1"/>
        <v>530402110.47000003</v>
      </c>
      <c r="Q8" s="107">
        <f t="shared" si="1"/>
        <v>610522110.47000003</v>
      </c>
      <c r="R8" s="107">
        <f t="shared" si="1"/>
        <v>710632110.47000003</v>
      </c>
      <c r="S8" s="107">
        <f t="shared" si="1"/>
        <v>718587016.04999995</v>
      </c>
      <c r="T8" s="107">
        <f t="shared" si="1"/>
        <v>726563941.19000006</v>
      </c>
      <c r="U8" s="107">
        <f t="shared" si="1"/>
        <v>726673941.19000006</v>
      </c>
      <c r="V8" s="107">
        <f t="shared" si="1"/>
        <v>734026643.28999996</v>
      </c>
      <c r="W8" s="107">
        <f t="shared" si="1"/>
        <v>734136643.28999996</v>
      </c>
      <c r="X8" s="107">
        <f t="shared" si="1"/>
        <v>734246643.28999996</v>
      </c>
      <c r="Y8" s="107">
        <f t="shared" si="1"/>
        <v>834356643.28999996</v>
      </c>
      <c r="Z8" s="107">
        <f t="shared" si="1"/>
        <v>834466643.28999996</v>
      </c>
      <c r="AA8" s="107">
        <f t="shared" si="1"/>
        <v>862176254.08000004</v>
      </c>
      <c r="AB8" s="171">
        <f t="shared" si="1"/>
        <v>122325438</v>
      </c>
    </row>
    <row r="9" spans="1:31">
      <c r="A9" s="6">
        <v>3.1</v>
      </c>
      <c r="B9" s="7" t="s">
        <v>21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6">
        <v>0</v>
      </c>
      <c r="I9" s="113">
        <v>0</v>
      </c>
      <c r="J9" s="109">
        <v>0</v>
      </c>
      <c r="K9" s="9">
        <v>0</v>
      </c>
      <c r="L9" s="9">
        <v>0</v>
      </c>
      <c r="M9" s="9">
        <v>0</v>
      </c>
      <c r="N9" s="9">
        <v>0</v>
      </c>
      <c r="O9" s="9"/>
      <c r="P9" s="154">
        <v>0</v>
      </c>
      <c r="Q9" s="154">
        <v>0</v>
      </c>
      <c r="R9" s="154">
        <v>0</v>
      </c>
      <c r="S9" s="154">
        <v>0</v>
      </c>
      <c r="T9" s="154">
        <v>0</v>
      </c>
      <c r="U9" s="154">
        <v>0</v>
      </c>
      <c r="V9" s="154">
        <v>0</v>
      </c>
      <c r="W9" s="154">
        <v>0</v>
      </c>
      <c r="X9" s="154">
        <v>0</v>
      </c>
      <c r="Y9" s="154">
        <v>0</v>
      </c>
      <c r="Z9" s="154">
        <v>0</v>
      </c>
      <c r="AA9" s="154">
        <v>0</v>
      </c>
    </row>
    <row r="10" spans="1:31">
      <c r="A10" s="6">
        <v>3.2</v>
      </c>
      <c r="B10" s="7" t="s">
        <v>22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6">
        <v>0</v>
      </c>
      <c r="I10" s="113">
        <v>0</v>
      </c>
      <c r="J10" s="109">
        <v>0</v>
      </c>
      <c r="K10" s="9">
        <v>0</v>
      </c>
      <c r="L10" s="9">
        <v>0</v>
      </c>
      <c r="M10" s="9">
        <v>0</v>
      </c>
      <c r="N10" s="9">
        <v>0</v>
      </c>
      <c r="O10" s="9"/>
      <c r="P10" s="154">
        <v>0</v>
      </c>
      <c r="Q10" s="154">
        <v>0</v>
      </c>
      <c r="R10" s="154">
        <v>0</v>
      </c>
      <c r="S10" s="154">
        <v>0</v>
      </c>
      <c r="T10" s="154">
        <v>0</v>
      </c>
      <c r="U10" s="154">
        <v>0</v>
      </c>
      <c r="V10" s="154">
        <v>0</v>
      </c>
      <c r="W10" s="154">
        <v>0</v>
      </c>
      <c r="X10" s="154">
        <v>0</v>
      </c>
      <c r="Y10" s="154">
        <v>0</v>
      </c>
      <c r="Z10" s="154">
        <v>0</v>
      </c>
      <c r="AA10" s="154">
        <v>0</v>
      </c>
    </row>
    <row r="11" spans="1:31">
      <c r="A11" s="6" t="s">
        <v>23</v>
      </c>
      <c r="B11" s="7" t="s">
        <v>24</v>
      </c>
      <c r="C11" s="9">
        <v>241272824.81</v>
      </c>
      <c r="D11" s="9">
        <v>241382824.81</v>
      </c>
      <c r="E11" s="9">
        <v>206304238.19999999</v>
      </c>
      <c r="F11" s="9">
        <v>206414238.19999999</v>
      </c>
      <c r="G11" s="9">
        <v>206534238.19999999</v>
      </c>
      <c r="H11" s="106">
        <v>204904238.19999999</v>
      </c>
      <c r="I11" s="112">
        <v>255014238.19999999</v>
      </c>
      <c r="J11" s="109">
        <v>255124238.19999999</v>
      </c>
      <c r="K11" s="9">
        <v>255234238.19999999</v>
      </c>
      <c r="L11" s="9">
        <v>253499238.19999999</v>
      </c>
      <c r="M11" s="9">
        <v>205449238.19999999</v>
      </c>
      <c r="N11" s="9">
        <v>207511833.78999999</v>
      </c>
      <c r="O11" s="9">
        <v>122093385.80000001</v>
      </c>
      <c r="P11" s="154">
        <v>207511833.78999999</v>
      </c>
      <c r="Q11" s="154">
        <v>207631833.78999999</v>
      </c>
      <c r="R11" s="154">
        <v>207741833.78999999</v>
      </c>
      <c r="S11" s="154">
        <v>213333929.5</v>
      </c>
      <c r="T11" s="154">
        <v>233443929.5</v>
      </c>
      <c r="U11" s="154">
        <v>233553929.5</v>
      </c>
      <c r="V11" s="154">
        <v>233663929.5</v>
      </c>
      <c r="W11" s="154">
        <v>233773929.5</v>
      </c>
      <c r="X11" s="154">
        <v>233883929.5</v>
      </c>
      <c r="Y11" s="154">
        <v>233993929.5</v>
      </c>
      <c r="Z11" s="154">
        <v>234103929.5</v>
      </c>
      <c r="AA11" s="154">
        <v>234213929.5</v>
      </c>
      <c r="AB11" s="73">
        <v>122193386</v>
      </c>
    </row>
    <row r="12" spans="1:31">
      <c r="A12" s="6" t="s">
        <v>25</v>
      </c>
      <c r="B12" s="7" t="s">
        <v>26</v>
      </c>
      <c r="C12" s="9">
        <v>271739989.30000001</v>
      </c>
      <c r="D12" s="9">
        <v>271739989.30000001</v>
      </c>
      <c r="E12" s="9">
        <v>275744783.06999999</v>
      </c>
      <c r="F12" s="9">
        <v>275744783.06999999</v>
      </c>
      <c r="G12" s="9">
        <v>225744783.06999999</v>
      </c>
      <c r="H12" s="106">
        <v>225744783.06999999</v>
      </c>
      <c r="I12" s="112">
        <v>225744783.06999999</v>
      </c>
      <c r="J12" s="109">
        <v>225744783.06999999</v>
      </c>
      <c r="K12" s="9">
        <v>225744783.06999999</v>
      </c>
      <c r="L12" s="9">
        <v>225744783.06999999</v>
      </c>
      <c r="M12" s="9">
        <v>318572739.75</v>
      </c>
      <c r="N12" s="9">
        <v>322890276.68000001</v>
      </c>
      <c r="O12" s="9">
        <v>325253086.34999996</v>
      </c>
      <c r="P12" s="154">
        <v>322890276.68000001</v>
      </c>
      <c r="Q12" s="154">
        <v>402890276.68000001</v>
      </c>
      <c r="R12" s="154">
        <v>502890276.68000001</v>
      </c>
      <c r="S12" s="154">
        <v>505253086.55000001</v>
      </c>
      <c r="T12" s="154">
        <v>493120011.69</v>
      </c>
      <c r="U12" s="154">
        <v>493120011.69</v>
      </c>
      <c r="V12" s="154">
        <v>500362713.79000002</v>
      </c>
      <c r="W12" s="154">
        <v>500362713.79000002</v>
      </c>
      <c r="X12" s="154">
        <v>500362713.79000002</v>
      </c>
      <c r="Y12" s="154">
        <v>600362713.78999996</v>
      </c>
      <c r="Z12" s="154">
        <v>600362713.78999996</v>
      </c>
      <c r="AA12" s="154">
        <v>627962324.58000004</v>
      </c>
      <c r="AB12" s="73">
        <v>132052</v>
      </c>
    </row>
    <row r="13" spans="1:31">
      <c r="A13" s="6">
        <v>4</v>
      </c>
      <c r="B13" s="10" t="s">
        <v>27</v>
      </c>
      <c r="C13" s="85">
        <f t="shared" ref="C13:AB13" si="2">C14-C15</f>
        <v>3888388917.27</v>
      </c>
      <c r="D13" s="85">
        <f t="shared" si="2"/>
        <v>3932895659.5900002</v>
      </c>
      <c r="E13" s="85">
        <f t="shared" si="2"/>
        <v>3967706099.21</v>
      </c>
      <c r="F13" s="85">
        <f t="shared" si="2"/>
        <v>3892841983.3800001</v>
      </c>
      <c r="G13" s="85">
        <f t="shared" si="2"/>
        <v>3937943195.71</v>
      </c>
      <c r="H13" s="107">
        <f t="shared" si="2"/>
        <v>3933550042.4000001</v>
      </c>
      <c r="I13" s="107">
        <f t="shared" si="2"/>
        <v>4003291493.77</v>
      </c>
      <c r="J13" s="107">
        <f t="shared" si="2"/>
        <v>4041633811.1100001</v>
      </c>
      <c r="K13" s="107">
        <f t="shared" si="2"/>
        <v>4049949460.0999999</v>
      </c>
      <c r="L13" s="107">
        <f t="shared" si="2"/>
        <v>4097479887.9799995</v>
      </c>
      <c r="M13" s="107">
        <f t="shared" si="2"/>
        <v>4129949025.04</v>
      </c>
      <c r="N13" s="107">
        <f t="shared" si="2"/>
        <v>4073378716.2799997</v>
      </c>
      <c r="O13" s="107">
        <f t="shared" si="2"/>
        <v>4033520922.3900003</v>
      </c>
      <c r="P13" s="107">
        <f t="shared" si="2"/>
        <v>4099713333.2299995</v>
      </c>
      <c r="Q13" s="107">
        <f t="shared" si="2"/>
        <v>4109927628.8599997</v>
      </c>
      <c r="R13" s="107">
        <f t="shared" si="2"/>
        <v>4118524635.9099998</v>
      </c>
      <c r="S13" s="107">
        <f t="shared" si="2"/>
        <v>3987499345.5799999</v>
      </c>
      <c r="T13" s="107">
        <f t="shared" si="2"/>
        <v>4045298662.5500002</v>
      </c>
      <c r="U13" s="107">
        <f t="shared" si="2"/>
        <v>4036920969.7799997</v>
      </c>
      <c r="V13" s="107">
        <f t="shared" si="2"/>
        <v>4059922371.6899996</v>
      </c>
      <c r="W13" s="107">
        <f t="shared" si="2"/>
        <v>4054394459.6200004</v>
      </c>
      <c r="X13" s="107">
        <f t="shared" si="2"/>
        <v>4043233231.0799994</v>
      </c>
      <c r="Y13" s="107">
        <f t="shared" si="2"/>
        <v>4103751435.1799998</v>
      </c>
      <c r="Z13" s="107">
        <f t="shared" si="2"/>
        <v>4114773659.0099998</v>
      </c>
      <c r="AA13" s="107">
        <f t="shared" si="2"/>
        <v>3971591617.48</v>
      </c>
      <c r="AB13" s="171">
        <f t="shared" si="2"/>
        <v>3971733824</v>
      </c>
    </row>
    <row r="14" spans="1:31">
      <c r="A14" s="11">
        <v>4.0999999999999996</v>
      </c>
      <c r="B14" s="7" t="s">
        <v>28</v>
      </c>
      <c r="C14" s="9">
        <v>4122915018.73</v>
      </c>
      <c r="D14" s="9">
        <v>4167421761.0500002</v>
      </c>
      <c r="E14" s="9">
        <v>4202232200.6700001</v>
      </c>
      <c r="F14" s="9">
        <v>4127368084.8400002</v>
      </c>
      <c r="G14" s="9">
        <v>4172469297.1700001</v>
      </c>
      <c r="H14" s="106">
        <v>4168076143.8600001</v>
      </c>
      <c r="I14" s="112">
        <v>4237817595.23</v>
      </c>
      <c r="J14" s="109">
        <v>4276159912.5700002</v>
      </c>
      <c r="K14" s="9">
        <v>4284475561.5599999</v>
      </c>
      <c r="L14" s="9">
        <v>4332005989.4399996</v>
      </c>
      <c r="M14" s="9">
        <v>4364475126.5</v>
      </c>
      <c r="N14" s="9">
        <v>4317904817.7399998</v>
      </c>
      <c r="O14" s="9">
        <v>4318047023.9200001</v>
      </c>
      <c r="P14" s="154">
        <v>4344239434.6899996</v>
      </c>
      <c r="Q14" s="154">
        <v>4354453730.3199997</v>
      </c>
      <c r="R14" s="154">
        <v>4363050737.3699999</v>
      </c>
      <c r="S14" s="154">
        <v>4292808322.04</v>
      </c>
      <c r="T14" s="154">
        <v>4350607639.0100002</v>
      </c>
      <c r="U14" s="154">
        <v>4342229946.2399998</v>
      </c>
      <c r="V14" s="154">
        <v>4365231348.1499996</v>
      </c>
      <c r="W14" s="154">
        <v>4359004855.5200005</v>
      </c>
      <c r="X14" s="154">
        <v>4347843626.9799995</v>
      </c>
      <c r="Y14" s="154">
        <v>4408361831.0799999</v>
      </c>
      <c r="Z14" s="154">
        <v>4419384054.9099998</v>
      </c>
      <c r="AA14" s="154">
        <v>3992286971.21</v>
      </c>
      <c r="AB14" s="73">
        <v>3992429178</v>
      </c>
    </row>
    <row r="15" spans="1:31">
      <c r="A15" s="11">
        <v>4.2</v>
      </c>
      <c r="B15" s="7" t="s">
        <v>29</v>
      </c>
      <c r="C15" s="9">
        <v>234526101.46000001</v>
      </c>
      <c r="D15" s="9">
        <v>234526101.46000001</v>
      </c>
      <c r="E15" s="9">
        <v>234526101.46000001</v>
      </c>
      <c r="F15" s="9">
        <v>234526101.46000001</v>
      </c>
      <c r="G15" s="9">
        <v>234526101.46000001</v>
      </c>
      <c r="H15" s="106">
        <v>234526101.46000001</v>
      </c>
      <c r="I15" s="112">
        <v>234526101.46000001</v>
      </c>
      <c r="J15" s="109">
        <v>234526101.46000001</v>
      </c>
      <c r="K15" s="9">
        <v>234526101.46000001</v>
      </c>
      <c r="L15" s="9">
        <v>234526101.46000001</v>
      </c>
      <c r="M15" s="9">
        <v>234526101.46000001</v>
      </c>
      <c r="N15" s="9">
        <v>244526101.46000001</v>
      </c>
      <c r="O15" s="9">
        <v>284526101.52999997</v>
      </c>
      <c r="P15" s="154">
        <v>244526101.46000001</v>
      </c>
      <c r="Q15" s="154">
        <v>244526101.46000001</v>
      </c>
      <c r="R15" s="154">
        <v>244526101.46000001</v>
      </c>
      <c r="S15" s="154">
        <v>305308976.45999998</v>
      </c>
      <c r="T15" s="154">
        <v>305308976.45999998</v>
      </c>
      <c r="U15" s="154">
        <v>305308976.45999998</v>
      </c>
      <c r="V15" s="154">
        <v>305308976.45999998</v>
      </c>
      <c r="W15" s="154">
        <v>304610395.89999998</v>
      </c>
      <c r="X15" s="154">
        <v>304610395.89999998</v>
      </c>
      <c r="Y15" s="154">
        <v>304610395.89999998</v>
      </c>
      <c r="Z15" s="154">
        <v>304610395.89999998</v>
      </c>
      <c r="AA15" s="154">
        <v>20695353.73</v>
      </c>
      <c r="AB15" s="73">
        <v>20695354</v>
      </c>
    </row>
    <row r="16" spans="1:31">
      <c r="A16" s="6">
        <v>5</v>
      </c>
      <c r="B16" s="10" t="s">
        <v>30</v>
      </c>
      <c r="C16" s="71">
        <f>C17+C18+C19</f>
        <v>13007379.130000001</v>
      </c>
      <c r="D16" s="71">
        <f t="shared" ref="D16:AE16" si="3">D17+D18+D19</f>
        <v>12974904.130000001</v>
      </c>
      <c r="E16" s="71">
        <f t="shared" si="3"/>
        <v>9976963.1300000008</v>
      </c>
      <c r="F16" s="71">
        <f t="shared" si="3"/>
        <v>0</v>
      </c>
      <c r="G16" s="71">
        <f t="shared" si="3"/>
        <v>10837122.689999999</v>
      </c>
      <c r="H16" s="71">
        <f t="shared" si="3"/>
        <v>11708381.689999999</v>
      </c>
      <c r="I16" s="71">
        <f t="shared" si="3"/>
        <v>11711693.689999999</v>
      </c>
      <c r="J16" s="71">
        <f t="shared" si="3"/>
        <v>11663106.689999999</v>
      </c>
      <c r="K16" s="71">
        <f t="shared" si="3"/>
        <v>12474649.689999999</v>
      </c>
      <c r="L16" s="71">
        <f t="shared" si="3"/>
        <v>12455363.189999999</v>
      </c>
      <c r="M16" s="71">
        <f t="shared" si="3"/>
        <v>13251685.66</v>
      </c>
      <c r="N16" s="71">
        <f t="shared" si="3"/>
        <v>14115030.66</v>
      </c>
      <c r="O16" s="71">
        <f t="shared" si="3"/>
        <v>10256378.390591014</v>
      </c>
      <c r="P16" s="71">
        <f t="shared" si="3"/>
        <v>14029711.66</v>
      </c>
      <c r="Q16" s="71">
        <f t="shared" si="3"/>
        <v>13956387.66</v>
      </c>
      <c r="R16" s="71">
        <f t="shared" si="3"/>
        <v>14024670.16</v>
      </c>
      <c r="S16" s="71">
        <f t="shared" si="3"/>
        <v>0</v>
      </c>
      <c r="T16" s="71">
        <f t="shared" si="3"/>
        <v>12387372.380000001</v>
      </c>
      <c r="U16" s="71">
        <f t="shared" si="3"/>
        <v>13251760.689999999</v>
      </c>
      <c r="V16" s="71">
        <f t="shared" si="3"/>
        <v>13220497.810000001</v>
      </c>
      <c r="W16" s="71">
        <f t="shared" si="3"/>
        <v>13226403.75</v>
      </c>
      <c r="X16" s="71">
        <f t="shared" si="3"/>
        <v>14092584.800000001</v>
      </c>
      <c r="Y16" s="71">
        <f t="shared" si="3"/>
        <v>14102149.800000001</v>
      </c>
      <c r="Z16" s="71">
        <f t="shared" si="3"/>
        <v>14051053.800000001</v>
      </c>
      <c r="AA16" s="71">
        <f t="shared" si="3"/>
        <v>14570278.49</v>
      </c>
      <c r="AB16" s="71">
        <f t="shared" si="3"/>
        <v>6499338</v>
      </c>
      <c r="AC16" s="71">
        <f t="shared" si="3"/>
        <v>0</v>
      </c>
      <c r="AD16" s="71">
        <f t="shared" si="3"/>
        <v>0</v>
      </c>
      <c r="AE16" s="71">
        <f t="shared" si="3"/>
        <v>0</v>
      </c>
    </row>
    <row r="17" spans="1:28">
      <c r="A17" s="11">
        <v>5.0999999999999996</v>
      </c>
      <c r="B17" s="7" t="s">
        <v>31</v>
      </c>
      <c r="C17" s="9">
        <v>0</v>
      </c>
      <c r="D17" s="9">
        <v>0</v>
      </c>
      <c r="E17" s="9">
        <v>0</v>
      </c>
      <c r="F17" s="9">
        <v>0</v>
      </c>
      <c r="G17" s="9">
        <v>10837122.689999999</v>
      </c>
      <c r="H17" s="106">
        <v>11708381.689999999</v>
      </c>
      <c r="I17" s="112">
        <v>11711693.689999999</v>
      </c>
      <c r="J17" s="109">
        <v>11663106.689999999</v>
      </c>
      <c r="K17" s="9">
        <v>12474649.689999999</v>
      </c>
      <c r="L17" s="9">
        <v>0</v>
      </c>
      <c r="M17" s="9">
        <v>13251685.66</v>
      </c>
      <c r="N17" s="9">
        <v>0</v>
      </c>
      <c r="O17" s="9"/>
      <c r="P17" s="154">
        <v>0</v>
      </c>
      <c r="Q17" s="154">
        <v>13956387.66</v>
      </c>
      <c r="R17" s="154">
        <v>0</v>
      </c>
      <c r="S17" s="154">
        <v>0</v>
      </c>
      <c r="T17" s="154">
        <v>0</v>
      </c>
      <c r="U17" s="154">
        <v>0</v>
      </c>
      <c r="V17" s="154">
        <v>0</v>
      </c>
      <c r="W17" s="154">
        <v>0</v>
      </c>
      <c r="X17" s="154">
        <v>0</v>
      </c>
      <c r="Y17" s="154">
        <v>0</v>
      </c>
      <c r="Z17" s="154">
        <v>0</v>
      </c>
      <c r="AA17" s="154">
        <v>0</v>
      </c>
    </row>
    <row r="18" spans="1:28">
      <c r="A18" s="11">
        <v>5.2</v>
      </c>
      <c r="B18" s="7" t="s">
        <v>32</v>
      </c>
      <c r="C18" s="9">
        <v>13007379.130000001</v>
      </c>
      <c r="D18" s="9">
        <v>12974904.130000001</v>
      </c>
      <c r="E18" s="9">
        <v>9976963.1300000008</v>
      </c>
      <c r="F18" s="9">
        <v>0</v>
      </c>
      <c r="G18" s="9">
        <v>0</v>
      </c>
      <c r="H18" s="106">
        <v>0</v>
      </c>
      <c r="I18" s="113">
        <v>0</v>
      </c>
      <c r="J18" s="109">
        <v>0</v>
      </c>
      <c r="K18" s="9">
        <v>0</v>
      </c>
      <c r="L18" s="9">
        <v>12455363.189999999</v>
      </c>
      <c r="M18" s="9">
        <v>0</v>
      </c>
      <c r="N18" s="9">
        <v>14115030.66</v>
      </c>
      <c r="O18" s="9">
        <v>10256378.390591014</v>
      </c>
      <c r="P18" s="154">
        <v>14029711.66</v>
      </c>
      <c r="Q18" s="154">
        <v>0</v>
      </c>
      <c r="R18" s="154">
        <v>14024670.16</v>
      </c>
      <c r="S18" s="154">
        <v>0</v>
      </c>
      <c r="T18" s="154">
        <v>12387372.380000001</v>
      </c>
      <c r="U18" s="154">
        <v>13251760.689999999</v>
      </c>
      <c r="V18" s="154">
        <v>13220497.810000001</v>
      </c>
      <c r="W18" s="154">
        <v>13226403.75</v>
      </c>
      <c r="X18" s="154">
        <v>14092584.800000001</v>
      </c>
      <c r="Y18" s="154">
        <v>14102149.800000001</v>
      </c>
      <c r="Z18" s="154">
        <v>14051053.800000001</v>
      </c>
      <c r="AA18" s="154">
        <v>14570278.49</v>
      </c>
      <c r="AB18" s="73">
        <v>6499338</v>
      </c>
    </row>
    <row r="19" spans="1:28">
      <c r="A19" s="11">
        <v>5.3</v>
      </c>
      <c r="B19" s="7" t="s">
        <v>33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106">
        <v>0</v>
      </c>
      <c r="I19" s="113">
        <v>0</v>
      </c>
      <c r="J19" s="109">
        <v>0</v>
      </c>
      <c r="K19" s="9">
        <v>0</v>
      </c>
      <c r="L19" s="9">
        <v>0</v>
      </c>
      <c r="M19" s="9">
        <v>0</v>
      </c>
      <c r="N19" s="9">
        <v>0</v>
      </c>
      <c r="O19" s="9"/>
      <c r="P19" s="154">
        <v>0</v>
      </c>
      <c r="Q19" s="154">
        <v>0</v>
      </c>
      <c r="R19" s="154">
        <v>0</v>
      </c>
      <c r="S19" s="154">
        <v>0</v>
      </c>
      <c r="T19" s="154">
        <v>0</v>
      </c>
      <c r="U19" s="154">
        <v>0</v>
      </c>
      <c r="V19" s="154">
        <v>0</v>
      </c>
      <c r="W19" s="154">
        <v>0</v>
      </c>
      <c r="X19" s="154">
        <v>0</v>
      </c>
      <c r="Y19" s="154">
        <v>0</v>
      </c>
      <c r="Z19" s="154">
        <v>0</v>
      </c>
      <c r="AA19" s="154">
        <v>0</v>
      </c>
    </row>
    <row r="20" spans="1:28">
      <c r="A20" s="6">
        <v>6</v>
      </c>
      <c r="B20" s="10" t="s">
        <v>34</v>
      </c>
      <c r="C20" s="85">
        <f t="shared" ref="C20:AB20" si="4">SUM(C21:C25)</f>
        <v>95527492.860000014</v>
      </c>
      <c r="D20" s="85">
        <f t="shared" si="4"/>
        <v>95527492.860000014</v>
      </c>
      <c r="E20" s="85">
        <f t="shared" si="4"/>
        <v>98694803.530000001</v>
      </c>
      <c r="F20" s="85">
        <f t="shared" si="4"/>
        <v>99677798.530000001</v>
      </c>
      <c r="G20" s="85">
        <f t="shared" si="4"/>
        <v>99802308.530000001</v>
      </c>
      <c r="H20" s="107">
        <f t="shared" si="4"/>
        <v>99856509.360000014</v>
      </c>
      <c r="I20" s="107">
        <f t="shared" si="4"/>
        <v>99856509.360000014</v>
      </c>
      <c r="J20" s="107">
        <f t="shared" si="4"/>
        <v>99856509.360000014</v>
      </c>
      <c r="K20" s="107">
        <f t="shared" si="4"/>
        <v>99856509.360000014</v>
      </c>
      <c r="L20" s="107">
        <f t="shared" si="4"/>
        <v>99190849.160000011</v>
      </c>
      <c r="M20" s="107">
        <f t="shared" si="4"/>
        <v>99319624.960000008</v>
      </c>
      <c r="N20" s="107">
        <f t="shared" si="4"/>
        <v>89892324.38000001</v>
      </c>
      <c r="O20" s="107">
        <f t="shared" si="4"/>
        <v>89695086.820658043</v>
      </c>
      <c r="P20" s="107">
        <f t="shared" si="4"/>
        <v>89886344.38000001</v>
      </c>
      <c r="Q20" s="107">
        <f t="shared" si="4"/>
        <v>89885644.38000001</v>
      </c>
      <c r="R20" s="107">
        <f t="shared" si="4"/>
        <v>90047660.38000001</v>
      </c>
      <c r="S20" s="107">
        <f t="shared" si="4"/>
        <v>94500160.359999999</v>
      </c>
      <c r="T20" s="107">
        <f t="shared" si="4"/>
        <v>94521460.359999999</v>
      </c>
      <c r="U20" s="107">
        <f t="shared" si="4"/>
        <v>100014734.99000001</v>
      </c>
      <c r="V20" s="107">
        <f t="shared" si="4"/>
        <v>100539673.30000001</v>
      </c>
      <c r="W20" s="107">
        <f t="shared" si="4"/>
        <v>100619228.30000001</v>
      </c>
      <c r="X20" s="107">
        <f t="shared" si="4"/>
        <v>98182626.530000001</v>
      </c>
      <c r="Y20" s="107">
        <f t="shared" si="4"/>
        <v>98182626.530000001</v>
      </c>
      <c r="Z20" s="107">
        <f t="shared" si="4"/>
        <v>98182626.530000001</v>
      </c>
      <c r="AA20" s="107">
        <f t="shared" si="4"/>
        <v>320139640.54999995</v>
      </c>
      <c r="AB20" s="171">
        <f t="shared" si="4"/>
        <v>326992501.22000003</v>
      </c>
    </row>
    <row r="21" spans="1:28">
      <c r="A21" s="11">
        <v>6.1</v>
      </c>
      <c r="B21" s="7" t="s">
        <v>35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106">
        <v>0</v>
      </c>
      <c r="I21" s="113">
        <v>0</v>
      </c>
      <c r="J21" s="109">
        <v>0</v>
      </c>
      <c r="K21" s="9">
        <v>0</v>
      </c>
      <c r="L21" s="9">
        <v>0</v>
      </c>
      <c r="M21" s="9">
        <v>0</v>
      </c>
      <c r="N21" s="9">
        <v>0</v>
      </c>
      <c r="O21" s="9"/>
      <c r="P21" s="154">
        <v>0</v>
      </c>
      <c r="Q21" s="154">
        <v>0</v>
      </c>
      <c r="R21" s="154">
        <v>0</v>
      </c>
      <c r="S21" s="154">
        <v>0</v>
      </c>
      <c r="T21" s="154">
        <v>0</v>
      </c>
      <c r="U21" s="154">
        <v>0</v>
      </c>
      <c r="V21" s="154">
        <v>0</v>
      </c>
      <c r="W21" s="154">
        <v>0</v>
      </c>
      <c r="X21" s="154">
        <v>0</v>
      </c>
      <c r="Y21" s="154">
        <v>0</v>
      </c>
      <c r="Z21" s="154">
        <v>0</v>
      </c>
      <c r="AA21" s="154">
        <v>0</v>
      </c>
    </row>
    <row r="22" spans="1:28">
      <c r="A22" s="11">
        <v>6.2</v>
      </c>
      <c r="B22" s="7" t="s">
        <v>36</v>
      </c>
      <c r="C22" s="9">
        <v>66285949.829999998</v>
      </c>
      <c r="D22" s="9">
        <v>66285949.829999998</v>
      </c>
      <c r="E22" s="9">
        <v>69453260.5</v>
      </c>
      <c r="F22" s="9">
        <v>70436255.5</v>
      </c>
      <c r="G22" s="9">
        <v>70560765.5</v>
      </c>
      <c r="H22" s="106">
        <v>70614966.329999998</v>
      </c>
      <c r="I22" s="112">
        <v>70614966.329999998</v>
      </c>
      <c r="J22" s="109">
        <v>70614966.329999998</v>
      </c>
      <c r="K22" s="9">
        <v>70614966.329999998</v>
      </c>
      <c r="L22" s="9">
        <v>70614966.329999998</v>
      </c>
      <c r="M22" s="9">
        <v>70614966.329999998</v>
      </c>
      <c r="N22" s="9">
        <v>60804111.530000001</v>
      </c>
      <c r="O22" s="9">
        <v>60814111.688552782</v>
      </c>
      <c r="P22" s="154">
        <v>60804111.530000001</v>
      </c>
      <c r="Q22" s="154">
        <v>60804111.530000001</v>
      </c>
      <c r="R22" s="154">
        <v>60804111.530000001</v>
      </c>
      <c r="S22" s="154">
        <v>60814111.530000001</v>
      </c>
      <c r="T22" s="154">
        <v>60835411.530000001</v>
      </c>
      <c r="U22" s="154">
        <v>70471013.730000004</v>
      </c>
      <c r="V22" s="154">
        <v>70995952.040000007</v>
      </c>
      <c r="W22" s="154">
        <v>71075507.040000007</v>
      </c>
      <c r="X22" s="154">
        <v>68638905.269999996</v>
      </c>
      <c r="Y22" s="154">
        <v>68638905.269999996</v>
      </c>
      <c r="Z22" s="154">
        <v>68638905.269999996</v>
      </c>
      <c r="AA22" s="154">
        <v>64412981.289999999</v>
      </c>
      <c r="AB22" s="73">
        <v>46326425</v>
      </c>
    </row>
    <row r="23" spans="1:28">
      <c r="A23" s="11">
        <v>6.3</v>
      </c>
      <c r="B23" s="7" t="s">
        <v>37</v>
      </c>
      <c r="C23" s="9">
        <v>28552630.850000001</v>
      </c>
      <c r="D23" s="9">
        <v>28552630.850000001</v>
      </c>
      <c r="E23" s="9">
        <v>28552630.850000001</v>
      </c>
      <c r="F23" s="9">
        <v>28552630.850000001</v>
      </c>
      <c r="G23" s="9">
        <v>28552630.850000001</v>
      </c>
      <c r="H23" s="106">
        <v>28552630.850000001</v>
      </c>
      <c r="I23" s="112">
        <v>28552630.850000001</v>
      </c>
      <c r="J23" s="109">
        <v>28552630.850000001</v>
      </c>
      <c r="K23" s="9">
        <v>28552630.850000001</v>
      </c>
      <c r="L23" s="9">
        <v>28552630.850000001</v>
      </c>
      <c r="M23" s="9">
        <v>28552630.850000001</v>
      </c>
      <c r="N23" s="9">
        <v>27838815.059999999</v>
      </c>
      <c r="O23" s="9">
        <v>27631577.342105258</v>
      </c>
      <c r="P23" s="154">
        <v>27838815.059999999</v>
      </c>
      <c r="Q23" s="154">
        <v>27838815.059999999</v>
      </c>
      <c r="R23" s="154">
        <v>27838815.059999999</v>
      </c>
      <c r="S23" s="154">
        <v>27631578.219999999</v>
      </c>
      <c r="T23" s="154">
        <v>27631578.219999999</v>
      </c>
      <c r="U23" s="154">
        <v>27631578.219999999</v>
      </c>
      <c r="V23" s="154">
        <v>27631578.219999999</v>
      </c>
      <c r="W23" s="154">
        <v>27631578.219999999</v>
      </c>
      <c r="X23" s="154">
        <v>27631578.219999999</v>
      </c>
      <c r="Y23" s="154">
        <v>27631578.219999999</v>
      </c>
      <c r="Z23" s="154">
        <v>27631578.219999999</v>
      </c>
      <c r="AA23" s="154">
        <v>26710525.219999999</v>
      </c>
      <c r="AB23" s="154">
        <v>26710525.219999999</v>
      </c>
    </row>
    <row r="24" spans="1:28">
      <c r="A24" s="11">
        <v>6.4</v>
      </c>
      <c r="B24" s="7" t="s">
        <v>38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106">
        <v>0</v>
      </c>
      <c r="I24" s="113">
        <v>0</v>
      </c>
      <c r="J24" s="109">
        <v>0</v>
      </c>
      <c r="K24" s="9">
        <v>0</v>
      </c>
      <c r="L24" s="9">
        <v>0</v>
      </c>
      <c r="M24" s="9">
        <v>0</v>
      </c>
      <c r="N24" s="9">
        <v>0</v>
      </c>
      <c r="O24" s="9"/>
      <c r="P24" s="154">
        <v>0</v>
      </c>
      <c r="Q24" s="154">
        <v>0</v>
      </c>
      <c r="R24" s="154">
        <v>0</v>
      </c>
      <c r="S24" s="154">
        <v>0</v>
      </c>
      <c r="T24" s="154">
        <v>0</v>
      </c>
      <c r="U24" s="154">
        <v>0</v>
      </c>
      <c r="V24" s="154">
        <v>0</v>
      </c>
      <c r="W24" s="154">
        <v>0</v>
      </c>
      <c r="X24" s="154">
        <v>0</v>
      </c>
      <c r="Y24" s="154">
        <v>0</v>
      </c>
      <c r="Z24" s="154">
        <v>0</v>
      </c>
      <c r="AA24" s="154">
        <v>0</v>
      </c>
      <c r="AB24" s="73">
        <v>26438188</v>
      </c>
    </row>
    <row r="25" spans="1:28">
      <c r="A25" s="11">
        <v>6.5</v>
      </c>
      <c r="B25" s="7" t="s">
        <v>39</v>
      </c>
      <c r="C25" s="9">
        <v>688912.18</v>
      </c>
      <c r="D25" s="9">
        <v>688912.18</v>
      </c>
      <c r="E25" s="9">
        <v>688912.18</v>
      </c>
      <c r="F25" s="9">
        <v>688912.18</v>
      </c>
      <c r="G25" s="9">
        <v>688912.18</v>
      </c>
      <c r="H25" s="106">
        <v>688912.18</v>
      </c>
      <c r="I25" s="112">
        <v>688912.18</v>
      </c>
      <c r="J25" s="109">
        <v>688912.18</v>
      </c>
      <c r="K25" s="9">
        <v>688912.18</v>
      </c>
      <c r="L25" s="9">
        <v>23251.98</v>
      </c>
      <c r="M25" s="9">
        <v>152027.78</v>
      </c>
      <c r="N25" s="9">
        <v>1249397.79</v>
      </c>
      <c r="O25" s="9">
        <v>1249397.79</v>
      </c>
      <c r="P25" s="154">
        <v>1243417.79</v>
      </c>
      <c r="Q25" s="154">
        <v>1242717.79</v>
      </c>
      <c r="R25" s="154">
        <v>1404733.79</v>
      </c>
      <c r="S25" s="154">
        <v>6054470.6100000003</v>
      </c>
      <c r="T25" s="154">
        <v>6054470.6100000003</v>
      </c>
      <c r="U25" s="154">
        <v>1912143.04</v>
      </c>
      <c r="V25" s="154">
        <v>1912143.04</v>
      </c>
      <c r="W25" s="154">
        <v>1912143.04</v>
      </c>
      <c r="X25" s="154">
        <v>1912143.04</v>
      </c>
      <c r="Y25" s="154">
        <v>1912143.04</v>
      </c>
      <c r="Z25" s="154">
        <v>1912143.04</v>
      </c>
      <c r="AA25" s="154">
        <v>229016134.03999999</v>
      </c>
      <c r="AB25" s="73">
        <f>413372+227103991</f>
        <v>227517363</v>
      </c>
    </row>
    <row r="26" spans="1:28">
      <c r="A26" s="11"/>
      <c r="B26" s="10" t="s">
        <v>40</v>
      </c>
      <c r="C26" s="85">
        <f t="shared" ref="C26:AB26" si="5">C4+C7+C8+C13+C16+C20</f>
        <v>4662154303.2999992</v>
      </c>
      <c r="D26" s="85">
        <f t="shared" si="5"/>
        <v>4702500997.5100002</v>
      </c>
      <c r="E26" s="85">
        <f t="shared" si="5"/>
        <v>4714732746.0299997</v>
      </c>
      <c r="F26" s="85">
        <f t="shared" si="5"/>
        <v>4571523979.21</v>
      </c>
      <c r="G26" s="85">
        <f t="shared" si="5"/>
        <v>4611446324.6799994</v>
      </c>
      <c r="H26" s="107">
        <f t="shared" si="5"/>
        <v>4701981557.9399996</v>
      </c>
      <c r="I26" s="107">
        <f t="shared" si="5"/>
        <v>4717522820.7199993</v>
      </c>
      <c r="J26" s="107">
        <f t="shared" si="5"/>
        <v>4790350120.1899996</v>
      </c>
      <c r="K26" s="107">
        <f t="shared" si="5"/>
        <v>4857799367.329999</v>
      </c>
      <c r="L26" s="107">
        <f t="shared" si="5"/>
        <v>4928254004.6099987</v>
      </c>
      <c r="M26" s="107">
        <f t="shared" si="5"/>
        <v>5001058846.3900003</v>
      </c>
      <c r="N26" s="107">
        <f t="shared" si="5"/>
        <v>5095770961.0999994</v>
      </c>
      <c r="O26" s="107">
        <f t="shared" si="5"/>
        <v>5091966230.5612488</v>
      </c>
      <c r="P26" s="107">
        <f t="shared" si="5"/>
        <v>5133923900.0999994</v>
      </c>
      <c r="Q26" s="107">
        <f t="shared" si="5"/>
        <v>5150836398.2699995</v>
      </c>
      <c r="R26" s="107">
        <f t="shared" si="5"/>
        <v>5222933497.5699997</v>
      </c>
      <c r="S26" s="107">
        <f t="shared" si="5"/>
        <v>5002817398.8699999</v>
      </c>
      <c r="T26" s="107">
        <f t="shared" si="5"/>
        <v>5054355014.5599995</v>
      </c>
      <c r="U26" s="107">
        <f t="shared" si="5"/>
        <v>5106796520.0499992</v>
      </c>
      <c r="V26" s="107">
        <f t="shared" si="5"/>
        <v>5106631183.6400003</v>
      </c>
      <c r="W26" s="107">
        <f t="shared" si="5"/>
        <v>5121031905.9500008</v>
      </c>
      <c r="X26" s="107">
        <f t="shared" si="5"/>
        <v>5191049060.7699995</v>
      </c>
      <c r="Y26" s="107">
        <f t="shared" si="5"/>
        <v>5245830319.3599997</v>
      </c>
      <c r="Z26" s="107">
        <f t="shared" si="5"/>
        <v>5258570581.4599991</v>
      </c>
      <c r="AA26" s="107">
        <f t="shared" si="5"/>
        <v>5361876155.2300005</v>
      </c>
      <c r="AB26" s="171">
        <f t="shared" si="5"/>
        <v>5443177821.2200003</v>
      </c>
    </row>
    <row r="27" spans="1:28">
      <c r="A27" s="11">
        <v>7</v>
      </c>
      <c r="B27" s="7" t="s">
        <v>41</v>
      </c>
      <c r="C27" s="9">
        <v>298870503.25999999</v>
      </c>
      <c r="D27" s="9">
        <v>279275825.23000002</v>
      </c>
      <c r="E27" s="9">
        <v>268018592.16999999</v>
      </c>
      <c r="F27" s="9">
        <v>363033086.86000001</v>
      </c>
      <c r="G27" s="9">
        <v>329358675.08999997</v>
      </c>
      <c r="H27" s="106">
        <v>319822905.79000002</v>
      </c>
      <c r="I27" s="112">
        <v>316004069.48000002</v>
      </c>
      <c r="J27" s="109">
        <v>296482938.25</v>
      </c>
      <c r="K27" s="9">
        <v>301740465.29000002</v>
      </c>
      <c r="L27" s="9">
        <v>313150809.33999997</v>
      </c>
      <c r="M27" s="9">
        <v>315986968.36000001</v>
      </c>
      <c r="N27" s="9">
        <v>306024204.11000001</v>
      </c>
      <c r="O27" s="9">
        <v>488979180.25</v>
      </c>
      <c r="P27" s="154">
        <v>291645996.36000001</v>
      </c>
      <c r="Q27" s="154">
        <v>277273248.81</v>
      </c>
      <c r="R27" s="154">
        <v>283744614.36000001</v>
      </c>
      <c r="S27" s="154">
        <v>417294940.81999999</v>
      </c>
      <c r="T27" s="154">
        <v>344458972.54000002</v>
      </c>
      <c r="U27" s="154">
        <v>324439791.51999998</v>
      </c>
      <c r="V27" s="154">
        <v>336468877.35000002</v>
      </c>
      <c r="W27" s="154">
        <v>321379510.72000003</v>
      </c>
      <c r="X27" s="154">
        <v>309459217.04000002</v>
      </c>
      <c r="Y27" s="154">
        <v>334658208.69999999</v>
      </c>
      <c r="Z27" s="154">
        <v>319696368.37</v>
      </c>
      <c r="AA27" s="154">
        <v>306852727.67000002</v>
      </c>
      <c r="AB27" s="73">
        <v>499703640</v>
      </c>
    </row>
    <row r="28" spans="1:28">
      <c r="A28" s="11">
        <v>8</v>
      </c>
      <c r="B28" s="7" t="s">
        <v>42</v>
      </c>
      <c r="C28" s="9">
        <v>27188603.66</v>
      </c>
      <c r="D28" s="9">
        <v>41678744.909999996</v>
      </c>
      <c r="E28" s="9">
        <v>40344960.719999999</v>
      </c>
      <c r="F28" s="9">
        <v>42852760.719999999</v>
      </c>
      <c r="G28" s="9">
        <v>44075338.289999999</v>
      </c>
      <c r="H28" s="106">
        <v>44276838.310000002</v>
      </c>
      <c r="I28" s="112">
        <v>50148838.310000002</v>
      </c>
      <c r="J28" s="109">
        <v>48396737.170000002</v>
      </c>
      <c r="K28" s="9">
        <v>48431737.170000002</v>
      </c>
      <c r="L28" s="9">
        <v>43979891.170000002</v>
      </c>
      <c r="M28" s="9">
        <v>34978950.799999997</v>
      </c>
      <c r="N28" s="9">
        <v>38939994.799999997</v>
      </c>
      <c r="O28" s="9"/>
      <c r="P28" s="154">
        <v>39659184.439999998</v>
      </c>
      <c r="Q28" s="154">
        <v>44182595.670000002</v>
      </c>
      <c r="R28" s="154">
        <v>43924437.670000002</v>
      </c>
      <c r="S28" s="154">
        <v>43813699.240000002</v>
      </c>
      <c r="T28" s="154">
        <v>46044231.600000001</v>
      </c>
      <c r="U28" s="154">
        <v>45576994.799999997</v>
      </c>
      <c r="V28" s="154">
        <v>40398917.229999997</v>
      </c>
      <c r="W28" s="154">
        <v>43271125.18</v>
      </c>
      <c r="X28" s="154">
        <v>43116425.18</v>
      </c>
      <c r="Y28" s="154">
        <v>45911425.18</v>
      </c>
      <c r="Z28" s="154">
        <v>43737967.899999999</v>
      </c>
      <c r="AA28" s="154">
        <v>42830062.859999999</v>
      </c>
    </row>
    <row r="29" spans="1:28">
      <c r="A29" s="11">
        <v>9</v>
      </c>
      <c r="B29" s="7" t="s">
        <v>43</v>
      </c>
      <c r="C29" s="9">
        <v>3101172364.9200001</v>
      </c>
      <c r="D29" s="9">
        <v>3132885374.29</v>
      </c>
      <c r="E29" s="9">
        <v>3154384837.3499999</v>
      </c>
      <c r="F29" s="9">
        <v>3183363715.8099999</v>
      </c>
      <c r="G29" s="9">
        <v>3211292818.6100001</v>
      </c>
      <c r="H29" s="106">
        <v>3200765950.4000001</v>
      </c>
      <c r="I29" s="112">
        <v>3229662824.4299998</v>
      </c>
      <c r="J29" s="109">
        <v>3248460322.9099998</v>
      </c>
      <c r="K29" s="9">
        <v>3276168748.1399999</v>
      </c>
      <c r="L29" s="9">
        <v>3307788646.0500002</v>
      </c>
      <c r="M29" s="9">
        <v>3347605344.71</v>
      </c>
      <c r="N29" s="9">
        <v>3403640904.6500001</v>
      </c>
      <c r="O29" s="9">
        <v>3259625922.8799996</v>
      </c>
      <c r="P29" s="154">
        <v>3420304108.6900001</v>
      </c>
      <c r="Q29" s="154">
        <v>3448250154.8800001</v>
      </c>
      <c r="R29" s="154">
        <v>3483351096.0900002</v>
      </c>
      <c r="S29" s="154">
        <v>3515265766.8200002</v>
      </c>
      <c r="T29" s="154">
        <v>3555386374.73</v>
      </c>
      <c r="U29" s="154">
        <v>3566146353.21</v>
      </c>
      <c r="V29" s="154">
        <v>3577879282.6799998</v>
      </c>
      <c r="W29" s="154">
        <v>3589380468.3000002</v>
      </c>
      <c r="X29" s="154">
        <v>3605541102.6900001</v>
      </c>
      <c r="Y29" s="154">
        <v>3622038637.0700002</v>
      </c>
      <c r="Z29" s="154">
        <v>3632695202.0300002</v>
      </c>
      <c r="AA29" s="154">
        <v>3308387335.2800002</v>
      </c>
      <c r="AB29" s="73">
        <v>3158371283</v>
      </c>
    </row>
    <row r="30" spans="1:28">
      <c r="A30" s="11"/>
      <c r="B30" s="10" t="s">
        <v>44</v>
      </c>
      <c r="C30" s="85">
        <f t="shared" ref="C30:F30" si="6">SUM(C27:C29)</f>
        <v>3427231471.8400002</v>
      </c>
      <c r="D30" s="85">
        <f t="shared" si="6"/>
        <v>3453839944.4299998</v>
      </c>
      <c r="E30" s="85">
        <f t="shared" si="6"/>
        <v>3462748390.2399998</v>
      </c>
      <c r="F30" s="85">
        <f t="shared" si="6"/>
        <v>3589249563.3899999</v>
      </c>
      <c r="G30" s="85">
        <f t="shared" ref="G30:H30" si="7">SUM(G27:G29)</f>
        <v>3584726831.9900002</v>
      </c>
      <c r="H30" s="107">
        <f t="shared" si="7"/>
        <v>3564865694.5</v>
      </c>
      <c r="I30" s="107">
        <f t="shared" ref="I30:O30" si="8">SUM(I27:I29)</f>
        <v>3595815732.2199998</v>
      </c>
      <c r="J30" s="107">
        <f t="shared" si="8"/>
        <v>3593339998.3299999</v>
      </c>
      <c r="K30" s="107">
        <f t="shared" si="8"/>
        <v>3626340950.5999999</v>
      </c>
      <c r="L30" s="107">
        <f t="shared" si="8"/>
        <v>3664919346.5600004</v>
      </c>
      <c r="M30" s="107">
        <f t="shared" si="8"/>
        <v>3698571263.8699999</v>
      </c>
      <c r="N30" s="107">
        <f t="shared" si="8"/>
        <v>3748605103.5599999</v>
      </c>
      <c r="O30" s="107">
        <f t="shared" si="8"/>
        <v>3748605103.1299996</v>
      </c>
      <c r="P30" s="107">
        <f t="shared" ref="P30:T30" si="9">SUM(P27:P29)</f>
        <v>3751609289.4900002</v>
      </c>
      <c r="Q30" s="107">
        <f t="shared" si="9"/>
        <v>3769705999.3600001</v>
      </c>
      <c r="R30" s="107">
        <f t="shared" si="9"/>
        <v>3811020148.1200004</v>
      </c>
      <c r="S30" s="107">
        <f t="shared" si="9"/>
        <v>3976374406.8800001</v>
      </c>
      <c r="T30" s="107">
        <f t="shared" si="9"/>
        <v>3945889578.8699999</v>
      </c>
      <c r="U30" s="107">
        <f t="shared" ref="U30:AB30" si="10">SUM(U27:U29)</f>
        <v>3936163139.5300002</v>
      </c>
      <c r="V30" s="107">
        <f t="shared" si="10"/>
        <v>3954747077.2599998</v>
      </c>
      <c r="W30" s="107">
        <f t="shared" si="10"/>
        <v>3954031104.2000003</v>
      </c>
      <c r="X30" s="107">
        <f t="shared" si="10"/>
        <v>3958116744.9099998</v>
      </c>
      <c r="Y30" s="107">
        <f t="shared" si="10"/>
        <v>4002608270.9500003</v>
      </c>
      <c r="Z30" s="107">
        <f t="shared" si="10"/>
        <v>3996129538.3000002</v>
      </c>
      <c r="AA30" s="107">
        <f t="shared" si="10"/>
        <v>3658070125.8100004</v>
      </c>
      <c r="AB30" s="171">
        <f t="shared" si="10"/>
        <v>3658074923</v>
      </c>
    </row>
    <row r="31" spans="1:28">
      <c r="A31" s="11">
        <v>10</v>
      </c>
      <c r="B31" s="10" t="s">
        <v>45</v>
      </c>
      <c r="C31" s="12">
        <f t="shared" ref="C31:F31" si="11">SUM(C32:C37)</f>
        <v>390771930.81</v>
      </c>
      <c r="D31" s="12">
        <f t="shared" si="11"/>
        <v>371628278.81999999</v>
      </c>
      <c r="E31" s="12">
        <f t="shared" si="11"/>
        <v>371105085</v>
      </c>
      <c r="F31" s="12">
        <f t="shared" si="11"/>
        <v>18557295.609999999</v>
      </c>
      <c r="G31" s="12">
        <f t="shared" ref="G31:H31" si="12">SUM(G32:G37)</f>
        <v>31421570</v>
      </c>
      <c r="H31" s="108">
        <f t="shared" si="12"/>
        <v>86071787.429999992</v>
      </c>
      <c r="I31" s="108">
        <f t="shared" ref="I31:O31" si="13">SUM(I32:I37)</f>
        <v>40661148.719999999</v>
      </c>
      <c r="J31" s="108">
        <f t="shared" si="13"/>
        <v>92501007.169999987</v>
      </c>
      <c r="K31" s="108">
        <f t="shared" si="13"/>
        <v>85229640.989999995</v>
      </c>
      <c r="L31" s="108">
        <f t="shared" si="13"/>
        <v>81997568.25</v>
      </c>
      <c r="M31" s="108">
        <f t="shared" si="13"/>
        <v>98790354.099999994</v>
      </c>
      <c r="N31" s="108">
        <f t="shared" si="13"/>
        <v>59859638.780000001</v>
      </c>
      <c r="O31" s="108">
        <f t="shared" si="13"/>
        <v>449168167.84000003</v>
      </c>
      <c r="P31" s="108">
        <f t="shared" ref="P31:T31" si="14">SUM(P32:P37)</f>
        <v>78770995.949999988</v>
      </c>
      <c r="Q31" s="108">
        <f t="shared" si="14"/>
        <v>44571643.32</v>
      </c>
      <c r="R31" s="108">
        <f t="shared" si="14"/>
        <v>33925556.329999998</v>
      </c>
      <c r="S31" s="108">
        <f t="shared" si="14"/>
        <v>-14161952.099999998</v>
      </c>
      <c r="T31" s="108">
        <f t="shared" si="14"/>
        <v>44493314.950000003</v>
      </c>
      <c r="U31" s="108">
        <f t="shared" ref="U31:AB31" si="15">SUM(U32:U37)</f>
        <v>46398715.329999998</v>
      </c>
      <c r="V31" s="108">
        <f t="shared" si="15"/>
        <v>6324378.4200000018</v>
      </c>
      <c r="W31" s="108">
        <f t="shared" si="15"/>
        <v>-6996988.620000001</v>
      </c>
      <c r="X31" s="108">
        <f t="shared" si="15"/>
        <v>22867713.91</v>
      </c>
      <c r="Y31" s="108">
        <f t="shared" si="15"/>
        <v>-692409.84999999776</v>
      </c>
      <c r="Z31" s="108">
        <f t="shared" si="15"/>
        <v>-17246059.59</v>
      </c>
      <c r="AA31" s="108">
        <f t="shared" si="15"/>
        <v>388689610.84000003</v>
      </c>
      <c r="AB31" s="90">
        <f t="shared" si="15"/>
        <v>874557616</v>
      </c>
    </row>
    <row r="32" spans="1:28">
      <c r="A32" s="11">
        <v>10.1</v>
      </c>
      <c r="B32" s="7" t="s">
        <v>46</v>
      </c>
      <c r="C32" s="12">
        <v>0</v>
      </c>
      <c r="D32" s="12">
        <v>0</v>
      </c>
      <c r="E32" s="12">
        <v>0</v>
      </c>
      <c r="F32" s="12">
        <v>6544898.6600000001</v>
      </c>
      <c r="G32" s="12">
        <v>0</v>
      </c>
      <c r="H32" s="108">
        <v>0</v>
      </c>
      <c r="I32" s="113">
        <v>0</v>
      </c>
      <c r="J32" s="109">
        <v>0</v>
      </c>
      <c r="K32" s="9">
        <v>0</v>
      </c>
      <c r="L32" s="9">
        <v>0</v>
      </c>
      <c r="M32" s="9">
        <v>0</v>
      </c>
      <c r="N32" s="9">
        <v>0</v>
      </c>
      <c r="O32" s="9"/>
      <c r="P32" s="154">
        <v>0</v>
      </c>
      <c r="Q32" s="154">
        <v>0</v>
      </c>
      <c r="R32" s="154">
        <v>0</v>
      </c>
      <c r="S32" s="154">
        <v>7124079.46</v>
      </c>
      <c r="T32" s="154">
        <v>0</v>
      </c>
      <c r="U32" s="154">
        <v>0</v>
      </c>
      <c r="V32" s="154">
        <v>0</v>
      </c>
      <c r="W32" s="154">
        <v>0</v>
      </c>
      <c r="X32" s="154">
        <v>0</v>
      </c>
      <c r="Y32" s="154">
        <v>0</v>
      </c>
      <c r="Z32" s="154">
        <v>0</v>
      </c>
      <c r="AA32" s="154">
        <v>0</v>
      </c>
    </row>
    <row r="33" spans="1:28">
      <c r="A33" s="11">
        <v>10.199999999999999</v>
      </c>
      <c r="B33" s="7" t="s">
        <v>47</v>
      </c>
      <c r="C33" s="9">
        <v>338736226.75999999</v>
      </c>
      <c r="D33" s="9">
        <v>338734829.75999999</v>
      </c>
      <c r="E33" s="9">
        <v>349099263.47000003</v>
      </c>
      <c r="F33" s="9">
        <v>567400.81999999995</v>
      </c>
      <c r="G33" s="9">
        <v>513678.82</v>
      </c>
      <c r="H33" s="106">
        <v>496854.82</v>
      </c>
      <c r="I33" s="112">
        <v>496854.82</v>
      </c>
      <c r="J33" s="109">
        <v>496854.82</v>
      </c>
      <c r="K33" s="9">
        <v>496854.82</v>
      </c>
      <c r="L33" s="9">
        <v>496854.82</v>
      </c>
      <c r="M33" s="9">
        <v>496854.82</v>
      </c>
      <c r="N33" s="9">
        <v>496854.82</v>
      </c>
      <c r="O33" s="9">
        <v>353735786.95000005</v>
      </c>
      <c r="P33" s="154">
        <v>496854.82</v>
      </c>
      <c r="Q33" s="154">
        <v>496854.82</v>
      </c>
      <c r="R33" s="154">
        <v>496854.82</v>
      </c>
      <c r="S33" s="154">
        <v>-21778541.559999999</v>
      </c>
      <c r="T33" s="154">
        <v>-21998965.219999999</v>
      </c>
      <c r="U33" s="154">
        <v>-22156127.050000001</v>
      </c>
      <c r="V33" s="154">
        <v>-22162493.829999998</v>
      </c>
      <c r="W33" s="154">
        <v>-22170055.030000001</v>
      </c>
      <c r="X33" s="154">
        <v>-22228974.309999999</v>
      </c>
      <c r="Y33" s="154">
        <v>-22228974.309999999</v>
      </c>
      <c r="Z33" s="154">
        <v>-22228974.309999999</v>
      </c>
      <c r="AA33" s="154">
        <v>-22306940.530000001</v>
      </c>
      <c r="AB33" s="73">
        <f>337189998+36026061</f>
        <v>373216059</v>
      </c>
    </row>
    <row r="34" spans="1:28">
      <c r="A34" s="11">
        <v>10.3</v>
      </c>
      <c r="B34" s="7" t="s">
        <v>48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106">
        <v>0</v>
      </c>
      <c r="I34" s="113">
        <v>0</v>
      </c>
      <c r="J34" s="109">
        <v>0</v>
      </c>
      <c r="K34" s="9">
        <v>0</v>
      </c>
      <c r="L34" s="9">
        <v>0</v>
      </c>
      <c r="M34" s="9">
        <v>0</v>
      </c>
      <c r="N34" s="9">
        <v>0</v>
      </c>
      <c r="O34" s="9"/>
      <c r="P34" s="154">
        <v>0</v>
      </c>
      <c r="Q34" s="154">
        <v>0</v>
      </c>
      <c r="R34" s="154">
        <v>0</v>
      </c>
      <c r="S34" s="154">
        <v>0</v>
      </c>
      <c r="T34" s="154">
        <v>0</v>
      </c>
      <c r="U34" s="154"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v>0</v>
      </c>
      <c r="AA34" s="154">
        <v>0</v>
      </c>
    </row>
    <row r="35" spans="1:28">
      <c r="A35" s="11">
        <v>10.4</v>
      </c>
      <c r="B35" s="7" t="s">
        <v>49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106">
        <v>0</v>
      </c>
      <c r="I35" s="113">
        <v>0</v>
      </c>
      <c r="J35" s="109">
        <v>0</v>
      </c>
      <c r="K35" s="9">
        <v>0</v>
      </c>
      <c r="L35" s="9">
        <v>0</v>
      </c>
      <c r="M35" s="9">
        <v>0</v>
      </c>
      <c r="N35" s="9">
        <v>0</v>
      </c>
      <c r="O35" s="9"/>
      <c r="P35" s="154">
        <v>0</v>
      </c>
      <c r="Q35" s="154">
        <v>0</v>
      </c>
      <c r="R35" s="154">
        <v>0</v>
      </c>
      <c r="S35" s="154">
        <v>0</v>
      </c>
      <c r="T35" s="154">
        <v>0</v>
      </c>
      <c r="U35" s="154">
        <v>0</v>
      </c>
      <c r="V35" s="154">
        <v>0</v>
      </c>
      <c r="W35" s="154">
        <v>0</v>
      </c>
      <c r="X35" s="154">
        <v>0</v>
      </c>
      <c r="Y35" s="154">
        <v>0</v>
      </c>
      <c r="Z35" s="154">
        <v>0</v>
      </c>
      <c r="AA35" s="154">
        <v>0</v>
      </c>
    </row>
    <row r="36" spans="1:28">
      <c r="A36" s="11">
        <v>10.5</v>
      </c>
      <c r="B36" s="7" t="s">
        <v>50</v>
      </c>
      <c r="C36" s="9">
        <v>52035704.049999997</v>
      </c>
      <c r="D36" s="9">
        <v>32893449.059999999</v>
      </c>
      <c r="E36" s="9">
        <v>22005821.530000001</v>
      </c>
      <c r="F36" s="9">
        <v>11444996.130000001</v>
      </c>
      <c r="G36" s="9">
        <v>30907891.18</v>
      </c>
      <c r="H36" s="106">
        <v>85574932.609999999</v>
      </c>
      <c r="I36" s="112">
        <v>40164293.899999999</v>
      </c>
      <c r="J36" s="18">
        <v>92004152.349999994</v>
      </c>
      <c r="K36" s="18">
        <v>84732786.170000002</v>
      </c>
      <c r="L36" s="18">
        <v>81500713.430000007</v>
      </c>
      <c r="M36" s="18">
        <v>98293499.280000001</v>
      </c>
      <c r="N36" s="18">
        <v>59362783.960000001</v>
      </c>
      <c r="O36" s="9">
        <v>95432380.890000015</v>
      </c>
      <c r="P36" s="154">
        <v>78274141.129999995</v>
      </c>
      <c r="Q36" s="154">
        <v>44074788.5</v>
      </c>
      <c r="R36" s="154">
        <v>33428701.510000002</v>
      </c>
      <c r="S36" s="154">
        <v>492510</v>
      </c>
      <c r="T36" s="154">
        <v>66492280.170000002</v>
      </c>
      <c r="U36" s="154">
        <v>68554842.379999995</v>
      </c>
      <c r="V36" s="154">
        <v>28486872.25</v>
      </c>
      <c r="W36" s="154">
        <v>15173066.41</v>
      </c>
      <c r="X36" s="154">
        <v>45096688.219999999</v>
      </c>
      <c r="Y36" s="154">
        <v>21536564.460000001</v>
      </c>
      <c r="Z36" s="154">
        <v>4982914.72</v>
      </c>
      <c r="AA36" s="154">
        <v>410996551.37</v>
      </c>
      <c r="AB36" s="73">
        <f>475334565+14440457+11566535</f>
        <v>501341557</v>
      </c>
    </row>
    <row r="37" spans="1:28">
      <c r="A37" s="11">
        <v>10.6</v>
      </c>
      <c r="B37" s="7" t="s">
        <v>51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13">
        <v>0</v>
      </c>
      <c r="J37" s="109">
        <v>0</v>
      </c>
      <c r="K37" s="9">
        <v>0</v>
      </c>
      <c r="L37" s="9">
        <v>0</v>
      </c>
      <c r="M37" s="9">
        <v>0</v>
      </c>
      <c r="N37" s="9">
        <v>0</v>
      </c>
      <c r="O37" s="9"/>
      <c r="P37" s="154">
        <v>0</v>
      </c>
      <c r="Q37" s="154">
        <v>0</v>
      </c>
      <c r="R37" s="154">
        <v>0</v>
      </c>
      <c r="S37" s="154">
        <v>0</v>
      </c>
      <c r="T37" s="154">
        <v>0</v>
      </c>
      <c r="U37" s="154">
        <v>0</v>
      </c>
      <c r="V37" s="154">
        <v>0</v>
      </c>
      <c r="W37" s="154">
        <v>0</v>
      </c>
      <c r="X37" s="154">
        <v>0</v>
      </c>
      <c r="Y37" s="154">
        <v>0</v>
      </c>
      <c r="Z37" s="154">
        <v>0</v>
      </c>
      <c r="AA37" s="154">
        <v>0</v>
      </c>
    </row>
    <row r="38" spans="1:28">
      <c r="A38" s="11"/>
      <c r="B38" s="10" t="s">
        <v>52</v>
      </c>
      <c r="C38" s="85">
        <f t="shared" ref="C38:AB38" si="16">C30+C31</f>
        <v>3818003402.6500001</v>
      </c>
      <c r="D38" s="85">
        <f t="shared" si="16"/>
        <v>3825468223.25</v>
      </c>
      <c r="E38" s="85">
        <f t="shared" si="16"/>
        <v>3833853475.2399998</v>
      </c>
      <c r="F38" s="85">
        <f t="shared" si="16"/>
        <v>3607806859</v>
      </c>
      <c r="G38" s="85">
        <f t="shared" si="16"/>
        <v>3616148401.9900002</v>
      </c>
      <c r="H38" s="107">
        <f t="shared" si="16"/>
        <v>3650937481.9299998</v>
      </c>
      <c r="I38" s="107">
        <f t="shared" si="16"/>
        <v>3636476880.9399996</v>
      </c>
      <c r="J38" s="107">
        <f t="shared" si="16"/>
        <v>3685841005.5</v>
      </c>
      <c r="K38" s="107">
        <f t="shared" si="16"/>
        <v>3711570591.5899997</v>
      </c>
      <c r="L38" s="107">
        <f t="shared" si="16"/>
        <v>3746916914.8100004</v>
      </c>
      <c r="M38" s="107">
        <f t="shared" si="16"/>
        <v>3797361617.9699998</v>
      </c>
      <c r="N38" s="107">
        <f t="shared" si="16"/>
        <v>3808464742.3400002</v>
      </c>
      <c r="O38" s="107">
        <f t="shared" si="16"/>
        <v>4197773270.9699998</v>
      </c>
      <c r="P38" s="107">
        <f t="shared" si="16"/>
        <v>3830380285.4400001</v>
      </c>
      <c r="Q38" s="107">
        <f t="shared" si="16"/>
        <v>3814277642.6800003</v>
      </c>
      <c r="R38" s="107">
        <f t="shared" si="16"/>
        <v>3844945704.4500003</v>
      </c>
      <c r="S38" s="107">
        <f t="shared" si="16"/>
        <v>3962212454.7800002</v>
      </c>
      <c r="T38" s="107">
        <f t="shared" si="16"/>
        <v>3990382893.8199997</v>
      </c>
      <c r="U38" s="107">
        <f t="shared" si="16"/>
        <v>3982561854.8600001</v>
      </c>
      <c r="V38" s="107">
        <f t="shared" si="16"/>
        <v>3961071455.6799998</v>
      </c>
      <c r="W38" s="107">
        <f t="shared" si="16"/>
        <v>3947034115.5800004</v>
      </c>
      <c r="X38" s="107">
        <f t="shared" si="16"/>
        <v>3980984458.8199997</v>
      </c>
      <c r="Y38" s="107">
        <f t="shared" si="16"/>
        <v>4001915861.1000004</v>
      </c>
      <c r="Z38" s="107">
        <f t="shared" si="16"/>
        <v>3978883478.71</v>
      </c>
      <c r="AA38" s="107">
        <f t="shared" si="16"/>
        <v>4046759736.6500006</v>
      </c>
      <c r="AB38" s="171">
        <f t="shared" si="16"/>
        <v>4532632539</v>
      </c>
    </row>
    <row r="39" spans="1:28">
      <c r="A39" s="11">
        <v>11</v>
      </c>
      <c r="B39" s="7" t="s">
        <v>53</v>
      </c>
      <c r="C39" s="85">
        <v>198464752.03999999</v>
      </c>
      <c r="D39" s="85">
        <v>200858320.66</v>
      </c>
      <c r="E39" s="85">
        <v>203111379.74000001</v>
      </c>
      <c r="F39" s="85">
        <v>236398456.53999999</v>
      </c>
      <c r="G39" s="85">
        <v>234422614.37</v>
      </c>
      <c r="H39" s="107">
        <v>236166931.71000001</v>
      </c>
      <c r="I39" s="112">
        <v>237894260.53</v>
      </c>
      <c r="J39" s="109">
        <v>239598338.09</v>
      </c>
      <c r="K39" s="9">
        <v>241080607.52000001</v>
      </c>
      <c r="L39" s="9">
        <v>242351705.78</v>
      </c>
      <c r="M39" s="9">
        <v>243846214.78</v>
      </c>
      <c r="N39" s="9">
        <v>246044555.66999999</v>
      </c>
      <c r="O39" s="9">
        <v>246044555.66999999</v>
      </c>
      <c r="P39" s="154">
        <v>247308034.31999999</v>
      </c>
      <c r="Q39" s="154">
        <v>248542877.44999999</v>
      </c>
      <c r="R39" s="154">
        <v>250565947.36000001</v>
      </c>
      <c r="S39" s="154">
        <v>280575204.81999999</v>
      </c>
      <c r="T39" s="154">
        <v>282229653.56</v>
      </c>
      <c r="U39" s="154">
        <v>283699515.11000001</v>
      </c>
      <c r="V39" s="154">
        <v>285082038.01999998</v>
      </c>
      <c r="W39" s="154">
        <v>286691364.04000002</v>
      </c>
      <c r="X39" s="154">
        <v>288353763.14999998</v>
      </c>
      <c r="Y39" s="154">
        <v>289482219.76999998</v>
      </c>
      <c r="Z39" s="154">
        <v>290710139.12</v>
      </c>
      <c r="AA39" s="154">
        <v>292243718.94999999</v>
      </c>
      <c r="AB39" s="154">
        <v>292243718.94999999</v>
      </c>
    </row>
    <row r="40" spans="1:28">
      <c r="A40" s="11">
        <v>12</v>
      </c>
      <c r="B40" s="7" t="s">
        <v>54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106">
        <v>0</v>
      </c>
      <c r="I40" s="113">
        <v>0</v>
      </c>
      <c r="J40" s="109">
        <v>0</v>
      </c>
      <c r="K40" s="9">
        <v>0</v>
      </c>
      <c r="L40" s="9">
        <v>0</v>
      </c>
      <c r="M40" s="9">
        <v>0</v>
      </c>
      <c r="N40" s="9">
        <v>0</v>
      </c>
      <c r="O40" s="9"/>
      <c r="P40" s="154">
        <v>0</v>
      </c>
      <c r="Q40" s="154">
        <v>0</v>
      </c>
      <c r="R40" s="154">
        <v>0</v>
      </c>
      <c r="S40" s="154">
        <v>0</v>
      </c>
      <c r="T40" s="154">
        <v>0</v>
      </c>
      <c r="U40" s="154">
        <v>0</v>
      </c>
      <c r="V40" s="154">
        <v>0</v>
      </c>
      <c r="W40" s="154">
        <v>0</v>
      </c>
      <c r="X40" s="154">
        <v>0</v>
      </c>
      <c r="Y40" s="154">
        <v>0</v>
      </c>
      <c r="Z40" s="154">
        <v>0</v>
      </c>
      <c r="AA40" s="154">
        <v>0</v>
      </c>
    </row>
    <row r="41" spans="1:28">
      <c r="A41" s="11">
        <v>13</v>
      </c>
      <c r="B41" s="10" t="s">
        <v>55</v>
      </c>
      <c r="C41" s="8">
        <f t="shared" ref="C41:AB41" si="17">SUM(C42+C43)</f>
        <v>215609974.12</v>
      </c>
      <c r="D41" s="8">
        <f t="shared" si="17"/>
        <v>246098279.11000001</v>
      </c>
      <c r="E41" s="8">
        <f t="shared" si="17"/>
        <v>279530528.75999999</v>
      </c>
      <c r="F41" s="8">
        <f t="shared" si="17"/>
        <v>329081301.38</v>
      </c>
      <c r="G41" s="8">
        <f t="shared" si="17"/>
        <v>362637946.02999997</v>
      </c>
      <c r="H41" s="105">
        <f t="shared" si="17"/>
        <v>416639782.00999999</v>
      </c>
      <c r="I41" s="105">
        <f t="shared" si="17"/>
        <v>444914316.95999998</v>
      </c>
      <c r="J41" s="105">
        <f t="shared" si="17"/>
        <v>466673414.31</v>
      </c>
      <c r="K41" s="105">
        <f t="shared" si="17"/>
        <v>506910805.93000001</v>
      </c>
      <c r="L41" s="105">
        <f t="shared" si="17"/>
        <v>540748021.73000002</v>
      </c>
      <c r="M41" s="105">
        <f t="shared" si="17"/>
        <v>561613651.3499999</v>
      </c>
      <c r="N41" s="105">
        <f t="shared" si="17"/>
        <v>643024300.79999995</v>
      </c>
      <c r="O41" s="105">
        <f t="shared" si="17"/>
        <v>184537132.10103986</v>
      </c>
      <c r="P41" s="105">
        <f t="shared" si="17"/>
        <v>657998218.04999995</v>
      </c>
      <c r="Q41" s="105">
        <f t="shared" si="17"/>
        <v>689778515.8499999</v>
      </c>
      <c r="R41" s="105">
        <f t="shared" si="17"/>
        <v>729184483.46999991</v>
      </c>
      <c r="S41" s="105">
        <f t="shared" si="17"/>
        <v>332951585.91999996</v>
      </c>
      <c r="T41" s="105">
        <f t="shared" si="17"/>
        <v>354664313.83000004</v>
      </c>
      <c r="U41" s="105">
        <f t="shared" si="17"/>
        <v>413456996.73000002</v>
      </c>
      <c r="V41" s="105">
        <f t="shared" si="17"/>
        <v>433399536.59000003</v>
      </c>
      <c r="W41" s="105">
        <f t="shared" si="17"/>
        <v>460228272.98000002</v>
      </c>
      <c r="X41" s="105">
        <f t="shared" si="17"/>
        <v>494632685.44999999</v>
      </c>
      <c r="Y41" s="105">
        <f t="shared" si="17"/>
        <v>527354085.13999999</v>
      </c>
      <c r="Z41" s="105">
        <f t="shared" si="17"/>
        <v>561898810.27999997</v>
      </c>
      <c r="AA41" s="105">
        <f t="shared" si="17"/>
        <v>595794546.27999997</v>
      </c>
      <c r="AB41" s="170">
        <f t="shared" si="17"/>
        <v>182670184</v>
      </c>
    </row>
    <row r="42" spans="1:28">
      <c r="A42" s="11">
        <v>13.1</v>
      </c>
      <c r="B42" s="7" t="s">
        <v>56</v>
      </c>
      <c r="C42" s="9">
        <v>188401226.66</v>
      </c>
      <c r="D42" s="9">
        <v>188401226.66</v>
      </c>
      <c r="E42" s="9">
        <v>180961010.88999999</v>
      </c>
      <c r="F42" s="9">
        <v>180961010.88999999</v>
      </c>
      <c r="G42" s="9">
        <v>180961010.88999999</v>
      </c>
      <c r="H42" s="106">
        <v>180961010.88999999</v>
      </c>
      <c r="I42" s="112">
        <v>180961010.88999999</v>
      </c>
      <c r="J42" s="109">
        <v>180961010.88999999</v>
      </c>
      <c r="K42" s="9">
        <v>180961010.88999999</v>
      </c>
      <c r="L42" s="9">
        <v>180961010.88999999</v>
      </c>
      <c r="M42" s="9">
        <v>180961010.88999999</v>
      </c>
      <c r="N42" s="9">
        <v>180961010.88999999</v>
      </c>
      <c r="O42" s="9">
        <v>180989723.08793685</v>
      </c>
      <c r="P42" s="154">
        <v>643024300.79999995</v>
      </c>
      <c r="Q42" s="154">
        <v>643024300.79999995</v>
      </c>
      <c r="R42" s="154">
        <v>643024300.79999995</v>
      </c>
      <c r="S42" s="154">
        <v>185664903</v>
      </c>
      <c r="T42" s="154">
        <v>185664903</v>
      </c>
      <c r="U42" s="154">
        <v>185664903</v>
      </c>
      <c r="V42" s="154">
        <v>185664903</v>
      </c>
      <c r="W42" s="154">
        <v>185664903</v>
      </c>
      <c r="X42" s="154">
        <v>185664903</v>
      </c>
      <c r="Y42" s="154">
        <v>185664903</v>
      </c>
      <c r="Z42" s="154">
        <v>185664903</v>
      </c>
      <c r="AA42" s="154">
        <v>185664903</v>
      </c>
      <c r="AB42" s="154">
        <v>185664903</v>
      </c>
    </row>
    <row r="43" spans="1:28">
      <c r="A43" s="11">
        <v>13.2</v>
      </c>
      <c r="B43" s="7" t="s">
        <v>57</v>
      </c>
      <c r="C43" s="8">
        <v>27208747.460000001</v>
      </c>
      <c r="D43" s="8">
        <v>57697052.450000003</v>
      </c>
      <c r="E43" s="8">
        <v>98569517.870000005</v>
      </c>
      <c r="F43" s="8">
        <v>148120290.49000001</v>
      </c>
      <c r="G43" s="8">
        <v>181676935.13999999</v>
      </c>
      <c r="H43" s="105">
        <v>235678771.12</v>
      </c>
      <c r="I43" s="112">
        <v>263953306.06999999</v>
      </c>
      <c r="J43" s="109">
        <v>285712403.42000002</v>
      </c>
      <c r="K43" s="9">
        <v>325949795.04000002</v>
      </c>
      <c r="L43" s="9">
        <v>359787010.83999997</v>
      </c>
      <c r="M43" s="9">
        <v>380652640.45999998</v>
      </c>
      <c r="N43" s="9">
        <v>462063289.91000003</v>
      </c>
      <c r="O43" s="9">
        <v>3547409.0131030083</v>
      </c>
      <c r="P43" s="154">
        <v>14973917.25</v>
      </c>
      <c r="Q43" s="154">
        <v>46754215.049999997</v>
      </c>
      <c r="R43" s="154">
        <v>86160182.670000002</v>
      </c>
      <c r="S43" s="154">
        <v>147286682.91999999</v>
      </c>
      <c r="T43" s="154">
        <v>168999410.83000001</v>
      </c>
      <c r="U43" s="154">
        <v>227792093.72999999</v>
      </c>
      <c r="V43" s="154">
        <v>247734633.59</v>
      </c>
      <c r="W43" s="154">
        <v>274563369.98000002</v>
      </c>
      <c r="X43" s="154">
        <v>308967782.44999999</v>
      </c>
      <c r="Y43" s="154">
        <v>341689182.13999999</v>
      </c>
      <c r="Z43" s="154">
        <v>376233907.27999997</v>
      </c>
      <c r="AA43" s="154">
        <v>410129643.27999997</v>
      </c>
      <c r="AB43" s="73">
        <f>42983484+-8596697+-1355445+-36026061</f>
        <v>-2994719</v>
      </c>
    </row>
    <row r="44" spans="1:28">
      <c r="A44" s="11">
        <v>14</v>
      </c>
      <c r="B44" s="10" t="s">
        <v>58</v>
      </c>
      <c r="C44" s="8">
        <f t="shared" ref="C44:AB44" si="18">SUM(C45:C49)</f>
        <v>430076174.48999995</v>
      </c>
      <c r="D44" s="8">
        <f t="shared" si="18"/>
        <v>430076174.48999995</v>
      </c>
      <c r="E44" s="8">
        <f t="shared" si="18"/>
        <v>398237362.28999996</v>
      </c>
      <c r="F44" s="8">
        <f t="shared" si="18"/>
        <v>398237362.28999996</v>
      </c>
      <c r="G44" s="8">
        <f t="shared" si="18"/>
        <v>398237362.28999996</v>
      </c>
      <c r="H44" s="105">
        <f t="shared" si="18"/>
        <v>398237362.28999996</v>
      </c>
      <c r="I44" s="105">
        <f t="shared" si="18"/>
        <v>398237362.28999996</v>
      </c>
      <c r="J44" s="105">
        <f t="shared" si="18"/>
        <v>398237362.28999996</v>
      </c>
      <c r="K44" s="105">
        <f t="shared" si="18"/>
        <v>398237362.28999996</v>
      </c>
      <c r="L44" s="105">
        <f t="shared" si="18"/>
        <v>398237362.28999996</v>
      </c>
      <c r="M44" s="105">
        <f t="shared" si="18"/>
        <v>398237362.28999996</v>
      </c>
      <c r="N44" s="105">
        <f t="shared" si="18"/>
        <v>398237362.28999996</v>
      </c>
      <c r="O44" s="105">
        <f t="shared" si="18"/>
        <v>463611273.34799999</v>
      </c>
      <c r="P44" s="105">
        <f t="shared" si="18"/>
        <v>398237362.28999996</v>
      </c>
      <c r="Q44" s="105">
        <f t="shared" si="18"/>
        <v>398237362.28999996</v>
      </c>
      <c r="R44" s="105">
        <f t="shared" si="18"/>
        <v>398237362.28999996</v>
      </c>
      <c r="S44" s="105">
        <f t="shared" si="18"/>
        <v>427078153.35000002</v>
      </c>
      <c r="T44" s="105">
        <f t="shared" si="18"/>
        <v>427078153.35000002</v>
      </c>
      <c r="U44" s="105">
        <f t="shared" si="18"/>
        <v>427078153.35000002</v>
      </c>
      <c r="V44" s="105">
        <f t="shared" si="18"/>
        <v>427078153.35000002</v>
      </c>
      <c r="W44" s="105">
        <f t="shared" si="18"/>
        <v>427078153.35000002</v>
      </c>
      <c r="X44" s="105">
        <f t="shared" si="18"/>
        <v>427078153.35000002</v>
      </c>
      <c r="Y44" s="105">
        <f t="shared" si="18"/>
        <v>427078153.35000002</v>
      </c>
      <c r="Z44" s="105">
        <f t="shared" si="18"/>
        <v>427078153.35000002</v>
      </c>
      <c r="AA44" s="105">
        <f t="shared" si="18"/>
        <v>427078153.35000002</v>
      </c>
      <c r="AB44" s="170">
        <f t="shared" si="18"/>
        <v>435631379</v>
      </c>
    </row>
    <row r="45" spans="1:28">
      <c r="A45" s="11"/>
      <c r="B45" s="7" t="s">
        <v>59</v>
      </c>
      <c r="C45" s="9">
        <v>122807206.94</v>
      </c>
      <c r="D45" s="9">
        <v>122807206.94</v>
      </c>
      <c r="E45" s="9">
        <v>126189526.94</v>
      </c>
      <c r="F45" s="9">
        <v>126189526.94</v>
      </c>
      <c r="G45" s="9">
        <v>126189526.94</v>
      </c>
      <c r="H45" s="106">
        <v>126189526.94</v>
      </c>
      <c r="I45" s="112">
        <v>126189526.94</v>
      </c>
      <c r="J45" s="109">
        <v>126189526.94</v>
      </c>
      <c r="K45" s="9">
        <v>126189526.94</v>
      </c>
      <c r="L45" s="9">
        <v>126189526.94</v>
      </c>
      <c r="M45" s="9">
        <v>126189526.94</v>
      </c>
      <c r="N45" s="9">
        <v>126189526.94</v>
      </c>
      <c r="O45" s="9">
        <v>139731154.838</v>
      </c>
      <c r="P45" s="154">
        <v>126189526.94</v>
      </c>
      <c r="Q45" s="154">
        <v>126189526.94</v>
      </c>
      <c r="R45" s="154">
        <v>126189526.94</v>
      </c>
      <c r="S45" s="154">
        <v>138671156</v>
      </c>
      <c r="T45" s="154">
        <v>138671156</v>
      </c>
      <c r="U45" s="154">
        <v>138671156</v>
      </c>
      <c r="V45" s="154">
        <v>138671156</v>
      </c>
      <c r="W45" s="154">
        <v>138671156</v>
      </c>
      <c r="X45" s="154">
        <v>138671156</v>
      </c>
      <c r="Y45" s="154">
        <v>138671156</v>
      </c>
      <c r="Z45" s="154">
        <v>138671156</v>
      </c>
      <c r="AA45" s="154">
        <v>138671156</v>
      </c>
      <c r="AB45" s="73">
        <v>147267853</v>
      </c>
    </row>
    <row r="46" spans="1:28">
      <c r="A46" s="11"/>
      <c r="B46" s="7" t="s">
        <v>60</v>
      </c>
      <c r="C46" s="9">
        <v>181817320.34999999</v>
      </c>
      <c r="D46" s="9">
        <v>181817320.34999999</v>
      </c>
      <c r="E46" s="9">
        <v>181817320.34999999</v>
      </c>
      <c r="F46" s="9">
        <v>181817320.34999999</v>
      </c>
      <c r="G46" s="9">
        <v>181817320.34999999</v>
      </c>
      <c r="H46" s="106">
        <v>181817320.34999999</v>
      </c>
      <c r="I46" s="112">
        <v>181817320.34999999</v>
      </c>
      <c r="J46" s="109">
        <v>181817320.34999999</v>
      </c>
      <c r="K46" s="9">
        <v>181817320.34999999</v>
      </c>
      <c r="L46" s="9">
        <v>181817320.34999999</v>
      </c>
      <c r="M46" s="9">
        <v>181817320.34999999</v>
      </c>
      <c r="N46" s="9">
        <v>181817320.34999999</v>
      </c>
      <c r="O46" s="9">
        <v>196817320.34999999</v>
      </c>
      <c r="P46" s="154">
        <v>181817320.34999999</v>
      </c>
      <c r="Q46" s="154">
        <v>181817320.34999999</v>
      </c>
      <c r="R46" s="154">
        <v>181817320.34999999</v>
      </c>
      <c r="S46" s="154">
        <v>193817320.34999999</v>
      </c>
      <c r="T46" s="154">
        <v>193817320.34999999</v>
      </c>
      <c r="U46" s="154">
        <v>193817320.34999999</v>
      </c>
      <c r="V46" s="154">
        <v>193817320.34999999</v>
      </c>
      <c r="W46" s="154">
        <v>193817320.34999999</v>
      </c>
      <c r="X46" s="154">
        <v>193817320.34999999</v>
      </c>
      <c r="Y46" s="154">
        <v>193817320.34999999</v>
      </c>
      <c r="Z46" s="154">
        <v>193817320.34999999</v>
      </c>
      <c r="AA46" s="154">
        <v>193817320.34999999</v>
      </c>
      <c r="AB46" s="73">
        <f>120469869+73347452+87406642</f>
        <v>281223963</v>
      </c>
    </row>
    <row r="47" spans="1:28">
      <c r="A47" s="11"/>
      <c r="B47" s="7" t="s">
        <v>61</v>
      </c>
      <c r="C47" s="8">
        <v>125451647.2</v>
      </c>
      <c r="D47" s="8">
        <v>125451647.2</v>
      </c>
      <c r="E47" s="8">
        <v>90230515</v>
      </c>
      <c r="F47" s="8">
        <v>90230515</v>
      </c>
      <c r="G47" s="8">
        <v>90230515</v>
      </c>
      <c r="H47" s="105">
        <v>90230515</v>
      </c>
      <c r="I47" s="112">
        <v>90230515</v>
      </c>
      <c r="J47" s="109">
        <v>90230515</v>
      </c>
      <c r="K47" s="9">
        <v>90230515</v>
      </c>
      <c r="L47" s="9">
        <v>90230515</v>
      </c>
      <c r="M47" s="9">
        <v>90230515</v>
      </c>
      <c r="N47" s="9">
        <v>90230515</v>
      </c>
      <c r="O47" s="9">
        <v>94589676.500000015</v>
      </c>
      <c r="P47" s="154">
        <v>90230515</v>
      </c>
      <c r="Q47" s="154">
        <v>90230515</v>
      </c>
      <c r="R47" s="154">
        <v>90230515</v>
      </c>
      <c r="S47" s="154">
        <v>94589677</v>
      </c>
      <c r="T47" s="154">
        <v>94589677</v>
      </c>
      <c r="U47" s="154">
        <v>94589677</v>
      </c>
      <c r="V47" s="154">
        <v>94589677</v>
      </c>
      <c r="W47" s="154">
        <v>94589677</v>
      </c>
      <c r="X47" s="154">
        <v>94589677</v>
      </c>
      <c r="Y47" s="154">
        <v>94589677</v>
      </c>
      <c r="Z47" s="154">
        <v>94589677</v>
      </c>
      <c r="AA47" s="154">
        <v>94589677</v>
      </c>
      <c r="AB47" s="73">
        <v>7139563</v>
      </c>
    </row>
    <row r="48" spans="1:28">
      <c r="A48" s="11"/>
      <c r="B48" s="7" t="s">
        <v>62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106">
        <v>0</v>
      </c>
      <c r="I48" s="113">
        <v>0</v>
      </c>
      <c r="J48" s="110">
        <v>0</v>
      </c>
      <c r="K48" s="13">
        <v>0</v>
      </c>
      <c r="L48" s="13">
        <v>0</v>
      </c>
      <c r="M48" s="13">
        <v>0</v>
      </c>
      <c r="N48" s="13">
        <v>0</v>
      </c>
      <c r="O48" s="13">
        <v>32473121.66</v>
      </c>
      <c r="P48" s="155">
        <v>0</v>
      </c>
      <c r="Q48" s="155">
        <v>0</v>
      </c>
      <c r="R48" s="155">
        <v>0</v>
      </c>
      <c r="S48" s="155">
        <v>0</v>
      </c>
      <c r="T48" s="155">
        <v>0</v>
      </c>
      <c r="U48" s="155">
        <v>0</v>
      </c>
      <c r="V48" s="155">
        <v>0</v>
      </c>
      <c r="W48" s="155">
        <v>0</v>
      </c>
      <c r="X48" s="155">
        <v>0</v>
      </c>
      <c r="Y48" s="155">
        <v>0</v>
      </c>
      <c r="Z48" s="155">
        <v>0</v>
      </c>
      <c r="AA48" s="155">
        <v>0</v>
      </c>
    </row>
    <row r="49" spans="1:28">
      <c r="A49" s="11"/>
      <c r="B49" s="7" t="s">
        <v>63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106">
        <v>0</v>
      </c>
      <c r="I49" s="113">
        <v>0</v>
      </c>
      <c r="J49" s="110">
        <v>0</v>
      </c>
      <c r="K49" s="13">
        <v>0</v>
      </c>
      <c r="L49" s="13">
        <v>0</v>
      </c>
      <c r="M49" s="13">
        <v>0</v>
      </c>
      <c r="N49" s="13">
        <v>0</v>
      </c>
      <c r="O49" s="13"/>
      <c r="P49" s="155">
        <v>0</v>
      </c>
      <c r="Q49" s="155">
        <v>0</v>
      </c>
      <c r="R49" s="155">
        <v>0</v>
      </c>
      <c r="S49" s="155">
        <v>0</v>
      </c>
      <c r="T49" s="155">
        <v>0</v>
      </c>
      <c r="U49" s="155">
        <v>0</v>
      </c>
      <c r="V49" s="155">
        <v>0</v>
      </c>
      <c r="W49" s="155">
        <v>0</v>
      </c>
      <c r="X49" s="155">
        <v>0</v>
      </c>
      <c r="Y49" s="155">
        <v>0</v>
      </c>
      <c r="Z49" s="155">
        <v>0</v>
      </c>
      <c r="AA49" s="155">
        <v>0</v>
      </c>
    </row>
    <row r="50" spans="1:28">
      <c r="A50" s="11"/>
      <c r="B50" s="10" t="s">
        <v>64</v>
      </c>
      <c r="C50" s="8">
        <f t="shared" ref="C50:F50" si="19">SUM(C39+C40+C41+C44)</f>
        <v>844150900.64999986</v>
      </c>
      <c r="D50" s="8">
        <f t="shared" si="19"/>
        <v>877032774.25999999</v>
      </c>
      <c r="E50" s="8">
        <f t="shared" si="19"/>
        <v>880879270.78999996</v>
      </c>
      <c r="F50" s="8">
        <f t="shared" si="19"/>
        <v>963717120.20999992</v>
      </c>
      <c r="G50" s="8">
        <f t="shared" ref="G50:H50" si="20">SUM(G39+G40+G41+G44)</f>
        <v>995297922.68999994</v>
      </c>
      <c r="H50" s="105">
        <f t="shared" si="20"/>
        <v>1051044076.01</v>
      </c>
      <c r="I50" s="105">
        <f t="shared" ref="I50:O50" si="21">SUM(I39+I40+I41+I44)</f>
        <v>1081045939.78</v>
      </c>
      <c r="J50" s="105">
        <f t="shared" si="21"/>
        <v>1104509114.6900001</v>
      </c>
      <c r="K50" s="105">
        <f t="shared" si="21"/>
        <v>1146228775.74</v>
      </c>
      <c r="L50" s="105">
        <f t="shared" si="21"/>
        <v>1181337089.8</v>
      </c>
      <c r="M50" s="105">
        <f t="shared" si="21"/>
        <v>1203697228.4199998</v>
      </c>
      <c r="N50" s="105">
        <f t="shared" si="21"/>
        <v>1287306218.7599998</v>
      </c>
      <c r="O50" s="105">
        <f t="shared" si="21"/>
        <v>894192961.11903977</v>
      </c>
      <c r="P50" s="105">
        <f t="shared" ref="P50:T50" si="22">SUM(P39+P40+P41+P44)</f>
        <v>1303543614.6599998</v>
      </c>
      <c r="Q50" s="105">
        <f t="shared" si="22"/>
        <v>1336558755.5899999</v>
      </c>
      <c r="R50" s="105">
        <f t="shared" si="22"/>
        <v>1377987793.1199999</v>
      </c>
      <c r="S50" s="105">
        <f t="shared" si="22"/>
        <v>1040604944.09</v>
      </c>
      <c r="T50" s="105">
        <f t="shared" si="22"/>
        <v>1063972120.7400001</v>
      </c>
      <c r="U50" s="105">
        <f t="shared" ref="U50:AB50" si="23">SUM(U39+U40+U41+U44)</f>
        <v>1124234665.1900001</v>
      </c>
      <c r="V50" s="105">
        <f t="shared" si="23"/>
        <v>1145559727.96</v>
      </c>
      <c r="W50" s="105">
        <f t="shared" si="23"/>
        <v>1173997790.3699999</v>
      </c>
      <c r="X50" s="105">
        <f t="shared" si="23"/>
        <v>1210064601.9499998</v>
      </c>
      <c r="Y50" s="105">
        <f t="shared" si="23"/>
        <v>1243914458.26</v>
      </c>
      <c r="Z50" s="105">
        <f t="shared" si="23"/>
        <v>1279687102.75</v>
      </c>
      <c r="AA50" s="105">
        <f t="shared" si="23"/>
        <v>1315116418.5799999</v>
      </c>
      <c r="AB50" s="170">
        <f t="shared" si="23"/>
        <v>910545281.95000005</v>
      </c>
    </row>
    <row r="51" spans="1:28">
      <c r="A51" s="11"/>
      <c r="B51" s="10" t="s">
        <v>65</v>
      </c>
      <c r="C51" s="8">
        <f t="shared" ref="C51:F51" si="24">SUM(C38+C50)</f>
        <v>4662154303.3000002</v>
      </c>
      <c r="D51" s="8">
        <f t="shared" si="24"/>
        <v>4702500997.5100002</v>
      </c>
      <c r="E51" s="8">
        <f t="shared" si="24"/>
        <v>4714732746.0299997</v>
      </c>
      <c r="F51" s="8">
        <f t="shared" si="24"/>
        <v>4571523979.21</v>
      </c>
      <c r="G51" s="8">
        <f t="shared" ref="G51:H51" si="25">SUM(G38+G50)</f>
        <v>4611446324.6800003</v>
      </c>
      <c r="H51" s="105">
        <f t="shared" si="25"/>
        <v>4701981557.9399996</v>
      </c>
      <c r="I51" s="105">
        <f t="shared" ref="I51:O51" si="26">SUM(I38+I50)</f>
        <v>4717522820.7199993</v>
      </c>
      <c r="J51" s="105">
        <f t="shared" si="26"/>
        <v>4790350120.1900005</v>
      </c>
      <c r="K51" s="105">
        <f t="shared" si="26"/>
        <v>4857799367.3299999</v>
      </c>
      <c r="L51" s="105">
        <f t="shared" si="26"/>
        <v>4928254004.6100006</v>
      </c>
      <c r="M51" s="105">
        <f t="shared" si="26"/>
        <v>5001058846.3899994</v>
      </c>
      <c r="N51" s="105">
        <f t="shared" si="26"/>
        <v>5095770961.1000004</v>
      </c>
      <c r="O51" s="105">
        <f t="shared" si="26"/>
        <v>5091966232.0890398</v>
      </c>
      <c r="P51" s="105">
        <f t="shared" ref="P51:T51" si="27">SUM(P38+P50)</f>
        <v>5133923900.1000004</v>
      </c>
      <c r="Q51" s="105">
        <f t="shared" si="27"/>
        <v>5150836398.2700005</v>
      </c>
      <c r="R51" s="105">
        <f t="shared" si="27"/>
        <v>5222933497.5699997</v>
      </c>
      <c r="S51" s="105">
        <f t="shared" si="27"/>
        <v>5002817398.8699999</v>
      </c>
      <c r="T51" s="105">
        <f t="shared" si="27"/>
        <v>5054355014.5599995</v>
      </c>
      <c r="U51" s="105">
        <f t="shared" ref="U51:AB51" si="28">SUM(U38+U50)</f>
        <v>5106796520.0500002</v>
      </c>
      <c r="V51" s="105">
        <f t="shared" si="28"/>
        <v>5106631183.6399994</v>
      </c>
      <c r="W51" s="105">
        <f t="shared" si="28"/>
        <v>5121031905.9500008</v>
      </c>
      <c r="X51" s="105">
        <f t="shared" si="28"/>
        <v>5191049060.7699995</v>
      </c>
      <c r="Y51" s="105">
        <f t="shared" si="28"/>
        <v>5245830319.3600006</v>
      </c>
      <c r="Z51" s="105">
        <f t="shared" si="28"/>
        <v>5258570581.46</v>
      </c>
      <c r="AA51" s="105">
        <f t="shared" si="28"/>
        <v>5361876155.2300005</v>
      </c>
      <c r="AB51" s="170">
        <f t="shared" si="28"/>
        <v>5443177820.9499998</v>
      </c>
    </row>
    <row r="52" spans="1:28">
      <c r="A52" s="1"/>
      <c r="B52" s="3"/>
      <c r="C52" s="3"/>
      <c r="D52" s="3"/>
      <c r="E52" s="3"/>
      <c r="F52" s="3"/>
      <c r="G52" s="3"/>
    </row>
    <row r="53" spans="1:28">
      <c r="A53" s="1"/>
      <c r="B53" s="3"/>
      <c r="C53" s="3"/>
      <c r="D53" s="3"/>
      <c r="E53" s="3"/>
      <c r="F53" s="3"/>
      <c r="G53" s="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8"/>
  <sheetViews>
    <sheetView topLeftCell="A11" workbookViewId="0">
      <pane xSplit="2" topLeftCell="Y1" activePane="topRight" state="frozen"/>
      <selection pane="topRight" activeCell="AD30" sqref="AD29:AD30"/>
    </sheetView>
  </sheetViews>
  <sheetFormatPr defaultColWidth="9.140625" defaultRowHeight="13.15"/>
  <cols>
    <col min="1" max="1" width="9.42578125" style="18" bestFit="1" customWidth="1"/>
    <col min="2" max="2" width="69.85546875" style="18" customWidth="1"/>
    <col min="3" max="4" width="17.140625" style="18" customWidth="1"/>
    <col min="5" max="5" width="17.28515625" style="18" bestFit="1" customWidth="1"/>
    <col min="6" max="6" width="17.140625" style="18" customWidth="1"/>
    <col min="7" max="7" width="19" style="18" customWidth="1"/>
    <col min="8" max="8" width="16.7109375" style="18" bestFit="1" customWidth="1"/>
    <col min="9" max="10" width="16.7109375" style="18" customWidth="1"/>
    <col min="11" max="11" width="16.7109375" style="18" bestFit="1" customWidth="1"/>
    <col min="12" max="13" width="16.7109375" style="18" customWidth="1"/>
    <col min="14" max="14" width="16.7109375" style="18" bestFit="1" customWidth="1"/>
    <col min="15" max="15" width="16.28515625" style="18" bestFit="1" customWidth="1"/>
    <col min="16" max="17" width="15.140625" style="18" bestFit="1" customWidth="1"/>
    <col min="18" max="27" width="16.28515625" style="18" bestFit="1" customWidth="1"/>
    <col min="28" max="28" width="16.28515625" style="73" bestFit="1" customWidth="1"/>
    <col min="29" max="16384" width="9.140625" style="18"/>
  </cols>
  <sheetData>
    <row r="1" spans="1:30">
      <c r="A1" s="67" t="s">
        <v>0</v>
      </c>
      <c r="B1" s="67"/>
      <c r="C1" s="3"/>
      <c r="D1" s="3"/>
      <c r="E1" s="3"/>
      <c r="F1" s="3"/>
      <c r="G1" s="3"/>
    </row>
    <row r="2" spans="1:30">
      <c r="A2" s="28" t="s">
        <v>66</v>
      </c>
      <c r="B2" s="29"/>
      <c r="C2" s="3"/>
      <c r="D2" s="3"/>
      <c r="E2" s="3"/>
      <c r="F2" s="3"/>
      <c r="G2" s="3"/>
    </row>
    <row r="3" spans="1:30">
      <c r="A3" s="20" t="s">
        <v>2</v>
      </c>
      <c r="B3" s="20"/>
      <c r="C3" s="72" t="s">
        <v>3</v>
      </c>
      <c r="D3" s="72" t="s">
        <v>4</v>
      </c>
      <c r="E3" s="72" t="s">
        <v>5</v>
      </c>
      <c r="F3" s="72" t="s">
        <v>6</v>
      </c>
      <c r="G3" s="72" t="s">
        <v>7</v>
      </c>
      <c r="H3" s="72" t="s">
        <v>8</v>
      </c>
      <c r="I3" s="122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6" t="s">
        <v>14</v>
      </c>
      <c r="O3" s="86" t="s">
        <v>15</v>
      </c>
      <c r="P3" s="162">
        <v>44562</v>
      </c>
      <c r="Q3" s="162">
        <v>44593</v>
      </c>
      <c r="R3" s="162">
        <v>44621</v>
      </c>
      <c r="S3" s="162">
        <v>44652</v>
      </c>
      <c r="T3" s="162">
        <v>44682</v>
      </c>
      <c r="U3" s="162">
        <v>44713</v>
      </c>
      <c r="V3" s="162">
        <v>44743</v>
      </c>
      <c r="W3" s="162">
        <v>44774</v>
      </c>
      <c r="X3" s="162">
        <v>44805</v>
      </c>
      <c r="Y3" s="162">
        <v>44835</v>
      </c>
      <c r="Z3" s="162">
        <v>44866</v>
      </c>
      <c r="AA3" s="162">
        <v>44896</v>
      </c>
      <c r="AB3" s="169">
        <v>44927</v>
      </c>
      <c r="AC3" s="162">
        <v>44958</v>
      </c>
      <c r="AD3" s="162">
        <v>44986</v>
      </c>
    </row>
    <row r="4" spans="1:30">
      <c r="A4" s="30">
        <v>1</v>
      </c>
      <c r="B4" s="31" t="s">
        <v>67</v>
      </c>
      <c r="C4" s="32">
        <v>43309935.590000004</v>
      </c>
      <c r="D4" s="32">
        <v>92409922.549999997</v>
      </c>
      <c r="E4" s="32">
        <v>143859492.31999999</v>
      </c>
      <c r="F4" s="32">
        <v>215404037.31</v>
      </c>
      <c r="G4" s="32">
        <v>256398667.53</v>
      </c>
      <c r="H4" s="114">
        <v>324909292.67000002</v>
      </c>
      <c r="I4" s="156">
        <v>368935674.35000002</v>
      </c>
      <c r="J4" s="118">
        <v>407119433.94</v>
      </c>
      <c r="K4" s="32">
        <v>464874708.48000002</v>
      </c>
      <c r="L4" s="32">
        <v>508281622.99000001</v>
      </c>
      <c r="M4" s="32">
        <v>573794750.51999998</v>
      </c>
      <c r="N4" s="32">
        <v>658610430.65999997</v>
      </c>
      <c r="O4" s="32">
        <f>O5+O8</f>
        <v>662106174.34000003</v>
      </c>
      <c r="P4" s="32">
        <f t="shared" ref="P4:AB4" si="0">P5+P8</f>
        <v>36013475.939999998</v>
      </c>
      <c r="Q4" s="32">
        <f t="shared" si="0"/>
        <v>81518886.049999997</v>
      </c>
      <c r="R4" s="32">
        <f t="shared" si="0"/>
        <v>140263812.54000002</v>
      </c>
      <c r="S4" s="32">
        <f t="shared" si="0"/>
        <v>219335276.44999999</v>
      </c>
      <c r="T4" s="32">
        <f t="shared" si="0"/>
        <v>268498383.31</v>
      </c>
      <c r="U4" s="32">
        <f t="shared" si="0"/>
        <v>336122105.11000001</v>
      </c>
      <c r="V4" s="32">
        <f t="shared" si="0"/>
        <v>381421495.85000002</v>
      </c>
      <c r="W4" s="32">
        <f t="shared" si="0"/>
        <v>425450018.31999999</v>
      </c>
      <c r="X4" s="32">
        <f t="shared" si="0"/>
        <v>472822255.26999998</v>
      </c>
      <c r="Y4" s="32">
        <f t="shared" si="0"/>
        <v>518525160.09000003</v>
      </c>
      <c r="Z4" s="32">
        <f t="shared" si="0"/>
        <v>567097890.68999994</v>
      </c>
      <c r="AA4" s="32">
        <f t="shared" si="0"/>
        <v>652217268.13</v>
      </c>
      <c r="AB4" s="32">
        <f t="shared" si="0"/>
        <v>657859922</v>
      </c>
    </row>
    <row r="5" spans="1:30">
      <c r="A5" s="67">
        <v>2</v>
      </c>
      <c r="B5" s="31" t="s">
        <v>68</v>
      </c>
      <c r="C5" s="74">
        <v>41847106.240000002</v>
      </c>
      <c r="D5" s="74">
        <v>89541381.700000003</v>
      </c>
      <c r="E5" s="74">
        <v>140128915.91999999</v>
      </c>
      <c r="F5" s="74">
        <v>207353782.21000001</v>
      </c>
      <c r="G5" s="87">
        <v>247324778.63999999</v>
      </c>
      <c r="H5" s="115">
        <v>302956556.05000001</v>
      </c>
      <c r="I5" s="157">
        <v>345456849.62</v>
      </c>
      <c r="J5" s="119">
        <v>382320062.69</v>
      </c>
      <c r="K5" s="92">
        <v>438921164.75</v>
      </c>
      <c r="L5" s="92">
        <v>481425471.04000002</v>
      </c>
      <c r="M5" s="92">
        <v>525892601.05000001</v>
      </c>
      <c r="N5" s="92">
        <v>599441292.95000005</v>
      </c>
      <c r="O5" s="92">
        <f>O6+O7</f>
        <v>603806022.95000005</v>
      </c>
      <c r="P5" s="71">
        <v>34362243.149999999</v>
      </c>
      <c r="Q5" s="71">
        <v>79159052.590000004</v>
      </c>
      <c r="R5" s="71">
        <v>136455101.99000001</v>
      </c>
      <c r="S5" s="71">
        <v>211307453.00999999</v>
      </c>
      <c r="T5" s="71">
        <v>251030545.91999999</v>
      </c>
      <c r="U5" s="167">
        <v>295615221.60000002</v>
      </c>
      <c r="V5" s="167">
        <v>339782408.85000002</v>
      </c>
      <c r="W5" s="167">
        <v>383035533.44999999</v>
      </c>
      <c r="X5" s="167">
        <v>429171827.08999997</v>
      </c>
      <c r="Y5" s="167">
        <v>474240604.92000002</v>
      </c>
      <c r="Z5" s="167">
        <v>521730597.38999999</v>
      </c>
      <c r="AA5" s="167">
        <v>575213327.13999999</v>
      </c>
      <c r="AB5" s="73">
        <v>579452977</v>
      </c>
    </row>
    <row r="6" spans="1:30">
      <c r="A6" s="30">
        <v>2.1</v>
      </c>
      <c r="B6" s="33" t="s">
        <v>69</v>
      </c>
      <c r="C6" s="75">
        <v>41847106.240000002</v>
      </c>
      <c r="D6" s="75">
        <v>89541381.700000003</v>
      </c>
      <c r="E6" s="75">
        <v>140128915.91999999</v>
      </c>
      <c r="F6" s="75">
        <v>207353782.21000001</v>
      </c>
      <c r="G6" s="88">
        <v>247324778.63999999</v>
      </c>
      <c r="H6" s="115">
        <v>302956556.05000001</v>
      </c>
      <c r="I6" s="158">
        <v>345456849.62</v>
      </c>
      <c r="J6" s="119">
        <v>382320062.69</v>
      </c>
      <c r="K6" s="92">
        <v>438921164.75</v>
      </c>
      <c r="L6" s="92">
        <v>481425471.04000002</v>
      </c>
      <c r="M6" s="92">
        <v>525892601.05000001</v>
      </c>
      <c r="N6" s="92">
        <v>599441292.95000005</v>
      </c>
      <c r="O6" s="92">
        <v>603806022.95000005</v>
      </c>
      <c r="P6" s="9">
        <v>34362243.149999999</v>
      </c>
      <c r="Q6" s="9">
        <v>79159052.590000004</v>
      </c>
      <c r="R6" s="9">
        <v>136455101.99000001</v>
      </c>
      <c r="S6" s="9">
        <v>211307453.00999999</v>
      </c>
      <c r="T6" s="9">
        <v>251030545.91999999</v>
      </c>
      <c r="U6" s="168">
        <v>295615221.60000002</v>
      </c>
      <c r="V6" s="168">
        <v>339782408.85000002</v>
      </c>
      <c r="W6" s="168">
        <v>383035533.44999999</v>
      </c>
      <c r="X6" s="168">
        <v>429171827.08999997</v>
      </c>
      <c r="Y6" s="168">
        <v>474240604.92000002</v>
      </c>
      <c r="Z6" s="168">
        <v>521730597.38999999</v>
      </c>
      <c r="AA6" s="168">
        <v>575213327.13999999</v>
      </c>
    </row>
    <row r="7" spans="1:30">
      <c r="A7" s="30">
        <v>2.2000000000000002</v>
      </c>
      <c r="B7" s="33" t="s">
        <v>70</v>
      </c>
      <c r="C7" s="75">
        <v>0</v>
      </c>
      <c r="D7" s="75">
        <v>0</v>
      </c>
      <c r="E7" s="75">
        <v>0</v>
      </c>
      <c r="F7" s="75">
        <v>0</v>
      </c>
      <c r="G7" s="88">
        <v>0</v>
      </c>
      <c r="H7" s="115">
        <v>0</v>
      </c>
      <c r="I7" s="159">
        <v>0</v>
      </c>
      <c r="J7" s="119">
        <v>0</v>
      </c>
      <c r="K7" s="92">
        <v>0</v>
      </c>
      <c r="L7" s="92">
        <v>0</v>
      </c>
      <c r="M7" s="92">
        <v>0</v>
      </c>
      <c r="N7" s="92">
        <v>0</v>
      </c>
      <c r="O7" s="92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68">
        <v>0</v>
      </c>
      <c r="V7" s="168">
        <v>0</v>
      </c>
      <c r="W7" s="168">
        <v>0</v>
      </c>
      <c r="X7" s="168">
        <v>0</v>
      </c>
      <c r="Y7" s="168">
        <v>0</v>
      </c>
      <c r="Z7" s="168">
        <v>0</v>
      </c>
      <c r="AA7" s="168">
        <v>0</v>
      </c>
    </row>
    <row r="8" spans="1:30">
      <c r="A8" s="30">
        <v>3</v>
      </c>
      <c r="B8" s="31" t="s">
        <v>71</v>
      </c>
      <c r="C8" s="34">
        <v>0</v>
      </c>
      <c r="D8" s="34">
        <v>317271</v>
      </c>
      <c r="E8" s="34">
        <v>326850.05</v>
      </c>
      <c r="F8" s="34">
        <v>2171850.0499999998</v>
      </c>
      <c r="G8" s="89">
        <v>2171850.0499999998</v>
      </c>
      <c r="H8" s="116">
        <v>15555880.449999999</v>
      </c>
      <c r="I8" s="160">
        <v>15565735.449999999</v>
      </c>
      <c r="J8" s="120">
        <v>15565735.449999999</v>
      </c>
      <c r="K8" s="93">
        <v>15565735.449999999</v>
      </c>
      <c r="L8" s="93">
        <v>15565735.449999999</v>
      </c>
      <c r="M8" s="93">
        <v>35379150.130000003</v>
      </c>
      <c r="N8" s="93">
        <v>43389282.649999999</v>
      </c>
      <c r="O8" s="93">
        <f>O9+O10+O11+O12</f>
        <v>58300151.390000001</v>
      </c>
      <c r="P8" s="93">
        <f t="shared" ref="P8:AB8" si="1">P9+P10+P11+P12</f>
        <v>1651232.79</v>
      </c>
      <c r="Q8" s="93">
        <f t="shared" si="1"/>
        <v>2359833.46</v>
      </c>
      <c r="R8" s="93">
        <f t="shared" si="1"/>
        <v>3808710.55</v>
      </c>
      <c r="S8" s="93">
        <f t="shared" si="1"/>
        <v>8027823.4399999995</v>
      </c>
      <c r="T8" s="93">
        <f t="shared" si="1"/>
        <v>17467837.390000001</v>
      </c>
      <c r="U8" s="93">
        <f t="shared" si="1"/>
        <v>40506883.509999998</v>
      </c>
      <c r="V8" s="93">
        <f t="shared" si="1"/>
        <v>41639087</v>
      </c>
      <c r="W8" s="93">
        <f t="shared" si="1"/>
        <v>42414484.869999997</v>
      </c>
      <c r="X8" s="93">
        <f t="shared" si="1"/>
        <v>43650428.18</v>
      </c>
      <c r="Y8" s="93">
        <f t="shared" si="1"/>
        <v>44284555.170000002</v>
      </c>
      <c r="Z8" s="93">
        <f t="shared" si="1"/>
        <v>45367293.299999997</v>
      </c>
      <c r="AA8" s="93">
        <f t="shared" si="1"/>
        <v>77003940.99000001</v>
      </c>
      <c r="AB8" s="93">
        <f t="shared" si="1"/>
        <v>78406945</v>
      </c>
    </row>
    <row r="9" spans="1:30">
      <c r="A9" s="30">
        <v>3.1</v>
      </c>
      <c r="B9" s="33" t="s">
        <v>72</v>
      </c>
      <c r="C9" s="75">
        <v>0</v>
      </c>
      <c r="D9" s="75">
        <v>0</v>
      </c>
      <c r="E9" s="75">
        <v>0</v>
      </c>
      <c r="F9" s="75">
        <v>0</v>
      </c>
      <c r="G9" s="88">
        <v>0</v>
      </c>
      <c r="H9" s="115">
        <v>0</v>
      </c>
      <c r="I9" s="159">
        <v>0</v>
      </c>
      <c r="J9" s="119">
        <v>0</v>
      </c>
      <c r="K9" s="92">
        <v>0</v>
      </c>
      <c r="L9" s="92">
        <v>0</v>
      </c>
      <c r="M9" s="92">
        <v>0</v>
      </c>
      <c r="N9" s="92">
        <v>0</v>
      </c>
      <c r="O9" s="92"/>
      <c r="P9" s="9">
        <v>0</v>
      </c>
      <c r="Q9" s="9">
        <v>0</v>
      </c>
      <c r="R9" s="9">
        <v>0</v>
      </c>
      <c r="S9" s="9">
        <v>0</v>
      </c>
      <c r="T9" s="9">
        <v>0</v>
      </c>
      <c r="U9" s="168">
        <v>0</v>
      </c>
      <c r="V9" s="168">
        <v>0</v>
      </c>
      <c r="W9" s="168">
        <v>0</v>
      </c>
      <c r="X9" s="168">
        <v>0</v>
      </c>
      <c r="Y9" s="168">
        <v>0</v>
      </c>
      <c r="Z9" s="168">
        <v>0</v>
      </c>
      <c r="AA9" s="168">
        <v>0</v>
      </c>
    </row>
    <row r="10" spans="1:30">
      <c r="A10" s="30">
        <v>3.2</v>
      </c>
      <c r="B10" s="33" t="s">
        <v>73</v>
      </c>
      <c r="C10" s="75">
        <v>0</v>
      </c>
      <c r="D10" s="75">
        <v>0</v>
      </c>
      <c r="E10" s="75">
        <v>0</v>
      </c>
      <c r="F10" s="75">
        <v>1845000</v>
      </c>
      <c r="G10" s="88">
        <v>1845000</v>
      </c>
      <c r="H10" s="115">
        <v>1845000</v>
      </c>
      <c r="I10" s="158">
        <v>1845000</v>
      </c>
      <c r="J10" s="119">
        <v>1845000</v>
      </c>
      <c r="K10" s="92">
        <v>1845000</v>
      </c>
      <c r="L10" s="92">
        <v>1845000</v>
      </c>
      <c r="M10" s="92">
        <v>21412956.68</v>
      </c>
      <c r="N10" s="92">
        <v>29315493.609999999</v>
      </c>
      <c r="O10" s="92">
        <v>32908832.879999999</v>
      </c>
      <c r="P10" s="9">
        <v>0</v>
      </c>
      <c r="Q10" s="9">
        <v>0</v>
      </c>
      <c r="R10" s="9">
        <v>0</v>
      </c>
      <c r="S10" s="9">
        <v>1845000</v>
      </c>
      <c r="T10" s="9">
        <v>9711925.1400000006</v>
      </c>
      <c r="U10" s="168">
        <v>18694627.239999998</v>
      </c>
      <c r="V10" s="168">
        <v>18694627.239999998</v>
      </c>
      <c r="W10" s="168">
        <v>18694627.239999998</v>
      </c>
      <c r="X10" s="168">
        <v>18694627.239999998</v>
      </c>
      <c r="Y10" s="168">
        <v>18694627.239999998</v>
      </c>
      <c r="Z10" s="168">
        <v>18694627.239999998</v>
      </c>
      <c r="AA10" s="168">
        <v>46294238.030000001</v>
      </c>
      <c r="AB10" s="73">
        <v>51638444</v>
      </c>
    </row>
    <row r="11" spans="1:30">
      <c r="A11" s="30">
        <v>3.3</v>
      </c>
      <c r="B11" s="33" t="s">
        <v>74</v>
      </c>
      <c r="C11" s="75">
        <v>0</v>
      </c>
      <c r="D11" s="75">
        <v>317271</v>
      </c>
      <c r="E11" s="75">
        <v>326850.05</v>
      </c>
      <c r="F11" s="75">
        <v>326850.05</v>
      </c>
      <c r="G11" s="88">
        <v>326850.05</v>
      </c>
      <c r="H11" s="115">
        <v>13710880.449999999</v>
      </c>
      <c r="I11" s="158">
        <v>13720735.449999999</v>
      </c>
      <c r="J11" s="119">
        <v>13720735.449999999</v>
      </c>
      <c r="K11" s="92">
        <v>13720735.449999999</v>
      </c>
      <c r="L11" s="92">
        <v>13720735.449999999</v>
      </c>
      <c r="M11" s="92">
        <v>13966193.449999999</v>
      </c>
      <c r="N11" s="92">
        <v>14073789.039999999</v>
      </c>
      <c r="O11" s="92">
        <v>15535601.649999999</v>
      </c>
      <c r="P11" s="9">
        <v>0</v>
      </c>
      <c r="Q11" s="9">
        <v>0</v>
      </c>
      <c r="R11" s="9">
        <v>11494.9</v>
      </c>
      <c r="S11" s="9">
        <v>11494.9</v>
      </c>
      <c r="T11" s="9">
        <v>11494.9</v>
      </c>
      <c r="U11" s="168">
        <v>12914536.699999999</v>
      </c>
      <c r="V11" s="168">
        <v>12914536.699999999</v>
      </c>
      <c r="W11" s="168">
        <v>12914536.699999999</v>
      </c>
      <c r="X11" s="168">
        <v>12914536.699999999</v>
      </c>
      <c r="Y11" s="168">
        <v>12914536.699999999</v>
      </c>
      <c r="Z11" s="168">
        <v>12914536.699999999</v>
      </c>
      <c r="AA11" s="168">
        <v>12914536.699999999</v>
      </c>
      <c r="AB11" s="73">
        <v>26768501</v>
      </c>
    </row>
    <row r="12" spans="1:30">
      <c r="A12" s="30">
        <v>3.4</v>
      </c>
      <c r="B12" s="35" t="s">
        <v>75</v>
      </c>
      <c r="C12" s="74">
        <v>1462829.35</v>
      </c>
      <c r="D12" s="74">
        <v>2551269.85</v>
      </c>
      <c r="E12" s="74">
        <v>3403726.35</v>
      </c>
      <c r="F12" s="74">
        <v>5878405.0499999998</v>
      </c>
      <c r="G12" s="87">
        <v>6902038.8399999999</v>
      </c>
      <c r="H12" s="115">
        <v>6396856.1699999999</v>
      </c>
      <c r="I12" s="157">
        <v>7913089.2800000003</v>
      </c>
      <c r="J12" s="119">
        <v>9233635.8000000007</v>
      </c>
      <c r="K12" s="92">
        <v>10387808.279999999</v>
      </c>
      <c r="L12" s="92">
        <v>11290416.5</v>
      </c>
      <c r="M12" s="92">
        <v>12522999.34</v>
      </c>
      <c r="N12" s="92">
        <v>15779855.060000001</v>
      </c>
      <c r="O12" s="92">
        <v>9855716.8599999994</v>
      </c>
      <c r="P12" s="71">
        <v>1651232.79</v>
      </c>
      <c r="Q12" s="71">
        <v>2359833.46</v>
      </c>
      <c r="R12" s="71">
        <v>3797215.65</v>
      </c>
      <c r="S12" s="71">
        <v>6171328.54</v>
      </c>
      <c r="T12" s="71">
        <v>7744417.3499999996</v>
      </c>
      <c r="U12" s="167">
        <v>8897719.5700000003</v>
      </c>
      <c r="V12" s="167">
        <v>10029923.060000001</v>
      </c>
      <c r="W12" s="167">
        <v>10805320.93</v>
      </c>
      <c r="X12" s="167">
        <v>12041264.24</v>
      </c>
      <c r="Y12" s="167">
        <v>12675391.23</v>
      </c>
      <c r="Z12" s="167">
        <v>13758129.359999999</v>
      </c>
      <c r="AA12" s="167">
        <v>17795166.260000002</v>
      </c>
    </row>
    <row r="13" spans="1:30">
      <c r="A13" s="30">
        <v>4</v>
      </c>
      <c r="B13" s="31" t="s">
        <v>76</v>
      </c>
      <c r="C13" s="34">
        <v>429286.68</v>
      </c>
      <c r="D13" s="34">
        <v>1072556.55</v>
      </c>
      <c r="E13" s="34">
        <v>1568692.36</v>
      </c>
      <c r="F13" s="34">
        <v>1641141.76</v>
      </c>
      <c r="G13" s="89">
        <v>1929575.33</v>
      </c>
      <c r="H13" s="117">
        <v>1958675.33</v>
      </c>
      <c r="I13" s="160">
        <v>1965695.33</v>
      </c>
      <c r="J13" s="121">
        <v>2296617.21</v>
      </c>
      <c r="K13" s="94">
        <v>2344112.21</v>
      </c>
      <c r="L13" s="94">
        <v>2787080.49</v>
      </c>
      <c r="M13" s="94">
        <v>3072208.18</v>
      </c>
      <c r="N13" s="94">
        <v>3118778.18</v>
      </c>
      <c r="O13" s="94">
        <f>O14+O15+O16+O17+O18+O19</f>
        <v>356854565.28000003</v>
      </c>
      <c r="P13" s="94">
        <f t="shared" ref="P13:AB13" si="2">P14+P15+P16+P17+P18+P19</f>
        <v>554185.64</v>
      </c>
      <c r="Q13" s="94">
        <f t="shared" si="2"/>
        <v>1423744.85</v>
      </c>
      <c r="R13" s="94">
        <f t="shared" si="2"/>
        <v>1657194.85</v>
      </c>
      <c r="S13" s="94">
        <f t="shared" si="2"/>
        <v>1837591.42</v>
      </c>
      <c r="T13" s="94">
        <f t="shared" si="2"/>
        <v>2073504.9</v>
      </c>
      <c r="U13" s="94">
        <f t="shared" si="2"/>
        <v>2123600.5</v>
      </c>
      <c r="V13" s="94">
        <f t="shared" si="2"/>
        <v>2396785.9300000002</v>
      </c>
      <c r="W13" s="94">
        <f t="shared" si="2"/>
        <v>2556692.52</v>
      </c>
      <c r="X13" s="94">
        <f t="shared" si="2"/>
        <v>2697992.52</v>
      </c>
      <c r="Y13" s="94">
        <f t="shared" si="2"/>
        <v>2787992.52</v>
      </c>
      <c r="Z13" s="94">
        <f t="shared" si="2"/>
        <v>3218639.24</v>
      </c>
      <c r="AA13" s="94">
        <f t="shared" si="2"/>
        <v>3498633.2</v>
      </c>
      <c r="AB13" s="94">
        <f t="shared" si="2"/>
        <v>364771623</v>
      </c>
    </row>
    <row r="14" spans="1:30">
      <c r="A14" s="30">
        <v>4.2</v>
      </c>
      <c r="B14" s="33" t="s">
        <v>77</v>
      </c>
      <c r="C14" s="75">
        <v>0</v>
      </c>
      <c r="D14" s="75">
        <v>0</v>
      </c>
      <c r="E14" s="75">
        <v>0</v>
      </c>
      <c r="F14" s="75">
        <v>0</v>
      </c>
      <c r="G14" s="88">
        <v>0</v>
      </c>
      <c r="H14" s="115">
        <v>0</v>
      </c>
      <c r="I14" s="159">
        <v>0</v>
      </c>
      <c r="J14" s="119">
        <v>0</v>
      </c>
      <c r="K14" s="92">
        <v>0</v>
      </c>
      <c r="L14" s="92">
        <v>0</v>
      </c>
      <c r="M14" s="92">
        <v>0</v>
      </c>
      <c r="N14" s="92">
        <v>0</v>
      </c>
      <c r="O14" s="92">
        <v>356854565.28000003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168">
        <v>0</v>
      </c>
      <c r="V14" s="168">
        <v>0</v>
      </c>
      <c r="W14" s="168">
        <v>0</v>
      </c>
      <c r="X14" s="168">
        <v>0</v>
      </c>
      <c r="Y14" s="168">
        <v>0</v>
      </c>
      <c r="Z14" s="168">
        <v>0</v>
      </c>
      <c r="AA14" s="168">
        <v>0</v>
      </c>
      <c r="AB14" s="73">
        <v>362995573</v>
      </c>
    </row>
    <row r="15" spans="1:30">
      <c r="A15" s="30">
        <v>4.3</v>
      </c>
      <c r="B15" s="33" t="s">
        <v>78</v>
      </c>
      <c r="C15" s="75">
        <v>0</v>
      </c>
      <c r="D15" s="75">
        <v>0</v>
      </c>
      <c r="E15" s="75">
        <v>0</v>
      </c>
      <c r="F15" s="75">
        <v>0</v>
      </c>
      <c r="G15" s="88">
        <v>0</v>
      </c>
      <c r="H15" s="115">
        <v>0</v>
      </c>
      <c r="I15" s="159">
        <v>0</v>
      </c>
      <c r="J15" s="119">
        <v>0</v>
      </c>
      <c r="K15" s="92">
        <v>0</v>
      </c>
      <c r="L15" s="92">
        <v>0</v>
      </c>
      <c r="M15" s="92">
        <v>0</v>
      </c>
      <c r="N15" s="92">
        <v>0</v>
      </c>
      <c r="O15" s="92"/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68">
        <v>0</v>
      </c>
      <c r="V15" s="168">
        <v>0</v>
      </c>
      <c r="W15" s="168">
        <v>0</v>
      </c>
      <c r="X15" s="168">
        <v>0</v>
      </c>
      <c r="Y15" s="168">
        <v>0</v>
      </c>
      <c r="Z15" s="168">
        <v>0</v>
      </c>
      <c r="AA15" s="168">
        <v>0</v>
      </c>
    </row>
    <row r="16" spans="1:30">
      <c r="A16" s="30">
        <v>4.4000000000000004</v>
      </c>
      <c r="B16" s="33" t="s">
        <v>79</v>
      </c>
      <c r="C16" s="75">
        <v>0</v>
      </c>
      <c r="D16" s="75">
        <v>0</v>
      </c>
      <c r="E16" s="75">
        <v>0</v>
      </c>
      <c r="F16" s="75">
        <v>0</v>
      </c>
      <c r="G16" s="88">
        <v>0</v>
      </c>
      <c r="H16" s="115">
        <v>0</v>
      </c>
      <c r="I16" s="159">
        <v>0</v>
      </c>
      <c r="J16" s="119">
        <v>0</v>
      </c>
      <c r="K16" s="92">
        <v>0</v>
      </c>
      <c r="L16" s="92">
        <v>0</v>
      </c>
      <c r="M16" s="92">
        <v>0</v>
      </c>
      <c r="N16" s="92">
        <v>0</v>
      </c>
      <c r="O16" s="92"/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168">
        <v>0</v>
      </c>
      <c r="V16" s="168">
        <v>0</v>
      </c>
      <c r="W16" s="168">
        <v>0</v>
      </c>
      <c r="X16" s="168">
        <v>0</v>
      </c>
      <c r="Y16" s="168">
        <v>0</v>
      </c>
      <c r="Z16" s="168">
        <v>0</v>
      </c>
      <c r="AA16" s="168">
        <v>0</v>
      </c>
    </row>
    <row r="17" spans="1:28">
      <c r="A17" s="30">
        <v>4.5</v>
      </c>
      <c r="B17" s="33" t="s">
        <v>80</v>
      </c>
      <c r="C17" s="75">
        <v>429286.68</v>
      </c>
      <c r="D17" s="75">
        <v>1072556.55</v>
      </c>
      <c r="E17" s="75">
        <v>1568692.36</v>
      </c>
      <c r="F17" s="75">
        <v>1641141.76</v>
      </c>
      <c r="G17" s="88">
        <v>1929575.33</v>
      </c>
      <c r="H17" s="115">
        <v>1958675.33</v>
      </c>
      <c r="I17" s="158">
        <v>1965695.33</v>
      </c>
      <c r="J17" s="119">
        <v>2296617.21</v>
      </c>
      <c r="K17" s="92">
        <v>2344112.21</v>
      </c>
      <c r="L17" s="92">
        <v>2787080.49</v>
      </c>
      <c r="M17" s="92">
        <v>3072208.18</v>
      </c>
      <c r="N17" s="92">
        <v>3118778.18</v>
      </c>
      <c r="O17" s="92"/>
      <c r="P17" s="9">
        <v>554185.64</v>
      </c>
      <c r="Q17" s="9">
        <v>1423744.85</v>
      </c>
      <c r="R17" s="9">
        <v>1657194.85</v>
      </c>
      <c r="S17" s="9">
        <v>1837591.42</v>
      </c>
      <c r="T17" s="9">
        <v>2073504.9</v>
      </c>
      <c r="U17" s="168">
        <v>2123600.5</v>
      </c>
      <c r="V17" s="168">
        <v>2396785.9300000002</v>
      </c>
      <c r="W17" s="168">
        <v>2556692.52</v>
      </c>
      <c r="X17" s="168">
        <v>2697992.52</v>
      </c>
      <c r="Y17" s="168">
        <v>2787992.52</v>
      </c>
      <c r="Z17" s="168">
        <v>3218639.24</v>
      </c>
      <c r="AA17" s="168">
        <v>3498633.2</v>
      </c>
      <c r="AB17" s="73">
        <v>1776050</v>
      </c>
    </row>
    <row r="18" spans="1:28">
      <c r="A18" s="30">
        <v>4.5999999999999996</v>
      </c>
      <c r="B18" s="33" t="s">
        <v>81</v>
      </c>
      <c r="C18" s="75">
        <v>0</v>
      </c>
      <c r="D18" s="75">
        <v>0</v>
      </c>
      <c r="E18" s="75">
        <v>0</v>
      </c>
      <c r="F18" s="75">
        <v>0</v>
      </c>
      <c r="G18" s="88">
        <v>0</v>
      </c>
      <c r="H18" s="115">
        <v>0</v>
      </c>
      <c r="I18" s="159">
        <v>0</v>
      </c>
      <c r="J18" s="119">
        <v>0</v>
      </c>
      <c r="K18" s="92">
        <v>0</v>
      </c>
      <c r="L18" s="92">
        <v>0</v>
      </c>
      <c r="M18" s="92">
        <v>0</v>
      </c>
      <c r="N18" s="92">
        <v>0</v>
      </c>
      <c r="O18" s="92"/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68">
        <v>0</v>
      </c>
      <c r="V18" s="168">
        <v>0</v>
      </c>
      <c r="W18" s="168">
        <v>0</v>
      </c>
      <c r="X18" s="168">
        <v>0</v>
      </c>
      <c r="Y18" s="168">
        <v>0</v>
      </c>
      <c r="Z18" s="168">
        <v>0</v>
      </c>
      <c r="AA18" s="168">
        <v>0</v>
      </c>
    </row>
    <row r="19" spans="1:28">
      <c r="A19" s="30">
        <v>4.7</v>
      </c>
      <c r="B19" s="33" t="s">
        <v>82</v>
      </c>
      <c r="C19" s="75">
        <v>0</v>
      </c>
      <c r="D19" s="75">
        <v>0</v>
      </c>
      <c r="E19" s="75">
        <v>0</v>
      </c>
      <c r="F19" s="75">
        <v>0</v>
      </c>
      <c r="G19" s="88">
        <v>0</v>
      </c>
      <c r="H19" s="115">
        <v>0</v>
      </c>
      <c r="I19" s="159">
        <v>0</v>
      </c>
      <c r="J19" s="119">
        <v>0</v>
      </c>
      <c r="K19" s="92">
        <v>0</v>
      </c>
      <c r="L19" s="92">
        <v>0</v>
      </c>
      <c r="M19" s="92">
        <v>0</v>
      </c>
      <c r="N19" s="92">
        <v>0</v>
      </c>
      <c r="O19" s="92"/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68">
        <v>0</v>
      </c>
      <c r="V19" s="168">
        <v>0</v>
      </c>
      <c r="W19" s="168">
        <v>0</v>
      </c>
      <c r="X19" s="168">
        <v>0</v>
      </c>
      <c r="Y19" s="168">
        <v>0</v>
      </c>
      <c r="Z19" s="168">
        <v>0</v>
      </c>
      <c r="AA19" s="168">
        <v>0</v>
      </c>
    </row>
    <row r="20" spans="1:28">
      <c r="A20" s="30">
        <v>5</v>
      </c>
      <c r="B20" s="31" t="s">
        <v>83</v>
      </c>
      <c r="C20" s="34">
        <v>42880648.909999996</v>
      </c>
      <c r="D20" s="34">
        <v>91337366</v>
      </c>
      <c r="E20" s="34">
        <v>142290799.96000001</v>
      </c>
      <c r="F20" s="34">
        <v>213762895.55000001</v>
      </c>
      <c r="G20" s="89">
        <v>254469092.19999999</v>
      </c>
      <c r="H20" s="117">
        <v>322950617.33999997</v>
      </c>
      <c r="I20" s="160">
        <v>366969979.01999998</v>
      </c>
      <c r="J20" s="121">
        <v>404822816.73000002</v>
      </c>
      <c r="K20" s="94">
        <v>462530596.26999998</v>
      </c>
      <c r="L20" s="94">
        <v>505494542.5</v>
      </c>
      <c r="M20" s="94">
        <v>570722542.34000003</v>
      </c>
      <c r="N20" s="94">
        <v>655491652.48000002</v>
      </c>
      <c r="O20" s="94">
        <f>O4-O13</f>
        <v>305251609.06</v>
      </c>
      <c r="P20" s="94">
        <f t="shared" ref="P20:T20" si="3">P4-P13</f>
        <v>35459290.299999997</v>
      </c>
      <c r="Q20" s="94">
        <f t="shared" si="3"/>
        <v>80095141.200000003</v>
      </c>
      <c r="R20" s="94">
        <f t="shared" si="3"/>
        <v>138606617.69000003</v>
      </c>
      <c r="S20" s="94">
        <f t="shared" si="3"/>
        <v>217497685.03</v>
      </c>
      <c r="T20" s="94">
        <f t="shared" si="3"/>
        <v>266424878.41</v>
      </c>
      <c r="U20" s="94">
        <f t="shared" ref="U20:AB20" si="4">U4-U13</f>
        <v>333998504.61000001</v>
      </c>
      <c r="V20" s="94">
        <f t="shared" si="4"/>
        <v>379024709.92000002</v>
      </c>
      <c r="W20" s="94">
        <f t="shared" si="4"/>
        <v>422893325.80000001</v>
      </c>
      <c r="X20" s="94">
        <f t="shared" si="4"/>
        <v>470124262.75</v>
      </c>
      <c r="Y20" s="94">
        <f t="shared" si="4"/>
        <v>515737167.57000005</v>
      </c>
      <c r="Z20" s="94">
        <f t="shared" si="4"/>
        <v>563879251.44999993</v>
      </c>
      <c r="AA20" s="94">
        <f t="shared" si="4"/>
        <v>648718634.92999995</v>
      </c>
      <c r="AB20" s="94">
        <f t="shared" si="4"/>
        <v>293088299</v>
      </c>
    </row>
    <row r="21" spans="1:28">
      <c r="A21" s="30">
        <v>6</v>
      </c>
      <c r="B21" s="31" t="s">
        <v>29</v>
      </c>
      <c r="C21" s="34">
        <v>0</v>
      </c>
      <c r="D21" s="34">
        <v>0</v>
      </c>
      <c r="E21" s="34">
        <v>0</v>
      </c>
      <c r="F21" s="34">
        <v>0</v>
      </c>
      <c r="G21" s="89">
        <v>0</v>
      </c>
      <c r="H21" s="117">
        <v>0</v>
      </c>
      <c r="I21" s="161">
        <v>0</v>
      </c>
      <c r="J21" s="121">
        <v>0</v>
      </c>
      <c r="K21" s="94">
        <v>0</v>
      </c>
      <c r="L21" s="94">
        <v>0</v>
      </c>
      <c r="M21" s="94">
        <v>0</v>
      </c>
      <c r="N21" s="94">
        <v>10000000</v>
      </c>
      <c r="O21" s="94">
        <f>O22-O23</f>
        <v>50000000</v>
      </c>
      <c r="P21" s="94">
        <f t="shared" ref="P21:T21" si="5">P22-P23</f>
        <v>0</v>
      </c>
      <c r="Q21" s="94">
        <f t="shared" si="5"/>
        <v>0</v>
      </c>
      <c r="R21" s="94">
        <f t="shared" si="5"/>
        <v>0</v>
      </c>
      <c r="S21" s="94">
        <f t="shared" si="5"/>
        <v>0</v>
      </c>
      <c r="T21" s="94">
        <f t="shared" si="5"/>
        <v>0</v>
      </c>
      <c r="U21" s="94">
        <f t="shared" ref="U21:AB21" si="6">U22-U23</f>
        <v>0</v>
      </c>
      <c r="V21" s="94">
        <f t="shared" si="6"/>
        <v>0</v>
      </c>
      <c r="W21" s="94">
        <f t="shared" si="6"/>
        <v>0</v>
      </c>
      <c r="X21" s="94">
        <f t="shared" si="6"/>
        <v>0</v>
      </c>
      <c r="Y21" s="94">
        <f t="shared" si="6"/>
        <v>0</v>
      </c>
      <c r="Z21" s="94">
        <f t="shared" si="6"/>
        <v>0</v>
      </c>
      <c r="AA21" s="94">
        <f t="shared" si="6"/>
        <v>20000000</v>
      </c>
      <c r="AB21" s="94">
        <f t="shared" si="6"/>
        <v>20000000</v>
      </c>
    </row>
    <row r="22" spans="1:28">
      <c r="A22" s="30">
        <v>6.1</v>
      </c>
      <c r="B22" s="33" t="s">
        <v>84</v>
      </c>
      <c r="C22" s="75">
        <v>0</v>
      </c>
      <c r="D22" s="75">
        <v>0</v>
      </c>
      <c r="E22" s="75">
        <v>0</v>
      </c>
      <c r="F22" s="75">
        <v>0</v>
      </c>
      <c r="G22" s="88">
        <v>0</v>
      </c>
      <c r="H22" s="115">
        <v>0</v>
      </c>
      <c r="I22" s="159">
        <v>0</v>
      </c>
      <c r="J22" s="119">
        <v>0</v>
      </c>
      <c r="K22" s="92">
        <v>0</v>
      </c>
      <c r="L22" s="92">
        <v>0</v>
      </c>
      <c r="M22" s="92">
        <v>0</v>
      </c>
      <c r="N22" s="92">
        <v>10000000</v>
      </c>
      <c r="O22" s="92">
        <v>50000000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68">
        <v>0</v>
      </c>
      <c r="V22" s="168">
        <v>0</v>
      </c>
      <c r="W22" s="168">
        <v>0</v>
      </c>
      <c r="X22" s="168">
        <v>0</v>
      </c>
      <c r="Y22" s="168">
        <v>0</v>
      </c>
      <c r="Z22" s="168">
        <v>0</v>
      </c>
      <c r="AA22" s="168">
        <v>20000000</v>
      </c>
      <c r="AB22" s="73">
        <v>20000000</v>
      </c>
    </row>
    <row r="23" spans="1:28">
      <c r="A23" s="30">
        <v>6.2</v>
      </c>
      <c r="B23" s="33" t="s">
        <v>85</v>
      </c>
      <c r="C23" s="75">
        <v>0</v>
      </c>
      <c r="D23" s="75">
        <v>0</v>
      </c>
      <c r="E23" s="75">
        <v>0</v>
      </c>
      <c r="F23" s="75">
        <v>0</v>
      </c>
      <c r="G23" s="88">
        <v>0</v>
      </c>
      <c r="H23" s="115">
        <v>0</v>
      </c>
      <c r="I23" s="159">
        <v>0</v>
      </c>
      <c r="J23" s="119">
        <v>0</v>
      </c>
      <c r="K23" s="92">
        <v>0</v>
      </c>
      <c r="L23" s="92">
        <v>0</v>
      </c>
      <c r="M23" s="92">
        <v>0</v>
      </c>
      <c r="N23" s="92">
        <v>0</v>
      </c>
      <c r="O23" s="92"/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68">
        <v>0</v>
      </c>
      <c r="V23" s="168">
        <v>0</v>
      </c>
      <c r="W23" s="168">
        <v>0</v>
      </c>
      <c r="X23" s="168">
        <v>0</v>
      </c>
      <c r="Y23" s="168">
        <v>0</v>
      </c>
      <c r="Z23" s="168">
        <v>0</v>
      </c>
      <c r="AA23" s="168">
        <v>0</v>
      </c>
    </row>
    <row r="24" spans="1:28">
      <c r="A24" s="30">
        <v>7</v>
      </c>
      <c r="B24" s="31" t="s">
        <v>86</v>
      </c>
      <c r="C24" s="34">
        <v>15671901.449999999</v>
      </c>
      <c r="D24" s="34">
        <v>33640313.549999997</v>
      </c>
      <c r="E24" s="34">
        <v>43721282.090000004</v>
      </c>
      <c r="F24" s="34">
        <v>65642605.060000002</v>
      </c>
      <c r="G24" s="89">
        <v>72792157.060000002</v>
      </c>
      <c r="H24" s="117">
        <v>87271846.200000003</v>
      </c>
      <c r="I24" s="160">
        <v>103016672.97</v>
      </c>
      <c r="J24" s="121">
        <v>119110413.31</v>
      </c>
      <c r="K24" s="94">
        <v>136580801.25</v>
      </c>
      <c r="L24" s="94">
        <v>145707531.69999999</v>
      </c>
      <c r="M24" s="94">
        <v>190069901.93000001</v>
      </c>
      <c r="N24" s="94">
        <v>183428362.53</v>
      </c>
      <c r="O24" s="94">
        <f>O25+O26+O27+O28+O29</f>
        <v>187543469.56999999</v>
      </c>
      <c r="P24" s="94">
        <f t="shared" ref="P24:AB24" si="7">P25+P26+P27+P28+P29</f>
        <v>20485373.080000002</v>
      </c>
      <c r="Q24" s="94">
        <f t="shared" si="7"/>
        <v>33340926.170000002</v>
      </c>
      <c r="R24" s="94">
        <f t="shared" si="7"/>
        <v>52446435.039999999</v>
      </c>
      <c r="S24" s="94">
        <f t="shared" si="7"/>
        <v>70211002.079999998</v>
      </c>
      <c r="T24" s="94">
        <f t="shared" si="7"/>
        <v>97425467.549999997</v>
      </c>
      <c r="U24" s="94">
        <f t="shared" si="7"/>
        <v>106206410.84</v>
      </c>
      <c r="V24" s="94">
        <f t="shared" si="7"/>
        <v>131287296.29000001</v>
      </c>
      <c r="W24" s="94">
        <f t="shared" si="7"/>
        <v>148327175.87</v>
      </c>
      <c r="X24" s="94">
        <f t="shared" si="7"/>
        <v>161153700.27000001</v>
      </c>
      <c r="Y24" s="94">
        <f t="shared" si="7"/>
        <v>174045205.38</v>
      </c>
      <c r="Z24" s="94">
        <f t="shared" si="7"/>
        <v>187645344.15000001</v>
      </c>
      <c r="AA24" s="94">
        <f t="shared" si="7"/>
        <v>218588991.63</v>
      </c>
      <c r="AB24" s="94">
        <f t="shared" si="7"/>
        <v>222359048</v>
      </c>
    </row>
    <row r="25" spans="1:28">
      <c r="A25" s="30">
        <v>7.1</v>
      </c>
      <c r="B25" s="33" t="s">
        <v>87</v>
      </c>
      <c r="C25" s="75">
        <v>6686475</v>
      </c>
      <c r="D25" s="75">
        <v>12744693</v>
      </c>
      <c r="E25" s="75">
        <v>18959598</v>
      </c>
      <c r="F25" s="75">
        <v>26270822</v>
      </c>
      <c r="G25" s="88">
        <v>32370250</v>
      </c>
      <c r="H25" s="115">
        <v>37119634.5</v>
      </c>
      <c r="I25" s="158">
        <v>44306330.200000003</v>
      </c>
      <c r="J25" s="119">
        <v>54805313.200000003</v>
      </c>
      <c r="K25" s="92">
        <v>61862049.200000003</v>
      </c>
      <c r="L25" s="92">
        <v>66447099.799999997</v>
      </c>
      <c r="M25" s="92">
        <v>76979354.5</v>
      </c>
      <c r="N25" s="92">
        <v>84077730.599999994</v>
      </c>
      <c r="O25" s="92">
        <v>88374500.640000001</v>
      </c>
      <c r="P25" s="9">
        <v>6767045.7999999998</v>
      </c>
      <c r="Q25" s="9">
        <v>13186874.4</v>
      </c>
      <c r="R25" s="9">
        <v>22446304.399999999</v>
      </c>
      <c r="S25" s="9">
        <v>29365467.399999999</v>
      </c>
      <c r="T25" s="9">
        <v>38138352.399999999</v>
      </c>
      <c r="U25" s="168">
        <v>45122755</v>
      </c>
      <c r="V25" s="168">
        <v>55985379.399999999</v>
      </c>
      <c r="W25" s="168">
        <v>63791231.700000003</v>
      </c>
      <c r="X25" s="168">
        <v>70449820.900000006</v>
      </c>
      <c r="Y25" s="168">
        <v>76801359</v>
      </c>
      <c r="Z25" s="168">
        <v>84877858.400000006</v>
      </c>
      <c r="AA25" s="168">
        <v>92153641.900000006</v>
      </c>
      <c r="AB25" s="73">
        <v>96243768</v>
      </c>
    </row>
    <row r="26" spans="1:28">
      <c r="A26" s="30">
        <v>7.2</v>
      </c>
      <c r="B26" s="33" t="s">
        <v>88</v>
      </c>
      <c r="C26" s="75">
        <v>790398</v>
      </c>
      <c r="D26" s="75">
        <v>5651098</v>
      </c>
      <c r="E26" s="75">
        <v>6873675</v>
      </c>
      <c r="F26" s="75">
        <v>14824799.449999999</v>
      </c>
      <c r="G26" s="88">
        <v>15369653.449999999</v>
      </c>
      <c r="H26" s="115">
        <v>16983381.449999999</v>
      </c>
      <c r="I26" s="158">
        <v>17804244.449999999</v>
      </c>
      <c r="J26" s="119">
        <v>19067210.449999999</v>
      </c>
      <c r="K26" s="92">
        <v>22647331.050000001</v>
      </c>
      <c r="L26" s="92">
        <v>23535653.050000001</v>
      </c>
      <c r="M26" s="92">
        <v>25050666.050000001</v>
      </c>
      <c r="N26" s="92">
        <v>25042416.050000001</v>
      </c>
      <c r="O26" s="92">
        <v>24493516.050000001</v>
      </c>
      <c r="P26" s="9">
        <v>3287686</v>
      </c>
      <c r="Q26" s="9">
        <v>4988976</v>
      </c>
      <c r="R26" s="9">
        <v>10468807</v>
      </c>
      <c r="S26" s="9">
        <v>16567999.199999999</v>
      </c>
      <c r="T26" s="9">
        <v>21327289.460000001</v>
      </c>
      <c r="U26" s="168">
        <v>22894939.579999998</v>
      </c>
      <c r="V26" s="168">
        <v>26231782.460000001</v>
      </c>
      <c r="W26" s="168">
        <v>27548988.460000001</v>
      </c>
      <c r="X26" s="168">
        <v>31219086.66</v>
      </c>
      <c r="Y26" s="168">
        <v>33109420.66</v>
      </c>
      <c r="Z26" s="168">
        <v>34267972.659999996</v>
      </c>
      <c r="AA26" s="168">
        <v>35645097.659999996</v>
      </c>
      <c r="AB26" s="73">
        <f>14016127+21628970</f>
        <v>35645097</v>
      </c>
    </row>
    <row r="27" spans="1:28">
      <c r="A27" s="30">
        <v>7.3</v>
      </c>
      <c r="B27" s="33" t="s">
        <v>89</v>
      </c>
      <c r="C27" s="75">
        <v>328490</v>
      </c>
      <c r="D27" s="75">
        <v>663958</v>
      </c>
      <c r="E27" s="75">
        <v>712118</v>
      </c>
      <c r="F27" s="75">
        <v>751248</v>
      </c>
      <c r="G27" s="88">
        <v>910812</v>
      </c>
      <c r="H27" s="115">
        <v>1649100.28</v>
      </c>
      <c r="I27" s="158">
        <v>3128880.28</v>
      </c>
      <c r="J27" s="119">
        <v>3837093.76</v>
      </c>
      <c r="K27" s="92">
        <v>3892973.76</v>
      </c>
      <c r="L27" s="92">
        <v>4677570.66</v>
      </c>
      <c r="M27" s="92">
        <v>6986208.6600000001</v>
      </c>
      <c r="N27" s="92">
        <v>7600558.4400000004</v>
      </c>
      <c r="O27" s="92">
        <v>7620558.4399999995</v>
      </c>
      <c r="P27" s="9">
        <v>1025120.14</v>
      </c>
      <c r="Q27" s="9">
        <v>1974231.69</v>
      </c>
      <c r="R27" s="9">
        <v>3197260.88</v>
      </c>
      <c r="S27" s="9">
        <v>3820759.88</v>
      </c>
      <c r="T27" s="9">
        <v>7685021.0800000001</v>
      </c>
      <c r="U27" s="168">
        <v>8653011.8100000005</v>
      </c>
      <c r="V27" s="168">
        <v>10813450.98</v>
      </c>
      <c r="W27" s="168">
        <v>14923950.26</v>
      </c>
      <c r="X27" s="168">
        <v>15363064.26</v>
      </c>
      <c r="Y27" s="168">
        <v>15598645.35</v>
      </c>
      <c r="Z27" s="168">
        <v>16033272.220000001</v>
      </c>
      <c r="AA27" s="168">
        <v>19384103.219999999</v>
      </c>
      <c r="AB27" s="73">
        <v>19384103</v>
      </c>
    </row>
    <row r="28" spans="1:28">
      <c r="A28" s="30">
        <v>7.4</v>
      </c>
      <c r="B28" s="35" t="s">
        <v>90</v>
      </c>
      <c r="C28" s="75">
        <v>0</v>
      </c>
      <c r="D28" s="75">
        <v>0</v>
      </c>
      <c r="E28" s="75">
        <v>0</v>
      </c>
      <c r="F28" s="75">
        <v>0</v>
      </c>
      <c r="G28" s="88">
        <v>0</v>
      </c>
      <c r="H28" s="115">
        <v>0</v>
      </c>
      <c r="I28" s="159">
        <v>0</v>
      </c>
      <c r="J28" s="119">
        <v>500</v>
      </c>
      <c r="K28" s="92">
        <v>500</v>
      </c>
      <c r="L28" s="92">
        <v>500</v>
      </c>
      <c r="M28" s="92">
        <v>500</v>
      </c>
      <c r="N28" s="92">
        <v>10525170.59</v>
      </c>
      <c r="O28" s="92">
        <v>10731907.59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68">
        <v>0</v>
      </c>
      <c r="V28" s="168">
        <v>0</v>
      </c>
      <c r="W28" s="168">
        <v>0</v>
      </c>
      <c r="X28" s="168">
        <v>0</v>
      </c>
      <c r="Y28" s="168">
        <v>0</v>
      </c>
      <c r="Z28" s="168">
        <v>0</v>
      </c>
      <c r="AA28" s="168">
        <v>11630776.98</v>
      </c>
      <c r="AB28" s="73">
        <v>11630777</v>
      </c>
    </row>
    <row r="29" spans="1:28">
      <c r="A29" s="30">
        <v>7.5</v>
      </c>
      <c r="B29" s="33" t="s">
        <v>91</v>
      </c>
      <c r="C29" s="75">
        <v>7866538.4500000002</v>
      </c>
      <c r="D29" s="75">
        <v>14580564.550000001</v>
      </c>
      <c r="E29" s="75">
        <v>17175891.09</v>
      </c>
      <c r="F29" s="75">
        <v>23795735.609999999</v>
      </c>
      <c r="G29" s="88">
        <v>24141441.609999999</v>
      </c>
      <c r="H29" s="115">
        <v>31519729.969999999</v>
      </c>
      <c r="I29" s="158">
        <v>37777218.039999999</v>
      </c>
      <c r="J29" s="119">
        <v>41400295.899999999</v>
      </c>
      <c r="K29" s="92">
        <v>48177947.240000002</v>
      </c>
      <c r="L29" s="92">
        <v>51046708.189999998</v>
      </c>
      <c r="M29" s="92">
        <v>81053172.719999999</v>
      </c>
      <c r="N29" s="92">
        <v>56182486.850000001</v>
      </c>
      <c r="O29" s="92">
        <v>56322986.849999994</v>
      </c>
      <c r="P29" s="9">
        <v>9405521.1400000006</v>
      </c>
      <c r="Q29" s="9">
        <v>13190844.08</v>
      </c>
      <c r="R29" s="9">
        <v>16334062.76</v>
      </c>
      <c r="S29" s="9">
        <v>20456775.600000001</v>
      </c>
      <c r="T29" s="9">
        <v>30274804.609999999</v>
      </c>
      <c r="U29" s="168">
        <v>29535704.449999999</v>
      </c>
      <c r="V29" s="168">
        <v>38256683.450000003</v>
      </c>
      <c r="W29" s="168">
        <v>42063005.450000003</v>
      </c>
      <c r="X29" s="168">
        <v>44121728.450000003</v>
      </c>
      <c r="Y29" s="168">
        <v>48535780.369999997</v>
      </c>
      <c r="Z29" s="168">
        <v>52466240.869999997</v>
      </c>
      <c r="AA29" s="168">
        <v>59775371.869999997</v>
      </c>
      <c r="AB29" s="73">
        <f>90470183-11630777-19384103</f>
        <v>59455303</v>
      </c>
    </row>
    <row r="30" spans="1:28">
      <c r="A30" s="30">
        <v>8</v>
      </c>
      <c r="B30" s="31" t="s">
        <v>92</v>
      </c>
      <c r="C30" s="36">
        <f>C20-C24</f>
        <v>27208747.459999997</v>
      </c>
      <c r="D30" s="36">
        <f t="shared" ref="D30:AB30" si="8">D20-D24</f>
        <v>57697052.450000003</v>
      </c>
      <c r="E30" s="36">
        <f t="shared" si="8"/>
        <v>98569517.870000005</v>
      </c>
      <c r="F30" s="36">
        <f t="shared" si="8"/>
        <v>148120290.49000001</v>
      </c>
      <c r="G30" s="36">
        <f t="shared" si="8"/>
        <v>181676935.13999999</v>
      </c>
      <c r="H30" s="36">
        <f t="shared" si="8"/>
        <v>235678771.13999999</v>
      </c>
      <c r="I30" s="36">
        <f t="shared" si="8"/>
        <v>263953306.04999998</v>
      </c>
      <c r="J30" s="36">
        <f t="shared" si="8"/>
        <v>285712403.42000002</v>
      </c>
      <c r="K30" s="36">
        <f t="shared" si="8"/>
        <v>325949795.01999998</v>
      </c>
      <c r="L30" s="36">
        <f t="shared" si="8"/>
        <v>359787010.80000001</v>
      </c>
      <c r="M30" s="36">
        <f t="shared" si="8"/>
        <v>380652640.41000003</v>
      </c>
      <c r="N30" s="36">
        <f t="shared" si="8"/>
        <v>472063289.95000005</v>
      </c>
      <c r="O30" s="36">
        <f t="shared" si="8"/>
        <v>117708139.49000001</v>
      </c>
      <c r="P30" s="36">
        <f t="shared" si="8"/>
        <v>14973917.219999995</v>
      </c>
      <c r="Q30" s="36">
        <f t="shared" si="8"/>
        <v>46754215.030000001</v>
      </c>
      <c r="R30" s="36">
        <f t="shared" si="8"/>
        <v>86160182.650000036</v>
      </c>
      <c r="S30" s="36">
        <f t="shared" si="8"/>
        <v>147286682.94999999</v>
      </c>
      <c r="T30" s="36">
        <f t="shared" si="8"/>
        <v>168999410.86000001</v>
      </c>
      <c r="U30" s="36">
        <f t="shared" si="8"/>
        <v>227792093.77000001</v>
      </c>
      <c r="V30" s="36">
        <f t="shared" si="8"/>
        <v>247737413.63</v>
      </c>
      <c r="W30" s="36">
        <f t="shared" si="8"/>
        <v>274566149.93000001</v>
      </c>
      <c r="X30" s="36">
        <f t="shared" si="8"/>
        <v>308970562.48000002</v>
      </c>
      <c r="Y30" s="36">
        <f t="shared" si="8"/>
        <v>341691962.19000006</v>
      </c>
      <c r="Z30" s="36">
        <f t="shared" si="8"/>
        <v>376233907.29999995</v>
      </c>
      <c r="AA30" s="36">
        <f t="shared" si="8"/>
        <v>430129643.29999995</v>
      </c>
      <c r="AB30" s="36">
        <f>AB20-AB21-AB24</f>
        <v>50729251</v>
      </c>
    </row>
    <row r="31" spans="1:28">
      <c r="A31" s="30">
        <v>9</v>
      </c>
      <c r="B31" s="31" t="s">
        <v>93</v>
      </c>
      <c r="C31" s="74">
        <v>0</v>
      </c>
      <c r="D31" s="74">
        <v>0</v>
      </c>
      <c r="E31" s="74">
        <v>0</v>
      </c>
      <c r="F31" s="74">
        <v>0</v>
      </c>
      <c r="G31" s="87">
        <v>0</v>
      </c>
      <c r="H31" s="115">
        <v>0</v>
      </c>
      <c r="I31" s="161">
        <v>0</v>
      </c>
      <c r="J31" s="119">
        <v>0</v>
      </c>
      <c r="K31" s="92">
        <v>0</v>
      </c>
      <c r="L31" s="92">
        <v>0</v>
      </c>
      <c r="M31" s="92">
        <v>0</v>
      </c>
      <c r="N31" s="92">
        <v>0</v>
      </c>
      <c r="O31" s="92">
        <f>O32-O33</f>
        <v>0</v>
      </c>
      <c r="P31" s="71">
        <v>0</v>
      </c>
      <c r="Q31" s="71">
        <v>0</v>
      </c>
      <c r="R31" s="71">
        <v>0</v>
      </c>
      <c r="S31" s="71">
        <v>0</v>
      </c>
      <c r="T31" s="71">
        <v>0</v>
      </c>
      <c r="U31" s="167">
        <v>0</v>
      </c>
      <c r="V31" s="167">
        <v>0</v>
      </c>
      <c r="W31" s="167">
        <v>0</v>
      </c>
      <c r="X31" s="167">
        <v>0</v>
      </c>
      <c r="Y31" s="167">
        <v>0</v>
      </c>
      <c r="Z31" s="167">
        <v>0</v>
      </c>
      <c r="AA31" s="167">
        <v>0</v>
      </c>
    </row>
    <row r="32" spans="1:28">
      <c r="A32" s="30">
        <v>9.1</v>
      </c>
      <c r="B32" s="33" t="s">
        <v>94</v>
      </c>
      <c r="C32" s="75">
        <v>0</v>
      </c>
      <c r="D32" s="75">
        <v>0</v>
      </c>
      <c r="E32" s="75">
        <v>0</v>
      </c>
      <c r="F32" s="75">
        <v>0</v>
      </c>
      <c r="G32" s="88">
        <v>0</v>
      </c>
      <c r="H32" s="115">
        <v>0</v>
      </c>
      <c r="I32" s="159">
        <v>0</v>
      </c>
      <c r="J32" s="119">
        <v>0</v>
      </c>
      <c r="K32" s="92">
        <v>0</v>
      </c>
      <c r="L32" s="92">
        <v>0</v>
      </c>
      <c r="M32" s="92">
        <v>0</v>
      </c>
      <c r="N32" s="92">
        <v>0</v>
      </c>
      <c r="O32" s="92"/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68">
        <v>0</v>
      </c>
      <c r="V32" s="168">
        <v>0</v>
      </c>
      <c r="W32" s="168">
        <v>0</v>
      </c>
      <c r="X32" s="168">
        <v>0</v>
      </c>
      <c r="Y32" s="168">
        <v>0</v>
      </c>
      <c r="Z32" s="168">
        <v>0</v>
      </c>
      <c r="AA32" s="168">
        <v>0</v>
      </c>
    </row>
    <row r="33" spans="1:28">
      <c r="A33" s="30">
        <v>9.1999999999999993</v>
      </c>
      <c r="B33" s="33" t="s">
        <v>95</v>
      </c>
      <c r="C33" s="75">
        <v>0</v>
      </c>
      <c r="D33" s="75">
        <v>0</v>
      </c>
      <c r="E33" s="75">
        <v>0</v>
      </c>
      <c r="F33" s="75">
        <v>0</v>
      </c>
      <c r="G33" s="88">
        <v>0</v>
      </c>
      <c r="H33" s="115">
        <v>0</v>
      </c>
      <c r="I33" s="159">
        <v>0</v>
      </c>
      <c r="J33" s="119">
        <v>0</v>
      </c>
      <c r="K33" s="92">
        <v>0</v>
      </c>
      <c r="L33" s="92">
        <v>0</v>
      </c>
      <c r="M33" s="92">
        <v>0</v>
      </c>
      <c r="N33" s="92">
        <v>0</v>
      </c>
      <c r="O33" s="92"/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8">
        <v>0</v>
      </c>
      <c r="V33" s="168">
        <v>0</v>
      </c>
      <c r="W33" s="168">
        <v>0</v>
      </c>
      <c r="X33" s="168">
        <v>0</v>
      </c>
      <c r="Y33" s="168">
        <v>0</v>
      </c>
      <c r="Z33" s="168">
        <v>0</v>
      </c>
      <c r="AA33" s="168">
        <v>0</v>
      </c>
    </row>
    <row r="34" spans="1:28">
      <c r="A34" s="30">
        <v>10</v>
      </c>
      <c r="B34" s="33" t="s">
        <v>96</v>
      </c>
      <c r="C34" s="37">
        <v>27208747.460000001</v>
      </c>
      <c r="D34" s="37">
        <v>57697052.450000003</v>
      </c>
      <c r="E34" s="37">
        <v>98569517.870000005</v>
      </c>
      <c r="F34" s="37">
        <v>148120290.49000001</v>
      </c>
      <c r="G34" s="91">
        <v>181676935.13999999</v>
      </c>
      <c r="H34" s="117">
        <v>235678771.13999999</v>
      </c>
      <c r="I34" s="160">
        <v>263953306.05000001</v>
      </c>
      <c r="J34" s="121">
        <v>285712403.42000002</v>
      </c>
      <c r="K34" s="94">
        <v>325949795.01999998</v>
      </c>
      <c r="L34" s="94">
        <v>359787010.80000001</v>
      </c>
      <c r="M34" s="94">
        <v>380652640.41000003</v>
      </c>
      <c r="N34" s="94">
        <v>462063289.94999999</v>
      </c>
      <c r="O34" s="94">
        <f>O30-O31</f>
        <v>117708139.49000001</v>
      </c>
      <c r="P34" s="94">
        <f t="shared" ref="P34:AB34" si="9">P30-P31</f>
        <v>14973917.219999995</v>
      </c>
      <c r="Q34" s="94">
        <f t="shared" si="9"/>
        <v>46754215.030000001</v>
      </c>
      <c r="R34" s="94">
        <f t="shared" si="9"/>
        <v>86160182.650000036</v>
      </c>
      <c r="S34" s="94">
        <f t="shared" si="9"/>
        <v>147286682.94999999</v>
      </c>
      <c r="T34" s="94">
        <f t="shared" si="9"/>
        <v>168999410.86000001</v>
      </c>
      <c r="U34" s="94">
        <f t="shared" si="9"/>
        <v>227792093.77000001</v>
      </c>
      <c r="V34" s="94">
        <f t="shared" si="9"/>
        <v>247737413.63</v>
      </c>
      <c r="W34" s="94">
        <f t="shared" si="9"/>
        <v>274566149.93000001</v>
      </c>
      <c r="X34" s="94">
        <f t="shared" si="9"/>
        <v>308970562.48000002</v>
      </c>
      <c r="Y34" s="94">
        <f t="shared" si="9"/>
        <v>341691962.19000006</v>
      </c>
      <c r="Z34" s="94">
        <f t="shared" si="9"/>
        <v>376233907.29999995</v>
      </c>
      <c r="AA34" s="94">
        <f t="shared" si="9"/>
        <v>430129643.29999995</v>
      </c>
      <c r="AB34" s="94">
        <f t="shared" si="9"/>
        <v>50729251</v>
      </c>
    </row>
    <row r="35" spans="1:28">
      <c r="A35" s="30">
        <v>11</v>
      </c>
      <c r="B35" s="33" t="s">
        <v>97</v>
      </c>
      <c r="C35" s="75">
        <v>0</v>
      </c>
      <c r="D35" s="75">
        <v>0</v>
      </c>
      <c r="E35" s="75">
        <v>0</v>
      </c>
      <c r="F35" s="75">
        <v>0</v>
      </c>
      <c r="G35" s="88">
        <v>0</v>
      </c>
      <c r="H35" s="115">
        <v>0</v>
      </c>
      <c r="I35" s="159">
        <v>0</v>
      </c>
      <c r="J35" s="119">
        <v>0</v>
      </c>
      <c r="K35" s="92">
        <v>0</v>
      </c>
      <c r="L35" s="92">
        <v>0</v>
      </c>
      <c r="M35" s="92">
        <v>0</v>
      </c>
      <c r="N35" s="92">
        <v>0</v>
      </c>
      <c r="O35" s="92">
        <v>3146101.6988969701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68">
        <v>0</v>
      </c>
      <c r="V35" s="168">
        <v>0</v>
      </c>
      <c r="W35" s="168">
        <v>0</v>
      </c>
      <c r="X35" s="168">
        <v>0</v>
      </c>
      <c r="Y35" s="168">
        <v>0</v>
      </c>
      <c r="Z35" s="168">
        <v>0</v>
      </c>
      <c r="AA35" s="168">
        <v>0</v>
      </c>
    </row>
    <row r="36" spans="1:28">
      <c r="A36" s="30">
        <v>12</v>
      </c>
      <c r="B36" s="31" t="s">
        <v>98</v>
      </c>
      <c r="C36" s="34">
        <v>27208747.460000001</v>
      </c>
      <c r="D36" s="34">
        <v>57697052.450000003</v>
      </c>
      <c r="E36" s="34">
        <v>98569517.870000005</v>
      </c>
      <c r="F36" s="34">
        <v>148120290.49000001</v>
      </c>
      <c r="G36" s="89">
        <v>181676935.13999999</v>
      </c>
      <c r="H36" s="117">
        <v>235678771.13999999</v>
      </c>
      <c r="I36" s="160">
        <v>263953306.05000001</v>
      </c>
      <c r="J36" s="121">
        <v>285712403.42000002</v>
      </c>
      <c r="K36" s="94">
        <v>325949795.01999998</v>
      </c>
      <c r="L36" s="94">
        <v>359787010.80000001</v>
      </c>
      <c r="M36" s="94">
        <v>380652640.41000003</v>
      </c>
      <c r="N36" s="94">
        <v>462063289.94999999</v>
      </c>
      <c r="O36" s="94">
        <f>O34-O35</f>
        <v>114562037.79110304</v>
      </c>
      <c r="P36" s="94">
        <f t="shared" ref="P36:AB36" si="10">P34-P35</f>
        <v>14973917.219999995</v>
      </c>
      <c r="Q36" s="94">
        <f t="shared" si="10"/>
        <v>46754215.030000001</v>
      </c>
      <c r="R36" s="94">
        <f t="shared" si="10"/>
        <v>86160182.650000036</v>
      </c>
      <c r="S36" s="94">
        <f t="shared" si="10"/>
        <v>147286682.94999999</v>
      </c>
      <c r="T36" s="94">
        <f t="shared" si="10"/>
        <v>168999410.86000001</v>
      </c>
      <c r="U36" s="94">
        <f t="shared" si="10"/>
        <v>227792093.77000001</v>
      </c>
      <c r="V36" s="94">
        <f t="shared" si="10"/>
        <v>247737413.63</v>
      </c>
      <c r="W36" s="94">
        <f t="shared" si="10"/>
        <v>274566149.93000001</v>
      </c>
      <c r="X36" s="94">
        <f t="shared" si="10"/>
        <v>308970562.48000002</v>
      </c>
      <c r="Y36" s="94">
        <f t="shared" si="10"/>
        <v>341691962.19000006</v>
      </c>
      <c r="Z36" s="94">
        <f t="shared" si="10"/>
        <v>376233907.29999995</v>
      </c>
      <c r="AA36" s="94">
        <f t="shared" si="10"/>
        <v>430129643.29999995</v>
      </c>
      <c r="AB36" s="94">
        <f t="shared" si="10"/>
        <v>50729251</v>
      </c>
    </row>
    <row r="37" spans="1:28">
      <c r="A37" s="30">
        <v>13</v>
      </c>
      <c r="B37" s="33" t="s">
        <v>99</v>
      </c>
      <c r="C37" s="75">
        <v>0</v>
      </c>
      <c r="D37" s="75">
        <v>0</v>
      </c>
      <c r="E37" s="75">
        <v>0</v>
      </c>
      <c r="F37" s="75">
        <v>0</v>
      </c>
      <c r="G37" s="88">
        <v>0</v>
      </c>
      <c r="H37" s="115">
        <v>0</v>
      </c>
      <c r="I37" s="159">
        <v>0</v>
      </c>
      <c r="J37" s="119">
        <v>0</v>
      </c>
      <c r="K37" s="92">
        <v>0</v>
      </c>
      <c r="L37" s="92">
        <v>0</v>
      </c>
      <c r="M37" s="92">
        <v>0</v>
      </c>
      <c r="N37" s="92">
        <v>0</v>
      </c>
      <c r="O37" s="92"/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68">
        <v>0</v>
      </c>
      <c r="V37" s="168">
        <v>0</v>
      </c>
      <c r="W37" s="168">
        <v>0</v>
      </c>
      <c r="X37" s="168">
        <v>0</v>
      </c>
      <c r="Y37" s="168">
        <v>0</v>
      </c>
      <c r="Z37" s="168">
        <v>0</v>
      </c>
      <c r="AA37" s="168">
        <v>0</v>
      </c>
    </row>
    <row r="38" spans="1:28">
      <c r="A38" s="30">
        <v>14</v>
      </c>
      <c r="B38" s="31" t="s">
        <v>100</v>
      </c>
      <c r="C38" s="34">
        <v>27208747.460000001</v>
      </c>
      <c r="D38" s="34">
        <v>57697052.450000003</v>
      </c>
      <c r="E38" s="34">
        <v>98569517.870000005</v>
      </c>
      <c r="F38" s="34">
        <v>148120290.49000001</v>
      </c>
      <c r="G38" s="89">
        <v>181676935.13999999</v>
      </c>
      <c r="H38" s="117">
        <v>235678771.13999999</v>
      </c>
      <c r="I38" s="160">
        <v>263953306.05000001</v>
      </c>
      <c r="J38" s="121">
        <v>285712403.42000002</v>
      </c>
      <c r="K38" s="94">
        <v>325949795.01999998</v>
      </c>
      <c r="L38" s="94">
        <v>359787010.80000001</v>
      </c>
      <c r="M38" s="94">
        <v>380652640.41000003</v>
      </c>
      <c r="N38" s="94">
        <v>462063289.94999999</v>
      </c>
      <c r="O38" s="94">
        <f>O36-O37</f>
        <v>114562037.79110304</v>
      </c>
      <c r="P38" s="94">
        <f t="shared" ref="P38:AB38" si="11">P36-P37</f>
        <v>14973917.219999995</v>
      </c>
      <c r="Q38" s="94">
        <f t="shared" si="11"/>
        <v>46754215.030000001</v>
      </c>
      <c r="R38" s="94">
        <f t="shared" si="11"/>
        <v>86160182.650000036</v>
      </c>
      <c r="S38" s="94">
        <f t="shared" si="11"/>
        <v>147286682.94999999</v>
      </c>
      <c r="T38" s="94">
        <f t="shared" si="11"/>
        <v>168999410.86000001</v>
      </c>
      <c r="U38" s="94">
        <f t="shared" si="11"/>
        <v>227792093.77000001</v>
      </c>
      <c r="V38" s="94">
        <f t="shared" si="11"/>
        <v>247737413.63</v>
      </c>
      <c r="W38" s="94">
        <f t="shared" si="11"/>
        <v>274566149.93000001</v>
      </c>
      <c r="X38" s="94">
        <f t="shared" si="11"/>
        <v>308970562.48000002</v>
      </c>
      <c r="Y38" s="94">
        <f t="shared" si="11"/>
        <v>341691962.19000006</v>
      </c>
      <c r="Z38" s="94">
        <f t="shared" si="11"/>
        <v>376233907.29999995</v>
      </c>
      <c r="AA38" s="94">
        <f t="shared" si="11"/>
        <v>430129643.29999995</v>
      </c>
      <c r="AB38" s="94">
        <f t="shared" si="11"/>
        <v>50729251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I78"/>
  <sheetViews>
    <sheetView topLeftCell="A57" workbookViewId="0">
      <selection activeCell="E75" sqref="E75"/>
    </sheetView>
  </sheetViews>
  <sheetFormatPr defaultColWidth="9.140625" defaultRowHeight="13.9"/>
  <cols>
    <col min="1" max="2" width="9.140625" style="19"/>
    <col min="3" max="3" width="18" style="19" bestFit="1" customWidth="1"/>
    <col min="4" max="4" width="12.85546875" style="19" bestFit="1" customWidth="1"/>
    <col min="5" max="5" width="41.28515625" style="19" bestFit="1" customWidth="1"/>
    <col min="6" max="6" width="23.7109375" style="19" bestFit="1" customWidth="1"/>
    <col min="7" max="7" width="40.140625" style="19" bestFit="1" customWidth="1"/>
    <col min="8" max="8" width="9.140625" style="19"/>
    <col min="9" max="9" width="12.42578125" style="19" bestFit="1" customWidth="1"/>
    <col min="10" max="16384" width="9.140625" style="19"/>
  </cols>
  <sheetData>
    <row r="6" spans="3:3">
      <c r="C6" s="77" t="s">
        <v>101</v>
      </c>
    </row>
    <row r="28" spans="3:7">
      <c r="D28" s="77"/>
    </row>
    <row r="29" spans="3:7">
      <c r="E29" s="101">
        <v>44348</v>
      </c>
    </row>
    <row r="30" spans="3:7">
      <c r="C30" s="84" t="s">
        <v>102</v>
      </c>
      <c r="D30" s="84" t="s">
        <v>103</v>
      </c>
      <c r="E30" s="84" t="s">
        <v>104</v>
      </c>
      <c r="F30" s="84" t="s">
        <v>105</v>
      </c>
      <c r="G30" s="84" t="s">
        <v>106</v>
      </c>
    </row>
    <row r="31" spans="3:7">
      <c r="C31" s="80" t="s">
        <v>107</v>
      </c>
      <c r="D31" s="102">
        <v>16101</v>
      </c>
      <c r="E31" s="102">
        <v>3540063639.4000001</v>
      </c>
      <c r="F31" s="82">
        <v>0.01</v>
      </c>
      <c r="G31" s="81">
        <f>E31*F31</f>
        <v>35400636.394000001</v>
      </c>
    </row>
    <row r="32" spans="3:7">
      <c r="C32" s="80" t="s">
        <v>108</v>
      </c>
      <c r="D32" s="104">
        <v>1040</v>
      </c>
      <c r="E32" s="104">
        <v>289934942.37</v>
      </c>
      <c r="F32" s="82">
        <v>0.05</v>
      </c>
      <c r="G32" s="81">
        <f t="shared" ref="G32:G35" si="0">E32*F32</f>
        <v>14496747.118500002</v>
      </c>
    </row>
    <row r="33" spans="3:9">
      <c r="C33" s="80" t="s">
        <v>109</v>
      </c>
      <c r="D33" s="104">
        <v>1464</v>
      </c>
      <c r="E33" s="104">
        <v>184582712.87</v>
      </c>
      <c r="F33" s="82">
        <v>0.25</v>
      </c>
      <c r="G33" s="81">
        <f t="shared" si="0"/>
        <v>46145678.217500001</v>
      </c>
    </row>
    <row r="34" spans="3:9">
      <c r="C34" s="80" t="s">
        <v>110</v>
      </c>
      <c r="D34" s="103">
        <v>406</v>
      </c>
      <c r="E34" s="104">
        <v>133173143.48999999</v>
      </c>
      <c r="F34" s="82">
        <v>0.5</v>
      </c>
      <c r="G34" s="81">
        <f t="shared" si="0"/>
        <v>66586571.744999997</v>
      </c>
    </row>
    <row r="35" spans="3:9">
      <c r="C35" s="80" t="s">
        <v>111</v>
      </c>
      <c r="D35" s="103">
        <v>775</v>
      </c>
      <c r="E35" s="104">
        <v>260862123.52000001</v>
      </c>
      <c r="F35" s="82">
        <v>1</v>
      </c>
      <c r="G35" s="81">
        <f t="shared" si="0"/>
        <v>260862123.52000001</v>
      </c>
    </row>
    <row r="36" spans="3:9">
      <c r="C36" s="84" t="s">
        <v>112</v>
      </c>
      <c r="D36" s="83">
        <f>SUM(D31:D35)</f>
        <v>19786</v>
      </c>
      <c r="E36" s="83">
        <f>SUM(E31:E35)</f>
        <v>4408616561.6499996</v>
      </c>
      <c r="F36" s="84">
        <v>1.81</v>
      </c>
      <c r="G36" s="83">
        <f>SUM(G31:G35)</f>
        <v>423491756.995</v>
      </c>
    </row>
    <row r="38" spans="3:9">
      <c r="E38" s="78">
        <f>E33+E34+E35</f>
        <v>578617979.88</v>
      </c>
    </row>
    <row r="39" spans="3:9">
      <c r="E39" s="79">
        <f>E38/E36</f>
        <v>0.13124706396862112</v>
      </c>
    </row>
    <row r="41" spans="3:9">
      <c r="E41" s="77" t="s">
        <v>15</v>
      </c>
    </row>
    <row r="42" spans="3:9">
      <c r="C42" s="123" t="s">
        <v>113</v>
      </c>
      <c r="D42" s="124"/>
      <c r="E42" s="123"/>
      <c r="F42" s="125"/>
      <c r="G42" s="126"/>
      <c r="H42" s="127"/>
      <c r="I42" s="128"/>
    </row>
    <row r="43" spans="3:9" ht="14.45" thickBot="1">
      <c r="C43" s="123"/>
      <c r="D43" s="129" t="s">
        <v>114</v>
      </c>
      <c r="E43" s="130" t="s">
        <v>115</v>
      </c>
      <c r="F43" s="129" t="s">
        <v>116</v>
      </c>
      <c r="G43" s="131"/>
      <c r="H43" s="130"/>
      <c r="I43" s="132"/>
    </row>
    <row r="44" spans="3:9">
      <c r="C44" s="124"/>
      <c r="D44" s="124"/>
      <c r="E44" s="124"/>
      <c r="F44" s="133"/>
      <c r="G44" s="134" t="s">
        <v>117</v>
      </c>
      <c r="H44" s="135"/>
      <c r="I44" s="134" t="s">
        <v>117</v>
      </c>
    </row>
    <row r="45" spans="3:9">
      <c r="C45" s="124" t="s">
        <v>107</v>
      </c>
      <c r="D45" s="136">
        <v>9165</v>
      </c>
      <c r="E45" s="137">
        <v>1895264109.8800001</v>
      </c>
      <c r="F45" s="138" t="s">
        <v>118</v>
      </c>
      <c r="G45" s="139">
        <f>E45*F45</f>
        <v>18952641.0988</v>
      </c>
      <c r="H45" s="140"/>
      <c r="I45" s="133">
        <v>33772053.650190398</v>
      </c>
    </row>
    <row r="46" spans="3:9" ht="14.45">
      <c r="C46" s="141" t="s">
        <v>108</v>
      </c>
      <c r="D46" s="142">
        <v>1368</v>
      </c>
      <c r="E46" s="137">
        <v>337283556.38999999</v>
      </c>
      <c r="F46" s="143" t="s">
        <v>119</v>
      </c>
      <c r="G46" s="144">
        <f>E46*F46</f>
        <v>16864177.819499999</v>
      </c>
      <c r="H46" s="145"/>
      <c r="I46" s="133">
        <v>15230337.9293488</v>
      </c>
    </row>
    <row r="47" spans="3:9" ht="14.45">
      <c r="C47" s="141" t="s">
        <v>109</v>
      </c>
      <c r="D47" s="142">
        <v>3556</v>
      </c>
      <c r="E47" s="146">
        <v>851059854.07000005</v>
      </c>
      <c r="F47" s="143" t="s">
        <v>120</v>
      </c>
      <c r="G47" s="144">
        <f>E47*F47</f>
        <v>212764963.51750001</v>
      </c>
      <c r="H47" s="145"/>
      <c r="I47" s="133">
        <v>57087293.906943001</v>
      </c>
    </row>
    <row r="48" spans="3:9" ht="14.45">
      <c r="C48" s="141" t="s">
        <v>110</v>
      </c>
      <c r="D48" s="142">
        <v>2408</v>
      </c>
      <c r="E48" s="146">
        <v>455979619.26999998</v>
      </c>
      <c r="F48" s="143" t="s">
        <v>121</v>
      </c>
      <c r="G48" s="144">
        <f>E48*F48</f>
        <v>227989809.63499999</v>
      </c>
      <c r="H48" s="145"/>
      <c r="I48" s="133">
        <v>48207556.842341483</v>
      </c>
    </row>
    <row r="49" spans="3:9" ht="15" thickBot="1">
      <c r="C49" s="141" t="s">
        <v>111</v>
      </c>
      <c r="D49" s="147">
        <f>3943+1499</f>
        <v>5442</v>
      </c>
      <c r="E49" s="146">
        <f>778051453.98+408430.33</f>
        <v>778459884.31000006</v>
      </c>
      <c r="F49" s="148" t="s">
        <v>122</v>
      </c>
      <c r="G49" s="144">
        <f>E49*F49</f>
        <v>778459884.31000006</v>
      </c>
      <c r="H49" s="145"/>
      <c r="I49" s="133">
        <v>80228859.201531008</v>
      </c>
    </row>
    <row r="50" spans="3:9" ht="14.45" thickBot="1">
      <c r="C50" s="141" t="s">
        <v>123</v>
      </c>
      <c r="D50" s="149">
        <f>SUM(D45:D49)</f>
        <v>21939</v>
      </c>
      <c r="E50" s="150">
        <f>SUM(E45:E49)</f>
        <v>4318047023.9200001</v>
      </c>
      <c r="F50" s="149"/>
      <c r="G50" s="150">
        <f>SUM(G45:G49)</f>
        <v>1255031476.3808</v>
      </c>
      <c r="H50" s="133"/>
      <c r="I50" s="151">
        <v>234526101.53035468</v>
      </c>
    </row>
    <row r="51" spans="3:9" ht="14.45" thickTop="1">
      <c r="C51" s="124"/>
      <c r="D51" s="124"/>
      <c r="E51" s="124"/>
      <c r="F51" s="133"/>
      <c r="G51" s="135"/>
      <c r="H51" s="135"/>
      <c r="I51" s="135"/>
    </row>
    <row r="52" spans="3:9">
      <c r="C52" s="124"/>
      <c r="D52" s="124"/>
      <c r="E52" s="152">
        <f>E47+E48+E49</f>
        <v>2085499357.6500001</v>
      </c>
      <c r="F52" s="133"/>
      <c r="G52" s="135"/>
      <c r="H52" s="135"/>
      <c r="I52" s="135"/>
    </row>
    <row r="53" spans="3:9">
      <c r="C53" s="124"/>
      <c r="D53" s="124"/>
      <c r="E53" s="153">
        <f>E52/E50</f>
        <v>0.48297282222664323</v>
      </c>
      <c r="F53" s="133"/>
      <c r="G53" s="135"/>
      <c r="H53" s="135"/>
      <c r="I53" s="135"/>
    </row>
    <row r="54" spans="3:9">
      <c r="E54" s="101">
        <v>44621</v>
      </c>
    </row>
    <row r="55" spans="3:9">
      <c r="C55" s="84" t="s">
        <v>102</v>
      </c>
      <c r="D55" s="84" t="s">
        <v>103</v>
      </c>
      <c r="E55" s="84" t="s">
        <v>104</v>
      </c>
      <c r="F55" s="84" t="s">
        <v>105</v>
      </c>
      <c r="G55" s="84" t="s">
        <v>106</v>
      </c>
    </row>
    <row r="56" spans="3:9">
      <c r="C56" s="80" t="s">
        <v>107</v>
      </c>
      <c r="D56" s="164">
        <v>9240</v>
      </c>
      <c r="E56" s="164">
        <v>2293319974.5999999</v>
      </c>
      <c r="F56" s="82">
        <v>0.01</v>
      </c>
      <c r="G56" s="81">
        <f>E56*F56</f>
        <v>22933199.745999999</v>
      </c>
    </row>
    <row r="57" spans="3:9">
      <c r="C57" s="80" t="s">
        <v>108</v>
      </c>
      <c r="D57" s="164">
        <v>1227</v>
      </c>
      <c r="E57" s="164">
        <v>336445334.89999998</v>
      </c>
      <c r="F57" s="82">
        <v>0.05</v>
      </c>
      <c r="G57" s="81">
        <f t="shared" ref="G57:G60" si="1">E57*F57</f>
        <v>16822266.745000001</v>
      </c>
    </row>
    <row r="58" spans="3:9">
      <c r="C58" s="80" t="s">
        <v>109</v>
      </c>
      <c r="D58" s="164">
        <v>3263</v>
      </c>
      <c r="E58" s="164">
        <v>748729511.77999997</v>
      </c>
      <c r="F58" s="82">
        <v>0.25</v>
      </c>
      <c r="G58" s="81">
        <f t="shared" si="1"/>
        <v>187182377.94499999</v>
      </c>
    </row>
    <row r="59" spans="3:9">
      <c r="C59" s="80" t="s">
        <v>110</v>
      </c>
      <c r="D59" s="164">
        <v>2493</v>
      </c>
      <c r="E59" s="164">
        <v>398307538.75</v>
      </c>
      <c r="F59" s="82">
        <v>0.5</v>
      </c>
      <c r="G59" s="81">
        <f t="shared" si="1"/>
        <v>199153769.375</v>
      </c>
    </row>
    <row r="60" spans="3:9">
      <c r="C60" s="80" t="s">
        <v>111</v>
      </c>
      <c r="D60" s="164">
        <v>4355</v>
      </c>
      <c r="E60" s="164">
        <v>835743496.97000003</v>
      </c>
      <c r="F60" s="82">
        <v>1</v>
      </c>
      <c r="G60" s="81">
        <f t="shared" si="1"/>
        <v>835743496.97000003</v>
      </c>
    </row>
    <row r="61" spans="3:9">
      <c r="C61" s="84" t="s">
        <v>112</v>
      </c>
      <c r="D61" s="83">
        <f>SUM(D56:D60)</f>
        <v>20578</v>
      </c>
      <c r="E61" s="83">
        <f>SUM(E56:E60)</f>
        <v>4612545857</v>
      </c>
      <c r="F61" s="84">
        <v>1.81</v>
      </c>
      <c r="G61" s="83">
        <f>SUM(G56:G60)</f>
        <v>1261835110.7810001</v>
      </c>
    </row>
    <row r="63" spans="3:9">
      <c r="E63" s="165">
        <f>E60+E59+E58</f>
        <v>1982780547.5</v>
      </c>
    </row>
    <row r="64" spans="3:9">
      <c r="E64" s="166">
        <f>E63/E61</f>
        <v>0.42986684771728223</v>
      </c>
    </row>
    <row r="68" spans="3:7">
      <c r="E68" s="172" t="s">
        <v>124</v>
      </c>
    </row>
    <row r="69" spans="3:7">
      <c r="C69" s="84" t="s">
        <v>102</v>
      </c>
      <c r="D69" s="84" t="s">
        <v>103</v>
      </c>
      <c r="E69" s="84" t="s">
        <v>104</v>
      </c>
      <c r="F69" s="84" t="s">
        <v>105</v>
      </c>
      <c r="G69" s="84" t="s">
        <v>106</v>
      </c>
    </row>
    <row r="70" spans="3:7">
      <c r="C70" s="80" t="s">
        <v>107</v>
      </c>
      <c r="D70" s="164">
        <v>12045</v>
      </c>
      <c r="E70" s="164">
        <v>2535713603</v>
      </c>
      <c r="F70" s="82">
        <v>0.01</v>
      </c>
      <c r="G70" s="81">
        <f>E70*F70</f>
        <v>25357136.030000001</v>
      </c>
    </row>
    <row r="71" spans="3:7">
      <c r="C71" s="80" t="s">
        <v>108</v>
      </c>
      <c r="D71" s="164">
        <v>1873</v>
      </c>
      <c r="E71" s="164">
        <v>570077198</v>
      </c>
      <c r="F71" s="82">
        <v>0.05</v>
      </c>
      <c r="G71" s="81">
        <f t="shared" ref="G71:G74" si="2">E71*F71</f>
        <v>28503859.900000002</v>
      </c>
    </row>
    <row r="72" spans="3:7">
      <c r="C72" s="80" t="s">
        <v>109</v>
      </c>
      <c r="D72" s="164">
        <v>2291</v>
      </c>
      <c r="E72" s="164">
        <v>696737247</v>
      </c>
      <c r="F72" s="82">
        <v>0.25</v>
      </c>
      <c r="G72" s="81">
        <f t="shared" si="2"/>
        <v>174184311.75</v>
      </c>
    </row>
    <row r="73" spans="3:7">
      <c r="C73" s="80" t="s">
        <v>110</v>
      </c>
      <c r="D73" s="164">
        <v>310</v>
      </c>
      <c r="E73" s="164">
        <v>68757017</v>
      </c>
      <c r="F73" s="82">
        <v>0.5</v>
      </c>
      <c r="G73" s="81">
        <f t="shared" si="2"/>
        <v>34378508.5</v>
      </c>
    </row>
    <row r="74" spans="3:7">
      <c r="C74" s="80" t="s">
        <v>111</v>
      </c>
      <c r="D74" s="164">
        <v>689</v>
      </c>
      <c r="E74" s="164">
        <v>121144113</v>
      </c>
      <c r="F74" s="82">
        <v>1</v>
      </c>
      <c r="G74" s="81">
        <f t="shared" si="2"/>
        <v>121144113</v>
      </c>
    </row>
    <row r="75" spans="3:7">
      <c r="C75" s="84" t="s">
        <v>112</v>
      </c>
      <c r="D75" s="83">
        <f>SUM(D70:D74)</f>
        <v>17208</v>
      </c>
      <c r="E75" s="83">
        <f>SUM(E70:E74)</f>
        <v>3992429178</v>
      </c>
      <c r="F75" s="84"/>
      <c r="G75" s="83">
        <f>SUM(G70:G74)</f>
        <v>383567929.18000001</v>
      </c>
    </row>
    <row r="77" spans="3:7">
      <c r="E77" s="165">
        <f>E74+E73+E72</f>
        <v>886638377</v>
      </c>
    </row>
    <row r="78" spans="3:7">
      <c r="E78" s="166">
        <f>E77/E75</f>
        <v>0.22207992614765926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49"/>
  <sheetViews>
    <sheetView workbookViewId="0">
      <pane xSplit="1" topLeftCell="W1" activePane="topRight" state="frozen"/>
      <selection pane="topRight" activeCell="Z15" sqref="Z15"/>
    </sheetView>
  </sheetViews>
  <sheetFormatPr defaultColWidth="9.140625" defaultRowHeight="13.15"/>
  <cols>
    <col min="1" max="1" width="31.140625" style="18" bestFit="1" customWidth="1"/>
    <col min="2" max="26" width="17.85546875" style="18" bestFit="1" customWidth="1"/>
    <col min="27" max="31" width="7.7109375" style="18" bestFit="1" customWidth="1"/>
    <col min="32" max="16384" width="9.140625" style="18"/>
  </cols>
  <sheetData>
    <row r="1" spans="1:49">
      <c r="A1" s="38" t="s">
        <v>125</v>
      </c>
    </row>
    <row r="2" spans="1:49">
      <c r="A2" s="39"/>
    </row>
    <row r="3" spans="1:49">
      <c r="A3" s="40" t="s">
        <v>126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162">
        <v>44562</v>
      </c>
      <c r="P3" s="162">
        <v>44593</v>
      </c>
      <c r="Q3" s="162">
        <v>44621</v>
      </c>
      <c r="R3" s="162">
        <v>44652</v>
      </c>
      <c r="S3" s="162">
        <v>44682</v>
      </c>
      <c r="T3" s="162">
        <v>44713</v>
      </c>
      <c r="U3" s="162">
        <v>44743</v>
      </c>
      <c r="V3" s="162">
        <v>44774</v>
      </c>
      <c r="W3" s="162">
        <v>44805</v>
      </c>
      <c r="X3" s="162">
        <v>44835</v>
      </c>
      <c r="Y3" s="162">
        <v>44866</v>
      </c>
      <c r="Z3" s="162">
        <v>44896</v>
      </c>
    </row>
    <row r="4" spans="1:49">
      <c r="A4" s="41" t="s">
        <v>127</v>
      </c>
    </row>
    <row r="5" spans="1:49">
      <c r="A5" s="42" t="s">
        <v>40</v>
      </c>
      <c r="B5" s="43">
        <f>'Balance Sheet'!C26</f>
        <v>4662154303.2999992</v>
      </c>
      <c r="C5" s="43">
        <f>'Balance Sheet'!D26</f>
        <v>4702500997.5100002</v>
      </c>
      <c r="D5" s="43">
        <f>'Balance Sheet'!E26</f>
        <v>4714732746.0299997</v>
      </c>
      <c r="E5" s="43">
        <f>'Balance Sheet'!F26</f>
        <v>4571523979.21</v>
      </c>
      <c r="F5" s="43">
        <f>'Balance Sheet'!G26</f>
        <v>4611446324.6799994</v>
      </c>
      <c r="G5" s="43">
        <f>'Balance Sheet'!H26</f>
        <v>4701981557.9399996</v>
      </c>
      <c r="H5" s="43">
        <f>'Balance Sheet'!I26</f>
        <v>4717522820.7199993</v>
      </c>
      <c r="I5" s="43">
        <f>'Balance Sheet'!J26</f>
        <v>4790350120.1899996</v>
      </c>
      <c r="J5" s="43">
        <f>'Balance Sheet'!K26</f>
        <v>4857799367.329999</v>
      </c>
      <c r="K5" s="43">
        <f>'Balance Sheet'!L26</f>
        <v>4928254004.6099987</v>
      </c>
      <c r="L5" s="43">
        <f>'Balance Sheet'!M26</f>
        <v>5001058846.3900003</v>
      </c>
      <c r="M5" s="43">
        <f>'Balance Sheet'!N26</f>
        <v>5095770961.0999994</v>
      </c>
      <c r="N5" s="43">
        <f>'Balance Sheet'!O26</f>
        <v>5091966230.5612488</v>
      </c>
      <c r="O5" s="43">
        <f>'Balance Sheet'!P26</f>
        <v>5133923900.0999994</v>
      </c>
      <c r="P5" s="43">
        <f>'Balance Sheet'!Q26</f>
        <v>5150836398.2699995</v>
      </c>
      <c r="Q5" s="43">
        <f>'Balance Sheet'!R26</f>
        <v>5222933497.5699997</v>
      </c>
      <c r="R5" s="43">
        <f>'Balance Sheet'!S26</f>
        <v>5002817398.8699999</v>
      </c>
      <c r="S5" s="43">
        <f>'Balance Sheet'!T26</f>
        <v>5054355014.5599995</v>
      </c>
      <c r="T5" s="43">
        <f>'Balance Sheet'!U26</f>
        <v>5106796520.0499992</v>
      </c>
      <c r="U5" s="43">
        <f>'Balance Sheet'!V26</f>
        <v>5106631183.6400003</v>
      </c>
      <c r="V5" s="43">
        <f>'Balance Sheet'!W26</f>
        <v>5121031905.9500008</v>
      </c>
      <c r="W5" s="43">
        <f>'Balance Sheet'!X26</f>
        <v>5191049060.7699995</v>
      </c>
      <c r="X5" s="43">
        <f>'Balance Sheet'!Y26</f>
        <v>5245830319.3599997</v>
      </c>
      <c r="Y5" s="43">
        <f>'Balance Sheet'!Z26</f>
        <v>5258570581.4599991</v>
      </c>
      <c r="Z5" s="43">
        <f>'Balance Sheet'!AA26</f>
        <v>5361876155.2300005</v>
      </c>
      <c r="AA5" s="43">
        <f>'Balance Sheet'!AB26</f>
        <v>5443177821.2200003</v>
      </c>
      <c r="AB5" s="43">
        <f>'Balance Sheet'!AC26</f>
        <v>0</v>
      </c>
      <c r="AC5" s="43">
        <f>'Balance Sheet'!AD26</f>
        <v>0</v>
      </c>
      <c r="AD5" s="43">
        <f>'Balance Sheet'!AE26</f>
        <v>0</v>
      </c>
      <c r="AE5" s="43">
        <f>'Balance Sheet'!AF26</f>
        <v>0</v>
      </c>
      <c r="AF5" s="43">
        <f>'Balance Sheet'!AG26</f>
        <v>0</v>
      </c>
      <c r="AG5" s="43">
        <f>'Balance Sheet'!AH26</f>
        <v>0</v>
      </c>
      <c r="AH5" s="43">
        <f>'Balance Sheet'!AI26</f>
        <v>0</v>
      </c>
      <c r="AI5" s="43">
        <f>'Balance Sheet'!AJ26</f>
        <v>0</v>
      </c>
      <c r="AJ5" s="43">
        <f>'Balance Sheet'!AK26</f>
        <v>0</v>
      </c>
      <c r="AK5" s="43">
        <f>'Balance Sheet'!AL26</f>
        <v>0</v>
      </c>
      <c r="AL5" s="43">
        <f>'Balance Sheet'!AM26</f>
        <v>0</v>
      </c>
      <c r="AM5" s="43">
        <f>'Balance Sheet'!AN26</f>
        <v>0</v>
      </c>
      <c r="AN5" s="43">
        <f>'Balance Sheet'!AO26</f>
        <v>0</v>
      </c>
      <c r="AO5" s="43">
        <f>'Balance Sheet'!AP26</f>
        <v>0</v>
      </c>
      <c r="AP5" s="43">
        <f>'Balance Sheet'!AQ26</f>
        <v>0</v>
      </c>
      <c r="AQ5" s="43">
        <f>'Balance Sheet'!AR26</f>
        <v>0</v>
      </c>
      <c r="AR5" s="43">
        <f>'Balance Sheet'!AS26</f>
        <v>0</v>
      </c>
      <c r="AS5" s="43">
        <f>'Balance Sheet'!AT26</f>
        <v>0</v>
      </c>
      <c r="AT5" s="43">
        <f>'Balance Sheet'!AU26</f>
        <v>0</v>
      </c>
      <c r="AU5" s="43">
        <f>'Balance Sheet'!AV26</f>
        <v>0</v>
      </c>
      <c r="AV5" s="43">
        <f>'Balance Sheet'!AW26</f>
        <v>0</v>
      </c>
      <c r="AW5" s="43">
        <f>'Balance Sheet'!AX26</f>
        <v>0</v>
      </c>
    </row>
    <row r="6" spans="1:49">
      <c r="A6" s="44" t="s">
        <v>128</v>
      </c>
      <c r="B6" s="45">
        <f t="shared" ref="B6:O6" si="0">B7+B8</f>
        <v>3400042868.1800003</v>
      </c>
      <c r="C6" s="45">
        <f t="shared" si="0"/>
        <v>3412161199.52</v>
      </c>
      <c r="D6" s="45">
        <f t="shared" si="0"/>
        <v>3422403429.52</v>
      </c>
      <c r="E6" s="45">
        <f t="shared" si="0"/>
        <v>3546396802.6700001</v>
      </c>
      <c r="F6" s="45">
        <f t="shared" si="0"/>
        <v>3540651493.7000003</v>
      </c>
      <c r="G6" s="45">
        <f t="shared" si="0"/>
        <v>3520588856.1900001</v>
      </c>
      <c r="H6" s="45">
        <f t="shared" ref="H6" si="1">H7+H8</f>
        <v>3545666893.9099998</v>
      </c>
      <c r="I6" s="45">
        <f t="shared" si="0"/>
        <v>3544943261.1599998</v>
      </c>
      <c r="J6" s="45">
        <f t="shared" si="0"/>
        <v>3577909213.4299998</v>
      </c>
      <c r="K6" s="45">
        <f t="shared" si="0"/>
        <v>3620939455.3900003</v>
      </c>
      <c r="L6" s="45">
        <f t="shared" si="0"/>
        <v>3663592313.0700002</v>
      </c>
      <c r="M6" s="45">
        <f t="shared" si="0"/>
        <v>3709665108.7600002</v>
      </c>
      <c r="N6" s="45">
        <f t="shared" si="0"/>
        <v>3748605103.1299996</v>
      </c>
      <c r="O6" s="45">
        <f t="shared" si="0"/>
        <v>3711950105.0500002</v>
      </c>
      <c r="P6" s="45">
        <f t="shared" ref="P6:U6" si="2">P7+P8</f>
        <v>3725523403.6900001</v>
      </c>
      <c r="Q6" s="45">
        <f t="shared" si="2"/>
        <v>3767095710.4500003</v>
      </c>
      <c r="R6" s="45">
        <f t="shared" si="2"/>
        <v>3932560707.6400003</v>
      </c>
      <c r="S6" s="45">
        <f t="shared" si="2"/>
        <v>3899845347.27</v>
      </c>
      <c r="T6" s="45">
        <f t="shared" ref="T6:AW6" si="3">T7+T8</f>
        <v>3890586144.73</v>
      </c>
      <c r="U6" s="45">
        <f t="shared" si="3"/>
        <v>3914348160.0299997</v>
      </c>
      <c r="V6" s="45">
        <f t="shared" si="3"/>
        <v>3910759979.0200005</v>
      </c>
      <c r="W6" s="45">
        <f t="shared" si="3"/>
        <v>3915000319.73</v>
      </c>
      <c r="X6" s="45">
        <f t="shared" si="3"/>
        <v>3956696845.77</v>
      </c>
      <c r="Y6" s="45">
        <f t="shared" si="3"/>
        <v>3952391570.4000001</v>
      </c>
      <c r="Z6" s="45">
        <f t="shared" si="3"/>
        <v>3615240062.9500003</v>
      </c>
      <c r="AA6" s="45">
        <f t="shared" si="3"/>
        <v>3658074923</v>
      </c>
      <c r="AB6" s="45">
        <f t="shared" si="3"/>
        <v>0</v>
      </c>
      <c r="AC6" s="45">
        <f t="shared" si="3"/>
        <v>0</v>
      </c>
      <c r="AD6" s="45">
        <f t="shared" si="3"/>
        <v>0</v>
      </c>
      <c r="AE6" s="45">
        <f t="shared" si="3"/>
        <v>0</v>
      </c>
      <c r="AF6" s="45">
        <f t="shared" si="3"/>
        <v>0</v>
      </c>
      <c r="AG6" s="45">
        <f t="shared" si="3"/>
        <v>0</v>
      </c>
      <c r="AH6" s="45">
        <f t="shared" si="3"/>
        <v>0</v>
      </c>
      <c r="AI6" s="45">
        <f t="shared" si="3"/>
        <v>0</v>
      </c>
      <c r="AJ6" s="45">
        <f t="shared" si="3"/>
        <v>0</v>
      </c>
      <c r="AK6" s="45">
        <f t="shared" si="3"/>
        <v>0</v>
      </c>
      <c r="AL6" s="45">
        <f t="shared" si="3"/>
        <v>0</v>
      </c>
      <c r="AM6" s="45">
        <f t="shared" si="3"/>
        <v>0</v>
      </c>
      <c r="AN6" s="45">
        <f t="shared" si="3"/>
        <v>0</v>
      </c>
      <c r="AO6" s="45">
        <f t="shared" si="3"/>
        <v>0</v>
      </c>
      <c r="AP6" s="45">
        <f t="shared" si="3"/>
        <v>0</v>
      </c>
      <c r="AQ6" s="45">
        <f t="shared" si="3"/>
        <v>0</v>
      </c>
      <c r="AR6" s="45">
        <f t="shared" si="3"/>
        <v>0</v>
      </c>
      <c r="AS6" s="45">
        <f t="shared" si="3"/>
        <v>0</v>
      </c>
      <c r="AT6" s="45">
        <f t="shared" si="3"/>
        <v>0</v>
      </c>
      <c r="AU6" s="45">
        <f t="shared" si="3"/>
        <v>0</v>
      </c>
      <c r="AV6" s="45">
        <f t="shared" si="3"/>
        <v>0</v>
      </c>
      <c r="AW6" s="45">
        <f t="shared" si="3"/>
        <v>0</v>
      </c>
    </row>
    <row r="7" spans="1:49">
      <c r="A7" s="46" t="s">
        <v>129</v>
      </c>
      <c r="B7" s="43">
        <f>'Balance Sheet'!C29</f>
        <v>3101172364.9200001</v>
      </c>
      <c r="C7" s="43">
        <f>'Balance Sheet'!D29</f>
        <v>3132885374.29</v>
      </c>
      <c r="D7" s="43">
        <f>'Balance Sheet'!E29</f>
        <v>3154384837.3499999</v>
      </c>
      <c r="E7" s="43">
        <f>'Balance Sheet'!F29</f>
        <v>3183363715.8099999</v>
      </c>
      <c r="F7" s="43">
        <f>'Balance Sheet'!G29</f>
        <v>3211292818.6100001</v>
      </c>
      <c r="G7" s="43">
        <f>'Balance Sheet'!H29</f>
        <v>3200765950.4000001</v>
      </c>
      <c r="H7" s="43">
        <f>'Balance Sheet'!I29</f>
        <v>3229662824.4299998</v>
      </c>
      <c r="I7" s="43">
        <f>'Balance Sheet'!J29</f>
        <v>3248460322.9099998</v>
      </c>
      <c r="J7" s="43">
        <f>'Balance Sheet'!K29</f>
        <v>3276168748.1399999</v>
      </c>
      <c r="K7" s="43">
        <f>'Balance Sheet'!L29</f>
        <v>3307788646.0500002</v>
      </c>
      <c r="L7" s="43">
        <f>'Balance Sheet'!M29</f>
        <v>3347605344.71</v>
      </c>
      <c r="M7" s="43">
        <f>'Balance Sheet'!N29</f>
        <v>3403640904.6500001</v>
      </c>
      <c r="N7" s="43">
        <f>'Balance Sheet'!O29</f>
        <v>3259625922.8799996</v>
      </c>
      <c r="O7" s="43">
        <f>'Balance Sheet'!P29</f>
        <v>3420304108.6900001</v>
      </c>
      <c r="P7" s="43">
        <f>'Balance Sheet'!Q29</f>
        <v>3448250154.8800001</v>
      </c>
      <c r="Q7" s="43">
        <f>'Balance Sheet'!R29</f>
        <v>3483351096.0900002</v>
      </c>
      <c r="R7" s="43">
        <f>'Balance Sheet'!S29</f>
        <v>3515265766.8200002</v>
      </c>
      <c r="S7" s="43">
        <f>'Balance Sheet'!T29</f>
        <v>3555386374.73</v>
      </c>
      <c r="T7" s="43">
        <f>'Balance Sheet'!U29</f>
        <v>3566146353.21</v>
      </c>
      <c r="U7" s="43">
        <f>'Balance Sheet'!V29</f>
        <v>3577879282.6799998</v>
      </c>
      <c r="V7" s="43">
        <f>'Balance Sheet'!W29</f>
        <v>3589380468.3000002</v>
      </c>
      <c r="W7" s="43">
        <f>'Balance Sheet'!X29</f>
        <v>3605541102.6900001</v>
      </c>
      <c r="X7" s="43">
        <f>'Balance Sheet'!Y29</f>
        <v>3622038637.0700002</v>
      </c>
      <c r="Y7" s="43">
        <f>'Balance Sheet'!Z29</f>
        <v>3632695202.0300002</v>
      </c>
      <c r="Z7" s="43">
        <f>'Balance Sheet'!AA29</f>
        <v>3308387335.2800002</v>
      </c>
      <c r="AA7" s="43">
        <f>'Balance Sheet'!AB29</f>
        <v>3158371283</v>
      </c>
      <c r="AB7" s="43">
        <f>'Balance Sheet'!AC29</f>
        <v>0</v>
      </c>
      <c r="AC7" s="43">
        <f>'Balance Sheet'!AD29</f>
        <v>0</v>
      </c>
      <c r="AD7" s="43">
        <f>'Balance Sheet'!AE29</f>
        <v>0</v>
      </c>
      <c r="AE7" s="43">
        <f>'Balance Sheet'!AF29</f>
        <v>0</v>
      </c>
      <c r="AF7" s="43">
        <f>'Balance Sheet'!AG29</f>
        <v>0</v>
      </c>
      <c r="AG7" s="43">
        <f>'Balance Sheet'!AH29</f>
        <v>0</v>
      </c>
      <c r="AH7" s="43">
        <f>'Balance Sheet'!AI29</f>
        <v>0</v>
      </c>
      <c r="AI7" s="43">
        <f>'Balance Sheet'!AJ29</f>
        <v>0</v>
      </c>
      <c r="AJ7" s="43">
        <f>'Balance Sheet'!AK29</f>
        <v>0</v>
      </c>
      <c r="AK7" s="43">
        <f>'Balance Sheet'!AL29</f>
        <v>0</v>
      </c>
      <c r="AL7" s="43">
        <f>'Balance Sheet'!AM29</f>
        <v>0</v>
      </c>
      <c r="AM7" s="43">
        <f>'Balance Sheet'!AN29</f>
        <v>0</v>
      </c>
      <c r="AN7" s="43">
        <f>'Balance Sheet'!AO29</f>
        <v>0</v>
      </c>
      <c r="AO7" s="43">
        <f>'Balance Sheet'!AP29</f>
        <v>0</v>
      </c>
      <c r="AP7" s="43">
        <f>'Balance Sheet'!AQ29</f>
        <v>0</v>
      </c>
      <c r="AQ7" s="43">
        <f>'Balance Sheet'!AR29</f>
        <v>0</v>
      </c>
      <c r="AR7" s="43">
        <f>'Balance Sheet'!AS29</f>
        <v>0</v>
      </c>
      <c r="AS7" s="43">
        <f>'Balance Sheet'!AT29</f>
        <v>0</v>
      </c>
      <c r="AT7" s="43">
        <f>'Balance Sheet'!AU29</f>
        <v>0</v>
      </c>
      <c r="AU7" s="43">
        <f>'Balance Sheet'!AV29</f>
        <v>0</v>
      </c>
      <c r="AV7" s="43">
        <f>'Balance Sheet'!AW29</f>
        <v>0</v>
      </c>
      <c r="AW7" s="43">
        <f>'Balance Sheet'!AX29</f>
        <v>0</v>
      </c>
    </row>
    <row r="8" spans="1:49">
      <c r="A8" s="46" t="s">
        <v>130</v>
      </c>
      <c r="B8" s="43">
        <f>'Balance Sheet'!C27</f>
        <v>298870503.25999999</v>
      </c>
      <c r="C8" s="43">
        <f>'Balance Sheet'!D27</f>
        <v>279275825.23000002</v>
      </c>
      <c r="D8" s="43">
        <f>'Balance Sheet'!E27</f>
        <v>268018592.16999999</v>
      </c>
      <c r="E8" s="43">
        <f>'Balance Sheet'!F27</f>
        <v>363033086.86000001</v>
      </c>
      <c r="F8" s="43">
        <f>'Balance Sheet'!G27</f>
        <v>329358675.08999997</v>
      </c>
      <c r="G8" s="43">
        <f>'Balance Sheet'!H27</f>
        <v>319822905.79000002</v>
      </c>
      <c r="H8" s="43">
        <f>'Balance Sheet'!I27</f>
        <v>316004069.48000002</v>
      </c>
      <c r="I8" s="43">
        <f>'Balance Sheet'!J27</f>
        <v>296482938.25</v>
      </c>
      <c r="J8" s="43">
        <f>'Balance Sheet'!K27</f>
        <v>301740465.29000002</v>
      </c>
      <c r="K8" s="43">
        <f>'Balance Sheet'!L27</f>
        <v>313150809.33999997</v>
      </c>
      <c r="L8" s="43">
        <f>'Balance Sheet'!M27</f>
        <v>315986968.36000001</v>
      </c>
      <c r="M8" s="43">
        <f>'Balance Sheet'!N27</f>
        <v>306024204.11000001</v>
      </c>
      <c r="N8" s="43">
        <f>'Balance Sheet'!O27</f>
        <v>488979180.25</v>
      </c>
      <c r="O8" s="43">
        <f>'Balance Sheet'!P27</f>
        <v>291645996.36000001</v>
      </c>
      <c r="P8" s="43">
        <f>'Balance Sheet'!Q27</f>
        <v>277273248.81</v>
      </c>
      <c r="Q8" s="43">
        <f>'Balance Sheet'!R27</f>
        <v>283744614.36000001</v>
      </c>
      <c r="R8" s="43">
        <f>'Balance Sheet'!S27</f>
        <v>417294940.81999999</v>
      </c>
      <c r="S8" s="43">
        <f>'Balance Sheet'!T27</f>
        <v>344458972.54000002</v>
      </c>
      <c r="T8" s="43">
        <f>'Balance Sheet'!U27</f>
        <v>324439791.51999998</v>
      </c>
      <c r="U8" s="43">
        <f>'Balance Sheet'!V27</f>
        <v>336468877.35000002</v>
      </c>
      <c r="V8" s="43">
        <f>'Balance Sheet'!W27</f>
        <v>321379510.72000003</v>
      </c>
      <c r="W8" s="43">
        <f>'Balance Sheet'!X27</f>
        <v>309459217.04000002</v>
      </c>
      <c r="X8" s="43">
        <f>'Balance Sheet'!Y27</f>
        <v>334658208.69999999</v>
      </c>
      <c r="Y8" s="43">
        <f>'Balance Sheet'!Z27</f>
        <v>319696368.37</v>
      </c>
      <c r="Z8" s="43">
        <f>'Balance Sheet'!AA27</f>
        <v>306852727.67000002</v>
      </c>
      <c r="AA8" s="43">
        <f>'Balance Sheet'!AB27</f>
        <v>499703640</v>
      </c>
      <c r="AB8" s="43">
        <f>'Balance Sheet'!AC27</f>
        <v>0</v>
      </c>
      <c r="AC8" s="43">
        <f>'Balance Sheet'!AD27</f>
        <v>0</v>
      </c>
      <c r="AD8" s="43">
        <f>'Balance Sheet'!AE27</f>
        <v>0</v>
      </c>
      <c r="AE8" s="43">
        <f>'Balance Sheet'!AF27</f>
        <v>0</v>
      </c>
      <c r="AF8" s="43">
        <f>'Balance Sheet'!AG27</f>
        <v>0</v>
      </c>
      <c r="AG8" s="43">
        <f>'Balance Sheet'!AH27</f>
        <v>0</v>
      </c>
      <c r="AH8" s="43">
        <f>'Balance Sheet'!AI27</f>
        <v>0</v>
      </c>
      <c r="AI8" s="43">
        <f>'Balance Sheet'!AJ27</f>
        <v>0</v>
      </c>
      <c r="AJ8" s="43">
        <f>'Balance Sheet'!AK27</f>
        <v>0</v>
      </c>
      <c r="AK8" s="43">
        <f>'Balance Sheet'!AL27</f>
        <v>0</v>
      </c>
      <c r="AL8" s="43">
        <f>'Balance Sheet'!AM27</f>
        <v>0</v>
      </c>
      <c r="AM8" s="43">
        <f>'Balance Sheet'!AN27</f>
        <v>0</v>
      </c>
      <c r="AN8" s="43">
        <f>'Balance Sheet'!AO27</f>
        <v>0</v>
      </c>
      <c r="AO8" s="43">
        <f>'Balance Sheet'!AP27</f>
        <v>0</v>
      </c>
      <c r="AP8" s="43">
        <f>'Balance Sheet'!AQ27</f>
        <v>0</v>
      </c>
      <c r="AQ8" s="43">
        <f>'Balance Sheet'!AR27</f>
        <v>0</v>
      </c>
      <c r="AR8" s="43">
        <f>'Balance Sheet'!AS27</f>
        <v>0</v>
      </c>
      <c r="AS8" s="43">
        <f>'Balance Sheet'!AT27</f>
        <v>0</v>
      </c>
      <c r="AT8" s="43">
        <f>'Balance Sheet'!AU27</f>
        <v>0</v>
      </c>
      <c r="AU8" s="43">
        <f>'Balance Sheet'!AV27</f>
        <v>0</v>
      </c>
      <c r="AV8" s="43">
        <f>'Balance Sheet'!AW27</f>
        <v>0</v>
      </c>
      <c r="AW8" s="43">
        <f>'Balance Sheet'!AX27</f>
        <v>0</v>
      </c>
    </row>
    <row r="9" spans="1:49">
      <c r="A9" s="46" t="s">
        <v>131</v>
      </c>
      <c r="B9" s="43">
        <f>'Balance Sheet'!C28</f>
        <v>27188603.66</v>
      </c>
      <c r="C9" s="43">
        <f>'Balance Sheet'!D28</f>
        <v>41678744.909999996</v>
      </c>
      <c r="D9" s="43">
        <f>'Balance Sheet'!E28</f>
        <v>40344960.719999999</v>
      </c>
      <c r="E9" s="43">
        <f>'Balance Sheet'!F28</f>
        <v>42852760.719999999</v>
      </c>
      <c r="F9" s="43">
        <f>'Balance Sheet'!G28</f>
        <v>44075338.289999999</v>
      </c>
      <c r="G9" s="43">
        <f>'Balance Sheet'!H28</f>
        <v>44276838.310000002</v>
      </c>
      <c r="H9" s="43">
        <f>'Balance Sheet'!I28</f>
        <v>50148838.310000002</v>
      </c>
      <c r="I9" s="43">
        <f>'Balance Sheet'!J28</f>
        <v>48396737.170000002</v>
      </c>
      <c r="J9" s="43">
        <f>'Balance Sheet'!K28</f>
        <v>48431737.170000002</v>
      </c>
      <c r="K9" s="43">
        <f>'Balance Sheet'!L28</f>
        <v>43979891.170000002</v>
      </c>
      <c r="L9" s="43">
        <f>'Balance Sheet'!M28</f>
        <v>34978950.799999997</v>
      </c>
      <c r="M9" s="43">
        <f>'Balance Sheet'!N28</f>
        <v>38939994.799999997</v>
      </c>
      <c r="N9" s="43">
        <f>'Balance Sheet'!O28</f>
        <v>0</v>
      </c>
      <c r="O9" s="43">
        <f>'Balance Sheet'!P28</f>
        <v>39659184.439999998</v>
      </c>
      <c r="P9" s="43">
        <f>'Balance Sheet'!Q28</f>
        <v>44182595.670000002</v>
      </c>
      <c r="Q9" s="43">
        <f>'Balance Sheet'!R28</f>
        <v>43924437.670000002</v>
      </c>
      <c r="R9" s="43">
        <f>'Balance Sheet'!S28</f>
        <v>43813699.240000002</v>
      </c>
      <c r="S9" s="43">
        <f>'Balance Sheet'!T28</f>
        <v>46044231.600000001</v>
      </c>
      <c r="T9" s="43">
        <f>'Balance Sheet'!U28</f>
        <v>45576994.799999997</v>
      </c>
      <c r="U9" s="43">
        <f>'Balance Sheet'!V28</f>
        <v>40398917.229999997</v>
      </c>
      <c r="V9" s="43">
        <f>'Balance Sheet'!W28</f>
        <v>43271125.18</v>
      </c>
      <c r="W9" s="43">
        <f>'Balance Sheet'!X28</f>
        <v>43116425.18</v>
      </c>
      <c r="X9" s="43">
        <f>'Balance Sheet'!Y28</f>
        <v>45911425.18</v>
      </c>
      <c r="Y9" s="43">
        <f>'Balance Sheet'!Z28</f>
        <v>43737967.899999999</v>
      </c>
      <c r="Z9" s="43">
        <f>'Balance Sheet'!AA28</f>
        <v>42830062.859999999</v>
      </c>
      <c r="AA9" s="43">
        <f>'Balance Sheet'!AB28</f>
        <v>0</v>
      </c>
      <c r="AB9" s="43">
        <f>'Balance Sheet'!AC28</f>
        <v>0</v>
      </c>
      <c r="AC9" s="43">
        <f>'Balance Sheet'!AD28</f>
        <v>0</v>
      </c>
      <c r="AD9" s="43">
        <f>'Balance Sheet'!AE28</f>
        <v>0</v>
      </c>
      <c r="AE9" s="43">
        <f>'Balance Sheet'!AF28</f>
        <v>0</v>
      </c>
      <c r="AF9" s="43">
        <f>'Balance Sheet'!AG28</f>
        <v>0</v>
      </c>
      <c r="AG9" s="43">
        <f>'Balance Sheet'!AH28</f>
        <v>0</v>
      </c>
      <c r="AH9" s="43">
        <f>'Balance Sheet'!AI28</f>
        <v>0</v>
      </c>
      <c r="AI9" s="43">
        <f>'Balance Sheet'!AJ28</f>
        <v>0</v>
      </c>
      <c r="AJ9" s="43">
        <f>'Balance Sheet'!AK28</f>
        <v>0</v>
      </c>
      <c r="AK9" s="43">
        <f>'Balance Sheet'!AL28</f>
        <v>0</v>
      </c>
      <c r="AL9" s="43">
        <f>'Balance Sheet'!AM28</f>
        <v>0</v>
      </c>
      <c r="AM9" s="43">
        <f>'Balance Sheet'!AN28</f>
        <v>0</v>
      </c>
      <c r="AN9" s="43">
        <f>'Balance Sheet'!AO28</f>
        <v>0</v>
      </c>
      <c r="AO9" s="43">
        <f>'Balance Sheet'!AP28</f>
        <v>0</v>
      </c>
      <c r="AP9" s="43">
        <f>'Balance Sheet'!AQ28</f>
        <v>0</v>
      </c>
      <c r="AQ9" s="43">
        <f>'Balance Sheet'!AR28</f>
        <v>0</v>
      </c>
      <c r="AR9" s="43">
        <f>'Balance Sheet'!AS28</f>
        <v>0</v>
      </c>
      <c r="AS9" s="43">
        <f>'Balance Sheet'!AT28</f>
        <v>0</v>
      </c>
      <c r="AT9" s="43">
        <f>'Balance Sheet'!AU28</f>
        <v>0</v>
      </c>
      <c r="AU9" s="43">
        <f>'Balance Sheet'!AV28</f>
        <v>0</v>
      </c>
      <c r="AV9" s="43">
        <f>'Balance Sheet'!AW28</f>
        <v>0</v>
      </c>
      <c r="AW9" s="43">
        <f>'Balance Sheet'!AX28</f>
        <v>0</v>
      </c>
    </row>
    <row r="10" spans="1:49">
      <c r="A10" s="42" t="s">
        <v>132</v>
      </c>
      <c r="B10" s="43">
        <f>'Balance Sheet'!C38</f>
        <v>3818003402.6500001</v>
      </c>
      <c r="C10" s="43">
        <f>'Balance Sheet'!D38</f>
        <v>3825468223.25</v>
      </c>
      <c r="D10" s="43">
        <f>'Balance Sheet'!E38</f>
        <v>3833853475.2399998</v>
      </c>
      <c r="E10" s="43">
        <f>'Balance Sheet'!F38</f>
        <v>3607806859</v>
      </c>
      <c r="F10" s="43">
        <f>'Balance Sheet'!G38</f>
        <v>3616148401.9900002</v>
      </c>
      <c r="G10" s="43">
        <f>'Balance Sheet'!H38</f>
        <v>3650937481.9299998</v>
      </c>
      <c r="H10" s="43">
        <f>'Balance Sheet'!I38</f>
        <v>3636476880.9399996</v>
      </c>
      <c r="I10" s="43">
        <f>'Balance Sheet'!J37</f>
        <v>0</v>
      </c>
      <c r="J10" s="43">
        <f>'Balance Sheet'!K37</f>
        <v>0</v>
      </c>
      <c r="K10" s="43">
        <f>'Balance Sheet'!L37</f>
        <v>0</v>
      </c>
      <c r="L10" s="43">
        <f>'Balance Sheet'!M37</f>
        <v>0</v>
      </c>
      <c r="M10" s="43">
        <f>'Balance Sheet'!N37</f>
        <v>0</v>
      </c>
      <c r="N10" s="43">
        <f>'Balance Sheet'!O37</f>
        <v>0</v>
      </c>
      <c r="O10" s="43">
        <f>'Balance Sheet'!P38</f>
        <v>3830380285.4400001</v>
      </c>
      <c r="P10" s="43">
        <f>'Balance Sheet'!Q38</f>
        <v>3814277642.6800003</v>
      </c>
      <c r="Q10" s="43">
        <f>'Balance Sheet'!R38</f>
        <v>3844945704.4500003</v>
      </c>
      <c r="R10" s="43">
        <f>'Balance Sheet'!S38</f>
        <v>3962212454.7800002</v>
      </c>
      <c r="S10" s="43">
        <f>'Balance Sheet'!T38</f>
        <v>3990382893.8199997</v>
      </c>
      <c r="T10" s="43">
        <f>'Balance Sheet'!U38</f>
        <v>3982561854.8600001</v>
      </c>
      <c r="U10" s="43">
        <f>'Balance Sheet'!V38</f>
        <v>3961071455.6799998</v>
      </c>
      <c r="V10" s="43">
        <f>'Balance Sheet'!W38</f>
        <v>3947034115.5800004</v>
      </c>
      <c r="W10" s="43">
        <f>'Balance Sheet'!X38</f>
        <v>3980984458.8199997</v>
      </c>
      <c r="X10" s="43">
        <f>'Balance Sheet'!Y38</f>
        <v>4001915861.1000004</v>
      </c>
      <c r="Y10" s="43">
        <f>'Balance Sheet'!Z38</f>
        <v>3978883478.71</v>
      </c>
      <c r="Z10" s="43">
        <f>'Balance Sheet'!AA38</f>
        <v>4046759736.6500006</v>
      </c>
      <c r="AA10" s="43">
        <f>'Balance Sheet'!AB38</f>
        <v>4532632539</v>
      </c>
      <c r="AB10" s="43">
        <f>'Balance Sheet'!AC38</f>
        <v>0</v>
      </c>
      <c r="AC10" s="43">
        <f>'Balance Sheet'!AD38</f>
        <v>0</v>
      </c>
      <c r="AD10" s="43">
        <f>'Balance Sheet'!AE38</f>
        <v>0</v>
      </c>
      <c r="AE10" s="43">
        <f>'Balance Sheet'!AF38</f>
        <v>0</v>
      </c>
      <c r="AF10" s="43">
        <f>'Balance Sheet'!AG38</f>
        <v>0</v>
      </c>
      <c r="AG10" s="43">
        <f>'Balance Sheet'!AH38</f>
        <v>0</v>
      </c>
      <c r="AH10" s="43">
        <f>'Balance Sheet'!AI38</f>
        <v>0</v>
      </c>
      <c r="AI10" s="43">
        <f>'Balance Sheet'!AJ38</f>
        <v>0</v>
      </c>
      <c r="AJ10" s="43">
        <f>'Balance Sheet'!AK38</f>
        <v>0</v>
      </c>
      <c r="AK10" s="43">
        <f>'Balance Sheet'!AL38</f>
        <v>0</v>
      </c>
      <c r="AL10" s="43">
        <f>'Balance Sheet'!AM38</f>
        <v>0</v>
      </c>
      <c r="AM10" s="43">
        <f>'Balance Sheet'!AN38</f>
        <v>0</v>
      </c>
      <c r="AN10" s="43">
        <f>'Balance Sheet'!AO38</f>
        <v>0</v>
      </c>
      <c r="AO10" s="43">
        <f>'Balance Sheet'!AP38</f>
        <v>0</v>
      </c>
      <c r="AP10" s="43">
        <f>'Balance Sheet'!AQ38</f>
        <v>0</v>
      </c>
      <c r="AQ10" s="43">
        <f>'Balance Sheet'!AR38</f>
        <v>0</v>
      </c>
      <c r="AR10" s="43">
        <f>'Balance Sheet'!AS38</f>
        <v>0</v>
      </c>
      <c r="AS10" s="43">
        <f>'Balance Sheet'!AT38</f>
        <v>0</v>
      </c>
      <c r="AT10" s="43">
        <f>'Balance Sheet'!AU38</f>
        <v>0</v>
      </c>
      <c r="AU10" s="43">
        <f>'Balance Sheet'!AV38</f>
        <v>0</v>
      </c>
      <c r="AV10" s="43">
        <f>'Balance Sheet'!AW38</f>
        <v>0</v>
      </c>
      <c r="AW10" s="43">
        <f>'Balance Sheet'!AX38</f>
        <v>0</v>
      </c>
    </row>
    <row r="11" spans="1:49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>
      <c r="A12" s="47" t="s">
        <v>133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</row>
    <row r="13" spans="1:49">
      <c r="A13" s="47" t="s">
        <v>134</v>
      </c>
      <c r="B13" s="45">
        <f>B15-B28</f>
        <v>446959264.14999992</v>
      </c>
      <c r="C13" s="45">
        <f t="shared" ref="C13:G13" si="4">C15-C28</f>
        <v>479841137.76000005</v>
      </c>
      <c r="D13" s="45">
        <f t="shared" si="4"/>
        <v>514903972.72000009</v>
      </c>
      <c r="E13" s="45">
        <f t="shared" si="4"/>
        <v>597741822.13999987</v>
      </c>
      <c r="F13" s="45">
        <f t="shared" si="4"/>
        <v>679322624.61999989</v>
      </c>
      <c r="G13" s="45">
        <f t="shared" si="4"/>
        <v>735068777.94000006</v>
      </c>
      <c r="H13" s="45">
        <f t="shared" ref="H13" si="5">H15-H28</f>
        <v>765070641.71000004</v>
      </c>
      <c r="I13" s="45">
        <f t="shared" ref="I13:L13" si="6">I15-I28</f>
        <v>1014278599.6899999</v>
      </c>
      <c r="J13" s="45">
        <f t="shared" si="6"/>
        <v>1055998260.7400001</v>
      </c>
      <c r="K13" s="45">
        <f t="shared" si="6"/>
        <v>1091106574.8</v>
      </c>
      <c r="L13" s="45">
        <f t="shared" si="6"/>
        <v>1113466713.4199998</v>
      </c>
      <c r="M13" s="45">
        <f t="shared" ref="M13:O13" si="7">M15-M28</f>
        <v>1197075703.7599998</v>
      </c>
      <c r="N13" s="45">
        <f t="shared" si="7"/>
        <v>799603284.61903989</v>
      </c>
      <c r="O13" s="45">
        <f t="shared" si="7"/>
        <v>1213313099.6599998</v>
      </c>
      <c r="P13" s="45">
        <f t="shared" ref="P13:U13" si="8">P15-P28</f>
        <v>1246328240.5899999</v>
      </c>
      <c r="Q13" s="45">
        <f t="shared" si="8"/>
        <v>1287757278.1199999</v>
      </c>
      <c r="R13" s="45">
        <f t="shared" si="8"/>
        <v>946015267.09000003</v>
      </c>
      <c r="S13" s="45">
        <f t="shared" si="8"/>
        <v>969382443.74000013</v>
      </c>
      <c r="T13" s="45">
        <f t="shared" ref="T13:AW13" si="9">T15-T28</f>
        <v>1029644988.1900001</v>
      </c>
      <c r="U13" s="45">
        <f t="shared" si="9"/>
        <v>1050970050.96</v>
      </c>
      <c r="V13" s="45">
        <f t="shared" si="9"/>
        <v>1079408113.3699999</v>
      </c>
      <c r="W13" s="45">
        <f t="shared" si="9"/>
        <v>1115474924.9499998</v>
      </c>
      <c r="X13" s="45">
        <f t="shared" si="9"/>
        <v>1149324781.26</v>
      </c>
      <c r="Y13" s="45">
        <f t="shared" si="9"/>
        <v>1185097425.75</v>
      </c>
      <c r="Z13" s="45">
        <f t="shared" si="9"/>
        <v>1220526741.5799999</v>
      </c>
      <c r="AA13" s="45">
        <f t="shared" si="9"/>
        <v>903405718.95000005</v>
      </c>
      <c r="AB13" s="45">
        <f t="shared" si="9"/>
        <v>0</v>
      </c>
      <c r="AC13" s="45">
        <f t="shared" si="9"/>
        <v>0</v>
      </c>
      <c r="AD13" s="45">
        <f t="shared" si="9"/>
        <v>0</v>
      </c>
      <c r="AE13" s="45">
        <f t="shared" si="9"/>
        <v>0</v>
      </c>
      <c r="AF13" s="45">
        <f t="shared" si="9"/>
        <v>0</v>
      </c>
      <c r="AG13" s="45">
        <f t="shared" si="9"/>
        <v>0</v>
      </c>
      <c r="AH13" s="45">
        <f t="shared" si="9"/>
        <v>0</v>
      </c>
      <c r="AI13" s="45">
        <f t="shared" si="9"/>
        <v>0</v>
      </c>
      <c r="AJ13" s="45">
        <f t="shared" si="9"/>
        <v>0</v>
      </c>
      <c r="AK13" s="45">
        <f t="shared" si="9"/>
        <v>0</v>
      </c>
      <c r="AL13" s="45">
        <f t="shared" si="9"/>
        <v>0</v>
      </c>
      <c r="AM13" s="45">
        <f t="shared" si="9"/>
        <v>0</v>
      </c>
      <c r="AN13" s="45">
        <f t="shared" si="9"/>
        <v>0</v>
      </c>
      <c r="AO13" s="45">
        <f t="shared" si="9"/>
        <v>0</v>
      </c>
      <c r="AP13" s="45">
        <f t="shared" si="9"/>
        <v>0</v>
      </c>
      <c r="AQ13" s="45">
        <f t="shared" si="9"/>
        <v>0</v>
      </c>
      <c r="AR13" s="45">
        <f t="shared" si="9"/>
        <v>0</v>
      </c>
      <c r="AS13" s="45">
        <f t="shared" si="9"/>
        <v>0</v>
      </c>
      <c r="AT13" s="45">
        <f t="shared" si="9"/>
        <v>0</v>
      </c>
      <c r="AU13" s="45">
        <f t="shared" si="9"/>
        <v>0</v>
      </c>
      <c r="AV13" s="45">
        <f t="shared" si="9"/>
        <v>0</v>
      </c>
      <c r="AW13" s="45">
        <f t="shared" si="9"/>
        <v>0</v>
      </c>
    </row>
    <row r="14" spans="1:49">
      <c r="A14" s="47" t="s">
        <v>135</v>
      </c>
      <c r="B14" s="45">
        <f t="shared" ref="B14:L14" si="10">B13-B16</f>
        <v>248494512.10999992</v>
      </c>
      <c r="C14" s="45">
        <f t="shared" si="10"/>
        <v>278982817.10000002</v>
      </c>
      <c r="D14" s="45">
        <f t="shared" si="10"/>
        <v>311792592.98000008</v>
      </c>
      <c r="E14" s="45">
        <f t="shared" si="10"/>
        <v>361343365.5999999</v>
      </c>
      <c r="F14" s="45">
        <f t="shared" si="10"/>
        <v>444900010.24999988</v>
      </c>
      <c r="G14" s="45">
        <f t="shared" si="10"/>
        <v>498901846.23000002</v>
      </c>
      <c r="H14" s="45">
        <f t="shared" ref="H14" si="11">H13-H16</f>
        <v>527176381.18000007</v>
      </c>
      <c r="I14" s="45">
        <f t="shared" si="10"/>
        <v>774680261.5999999</v>
      </c>
      <c r="J14" s="45">
        <f t="shared" si="10"/>
        <v>814917653.22000015</v>
      </c>
      <c r="K14" s="45">
        <f t="shared" si="10"/>
        <v>848754869.01999998</v>
      </c>
      <c r="L14" s="45">
        <f t="shared" si="10"/>
        <v>869620498.63999987</v>
      </c>
      <c r="M14" s="45">
        <f t="shared" ref="M14:O14" si="12">M13-M16</f>
        <v>951031148.08999979</v>
      </c>
      <c r="N14" s="45">
        <f t="shared" si="12"/>
        <v>553558728.94903994</v>
      </c>
      <c r="O14" s="45">
        <f t="shared" si="12"/>
        <v>966005065.33999991</v>
      </c>
      <c r="P14" s="45">
        <f t="shared" ref="P14:U14" si="13">P13-P16</f>
        <v>997785363.13999987</v>
      </c>
      <c r="Q14" s="45">
        <f t="shared" si="13"/>
        <v>1037191330.7599999</v>
      </c>
      <c r="R14" s="45">
        <f t="shared" si="13"/>
        <v>665440062.26999998</v>
      </c>
      <c r="S14" s="45">
        <f t="shared" si="13"/>
        <v>687152790.18000007</v>
      </c>
      <c r="T14" s="45">
        <f t="shared" ref="T14:AW14" si="14">T13-T16</f>
        <v>745945473.08000004</v>
      </c>
      <c r="U14" s="45">
        <f t="shared" si="14"/>
        <v>765888012.94000006</v>
      </c>
      <c r="V14" s="45">
        <f t="shared" si="14"/>
        <v>792716749.32999992</v>
      </c>
      <c r="W14" s="45">
        <f t="shared" si="14"/>
        <v>827121161.79999983</v>
      </c>
      <c r="X14" s="45">
        <f t="shared" si="14"/>
        <v>859842561.49000001</v>
      </c>
      <c r="Y14" s="45">
        <f t="shared" si="14"/>
        <v>894387286.63</v>
      </c>
      <c r="Z14" s="45">
        <f t="shared" si="14"/>
        <v>928283022.62999988</v>
      </c>
      <c r="AA14" s="45">
        <f t="shared" si="14"/>
        <v>611162000</v>
      </c>
      <c r="AB14" s="45">
        <f t="shared" si="14"/>
        <v>0</v>
      </c>
      <c r="AC14" s="45">
        <f t="shared" si="14"/>
        <v>0</v>
      </c>
      <c r="AD14" s="45">
        <f t="shared" si="14"/>
        <v>0</v>
      </c>
      <c r="AE14" s="45">
        <f t="shared" si="14"/>
        <v>0</v>
      </c>
      <c r="AF14" s="45">
        <f t="shared" si="14"/>
        <v>0</v>
      </c>
      <c r="AG14" s="45">
        <f t="shared" si="14"/>
        <v>0</v>
      </c>
      <c r="AH14" s="45">
        <f t="shared" si="14"/>
        <v>0</v>
      </c>
      <c r="AI14" s="45">
        <f t="shared" si="14"/>
        <v>0</v>
      </c>
      <c r="AJ14" s="45">
        <f t="shared" si="14"/>
        <v>0</v>
      </c>
      <c r="AK14" s="45">
        <f t="shared" si="14"/>
        <v>0</v>
      </c>
      <c r="AL14" s="45">
        <f t="shared" si="14"/>
        <v>0</v>
      </c>
      <c r="AM14" s="45">
        <f t="shared" si="14"/>
        <v>0</v>
      </c>
      <c r="AN14" s="45">
        <f t="shared" si="14"/>
        <v>0</v>
      </c>
      <c r="AO14" s="45">
        <f t="shared" si="14"/>
        <v>0</v>
      </c>
      <c r="AP14" s="45">
        <f t="shared" si="14"/>
        <v>0</v>
      </c>
      <c r="AQ14" s="45">
        <f t="shared" si="14"/>
        <v>0</v>
      </c>
      <c r="AR14" s="45">
        <f t="shared" si="14"/>
        <v>0</v>
      </c>
      <c r="AS14" s="45">
        <f t="shared" si="14"/>
        <v>0</v>
      </c>
      <c r="AT14" s="45">
        <f t="shared" si="14"/>
        <v>0</v>
      </c>
      <c r="AU14" s="45">
        <f t="shared" si="14"/>
        <v>0</v>
      </c>
      <c r="AV14" s="45">
        <f t="shared" si="14"/>
        <v>0</v>
      </c>
      <c r="AW14" s="45">
        <f t="shared" si="14"/>
        <v>0</v>
      </c>
    </row>
    <row r="15" spans="1:49">
      <c r="A15" s="47" t="s">
        <v>136</v>
      </c>
      <c r="B15" s="45">
        <f t="shared" ref="B15:L15" si="15">B16+B17+B18+B19+B20+B21</f>
        <v>718699253.44999993</v>
      </c>
      <c r="C15" s="45">
        <f t="shared" si="15"/>
        <v>751581127.06000006</v>
      </c>
      <c r="D15" s="45">
        <f t="shared" si="15"/>
        <v>790648755.79000008</v>
      </c>
      <c r="E15" s="45">
        <f t="shared" si="15"/>
        <v>873486605.20999992</v>
      </c>
      <c r="F15" s="45">
        <f t="shared" si="15"/>
        <v>905067407.68999994</v>
      </c>
      <c r="G15" s="45">
        <f t="shared" si="15"/>
        <v>960813561.01000011</v>
      </c>
      <c r="H15" s="45">
        <f t="shared" ref="H15" si="16">H16+H17+H18+H19+H20+H21</f>
        <v>990815424.78000009</v>
      </c>
      <c r="I15" s="45">
        <f t="shared" si="15"/>
        <v>1014278599.6899999</v>
      </c>
      <c r="J15" s="45">
        <f t="shared" si="15"/>
        <v>1055998260.7400001</v>
      </c>
      <c r="K15" s="45">
        <f t="shared" si="15"/>
        <v>1091106574.8</v>
      </c>
      <c r="L15" s="45">
        <f t="shared" si="15"/>
        <v>1113466713.4199998</v>
      </c>
      <c r="M15" s="45">
        <f t="shared" ref="M15:O15" si="17">M16+M17+M18+M19+M20+M21</f>
        <v>1197075703.7599998</v>
      </c>
      <c r="N15" s="45">
        <f t="shared" si="17"/>
        <v>799603284.61903989</v>
      </c>
      <c r="O15" s="45">
        <f t="shared" si="17"/>
        <v>1213313099.6599998</v>
      </c>
      <c r="P15" s="45">
        <f t="shared" ref="P15:U15" si="18">P16+P17+P18+P19+P20+P21</f>
        <v>1246328240.5899999</v>
      </c>
      <c r="Q15" s="45">
        <f t="shared" si="18"/>
        <v>1287757278.1199999</v>
      </c>
      <c r="R15" s="45">
        <f t="shared" si="18"/>
        <v>946015267.09000003</v>
      </c>
      <c r="S15" s="45">
        <f t="shared" si="18"/>
        <v>969382443.74000013</v>
      </c>
      <c r="T15" s="45">
        <f t="shared" ref="T15:AW15" si="19">T16+T17+T18+T19+T20+T21</f>
        <v>1029644988.1900001</v>
      </c>
      <c r="U15" s="45">
        <f t="shared" si="19"/>
        <v>1050970050.96</v>
      </c>
      <c r="V15" s="45">
        <f t="shared" si="19"/>
        <v>1079408113.3699999</v>
      </c>
      <c r="W15" s="45">
        <f t="shared" si="19"/>
        <v>1115474924.9499998</v>
      </c>
      <c r="X15" s="45">
        <f t="shared" si="19"/>
        <v>1149324781.26</v>
      </c>
      <c r="Y15" s="45">
        <f t="shared" si="19"/>
        <v>1185097425.75</v>
      </c>
      <c r="Z15" s="45">
        <f t="shared" si="19"/>
        <v>1220526741.5799999</v>
      </c>
      <c r="AA15" s="45">
        <f t="shared" si="19"/>
        <v>903405718.95000005</v>
      </c>
      <c r="AB15" s="45">
        <f t="shared" si="19"/>
        <v>0</v>
      </c>
      <c r="AC15" s="45">
        <f t="shared" si="19"/>
        <v>0</v>
      </c>
      <c r="AD15" s="45">
        <f t="shared" si="19"/>
        <v>0</v>
      </c>
      <c r="AE15" s="45">
        <f t="shared" si="19"/>
        <v>0</v>
      </c>
      <c r="AF15" s="45">
        <f t="shared" si="19"/>
        <v>0</v>
      </c>
      <c r="AG15" s="45">
        <f t="shared" si="19"/>
        <v>0</v>
      </c>
      <c r="AH15" s="45">
        <f t="shared" si="19"/>
        <v>0</v>
      </c>
      <c r="AI15" s="45">
        <f t="shared" si="19"/>
        <v>0</v>
      </c>
      <c r="AJ15" s="45">
        <f t="shared" si="19"/>
        <v>0</v>
      </c>
      <c r="AK15" s="45">
        <f t="shared" si="19"/>
        <v>0</v>
      </c>
      <c r="AL15" s="45">
        <f t="shared" si="19"/>
        <v>0</v>
      </c>
      <c r="AM15" s="45">
        <f t="shared" si="19"/>
        <v>0</v>
      </c>
      <c r="AN15" s="45">
        <f t="shared" si="19"/>
        <v>0</v>
      </c>
      <c r="AO15" s="45">
        <f t="shared" si="19"/>
        <v>0</v>
      </c>
      <c r="AP15" s="45">
        <f t="shared" si="19"/>
        <v>0</v>
      </c>
      <c r="AQ15" s="45">
        <f t="shared" si="19"/>
        <v>0</v>
      </c>
      <c r="AR15" s="45">
        <f t="shared" si="19"/>
        <v>0</v>
      </c>
      <c r="AS15" s="45">
        <f t="shared" si="19"/>
        <v>0</v>
      </c>
      <c r="AT15" s="45">
        <f t="shared" si="19"/>
        <v>0</v>
      </c>
      <c r="AU15" s="45">
        <f t="shared" si="19"/>
        <v>0</v>
      </c>
      <c r="AV15" s="45">
        <f t="shared" si="19"/>
        <v>0</v>
      </c>
      <c r="AW15" s="45">
        <f t="shared" si="19"/>
        <v>0</v>
      </c>
    </row>
    <row r="16" spans="1:49">
      <c r="A16" s="48" t="s">
        <v>137</v>
      </c>
      <c r="B16" s="43">
        <f>'Balance Sheet'!C39</f>
        <v>198464752.03999999</v>
      </c>
      <c r="C16" s="43">
        <f>'Balance Sheet'!D39</f>
        <v>200858320.66</v>
      </c>
      <c r="D16" s="43">
        <f>'Balance Sheet'!E39</f>
        <v>203111379.74000001</v>
      </c>
      <c r="E16" s="43">
        <f>'Balance Sheet'!F39</f>
        <v>236398456.53999999</v>
      </c>
      <c r="F16" s="43">
        <f>'Balance Sheet'!G39</f>
        <v>234422614.37</v>
      </c>
      <c r="G16" s="43">
        <f>'Balance Sheet'!H39</f>
        <v>236166931.71000001</v>
      </c>
      <c r="H16" s="43">
        <f>'Balance Sheet'!I39</f>
        <v>237894260.53</v>
      </c>
      <c r="I16" s="43">
        <f>'Balance Sheet'!J39</f>
        <v>239598338.09</v>
      </c>
      <c r="J16" s="43">
        <f>'Balance Sheet'!K39</f>
        <v>241080607.52000001</v>
      </c>
      <c r="K16" s="43">
        <f>'Balance Sheet'!L39</f>
        <v>242351705.78</v>
      </c>
      <c r="L16" s="43">
        <f>'Balance Sheet'!M39</f>
        <v>243846214.78</v>
      </c>
      <c r="M16" s="43">
        <f>'Balance Sheet'!N39</f>
        <v>246044555.66999999</v>
      </c>
      <c r="N16" s="43">
        <f>'Balance Sheet'!O39</f>
        <v>246044555.66999999</v>
      </c>
      <c r="O16" s="43">
        <f>'Balance Sheet'!P39</f>
        <v>247308034.31999999</v>
      </c>
      <c r="P16" s="43">
        <f>'Balance Sheet'!Q39</f>
        <v>248542877.44999999</v>
      </c>
      <c r="Q16" s="43">
        <f>'Balance Sheet'!R39</f>
        <v>250565947.36000001</v>
      </c>
      <c r="R16" s="43">
        <f>'Balance Sheet'!S39</f>
        <v>280575204.81999999</v>
      </c>
      <c r="S16" s="43">
        <f>'Balance Sheet'!T39</f>
        <v>282229653.56</v>
      </c>
      <c r="T16" s="43">
        <f>'Balance Sheet'!U39</f>
        <v>283699515.11000001</v>
      </c>
      <c r="U16" s="43">
        <f>'Balance Sheet'!V39</f>
        <v>285082038.01999998</v>
      </c>
      <c r="V16" s="43">
        <f>'Balance Sheet'!W39</f>
        <v>286691364.04000002</v>
      </c>
      <c r="W16" s="43">
        <f>'Balance Sheet'!X39</f>
        <v>288353763.14999998</v>
      </c>
      <c r="X16" s="43">
        <f>'Balance Sheet'!Y39</f>
        <v>289482219.76999998</v>
      </c>
      <c r="Y16" s="43">
        <f>'Balance Sheet'!Z39</f>
        <v>290710139.12</v>
      </c>
      <c r="Z16" s="43">
        <f>'Balance Sheet'!AA39</f>
        <v>292243718.94999999</v>
      </c>
      <c r="AA16" s="43">
        <f>'Balance Sheet'!AB39</f>
        <v>292243718.94999999</v>
      </c>
      <c r="AB16" s="43">
        <f>'Balance Sheet'!AC40</f>
        <v>0</v>
      </c>
      <c r="AC16" s="43">
        <f>'Balance Sheet'!AD40</f>
        <v>0</v>
      </c>
      <c r="AD16" s="43">
        <f>'Balance Sheet'!AE40</f>
        <v>0</v>
      </c>
      <c r="AE16" s="43">
        <f>'Balance Sheet'!AF40</f>
        <v>0</v>
      </c>
      <c r="AF16" s="43">
        <f>'Balance Sheet'!AG40</f>
        <v>0</v>
      </c>
      <c r="AG16" s="43">
        <f>'Balance Sheet'!AH40</f>
        <v>0</v>
      </c>
      <c r="AH16" s="43">
        <f>'Balance Sheet'!AI40</f>
        <v>0</v>
      </c>
      <c r="AI16" s="43">
        <f>'Balance Sheet'!AJ40</f>
        <v>0</v>
      </c>
      <c r="AJ16" s="43">
        <f>'Balance Sheet'!AK40</f>
        <v>0</v>
      </c>
      <c r="AK16" s="43">
        <f>'Balance Sheet'!AL40</f>
        <v>0</v>
      </c>
      <c r="AL16" s="43">
        <f>'Balance Sheet'!AM40</f>
        <v>0</v>
      </c>
      <c r="AM16" s="43">
        <f>'Balance Sheet'!AN40</f>
        <v>0</v>
      </c>
      <c r="AN16" s="43">
        <f>'Balance Sheet'!AO40</f>
        <v>0</v>
      </c>
      <c r="AO16" s="43">
        <f>'Balance Sheet'!AP40</f>
        <v>0</v>
      </c>
      <c r="AP16" s="43">
        <f>'Balance Sheet'!AQ40</f>
        <v>0</v>
      </c>
      <c r="AQ16" s="43">
        <f>'Balance Sheet'!AR40</f>
        <v>0</v>
      </c>
      <c r="AR16" s="43">
        <f>'Balance Sheet'!AS40</f>
        <v>0</v>
      </c>
      <c r="AS16" s="43">
        <f>'Balance Sheet'!AT40</f>
        <v>0</v>
      </c>
      <c r="AT16" s="43">
        <f>'Balance Sheet'!AU40</f>
        <v>0</v>
      </c>
      <c r="AU16" s="43">
        <f>'Balance Sheet'!AV40</f>
        <v>0</v>
      </c>
      <c r="AV16" s="43">
        <f>'Balance Sheet'!AW40</f>
        <v>0</v>
      </c>
      <c r="AW16" s="43">
        <f>'Balance Sheet'!AX40</f>
        <v>0</v>
      </c>
    </row>
    <row r="17" spans="1:49">
      <c r="A17" s="42" t="s">
        <v>138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</row>
    <row r="18" spans="1:49">
      <c r="A18" s="42" t="s">
        <v>55</v>
      </c>
      <c r="B18" s="43">
        <f>'Balance Sheet'!C41</f>
        <v>215609974.12</v>
      </c>
      <c r="C18" s="43">
        <f>'Balance Sheet'!D41</f>
        <v>246098279.11000001</v>
      </c>
      <c r="D18" s="43">
        <f>'Balance Sheet'!E41</f>
        <v>279530528.75999999</v>
      </c>
      <c r="E18" s="43">
        <f>'Balance Sheet'!F41</f>
        <v>329081301.38</v>
      </c>
      <c r="F18" s="43">
        <f>'Balance Sheet'!G41</f>
        <v>362637946.02999997</v>
      </c>
      <c r="G18" s="43">
        <f>'Balance Sheet'!H41</f>
        <v>416639782.00999999</v>
      </c>
      <c r="H18" s="43">
        <f>'Balance Sheet'!I41</f>
        <v>444914316.95999998</v>
      </c>
      <c r="I18" s="43">
        <f>'Balance Sheet'!J41</f>
        <v>466673414.31</v>
      </c>
      <c r="J18" s="43">
        <f>'Balance Sheet'!K41</f>
        <v>506910805.93000001</v>
      </c>
      <c r="K18" s="43">
        <f>'Balance Sheet'!L41</f>
        <v>540748021.73000002</v>
      </c>
      <c r="L18" s="43">
        <f>'Balance Sheet'!M41</f>
        <v>561613651.3499999</v>
      </c>
      <c r="M18" s="43">
        <f>'Balance Sheet'!N41</f>
        <v>643024300.79999995</v>
      </c>
      <c r="N18" s="43">
        <f>'Balance Sheet'!O41</f>
        <v>184537132.10103986</v>
      </c>
      <c r="O18" s="43">
        <f>'Balance Sheet'!P41</f>
        <v>657998218.04999995</v>
      </c>
      <c r="P18" s="43">
        <f>'Balance Sheet'!Q41</f>
        <v>689778515.8499999</v>
      </c>
      <c r="Q18" s="43">
        <f>'Balance Sheet'!R41</f>
        <v>729184483.46999991</v>
      </c>
      <c r="R18" s="43">
        <f>'Balance Sheet'!S41</f>
        <v>332951585.91999996</v>
      </c>
      <c r="S18" s="43">
        <f>'Balance Sheet'!T41</f>
        <v>354664313.83000004</v>
      </c>
      <c r="T18" s="43">
        <f>'Balance Sheet'!U41</f>
        <v>413456996.73000002</v>
      </c>
      <c r="U18" s="43">
        <f>'Balance Sheet'!V41</f>
        <v>433399536.59000003</v>
      </c>
      <c r="V18" s="43">
        <f>'Balance Sheet'!W41</f>
        <v>460228272.98000002</v>
      </c>
      <c r="W18" s="43">
        <f>'Balance Sheet'!X41</f>
        <v>494632685.44999999</v>
      </c>
      <c r="X18" s="43">
        <f>'Balance Sheet'!Y41</f>
        <v>527354085.13999999</v>
      </c>
      <c r="Y18" s="43">
        <f>'Balance Sheet'!Z41</f>
        <v>561898810.27999997</v>
      </c>
      <c r="Z18" s="43">
        <f>'Balance Sheet'!AA41</f>
        <v>595794546.27999997</v>
      </c>
      <c r="AA18" s="43">
        <f>'Balance Sheet'!AB41</f>
        <v>182670184</v>
      </c>
      <c r="AB18" s="43">
        <f>'Balance Sheet'!AC41</f>
        <v>0</v>
      </c>
      <c r="AC18" s="43">
        <f>'Balance Sheet'!AD41</f>
        <v>0</v>
      </c>
      <c r="AD18" s="43">
        <f>'Balance Sheet'!AE41</f>
        <v>0</v>
      </c>
      <c r="AE18" s="43">
        <f>'Balance Sheet'!AF41</f>
        <v>0</v>
      </c>
      <c r="AF18" s="43">
        <f>'Balance Sheet'!AG41</f>
        <v>0</v>
      </c>
      <c r="AG18" s="43">
        <f>'Balance Sheet'!AH41</f>
        <v>0</v>
      </c>
      <c r="AH18" s="43">
        <f>'Balance Sheet'!AI41</f>
        <v>0</v>
      </c>
      <c r="AI18" s="43">
        <f>'Balance Sheet'!AJ41</f>
        <v>0</v>
      </c>
      <c r="AJ18" s="43">
        <f>'Balance Sheet'!AK41</f>
        <v>0</v>
      </c>
      <c r="AK18" s="43">
        <f>'Balance Sheet'!AL41</f>
        <v>0</v>
      </c>
      <c r="AL18" s="43">
        <f>'Balance Sheet'!AM41</f>
        <v>0</v>
      </c>
      <c r="AM18" s="43">
        <f>'Balance Sheet'!AN41</f>
        <v>0</v>
      </c>
      <c r="AN18" s="43">
        <f>'Balance Sheet'!AO41</f>
        <v>0</v>
      </c>
      <c r="AO18" s="43">
        <f>'Balance Sheet'!AP41</f>
        <v>0</v>
      </c>
      <c r="AP18" s="43">
        <f>'Balance Sheet'!AQ41</f>
        <v>0</v>
      </c>
      <c r="AQ18" s="43">
        <f>'Balance Sheet'!AR41</f>
        <v>0</v>
      </c>
      <c r="AR18" s="43">
        <f>'Balance Sheet'!AS41</f>
        <v>0</v>
      </c>
      <c r="AS18" s="43">
        <f>'Balance Sheet'!AT41</f>
        <v>0</v>
      </c>
      <c r="AT18" s="43">
        <f>'Balance Sheet'!AU41</f>
        <v>0</v>
      </c>
      <c r="AU18" s="43">
        <f>'Balance Sheet'!AV41</f>
        <v>0</v>
      </c>
      <c r="AV18" s="43">
        <f>'Balance Sheet'!AW41</f>
        <v>0</v>
      </c>
      <c r="AW18" s="43">
        <f>'Balance Sheet'!AX41</f>
        <v>0</v>
      </c>
    </row>
    <row r="19" spans="1:49">
      <c r="A19" s="42" t="s">
        <v>139</v>
      </c>
      <c r="B19" s="43">
        <f>'Balance Sheet'!C48</f>
        <v>0</v>
      </c>
      <c r="C19" s="43">
        <f>'Balance Sheet'!D48</f>
        <v>0</v>
      </c>
      <c r="D19" s="43">
        <f>'Balance Sheet'!E48</f>
        <v>0</v>
      </c>
      <c r="E19" s="43">
        <f>'Balance Sheet'!F48</f>
        <v>0</v>
      </c>
      <c r="F19" s="43">
        <f>'Balance Sheet'!G48</f>
        <v>0</v>
      </c>
      <c r="G19" s="43">
        <f>'Balance Sheet'!H48</f>
        <v>0</v>
      </c>
      <c r="H19" s="43">
        <f>'Balance Sheet'!I48</f>
        <v>0</v>
      </c>
      <c r="I19" s="43">
        <f>'Balance Sheet'!J48</f>
        <v>0</v>
      </c>
      <c r="J19" s="43">
        <f>'Balance Sheet'!K48</f>
        <v>0</v>
      </c>
      <c r="K19" s="43">
        <f>'Balance Sheet'!L48</f>
        <v>0</v>
      </c>
      <c r="L19" s="43">
        <f>'Balance Sheet'!M48</f>
        <v>0</v>
      </c>
      <c r="M19" s="43">
        <f>'Balance Sheet'!N48</f>
        <v>0</v>
      </c>
      <c r="N19" s="43">
        <f>'Balance Sheet'!O48</f>
        <v>32473121.66</v>
      </c>
      <c r="O19" s="43">
        <f>'Balance Sheet'!P48</f>
        <v>0</v>
      </c>
      <c r="P19" s="43">
        <f>'Balance Sheet'!Q48</f>
        <v>0</v>
      </c>
      <c r="Q19" s="43">
        <f>'Balance Sheet'!R48</f>
        <v>0</v>
      </c>
      <c r="R19" s="43">
        <f>'Balance Sheet'!S48</f>
        <v>0</v>
      </c>
      <c r="S19" s="43">
        <f>'Balance Sheet'!T48</f>
        <v>0</v>
      </c>
      <c r="T19" s="43">
        <f>'Balance Sheet'!U48</f>
        <v>0</v>
      </c>
      <c r="U19" s="43">
        <f>'Balance Sheet'!V48</f>
        <v>0</v>
      </c>
      <c r="V19" s="43">
        <f>'Balance Sheet'!W48</f>
        <v>0</v>
      </c>
      <c r="W19" s="43">
        <f>'Balance Sheet'!X48</f>
        <v>0</v>
      </c>
      <c r="X19" s="43">
        <f>'Balance Sheet'!Y48</f>
        <v>0</v>
      </c>
      <c r="Y19" s="43">
        <f>'Balance Sheet'!Z48</f>
        <v>0</v>
      </c>
      <c r="Z19" s="43">
        <f>'Balance Sheet'!AA48</f>
        <v>0</v>
      </c>
      <c r="AA19" s="43">
        <f>'Balance Sheet'!AB48</f>
        <v>0</v>
      </c>
      <c r="AB19" s="43">
        <f>'Balance Sheet'!AC48</f>
        <v>0</v>
      </c>
      <c r="AC19" s="43">
        <f>'Balance Sheet'!AD48</f>
        <v>0</v>
      </c>
      <c r="AD19" s="43">
        <f>'Balance Sheet'!AE48</f>
        <v>0</v>
      </c>
      <c r="AE19" s="43">
        <f>'Balance Sheet'!AF48</f>
        <v>0</v>
      </c>
      <c r="AF19" s="43">
        <f>'Balance Sheet'!AG48</f>
        <v>0</v>
      </c>
      <c r="AG19" s="43">
        <f>'Balance Sheet'!AH48</f>
        <v>0</v>
      </c>
      <c r="AH19" s="43">
        <f>'Balance Sheet'!AI48</f>
        <v>0</v>
      </c>
      <c r="AI19" s="43">
        <f>'Balance Sheet'!AJ48</f>
        <v>0</v>
      </c>
      <c r="AJ19" s="43">
        <f>'Balance Sheet'!AK48</f>
        <v>0</v>
      </c>
      <c r="AK19" s="43">
        <f>'Balance Sheet'!AL48</f>
        <v>0</v>
      </c>
      <c r="AL19" s="43">
        <f>'Balance Sheet'!AM48</f>
        <v>0</v>
      </c>
      <c r="AM19" s="43">
        <f>'Balance Sheet'!AN48</f>
        <v>0</v>
      </c>
      <c r="AN19" s="43">
        <f>'Balance Sheet'!AO48</f>
        <v>0</v>
      </c>
      <c r="AO19" s="43">
        <f>'Balance Sheet'!AP48</f>
        <v>0</v>
      </c>
      <c r="AP19" s="43">
        <f>'Balance Sheet'!AQ48</f>
        <v>0</v>
      </c>
      <c r="AQ19" s="43">
        <f>'Balance Sheet'!AR48</f>
        <v>0</v>
      </c>
      <c r="AR19" s="43">
        <f>'Balance Sheet'!AS48</f>
        <v>0</v>
      </c>
      <c r="AS19" s="43">
        <f>'Balance Sheet'!AT48</f>
        <v>0</v>
      </c>
      <c r="AT19" s="43">
        <f>'Balance Sheet'!AU48</f>
        <v>0</v>
      </c>
      <c r="AU19" s="43">
        <f>'Balance Sheet'!AV48</f>
        <v>0</v>
      </c>
      <c r="AV19" s="43">
        <f>'Balance Sheet'!AW48</f>
        <v>0</v>
      </c>
      <c r="AW19" s="43">
        <f>'Balance Sheet'!AX48</f>
        <v>0</v>
      </c>
    </row>
    <row r="20" spans="1:49">
      <c r="A20" s="42" t="s">
        <v>140</v>
      </c>
      <c r="B20" s="43">
        <f>'Balance Sheet'!C45</f>
        <v>122807206.94</v>
      </c>
      <c r="C20" s="43">
        <f>'Balance Sheet'!D45</f>
        <v>122807206.94</v>
      </c>
      <c r="D20" s="43">
        <f>'Balance Sheet'!E45</f>
        <v>126189526.94</v>
      </c>
      <c r="E20" s="43">
        <f>'Balance Sheet'!F45</f>
        <v>126189526.94</v>
      </c>
      <c r="F20" s="43">
        <f>'Balance Sheet'!G45</f>
        <v>126189526.94</v>
      </c>
      <c r="G20" s="43">
        <f>'Balance Sheet'!H45</f>
        <v>126189526.94</v>
      </c>
      <c r="H20" s="43">
        <f>'Balance Sheet'!I45</f>
        <v>126189526.94</v>
      </c>
      <c r="I20" s="43">
        <f>'Balance Sheet'!J45</f>
        <v>126189526.94</v>
      </c>
      <c r="J20" s="43">
        <f>'Balance Sheet'!K45</f>
        <v>126189526.94</v>
      </c>
      <c r="K20" s="43">
        <f>'Balance Sheet'!L45</f>
        <v>126189526.94</v>
      </c>
      <c r="L20" s="43">
        <f>'Balance Sheet'!M45</f>
        <v>126189526.94</v>
      </c>
      <c r="M20" s="43">
        <f>'Balance Sheet'!N45</f>
        <v>126189526.94</v>
      </c>
      <c r="N20" s="43">
        <f>'Balance Sheet'!O45</f>
        <v>139731154.838</v>
      </c>
      <c r="O20" s="43">
        <f>'Balance Sheet'!P45</f>
        <v>126189526.94</v>
      </c>
      <c r="P20" s="43">
        <f>'Balance Sheet'!Q45</f>
        <v>126189526.94</v>
      </c>
      <c r="Q20" s="43">
        <f>'Balance Sheet'!R45</f>
        <v>126189526.94</v>
      </c>
      <c r="R20" s="43">
        <f>'Balance Sheet'!S45</f>
        <v>138671156</v>
      </c>
      <c r="S20" s="43">
        <f>'Balance Sheet'!T45</f>
        <v>138671156</v>
      </c>
      <c r="T20" s="43">
        <f>'Balance Sheet'!U45</f>
        <v>138671156</v>
      </c>
      <c r="U20" s="43">
        <f>'Balance Sheet'!V45</f>
        <v>138671156</v>
      </c>
      <c r="V20" s="43">
        <f>'Balance Sheet'!W45</f>
        <v>138671156</v>
      </c>
      <c r="W20" s="43">
        <f>'Balance Sheet'!X45</f>
        <v>138671156</v>
      </c>
      <c r="X20" s="43">
        <f>'Balance Sheet'!Y45</f>
        <v>138671156</v>
      </c>
      <c r="Y20" s="43">
        <f>'Balance Sheet'!Z45</f>
        <v>138671156</v>
      </c>
      <c r="Z20" s="43">
        <f>'Balance Sheet'!AA45</f>
        <v>138671156</v>
      </c>
      <c r="AA20" s="43">
        <f>'Balance Sheet'!AB45</f>
        <v>147267853</v>
      </c>
      <c r="AB20" s="43">
        <f>'Balance Sheet'!AC45</f>
        <v>0</v>
      </c>
      <c r="AC20" s="43">
        <f>'Balance Sheet'!AD45</f>
        <v>0</v>
      </c>
      <c r="AD20" s="43">
        <f>'Balance Sheet'!AE45</f>
        <v>0</v>
      </c>
      <c r="AE20" s="43">
        <f>'Balance Sheet'!AF45</f>
        <v>0</v>
      </c>
      <c r="AF20" s="43">
        <f>'Balance Sheet'!AG45</f>
        <v>0</v>
      </c>
      <c r="AG20" s="43">
        <f>'Balance Sheet'!AH45</f>
        <v>0</v>
      </c>
      <c r="AH20" s="43">
        <f>'Balance Sheet'!AI45</f>
        <v>0</v>
      </c>
      <c r="AI20" s="43">
        <f>'Balance Sheet'!AJ45</f>
        <v>0</v>
      </c>
      <c r="AJ20" s="43">
        <f>'Balance Sheet'!AK45</f>
        <v>0</v>
      </c>
      <c r="AK20" s="43">
        <f>'Balance Sheet'!AL45</f>
        <v>0</v>
      </c>
      <c r="AL20" s="43">
        <f>'Balance Sheet'!AM45</f>
        <v>0</v>
      </c>
      <c r="AM20" s="43">
        <f>'Balance Sheet'!AN45</f>
        <v>0</v>
      </c>
      <c r="AN20" s="43">
        <f>'Balance Sheet'!AO45</f>
        <v>0</v>
      </c>
      <c r="AO20" s="43">
        <f>'Balance Sheet'!AP45</f>
        <v>0</v>
      </c>
      <c r="AP20" s="43">
        <f>'Balance Sheet'!AQ45</f>
        <v>0</v>
      </c>
      <c r="AQ20" s="43">
        <f>'Balance Sheet'!AR45</f>
        <v>0</v>
      </c>
      <c r="AR20" s="43">
        <f>'Balance Sheet'!AS45</f>
        <v>0</v>
      </c>
      <c r="AS20" s="43">
        <f>'Balance Sheet'!AT45</f>
        <v>0</v>
      </c>
      <c r="AT20" s="43">
        <f>'Balance Sheet'!AU45</f>
        <v>0</v>
      </c>
      <c r="AU20" s="43">
        <f>'Balance Sheet'!AV45</f>
        <v>0</v>
      </c>
      <c r="AV20" s="43">
        <f>'Balance Sheet'!AW45</f>
        <v>0</v>
      </c>
      <c r="AW20" s="43">
        <f>'Balance Sheet'!AX45</f>
        <v>0</v>
      </c>
    </row>
    <row r="21" spans="1:49">
      <c r="A21" s="42" t="s">
        <v>141</v>
      </c>
      <c r="B21" s="43">
        <f>'Balance Sheet'!C46</f>
        <v>181817320.34999999</v>
      </c>
      <c r="C21" s="43">
        <f>'Balance Sheet'!D46</f>
        <v>181817320.34999999</v>
      </c>
      <c r="D21" s="43">
        <f>'Balance Sheet'!E46</f>
        <v>181817320.34999999</v>
      </c>
      <c r="E21" s="43">
        <f>'Balance Sheet'!F46</f>
        <v>181817320.34999999</v>
      </c>
      <c r="F21" s="43">
        <f>'Balance Sheet'!G46</f>
        <v>181817320.34999999</v>
      </c>
      <c r="G21" s="43">
        <f>'Balance Sheet'!H46</f>
        <v>181817320.34999999</v>
      </c>
      <c r="H21" s="43">
        <f>'Balance Sheet'!I46</f>
        <v>181817320.34999999</v>
      </c>
      <c r="I21" s="43">
        <f>'Balance Sheet'!J46</f>
        <v>181817320.34999999</v>
      </c>
      <c r="J21" s="43">
        <f>'Balance Sheet'!K46</f>
        <v>181817320.34999999</v>
      </c>
      <c r="K21" s="43">
        <f>'Balance Sheet'!L46</f>
        <v>181817320.34999999</v>
      </c>
      <c r="L21" s="43">
        <f>'Balance Sheet'!M46</f>
        <v>181817320.34999999</v>
      </c>
      <c r="M21" s="43">
        <f>'Balance Sheet'!N46</f>
        <v>181817320.34999999</v>
      </c>
      <c r="N21" s="43">
        <f>'Balance Sheet'!O46</f>
        <v>196817320.34999999</v>
      </c>
      <c r="O21" s="43">
        <f>'Balance Sheet'!P46</f>
        <v>181817320.34999999</v>
      </c>
      <c r="P21" s="43">
        <f>'Balance Sheet'!Q46</f>
        <v>181817320.34999999</v>
      </c>
      <c r="Q21" s="43">
        <f>'Balance Sheet'!R46</f>
        <v>181817320.34999999</v>
      </c>
      <c r="R21" s="43">
        <f>'Balance Sheet'!S46</f>
        <v>193817320.34999999</v>
      </c>
      <c r="S21" s="43">
        <f>'Balance Sheet'!T46</f>
        <v>193817320.34999999</v>
      </c>
      <c r="T21" s="43">
        <f>'Balance Sheet'!U46</f>
        <v>193817320.34999999</v>
      </c>
      <c r="U21" s="43">
        <f>'Balance Sheet'!V46</f>
        <v>193817320.34999999</v>
      </c>
      <c r="V21" s="43">
        <f>'Balance Sheet'!W46</f>
        <v>193817320.34999999</v>
      </c>
      <c r="W21" s="43">
        <f>'Balance Sheet'!X46</f>
        <v>193817320.34999999</v>
      </c>
      <c r="X21" s="43">
        <f>'Balance Sheet'!Y46</f>
        <v>193817320.34999999</v>
      </c>
      <c r="Y21" s="43">
        <f>'Balance Sheet'!Z46</f>
        <v>193817320.34999999</v>
      </c>
      <c r="Z21" s="43">
        <f>'Balance Sheet'!AA46</f>
        <v>193817320.34999999</v>
      </c>
      <c r="AA21" s="43">
        <f>'Balance Sheet'!AB46</f>
        <v>281223963</v>
      </c>
      <c r="AB21" s="43">
        <f>'Balance Sheet'!AC46</f>
        <v>0</v>
      </c>
      <c r="AC21" s="43">
        <f>'Balance Sheet'!AD46</f>
        <v>0</v>
      </c>
      <c r="AD21" s="43">
        <f>'Balance Sheet'!AE46</f>
        <v>0</v>
      </c>
      <c r="AE21" s="43">
        <f>'Balance Sheet'!AF46</f>
        <v>0</v>
      </c>
      <c r="AF21" s="43">
        <f>'Balance Sheet'!AG46</f>
        <v>0</v>
      </c>
      <c r="AG21" s="43">
        <f>'Balance Sheet'!AH46</f>
        <v>0</v>
      </c>
      <c r="AH21" s="43">
        <f>'Balance Sheet'!AI46</f>
        <v>0</v>
      </c>
      <c r="AI21" s="43">
        <f>'Balance Sheet'!AJ46</f>
        <v>0</v>
      </c>
      <c r="AJ21" s="43">
        <f>'Balance Sheet'!AK46</f>
        <v>0</v>
      </c>
      <c r="AK21" s="43">
        <f>'Balance Sheet'!AL46</f>
        <v>0</v>
      </c>
      <c r="AL21" s="43">
        <f>'Balance Sheet'!AM46</f>
        <v>0</v>
      </c>
      <c r="AM21" s="43">
        <f>'Balance Sheet'!AN46</f>
        <v>0</v>
      </c>
      <c r="AN21" s="43">
        <f>'Balance Sheet'!AO46</f>
        <v>0</v>
      </c>
      <c r="AO21" s="43">
        <f>'Balance Sheet'!AP46</f>
        <v>0</v>
      </c>
      <c r="AP21" s="43">
        <f>'Balance Sheet'!AQ46</f>
        <v>0</v>
      </c>
      <c r="AQ21" s="43">
        <f>'Balance Sheet'!AR46</f>
        <v>0</v>
      </c>
      <c r="AR21" s="43">
        <f>'Balance Sheet'!AS46</f>
        <v>0</v>
      </c>
      <c r="AS21" s="43">
        <f>'Balance Sheet'!AT46</f>
        <v>0</v>
      </c>
      <c r="AT21" s="43">
        <f>'Balance Sheet'!AU46</f>
        <v>0</v>
      </c>
      <c r="AU21" s="43">
        <f>'Balance Sheet'!AV46</f>
        <v>0</v>
      </c>
      <c r="AV21" s="43">
        <f>'Balance Sheet'!AW46</f>
        <v>0</v>
      </c>
      <c r="AW21" s="43">
        <f>'Balance Sheet'!AX46</f>
        <v>0</v>
      </c>
    </row>
    <row r="22" spans="1:49">
      <c r="A22" s="44" t="s">
        <v>142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pans="1:49">
      <c r="A23" s="42" t="s">
        <v>62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pans="1:49">
      <c r="A24" s="42" t="s">
        <v>143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>
      <c r="A25" s="44" t="s">
        <v>144</v>
      </c>
      <c r="B25" s="49">
        <f t="shared" ref="B25:L25" si="20">B26+B27+B29</f>
        <v>754285638.92000008</v>
      </c>
      <c r="C25" s="49">
        <f t="shared" si="20"/>
        <v>754505638.92000008</v>
      </c>
      <c r="D25" s="49">
        <f t="shared" si="20"/>
        <v>688353259.47000003</v>
      </c>
      <c r="E25" s="49">
        <f t="shared" si="20"/>
        <v>688573259.47000003</v>
      </c>
      <c r="F25" s="49">
        <f t="shared" si="20"/>
        <v>638813259.47000003</v>
      </c>
      <c r="G25" s="49">
        <f t="shared" si="20"/>
        <v>635553259.47000003</v>
      </c>
      <c r="H25" s="49">
        <f t="shared" ref="H25" si="21">H26+H27+H29</f>
        <v>735773259.47000003</v>
      </c>
      <c r="I25" s="49">
        <f t="shared" si="20"/>
        <v>735993259.47000003</v>
      </c>
      <c r="J25" s="49">
        <f t="shared" si="20"/>
        <v>736213259.47000003</v>
      </c>
      <c r="K25" s="49">
        <f t="shared" si="20"/>
        <v>732743259.47000003</v>
      </c>
      <c r="L25" s="49">
        <f t="shared" si="20"/>
        <v>729471216.14999998</v>
      </c>
      <c r="M25" s="49">
        <f t="shared" ref="M25:O25" si="22">M26+M27+M29</f>
        <v>737913944.25999999</v>
      </c>
      <c r="N25" s="49">
        <f t="shared" si="22"/>
        <v>569439857.95000005</v>
      </c>
      <c r="O25" s="49">
        <f t="shared" si="22"/>
        <v>737913944.25999999</v>
      </c>
      <c r="P25" s="49">
        <f t="shared" ref="P25:U25" si="23">P26+P27+P29</f>
        <v>818153944.25999999</v>
      </c>
      <c r="Q25" s="49">
        <f t="shared" si="23"/>
        <v>918373944.25999999</v>
      </c>
      <c r="R25" s="49">
        <f t="shared" si="23"/>
        <v>931920945.54999995</v>
      </c>
      <c r="S25" s="49">
        <f t="shared" si="23"/>
        <v>960007870.69000006</v>
      </c>
      <c r="T25" s="49">
        <f t="shared" ref="T25:AW25" si="24">T26+T27+T29</f>
        <v>960227870.69000006</v>
      </c>
      <c r="U25" s="49">
        <f t="shared" si="24"/>
        <v>967690572.78999996</v>
      </c>
      <c r="V25" s="49">
        <f t="shared" si="24"/>
        <v>967910572.78999996</v>
      </c>
      <c r="W25" s="49">
        <f t="shared" si="24"/>
        <v>968130572.78999996</v>
      </c>
      <c r="X25" s="49">
        <f t="shared" si="24"/>
        <v>1068350572.79</v>
      </c>
      <c r="Y25" s="49">
        <f t="shared" si="24"/>
        <v>1068570572.79</v>
      </c>
      <c r="Z25" s="49">
        <f t="shared" si="24"/>
        <v>1096390183.5799999</v>
      </c>
      <c r="AA25" s="49">
        <f t="shared" si="24"/>
        <v>244518824</v>
      </c>
      <c r="AB25" s="49">
        <f t="shared" si="24"/>
        <v>0</v>
      </c>
      <c r="AC25" s="49">
        <f t="shared" si="24"/>
        <v>0</v>
      </c>
      <c r="AD25" s="49">
        <f t="shared" si="24"/>
        <v>0</v>
      </c>
      <c r="AE25" s="49">
        <f t="shared" si="24"/>
        <v>0</v>
      </c>
      <c r="AF25" s="49">
        <f t="shared" si="24"/>
        <v>0</v>
      </c>
      <c r="AG25" s="49">
        <f t="shared" si="24"/>
        <v>0</v>
      </c>
      <c r="AH25" s="49">
        <f t="shared" si="24"/>
        <v>0</v>
      </c>
      <c r="AI25" s="49">
        <f t="shared" si="24"/>
        <v>0</v>
      </c>
      <c r="AJ25" s="49">
        <f t="shared" si="24"/>
        <v>0</v>
      </c>
      <c r="AK25" s="49">
        <f t="shared" si="24"/>
        <v>0</v>
      </c>
      <c r="AL25" s="49">
        <f t="shared" si="24"/>
        <v>0</v>
      </c>
      <c r="AM25" s="49">
        <f t="shared" si="24"/>
        <v>0</v>
      </c>
      <c r="AN25" s="49">
        <f t="shared" si="24"/>
        <v>0</v>
      </c>
      <c r="AO25" s="49">
        <f t="shared" si="24"/>
        <v>0</v>
      </c>
      <c r="AP25" s="49">
        <f t="shared" si="24"/>
        <v>0</v>
      </c>
      <c r="AQ25" s="49">
        <f t="shared" si="24"/>
        <v>0</v>
      </c>
      <c r="AR25" s="49">
        <f t="shared" si="24"/>
        <v>0</v>
      </c>
      <c r="AS25" s="49">
        <f t="shared" si="24"/>
        <v>0</v>
      </c>
      <c r="AT25" s="49">
        <f t="shared" si="24"/>
        <v>0</v>
      </c>
      <c r="AU25" s="49">
        <f t="shared" si="24"/>
        <v>0</v>
      </c>
      <c r="AV25" s="49">
        <f t="shared" si="24"/>
        <v>0</v>
      </c>
      <c r="AW25" s="49">
        <f t="shared" si="24"/>
        <v>0</v>
      </c>
    </row>
    <row r="26" spans="1:49">
      <c r="A26" s="42" t="s">
        <v>145</v>
      </c>
      <c r="B26" s="43">
        <f>'Balance Sheet'!C8</f>
        <v>513012814.11000001</v>
      </c>
      <c r="C26" s="43">
        <f>'Balance Sheet'!D8</f>
        <v>513122814.11000001</v>
      </c>
      <c r="D26" s="43">
        <f>'Balance Sheet'!E8</f>
        <v>482049021.26999998</v>
      </c>
      <c r="E26" s="43">
        <f>'Balance Sheet'!F8</f>
        <v>482159021.26999998</v>
      </c>
      <c r="F26" s="43">
        <f>'Balance Sheet'!G8</f>
        <v>432279021.26999998</v>
      </c>
      <c r="G26" s="43">
        <f>'Balance Sheet'!H8</f>
        <v>430649021.26999998</v>
      </c>
      <c r="H26" s="43">
        <f>'Balance Sheet'!I8</f>
        <v>480759021.26999998</v>
      </c>
      <c r="I26" s="43">
        <f>'Balance Sheet'!J8</f>
        <v>480869021.26999998</v>
      </c>
      <c r="J26" s="43">
        <f>'Balance Sheet'!K8</f>
        <v>480979021.26999998</v>
      </c>
      <c r="K26" s="43">
        <f>'Balance Sheet'!L8</f>
        <v>479244021.26999998</v>
      </c>
      <c r="L26" s="43">
        <f>'Balance Sheet'!M8</f>
        <v>524021977.94999999</v>
      </c>
      <c r="M26" s="43">
        <f>'Balance Sheet'!N8</f>
        <v>530402110.47000003</v>
      </c>
      <c r="N26" s="43">
        <f>'Balance Sheet'!O8</f>
        <v>447346472.14999998</v>
      </c>
      <c r="O26" s="43">
        <f>'Balance Sheet'!P8</f>
        <v>530402110.47000003</v>
      </c>
      <c r="P26" s="43">
        <f>'Balance Sheet'!Q8</f>
        <v>610522110.47000003</v>
      </c>
      <c r="Q26" s="43">
        <f>'Balance Sheet'!R8</f>
        <v>710632110.47000003</v>
      </c>
      <c r="R26" s="43">
        <f>'Balance Sheet'!S8</f>
        <v>718587016.04999995</v>
      </c>
      <c r="S26" s="43">
        <f>'Balance Sheet'!T8</f>
        <v>726563941.19000006</v>
      </c>
      <c r="T26" s="43">
        <f>'Balance Sheet'!U8</f>
        <v>726673941.19000006</v>
      </c>
      <c r="U26" s="43">
        <f>'Balance Sheet'!V8</f>
        <v>734026643.28999996</v>
      </c>
      <c r="V26" s="43">
        <f>'Balance Sheet'!W8</f>
        <v>734136643.28999996</v>
      </c>
      <c r="W26" s="43">
        <f>'Balance Sheet'!X8</f>
        <v>734246643.28999996</v>
      </c>
      <c r="X26" s="43">
        <f>'Balance Sheet'!Y8</f>
        <v>834356643.28999996</v>
      </c>
      <c r="Y26" s="43">
        <f>'Balance Sheet'!Z8</f>
        <v>834466643.28999996</v>
      </c>
      <c r="Z26" s="43">
        <f>'Balance Sheet'!AA8</f>
        <v>862176254.08000004</v>
      </c>
      <c r="AA26" s="43">
        <f>'Balance Sheet'!AB8</f>
        <v>122325438</v>
      </c>
      <c r="AB26" s="43">
        <f>'Balance Sheet'!AC8</f>
        <v>0</v>
      </c>
      <c r="AC26" s="43">
        <f>'Balance Sheet'!AD8</f>
        <v>0</v>
      </c>
      <c r="AD26" s="43">
        <f>'Balance Sheet'!AE8</f>
        <v>0</v>
      </c>
      <c r="AE26" s="43">
        <f>'Balance Sheet'!AF8</f>
        <v>0</v>
      </c>
      <c r="AF26" s="43">
        <f>'Balance Sheet'!AG8</f>
        <v>0</v>
      </c>
      <c r="AG26" s="43">
        <f>'Balance Sheet'!AH8</f>
        <v>0</v>
      </c>
      <c r="AH26" s="43">
        <f>'Balance Sheet'!AI8</f>
        <v>0</v>
      </c>
      <c r="AI26" s="43">
        <f>'Balance Sheet'!AJ8</f>
        <v>0</v>
      </c>
      <c r="AJ26" s="43">
        <f>'Balance Sheet'!AK8</f>
        <v>0</v>
      </c>
      <c r="AK26" s="43">
        <f>'Balance Sheet'!AL8</f>
        <v>0</v>
      </c>
      <c r="AL26" s="43">
        <f>'Balance Sheet'!AM8</f>
        <v>0</v>
      </c>
      <c r="AM26" s="43">
        <f>'Balance Sheet'!AN8</f>
        <v>0</v>
      </c>
      <c r="AN26" s="43">
        <f>'Balance Sheet'!AO8</f>
        <v>0</v>
      </c>
      <c r="AO26" s="43">
        <f>'Balance Sheet'!AP8</f>
        <v>0</v>
      </c>
      <c r="AP26" s="43">
        <f>'Balance Sheet'!AQ8</f>
        <v>0</v>
      </c>
      <c r="AQ26" s="43">
        <f>'Balance Sheet'!AR8</f>
        <v>0</v>
      </c>
      <c r="AR26" s="43">
        <f>'Balance Sheet'!AS8</f>
        <v>0</v>
      </c>
      <c r="AS26" s="43">
        <f>'Balance Sheet'!AT8</f>
        <v>0</v>
      </c>
      <c r="AT26" s="43">
        <f>'Balance Sheet'!AU8</f>
        <v>0</v>
      </c>
      <c r="AU26" s="43">
        <f>'Balance Sheet'!AV8</f>
        <v>0</v>
      </c>
      <c r="AV26" s="43">
        <f>'Balance Sheet'!AW8</f>
        <v>0</v>
      </c>
      <c r="AW26" s="43">
        <f>'Balance Sheet'!AX8</f>
        <v>0</v>
      </c>
    </row>
    <row r="27" spans="1:49">
      <c r="A27" s="42" t="s">
        <v>146</v>
      </c>
      <c r="B27" s="43">
        <f>'Balance Sheet'!C11</f>
        <v>241272824.81</v>
      </c>
      <c r="C27" s="43">
        <f>'Balance Sheet'!D11</f>
        <v>241382824.81</v>
      </c>
      <c r="D27" s="43">
        <f>'Balance Sheet'!E11</f>
        <v>206304238.19999999</v>
      </c>
      <c r="E27" s="43">
        <f>'Balance Sheet'!F11</f>
        <v>206414238.19999999</v>
      </c>
      <c r="F27" s="43">
        <f>'Balance Sheet'!G11</f>
        <v>206534238.19999999</v>
      </c>
      <c r="G27" s="43">
        <f>'Balance Sheet'!H11</f>
        <v>204904238.19999999</v>
      </c>
      <c r="H27" s="43">
        <f>'Balance Sheet'!I11</f>
        <v>255014238.19999999</v>
      </c>
      <c r="I27" s="43">
        <f>'Balance Sheet'!J11</f>
        <v>255124238.19999999</v>
      </c>
      <c r="J27" s="43">
        <f>'Balance Sheet'!K11</f>
        <v>255234238.19999999</v>
      </c>
      <c r="K27" s="43">
        <f>'Balance Sheet'!L11</f>
        <v>253499238.19999999</v>
      </c>
      <c r="L27" s="43">
        <f>'Balance Sheet'!M11</f>
        <v>205449238.19999999</v>
      </c>
      <c r="M27" s="43">
        <f>'Balance Sheet'!N11</f>
        <v>207511833.78999999</v>
      </c>
      <c r="N27" s="43">
        <f>'Balance Sheet'!O11</f>
        <v>122093385.80000001</v>
      </c>
      <c r="O27" s="43">
        <f>'Balance Sheet'!P11</f>
        <v>207511833.78999999</v>
      </c>
      <c r="P27" s="43">
        <f>'Balance Sheet'!Q11</f>
        <v>207631833.78999999</v>
      </c>
      <c r="Q27" s="43">
        <f>'Balance Sheet'!R11</f>
        <v>207741833.78999999</v>
      </c>
      <c r="R27" s="43">
        <f>'Balance Sheet'!S11</f>
        <v>213333929.5</v>
      </c>
      <c r="S27" s="43">
        <f>'Balance Sheet'!T11</f>
        <v>233443929.5</v>
      </c>
      <c r="T27" s="43">
        <f>'Balance Sheet'!U11</f>
        <v>233553929.5</v>
      </c>
      <c r="U27" s="43">
        <f>'Balance Sheet'!V11</f>
        <v>233663929.5</v>
      </c>
      <c r="V27" s="43">
        <f>'Balance Sheet'!W11</f>
        <v>233773929.5</v>
      </c>
      <c r="W27" s="43">
        <f>'Balance Sheet'!X11</f>
        <v>233883929.5</v>
      </c>
      <c r="X27" s="43">
        <f>'Balance Sheet'!Y11</f>
        <v>233993929.5</v>
      </c>
      <c r="Y27" s="43">
        <f>'Balance Sheet'!Z11</f>
        <v>234103929.5</v>
      </c>
      <c r="Z27" s="43">
        <f>'Balance Sheet'!AA11</f>
        <v>234213929.5</v>
      </c>
      <c r="AA27" s="43">
        <f>'Balance Sheet'!AB11</f>
        <v>122193386</v>
      </c>
      <c r="AB27" s="43">
        <f>'Balance Sheet'!AC11</f>
        <v>0</v>
      </c>
      <c r="AC27" s="43">
        <f>'Balance Sheet'!AD11</f>
        <v>0</v>
      </c>
      <c r="AD27" s="43">
        <f>'Balance Sheet'!AE11</f>
        <v>0</v>
      </c>
      <c r="AE27" s="43">
        <f>'Balance Sheet'!AF11</f>
        <v>0</v>
      </c>
      <c r="AF27" s="43">
        <f>'Balance Sheet'!AG11</f>
        <v>0</v>
      </c>
      <c r="AG27" s="43">
        <f>'Balance Sheet'!AH11</f>
        <v>0</v>
      </c>
      <c r="AH27" s="43">
        <f>'Balance Sheet'!AI11</f>
        <v>0</v>
      </c>
      <c r="AI27" s="43">
        <f>'Balance Sheet'!AJ11</f>
        <v>0</v>
      </c>
      <c r="AJ27" s="43">
        <f>'Balance Sheet'!AK11</f>
        <v>0</v>
      </c>
      <c r="AK27" s="43">
        <f>'Balance Sheet'!AL11</f>
        <v>0</v>
      </c>
      <c r="AL27" s="43">
        <f>'Balance Sheet'!AM11</f>
        <v>0</v>
      </c>
      <c r="AM27" s="43">
        <f>'Balance Sheet'!AN11</f>
        <v>0</v>
      </c>
      <c r="AN27" s="43">
        <f>'Balance Sheet'!AO11</f>
        <v>0</v>
      </c>
      <c r="AO27" s="43">
        <f>'Balance Sheet'!AP11</f>
        <v>0</v>
      </c>
      <c r="AP27" s="43">
        <f>'Balance Sheet'!AQ11</f>
        <v>0</v>
      </c>
      <c r="AQ27" s="43">
        <f>'Balance Sheet'!AR11</f>
        <v>0</v>
      </c>
      <c r="AR27" s="43">
        <f>'Balance Sheet'!AS11</f>
        <v>0</v>
      </c>
      <c r="AS27" s="43">
        <f>'Balance Sheet'!AT11</f>
        <v>0</v>
      </c>
      <c r="AT27" s="43">
        <f>'Balance Sheet'!AU11</f>
        <v>0</v>
      </c>
      <c r="AU27" s="43">
        <f>'Balance Sheet'!AV11</f>
        <v>0</v>
      </c>
      <c r="AV27" s="43">
        <f>'Balance Sheet'!AW11</f>
        <v>0</v>
      </c>
      <c r="AW27" s="43">
        <f>'Balance Sheet'!AX11</f>
        <v>0</v>
      </c>
    </row>
    <row r="28" spans="1:49">
      <c r="A28" s="42" t="s">
        <v>147</v>
      </c>
      <c r="B28" s="43">
        <f>'Balance Sheet'!C12</f>
        <v>271739989.30000001</v>
      </c>
      <c r="C28" s="43">
        <f>'Balance Sheet'!D12</f>
        <v>271739989.30000001</v>
      </c>
      <c r="D28" s="43">
        <f>'Balance Sheet'!E12</f>
        <v>275744783.06999999</v>
      </c>
      <c r="E28" s="43">
        <f>'Balance Sheet'!F12</f>
        <v>275744783.06999999</v>
      </c>
      <c r="F28" s="43">
        <f>'Balance Sheet'!G12</f>
        <v>225744783.06999999</v>
      </c>
      <c r="G28" s="43">
        <f>'Balance Sheet'!H12</f>
        <v>225744783.06999999</v>
      </c>
      <c r="H28" s="43">
        <f>'Balance Sheet'!I12</f>
        <v>225744783.06999999</v>
      </c>
      <c r="I28" s="43">
        <f>'Balance Sheet'!J9</f>
        <v>0</v>
      </c>
      <c r="J28" s="43">
        <f>'Balance Sheet'!K9</f>
        <v>0</v>
      </c>
      <c r="K28" s="43">
        <f>'Balance Sheet'!L9</f>
        <v>0</v>
      </c>
      <c r="L28" s="43">
        <f>'Balance Sheet'!M9</f>
        <v>0</v>
      </c>
      <c r="M28" s="43">
        <f>'Balance Sheet'!N9</f>
        <v>0</v>
      </c>
      <c r="N28" s="43">
        <f>'Balance Sheet'!O9</f>
        <v>0</v>
      </c>
      <c r="O28" s="43">
        <f>'Balance Sheet'!P9</f>
        <v>0</v>
      </c>
      <c r="P28" s="43">
        <f>'Balance Sheet'!Q9</f>
        <v>0</v>
      </c>
      <c r="Q28" s="43">
        <f>'Balance Sheet'!R9</f>
        <v>0</v>
      </c>
      <c r="R28" s="43">
        <f>'Balance Sheet'!S9</f>
        <v>0</v>
      </c>
      <c r="S28" s="43">
        <f>'Balance Sheet'!T9</f>
        <v>0</v>
      </c>
      <c r="T28" s="43">
        <f>'Balance Sheet'!U9</f>
        <v>0</v>
      </c>
      <c r="U28" s="43">
        <f>'Balance Sheet'!V9</f>
        <v>0</v>
      </c>
      <c r="V28" s="43">
        <f>'Balance Sheet'!W9</f>
        <v>0</v>
      </c>
      <c r="W28" s="43">
        <f>'Balance Sheet'!X9</f>
        <v>0</v>
      </c>
      <c r="X28" s="43">
        <f>'Balance Sheet'!Y9</f>
        <v>0</v>
      </c>
      <c r="Y28" s="43">
        <f>'Balance Sheet'!Z9</f>
        <v>0</v>
      </c>
      <c r="Z28" s="43">
        <f>'Balance Sheet'!AA9</f>
        <v>0</v>
      </c>
      <c r="AA28" s="43">
        <f>'Balance Sheet'!AB9</f>
        <v>0</v>
      </c>
      <c r="AB28" s="43">
        <f>'Balance Sheet'!AC9</f>
        <v>0</v>
      </c>
      <c r="AC28" s="43">
        <f>'Balance Sheet'!AD9</f>
        <v>0</v>
      </c>
      <c r="AD28" s="43">
        <f>'Balance Sheet'!AE9</f>
        <v>0</v>
      </c>
      <c r="AE28" s="43">
        <f>'Balance Sheet'!AF9</f>
        <v>0</v>
      </c>
      <c r="AF28" s="43">
        <f>'Balance Sheet'!AG9</f>
        <v>0</v>
      </c>
      <c r="AG28" s="43">
        <f>'Balance Sheet'!AH9</f>
        <v>0</v>
      </c>
      <c r="AH28" s="43">
        <f>'Balance Sheet'!AI9</f>
        <v>0</v>
      </c>
      <c r="AI28" s="43">
        <f>'Balance Sheet'!AJ9</f>
        <v>0</v>
      </c>
      <c r="AJ28" s="43">
        <f>'Balance Sheet'!AK9</f>
        <v>0</v>
      </c>
      <c r="AK28" s="43">
        <f>'Balance Sheet'!AL9</f>
        <v>0</v>
      </c>
      <c r="AL28" s="43">
        <f>'Balance Sheet'!AM9</f>
        <v>0</v>
      </c>
      <c r="AM28" s="43">
        <f>'Balance Sheet'!AN9</f>
        <v>0</v>
      </c>
      <c r="AN28" s="43">
        <f>'Balance Sheet'!AO9</f>
        <v>0</v>
      </c>
      <c r="AO28" s="43">
        <f>'Balance Sheet'!AP9</f>
        <v>0</v>
      </c>
      <c r="AP28" s="43">
        <f>'Balance Sheet'!AQ9</f>
        <v>0</v>
      </c>
      <c r="AQ28" s="43">
        <f>'Balance Sheet'!AR9</f>
        <v>0</v>
      </c>
      <c r="AR28" s="43">
        <f>'Balance Sheet'!AS9</f>
        <v>0</v>
      </c>
      <c r="AS28" s="43">
        <f>'Balance Sheet'!AT9</f>
        <v>0</v>
      </c>
      <c r="AT28" s="43">
        <f>'Balance Sheet'!AU9</f>
        <v>0</v>
      </c>
      <c r="AU28" s="43">
        <f>'Balance Sheet'!AV9</f>
        <v>0</v>
      </c>
      <c r="AV28" s="43">
        <f>'Balance Sheet'!AW9</f>
        <v>0</v>
      </c>
      <c r="AW28" s="43">
        <f>'Balance Sheet'!AX9</f>
        <v>0</v>
      </c>
    </row>
    <row r="29" spans="1:49">
      <c r="A29" s="42" t="s">
        <v>148</v>
      </c>
      <c r="B29" s="43">
        <f>'Balance Sheet'!C10</f>
        <v>0</v>
      </c>
      <c r="C29" s="43">
        <f>'Balance Sheet'!D10</f>
        <v>0</v>
      </c>
      <c r="D29" s="43">
        <f>'Balance Sheet'!E10</f>
        <v>0</v>
      </c>
      <c r="E29" s="43">
        <f>'Balance Sheet'!F10</f>
        <v>0</v>
      </c>
      <c r="F29" s="43">
        <f>'Balance Sheet'!G10</f>
        <v>0</v>
      </c>
      <c r="G29" s="43">
        <f>'Balance Sheet'!H10</f>
        <v>0</v>
      </c>
      <c r="H29" s="43">
        <f>'Balance Sheet'!I10</f>
        <v>0</v>
      </c>
      <c r="I29" s="43">
        <f>'Balance Sheet'!J10</f>
        <v>0</v>
      </c>
      <c r="J29" s="43">
        <f>'Balance Sheet'!K10</f>
        <v>0</v>
      </c>
      <c r="K29" s="43">
        <f>'Balance Sheet'!L10</f>
        <v>0</v>
      </c>
      <c r="L29" s="43">
        <f>'Balance Sheet'!M10</f>
        <v>0</v>
      </c>
      <c r="M29" s="43">
        <f>'Balance Sheet'!N10</f>
        <v>0</v>
      </c>
      <c r="N29" s="43">
        <f>'Balance Sheet'!O10</f>
        <v>0</v>
      </c>
      <c r="O29" s="43">
        <f>'Balance Sheet'!P10</f>
        <v>0</v>
      </c>
      <c r="P29" s="43">
        <f>'Balance Sheet'!Q10</f>
        <v>0</v>
      </c>
      <c r="Q29" s="43">
        <f>'Balance Sheet'!R10</f>
        <v>0</v>
      </c>
      <c r="R29" s="43">
        <f>'Balance Sheet'!S10</f>
        <v>0</v>
      </c>
      <c r="S29" s="43">
        <f>'Balance Sheet'!T10</f>
        <v>0</v>
      </c>
      <c r="T29" s="43">
        <f>'Balance Sheet'!U10</f>
        <v>0</v>
      </c>
      <c r="U29" s="43">
        <f>'Balance Sheet'!V10</f>
        <v>0</v>
      </c>
      <c r="V29" s="43">
        <f>'Balance Sheet'!W10</f>
        <v>0</v>
      </c>
      <c r="W29" s="43">
        <f>'Balance Sheet'!X10</f>
        <v>0</v>
      </c>
      <c r="X29" s="43">
        <f>'Balance Sheet'!Y10</f>
        <v>0</v>
      </c>
      <c r="Y29" s="43">
        <f>'Balance Sheet'!Z10</f>
        <v>0</v>
      </c>
      <c r="Z29" s="43">
        <f>'Balance Sheet'!AA10</f>
        <v>0</v>
      </c>
      <c r="AA29" s="43">
        <f>'Balance Sheet'!AB10</f>
        <v>0</v>
      </c>
      <c r="AB29" s="43">
        <f>'Balance Sheet'!AC10</f>
        <v>0</v>
      </c>
      <c r="AC29" s="43">
        <f>'Balance Sheet'!AD10</f>
        <v>0</v>
      </c>
      <c r="AD29" s="43">
        <f>'Balance Sheet'!AE10</f>
        <v>0</v>
      </c>
      <c r="AE29" s="43">
        <f>'Balance Sheet'!AF10</f>
        <v>0</v>
      </c>
      <c r="AF29" s="43">
        <f>'Balance Sheet'!AG10</f>
        <v>0</v>
      </c>
      <c r="AG29" s="43">
        <f>'Balance Sheet'!AH10</f>
        <v>0</v>
      </c>
      <c r="AH29" s="43">
        <f>'Balance Sheet'!AI10</f>
        <v>0</v>
      </c>
      <c r="AI29" s="43">
        <f>'Balance Sheet'!AJ10</f>
        <v>0</v>
      </c>
      <c r="AJ29" s="43">
        <f>'Balance Sheet'!AK10</f>
        <v>0</v>
      </c>
      <c r="AK29" s="43">
        <f>'Balance Sheet'!AL10</f>
        <v>0</v>
      </c>
      <c r="AL29" s="43">
        <f>'Balance Sheet'!AM10</f>
        <v>0</v>
      </c>
      <c r="AM29" s="43">
        <f>'Balance Sheet'!AN10</f>
        <v>0</v>
      </c>
      <c r="AN29" s="43">
        <f>'Balance Sheet'!AO10</f>
        <v>0</v>
      </c>
      <c r="AO29" s="43">
        <f>'Balance Sheet'!AP10</f>
        <v>0</v>
      </c>
      <c r="AP29" s="43">
        <f>'Balance Sheet'!AQ10</f>
        <v>0</v>
      </c>
      <c r="AQ29" s="43">
        <f>'Balance Sheet'!AR10</f>
        <v>0</v>
      </c>
      <c r="AR29" s="43">
        <f>'Balance Sheet'!AS10</f>
        <v>0</v>
      </c>
      <c r="AS29" s="43">
        <f>'Balance Sheet'!AT10</f>
        <v>0</v>
      </c>
      <c r="AT29" s="43">
        <f>'Balance Sheet'!AU10</f>
        <v>0</v>
      </c>
      <c r="AU29" s="43">
        <f>'Balance Sheet'!AV10</f>
        <v>0</v>
      </c>
      <c r="AV29" s="43">
        <f>'Balance Sheet'!AW10</f>
        <v>0</v>
      </c>
      <c r="AW29" s="43">
        <f>'Balance Sheet'!AX10</f>
        <v>0</v>
      </c>
    </row>
    <row r="30" spans="1:49">
      <c r="A30" s="44" t="s">
        <v>149</v>
      </c>
      <c r="B30" s="49">
        <f t="shared" ref="B30:L30" si="25">B31-B32</f>
        <v>3888388917.27</v>
      </c>
      <c r="C30" s="49">
        <f t="shared" si="25"/>
        <v>3932895659.5900002</v>
      </c>
      <c r="D30" s="49">
        <f t="shared" si="25"/>
        <v>3967706099.21</v>
      </c>
      <c r="E30" s="49">
        <f t="shared" si="25"/>
        <v>3892841983.3800001</v>
      </c>
      <c r="F30" s="49">
        <f t="shared" si="25"/>
        <v>3937943195.71</v>
      </c>
      <c r="G30" s="49">
        <f t="shared" si="25"/>
        <v>3933550042.4000001</v>
      </c>
      <c r="H30" s="49">
        <f t="shared" ref="H30" si="26">H31-H32</f>
        <v>4003291493.77</v>
      </c>
      <c r="I30" s="49">
        <f t="shared" si="25"/>
        <v>4041633811.1100001</v>
      </c>
      <c r="J30" s="49">
        <f t="shared" si="25"/>
        <v>4049949460.0999999</v>
      </c>
      <c r="K30" s="49">
        <f t="shared" si="25"/>
        <v>4097479887.9799995</v>
      </c>
      <c r="L30" s="49">
        <f t="shared" si="25"/>
        <v>4129949025.04</v>
      </c>
      <c r="M30" s="49">
        <f t="shared" ref="M30:O30" si="27">M31-M32</f>
        <v>4073378716.2799997</v>
      </c>
      <c r="N30" s="49">
        <f t="shared" si="27"/>
        <v>4033520922.3900003</v>
      </c>
      <c r="O30" s="49">
        <f t="shared" si="27"/>
        <v>4099713333.2299995</v>
      </c>
      <c r="P30" s="49">
        <f t="shared" ref="P30:U30" si="28">P31-P32</f>
        <v>4109927628.8599997</v>
      </c>
      <c r="Q30" s="49">
        <f t="shared" si="28"/>
        <v>4118524635.9099998</v>
      </c>
      <c r="R30" s="49">
        <f t="shared" si="28"/>
        <v>3987499345.5799999</v>
      </c>
      <c r="S30" s="49">
        <f t="shared" si="28"/>
        <v>4045298662.5500002</v>
      </c>
      <c r="T30" s="49">
        <f t="shared" ref="T30:AW30" si="29">T31-T32</f>
        <v>4036920969.7799997</v>
      </c>
      <c r="U30" s="49">
        <f t="shared" si="29"/>
        <v>4059922371.6899996</v>
      </c>
      <c r="V30" s="49">
        <f t="shared" si="29"/>
        <v>4054394459.6200004</v>
      </c>
      <c r="W30" s="49">
        <f t="shared" si="29"/>
        <v>4043233231.0799994</v>
      </c>
      <c r="X30" s="49">
        <f t="shared" si="29"/>
        <v>4103751435.1799998</v>
      </c>
      <c r="Y30" s="49">
        <f t="shared" si="29"/>
        <v>4114773659.0099998</v>
      </c>
      <c r="Z30" s="49">
        <f t="shared" si="29"/>
        <v>3971591617.48</v>
      </c>
      <c r="AA30" s="49">
        <f t="shared" si="29"/>
        <v>3971733824</v>
      </c>
      <c r="AB30" s="49">
        <f t="shared" si="29"/>
        <v>0</v>
      </c>
      <c r="AC30" s="49">
        <f t="shared" si="29"/>
        <v>0</v>
      </c>
      <c r="AD30" s="49">
        <f t="shared" si="29"/>
        <v>0</v>
      </c>
      <c r="AE30" s="49">
        <f t="shared" si="29"/>
        <v>0</v>
      </c>
      <c r="AF30" s="49">
        <f t="shared" si="29"/>
        <v>0</v>
      </c>
      <c r="AG30" s="49">
        <f t="shared" si="29"/>
        <v>0</v>
      </c>
      <c r="AH30" s="49">
        <f t="shared" si="29"/>
        <v>0</v>
      </c>
      <c r="AI30" s="49">
        <f t="shared" si="29"/>
        <v>0</v>
      </c>
      <c r="AJ30" s="49">
        <f t="shared" si="29"/>
        <v>0</v>
      </c>
      <c r="AK30" s="49">
        <f t="shared" si="29"/>
        <v>0</v>
      </c>
      <c r="AL30" s="49">
        <f t="shared" si="29"/>
        <v>0</v>
      </c>
      <c r="AM30" s="49">
        <f t="shared" si="29"/>
        <v>0</v>
      </c>
      <c r="AN30" s="49">
        <f t="shared" si="29"/>
        <v>0</v>
      </c>
      <c r="AO30" s="49">
        <f t="shared" si="29"/>
        <v>0</v>
      </c>
      <c r="AP30" s="49">
        <f t="shared" si="29"/>
        <v>0</v>
      </c>
      <c r="AQ30" s="49">
        <f t="shared" si="29"/>
        <v>0</v>
      </c>
      <c r="AR30" s="49">
        <f t="shared" si="29"/>
        <v>0</v>
      </c>
      <c r="AS30" s="49">
        <f t="shared" si="29"/>
        <v>0</v>
      </c>
      <c r="AT30" s="49">
        <f t="shared" si="29"/>
        <v>0</v>
      </c>
      <c r="AU30" s="49">
        <f t="shared" si="29"/>
        <v>0</v>
      </c>
      <c r="AV30" s="49">
        <f t="shared" si="29"/>
        <v>0</v>
      </c>
      <c r="AW30" s="49">
        <f t="shared" si="29"/>
        <v>0</v>
      </c>
    </row>
    <row r="31" spans="1:49">
      <c r="A31" s="42" t="s">
        <v>150</v>
      </c>
      <c r="B31" s="43">
        <f>'Balance Sheet'!C14</f>
        <v>4122915018.73</v>
      </c>
      <c r="C31" s="43">
        <f>'Balance Sheet'!D14</f>
        <v>4167421761.0500002</v>
      </c>
      <c r="D31" s="43">
        <f>'Balance Sheet'!E14</f>
        <v>4202232200.6700001</v>
      </c>
      <c r="E31" s="43">
        <f>'Balance Sheet'!F14</f>
        <v>4127368084.8400002</v>
      </c>
      <c r="F31" s="43">
        <f>'Balance Sheet'!G14</f>
        <v>4172469297.1700001</v>
      </c>
      <c r="G31" s="43">
        <f>'Balance Sheet'!H14</f>
        <v>4168076143.8600001</v>
      </c>
      <c r="H31" s="43">
        <f>'Balance Sheet'!I14</f>
        <v>4237817595.23</v>
      </c>
      <c r="I31" s="43">
        <f>'Balance Sheet'!J14</f>
        <v>4276159912.5700002</v>
      </c>
      <c r="J31" s="43">
        <f>'Balance Sheet'!K14</f>
        <v>4284475561.5599999</v>
      </c>
      <c r="K31" s="43">
        <f>'Balance Sheet'!L14</f>
        <v>4332005989.4399996</v>
      </c>
      <c r="L31" s="43">
        <f>'Balance Sheet'!M14</f>
        <v>4364475126.5</v>
      </c>
      <c r="M31" s="43">
        <f>'Balance Sheet'!N14</f>
        <v>4317904817.7399998</v>
      </c>
      <c r="N31" s="43">
        <f>'Balance Sheet'!O14</f>
        <v>4318047023.9200001</v>
      </c>
      <c r="O31" s="43">
        <f>'Balance Sheet'!P14</f>
        <v>4344239434.6899996</v>
      </c>
      <c r="P31" s="43">
        <f>'Balance Sheet'!Q14</f>
        <v>4354453730.3199997</v>
      </c>
      <c r="Q31" s="43">
        <f>'Balance Sheet'!R14</f>
        <v>4363050737.3699999</v>
      </c>
      <c r="R31" s="43">
        <f>'Balance Sheet'!S14</f>
        <v>4292808322.04</v>
      </c>
      <c r="S31" s="43">
        <f>'Balance Sheet'!T14</f>
        <v>4350607639.0100002</v>
      </c>
      <c r="T31" s="43">
        <f>'Balance Sheet'!U14</f>
        <v>4342229946.2399998</v>
      </c>
      <c r="U31" s="43">
        <f>'Balance Sheet'!V14</f>
        <v>4365231348.1499996</v>
      </c>
      <c r="V31" s="43">
        <f>'Balance Sheet'!W14</f>
        <v>4359004855.5200005</v>
      </c>
      <c r="W31" s="43">
        <f>'Balance Sheet'!X14</f>
        <v>4347843626.9799995</v>
      </c>
      <c r="X31" s="43">
        <f>'Balance Sheet'!Y14</f>
        <v>4408361831.0799999</v>
      </c>
      <c r="Y31" s="43">
        <f>'Balance Sheet'!Z14</f>
        <v>4419384054.9099998</v>
      </c>
      <c r="Z31" s="43">
        <f>'Balance Sheet'!AA14</f>
        <v>3992286971.21</v>
      </c>
      <c r="AA31" s="43">
        <f>'Balance Sheet'!AB14</f>
        <v>3992429178</v>
      </c>
      <c r="AB31" s="43">
        <f>'Balance Sheet'!AC14</f>
        <v>0</v>
      </c>
      <c r="AC31" s="43">
        <f>'Balance Sheet'!AD14</f>
        <v>0</v>
      </c>
      <c r="AD31" s="43">
        <f>'Balance Sheet'!AE14</f>
        <v>0</v>
      </c>
      <c r="AE31" s="43">
        <f>'Balance Sheet'!AF14</f>
        <v>0</v>
      </c>
      <c r="AF31" s="43">
        <f>'Balance Sheet'!AG14</f>
        <v>0</v>
      </c>
      <c r="AG31" s="43">
        <f>'Balance Sheet'!AH14</f>
        <v>0</v>
      </c>
      <c r="AH31" s="43">
        <f>'Balance Sheet'!AI14</f>
        <v>0</v>
      </c>
      <c r="AI31" s="43">
        <f>'Balance Sheet'!AJ14</f>
        <v>0</v>
      </c>
      <c r="AJ31" s="43">
        <f>'Balance Sheet'!AK14</f>
        <v>0</v>
      </c>
      <c r="AK31" s="43">
        <f>'Balance Sheet'!AL14</f>
        <v>0</v>
      </c>
      <c r="AL31" s="43">
        <f>'Balance Sheet'!AM14</f>
        <v>0</v>
      </c>
      <c r="AM31" s="43">
        <f>'Balance Sheet'!AN14</f>
        <v>0</v>
      </c>
      <c r="AN31" s="43">
        <f>'Balance Sheet'!AO14</f>
        <v>0</v>
      </c>
      <c r="AO31" s="43">
        <f>'Balance Sheet'!AP14</f>
        <v>0</v>
      </c>
      <c r="AP31" s="43">
        <f>'Balance Sheet'!AQ14</f>
        <v>0</v>
      </c>
      <c r="AQ31" s="43">
        <f>'Balance Sheet'!AR14</f>
        <v>0</v>
      </c>
      <c r="AR31" s="43">
        <f>'Balance Sheet'!AS14</f>
        <v>0</v>
      </c>
      <c r="AS31" s="43">
        <f>'Balance Sheet'!AT14</f>
        <v>0</v>
      </c>
      <c r="AT31" s="43">
        <f>'Balance Sheet'!AU14</f>
        <v>0</v>
      </c>
      <c r="AU31" s="43">
        <f>'Balance Sheet'!AV14</f>
        <v>0</v>
      </c>
      <c r="AV31" s="43">
        <f>'Balance Sheet'!AW14</f>
        <v>0</v>
      </c>
      <c r="AW31" s="43">
        <f>'Balance Sheet'!AX14</f>
        <v>0</v>
      </c>
    </row>
    <row r="32" spans="1:49">
      <c r="A32" s="42" t="s">
        <v>151</v>
      </c>
      <c r="B32" s="43">
        <f>'Balance Sheet'!C15</f>
        <v>234526101.46000001</v>
      </c>
      <c r="C32" s="43">
        <f>'Balance Sheet'!D15</f>
        <v>234526101.46000001</v>
      </c>
      <c r="D32" s="43">
        <f>'Balance Sheet'!E15</f>
        <v>234526101.46000001</v>
      </c>
      <c r="E32" s="43">
        <f>'Balance Sheet'!F15</f>
        <v>234526101.46000001</v>
      </c>
      <c r="F32" s="43">
        <f>'Balance Sheet'!G15</f>
        <v>234526101.46000001</v>
      </c>
      <c r="G32" s="43">
        <f>'Balance Sheet'!H15</f>
        <v>234526101.46000001</v>
      </c>
      <c r="H32" s="43">
        <f>'Balance Sheet'!I15</f>
        <v>234526101.46000001</v>
      </c>
      <c r="I32" s="43">
        <f>'Balance Sheet'!J15</f>
        <v>234526101.46000001</v>
      </c>
      <c r="J32" s="43">
        <f>'Balance Sheet'!K15</f>
        <v>234526101.46000001</v>
      </c>
      <c r="K32" s="43">
        <f>'Balance Sheet'!L15</f>
        <v>234526101.46000001</v>
      </c>
      <c r="L32" s="43">
        <f>'Balance Sheet'!M15</f>
        <v>234526101.46000001</v>
      </c>
      <c r="M32" s="43">
        <f>'Balance Sheet'!N15</f>
        <v>244526101.46000001</v>
      </c>
      <c r="N32" s="43">
        <f>'Balance Sheet'!O15</f>
        <v>284526101.52999997</v>
      </c>
      <c r="O32" s="43">
        <f>'Balance Sheet'!P15</f>
        <v>244526101.46000001</v>
      </c>
      <c r="P32" s="43">
        <f>'Balance Sheet'!Q15</f>
        <v>244526101.46000001</v>
      </c>
      <c r="Q32" s="43">
        <f>'Balance Sheet'!R15</f>
        <v>244526101.46000001</v>
      </c>
      <c r="R32" s="43">
        <f>'Balance Sheet'!S15</f>
        <v>305308976.45999998</v>
      </c>
      <c r="S32" s="43">
        <f>'Balance Sheet'!T15</f>
        <v>305308976.45999998</v>
      </c>
      <c r="T32" s="43">
        <f>'Balance Sheet'!U15</f>
        <v>305308976.45999998</v>
      </c>
      <c r="U32" s="43">
        <f>'Balance Sheet'!V15</f>
        <v>305308976.45999998</v>
      </c>
      <c r="V32" s="43">
        <f>'Balance Sheet'!W15</f>
        <v>304610395.89999998</v>
      </c>
      <c r="W32" s="43">
        <f>'Balance Sheet'!X15</f>
        <v>304610395.89999998</v>
      </c>
      <c r="X32" s="43">
        <f>'Balance Sheet'!Y15</f>
        <v>304610395.89999998</v>
      </c>
      <c r="Y32" s="43">
        <f>'Balance Sheet'!Z15</f>
        <v>304610395.89999998</v>
      </c>
      <c r="Z32" s="43">
        <f>'Balance Sheet'!AA15</f>
        <v>20695353.73</v>
      </c>
      <c r="AA32" s="43">
        <f>'Balance Sheet'!AB15</f>
        <v>20695354</v>
      </c>
      <c r="AB32" s="43">
        <f>'Balance Sheet'!AC15</f>
        <v>0</v>
      </c>
      <c r="AC32" s="43">
        <f>'Balance Sheet'!AD15</f>
        <v>0</v>
      </c>
      <c r="AD32" s="43">
        <f>'Balance Sheet'!AE15</f>
        <v>0</v>
      </c>
      <c r="AE32" s="43">
        <f>'Balance Sheet'!AF15</f>
        <v>0</v>
      </c>
      <c r="AF32" s="43">
        <f>'Balance Sheet'!AG15</f>
        <v>0</v>
      </c>
      <c r="AG32" s="43">
        <f>'Balance Sheet'!AH15</f>
        <v>0</v>
      </c>
      <c r="AH32" s="43">
        <f>'Balance Sheet'!AI15</f>
        <v>0</v>
      </c>
      <c r="AI32" s="43">
        <f>'Balance Sheet'!AJ15</f>
        <v>0</v>
      </c>
      <c r="AJ32" s="43">
        <f>'Balance Sheet'!AK15</f>
        <v>0</v>
      </c>
      <c r="AK32" s="43">
        <f>'Balance Sheet'!AL15</f>
        <v>0</v>
      </c>
      <c r="AL32" s="43">
        <f>'Balance Sheet'!AM15</f>
        <v>0</v>
      </c>
      <c r="AM32" s="43">
        <f>'Balance Sheet'!AN15</f>
        <v>0</v>
      </c>
      <c r="AN32" s="43">
        <f>'Balance Sheet'!AO15</f>
        <v>0</v>
      </c>
      <c r="AO32" s="43">
        <f>'Balance Sheet'!AP15</f>
        <v>0</v>
      </c>
      <c r="AP32" s="43">
        <f>'Balance Sheet'!AQ15</f>
        <v>0</v>
      </c>
      <c r="AQ32" s="43">
        <f>'Balance Sheet'!AR15</f>
        <v>0</v>
      </c>
      <c r="AR32" s="43">
        <f>'Balance Sheet'!AS15</f>
        <v>0</v>
      </c>
      <c r="AS32" s="43">
        <f>'Balance Sheet'!AT15</f>
        <v>0</v>
      </c>
      <c r="AT32" s="43">
        <f>'Balance Sheet'!AU15</f>
        <v>0</v>
      </c>
      <c r="AU32" s="43">
        <f>'Balance Sheet'!AV15</f>
        <v>0</v>
      </c>
      <c r="AV32" s="43">
        <f>'Balance Sheet'!AW15</f>
        <v>0</v>
      </c>
      <c r="AW32" s="43">
        <f>'Balance Sheet'!AX15</f>
        <v>0</v>
      </c>
    </row>
    <row r="33" spans="1:49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</row>
    <row r="34" spans="1:49">
      <c r="A34" s="42" t="s">
        <v>152</v>
      </c>
      <c r="B34" s="43">
        <f>'Balance Sheet'!C6+'Balance Sheet'!C15+'Balance Sheet'!C19</f>
        <v>338636871.55000001</v>
      </c>
      <c r="C34" s="43">
        <f>'Balance Sheet'!D6+'Balance Sheet'!D15+'Balance Sheet'!D19</f>
        <v>317524419.30000001</v>
      </c>
      <c r="D34" s="43">
        <f>'Balance Sheet'!E6+'Balance Sheet'!E15+'Balance Sheet'!E19</f>
        <v>336340016.87</v>
      </c>
      <c r="E34" s="43">
        <f>'Balance Sheet'!F6+'Balance Sheet'!F15+'Balance Sheet'!F19</f>
        <v>274653061.74000001</v>
      </c>
      <c r="F34" s="43">
        <f>'Balance Sheet'!G6+'Balance Sheet'!G15+'Balance Sheet'!G19</f>
        <v>318005882.00999999</v>
      </c>
      <c r="G34" s="43">
        <f>'Balance Sheet'!H6+'Balance Sheet'!H15+'Balance Sheet'!H19</f>
        <v>411430707.96000004</v>
      </c>
      <c r="H34" s="43">
        <f>'Balance Sheet'!I6+'Balance Sheet'!I15+'Balance Sheet'!I19</f>
        <v>306966307.19</v>
      </c>
      <c r="I34" s="43">
        <f>'Balance Sheet'!J6+'Balance Sheet'!J15+'Balance Sheet'!J19</f>
        <v>342799209.10000002</v>
      </c>
      <c r="J34" s="43">
        <f>'Balance Sheet'!K6+'Balance Sheet'!K15+'Balance Sheet'!K19</f>
        <v>392675399.73000002</v>
      </c>
      <c r="K34" s="43">
        <f>'Balance Sheet'!L6+'Balance Sheet'!L15+'Balance Sheet'!L19</f>
        <v>416313962.59000003</v>
      </c>
      <c r="L34" s="43">
        <f>'Balance Sheet'!M6+'Balance Sheet'!M15+'Balance Sheet'!M19</f>
        <v>419679448.07000005</v>
      </c>
      <c r="M34" s="43">
        <f>'Balance Sheet'!N6+'Balance Sheet'!N15+'Balance Sheet'!N19</f>
        <v>564811952.23000002</v>
      </c>
      <c r="N34" s="43">
        <f>'Balance Sheet'!O6+'Balance Sheet'!O15+'Balance Sheet'!O19</f>
        <v>735485217.21999979</v>
      </c>
      <c r="O34" s="43">
        <f>'Balance Sheet'!P6+'Balance Sheet'!P15+'Balance Sheet'!P19</f>
        <v>594810677.89999998</v>
      </c>
      <c r="P34" s="43">
        <f>'Balance Sheet'!Q6+'Balance Sheet'!Q15+'Balance Sheet'!Q19</f>
        <v>520261406.26999998</v>
      </c>
      <c r="Q34" s="43">
        <f>'Balance Sheet'!R6+'Balance Sheet'!R15+'Balance Sheet'!R19</f>
        <v>482294959.34000003</v>
      </c>
      <c r="R34" s="43">
        <f>'Balance Sheet'!S6+'Balance Sheet'!S15+'Balance Sheet'!S19</f>
        <v>396680276.02999997</v>
      </c>
      <c r="S34" s="43">
        <f>'Balance Sheet'!T6+'Balance Sheet'!T15+'Balance Sheet'!T19</f>
        <v>451730323.90999997</v>
      </c>
      <c r="T34" s="43">
        <f>'Balance Sheet'!U6+'Balance Sheet'!U15+'Balance Sheet'!U19</f>
        <v>505662777.68999994</v>
      </c>
      <c r="U34" s="43">
        <f>'Balance Sheet'!V6+'Balance Sheet'!V15+'Balance Sheet'!V19</f>
        <v>478079265.83999997</v>
      </c>
      <c r="V34" s="43">
        <f>'Balance Sheet'!W6+'Balance Sheet'!W15+'Balance Sheet'!W19</f>
        <v>496030381.13</v>
      </c>
      <c r="W34" s="43">
        <f>'Balance Sheet'!X6+'Balance Sheet'!X15+'Balance Sheet'!X19</f>
        <v>578299280.8499999</v>
      </c>
      <c r="X34" s="43">
        <f>'Balance Sheet'!Y6+'Balance Sheet'!Y15+'Balance Sheet'!Y19</f>
        <v>476969735.01999998</v>
      </c>
      <c r="Y34" s="43">
        <f>'Balance Sheet'!Z6+'Balance Sheet'!Z15+'Balance Sheet'!Z19</f>
        <v>475616734.43999994</v>
      </c>
      <c r="Z34" s="43">
        <f>'Balance Sheet'!AA6+'Balance Sheet'!AA15+'Balance Sheet'!AA19</f>
        <v>189034654.38999999</v>
      </c>
      <c r="AA34" s="43">
        <f>'Balance Sheet'!AB6+'Balance Sheet'!AB15+'Balance Sheet'!AB19</f>
        <v>979327331</v>
      </c>
      <c r="AB34" s="43">
        <f>'Balance Sheet'!AC6+'Balance Sheet'!AC15+'Balance Sheet'!AC19</f>
        <v>0</v>
      </c>
      <c r="AC34" s="43">
        <f>'Balance Sheet'!AD6+'Balance Sheet'!AD15+'Balance Sheet'!AD19</f>
        <v>0</v>
      </c>
      <c r="AD34" s="43">
        <f>'Balance Sheet'!AE6+'Balance Sheet'!AE15+'Balance Sheet'!AE19</f>
        <v>0</v>
      </c>
      <c r="AE34" s="43">
        <f>'Balance Sheet'!AF6+'Balance Sheet'!AF15+'Balance Sheet'!AF19</f>
        <v>0</v>
      </c>
      <c r="AF34" s="43">
        <f>'Balance Sheet'!AG6+'Balance Sheet'!AG15+'Balance Sheet'!AG19</f>
        <v>0</v>
      </c>
      <c r="AG34" s="43">
        <f>'Balance Sheet'!AH6+'Balance Sheet'!AH15+'Balance Sheet'!AH19</f>
        <v>0</v>
      </c>
      <c r="AH34" s="43">
        <f>'Balance Sheet'!AI6+'Balance Sheet'!AI15+'Balance Sheet'!AI19</f>
        <v>0</v>
      </c>
      <c r="AI34" s="43">
        <f>'Balance Sheet'!AJ6+'Balance Sheet'!AJ15+'Balance Sheet'!AJ19</f>
        <v>0</v>
      </c>
      <c r="AJ34" s="43">
        <f>'Balance Sheet'!AK6+'Balance Sheet'!AK15+'Balance Sheet'!AK19</f>
        <v>0</v>
      </c>
      <c r="AK34" s="43">
        <f>'Balance Sheet'!AL6+'Balance Sheet'!AL15+'Balance Sheet'!AL19</f>
        <v>0</v>
      </c>
      <c r="AL34" s="43">
        <f>'Balance Sheet'!AM6+'Balance Sheet'!AM15+'Balance Sheet'!AM19</f>
        <v>0</v>
      </c>
      <c r="AM34" s="43">
        <f>'Balance Sheet'!AN6+'Balance Sheet'!AN15+'Balance Sheet'!AN19</f>
        <v>0</v>
      </c>
      <c r="AN34" s="43">
        <f>'Balance Sheet'!AO6+'Balance Sheet'!AO15+'Balance Sheet'!AO19</f>
        <v>0</v>
      </c>
      <c r="AO34" s="43">
        <f>'Balance Sheet'!AP6+'Balance Sheet'!AP15+'Balance Sheet'!AP19</f>
        <v>0</v>
      </c>
      <c r="AP34" s="43">
        <f>'Balance Sheet'!AQ6+'Balance Sheet'!AQ15+'Balance Sheet'!AQ19</f>
        <v>0</v>
      </c>
      <c r="AQ34" s="43">
        <f>'Balance Sheet'!AR6+'Balance Sheet'!AR15+'Balance Sheet'!AR19</f>
        <v>0</v>
      </c>
      <c r="AR34" s="43">
        <f>'Balance Sheet'!AS6+'Balance Sheet'!AS15+'Balance Sheet'!AS19</f>
        <v>0</v>
      </c>
      <c r="AS34" s="43">
        <f>'Balance Sheet'!AT6+'Balance Sheet'!AT15+'Balance Sheet'!AT19</f>
        <v>0</v>
      </c>
      <c r="AT34" s="43">
        <f>'Balance Sheet'!AU6+'Balance Sheet'!AU15+'Balance Sheet'!AU19</f>
        <v>0</v>
      </c>
      <c r="AU34" s="43">
        <f>'Balance Sheet'!AV6+'Balance Sheet'!AV15+'Balance Sheet'!AV19</f>
        <v>0</v>
      </c>
      <c r="AV34" s="43">
        <f>'Balance Sheet'!AW6+'Balance Sheet'!AW15+'Balance Sheet'!AW19</f>
        <v>0</v>
      </c>
      <c r="AW34" s="43">
        <f>'Balance Sheet'!AX6+'Balance Sheet'!AX15+'Balance Sheet'!AX19</f>
        <v>0</v>
      </c>
    </row>
    <row r="35" spans="1:49">
      <c r="A35" s="42" t="s">
        <v>153</v>
      </c>
      <c r="B35" s="43">
        <f>'Balance Sheet'!C19</f>
        <v>0</v>
      </c>
      <c r="C35" s="43">
        <f>'Balance Sheet'!D19</f>
        <v>0</v>
      </c>
      <c r="D35" s="43">
        <f>'Balance Sheet'!E19</f>
        <v>0</v>
      </c>
      <c r="E35" s="43">
        <f>'Balance Sheet'!F19</f>
        <v>0</v>
      </c>
      <c r="F35" s="43">
        <f>'Balance Sheet'!G19</f>
        <v>0</v>
      </c>
      <c r="G35" s="43">
        <f>'Balance Sheet'!H19</f>
        <v>0</v>
      </c>
      <c r="H35" s="43">
        <f>'Balance Sheet'!I19</f>
        <v>0</v>
      </c>
      <c r="I35" s="43">
        <f>'Balance Sheet'!J19</f>
        <v>0</v>
      </c>
      <c r="J35" s="43">
        <f>'Balance Sheet'!K19</f>
        <v>0</v>
      </c>
      <c r="K35" s="43">
        <f>'Balance Sheet'!L19</f>
        <v>0</v>
      </c>
      <c r="L35" s="43">
        <f>'Balance Sheet'!M19</f>
        <v>0</v>
      </c>
      <c r="M35" s="43">
        <f>'Balance Sheet'!N19</f>
        <v>0</v>
      </c>
      <c r="N35" s="43">
        <f>'Balance Sheet'!O19</f>
        <v>0</v>
      </c>
      <c r="O35" s="43">
        <f>'Balance Sheet'!P19</f>
        <v>0</v>
      </c>
      <c r="P35" s="43">
        <f>'Balance Sheet'!Q19</f>
        <v>0</v>
      </c>
      <c r="Q35" s="43">
        <f>'Balance Sheet'!R19</f>
        <v>0</v>
      </c>
      <c r="R35" s="43">
        <f>'Balance Sheet'!S19</f>
        <v>0</v>
      </c>
      <c r="S35" s="43">
        <f>'Balance Sheet'!T19</f>
        <v>0</v>
      </c>
      <c r="T35" s="43">
        <f>'Balance Sheet'!U19</f>
        <v>0</v>
      </c>
      <c r="U35" s="43">
        <f>'Balance Sheet'!V19</f>
        <v>0</v>
      </c>
      <c r="V35" s="43">
        <f>'Balance Sheet'!W19</f>
        <v>0</v>
      </c>
      <c r="W35" s="43">
        <f>'Balance Sheet'!X19</f>
        <v>0</v>
      </c>
      <c r="X35" s="43">
        <f>'Balance Sheet'!Y19</f>
        <v>0</v>
      </c>
      <c r="Y35" s="43">
        <f>'Balance Sheet'!Z19</f>
        <v>0</v>
      </c>
      <c r="Z35" s="43">
        <f>'Balance Sheet'!AA19</f>
        <v>0</v>
      </c>
      <c r="AA35" s="43">
        <f>'Balance Sheet'!AB19</f>
        <v>0</v>
      </c>
      <c r="AB35" s="43">
        <f>'Balance Sheet'!AC19</f>
        <v>0</v>
      </c>
      <c r="AC35" s="43">
        <f>'Balance Sheet'!AD19</f>
        <v>0</v>
      </c>
      <c r="AD35" s="43">
        <f>'Balance Sheet'!AE19</f>
        <v>0</v>
      </c>
      <c r="AE35" s="43">
        <f>'Balance Sheet'!AF19</f>
        <v>0</v>
      </c>
      <c r="AF35" s="43">
        <f>'Balance Sheet'!AG19</f>
        <v>0</v>
      </c>
      <c r="AG35" s="43">
        <f>'Balance Sheet'!AH19</f>
        <v>0</v>
      </c>
      <c r="AH35" s="43">
        <f>'Balance Sheet'!AI19</f>
        <v>0</v>
      </c>
      <c r="AI35" s="43">
        <f>'Balance Sheet'!AJ19</f>
        <v>0</v>
      </c>
      <c r="AJ35" s="43">
        <f>'Balance Sheet'!AK19</f>
        <v>0</v>
      </c>
      <c r="AK35" s="43">
        <f>'Balance Sheet'!AL19</f>
        <v>0</v>
      </c>
      <c r="AL35" s="43">
        <f>'Balance Sheet'!AM19</f>
        <v>0</v>
      </c>
      <c r="AM35" s="43">
        <f>'Balance Sheet'!AN19</f>
        <v>0</v>
      </c>
      <c r="AN35" s="43">
        <f>'Balance Sheet'!AO19</f>
        <v>0</v>
      </c>
      <c r="AO35" s="43">
        <f>'Balance Sheet'!AP19</f>
        <v>0</v>
      </c>
      <c r="AP35" s="43">
        <f>'Balance Sheet'!AQ19</f>
        <v>0</v>
      </c>
      <c r="AQ35" s="43">
        <f>'Balance Sheet'!AR19</f>
        <v>0</v>
      </c>
      <c r="AR35" s="43">
        <f>'Balance Sheet'!AS19</f>
        <v>0</v>
      </c>
      <c r="AS35" s="43">
        <f>'Balance Sheet'!AT19</f>
        <v>0</v>
      </c>
      <c r="AT35" s="43">
        <f>'Balance Sheet'!AU19</f>
        <v>0</v>
      </c>
      <c r="AU35" s="43">
        <f>'Balance Sheet'!AV19</f>
        <v>0</v>
      </c>
      <c r="AV35" s="43">
        <f>'Balance Sheet'!AW19</f>
        <v>0</v>
      </c>
      <c r="AW35" s="43">
        <f>'Balance Sheet'!AX19</f>
        <v>0</v>
      </c>
    </row>
    <row r="36" spans="1:49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</row>
    <row r="37" spans="1:49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</row>
    <row r="38" spans="1:49">
      <c r="A38" s="44" t="s">
        <v>154</v>
      </c>
      <c r="B38" s="49">
        <f t="shared" ref="B38:L38" si="30">B39+B41+B42</f>
        <v>41847106.240000002</v>
      </c>
      <c r="C38" s="49">
        <f t="shared" si="30"/>
        <v>89858652.700000003</v>
      </c>
      <c r="D38" s="49">
        <f t="shared" si="30"/>
        <v>140455765.97</v>
      </c>
      <c r="E38" s="49">
        <f t="shared" si="30"/>
        <v>209525632.26000002</v>
      </c>
      <c r="F38" s="49">
        <f t="shared" si="30"/>
        <v>249496628.69</v>
      </c>
      <c r="G38" s="49">
        <f t="shared" si="30"/>
        <v>318512436.5</v>
      </c>
      <c r="H38" s="49">
        <f t="shared" ref="H38" si="31">H39+H41+H42</f>
        <v>361022585.06999999</v>
      </c>
      <c r="I38" s="49">
        <f t="shared" si="30"/>
        <v>397885798.13999999</v>
      </c>
      <c r="J38" s="49">
        <f t="shared" si="30"/>
        <v>454486900.19999999</v>
      </c>
      <c r="K38" s="49">
        <f t="shared" si="30"/>
        <v>496991206.49000001</v>
      </c>
      <c r="L38" s="49">
        <f t="shared" si="30"/>
        <v>561271751.18000007</v>
      </c>
      <c r="M38" s="49">
        <f t="shared" ref="M38:O38" si="32">M39+M41+M42</f>
        <v>642830575.60000002</v>
      </c>
      <c r="N38" s="49">
        <f t="shared" si="32"/>
        <v>662106174.34000003</v>
      </c>
      <c r="O38" s="49">
        <f t="shared" si="32"/>
        <v>36013475.939999998</v>
      </c>
      <c r="P38" s="49">
        <f t="shared" ref="P38:U38" si="33">P39+P41+P42</f>
        <v>81518886.049999997</v>
      </c>
      <c r="Q38" s="49">
        <f t="shared" si="33"/>
        <v>140263812.54000002</v>
      </c>
      <c r="R38" s="49">
        <f t="shared" si="33"/>
        <v>219335276.44999999</v>
      </c>
      <c r="S38" s="49">
        <f t="shared" si="33"/>
        <v>268498383.31</v>
      </c>
      <c r="T38" s="49">
        <f t="shared" ref="T38:AW38" si="34">T39+T41+T42</f>
        <v>336122105.11000001</v>
      </c>
      <c r="U38" s="49">
        <f t="shared" si="34"/>
        <v>381421495.85000002</v>
      </c>
      <c r="V38" s="49">
        <f t="shared" si="34"/>
        <v>425450018.31999999</v>
      </c>
      <c r="W38" s="49">
        <f t="shared" si="34"/>
        <v>472822255.26999998</v>
      </c>
      <c r="X38" s="49">
        <f t="shared" si="34"/>
        <v>518525160.09000003</v>
      </c>
      <c r="Y38" s="49">
        <f t="shared" si="34"/>
        <v>567097890.68999994</v>
      </c>
      <c r="Z38" s="49">
        <f t="shared" si="34"/>
        <v>652217268.13</v>
      </c>
      <c r="AA38" s="49">
        <f t="shared" si="34"/>
        <v>78406945</v>
      </c>
      <c r="AB38" s="49">
        <f t="shared" si="34"/>
        <v>0</v>
      </c>
      <c r="AC38" s="49">
        <f t="shared" si="34"/>
        <v>0</v>
      </c>
      <c r="AD38" s="49">
        <f t="shared" si="34"/>
        <v>0</v>
      </c>
      <c r="AE38" s="49">
        <f t="shared" si="34"/>
        <v>0</v>
      </c>
      <c r="AF38" s="49">
        <f t="shared" si="34"/>
        <v>0</v>
      </c>
      <c r="AG38" s="49">
        <f t="shared" si="34"/>
        <v>0</v>
      </c>
      <c r="AH38" s="49">
        <f t="shared" si="34"/>
        <v>0</v>
      </c>
      <c r="AI38" s="49">
        <f t="shared" si="34"/>
        <v>0</v>
      </c>
      <c r="AJ38" s="49">
        <f t="shared" si="34"/>
        <v>0</v>
      </c>
      <c r="AK38" s="49">
        <f t="shared" si="34"/>
        <v>0</v>
      </c>
      <c r="AL38" s="49">
        <f t="shared" si="34"/>
        <v>0</v>
      </c>
      <c r="AM38" s="49">
        <f t="shared" si="34"/>
        <v>0</v>
      </c>
      <c r="AN38" s="49">
        <f t="shared" si="34"/>
        <v>0</v>
      </c>
      <c r="AO38" s="49">
        <f t="shared" si="34"/>
        <v>0</v>
      </c>
      <c r="AP38" s="49">
        <f t="shared" si="34"/>
        <v>0</v>
      </c>
      <c r="AQ38" s="49">
        <f t="shared" si="34"/>
        <v>0</v>
      </c>
      <c r="AR38" s="49">
        <f t="shared" si="34"/>
        <v>0</v>
      </c>
      <c r="AS38" s="49">
        <f t="shared" si="34"/>
        <v>0</v>
      </c>
      <c r="AT38" s="49">
        <f t="shared" si="34"/>
        <v>0</v>
      </c>
      <c r="AU38" s="49">
        <f t="shared" si="34"/>
        <v>0</v>
      </c>
      <c r="AV38" s="49">
        <f t="shared" si="34"/>
        <v>0</v>
      </c>
      <c r="AW38" s="49">
        <f t="shared" si="34"/>
        <v>0</v>
      </c>
    </row>
    <row r="39" spans="1:49">
      <c r="A39" s="42" t="s">
        <v>155</v>
      </c>
      <c r="B39" s="50">
        <f>'Income Stat.'!C6</f>
        <v>41847106.240000002</v>
      </c>
      <c r="C39" s="50">
        <f>'Income Stat.'!D6</f>
        <v>89541381.700000003</v>
      </c>
      <c r="D39" s="50">
        <f>'Income Stat.'!E6</f>
        <v>140128915.91999999</v>
      </c>
      <c r="E39" s="50">
        <f>'Income Stat.'!F6</f>
        <v>207353782.21000001</v>
      </c>
      <c r="F39" s="50">
        <f>'Income Stat.'!G6</f>
        <v>247324778.63999999</v>
      </c>
      <c r="G39" s="50">
        <f>'Income Stat.'!H6</f>
        <v>302956556.05000001</v>
      </c>
      <c r="H39" s="50">
        <f>'Income Stat.'!I6</f>
        <v>345456849.62</v>
      </c>
      <c r="I39" s="50">
        <f>'Income Stat.'!J6</f>
        <v>382320062.69</v>
      </c>
      <c r="J39" s="50">
        <f>'Income Stat.'!K6</f>
        <v>438921164.75</v>
      </c>
      <c r="K39" s="50">
        <f>'Income Stat.'!L6</f>
        <v>481425471.04000002</v>
      </c>
      <c r="L39" s="50">
        <f>'Income Stat.'!M6</f>
        <v>525892601.05000001</v>
      </c>
      <c r="M39" s="50">
        <f>'Income Stat.'!N6</f>
        <v>599441292.95000005</v>
      </c>
      <c r="N39" s="50">
        <f>'Income Stat.'!O6</f>
        <v>603806022.95000005</v>
      </c>
      <c r="O39" s="50">
        <f>'Income Stat.'!P6</f>
        <v>34362243.149999999</v>
      </c>
      <c r="P39" s="50">
        <f>'Income Stat.'!Q6</f>
        <v>79159052.590000004</v>
      </c>
      <c r="Q39" s="50">
        <f>'Income Stat.'!R6</f>
        <v>136455101.99000001</v>
      </c>
      <c r="R39" s="50">
        <f>'Income Stat.'!S6</f>
        <v>211307453.00999999</v>
      </c>
      <c r="S39" s="50">
        <f>'Income Stat.'!T6</f>
        <v>251030545.91999999</v>
      </c>
      <c r="T39" s="50">
        <f>'Income Stat.'!U6</f>
        <v>295615221.60000002</v>
      </c>
      <c r="U39" s="50">
        <f>'Income Stat.'!V6</f>
        <v>339782408.85000002</v>
      </c>
      <c r="V39" s="50">
        <f>'Income Stat.'!W6</f>
        <v>383035533.44999999</v>
      </c>
      <c r="W39" s="50">
        <f>'Income Stat.'!X6</f>
        <v>429171827.08999997</v>
      </c>
      <c r="X39" s="50">
        <f>'Income Stat.'!Y6</f>
        <v>474240604.92000002</v>
      </c>
      <c r="Y39" s="50">
        <f>'Income Stat.'!Z6</f>
        <v>521730597.38999999</v>
      </c>
      <c r="Z39" s="50">
        <f>'Income Stat.'!AA6</f>
        <v>575213327.13999999</v>
      </c>
      <c r="AA39" s="50">
        <f>'Income Stat.'!AB6</f>
        <v>0</v>
      </c>
      <c r="AB39" s="50">
        <f>'Income Stat.'!AC6</f>
        <v>0</v>
      </c>
      <c r="AC39" s="50">
        <f>'Income Stat.'!AD6</f>
        <v>0</v>
      </c>
      <c r="AD39" s="50">
        <f>'Income Stat.'!AE6</f>
        <v>0</v>
      </c>
      <c r="AE39" s="50">
        <f>'Income Stat.'!AF6</f>
        <v>0</v>
      </c>
      <c r="AF39" s="50">
        <f>'Income Stat.'!AG6</f>
        <v>0</v>
      </c>
      <c r="AG39" s="50">
        <f>'Income Stat.'!AH6</f>
        <v>0</v>
      </c>
      <c r="AH39" s="50">
        <f>'Income Stat.'!AI6</f>
        <v>0</v>
      </c>
      <c r="AI39" s="50">
        <f>'Income Stat.'!AJ6</f>
        <v>0</v>
      </c>
      <c r="AJ39" s="50">
        <f>'Income Stat.'!AK6</f>
        <v>0</v>
      </c>
      <c r="AK39" s="50">
        <f>'Income Stat.'!AL6</f>
        <v>0</v>
      </c>
      <c r="AL39" s="50">
        <f>'Income Stat.'!AM6</f>
        <v>0</v>
      </c>
      <c r="AM39" s="50">
        <f>'Income Stat.'!AN6</f>
        <v>0</v>
      </c>
      <c r="AN39" s="50">
        <f>'Income Stat.'!AO6</f>
        <v>0</v>
      </c>
      <c r="AO39" s="50">
        <f>'Income Stat.'!AP6</f>
        <v>0</v>
      </c>
      <c r="AP39" s="50">
        <f>'Income Stat.'!AQ6</f>
        <v>0</v>
      </c>
      <c r="AQ39" s="50">
        <f>'Income Stat.'!AR6</f>
        <v>0</v>
      </c>
      <c r="AR39" s="50">
        <f>'Income Stat.'!AS6</f>
        <v>0</v>
      </c>
      <c r="AS39" s="50">
        <f>'Income Stat.'!AT6</f>
        <v>0</v>
      </c>
      <c r="AT39" s="50">
        <f>'Income Stat.'!AU6</f>
        <v>0</v>
      </c>
      <c r="AU39" s="50">
        <f>'Income Stat.'!AV6</f>
        <v>0</v>
      </c>
      <c r="AV39" s="50">
        <f>'Income Stat.'!AW6</f>
        <v>0</v>
      </c>
      <c r="AW39" s="50">
        <f>'Income Stat.'!AX6</f>
        <v>0</v>
      </c>
    </row>
    <row r="40" spans="1:49">
      <c r="A40" s="42" t="s">
        <v>156</v>
      </c>
      <c r="B40" s="50" t="e">
        <f>'Income Stat.'!C6/'Income Stat.'!C14</f>
        <v>#DIV/0!</v>
      </c>
      <c r="C40" s="50" t="e">
        <f>'Income Stat.'!D6/'Income Stat.'!D14</f>
        <v>#DIV/0!</v>
      </c>
      <c r="D40" s="50" t="e">
        <f>'Income Stat.'!E6/'Income Stat.'!E14</f>
        <v>#DIV/0!</v>
      </c>
      <c r="E40" s="50" t="e">
        <f>'Income Stat.'!F6/'Income Stat.'!F14</f>
        <v>#DIV/0!</v>
      </c>
      <c r="F40" s="50" t="e">
        <f>'Income Stat.'!G6/'Income Stat.'!G14</f>
        <v>#DIV/0!</v>
      </c>
      <c r="G40" s="50" t="e">
        <f>'Income Stat.'!H6/'Income Stat.'!H14</f>
        <v>#DIV/0!</v>
      </c>
      <c r="H40" s="50" t="e">
        <f>'Income Stat.'!I6/'Income Stat.'!I14</f>
        <v>#DIV/0!</v>
      </c>
      <c r="I40" s="50" t="e">
        <f>'Income Stat.'!J6/'Income Stat.'!J14</f>
        <v>#DIV/0!</v>
      </c>
      <c r="J40" s="50" t="e">
        <f>'Income Stat.'!K6/'Income Stat.'!K14</f>
        <v>#DIV/0!</v>
      </c>
      <c r="K40" s="50" t="e">
        <f>'Income Stat.'!L6/'Income Stat.'!L14</f>
        <v>#DIV/0!</v>
      </c>
      <c r="L40" s="50" t="e">
        <f>'Income Stat.'!M6/'Income Stat.'!M14</f>
        <v>#DIV/0!</v>
      </c>
      <c r="M40" s="50" t="e">
        <f>'Income Stat.'!N6/'Income Stat.'!N14</f>
        <v>#DIV/0!</v>
      </c>
      <c r="N40" s="50">
        <f>'Income Stat.'!O6/'Income Stat.'!O14</f>
        <v>1.692022694108547</v>
      </c>
      <c r="O40" s="50" t="e">
        <f>'Income Stat.'!P6/'Income Stat.'!P14</f>
        <v>#DIV/0!</v>
      </c>
      <c r="P40" s="50" t="e">
        <f>'Income Stat.'!Q6/'Income Stat.'!Q14</f>
        <v>#DIV/0!</v>
      </c>
      <c r="Q40" s="50" t="e">
        <f>'Income Stat.'!R6/'Income Stat.'!R14</f>
        <v>#DIV/0!</v>
      </c>
      <c r="R40" s="50" t="e">
        <f>'Income Stat.'!S6/'Income Stat.'!S14</f>
        <v>#DIV/0!</v>
      </c>
      <c r="S40" s="50" t="e">
        <f>'Income Stat.'!T6/'Income Stat.'!T14</f>
        <v>#DIV/0!</v>
      </c>
      <c r="T40" s="50" t="e">
        <f>'Income Stat.'!U6/'Income Stat.'!U14</f>
        <v>#DIV/0!</v>
      </c>
      <c r="U40" s="50" t="e">
        <f>'Income Stat.'!V6/'Income Stat.'!V14</f>
        <v>#DIV/0!</v>
      </c>
      <c r="V40" s="50" t="e">
        <f>'Income Stat.'!W6/'Income Stat.'!W14</f>
        <v>#DIV/0!</v>
      </c>
      <c r="W40" s="50" t="e">
        <f>'Income Stat.'!X6/'Income Stat.'!X14</f>
        <v>#DIV/0!</v>
      </c>
      <c r="X40" s="50" t="e">
        <f>'Income Stat.'!Y6/'Income Stat.'!Y14</f>
        <v>#DIV/0!</v>
      </c>
      <c r="Y40" s="50" t="e">
        <f>'Income Stat.'!Z6/'Income Stat.'!Z14</f>
        <v>#DIV/0!</v>
      </c>
      <c r="Z40" s="50" t="e">
        <f>'Income Stat.'!AA6/'Income Stat.'!AA14</f>
        <v>#DIV/0!</v>
      </c>
      <c r="AA40" s="50">
        <f>'Income Stat.'!AB6/'Income Stat.'!AB14</f>
        <v>0</v>
      </c>
      <c r="AB40" s="50" t="e">
        <f>'Income Stat.'!AC6/'Income Stat.'!AC14</f>
        <v>#DIV/0!</v>
      </c>
      <c r="AC40" s="50" t="e">
        <f>'Income Stat.'!AD6/'Income Stat.'!AD14</f>
        <v>#DIV/0!</v>
      </c>
      <c r="AD40" s="50" t="e">
        <f>'Income Stat.'!AE6/'Income Stat.'!AE14</f>
        <v>#DIV/0!</v>
      </c>
      <c r="AE40" s="50" t="e">
        <f>'Income Stat.'!AF6/'Income Stat.'!AF14</f>
        <v>#DIV/0!</v>
      </c>
      <c r="AF40" s="50" t="e">
        <f>'Income Stat.'!AG6/'Income Stat.'!AG14</f>
        <v>#DIV/0!</v>
      </c>
      <c r="AG40" s="50" t="e">
        <f>'Income Stat.'!AH6/'Income Stat.'!AH14</f>
        <v>#DIV/0!</v>
      </c>
      <c r="AH40" s="50" t="e">
        <f>'Income Stat.'!AI6/'Income Stat.'!AI14</f>
        <v>#DIV/0!</v>
      </c>
      <c r="AI40" s="50" t="e">
        <f>'Income Stat.'!AJ6/'Income Stat.'!AJ14</f>
        <v>#DIV/0!</v>
      </c>
      <c r="AJ40" s="50" t="e">
        <f>'Income Stat.'!AK6/'Income Stat.'!AK14</f>
        <v>#DIV/0!</v>
      </c>
      <c r="AK40" s="50" t="e">
        <f>'Income Stat.'!AL6/'Income Stat.'!AL14</f>
        <v>#DIV/0!</v>
      </c>
      <c r="AL40" s="50" t="e">
        <f>'Income Stat.'!AM6/'Income Stat.'!AM14</f>
        <v>#DIV/0!</v>
      </c>
      <c r="AM40" s="50" t="e">
        <f>'Income Stat.'!AN6/'Income Stat.'!AN14</f>
        <v>#DIV/0!</v>
      </c>
      <c r="AN40" s="50" t="e">
        <f>'Income Stat.'!AO6/'Income Stat.'!AO14</f>
        <v>#DIV/0!</v>
      </c>
      <c r="AO40" s="50" t="e">
        <f>'Income Stat.'!AP6/'Income Stat.'!AP14</f>
        <v>#DIV/0!</v>
      </c>
      <c r="AP40" s="50" t="e">
        <f>'Income Stat.'!AQ6/'Income Stat.'!AQ14</f>
        <v>#DIV/0!</v>
      </c>
      <c r="AQ40" s="50" t="e">
        <f>'Income Stat.'!AR6/'Income Stat.'!AR14</f>
        <v>#DIV/0!</v>
      </c>
      <c r="AR40" s="50" t="e">
        <f>'Income Stat.'!AS6/'Income Stat.'!AS14</f>
        <v>#DIV/0!</v>
      </c>
      <c r="AS40" s="50" t="e">
        <f>'Income Stat.'!AT6/'Income Stat.'!AT14</f>
        <v>#DIV/0!</v>
      </c>
      <c r="AT40" s="50" t="e">
        <f>'Income Stat.'!AU6/'Income Stat.'!AU14</f>
        <v>#DIV/0!</v>
      </c>
      <c r="AU40" s="50" t="e">
        <f>'Income Stat.'!AV6/'Income Stat.'!AV14</f>
        <v>#DIV/0!</v>
      </c>
      <c r="AV40" s="50" t="e">
        <f>'Income Stat.'!AW6/'Income Stat.'!AW14</f>
        <v>#DIV/0!</v>
      </c>
      <c r="AW40" s="50" t="e">
        <f>'Income Stat.'!AX6/'Income Stat.'!AX14</f>
        <v>#DIV/0!</v>
      </c>
    </row>
    <row r="41" spans="1:49">
      <c r="A41" s="42" t="s">
        <v>157</v>
      </c>
      <c r="B41" s="43">
        <f>'Income Stat.'!C8</f>
        <v>0</v>
      </c>
      <c r="C41" s="43">
        <f>'Income Stat.'!D8</f>
        <v>317271</v>
      </c>
      <c r="D41" s="43">
        <f>'Income Stat.'!E8</f>
        <v>326850.05</v>
      </c>
      <c r="E41" s="43">
        <f>'Income Stat.'!F8</f>
        <v>2171850.0499999998</v>
      </c>
      <c r="F41" s="43">
        <f>'Income Stat.'!G8</f>
        <v>2171850.0499999998</v>
      </c>
      <c r="G41" s="43">
        <f>'Income Stat.'!H8</f>
        <v>15555880.449999999</v>
      </c>
      <c r="H41" s="43">
        <f>'Income Stat.'!I8</f>
        <v>15565735.449999999</v>
      </c>
      <c r="I41" s="43">
        <f>'Income Stat.'!J8</f>
        <v>15565735.449999999</v>
      </c>
      <c r="J41" s="43">
        <f>'Income Stat.'!K8</f>
        <v>15565735.449999999</v>
      </c>
      <c r="K41" s="43">
        <f>'Income Stat.'!L8</f>
        <v>15565735.449999999</v>
      </c>
      <c r="L41" s="43">
        <f>'Income Stat.'!M8</f>
        <v>35379150.130000003</v>
      </c>
      <c r="M41" s="43">
        <f>'Income Stat.'!N8</f>
        <v>43389282.649999999</v>
      </c>
      <c r="N41" s="43">
        <f>'Income Stat.'!O8</f>
        <v>58300151.390000001</v>
      </c>
      <c r="O41" s="43">
        <f>'Income Stat.'!P8</f>
        <v>1651232.79</v>
      </c>
      <c r="P41" s="43">
        <f>'Income Stat.'!Q8</f>
        <v>2359833.46</v>
      </c>
      <c r="Q41" s="43">
        <f>'Income Stat.'!R8</f>
        <v>3808710.55</v>
      </c>
      <c r="R41" s="43">
        <f>'Income Stat.'!S8</f>
        <v>8027823.4399999995</v>
      </c>
      <c r="S41" s="43">
        <f>'Income Stat.'!T8</f>
        <v>17467837.390000001</v>
      </c>
      <c r="T41" s="43">
        <f>'Income Stat.'!U8</f>
        <v>40506883.509999998</v>
      </c>
      <c r="U41" s="43">
        <f>'Income Stat.'!V8</f>
        <v>41639087</v>
      </c>
      <c r="V41" s="43">
        <f>'Income Stat.'!W8</f>
        <v>42414484.869999997</v>
      </c>
      <c r="W41" s="43">
        <f>'Income Stat.'!X8</f>
        <v>43650428.18</v>
      </c>
      <c r="X41" s="43">
        <f>'Income Stat.'!Y8</f>
        <v>44284555.170000002</v>
      </c>
      <c r="Y41" s="43">
        <f>'Income Stat.'!Z8</f>
        <v>45367293.299999997</v>
      </c>
      <c r="Z41" s="43">
        <f>'Income Stat.'!AA8</f>
        <v>77003940.99000001</v>
      </c>
      <c r="AA41" s="43">
        <f>'Income Stat.'!AB8</f>
        <v>78406945</v>
      </c>
      <c r="AB41" s="43">
        <f>'Income Stat.'!AC8</f>
        <v>0</v>
      </c>
      <c r="AC41" s="43">
        <f>'Income Stat.'!AD8</f>
        <v>0</v>
      </c>
      <c r="AD41" s="43">
        <f>'Income Stat.'!AE8</f>
        <v>0</v>
      </c>
      <c r="AE41" s="43">
        <f>'Income Stat.'!AF8</f>
        <v>0</v>
      </c>
      <c r="AF41" s="43">
        <f>'Income Stat.'!AG8</f>
        <v>0</v>
      </c>
      <c r="AG41" s="43">
        <f>'Income Stat.'!AH8</f>
        <v>0</v>
      </c>
      <c r="AH41" s="43">
        <f>'Income Stat.'!AI8</f>
        <v>0</v>
      </c>
      <c r="AI41" s="43">
        <f>'Income Stat.'!AJ8</f>
        <v>0</v>
      </c>
      <c r="AJ41" s="43">
        <f>'Income Stat.'!AK8</f>
        <v>0</v>
      </c>
      <c r="AK41" s="43">
        <f>'Income Stat.'!AL8</f>
        <v>0</v>
      </c>
      <c r="AL41" s="43">
        <f>'Income Stat.'!AM8</f>
        <v>0</v>
      </c>
      <c r="AM41" s="43">
        <f>'Income Stat.'!AN8</f>
        <v>0</v>
      </c>
      <c r="AN41" s="43">
        <f>'Income Stat.'!AO8</f>
        <v>0</v>
      </c>
      <c r="AO41" s="43">
        <f>'Income Stat.'!AP8</f>
        <v>0</v>
      </c>
      <c r="AP41" s="43">
        <f>'Income Stat.'!AQ8</f>
        <v>0</v>
      </c>
      <c r="AQ41" s="43">
        <f>'Income Stat.'!AR8</f>
        <v>0</v>
      </c>
      <c r="AR41" s="43">
        <f>'Income Stat.'!AS8</f>
        <v>0</v>
      </c>
      <c r="AS41" s="43">
        <f>'Income Stat.'!AT8</f>
        <v>0</v>
      </c>
      <c r="AT41" s="43">
        <f>'Income Stat.'!AU8</f>
        <v>0</v>
      </c>
      <c r="AU41" s="43">
        <f>'Income Stat.'!AV8</f>
        <v>0</v>
      </c>
      <c r="AV41" s="43">
        <f>'Income Stat.'!AW8</f>
        <v>0</v>
      </c>
      <c r="AW41" s="43">
        <f>'Income Stat.'!AX8</f>
        <v>0</v>
      </c>
    </row>
    <row r="42" spans="1:49">
      <c r="A42" s="42" t="s">
        <v>158</v>
      </c>
      <c r="B42" s="43">
        <f>'Income Stat.'!C7</f>
        <v>0</v>
      </c>
      <c r="C42" s="43">
        <f>'Income Stat.'!D7</f>
        <v>0</v>
      </c>
      <c r="D42" s="43">
        <f>'Income Stat.'!E7</f>
        <v>0</v>
      </c>
      <c r="E42" s="43">
        <f>'Income Stat.'!F7</f>
        <v>0</v>
      </c>
      <c r="F42" s="43">
        <f>'Income Stat.'!G7</f>
        <v>0</v>
      </c>
      <c r="G42" s="43">
        <f>'Income Stat.'!H7</f>
        <v>0</v>
      </c>
      <c r="H42" s="43">
        <f>'Income Stat.'!I7</f>
        <v>0</v>
      </c>
      <c r="I42" s="43">
        <f>'Income Stat.'!J7</f>
        <v>0</v>
      </c>
      <c r="J42" s="43">
        <f>'Income Stat.'!K7</f>
        <v>0</v>
      </c>
      <c r="K42" s="43">
        <f>'Income Stat.'!L7</f>
        <v>0</v>
      </c>
      <c r="L42" s="43">
        <f>'Income Stat.'!M7</f>
        <v>0</v>
      </c>
      <c r="M42" s="43">
        <f>'Income Stat.'!N7</f>
        <v>0</v>
      </c>
      <c r="N42" s="43">
        <f>'Income Stat.'!O7</f>
        <v>0</v>
      </c>
      <c r="O42" s="43">
        <f>'Income Stat.'!P7</f>
        <v>0</v>
      </c>
      <c r="P42" s="43">
        <f>'Income Stat.'!Q7</f>
        <v>0</v>
      </c>
      <c r="Q42" s="43">
        <f>'Income Stat.'!R7</f>
        <v>0</v>
      </c>
      <c r="R42" s="43">
        <f>'Income Stat.'!S7</f>
        <v>0</v>
      </c>
      <c r="S42" s="43">
        <f>'Income Stat.'!T7</f>
        <v>0</v>
      </c>
      <c r="T42" s="43">
        <f>'Income Stat.'!U7</f>
        <v>0</v>
      </c>
      <c r="U42" s="43">
        <f>'Income Stat.'!V7</f>
        <v>0</v>
      </c>
      <c r="V42" s="43">
        <f>'Income Stat.'!W7</f>
        <v>0</v>
      </c>
      <c r="W42" s="43">
        <f>'Income Stat.'!X7</f>
        <v>0</v>
      </c>
      <c r="X42" s="43">
        <f>'Income Stat.'!Y7</f>
        <v>0</v>
      </c>
      <c r="Y42" s="43">
        <f>'Income Stat.'!Z7</f>
        <v>0</v>
      </c>
      <c r="Z42" s="43">
        <f>'Income Stat.'!AA7</f>
        <v>0</v>
      </c>
      <c r="AA42" s="43">
        <f>'Income Stat.'!AB7</f>
        <v>0</v>
      </c>
      <c r="AB42" s="43">
        <f>'Income Stat.'!AC7</f>
        <v>0</v>
      </c>
      <c r="AC42" s="43">
        <f>'Income Stat.'!AD7</f>
        <v>0</v>
      </c>
      <c r="AD42" s="43">
        <f>'Income Stat.'!AE7</f>
        <v>0</v>
      </c>
      <c r="AE42" s="43">
        <f>'Income Stat.'!AF7</f>
        <v>0</v>
      </c>
      <c r="AF42" s="43">
        <f>'Income Stat.'!AG7</f>
        <v>0</v>
      </c>
      <c r="AG42" s="43">
        <f>'Income Stat.'!AH7</f>
        <v>0</v>
      </c>
      <c r="AH42" s="43">
        <f>'Income Stat.'!AI7</f>
        <v>0</v>
      </c>
      <c r="AI42" s="43">
        <f>'Income Stat.'!AJ7</f>
        <v>0</v>
      </c>
      <c r="AJ42" s="43">
        <f>'Income Stat.'!AK7</f>
        <v>0</v>
      </c>
      <c r="AK42" s="43">
        <f>'Income Stat.'!AL7</f>
        <v>0</v>
      </c>
      <c r="AL42" s="43">
        <f>'Income Stat.'!AM7</f>
        <v>0</v>
      </c>
      <c r="AM42" s="43">
        <f>'Income Stat.'!AN7</f>
        <v>0</v>
      </c>
      <c r="AN42" s="43">
        <f>'Income Stat.'!AO7</f>
        <v>0</v>
      </c>
      <c r="AO42" s="43">
        <f>'Income Stat.'!AP7</f>
        <v>0</v>
      </c>
      <c r="AP42" s="43">
        <f>'Income Stat.'!AQ7</f>
        <v>0</v>
      </c>
      <c r="AQ42" s="43">
        <f>'Income Stat.'!AR7</f>
        <v>0</v>
      </c>
      <c r="AR42" s="43">
        <f>'Income Stat.'!AS7</f>
        <v>0</v>
      </c>
      <c r="AS42" s="43">
        <f>'Income Stat.'!AT7</f>
        <v>0</v>
      </c>
      <c r="AT42" s="43">
        <f>'Income Stat.'!AU7</f>
        <v>0</v>
      </c>
      <c r="AU42" s="43">
        <f>'Income Stat.'!AV7</f>
        <v>0</v>
      </c>
      <c r="AV42" s="43">
        <f>'Income Stat.'!AW7</f>
        <v>0</v>
      </c>
      <c r="AW42" s="43">
        <f>'Income Stat.'!AX7</f>
        <v>0</v>
      </c>
    </row>
    <row r="43" spans="1:49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</row>
    <row r="44" spans="1:49">
      <c r="A44" s="44" t="s">
        <v>159</v>
      </c>
      <c r="B44" s="49">
        <f t="shared" ref="B44:L44" si="35">B45+B46+B47+B48</f>
        <v>27208747.459999997</v>
      </c>
      <c r="C44" s="49">
        <f t="shared" si="35"/>
        <v>57697052.450000003</v>
      </c>
      <c r="D44" s="49">
        <f t="shared" si="35"/>
        <v>98569517.870000005</v>
      </c>
      <c r="E44" s="49">
        <f t="shared" si="35"/>
        <v>148120290.49000001</v>
      </c>
      <c r="F44" s="49">
        <f t="shared" si="35"/>
        <v>181676935.13999999</v>
      </c>
      <c r="G44" s="49">
        <f t="shared" si="35"/>
        <v>235678771.13999999</v>
      </c>
      <c r="H44" s="49">
        <f t="shared" ref="H44" si="36">H45+H46+H47+H48</f>
        <v>263953306.04999998</v>
      </c>
      <c r="I44" s="49">
        <f t="shared" si="35"/>
        <v>285712403.42000002</v>
      </c>
      <c r="J44" s="49">
        <f t="shared" si="35"/>
        <v>325949795.01999998</v>
      </c>
      <c r="K44" s="49">
        <f t="shared" si="35"/>
        <v>359787010.80000001</v>
      </c>
      <c r="L44" s="49">
        <f t="shared" si="35"/>
        <v>380652640.41000003</v>
      </c>
      <c r="M44" s="49">
        <f t="shared" ref="M44:O44" si="37">M45+M46+M47+M48</f>
        <v>472063289.95000005</v>
      </c>
      <c r="N44" s="49">
        <f t="shared" si="37"/>
        <v>474562704.77000004</v>
      </c>
      <c r="O44" s="49">
        <f t="shared" si="37"/>
        <v>14973917.219999995</v>
      </c>
      <c r="P44" s="49">
        <f t="shared" ref="P44:U44" si="38">P45+P46+P47+P48</f>
        <v>46754215.030000001</v>
      </c>
      <c r="Q44" s="49">
        <f t="shared" si="38"/>
        <v>86160182.650000036</v>
      </c>
      <c r="R44" s="49">
        <f t="shared" si="38"/>
        <v>147286682.94999999</v>
      </c>
      <c r="S44" s="49">
        <f t="shared" si="38"/>
        <v>168999410.86000001</v>
      </c>
      <c r="T44" s="49">
        <f t="shared" ref="T44:AW44" si="39">T45+T46+T47+T48</f>
        <v>227792093.77000001</v>
      </c>
      <c r="U44" s="49">
        <f t="shared" si="39"/>
        <v>247737413.63</v>
      </c>
      <c r="V44" s="49">
        <f t="shared" si="39"/>
        <v>274566149.93000001</v>
      </c>
      <c r="W44" s="49">
        <f t="shared" si="39"/>
        <v>308970562.48000002</v>
      </c>
      <c r="X44" s="49">
        <f t="shared" si="39"/>
        <v>341691962.19000006</v>
      </c>
      <c r="Y44" s="49">
        <f t="shared" si="39"/>
        <v>376233907.29999995</v>
      </c>
      <c r="Z44" s="49">
        <f t="shared" si="39"/>
        <v>430129643.29999995</v>
      </c>
      <c r="AA44" s="49">
        <f t="shared" si="39"/>
        <v>413724824</v>
      </c>
      <c r="AB44" s="49">
        <f t="shared" si="39"/>
        <v>0</v>
      </c>
      <c r="AC44" s="49">
        <f t="shared" si="39"/>
        <v>0</v>
      </c>
      <c r="AD44" s="49">
        <f t="shared" si="39"/>
        <v>0</v>
      </c>
      <c r="AE44" s="49">
        <f t="shared" si="39"/>
        <v>0</v>
      </c>
      <c r="AF44" s="49">
        <f t="shared" si="39"/>
        <v>0</v>
      </c>
      <c r="AG44" s="49">
        <f t="shared" si="39"/>
        <v>0</v>
      </c>
      <c r="AH44" s="49">
        <f t="shared" si="39"/>
        <v>0</v>
      </c>
      <c r="AI44" s="49">
        <f t="shared" si="39"/>
        <v>0</v>
      </c>
      <c r="AJ44" s="49">
        <f t="shared" si="39"/>
        <v>0</v>
      </c>
      <c r="AK44" s="49">
        <f t="shared" si="39"/>
        <v>0</v>
      </c>
      <c r="AL44" s="49">
        <f t="shared" si="39"/>
        <v>0</v>
      </c>
      <c r="AM44" s="49">
        <f t="shared" si="39"/>
        <v>0</v>
      </c>
      <c r="AN44" s="49">
        <f t="shared" si="39"/>
        <v>0</v>
      </c>
      <c r="AO44" s="49">
        <f t="shared" si="39"/>
        <v>0</v>
      </c>
      <c r="AP44" s="49">
        <f t="shared" si="39"/>
        <v>0</v>
      </c>
      <c r="AQ44" s="49">
        <f t="shared" si="39"/>
        <v>0</v>
      </c>
      <c r="AR44" s="49">
        <f t="shared" si="39"/>
        <v>0</v>
      </c>
      <c r="AS44" s="49">
        <f t="shared" si="39"/>
        <v>0</v>
      </c>
      <c r="AT44" s="49">
        <f t="shared" si="39"/>
        <v>0</v>
      </c>
      <c r="AU44" s="49">
        <f t="shared" si="39"/>
        <v>0</v>
      </c>
      <c r="AV44" s="49">
        <f t="shared" si="39"/>
        <v>0</v>
      </c>
      <c r="AW44" s="49">
        <f t="shared" si="39"/>
        <v>0</v>
      </c>
    </row>
    <row r="45" spans="1:49">
      <c r="A45" s="42" t="s">
        <v>160</v>
      </c>
      <c r="B45" s="43">
        <f>'Income Stat.'!C14</f>
        <v>0</v>
      </c>
      <c r="C45" s="43">
        <f>'Income Stat.'!D14</f>
        <v>0</v>
      </c>
      <c r="D45" s="43">
        <f>'Income Stat.'!E14</f>
        <v>0</v>
      </c>
      <c r="E45" s="43">
        <f>'Income Stat.'!F14</f>
        <v>0</v>
      </c>
      <c r="F45" s="43">
        <f>'Income Stat.'!G14</f>
        <v>0</v>
      </c>
      <c r="G45" s="43">
        <f>'Income Stat.'!H14</f>
        <v>0</v>
      </c>
      <c r="H45" s="43">
        <f>'Income Stat.'!I14</f>
        <v>0</v>
      </c>
      <c r="I45" s="43">
        <f>'Income Stat.'!J14</f>
        <v>0</v>
      </c>
      <c r="J45" s="43">
        <f>'Income Stat.'!K14</f>
        <v>0</v>
      </c>
      <c r="K45" s="43">
        <f>'Income Stat.'!L14</f>
        <v>0</v>
      </c>
      <c r="L45" s="43">
        <f>'Income Stat.'!M14</f>
        <v>0</v>
      </c>
      <c r="M45" s="43">
        <f>'Income Stat.'!N14</f>
        <v>0</v>
      </c>
      <c r="N45" s="43">
        <f>'Income Stat.'!O14</f>
        <v>356854565.28000003</v>
      </c>
      <c r="O45" s="43">
        <f>'Income Stat.'!P14</f>
        <v>0</v>
      </c>
      <c r="P45" s="43">
        <f>'Income Stat.'!Q14</f>
        <v>0</v>
      </c>
      <c r="Q45" s="43">
        <f>'Income Stat.'!R14</f>
        <v>0</v>
      </c>
      <c r="R45" s="43">
        <f>'Income Stat.'!S14</f>
        <v>0</v>
      </c>
      <c r="S45" s="43">
        <f>'Income Stat.'!T14</f>
        <v>0</v>
      </c>
      <c r="T45" s="43">
        <f>'Income Stat.'!U14</f>
        <v>0</v>
      </c>
      <c r="U45" s="43">
        <f>'Income Stat.'!V14</f>
        <v>0</v>
      </c>
      <c r="V45" s="43">
        <f>'Income Stat.'!W14</f>
        <v>0</v>
      </c>
      <c r="W45" s="43">
        <f>'Income Stat.'!X14</f>
        <v>0</v>
      </c>
      <c r="X45" s="43">
        <f>'Income Stat.'!Y14</f>
        <v>0</v>
      </c>
      <c r="Y45" s="43">
        <f>'Income Stat.'!Z14</f>
        <v>0</v>
      </c>
      <c r="Z45" s="43">
        <f>'Income Stat.'!AA14</f>
        <v>0</v>
      </c>
      <c r="AA45" s="43">
        <f>'Income Stat.'!AB14</f>
        <v>362995573</v>
      </c>
      <c r="AB45" s="43">
        <f>'Income Stat.'!AC14</f>
        <v>0</v>
      </c>
      <c r="AC45" s="43">
        <f>'Income Stat.'!AD14</f>
        <v>0</v>
      </c>
      <c r="AD45" s="43">
        <f>'Income Stat.'!AE14</f>
        <v>0</v>
      </c>
      <c r="AE45" s="43">
        <f>'Income Stat.'!AF14</f>
        <v>0</v>
      </c>
      <c r="AF45" s="43">
        <f>'Income Stat.'!AG14</f>
        <v>0</v>
      </c>
      <c r="AG45" s="43">
        <f>'Income Stat.'!AH14</f>
        <v>0</v>
      </c>
      <c r="AH45" s="43">
        <f>'Income Stat.'!AI14</f>
        <v>0</v>
      </c>
      <c r="AI45" s="43">
        <f>'Income Stat.'!AJ14</f>
        <v>0</v>
      </c>
      <c r="AJ45" s="43">
        <f>'Income Stat.'!AK14</f>
        <v>0</v>
      </c>
      <c r="AK45" s="43">
        <f>'Income Stat.'!AL14</f>
        <v>0</v>
      </c>
      <c r="AL45" s="43">
        <f>'Income Stat.'!AM14</f>
        <v>0</v>
      </c>
      <c r="AM45" s="43">
        <f>'Income Stat.'!AN14</f>
        <v>0</v>
      </c>
      <c r="AN45" s="43">
        <f>'Income Stat.'!AO14</f>
        <v>0</v>
      </c>
      <c r="AO45" s="43">
        <f>'Income Stat.'!AP14</f>
        <v>0</v>
      </c>
      <c r="AP45" s="43">
        <f>'Income Stat.'!AQ14</f>
        <v>0</v>
      </c>
      <c r="AQ45" s="43">
        <f>'Income Stat.'!AR14</f>
        <v>0</v>
      </c>
      <c r="AR45" s="43">
        <f>'Income Stat.'!AS14</f>
        <v>0</v>
      </c>
      <c r="AS45" s="43">
        <f>'Income Stat.'!AT14</f>
        <v>0</v>
      </c>
      <c r="AT45" s="43">
        <f>'Income Stat.'!AU14</f>
        <v>0</v>
      </c>
      <c r="AU45" s="43">
        <f>'Income Stat.'!AV14</f>
        <v>0</v>
      </c>
      <c r="AV45" s="43">
        <f>'Income Stat.'!AW14</f>
        <v>0</v>
      </c>
      <c r="AW45" s="43">
        <f>'Income Stat.'!AX14</f>
        <v>0</v>
      </c>
    </row>
    <row r="46" spans="1:49">
      <c r="A46" s="42" t="s">
        <v>161</v>
      </c>
      <c r="B46" s="43">
        <f>'Income Stat.'!C16</f>
        <v>0</v>
      </c>
      <c r="C46" s="43">
        <f>'Income Stat.'!D16</f>
        <v>0</v>
      </c>
      <c r="D46" s="43">
        <f>'Income Stat.'!E16</f>
        <v>0</v>
      </c>
      <c r="E46" s="43">
        <f>'Income Stat.'!F16</f>
        <v>0</v>
      </c>
      <c r="F46" s="43">
        <f>'Income Stat.'!G16</f>
        <v>0</v>
      </c>
      <c r="G46" s="43">
        <f>'Income Stat.'!H16</f>
        <v>0</v>
      </c>
      <c r="H46" s="43">
        <f>'Income Stat.'!I16</f>
        <v>0</v>
      </c>
      <c r="I46" s="43">
        <f>'Income Stat.'!J16</f>
        <v>0</v>
      </c>
      <c r="J46" s="43">
        <f>'Income Stat.'!K16</f>
        <v>0</v>
      </c>
      <c r="K46" s="43">
        <f>'Income Stat.'!L16</f>
        <v>0</v>
      </c>
      <c r="L46" s="43">
        <f>'Income Stat.'!M16</f>
        <v>0</v>
      </c>
      <c r="M46" s="43">
        <f>'Income Stat.'!N16</f>
        <v>0</v>
      </c>
      <c r="N46" s="43">
        <f>'Income Stat.'!O16</f>
        <v>0</v>
      </c>
      <c r="O46" s="43">
        <f>'Income Stat.'!P16</f>
        <v>0</v>
      </c>
      <c r="P46" s="43">
        <f>'Income Stat.'!Q16</f>
        <v>0</v>
      </c>
      <c r="Q46" s="43">
        <f>'Income Stat.'!R16</f>
        <v>0</v>
      </c>
      <c r="R46" s="43">
        <f>'Income Stat.'!S16</f>
        <v>0</v>
      </c>
      <c r="S46" s="43">
        <f>'Income Stat.'!T16</f>
        <v>0</v>
      </c>
      <c r="T46" s="43">
        <f>'Income Stat.'!U16</f>
        <v>0</v>
      </c>
      <c r="U46" s="43">
        <f>'Income Stat.'!V16</f>
        <v>0</v>
      </c>
      <c r="V46" s="43">
        <f>'Income Stat.'!W16</f>
        <v>0</v>
      </c>
      <c r="W46" s="43">
        <f>'Income Stat.'!X16</f>
        <v>0</v>
      </c>
      <c r="X46" s="43">
        <f>'Income Stat.'!Y16</f>
        <v>0</v>
      </c>
      <c r="Y46" s="43">
        <f>'Income Stat.'!Z16</f>
        <v>0</v>
      </c>
      <c r="Z46" s="43">
        <f>'Income Stat.'!AA16</f>
        <v>0</v>
      </c>
      <c r="AA46" s="43">
        <f>'Income Stat.'!AB16</f>
        <v>0</v>
      </c>
      <c r="AB46" s="43">
        <f>'Income Stat.'!AC16</f>
        <v>0</v>
      </c>
      <c r="AC46" s="43">
        <f>'Income Stat.'!AD16</f>
        <v>0</v>
      </c>
      <c r="AD46" s="43">
        <f>'Income Stat.'!AE16</f>
        <v>0</v>
      </c>
      <c r="AE46" s="43">
        <f>'Income Stat.'!AF16</f>
        <v>0</v>
      </c>
      <c r="AF46" s="43">
        <f>'Income Stat.'!AG16</f>
        <v>0</v>
      </c>
      <c r="AG46" s="43">
        <f>'Income Stat.'!AH16</f>
        <v>0</v>
      </c>
      <c r="AH46" s="43">
        <f>'Income Stat.'!AI16</f>
        <v>0</v>
      </c>
      <c r="AI46" s="43">
        <f>'Income Stat.'!AJ16</f>
        <v>0</v>
      </c>
      <c r="AJ46" s="43">
        <f>'Income Stat.'!AK16</f>
        <v>0</v>
      </c>
      <c r="AK46" s="43">
        <f>'Income Stat.'!AL16</f>
        <v>0</v>
      </c>
      <c r="AL46" s="43">
        <f>'Income Stat.'!AM16</f>
        <v>0</v>
      </c>
      <c r="AM46" s="43">
        <f>'Income Stat.'!AN16</f>
        <v>0</v>
      </c>
      <c r="AN46" s="43">
        <f>'Income Stat.'!AO16</f>
        <v>0</v>
      </c>
      <c r="AO46" s="43">
        <f>'Income Stat.'!AP16</f>
        <v>0</v>
      </c>
      <c r="AP46" s="43">
        <f>'Income Stat.'!AQ16</f>
        <v>0</v>
      </c>
      <c r="AQ46" s="43">
        <f>'Income Stat.'!AR16</f>
        <v>0</v>
      </c>
      <c r="AR46" s="43">
        <f>'Income Stat.'!AS16</f>
        <v>0</v>
      </c>
      <c r="AS46" s="43">
        <f>'Income Stat.'!AT16</f>
        <v>0</v>
      </c>
      <c r="AT46" s="43">
        <f>'Income Stat.'!AU16</f>
        <v>0</v>
      </c>
      <c r="AU46" s="43">
        <f>'Income Stat.'!AV16</f>
        <v>0</v>
      </c>
      <c r="AV46" s="43">
        <f>'Income Stat.'!AW16</f>
        <v>0</v>
      </c>
      <c r="AW46" s="43">
        <f>'Income Stat.'!AX16</f>
        <v>0</v>
      </c>
    </row>
    <row r="47" spans="1:49">
      <c r="A47" s="42" t="s">
        <v>162</v>
      </c>
      <c r="B47" s="43">
        <f>'Income Stat.'!C15</f>
        <v>0</v>
      </c>
      <c r="C47" s="43">
        <f>'Income Stat.'!D15</f>
        <v>0</v>
      </c>
      <c r="D47" s="43">
        <f>'Income Stat.'!E15</f>
        <v>0</v>
      </c>
      <c r="E47" s="43">
        <f>'Income Stat.'!F15</f>
        <v>0</v>
      </c>
      <c r="F47" s="43">
        <f>'Income Stat.'!G15</f>
        <v>0</v>
      </c>
      <c r="G47" s="43">
        <f>'Income Stat.'!H15</f>
        <v>0</v>
      </c>
      <c r="H47" s="43">
        <f>'Income Stat.'!I15</f>
        <v>0</v>
      </c>
      <c r="I47" s="43">
        <f>'Income Stat.'!J15</f>
        <v>0</v>
      </c>
      <c r="J47" s="43">
        <f>'Income Stat.'!K15</f>
        <v>0</v>
      </c>
      <c r="K47" s="43">
        <f>'Income Stat.'!L15</f>
        <v>0</v>
      </c>
      <c r="L47" s="43">
        <f>'Income Stat.'!M15</f>
        <v>0</v>
      </c>
      <c r="M47" s="43">
        <f>'Income Stat.'!N15</f>
        <v>0</v>
      </c>
      <c r="N47" s="43">
        <f>'Income Stat.'!O15</f>
        <v>0</v>
      </c>
      <c r="O47" s="43">
        <f>'Income Stat.'!P15</f>
        <v>0</v>
      </c>
      <c r="P47" s="43">
        <f>'Income Stat.'!Q15</f>
        <v>0</v>
      </c>
      <c r="Q47" s="43">
        <f>'Income Stat.'!R15</f>
        <v>0</v>
      </c>
      <c r="R47" s="43">
        <f>'Income Stat.'!S15</f>
        <v>0</v>
      </c>
      <c r="S47" s="43">
        <f>'Income Stat.'!T15</f>
        <v>0</v>
      </c>
      <c r="T47" s="43">
        <f>'Income Stat.'!U15</f>
        <v>0</v>
      </c>
      <c r="U47" s="43">
        <f>'Income Stat.'!V15</f>
        <v>0</v>
      </c>
      <c r="V47" s="43">
        <f>'Income Stat.'!W15</f>
        <v>0</v>
      </c>
      <c r="W47" s="43">
        <f>'Income Stat.'!X15</f>
        <v>0</v>
      </c>
      <c r="X47" s="43">
        <f>'Income Stat.'!Y15</f>
        <v>0</v>
      </c>
      <c r="Y47" s="43">
        <f>'Income Stat.'!Z15</f>
        <v>0</v>
      </c>
      <c r="Z47" s="43">
        <f>'Income Stat.'!AA15</f>
        <v>0</v>
      </c>
      <c r="AA47" s="43">
        <f>'Income Stat.'!AB15</f>
        <v>0</v>
      </c>
      <c r="AB47" s="43">
        <f>'Income Stat.'!AC15</f>
        <v>0</v>
      </c>
      <c r="AC47" s="43">
        <f>'Income Stat.'!AD15</f>
        <v>0</v>
      </c>
      <c r="AD47" s="43">
        <f>'Income Stat.'!AE15</f>
        <v>0</v>
      </c>
      <c r="AE47" s="43">
        <f>'Income Stat.'!AF15</f>
        <v>0</v>
      </c>
      <c r="AF47" s="43">
        <f>'Income Stat.'!AG15</f>
        <v>0</v>
      </c>
      <c r="AG47" s="43">
        <f>'Income Stat.'!AH15</f>
        <v>0</v>
      </c>
      <c r="AH47" s="43">
        <f>'Income Stat.'!AI15</f>
        <v>0</v>
      </c>
      <c r="AI47" s="43">
        <f>'Income Stat.'!AJ15</f>
        <v>0</v>
      </c>
      <c r="AJ47" s="43">
        <f>'Income Stat.'!AK15</f>
        <v>0</v>
      </c>
      <c r="AK47" s="43">
        <f>'Income Stat.'!AL15</f>
        <v>0</v>
      </c>
      <c r="AL47" s="43">
        <f>'Income Stat.'!AM15</f>
        <v>0</v>
      </c>
      <c r="AM47" s="43">
        <f>'Income Stat.'!AN15</f>
        <v>0</v>
      </c>
      <c r="AN47" s="43">
        <f>'Income Stat.'!AO15</f>
        <v>0</v>
      </c>
      <c r="AO47" s="43">
        <f>'Income Stat.'!AP15</f>
        <v>0</v>
      </c>
      <c r="AP47" s="43">
        <f>'Income Stat.'!AQ15</f>
        <v>0</v>
      </c>
      <c r="AQ47" s="43">
        <f>'Income Stat.'!AR15</f>
        <v>0</v>
      </c>
      <c r="AR47" s="43">
        <f>'Income Stat.'!AS15</f>
        <v>0</v>
      </c>
      <c r="AS47" s="43">
        <f>'Income Stat.'!AT15</f>
        <v>0</v>
      </c>
      <c r="AT47" s="43">
        <f>'Income Stat.'!AU15</f>
        <v>0</v>
      </c>
      <c r="AU47" s="43">
        <f>'Income Stat.'!AV15</f>
        <v>0</v>
      </c>
      <c r="AV47" s="43">
        <f>'Income Stat.'!AW15</f>
        <v>0</v>
      </c>
      <c r="AW47" s="43">
        <f>'Income Stat.'!AX15</f>
        <v>0</v>
      </c>
    </row>
    <row r="48" spans="1:49">
      <c r="A48" s="51" t="s">
        <v>163</v>
      </c>
      <c r="B48" s="43">
        <f>'Income Stat.'!C30</f>
        <v>27208747.459999997</v>
      </c>
      <c r="C48" s="43">
        <f>'Income Stat.'!D30</f>
        <v>57697052.450000003</v>
      </c>
      <c r="D48" s="43">
        <f>'Income Stat.'!E30</f>
        <v>98569517.870000005</v>
      </c>
      <c r="E48" s="43">
        <f>'Income Stat.'!F30</f>
        <v>148120290.49000001</v>
      </c>
      <c r="F48" s="43">
        <f>'Income Stat.'!G30</f>
        <v>181676935.13999999</v>
      </c>
      <c r="G48" s="43">
        <f>'Income Stat.'!H30</f>
        <v>235678771.13999999</v>
      </c>
      <c r="H48" s="43">
        <f>'Income Stat.'!I30</f>
        <v>263953306.04999998</v>
      </c>
      <c r="I48" s="43">
        <f>'Income Stat.'!J30</f>
        <v>285712403.42000002</v>
      </c>
      <c r="J48" s="43">
        <f>'Income Stat.'!K30</f>
        <v>325949795.01999998</v>
      </c>
      <c r="K48" s="43">
        <f>'Income Stat.'!L30</f>
        <v>359787010.80000001</v>
      </c>
      <c r="L48" s="43">
        <f>'Income Stat.'!M30</f>
        <v>380652640.41000003</v>
      </c>
      <c r="M48" s="43">
        <f>'Income Stat.'!N30</f>
        <v>472063289.95000005</v>
      </c>
      <c r="N48" s="43">
        <f>'Income Stat.'!O30</f>
        <v>117708139.49000001</v>
      </c>
      <c r="O48" s="43">
        <f>'Income Stat.'!P30</f>
        <v>14973917.219999995</v>
      </c>
      <c r="P48" s="43">
        <f>'Income Stat.'!Q30</f>
        <v>46754215.030000001</v>
      </c>
      <c r="Q48" s="43">
        <f>'Income Stat.'!R30</f>
        <v>86160182.650000036</v>
      </c>
      <c r="R48" s="43">
        <f>'Income Stat.'!S30</f>
        <v>147286682.94999999</v>
      </c>
      <c r="S48" s="43">
        <f>'Income Stat.'!T30</f>
        <v>168999410.86000001</v>
      </c>
      <c r="T48" s="43">
        <f>'Income Stat.'!U30</f>
        <v>227792093.77000001</v>
      </c>
      <c r="U48" s="43">
        <f>'Income Stat.'!V30</f>
        <v>247737413.63</v>
      </c>
      <c r="V48" s="43">
        <f>'Income Stat.'!W30</f>
        <v>274566149.93000001</v>
      </c>
      <c r="W48" s="43">
        <f>'Income Stat.'!X30</f>
        <v>308970562.48000002</v>
      </c>
      <c r="X48" s="43">
        <f>'Income Stat.'!Y30</f>
        <v>341691962.19000006</v>
      </c>
      <c r="Y48" s="43">
        <f>'Income Stat.'!Z30</f>
        <v>376233907.29999995</v>
      </c>
      <c r="Z48" s="43">
        <f>'Income Stat.'!AA30</f>
        <v>430129643.29999995</v>
      </c>
      <c r="AA48" s="43">
        <f>'Income Stat.'!AB30</f>
        <v>50729251</v>
      </c>
      <c r="AB48" s="43">
        <f>'Income Stat.'!AC30</f>
        <v>0</v>
      </c>
      <c r="AC48" s="43">
        <f>'Income Stat.'!AD30</f>
        <v>0</v>
      </c>
      <c r="AD48" s="43">
        <f>'Income Stat.'!AE30</f>
        <v>0</v>
      </c>
      <c r="AE48" s="43">
        <f>'Income Stat.'!AF30</f>
        <v>0</v>
      </c>
      <c r="AF48" s="43">
        <f>'Income Stat.'!AG30</f>
        <v>0</v>
      </c>
      <c r="AG48" s="43">
        <f>'Income Stat.'!AH30</f>
        <v>0</v>
      </c>
      <c r="AH48" s="43">
        <f>'Income Stat.'!AI30</f>
        <v>0</v>
      </c>
      <c r="AI48" s="43">
        <f>'Income Stat.'!AJ30</f>
        <v>0</v>
      </c>
      <c r="AJ48" s="43">
        <f>'Income Stat.'!AK30</f>
        <v>0</v>
      </c>
      <c r="AK48" s="43">
        <f>'Income Stat.'!AL30</f>
        <v>0</v>
      </c>
      <c r="AL48" s="43">
        <f>'Income Stat.'!AM30</f>
        <v>0</v>
      </c>
      <c r="AM48" s="43">
        <f>'Income Stat.'!AN30</f>
        <v>0</v>
      </c>
      <c r="AN48" s="43">
        <f>'Income Stat.'!AO30</f>
        <v>0</v>
      </c>
      <c r="AO48" s="43">
        <f>'Income Stat.'!AP30</f>
        <v>0</v>
      </c>
      <c r="AP48" s="43">
        <f>'Income Stat.'!AQ30</f>
        <v>0</v>
      </c>
      <c r="AQ48" s="43">
        <f>'Income Stat.'!AR30</f>
        <v>0</v>
      </c>
      <c r="AR48" s="43">
        <f>'Income Stat.'!AS30</f>
        <v>0</v>
      </c>
      <c r="AS48" s="43">
        <f>'Income Stat.'!AT30</f>
        <v>0</v>
      </c>
      <c r="AT48" s="43">
        <f>'Income Stat.'!AU30</f>
        <v>0</v>
      </c>
      <c r="AU48" s="43">
        <f>'Income Stat.'!AV30</f>
        <v>0</v>
      </c>
      <c r="AV48" s="43">
        <f>'Income Stat.'!AW30</f>
        <v>0</v>
      </c>
      <c r="AW48" s="43">
        <f>'Income Stat.'!AX30</f>
        <v>0</v>
      </c>
    </row>
    <row r="49" spans="1:14">
      <c r="A49" s="52" t="s">
        <v>164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9"/>
  <sheetViews>
    <sheetView tabSelected="1" workbookViewId="0">
      <pane xSplit="3" topLeftCell="Y1" activePane="topRight" state="frozen"/>
      <selection pane="topRight" activeCell="U19" sqref="U19:AJ19"/>
    </sheetView>
  </sheetViews>
  <sheetFormatPr defaultColWidth="9.140625" defaultRowHeight="13.9"/>
  <cols>
    <col min="1" max="1" width="26.28515625" style="19" bestFit="1" customWidth="1"/>
    <col min="2" max="2" width="36.42578125" style="19" customWidth="1"/>
    <col min="3" max="3" width="15.140625" style="19" bestFit="1" customWidth="1"/>
    <col min="4" max="5" width="14" style="19" customWidth="1"/>
    <col min="6" max="6" width="14" style="19" bestFit="1" customWidth="1"/>
    <col min="7" max="8" width="12.28515625" style="19" customWidth="1"/>
    <col min="9" max="9" width="14" style="19" bestFit="1" customWidth="1"/>
    <col min="10" max="11" width="14" style="19" customWidth="1"/>
    <col min="12" max="12" width="14" style="19" bestFit="1" customWidth="1"/>
    <col min="13" max="14" width="14" style="19" customWidth="1"/>
    <col min="15" max="15" width="14" style="19" bestFit="1" customWidth="1"/>
    <col min="16" max="16" width="12" style="19" bestFit="1" customWidth="1"/>
    <col min="17" max="21" width="13.42578125" style="19" bestFit="1" customWidth="1"/>
    <col min="22" max="23" width="12" style="19" bestFit="1" customWidth="1"/>
    <col min="24" max="28" width="13.42578125" style="19" bestFit="1" customWidth="1"/>
    <col min="29" max="29" width="12" style="19" bestFit="1" customWidth="1"/>
    <col min="30" max="37" width="7.7109375" style="19" bestFit="1" customWidth="1"/>
    <col min="38" max="16384" width="9.140625" style="19"/>
  </cols>
  <sheetData>
    <row r="1" spans="1:40">
      <c r="A1" s="17" t="s">
        <v>165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40" ht="14.45" thickBot="1">
      <c r="A2" s="53"/>
      <c r="B2" s="53"/>
      <c r="C2" s="53" t="s">
        <v>166</v>
      </c>
      <c r="D2" s="21" t="s">
        <v>167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12</v>
      </c>
      <c r="N2" s="21" t="s">
        <v>13</v>
      </c>
      <c r="O2" s="21" t="s">
        <v>14</v>
      </c>
      <c r="P2" s="21" t="s">
        <v>15</v>
      </c>
      <c r="Q2" s="162">
        <v>44562</v>
      </c>
      <c r="R2" s="162">
        <v>44593</v>
      </c>
      <c r="S2" s="162">
        <v>44621</v>
      </c>
      <c r="T2" s="162">
        <v>44652</v>
      </c>
      <c r="U2" s="162">
        <v>44682</v>
      </c>
      <c r="V2" s="162">
        <v>44713</v>
      </c>
      <c r="W2" s="162">
        <v>44743</v>
      </c>
      <c r="X2" s="162">
        <v>44774</v>
      </c>
      <c r="Y2" s="162">
        <v>44805</v>
      </c>
      <c r="Z2" s="162">
        <v>44835</v>
      </c>
      <c r="AA2" s="162">
        <v>44866</v>
      </c>
      <c r="AB2" s="162">
        <v>44896</v>
      </c>
      <c r="AC2" s="162" t="s">
        <v>124</v>
      </c>
      <c r="AD2" s="162"/>
    </row>
    <row r="3" spans="1:40">
      <c r="A3" s="68" t="s">
        <v>168</v>
      </c>
      <c r="B3" s="54" t="s">
        <v>134</v>
      </c>
      <c r="C3" s="55" t="s">
        <v>169</v>
      </c>
      <c r="D3" s="56">
        <f>Financials!B13</f>
        <v>446959264.14999992</v>
      </c>
      <c r="E3" s="56">
        <f>Financials!C13</f>
        <v>479841137.76000005</v>
      </c>
      <c r="F3" s="56">
        <f>Financials!D13</f>
        <v>514903972.72000009</v>
      </c>
      <c r="G3" s="56">
        <f>Financials!E13</f>
        <v>597741822.13999987</v>
      </c>
      <c r="H3" s="56">
        <f>Financials!F13</f>
        <v>679322624.61999989</v>
      </c>
      <c r="I3" s="56">
        <f>Financials!G13</f>
        <v>735068777.94000006</v>
      </c>
      <c r="J3" s="56">
        <f>Financials!H13</f>
        <v>765070641.71000004</v>
      </c>
      <c r="K3" s="56">
        <f>Financials!I13</f>
        <v>1014278599.6899999</v>
      </c>
      <c r="L3" s="56">
        <f>Financials!J13</f>
        <v>1055998260.7400001</v>
      </c>
      <c r="M3" s="56">
        <f>Financials!K13</f>
        <v>1091106574.8</v>
      </c>
      <c r="N3" s="56">
        <f>Financials!L13</f>
        <v>1113466713.4199998</v>
      </c>
      <c r="O3" s="56">
        <f>Financials!M13</f>
        <v>1197075703.7599998</v>
      </c>
      <c r="P3" s="56">
        <f>Financials!N13</f>
        <v>799603284.61903989</v>
      </c>
      <c r="Q3" s="56">
        <f>Financials!O13</f>
        <v>1213313099.6599998</v>
      </c>
      <c r="R3" s="56">
        <f>Financials!P13</f>
        <v>1246328240.5899999</v>
      </c>
      <c r="S3" s="56">
        <f>Financials!Q13</f>
        <v>1287757278.1199999</v>
      </c>
      <c r="T3" s="56">
        <f>Financials!R13</f>
        <v>946015267.09000003</v>
      </c>
      <c r="U3" s="56">
        <f>Financials!S13</f>
        <v>969382443.74000013</v>
      </c>
      <c r="V3" s="56">
        <f>Financials!T13</f>
        <v>1029644988.1900001</v>
      </c>
      <c r="W3" s="56">
        <f>Financials!U13</f>
        <v>1050970050.96</v>
      </c>
      <c r="X3" s="56">
        <f>Financials!V13</f>
        <v>1079408113.3699999</v>
      </c>
      <c r="Y3" s="56">
        <f>Financials!W13</f>
        <v>1115474924.9499998</v>
      </c>
      <c r="Z3" s="56">
        <f>Financials!X13</f>
        <v>1149324781.26</v>
      </c>
      <c r="AA3" s="56">
        <f>Financials!Y13</f>
        <v>1185097425.75</v>
      </c>
      <c r="AB3" s="56">
        <f>Financials!Z13</f>
        <v>1220526741.5799999</v>
      </c>
      <c r="AC3" s="56">
        <f>Financials!AA13</f>
        <v>903405718.95000005</v>
      </c>
      <c r="AD3" s="56">
        <f>Financials!AB13</f>
        <v>0</v>
      </c>
      <c r="AE3" s="56">
        <f>Financials!AC13</f>
        <v>0</v>
      </c>
      <c r="AF3" s="56">
        <f>Financials!AD13</f>
        <v>0</v>
      </c>
      <c r="AG3" s="56">
        <f>Financials!AE13</f>
        <v>0</v>
      </c>
      <c r="AH3" s="56">
        <f>Financials!AF13</f>
        <v>0</v>
      </c>
      <c r="AI3" s="56">
        <f>Financials!AG13</f>
        <v>0</v>
      </c>
      <c r="AJ3" s="56">
        <f>Financials!AH13</f>
        <v>0</v>
      </c>
      <c r="AK3" s="56">
        <f>Financials!AI13</f>
        <v>0</v>
      </c>
      <c r="AL3" s="56">
        <f>Financials!AJ13</f>
        <v>0</v>
      </c>
      <c r="AM3" s="56">
        <f>Financials!AK13</f>
        <v>0</v>
      </c>
      <c r="AN3" s="56">
        <f>Financials!AL13</f>
        <v>0</v>
      </c>
    </row>
    <row r="4" spans="1:40">
      <c r="A4" s="69"/>
      <c r="B4" s="16" t="s">
        <v>170</v>
      </c>
      <c r="C4" s="15">
        <v>0.1</v>
      </c>
      <c r="D4" s="22">
        <f>Financials!B13/Financials!B5</f>
        <v>9.5869684929482071E-2</v>
      </c>
      <c r="E4" s="22">
        <f>Financials!C13/Financials!C5</f>
        <v>0.10203956107911057</v>
      </c>
      <c r="F4" s="22">
        <f>Financials!D13/Financials!D5</f>
        <v>0.10921169882928583</v>
      </c>
      <c r="G4" s="22">
        <f>Financials!E13/Financials!E5</f>
        <v>0.1307532947127393</v>
      </c>
      <c r="H4" s="22">
        <f>Financials!F13/Financials!F5</f>
        <v>0.14731226968518166</v>
      </c>
      <c r="I4" s="22">
        <f>Financials!G13/Financials!G5</f>
        <v>0.15633170162029378</v>
      </c>
      <c r="J4" s="22">
        <f>Financials!H13/Financials!H5</f>
        <v>0.16217635203579855</v>
      </c>
      <c r="K4" s="22">
        <f>Financials!I13/Financials!I5</f>
        <v>0.21173370927838792</v>
      </c>
      <c r="L4" s="22">
        <f>Financials!J13/Financials!J5</f>
        <v>0.21738202442897725</v>
      </c>
      <c r="M4" s="22">
        <f>Financials!K13/Financials!K5</f>
        <v>0.22139820183362191</v>
      </c>
      <c r="N4" s="22">
        <f>Financials!L13/Financials!L5</f>
        <v>0.22264619306044608</v>
      </c>
      <c r="O4" s="22">
        <f>Financials!M13/Financials!M5</f>
        <v>0.2349155236564229</v>
      </c>
      <c r="P4" s="22">
        <f>Financials!N13/Financials!N5</f>
        <v>0.15703232276363815</v>
      </c>
      <c r="Q4" s="22">
        <f>Financials!O13/Financials!O5</f>
        <v>0.23633250575380885</v>
      </c>
      <c r="R4" s="22">
        <f>Financials!P13/Financials!P5</f>
        <v>0.24196618650295348</v>
      </c>
      <c r="S4" s="22">
        <f>Financials!Q13/Financials!Q5</f>
        <v>0.24655823757264697</v>
      </c>
      <c r="T4" s="22">
        <f>Financials!R13/Financials!R5</f>
        <v>0.18909650136414716</v>
      </c>
      <c r="U4" s="22">
        <f>Financials!S13/Financials!S5</f>
        <v>0.19179152254788506</v>
      </c>
      <c r="V4" s="22">
        <f>Financials!T13/Financials!T5</f>
        <v>0.20162248175494549</v>
      </c>
      <c r="W4" s="22">
        <f>Financials!U13/Financials!U5</f>
        <v>0.20580496479302621</v>
      </c>
      <c r="X4" s="22">
        <f>Financials!V13/Financials!V5</f>
        <v>0.21077941578841994</v>
      </c>
      <c r="Y4" s="22">
        <f>Financials!W13/Financials!W5</f>
        <v>0.21488429639009018</v>
      </c>
      <c r="Z4" s="22">
        <f>Financials!X13/Financials!X5</f>
        <v>0.21909301507873011</v>
      </c>
      <c r="AA4" s="22">
        <f>Financials!Y13/Financials!Y5</f>
        <v>0.22536493661001072</v>
      </c>
      <c r="AB4" s="22">
        <f>Financials!Z13/Financials!Z5</f>
        <v>0.22763053570148056</v>
      </c>
      <c r="AC4" s="22">
        <f>Financials!AA13/Financials!AA5</f>
        <v>0.16597027483249047</v>
      </c>
      <c r="AD4" s="22" t="e">
        <f>Financials!AB13/Financials!AB5</f>
        <v>#DIV/0!</v>
      </c>
      <c r="AE4" s="22" t="e">
        <f>Financials!AC13/Financials!AC5</f>
        <v>#DIV/0!</v>
      </c>
      <c r="AF4" s="22" t="e">
        <f>Financials!AD13/Financials!AD5</f>
        <v>#DIV/0!</v>
      </c>
      <c r="AG4" s="22" t="e">
        <f>Financials!AE13/Financials!AE5</f>
        <v>#DIV/0!</v>
      </c>
      <c r="AH4" s="22" t="e">
        <f>Financials!AF13/Financials!AF5</f>
        <v>#DIV/0!</v>
      </c>
      <c r="AI4" s="22" t="e">
        <f>Financials!AG13/Financials!AG5</f>
        <v>#DIV/0!</v>
      </c>
      <c r="AJ4" s="22" t="e">
        <f>Financials!AH13/Financials!AH5</f>
        <v>#DIV/0!</v>
      </c>
      <c r="AK4" s="22" t="e">
        <f>Financials!AI13/Financials!AI5</f>
        <v>#DIV/0!</v>
      </c>
      <c r="AL4" s="22" t="e">
        <f>Financials!AJ13/Financials!AJ5</f>
        <v>#DIV/0!</v>
      </c>
      <c r="AM4" s="22" t="e">
        <f>Financials!AK13/Financials!AK5</f>
        <v>#DIV/0!</v>
      </c>
      <c r="AN4" s="22" t="e">
        <f>Financials!AL13/Financials!AL5</f>
        <v>#DIV/0!</v>
      </c>
    </row>
    <row r="5" spans="1:40">
      <c r="A5" s="69"/>
      <c r="B5" s="16" t="s">
        <v>171</v>
      </c>
      <c r="C5" s="15">
        <v>0.08</v>
      </c>
      <c r="D5" s="22">
        <f>Financials!B13/Financials!B6</f>
        <v>0.13145694965582935</v>
      </c>
      <c r="E5" s="22">
        <f>Financials!C13/Financials!C6</f>
        <v>0.14062674935389949</v>
      </c>
      <c r="F5" s="22">
        <f>Financials!D13/Financials!D6</f>
        <v>0.15045098666004333</v>
      </c>
      <c r="G5" s="22">
        <f>Financials!E13/Financials!E6</f>
        <v>0.16854905285555577</v>
      </c>
      <c r="H5" s="22">
        <f>Financials!F13/Financials!F6</f>
        <v>0.19186373632896131</v>
      </c>
      <c r="I5" s="22">
        <f>Financials!G13/Financials!G6</f>
        <v>0.20879142892461899</v>
      </c>
      <c r="J5" s="22">
        <f>Financials!H13/Financials!H6</f>
        <v>0.21577623183499761</v>
      </c>
      <c r="K5" s="22">
        <f>Financials!I13/Financials!I6</f>
        <v>0.28611984028147774</v>
      </c>
      <c r="L5" s="22">
        <f>Financials!J13/Financials!J6</f>
        <v>0.29514395076773242</v>
      </c>
      <c r="M5" s="22">
        <f>Financials!K13/Financials!K6</f>
        <v>0.30133245480694737</v>
      </c>
      <c r="N5" s="22">
        <f>Financials!L13/Financials!L6</f>
        <v>0.30392757115677593</v>
      </c>
      <c r="O5" s="22">
        <f>Financials!M13/Financials!M6</f>
        <v>0.32269104317077735</v>
      </c>
      <c r="P5" s="22">
        <f>Financials!N13/Financials!N6</f>
        <v>0.21330688686076574</v>
      </c>
      <c r="Q5" s="22">
        <f>Financials!O13/Financials!O6</f>
        <v>0.32686675879864946</v>
      </c>
      <c r="R5" s="22">
        <f>Financials!P13/Financials!P6</f>
        <v>0.33453775632050936</v>
      </c>
      <c r="S5" s="22">
        <f>Financials!Q13/Financials!Q6</f>
        <v>0.34184352538421969</v>
      </c>
      <c r="T5" s="22">
        <f>Financials!R13/Financials!R6</f>
        <v>0.24055960922666103</v>
      </c>
      <c r="U5" s="22">
        <f>Financials!S13/Financials!S6</f>
        <v>0.24856945786801385</v>
      </c>
      <c r="V5" s="22">
        <f>Financials!T13/Financials!T6</f>
        <v>0.26465035084358879</v>
      </c>
      <c r="W5" s="22">
        <f>Financials!U13/Financials!U6</f>
        <v>0.26849171509361736</v>
      </c>
      <c r="X5" s="22">
        <f>Financials!V13/Financials!V6</f>
        <v>0.27600980862049462</v>
      </c>
      <c r="Y5" s="22">
        <f>Financials!W13/Financials!W6</f>
        <v>0.28492332920854757</v>
      </c>
      <c r="Z5" s="22">
        <f>Financials!X13/Financials!X6</f>
        <v>0.29047582517945814</v>
      </c>
      <c r="AA5" s="22">
        <f>Financials!Y13/Financials!Y6</f>
        <v>0.29984312147241593</v>
      </c>
      <c r="AB5" s="22">
        <f>Financials!Z13/Financials!Z6</f>
        <v>0.33760600135197166</v>
      </c>
      <c r="AC5" s="22">
        <f>Financials!AA13/Financials!AA6</f>
        <v>0.24696206009064295</v>
      </c>
      <c r="AD5" s="22" t="e">
        <f>Financials!AB13/Financials!AB6</f>
        <v>#DIV/0!</v>
      </c>
      <c r="AE5" s="22" t="e">
        <f>Financials!AC13/Financials!AC6</f>
        <v>#DIV/0!</v>
      </c>
      <c r="AF5" s="22" t="e">
        <f>Financials!AD13/Financials!AD6</f>
        <v>#DIV/0!</v>
      </c>
      <c r="AG5" s="22" t="e">
        <f>Financials!AE13/Financials!AE6</f>
        <v>#DIV/0!</v>
      </c>
      <c r="AH5" s="22" t="e">
        <f>Financials!AF13/Financials!AF6</f>
        <v>#DIV/0!</v>
      </c>
      <c r="AI5" s="22" t="e">
        <f>Financials!AG13/Financials!AG6</f>
        <v>#DIV/0!</v>
      </c>
      <c r="AJ5" s="22" t="e">
        <f>Financials!AH13/Financials!AH6</f>
        <v>#DIV/0!</v>
      </c>
      <c r="AK5" s="22" t="e">
        <f>Financials!AI13/Financials!AI6</f>
        <v>#DIV/0!</v>
      </c>
      <c r="AL5" s="22" t="e">
        <f>Financials!AJ13/Financials!AJ6</f>
        <v>#DIV/0!</v>
      </c>
      <c r="AM5" s="22" t="e">
        <f>Financials!AK13/Financials!AK6</f>
        <v>#DIV/0!</v>
      </c>
      <c r="AN5" s="22" t="e">
        <f>Financials!AL13/Financials!AL6</f>
        <v>#DIV/0!</v>
      </c>
    </row>
    <row r="6" spans="1:40" ht="14.45" thickBot="1">
      <c r="A6" s="70"/>
      <c r="B6" s="57" t="s">
        <v>172</v>
      </c>
      <c r="C6" s="58">
        <v>0.08</v>
      </c>
      <c r="D6" s="59">
        <f>(Financials!B13-Financials!B16)/Financials!B5</f>
        <v>5.3300362009491786E-2</v>
      </c>
      <c r="E6" s="59">
        <f>(Financials!C13-Financials!C16)/Financials!C5</f>
        <v>5.9326476963582342E-2</v>
      </c>
      <c r="F6" s="59">
        <f>(Financials!D13-Financials!D16)/Financials!D5</f>
        <v>6.6131551834521768E-2</v>
      </c>
      <c r="G6" s="59">
        <f>(Financials!E13-Financials!E16)/Financials!E5</f>
        <v>7.9042211578302435E-2</v>
      </c>
      <c r="H6" s="59">
        <f>(Financials!F13-Financials!F16)/Financials!F5</f>
        <v>9.647732596798092E-2</v>
      </c>
      <c r="I6" s="59">
        <f>(Financials!G13-Financials!G16)/Financials!G5</f>
        <v>0.10610459443158163</v>
      </c>
      <c r="J6" s="59">
        <f>(Financials!H13-Financials!H16)/Financials!H5</f>
        <v>0.11174855982986875</v>
      </c>
      <c r="K6" s="59">
        <f>(Financials!I15-Financials!I16)/Financials!I5</f>
        <v>0.16171683533838938</v>
      </c>
      <c r="L6" s="59">
        <f>(Financials!J15-Financials!J16)/Financials!J5</f>
        <v>0.1677544895535496</v>
      </c>
      <c r="M6" s="59">
        <f>(Financials!K15-Financials!K16)/Financials!K5</f>
        <v>0.17222222479321395</v>
      </c>
      <c r="N6" s="59">
        <f>(Financials!L15-Financials!L16)/Financials!L5</f>
        <v>0.17388727574516202</v>
      </c>
      <c r="O6" s="59">
        <f>(Financials!M15-Financials!M16)/Financials!M5</f>
        <v>0.18663145485736379</v>
      </c>
      <c r="P6" s="62">
        <f>(Financials!N15-Financials!N16)/Financials!N5</f>
        <v>0.10871217598158057</v>
      </c>
      <c r="Q6" s="62">
        <f>(Financials!O15-Financials!O16)/Financials!O5</f>
        <v>0.18816115784676588</v>
      </c>
      <c r="R6" s="62">
        <f>(Financials!P15-Financials!P16)/Financials!P5</f>
        <v>0.19371327023221394</v>
      </c>
      <c r="S6" s="62">
        <f>(Financials!Q15-Financials!Q16)/Financials!Q5</f>
        <v>0.19858405841134283</v>
      </c>
      <c r="T6" s="62">
        <f>(Financials!R15-Financials!R16)/Financials!R5</f>
        <v>0.13301306228372531</v>
      </c>
      <c r="U6" s="62">
        <f>(Financials!S15-Financials!S16)/Financials!S5</f>
        <v>0.13595261674348755</v>
      </c>
      <c r="V6" s="62">
        <f>(Financials!T15-Financials!T16)/Financials!T5</f>
        <v>0.1460691590415466</v>
      </c>
      <c r="W6" s="62">
        <f>(Financials!U15-Financials!U16)/Financials!U5</f>
        <v>0.14997911252993135</v>
      </c>
      <c r="X6" s="62">
        <f>(Financials!V15-Financials!V16)/Financials!V5</f>
        <v>0.15479629181942059</v>
      </c>
      <c r="Y6" s="62">
        <f>(Financials!W15-Financials!W16)/Financials!W5</f>
        <v>0.15933603248922312</v>
      </c>
      <c r="Z6" s="62">
        <f>(Financials!X15-Financials!X16)/Financials!X5</f>
        <v>0.16390971669760418</v>
      </c>
      <c r="AA6" s="62">
        <f>(Financials!Y15-Financials!Y16)/Financials!Y5</f>
        <v>0.17008182599722388</v>
      </c>
      <c r="AB6" s="62">
        <f>(Financials!Z15-Financials!Z16)/Financials!Z5</f>
        <v>0.17312653178767437</v>
      </c>
      <c r="AC6" s="62">
        <f>(Financials!AA15-Financials!AA16)/Financials!AA5</f>
        <v>0.11228036637300561</v>
      </c>
      <c r="AD6" s="62" t="e">
        <f>(Financials!AB15-Financials!AB16)/Financials!AB5</f>
        <v>#DIV/0!</v>
      </c>
      <c r="AE6" s="62" t="e">
        <f>(Financials!AC15-Financials!AC16)/Financials!AC5</f>
        <v>#DIV/0!</v>
      </c>
      <c r="AF6" s="62" t="e">
        <f>(Financials!AD15-Financials!AD16)/Financials!AD5</f>
        <v>#DIV/0!</v>
      </c>
      <c r="AG6" s="62" t="e">
        <f>(Financials!AE15-Financials!AE16)/Financials!AE5</f>
        <v>#DIV/0!</v>
      </c>
      <c r="AH6" s="62" t="e">
        <f>(Financials!AF15-Financials!AF16)/Financials!AF5</f>
        <v>#DIV/0!</v>
      </c>
      <c r="AI6" s="62" t="e">
        <f>(Financials!AG15-Financials!AG16)/Financials!AG5</f>
        <v>#DIV/0!</v>
      </c>
      <c r="AJ6" s="62" t="e">
        <f>(Financials!AH15-Financials!AH16)/Financials!AH5</f>
        <v>#DIV/0!</v>
      </c>
      <c r="AK6" s="62" t="e">
        <f>(Financials!AI15-Financials!AI16)/Financials!AI5</f>
        <v>#DIV/0!</v>
      </c>
      <c r="AL6" s="62" t="e">
        <f>(Financials!AJ15-Financials!AJ16)/Financials!AJ5</f>
        <v>#DIV/0!</v>
      </c>
      <c r="AM6" s="62" t="e">
        <f>(Financials!AK15-Financials!AK16)/Financials!AK5</f>
        <v>#DIV/0!</v>
      </c>
      <c r="AN6" s="62" t="e">
        <f>(Financials!AL15-Financials!AL16)/Financials!AL5</f>
        <v>#DIV/0!</v>
      </c>
    </row>
    <row r="7" spans="1:40">
      <c r="A7" s="68" t="s">
        <v>173</v>
      </c>
      <c r="B7" s="54" t="s">
        <v>174</v>
      </c>
      <c r="C7" s="54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173">
        <v>0.22</v>
      </c>
      <c r="AC7" s="173">
        <v>0.22</v>
      </c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</row>
    <row r="8" spans="1:40">
      <c r="A8" s="69"/>
      <c r="B8" s="16" t="s">
        <v>175</v>
      </c>
      <c r="C8" s="16"/>
      <c r="D8" s="23"/>
      <c r="E8" s="23"/>
      <c r="F8" s="23"/>
      <c r="G8" s="23"/>
      <c r="H8" s="23"/>
      <c r="I8" s="23">
        <v>0.13</v>
      </c>
      <c r="J8" s="23">
        <v>1.1299999999999999</v>
      </c>
      <c r="K8" s="23"/>
      <c r="L8" s="23"/>
      <c r="M8" s="23"/>
      <c r="N8" s="23"/>
      <c r="O8" s="23"/>
      <c r="P8" s="163">
        <v>0.48</v>
      </c>
      <c r="Q8" s="163"/>
      <c r="R8" s="163"/>
      <c r="S8" s="163">
        <v>0.43</v>
      </c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</row>
    <row r="9" spans="1:40">
      <c r="A9" s="69"/>
      <c r="B9" s="16" t="s">
        <v>176</v>
      </c>
      <c r="C9" s="14" t="s">
        <v>177</v>
      </c>
      <c r="D9" s="22">
        <f>('Balance Sheet'!C7+'Balance Sheet'!C20)/'Balance Sheet'!C26</f>
        <v>2.4099439992895964E-2</v>
      </c>
      <c r="E9" s="22">
        <f>('Balance Sheet'!D7+'Balance Sheet'!D20)/'Balance Sheet'!D26</f>
        <v>2.3898355774832781E-2</v>
      </c>
      <c r="F9" s="22">
        <f>('Balance Sheet'!E7+'Balance Sheet'!E20)/'Balance Sheet'!E26</f>
        <v>2.443602590984845E-2</v>
      </c>
      <c r="G9" s="22">
        <f>('Balance Sheet'!F7+'Balance Sheet'!F20)/'Balance Sheet'!F26</f>
        <v>2.5444148837233241E-2</v>
      </c>
      <c r="H9" s="22">
        <f>('Balance Sheet'!G7+'Balance Sheet'!G20)/'Balance Sheet'!G26</f>
        <v>2.5296988694343103E-2</v>
      </c>
      <c r="I9" s="22">
        <f>('Balance Sheet'!H7+'Balance Sheet'!H20)/'Balance Sheet'!H26</f>
        <v>2.4829284086164805E-2</v>
      </c>
      <c r="J9" s="22">
        <f>('Balance Sheet'!I7+'Balance Sheet'!I20)/'Balance Sheet'!I26</f>
        <v>2.4781539658171134E-2</v>
      </c>
      <c r="K9" s="22">
        <f>('Balance Sheet'!J7+'Balance Sheet'!J20)/'Balance Sheet'!J26</f>
        <v>2.4430961398153116E-2</v>
      </c>
      <c r="L9" s="22">
        <f>('Balance Sheet'!K7+'Balance Sheet'!K20)/'Balance Sheet'!K26</f>
        <v>2.3953745939482171E-2</v>
      </c>
      <c r="M9" s="22">
        <f>('Balance Sheet'!L7+'Balance Sheet'!L20)/'Balance Sheet'!L26</f>
        <v>2.3483724775902395E-2</v>
      </c>
      <c r="N9" s="22">
        <f>('Balance Sheet'!M7+'Balance Sheet'!M20)/'Balance Sheet'!M26</f>
        <v>2.318469778728894E-2</v>
      </c>
      <c r="O9" s="22">
        <f>('Balance Sheet'!N7+'Balance Sheet'!N20)/'Balance Sheet'!N26</f>
        <v>2.0904047337128664E-2</v>
      </c>
      <c r="P9" s="22">
        <f>('Balance Sheet'!O7+'Balance Sheet'!O20)/'Balance Sheet'!O26</f>
        <v>2.7217196963889217E-2</v>
      </c>
      <c r="Q9" s="22">
        <f>('Balance Sheet'!P7+'Balance Sheet'!P20)/'Balance Sheet'!P26</f>
        <v>2.0760792614772483E-2</v>
      </c>
      <c r="R9" s="22">
        <f>('Balance Sheet'!Q7+'Balance Sheet'!Q20)/'Balance Sheet'!Q26</f>
        <v>2.0707069909233239E-2</v>
      </c>
      <c r="S9" s="22">
        <f>('Balance Sheet'!R7+'Balance Sheet'!R20)/'Balance Sheet'!R26</f>
        <v>2.049478294904623E-2</v>
      </c>
      <c r="T9" s="22">
        <f>('Balance Sheet'!S7+'Balance Sheet'!S20)/'Balance Sheet'!S26</f>
        <v>2.2226436398641268E-2</v>
      </c>
      <c r="U9" s="22">
        <f>('Balance Sheet'!T7+'Balance Sheet'!T20)/'Balance Sheet'!T26</f>
        <v>2.2064684100886901E-2</v>
      </c>
      <c r="V9" s="22">
        <f>('Balance Sheet'!U7+'Balance Sheet'!U20)/'Balance Sheet'!U26</f>
        <v>2.2959874770740237E-2</v>
      </c>
      <c r="W9" s="22">
        <f>('Balance Sheet'!V7+'Balance Sheet'!V20)/'Balance Sheet'!V26</f>
        <v>2.3102113242082292E-2</v>
      </c>
      <c r="X9" s="22">
        <f>('Balance Sheet'!W7+'Balance Sheet'!W20)/'Balance Sheet'!W26</f>
        <v>2.3088752044802128E-2</v>
      </c>
      <c r="Y9" s="22">
        <f>('Balance Sheet'!X7+'Balance Sheet'!X20)/'Balance Sheet'!X26</f>
        <v>2.2098768240688516E-2</v>
      </c>
      <c r="Z9" s="22">
        <f>('Balance Sheet'!Y7+'Balance Sheet'!Y20)/'Balance Sheet'!Y26</f>
        <v>2.1873931510235988E-2</v>
      </c>
      <c r="AA9" s="22">
        <f>('Balance Sheet'!Z7+'Balance Sheet'!Z20)/'Balance Sheet'!Z26</f>
        <v>2.1820460777792233E-2</v>
      </c>
      <c r="AB9" s="22">
        <f>('Balance Sheet'!AA7+'Balance Sheet'!AA20)/'Balance Sheet'!AA26</f>
        <v>6.2651364620261371E-2</v>
      </c>
      <c r="AC9" s="22">
        <f>('Balance Sheet'!AB7+'Balance Sheet'!AB20)/'Balance Sheet'!AB26</f>
        <v>6.9773346690863117E-2</v>
      </c>
      <c r="AD9" s="22" t="e">
        <f>('Balance Sheet'!AC7+'Balance Sheet'!AC20)/'Balance Sheet'!AC26</f>
        <v>#DIV/0!</v>
      </c>
      <c r="AE9" s="22" t="e">
        <f>('Balance Sheet'!AD7+'Balance Sheet'!AD20)/'Balance Sheet'!AD26</f>
        <v>#DIV/0!</v>
      </c>
      <c r="AF9" s="22" t="e">
        <f>('Balance Sheet'!AE7+'Balance Sheet'!AE20)/'Balance Sheet'!AE26</f>
        <v>#DIV/0!</v>
      </c>
      <c r="AG9" s="22" t="e">
        <f>('Balance Sheet'!AF7+'Balance Sheet'!AF20)/'Balance Sheet'!AF26</f>
        <v>#DIV/0!</v>
      </c>
      <c r="AH9" s="22" t="e">
        <f>('Balance Sheet'!AG7+'Balance Sheet'!AG20)/'Balance Sheet'!AG26</f>
        <v>#DIV/0!</v>
      </c>
      <c r="AI9" s="22" t="e">
        <f>('Balance Sheet'!AH7+'Balance Sheet'!AH20)/'Balance Sheet'!AH26</f>
        <v>#DIV/0!</v>
      </c>
      <c r="AJ9" s="22" t="e">
        <f>('Balance Sheet'!AI7+'Balance Sheet'!AI20)/'Balance Sheet'!AI26</f>
        <v>#DIV/0!</v>
      </c>
      <c r="AK9" s="22" t="e">
        <f>('Balance Sheet'!AJ7+'Balance Sheet'!AJ20)/'Balance Sheet'!AJ26</f>
        <v>#DIV/0!</v>
      </c>
      <c r="AL9" s="22" t="e">
        <f>('Balance Sheet'!AK7+'Balance Sheet'!AK20)/'Balance Sheet'!AK26</f>
        <v>#DIV/0!</v>
      </c>
      <c r="AM9" s="22" t="e">
        <f>('Balance Sheet'!AL7+'Balance Sheet'!AL20)/'Balance Sheet'!AL26</f>
        <v>#DIV/0!</v>
      </c>
      <c r="AN9" s="22" t="e">
        <f>('Balance Sheet'!AM7+'Balance Sheet'!AM20)/'Balance Sheet'!AM26</f>
        <v>#DIV/0!</v>
      </c>
    </row>
    <row r="10" spans="1:40" ht="14.45" thickBot="1">
      <c r="A10" s="70"/>
      <c r="B10" s="57" t="s">
        <v>178</v>
      </c>
      <c r="C10" s="61" t="s">
        <v>179</v>
      </c>
      <c r="D10" s="62">
        <f>('Balance Sheet'!C21+'Balance Sheet'!C22)/'Balance Sheet'!C26</f>
        <v>1.421787987220436E-2</v>
      </c>
      <c r="E10" s="62">
        <f>('Balance Sheet'!D21+'Balance Sheet'!D22)/'Balance Sheet'!D26</f>
        <v>1.4095892773887505E-2</v>
      </c>
      <c r="F10" s="62">
        <f>('Balance Sheet'!E21+'Balance Sheet'!E22)/'Balance Sheet'!E26</f>
        <v>1.4731112926492498E-2</v>
      </c>
      <c r="G10" s="62">
        <f>('Balance Sheet'!F21+'Balance Sheet'!F22)/'Balance Sheet'!F26</f>
        <v>1.5407609326851221E-2</v>
      </c>
      <c r="H10" s="62">
        <f>('Balance Sheet'!G21+'Balance Sheet'!G22)/'Balance Sheet'!G26</f>
        <v>1.5301222335033121E-2</v>
      </c>
      <c r="I10" s="62">
        <f>('Balance Sheet'!H21+'Balance Sheet'!H22)/'Balance Sheet'!H26</f>
        <v>1.5018129156792641E-2</v>
      </c>
      <c r="J10" s="62">
        <f>('Balance Sheet'!I21+'Balance Sheet'!I22)/'Balance Sheet'!I26</f>
        <v>1.4968653891794545E-2</v>
      </c>
      <c r="K10" s="62">
        <f>('Balance Sheet'!J21+'Balance Sheet'!J22)/'Balance Sheet'!J26</f>
        <v>1.4741086675977495E-2</v>
      </c>
      <c r="L10" s="62">
        <f>('Balance Sheet'!K21+'Balance Sheet'!K22)/'Balance Sheet'!K26</f>
        <v>1.4536410623482012E-2</v>
      </c>
      <c r="M10" s="62">
        <f>('Balance Sheet'!L21+'Balance Sheet'!L22)/'Balance Sheet'!L26</f>
        <v>1.4328597159145041E-2</v>
      </c>
      <c r="N10" s="62">
        <f>('Balance Sheet'!M21+'Balance Sheet'!M22)/'Balance Sheet'!M26</f>
        <v>1.4120003083141723E-2</v>
      </c>
      <c r="O10" s="62">
        <f>('Balance Sheet'!N21+'Balance Sheet'!N22)/'Balance Sheet'!N26</f>
        <v>1.1932269325714458E-2</v>
      </c>
      <c r="P10" s="62">
        <f>('Balance Sheet'!O21+'Balance Sheet'!O22)/'Balance Sheet'!O26</f>
        <v>1.1943149057736328E-2</v>
      </c>
      <c r="Q10" s="62">
        <f>('Balance Sheet'!P21+'Balance Sheet'!P22)/'Balance Sheet'!P26</f>
        <v>1.1843594239644971E-2</v>
      </c>
      <c r="R10" s="62">
        <f>('Balance Sheet'!Q21+'Balance Sheet'!Q22)/'Balance Sheet'!Q26</f>
        <v>1.1804706426013093E-2</v>
      </c>
      <c r="S10" s="62">
        <f>('Balance Sheet'!R21+'Balance Sheet'!R22)/'Balance Sheet'!R26</f>
        <v>1.1641754879377551E-2</v>
      </c>
      <c r="T10" s="62">
        <f>('Balance Sheet'!S21+'Balance Sheet'!S22)/'Balance Sheet'!S26</f>
        <v>1.2155972661272076E-2</v>
      </c>
      <c r="U10" s="62">
        <f>('Balance Sheet'!T21+'Balance Sheet'!T22)/'Balance Sheet'!T26</f>
        <v>1.2036236345637061E-2</v>
      </c>
      <c r="V10" s="62">
        <f>('Balance Sheet'!U21+'Balance Sheet'!U22)/'Balance Sheet'!U26</f>
        <v>1.3799455970748184E-2</v>
      </c>
      <c r="W10" s="62">
        <f>('Balance Sheet'!V21+'Balance Sheet'!V22)/'Balance Sheet'!V26</f>
        <v>1.3902698175550281E-2</v>
      </c>
      <c r="X10" s="62">
        <f>('Balance Sheet'!W21+'Balance Sheet'!W22)/'Balance Sheet'!W26</f>
        <v>1.3879137710003158E-2</v>
      </c>
      <c r="Y10" s="62">
        <f>('Balance Sheet'!X21+'Balance Sheet'!X22)/'Balance Sheet'!X26</f>
        <v>1.3222549905898721E-2</v>
      </c>
      <c r="Z10" s="62">
        <f>('Balance Sheet'!Y21+'Balance Sheet'!Y22)/'Balance Sheet'!Y26</f>
        <v>1.3084469205320019E-2</v>
      </c>
      <c r="AA10" s="62">
        <f>('Balance Sheet'!Z21+'Balance Sheet'!Z22)/'Balance Sheet'!Z26</f>
        <v>1.3052768657702976E-2</v>
      </c>
      <c r="AB10" s="62">
        <f>('Balance Sheet'!AA21+'Balance Sheet'!AA22)/'Balance Sheet'!AA26</f>
        <v>1.2013142307878793E-2</v>
      </c>
      <c r="AC10" s="62">
        <f>('Balance Sheet'!AB21+'Balance Sheet'!AB22)/'Balance Sheet'!AB26</f>
        <v>8.510915226652779E-3</v>
      </c>
      <c r="AD10" s="62" t="e">
        <f>('Balance Sheet'!AC21+'Balance Sheet'!AC22)/'Balance Sheet'!AC26</f>
        <v>#DIV/0!</v>
      </c>
      <c r="AE10" s="62" t="e">
        <f>('Balance Sheet'!AD21+'Balance Sheet'!AD22)/'Balance Sheet'!AD26</f>
        <v>#DIV/0!</v>
      </c>
      <c r="AF10" s="62" t="e">
        <f>('Balance Sheet'!AE21+'Balance Sheet'!AE22)/'Balance Sheet'!AE26</f>
        <v>#DIV/0!</v>
      </c>
      <c r="AG10" s="62" t="e">
        <f>('Balance Sheet'!AF21+'Balance Sheet'!AF22)/'Balance Sheet'!AF26</f>
        <v>#DIV/0!</v>
      </c>
      <c r="AH10" s="62" t="e">
        <f>('Balance Sheet'!AG21+'Balance Sheet'!AG22)/'Balance Sheet'!AG26</f>
        <v>#DIV/0!</v>
      </c>
      <c r="AI10" s="62" t="e">
        <f>('Balance Sheet'!AH21+'Balance Sheet'!AH22)/'Balance Sheet'!AH26</f>
        <v>#DIV/0!</v>
      </c>
      <c r="AJ10" s="62" t="e">
        <f>('Balance Sheet'!AI21+'Balance Sheet'!AI22)/'Balance Sheet'!AI26</f>
        <v>#DIV/0!</v>
      </c>
      <c r="AK10" s="62" t="e">
        <f>('Balance Sheet'!AJ21+'Balance Sheet'!AJ22)/'Balance Sheet'!AJ26</f>
        <v>#DIV/0!</v>
      </c>
      <c r="AL10" s="62" t="e">
        <f>('Balance Sheet'!AK21+'Balance Sheet'!AK22)/'Balance Sheet'!AK26</f>
        <v>#DIV/0!</v>
      </c>
      <c r="AM10" s="62" t="e">
        <f>('Balance Sheet'!AL21+'Balance Sheet'!AL22)/'Balance Sheet'!AL26</f>
        <v>#DIV/0!</v>
      </c>
      <c r="AN10" s="62" t="e">
        <f>('Balance Sheet'!AM21+'Balance Sheet'!AM22)/'Balance Sheet'!AM26</f>
        <v>#DIV/0!</v>
      </c>
    </row>
    <row r="11" spans="1:40" ht="26.45">
      <c r="A11" s="68" t="s">
        <v>180</v>
      </c>
      <c r="B11" s="54" t="s">
        <v>181</v>
      </c>
      <c r="C11" s="63" t="s">
        <v>179</v>
      </c>
      <c r="D11" s="64">
        <f>'Balance Sheet'!C11/'Balance Sheet'!C29</f>
        <v>7.7800520712502874E-2</v>
      </c>
      <c r="E11" s="64">
        <f>'Balance Sheet'!D11/'Balance Sheet'!D29</f>
        <v>7.7048086977872327E-2</v>
      </c>
      <c r="F11" s="64">
        <f>'Balance Sheet'!E11/'Balance Sheet'!E29</f>
        <v>6.5402368080527629E-2</v>
      </c>
      <c r="G11" s="64">
        <f>'Balance Sheet'!F11/'Balance Sheet'!F29</f>
        <v>6.4841550205166659E-2</v>
      </c>
      <c r="H11" s="64">
        <f>'Balance Sheet'!G11/'Balance Sheet'!G29</f>
        <v>6.4314981493776638E-2</v>
      </c>
      <c r="I11" s="64">
        <f>'Balance Sheet'!H11/'Balance Sheet'!H29</f>
        <v>6.4017251300237402E-2</v>
      </c>
      <c r="J11" s="64">
        <f>'Balance Sheet'!I11/'Balance Sheet'!I29</f>
        <v>7.8960019067936982E-2</v>
      </c>
      <c r="K11" s="64">
        <f>'Balance Sheet'!J11/'Balance Sheet'!J29</f>
        <v>7.8536972239038286E-2</v>
      </c>
      <c r="L11" s="64">
        <f>'Balance Sheet'!K11/'Balance Sheet'!K29</f>
        <v>7.7906316133717388E-2</v>
      </c>
      <c r="M11" s="64">
        <f>'Balance Sheet'!L11/'Balance Sheet'!L29</f>
        <v>7.6637072475206791E-2</v>
      </c>
      <c r="N11" s="64">
        <f>'Balance Sheet'!M11/'Balance Sheet'!M29</f>
        <v>6.1372000891520222E-2</v>
      </c>
      <c r="O11" s="64">
        <f>'Balance Sheet'!N11/'Balance Sheet'!N29</f>
        <v>6.0967604868804058E-2</v>
      </c>
      <c r="P11" s="64">
        <f>'Balance Sheet'!O11/'Balance Sheet'!O29</f>
        <v>3.7456256849290853E-2</v>
      </c>
      <c r="Q11" s="64">
        <f>'Balance Sheet'!P11/'Balance Sheet'!P29</f>
        <v>6.0670579923806381E-2</v>
      </c>
      <c r="R11" s="64">
        <f>'Balance Sheet'!Q11/'Balance Sheet'!Q29</f>
        <v>6.0213680697195716E-2</v>
      </c>
      <c r="S11" s="64">
        <f>'Balance Sheet'!R11/'Balance Sheet'!R29</f>
        <v>5.9638499840910818E-2</v>
      </c>
      <c r="T11" s="64">
        <f>'Balance Sheet'!S11/'Balance Sheet'!S29</f>
        <v>6.0687852256754792E-2</v>
      </c>
      <c r="U11" s="64">
        <f>'Balance Sheet'!T11/'Balance Sheet'!T29</f>
        <v>6.5659229376365036E-2</v>
      </c>
      <c r="V11" s="64">
        <f>'Balance Sheet'!U11/'Balance Sheet'!U29</f>
        <v>6.5491964257095275E-2</v>
      </c>
      <c r="W11" s="64">
        <f>'Balance Sheet'!V11/'Balance Sheet'!V29</f>
        <v>6.5307941112248691E-2</v>
      </c>
      <c r="X11" s="64">
        <f>'Balance Sheet'!W11/'Balance Sheet'!W29</f>
        <v>6.5129325677397432E-2</v>
      </c>
      <c r="Y11" s="64">
        <f>'Balance Sheet'!X11/'Balance Sheet'!X29</f>
        <v>6.4867913813409395E-2</v>
      </c>
      <c r="Z11" s="64">
        <f>'Balance Sheet'!Y11/'Balance Sheet'!Y29</f>
        <v>6.4602825355084076E-2</v>
      </c>
      <c r="AA11" s="64">
        <f>'Balance Sheet'!Z11/'Balance Sheet'!Z29</f>
        <v>6.4443592561572324E-2</v>
      </c>
      <c r="AB11" s="64">
        <f>'Balance Sheet'!AA11/'Balance Sheet'!AA29</f>
        <v>7.0793986847425064E-2</v>
      </c>
      <c r="AC11" s="64">
        <f>'Balance Sheet'!AB11/'Balance Sheet'!AB29</f>
        <v>3.8688733860299605E-2</v>
      </c>
      <c r="AD11" s="64" t="e">
        <f>'Balance Sheet'!AC11/'Balance Sheet'!AC29</f>
        <v>#DIV/0!</v>
      </c>
      <c r="AE11" s="64" t="e">
        <f>'Balance Sheet'!AD11/'Balance Sheet'!AD29</f>
        <v>#DIV/0!</v>
      </c>
      <c r="AF11" s="64" t="e">
        <f>'Balance Sheet'!AE11/'Balance Sheet'!AE29</f>
        <v>#DIV/0!</v>
      </c>
      <c r="AG11" s="64" t="e">
        <f>'Balance Sheet'!AF11/'Balance Sheet'!AF29</f>
        <v>#DIV/0!</v>
      </c>
      <c r="AH11" s="64" t="e">
        <f>'Balance Sheet'!AG11/'Balance Sheet'!AG29</f>
        <v>#DIV/0!</v>
      </c>
      <c r="AI11" s="64" t="e">
        <f>'Balance Sheet'!AH11/'Balance Sheet'!AH29</f>
        <v>#DIV/0!</v>
      </c>
      <c r="AJ11" s="64" t="e">
        <f>'Balance Sheet'!AI11/'Balance Sheet'!AI29</f>
        <v>#DIV/0!</v>
      </c>
      <c r="AK11" s="64" t="e">
        <f>'Balance Sheet'!AJ11/'Balance Sheet'!AJ29</f>
        <v>#DIV/0!</v>
      </c>
      <c r="AL11" s="64" t="e">
        <f>'Balance Sheet'!AK11/'Balance Sheet'!AK29</f>
        <v>#DIV/0!</v>
      </c>
      <c r="AM11" s="64" t="e">
        <f>'Balance Sheet'!AL11/'Balance Sheet'!AL29</f>
        <v>#DIV/0!</v>
      </c>
      <c r="AN11" s="64" t="e">
        <f>'Balance Sheet'!AM11/'Balance Sheet'!AM29</f>
        <v>#DIV/0!</v>
      </c>
    </row>
    <row r="12" spans="1:40" ht="26.45">
      <c r="A12" s="69"/>
      <c r="B12" s="25" t="s">
        <v>182</v>
      </c>
      <c r="C12" s="26" t="s">
        <v>183</v>
      </c>
      <c r="D12" s="24">
        <f>'Balance Sheet'!C11/Financials!B13</f>
        <v>0.53980942820110922</v>
      </c>
      <c r="E12" s="24">
        <f>'Balance Sheet'!D11/Financials!C13</f>
        <v>0.50304737508923492</v>
      </c>
      <c r="F12" s="24">
        <f>'Balance Sheet'!E11/Financials!D13</f>
        <v>0.40066546216411947</v>
      </c>
      <c r="G12" s="24">
        <f>'Balance Sheet'!F11/Financials!E13</f>
        <v>0.34532339975979587</v>
      </c>
      <c r="H12" s="24">
        <f>'Balance Sheet'!G11/Financials!F13</f>
        <v>0.30402967708536321</v>
      </c>
      <c r="I12" s="24">
        <f>'Balance Sheet'!H11/Financials!G13</f>
        <v>0.27875519182604336</v>
      </c>
      <c r="J12" s="24">
        <f>'Balance Sheet'!I11/Financials!H13</f>
        <v>0.33332116578152937</v>
      </c>
      <c r="K12" s="24">
        <f>'Balance Sheet'!J11/Financials!I13</f>
        <v>0.25153270341893752</v>
      </c>
      <c r="L12" s="24">
        <f>'Balance Sheet'!K11/Financials!J13</f>
        <v>0.24169948729000967</v>
      </c>
      <c r="M12" s="24">
        <f>'Balance Sheet'!L11/Financials!K13</f>
        <v>0.23233224329755914</v>
      </c>
      <c r="N12" s="24">
        <f>'Balance Sheet'!M11/Financials!L13</f>
        <v>0.18451313876188097</v>
      </c>
      <c r="O12" s="24">
        <f>'Balance Sheet'!N11/Financials!M13</f>
        <v>0.17334896459614704</v>
      </c>
      <c r="P12" s="24">
        <f>'Balance Sheet'!O11/Financials!N13</f>
        <v>0.15269245155511055</v>
      </c>
      <c r="Q12" s="24">
        <f>'Balance Sheet'!P11/Financials!O13</f>
        <v>0.1710290887390484</v>
      </c>
      <c r="R12" s="24">
        <f>'Balance Sheet'!Q11/Financials!P13</f>
        <v>0.16659482392191408</v>
      </c>
      <c r="S12" s="24">
        <f>'Balance Sheet'!R11/Financials!Q13</f>
        <v>0.16132064428576387</v>
      </c>
      <c r="T12" s="24">
        <f>'Balance Sheet'!S11/Financials!R13</f>
        <v>0.22550791400674539</v>
      </c>
      <c r="U12" s="24">
        <f>'Balance Sheet'!T11/Financials!S13</f>
        <v>0.24081716252188742</v>
      </c>
      <c r="V12" s="24">
        <f>'Balance Sheet'!U11/Financials!T13</f>
        <v>0.22682956958840883</v>
      </c>
      <c r="W12" s="24">
        <f>'Balance Sheet'!V11/Financials!U13</f>
        <v>0.22233167280700492</v>
      </c>
      <c r="X12" s="24">
        <f>'Balance Sheet'!W11/Financials!V13</f>
        <v>0.21657603514776147</v>
      </c>
      <c r="Y12" s="24">
        <f>'Balance Sheet'!X11/Financials!W13</f>
        <v>0.2096720636821878</v>
      </c>
      <c r="Z12" s="24">
        <f>'Balance Sheet'!Y11/Financials!X13</f>
        <v>0.20359252085687513</v>
      </c>
      <c r="AA12" s="24">
        <f>'Balance Sheet'!Z11/Financials!Y13</f>
        <v>0.19753981775113985</v>
      </c>
      <c r="AB12" s="24">
        <f>'Balance Sheet'!AA11/Financials!Z13</f>
        <v>0.19189577870027222</v>
      </c>
      <c r="AC12" s="24">
        <f>'Balance Sheet'!AB11/Financials!AA13</f>
        <v>0.13525859249819838</v>
      </c>
      <c r="AD12" s="24" t="e">
        <f>'Balance Sheet'!AC11/Financials!AB13</f>
        <v>#DIV/0!</v>
      </c>
      <c r="AE12" s="24" t="e">
        <f>'Balance Sheet'!AD11/Financials!AC13</f>
        <v>#DIV/0!</v>
      </c>
      <c r="AF12" s="24" t="e">
        <f>'Balance Sheet'!AE11/Financials!AD13</f>
        <v>#DIV/0!</v>
      </c>
      <c r="AG12" s="24" t="e">
        <f>'Balance Sheet'!AF11/Financials!AE13</f>
        <v>#DIV/0!</v>
      </c>
      <c r="AH12" s="24" t="e">
        <f>'Balance Sheet'!AG11/Financials!AF13</f>
        <v>#DIV/0!</v>
      </c>
      <c r="AI12" s="24" t="e">
        <f>'Balance Sheet'!AH11/Financials!AG13</f>
        <v>#DIV/0!</v>
      </c>
      <c r="AJ12" s="24" t="e">
        <f>'Balance Sheet'!AI11/Financials!AH13</f>
        <v>#DIV/0!</v>
      </c>
      <c r="AK12" s="24" t="e">
        <f>'Balance Sheet'!AJ11/Financials!AI13</f>
        <v>#DIV/0!</v>
      </c>
      <c r="AL12" s="24" t="e">
        <f>'Balance Sheet'!AK11/Financials!AJ13</f>
        <v>#DIV/0!</v>
      </c>
      <c r="AM12" s="24" t="e">
        <f>'Balance Sheet'!AL11/Financials!AK13</f>
        <v>#DIV/0!</v>
      </c>
      <c r="AN12" s="24" t="e">
        <f>'Balance Sheet'!AM11/Financials!AL13</f>
        <v>#DIV/0!</v>
      </c>
    </row>
    <row r="13" spans="1:40">
      <c r="A13" s="69"/>
      <c r="B13" s="27" t="s">
        <v>184</v>
      </c>
      <c r="C13" s="27"/>
      <c r="D13" s="22">
        <f>Financials!B31/Financials!B5</f>
        <v>0.88433688602105875</v>
      </c>
      <c r="E13" s="22">
        <f>Financials!C31/Financials!C5</f>
        <v>0.8862139026140925</v>
      </c>
      <c r="F13" s="22">
        <f>Financials!D31/Financials!D5</f>
        <v>0.89129807075670486</v>
      </c>
      <c r="G13" s="22">
        <f>Financials!E31/Financials!E5</f>
        <v>0.9028429258186339</v>
      </c>
      <c r="H13" s="22">
        <f>Financials!F31/Financials!F5</f>
        <v>0.90480708294041323</v>
      </c>
      <c r="I13" s="22">
        <f>Financials!G31/Financials!G5</f>
        <v>0.88645097657211769</v>
      </c>
      <c r="J13" s="22">
        <f>Financials!H31/Financials!H5</f>
        <v>0.898314169592764</v>
      </c>
      <c r="K13" s="22">
        <f>Financials!I31/Financials!I5</f>
        <v>0.89266124714917394</v>
      </c>
      <c r="L13" s="22">
        <f>Financials!J31/Financials!J5</f>
        <v>0.8819786980858545</v>
      </c>
      <c r="M13" s="22">
        <f>Financials!K31/Financials!K5</f>
        <v>0.87901434978549087</v>
      </c>
      <c r="N13" s="22">
        <f>Financials!L31/Financials!L5</f>
        <v>0.87271021208848276</v>
      </c>
      <c r="O13" s="22">
        <f>Financials!M31/Financials!M5</f>
        <v>0.84735064638931779</v>
      </c>
      <c r="P13" s="22">
        <f>Financials!N31/Financials!N5</f>
        <v>0.84801171657496532</v>
      </c>
      <c r="Q13" s="22">
        <f>Financials!O31/Financials!O5</f>
        <v>0.84618305982396458</v>
      </c>
      <c r="R13" s="22">
        <f>Financials!P31/Financials!P5</f>
        <v>0.8453876989342004</v>
      </c>
      <c r="S13" s="22">
        <f>Financials!Q31/Financials!Q5</f>
        <v>0.83536402280441335</v>
      </c>
      <c r="T13" s="22">
        <f>Financials!R31/Financials!R5</f>
        <v>0.85807815472330218</v>
      </c>
      <c r="U13" s="22">
        <f>Financials!S31/Financials!S5</f>
        <v>0.86076415813239759</v>
      </c>
      <c r="V13" s="22">
        <f>Financials!T31/Financials!T5</f>
        <v>0.85028450403140132</v>
      </c>
      <c r="W13" s="22">
        <f>Financials!U31/Financials!U5</f>
        <v>0.8548162557998692</v>
      </c>
      <c r="X13" s="22">
        <f>Financials!V31/Financials!V5</f>
        <v>0.85119658216840632</v>
      </c>
      <c r="Y13" s="22">
        <f>Financials!W31/Financials!W5</f>
        <v>0.83756550479125591</v>
      </c>
      <c r="Z13" s="22">
        <f>Financials!X31/Financials!X5</f>
        <v>0.84035539899388656</v>
      </c>
      <c r="AA13" s="22">
        <f>Financials!Y31/Financials!Y5</f>
        <v>0.84041546774922127</v>
      </c>
      <c r="AB13" s="22">
        <f>Financials!Z31/Financials!Z5</f>
        <v>0.7445690380811768</v>
      </c>
      <c r="AC13" s="22">
        <f>Financials!AA31/Financials!AA5</f>
        <v>0.73347395751718458</v>
      </c>
      <c r="AD13" s="22" t="e">
        <f>Financials!AB31/Financials!AB5</f>
        <v>#DIV/0!</v>
      </c>
      <c r="AE13" s="22" t="e">
        <f>Financials!AC31/Financials!AC5</f>
        <v>#DIV/0!</v>
      </c>
      <c r="AF13" s="22" t="e">
        <f>Financials!AD31/Financials!AD5</f>
        <v>#DIV/0!</v>
      </c>
      <c r="AG13" s="22" t="e">
        <f>Financials!AE31/Financials!AE5</f>
        <v>#DIV/0!</v>
      </c>
      <c r="AH13" s="22" t="e">
        <f>Financials!AF31/Financials!AF5</f>
        <v>#DIV/0!</v>
      </c>
      <c r="AI13" s="22" t="e">
        <f>Financials!AG31/Financials!AG5</f>
        <v>#DIV/0!</v>
      </c>
      <c r="AJ13" s="22" t="e">
        <f>Financials!AH31/Financials!AH5</f>
        <v>#DIV/0!</v>
      </c>
      <c r="AK13" s="22" t="e">
        <f>Financials!AI31/Financials!AI5</f>
        <v>#DIV/0!</v>
      </c>
      <c r="AL13" s="22" t="e">
        <f>Financials!AJ31/Financials!AJ5</f>
        <v>#DIV/0!</v>
      </c>
      <c r="AM13" s="22" t="e">
        <f>Financials!AK31/Financials!AK5</f>
        <v>#DIV/0!</v>
      </c>
      <c r="AN13" s="22" t="e">
        <f>Financials!AL31/Financials!AL5</f>
        <v>#DIV/0!</v>
      </c>
    </row>
    <row r="14" spans="1:40">
      <c r="A14" s="69"/>
      <c r="B14" s="16" t="s">
        <v>185</v>
      </c>
      <c r="C14" s="16"/>
      <c r="D14" s="22">
        <f>'Income Stat.'!C38/Financials!B5</f>
        <v>5.836089003047564E-3</v>
      </c>
      <c r="E14" s="22">
        <f>'Income Stat.'!D38/Financials!C5</f>
        <v>1.2269439704648846E-2</v>
      </c>
      <c r="F14" s="22">
        <f>'Income Stat.'!E38/Financials!D5</f>
        <v>2.0906703132430916E-2</v>
      </c>
      <c r="G14" s="22">
        <f>'Income Stat.'!F38/Financials!E5</f>
        <v>3.2400637328735285E-2</v>
      </c>
      <c r="H14" s="22">
        <f>'Income Stat.'!G38/Financials!F5</f>
        <v>3.9396953222177435E-2</v>
      </c>
      <c r="I14" s="22">
        <f>'Income Stat.'!H38/Financials!G5</f>
        <v>5.0123287009074098E-2</v>
      </c>
      <c r="J14" s="22">
        <f>'Income Stat.'!I38/Financials!H5</f>
        <v>5.5951675504500233E-2</v>
      </c>
      <c r="K14" s="22">
        <f>'Income Stat.'!J38/Financials!I5</f>
        <v>5.9643323817981764E-2</v>
      </c>
      <c r="L14" s="22">
        <f>'Income Stat.'!K38/Financials!J5</f>
        <v>6.7098241481955714E-2</v>
      </c>
      <c r="M14" s="22">
        <f>'Income Stat.'!L38/Financials!K5</f>
        <v>7.3004964935542524E-2</v>
      </c>
      <c r="N14" s="22">
        <f>'Income Stat.'!M38/Financials!L5</f>
        <v>7.611440938847841E-2</v>
      </c>
      <c r="O14" s="22">
        <f>'Income Stat.'!N38/Financials!M5</f>
        <v>9.0675835605110597E-2</v>
      </c>
      <c r="P14" s="22">
        <f>'Income Stat.'!O38/Financials!N5</f>
        <v>2.2498585537256349E-2</v>
      </c>
      <c r="Q14" s="22">
        <f>'Income Stat.'!P38/Financials!O5</f>
        <v>2.9166613123557074E-3</v>
      </c>
      <c r="R14" s="22">
        <f>'Income Stat.'!Q38/Financials!P5</f>
        <v>9.0770141807849387E-3</v>
      </c>
      <c r="S14" s="22">
        <f>'Income Stat.'!R38/Financials!Q5</f>
        <v>1.649651152749438E-2</v>
      </c>
      <c r="T14" s="22">
        <f>'Income Stat.'!S38/Financials!R5</f>
        <v>2.9440747324351282E-2</v>
      </c>
      <c r="U14" s="22">
        <f>'Income Stat.'!T38/Financials!S5</f>
        <v>3.3436395024323801E-2</v>
      </c>
      <c r="V14" s="22">
        <f>'Income Stat.'!U38/Financials!T5</f>
        <v>4.4605672631689221E-2</v>
      </c>
      <c r="W14" s="22">
        <f>'Income Stat.'!V38/Financials!U5</f>
        <v>4.8512885446607305E-2</v>
      </c>
      <c r="X14" s="22">
        <f>'Income Stat.'!W38/Financials!V5</f>
        <v>5.361539528995872E-2</v>
      </c>
      <c r="Y14" s="22">
        <f>'Income Stat.'!X38/Financials!W5</f>
        <v>5.9519869464337086E-2</v>
      </c>
      <c r="Z14" s="22">
        <f>'Income Stat.'!Y38/Financials!X5</f>
        <v>6.5135915839475159E-2</v>
      </c>
      <c r="AA14" s="22">
        <f>'Income Stat.'!Z38/Financials!Y5</f>
        <v>7.1546801829850445E-2</v>
      </c>
      <c r="AB14" s="22">
        <f>'Income Stat.'!AA38/Financials!Z5</f>
        <v>8.0219988460652786E-2</v>
      </c>
      <c r="AC14" s="22">
        <f>'Income Stat.'!AB38/Financials!AA5</f>
        <v>9.3197857329286853E-3</v>
      </c>
      <c r="AD14" s="22" t="e">
        <f>'Income Stat.'!AC38/Financials!AB5</f>
        <v>#DIV/0!</v>
      </c>
      <c r="AE14" s="22" t="e">
        <f>'Income Stat.'!AD38/Financials!AC5</f>
        <v>#DIV/0!</v>
      </c>
      <c r="AF14" s="22" t="e">
        <f>'Income Stat.'!AE38/Financials!AD5</f>
        <v>#DIV/0!</v>
      </c>
      <c r="AG14" s="22" t="e">
        <f>'Income Stat.'!AF38/Financials!AE5</f>
        <v>#DIV/0!</v>
      </c>
      <c r="AH14" s="22" t="e">
        <f>'Income Stat.'!AG38/Financials!AF5</f>
        <v>#DIV/0!</v>
      </c>
      <c r="AI14" s="22" t="e">
        <f>'Income Stat.'!AH38/Financials!AG5</f>
        <v>#DIV/0!</v>
      </c>
      <c r="AJ14" s="22" t="e">
        <f>'Income Stat.'!AI38/Financials!AH5</f>
        <v>#DIV/0!</v>
      </c>
      <c r="AK14" s="22" t="e">
        <f>'Income Stat.'!AJ38/Financials!AI5</f>
        <v>#DIV/0!</v>
      </c>
      <c r="AL14" s="22" t="e">
        <f>'Income Stat.'!AK38/Financials!AJ5</f>
        <v>#DIV/0!</v>
      </c>
      <c r="AM14" s="22" t="e">
        <f>'Income Stat.'!AL38/Financials!AK5</f>
        <v>#DIV/0!</v>
      </c>
      <c r="AN14" s="22" t="e">
        <f>'Income Stat.'!AM38/Financials!AL5</f>
        <v>#DIV/0!</v>
      </c>
    </row>
    <row r="15" spans="1:40">
      <c r="A15" s="69"/>
      <c r="B15" s="16" t="s">
        <v>186</v>
      </c>
      <c r="C15" s="16"/>
      <c r="D15" s="22">
        <f>'Income Stat.'!C24/('Income Stat.'!C20-'Income Stat.'!C22)</f>
        <v>0.36547724552613353</v>
      </c>
      <c r="E15" s="22">
        <f>'Income Stat.'!D24/('Income Stat.'!D20-'Income Stat.'!D22)</f>
        <v>0.36830833888947484</v>
      </c>
      <c r="F15" s="22">
        <f>'Income Stat.'!E24/('Income Stat.'!E20-'Income Stat.'!E22)</f>
        <v>0.30726710442481653</v>
      </c>
      <c r="G15" s="22">
        <f>'Income Stat.'!F24/('Income Stat.'!F20-'Income Stat.'!F22)</f>
        <v>0.30708138047580819</v>
      </c>
      <c r="H15" s="22">
        <f>'Income Stat.'!G24/('Income Stat.'!G20-'Income Stat.'!G22)</f>
        <v>0.28605500350034263</v>
      </c>
      <c r="I15" s="22">
        <f>'Income Stat.'!H24/('Income Stat.'!H20-'Income Stat.'!H22)</f>
        <v>0.27023278951692131</v>
      </c>
      <c r="J15" s="22">
        <f>'Income Stat.'!I24/('Income Stat.'!I20-'Income Stat.'!I22)</f>
        <v>0.28072234476811403</v>
      </c>
      <c r="K15" s="22">
        <f>'Income Stat.'!J24/('Income Stat.'!J20-'Income Stat.'!J22)</f>
        <v>0.29422850784974824</v>
      </c>
      <c r="L15" s="22">
        <f>'Income Stat.'!K24/('Income Stat.'!K20-'Income Stat.'!K22)</f>
        <v>0.29529030587691463</v>
      </c>
      <c r="M15" s="22">
        <f>'Income Stat.'!L24/('Income Stat.'!L20-'Income Stat.'!L22)</f>
        <v>0.2882474872614475</v>
      </c>
      <c r="N15" s="22">
        <f>'Income Stat.'!M24/('Income Stat.'!M20-'Income Stat.'!M22)</f>
        <v>0.3330338086011127</v>
      </c>
      <c r="O15" s="22">
        <f>'Income Stat.'!N24/('Income Stat.'!N20-'Income Stat.'!N22)</f>
        <v>0.28416845024294618</v>
      </c>
      <c r="P15" s="22">
        <f>'Income Stat.'!O24/('Income Stat.'!O20-'Income Stat.'!O22)</f>
        <v>0.73473961735502957</v>
      </c>
      <c r="Q15" s="22">
        <f>'Income Stat.'!P24/('Income Stat.'!P20-'Income Stat.'!P22)</f>
        <v>0.5777152590106972</v>
      </c>
      <c r="R15" s="22">
        <f>'Income Stat.'!Q24/('Income Stat.'!Q20-'Income Stat.'!Q22)</f>
        <v>0.41626652591505764</v>
      </c>
      <c r="S15" s="22">
        <f>'Income Stat.'!R24/('Income Stat.'!R20-'Income Stat.'!R22)</f>
        <v>0.37838334066630802</v>
      </c>
      <c r="T15" s="22">
        <f>'Income Stat.'!S24/('Income Stat.'!S20-'Income Stat.'!S22)</f>
        <v>0.32281264083484668</v>
      </c>
      <c r="U15" s="22">
        <f>'Income Stat.'!T24/('Income Stat.'!T20-'Income Stat.'!T22)</f>
        <v>0.36567706488758306</v>
      </c>
      <c r="V15" s="22">
        <f>'Income Stat.'!U24/('Income Stat.'!U20-'Income Stat.'!U22)</f>
        <v>0.31798468967402721</v>
      </c>
      <c r="W15" s="22">
        <f>'Income Stat.'!V24/('Income Stat.'!V20-'Income Stat.'!V22)</f>
        <v>0.34638189240408773</v>
      </c>
      <c r="X15" s="22">
        <f>'Income Stat.'!W24/('Income Stat.'!W20-'Income Stat.'!W22)</f>
        <v>0.35074371436202034</v>
      </c>
      <c r="Y15" s="22">
        <f>'Income Stat.'!X24/('Income Stat.'!X20-'Income Stat.'!X22)</f>
        <v>0.34278958360355338</v>
      </c>
      <c r="Z15" s="22">
        <f>'Income Stat.'!Y24/('Income Stat.'!Y20-'Income Stat.'!Y22)</f>
        <v>0.33746880450763161</v>
      </c>
      <c r="AA15" s="22">
        <f>'Income Stat.'!Z24/('Income Stat.'!Z20-'Income Stat.'!Z22)</f>
        <v>0.33277575592199071</v>
      </c>
      <c r="AB15" s="22">
        <f>'Income Stat.'!AA24/('Income Stat.'!AA20-'Income Stat.'!AA22)</f>
        <v>0.34767379155914024</v>
      </c>
      <c r="AC15" s="22">
        <f>'Income Stat.'!AB24/('Income Stat.'!AB20-'Income Stat.'!AB22)</f>
        <v>0.8142386503348501</v>
      </c>
      <c r="AD15" s="22" t="e">
        <f>'Income Stat.'!AC24/('Income Stat.'!AC20-'Income Stat.'!AC22)</f>
        <v>#DIV/0!</v>
      </c>
      <c r="AE15" s="22" t="e">
        <f>'Income Stat.'!AD24/('Income Stat.'!AD20-'Income Stat.'!AD22)</f>
        <v>#DIV/0!</v>
      </c>
      <c r="AF15" s="22" t="e">
        <f>'Income Stat.'!AE24/('Income Stat.'!AE20-'Income Stat.'!AE22)</f>
        <v>#DIV/0!</v>
      </c>
      <c r="AG15" s="22" t="e">
        <f>'Income Stat.'!AF24/('Income Stat.'!AF20-'Income Stat.'!AF22)</f>
        <v>#DIV/0!</v>
      </c>
      <c r="AH15" s="22" t="e">
        <f>'Income Stat.'!AG24/('Income Stat.'!AG20-'Income Stat.'!AG22)</f>
        <v>#DIV/0!</v>
      </c>
      <c r="AI15" s="22" t="e">
        <f>'Income Stat.'!AH24/('Income Stat.'!AH20-'Income Stat.'!AH22)</f>
        <v>#DIV/0!</v>
      </c>
      <c r="AJ15" s="22" t="e">
        <f>'Income Stat.'!AI24/('Income Stat.'!AI20-'Income Stat.'!AI22)</f>
        <v>#DIV/0!</v>
      </c>
      <c r="AK15" s="22" t="e">
        <f>'Income Stat.'!AJ24/('Income Stat.'!AJ20-'Income Stat.'!AJ22)</f>
        <v>#DIV/0!</v>
      </c>
      <c r="AL15" s="22" t="e">
        <f>'Income Stat.'!AK24/('Income Stat.'!AK20-'Income Stat.'!AK22)</f>
        <v>#DIV/0!</v>
      </c>
      <c r="AM15" s="22" t="e">
        <f>'Income Stat.'!AL24/('Income Stat.'!AL20-'Income Stat.'!AL22)</f>
        <v>#DIV/0!</v>
      </c>
      <c r="AN15" s="22" t="e">
        <f>'Income Stat.'!AM24/('Income Stat.'!AM20-'Income Stat.'!AM22)</f>
        <v>#DIV/0!</v>
      </c>
    </row>
    <row r="16" spans="1:40" ht="14.45" thickBot="1">
      <c r="A16" s="70"/>
      <c r="B16" s="57" t="s">
        <v>187</v>
      </c>
      <c r="C16" s="65"/>
      <c r="D16" s="62">
        <f>'Income Stat.'!C24/'Income Stat.'!C4</f>
        <v>0.36185464689581631</v>
      </c>
      <c r="E16" s="62">
        <f>'Income Stat.'!D24/'Income Stat.'!D4</f>
        <v>0.36403356502975448</v>
      </c>
      <c r="F16" s="62">
        <f>'Income Stat.'!E24/'Income Stat.'!E4</f>
        <v>0.30391656042235088</v>
      </c>
      <c r="G16" s="62">
        <f>'Income Stat.'!F24/'Income Stat.'!F4</f>
        <v>0.30474175823143956</v>
      </c>
      <c r="H16" s="62">
        <f>'Income Stat.'!G24/'Income Stat.'!G4</f>
        <v>0.28390224395952812</v>
      </c>
      <c r="I16" s="62">
        <f>'Income Stat.'!H24/'Income Stat.'!H4</f>
        <v>0.26860372469752419</v>
      </c>
      <c r="J16" s="62">
        <f>'Income Stat.'!I24/'Income Stat.'!I4</f>
        <v>0.27922665150638337</v>
      </c>
      <c r="K16" s="62">
        <f>'Income Stat.'!J24/'Income Stat.'!J4</f>
        <v>0.29256872401614248</v>
      </c>
      <c r="L16" s="62">
        <f>'Income Stat.'!K24/'Income Stat.'!K4</f>
        <v>0.29380131626557615</v>
      </c>
      <c r="M16" s="62">
        <f>'Income Stat.'!L24/'Income Stat.'!L4</f>
        <v>0.28666692854812625</v>
      </c>
      <c r="N16" s="62">
        <f>'Income Stat.'!M24/'Income Stat.'!M4</f>
        <v>0.33125068111506711</v>
      </c>
      <c r="O16" s="62">
        <f>'Income Stat.'!N24/'Income Stat.'!N4</f>
        <v>0.27850813468924968</v>
      </c>
      <c r="P16" s="62">
        <f>'Income Stat.'!O24/'Income Stat.'!O4</f>
        <v>0.28325286311813491</v>
      </c>
      <c r="Q16" s="62">
        <f>'Income Stat.'!P24/'Income Stat.'!P4</f>
        <v>0.56882521182152801</v>
      </c>
      <c r="R16" s="62">
        <f>'Income Stat.'!Q24/'Income Stat.'!Q4</f>
        <v>0.40899634165204596</v>
      </c>
      <c r="S16" s="62">
        <f>'Income Stat.'!R24/'Income Stat.'!R4</f>
        <v>0.37391280110144931</v>
      </c>
      <c r="T16" s="62">
        <f>'Income Stat.'!S24/'Income Stat.'!S4</f>
        <v>0.32010811583245435</v>
      </c>
      <c r="U16" s="62">
        <f>'Income Stat.'!T24/'Income Stat.'!T4</f>
        <v>0.36285308815999662</v>
      </c>
      <c r="V16" s="62">
        <f>'Income Stat.'!U24/'Income Stat.'!U4</f>
        <v>0.31597568034165047</v>
      </c>
      <c r="W16" s="62">
        <f>'Income Stat.'!V24/'Income Stat.'!V4</f>
        <v>0.34420528921010468</v>
      </c>
      <c r="X16" s="62">
        <f>'Income Stat.'!W24/'Income Stat.'!W4</f>
        <v>0.34863596070746083</v>
      </c>
      <c r="Y16" s="62">
        <f>'Income Stat.'!X24/'Income Stat.'!X4</f>
        <v>0.34083357641017753</v>
      </c>
      <c r="Z16" s="62">
        <f>'Income Stat.'!Y24/'Income Stat.'!Y4</f>
        <v>0.33565431106523569</v>
      </c>
      <c r="AA16" s="62">
        <f>'Income Stat.'!Z24/'Income Stat.'!Z4</f>
        <v>0.33088704301419281</v>
      </c>
      <c r="AB16" s="62">
        <f>'Income Stat.'!AA24/'Income Stat.'!AA4</f>
        <v>0.33514750729726284</v>
      </c>
      <c r="AC16" s="62">
        <f>'Income Stat.'!AB24/'Income Stat.'!AB4</f>
        <v>0.33800363962588376</v>
      </c>
      <c r="AD16" s="62" t="e">
        <f>'Income Stat.'!AC24/'Income Stat.'!AC4</f>
        <v>#DIV/0!</v>
      </c>
      <c r="AE16" s="62" t="e">
        <f>'Income Stat.'!AD24/'Income Stat.'!AD4</f>
        <v>#DIV/0!</v>
      </c>
      <c r="AF16" s="62" t="e">
        <f>'Income Stat.'!AE24/'Income Stat.'!AE4</f>
        <v>#DIV/0!</v>
      </c>
      <c r="AG16" s="62" t="e">
        <f>'Income Stat.'!AF24/'Income Stat.'!AF4</f>
        <v>#DIV/0!</v>
      </c>
      <c r="AH16" s="62" t="e">
        <f>'Income Stat.'!AG24/'Income Stat.'!AG4</f>
        <v>#DIV/0!</v>
      </c>
      <c r="AI16" s="62" t="e">
        <f>'Income Stat.'!AH24/'Income Stat.'!AH4</f>
        <v>#DIV/0!</v>
      </c>
      <c r="AJ16" s="62" t="e">
        <f>'Income Stat.'!AI24/'Income Stat.'!AI4</f>
        <v>#DIV/0!</v>
      </c>
      <c r="AK16" s="62" t="e">
        <f>'Income Stat.'!AJ24/'Income Stat.'!AJ4</f>
        <v>#DIV/0!</v>
      </c>
      <c r="AL16" s="62" t="e">
        <f>'Income Stat.'!AK24/'Income Stat.'!AK4</f>
        <v>#DIV/0!</v>
      </c>
      <c r="AM16" s="62" t="e">
        <f>'Income Stat.'!AL24/'Income Stat.'!AL4</f>
        <v>#DIV/0!</v>
      </c>
      <c r="AN16" s="62" t="e">
        <f>'Income Stat.'!AM24/'Income Stat.'!AM4</f>
        <v>#DIV/0!</v>
      </c>
    </row>
    <row r="17" spans="1:40">
      <c r="A17" s="68" t="s">
        <v>188</v>
      </c>
      <c r="B17" s="54" t="s">
        <v>189</v>
      </c>
      <c r="C17" s="55" t="s">
        <v>190</v>
      </c>
      <c r="D17" s="66">
        <f>'Balance Sheet'!C4/'Balance Sheet'!C27</f>
        <v>0.45300517596485151</v>
      </c>
      <c r="E17" s="66">
        <f>'Balance Sheet'!D4/'Balance Sheet'!D27</f>
        <v>0.46951997260060158</v>
      </c>
      <c r="F17" s="66">
        <f>'Balance Sheet'!E4/'Balance Sheet'!E27</f>
        <v>0.5215732600794073</v>
      </c>
      <c r="G17" s="66">
        <f>'Balance Sheet'!F4/'Balance Sheet'!F27</f>
        <v>0.22092872777441916</v>
      </c>
      <c r="H17" s="66">
        <f>'Balance Sheet'!G4/'Balance Sheet'!G27</f>
        <v>0.34531132188615343</v>
      </c>
      <c r="I17" s="66">
        <f>'Balance Sheet'!H4/'Balance Sheet'!H27</f>
        <v>0.65450995823121905</v>
      </c>
      <c r="J17" s="66">
        <f>'Balance Sheet'!I4/'Balance Sheet'!I27</f>
        <v>0.33180943932950263</v>
      </c>
      <c r="K17" s="66">
        <f>'Balance Sheet'!J4/'Balance Sheet'!J27</f>
        <v>0.46934006749712182</v>
      </c>
      <c r="L17" s="66">
        <f>'Balance Sheet'!K4/'Balance Sheet'!K27</f>
        <v>0.65630489503511424</v>
      </c>
      <c r="M17" s="66">
        <f>'Balance Sheet'!L4/'Balance Sheet'!L27</f>
        <v>0.71320579362613123</v>
      </c>
      <c r="N17" s="66">
        <f>'Balance Sheet'!M4/'Balance Sheet'!M27</f>
        <v>0.68954780287572748</v>
      </c>
      <c r="O17" s="66">
        <f>'Balance Sheet'!N4/'Balance Sheet'!N27</f>
        <v>1.2134754745298435</v>
      </c>
      <c r="P17" s="66">
        <f>'Balance Sheet'!O4/'Balance Sheet'!O27</f>
        <v>0.94534374564508827</v>
      </c>
      <c r="Q17" s="66">
        <f>'Balance Sheet'!P4/'Balance Sheet'!P27</f>
        <v>1.313902539834612</v>
      </c>
      <c r="R17" s="66">
        <f>'Balance Sheet'!Q4/'Balance Sheet'!Q27</f>
        <v>1.1172067381886857</v>
      </c>
      <c r="S17" s="66">
        <f>'Balance Sheet'!R4/'Balance Sheet'!R27</f>
        <v>0.96110790773988442</v>
      </c>
      <c r="T17" s="66">
        <f>'Balance Sheet'!S4/'Balance Sheet'!S27</f>
        <v>0.44461654422508556</v>
      </c>
      <c r="U17" s="66">
        <f>'Balance Sheet'!T4/'Balance Sheet'!T27</f>
        <v>0.46038078364059665</v>
      </c>
      <c r="V17" s="66">
        <f>'Balance Sheet'!U4/'Balance Sheet'!U27</f>
        <v>0.65558678488081901</v>
      </c>
      <c r="W17" s="66">
        <f>'Balance Sheet'!V4/'Balance Sheet'!V27</f>
        <v>0.53938926057405823</v>
      </c>
      <c r="X17" s="66">
        <f>'Balance Sheet'!W4/'Balance Sheet'!W27</f>
        <v>0.62554132013459796</v>
      </c>
      <c r="Y17" s="66">
        <f>'Balance Sheet'!X4/'Balance Sheet'!X27</f>
        <v>0.92018849593092711</v>
      </c>
      <c r="Z17" s="66">
        <f>'Balance Sheet'!Y4/'Balance Sheet'!Y27</f>
        <v>0.53449505591045732</v>
      </c>
      <c r="AA17" s="66">
        <f>'Balance Sheet'!Z4/'Balance Sheet'!Z27</f>
        <v>0.56470704737896293</v>
      </c>
      <c r="AB17" s="66">
        <f>'Balance Sheet'!AA4/'Balance Sheet'!AA27</f>
        <v>0.57880908694742639</v>
      </c>
      <c r="AC17" s="66">
        <f>'Balance Sheet'!AB4/'Balance Sheet'!AB27</f>
        <v>1.926803030692352</v>
      </c>
      <c r="AD17" s="66" t="e">
        <f>'Balance Sheet'!AC4/'Balance Sheet'!AC27</f>
        <v>#DIV/0!</v>
      </c>
      <c r="AE17" s="66" t="e">
        <f>'Balance Sheet'!AD4/'Balance Sheet'!AD27</f>
        <v>#DIV/0!</v>
      </c>
      <c r="AF17" s="66" t="e">
        <f>'Balance Sheet'!AE4/'Balance Sheet'!AE27</f>
        <v>#DIV/0!</v>
      </c>
      <c r="AG17" s="66" t="e">
        <f>'Balance Sheet'!AF4/'Balance Sheet'!AF27</f>
        <v>#DIV/0!</v>
      </c>
      <c r="AH17" s="66" t="e">
        <f>'Balance Sheet'!AG4/'Balance Sheet'!AG27</f>
        <v>#DIV/0!</v>
      </c>
      <c r="AI17" s="66" t="e">
        <f>'Balance Sheet'!AH4/'Balance Sheet'!AH27</f>
        <v>#DIV/0!</v>
      </c>
      <c r="AJ17" s="66" t="e">
        <f>'Balance Sheet'!AI4/'Balance Sheet'!AI27</f>
        <v>#DIV/0!</v>
      </c>
      <c r="AK17" s="66" t="e">
        <f>'Balance Sheet'!AJ4/'Balance Sheet'!AJ27</f>
        <v>#DIV/0!</v>
      </c>
      <c r="AL17" s="66" t="e">
        <f>'Balance Sheet'!AK4/'Balance Sheet'!AK27</f>
        <v>#DIV/0!</v>
      </c>
      <c r="AM17" s="66" t="e">
        <f>'Balance Sheet'!AL4/'Balance Sheet'!AL27</f>
        <v>#DIV/0!</v>
      </c>
      <c r="AN17" s="66" t="e">
        <f>'Balance Sheet'!AM4/'Balance Sheet'!AM27</f>
        <v>#DIV/0!</v>
      </c>
    </row>
    <row r="18" spans="1:40" ht="14.45" thickBot="1">
      <c r="A18" s="70"/>
      <c r="B18" s="95" t="s">
        <v>191</v>
      </c>
      <c r="C18" s="96"/>
      <c r="D18" s="97">
        <f>'Balance Sheet'!C4/'Balance Sheet'!C29</f>
        <v>4.3657645879832487E-2</v>
      </c>
      <c r="E18" s="97">
        <f>'Balance Sheet'!D4/'Balance Sheet'!D29</f>
        <v>4.1854572429007794E-2</v>
      </c>
      <c r="F18" s="97">
        <f>'Balance Sheet'!E4/'Balance Sheet'!E29</f>
        <v>4.4316511170348752E-2</v>
      </c>
      <c r="G18" s="97">
        <f>'Balance Sheet'!F4/'Balance Sheet'!F29</f>
        <v>2.5194870954163704E-2</v>
      </c>
      <c r="H18" s="97">
        <f>'Balance Sheet'!G4/'Balance Sheet'!G29</f>
        <v>3.5416041418243602E-2</v>
      </c>
      <c r="I18" s="97">
        <f>'Balance Sheet'!H4/'Balance Sheet'!H29</f>
        <v>6.5399120071194319E-2</v>
      </c>
      <c r="J18" s="97">
        <f>'Balance Sheet'!I4/'Balance Sheet'!I29</f>
        <v>3.2465659364458714E-2</v>
      </c>
      <c r="K18" s="97">
        <f>'Balance Sheet'!J4/'Balance Sheet'!J29</f>
        <v>4.2836084919561833E-2</v>
      </c>
      <c r="L18" s="97">
        <f>'Balance Sheet'!K4/'Balance Sheet'!K29</f>
        <v>6.0446747290545083E-2</v>
      </c>
      <c r="M18" s="97">
        <f>'Balance Sheet'!L4/'Balance Sheet'!L29</f>
        <v>6.7519722509085611E-2</v>
      </c>
      <c r="N18" s="97">
        <f>'Balance Sheet'!M4/'Balance Sheet'!M29</f>
        <v>6.5087755972881994E-2</v>
      </c>
      <c r="O18" s="97">
        <f>'Balance Sheet'!N4/'Balance Sheet'!N29</f>
        <v>0.10910459613781923</v>
      </c>
      <c r="P18" s="97">
        <f>'Balance Sheet'!O4/'Balance Sheet'!O29</f>
        <v>0.14181179703945349</v>
      </c>
      <c r="Q18" s="97">
        <f>'Balance Sheet'!P4/'Balance Sheet'!P29</f>
        <v>0.11203518844316043</v>
      </c>
      <c r="R18" s="97">
        <f>'Balance Sheet'!Q4/'Balance Sheet'!Q29</f>
        <v>8.983441687129573E-2</v>
      </c>
      <c r="S18" s="97">
        <f>'Balance Sheet'!R4/'Balance Sheet'!R29</f>
        <v>7.8289321150001562E-2</v>
      </c>
      <c r="T18" s="97">
        <f>'Balance Sheet'!S4/'Balance Sheet'!S29</f>
        <v>5.2780144324006788E-2</v>
      </c>
      <c r="U18" s="97">
        <f>'Balance Sheet'!T4/'Balance Sheet'!T29</f>
        <v>4.4603391866810227E-2</v>
      </c>
      <c r="V18" s="97">
        <f>'Balance Sheet'!U4/'Balance Sheet'!U29</f>
        <v>5.9643777552355212E-2</v>
      </c>
      <c r="W18" s="97">
        <f>'Balance Sheet'!V4/'Balance Sheet'!V29</f>
        <v>5.0724936371821128E-2</v>
      </c>
      <c r="X18" s="97">
        <f>'Balance Sheet'!W4/'Balance Sheet'!W29</f>
        <v>5.6008596796988365E-2</v>
      </c>
      <c r="Y18" s="97">
        <f>'Balance Sheet'!X4/'Balance Sheet'!X29</f>
        <v>7.8978661834571057E-2</v>
      </c>
      <c r="Z18" s="97">
        <f>'Balance Sheet'!Y4/'Balance Sheet'!Y29</f>
        <v>4.9384663139512244E-2</v>
      </c>
      <c r="AA18" s="97">
        <f>'Balance Sheet'!Z4/'Balance Sheet'!Z29</f>
        <v>4.9697203370961222E-2</v>
      </c>
      <c r="AB18" s="97">
        <f>'Balance Sheet'!AA4/'Balance Sheet'!AA29</f>
        <v>5.368450823034248E-2</v>
      </c>
      <c r="AC18" s="97">
        <f>'Balance Sheet'!AB4/'Balance Sheet'!AB29</f>
        <v>0.30485031737163248</v>
      </c>
      <c r="AD18" s="97" t="e">
        <f>'Balance Sheet'!AC4/'Balance Sheet'!AC29</f>
        <v>#DIV/0!</v>
      </c>
      <c r="AE18" s="97" t="e">
        <f>'Balance Sheet'!AD4/'Balance Sheet'!AD29</f>
        <v>#DIV/0!</v>
      </c>
      <c r="AF18" s="97" t="e">
        <f>'Balance Sheet'!AE4/'Balance Sheet'!AE29</f>
        <v>#DIV/0!</v>
      </c>
      <c r="AG18" s="97" t="e">
        <f>'Balance Sheet'!AF4/'Balance Sheet'!AF29</f>
        <v>#DIV/0!</v>
      </c>
      <c r="AH18" s="97" t="e">
        <f>'Balance Sheet'!AG4/'Balance Sheet'!AG29</f>
        <v>#DIV/0!</v>
      </c>
      <c r="AI18" s="97" t="e">
        <f>'Balance Sheet'!AH4/'Balance Sheet'!AH29</f>
        <v>#DIV/0!</v>
      </c>
      <c r="AJ18" s="97" t="e">
        <f>'Balance Sheet'!AI4/'Balance Sheet'!AI29</f>
        <v>#DIV/0!</v>
      </c>
      <c r="AK18" s="97" t="e">
        <f>'Balance Sheet'!AJ4/'Balance Sheet'!AJ29</f>
        <v>#DIV/0!</v>
      </c>
      <c r="AL18" s="97" t="e">
        <f>'Balance Sheet'!AK4/'Balance Sheet'!AK29</f>
        <v>#DIV/0!</v>
      </c>
      <c r="AM18" s="97" t="e">
        <f>'Balance Sheet'!AL4/'Balance Sheet'!AL29</f>
        <v>#DIV/0!</v>
      </c>
      <c r="AN18" s="97" t="e">
        <f>'Balance Sheet'!AM4/'Balance Sheet'!AM29</f>
        <v>#DIV/0!</v>
      </c>
    </row>
    <row r="19" spans="1:40">
      <c r="A19" s="18"/>
      <c r="B19" s="98" t="s">
        <v>192</v>
      </c>
      <c r="C19" s="100" t="s">
        <v>193</v>
      </c>
      <c r="D19" s="99">
        <f>'Balance Sheet'!C37/'Balance Sheet'!C26</f>
        <v>0</v>
      </c>
      <c r="E19" s="99">
        <f>'Balance Sheet'!D37/'Balance Sheet'!D26</f>
        <v>0</v>
      </c>
      <c r="F19" s="99">
        <f>'Balance Sheet'!E37/'Balance Sheet'!E26</f>
        <v>0</v>
      </c>
      <c r="G19" s="99">
        <f>'Balance Sheet'!F37/'Balance Sheet'!F26</f>
        <v>0</v>
      </c>
      <c r="H19" s="99">
        <f>'Balance Sheet'!G37/'Balance Sheet'!G26</f>
        <v>0</v>
      </c>
      <c r="I19" s="99">
        <f>'Balance Sheet'!H37/'Balance Sheet'!H26</f>
        <v>0</v>
      </c>
      <c r="J19" s="99">
        <f>'Balance Sheet'!I37/'Balance Sheet'!I26</f>
        <v>0</v>
      </c>
      <c r="K19" s="99">
        <f>'Balance Sheet'!J37/'Balance Sheet'!J26</f>
        <v>0</v>
      </c>
      <c r="L19" s="99">
        <f>'Balance Sheet'!K37/'Balance Sheet'!K26</f>
        <v>0</v>
      </c>
      <c r="M19" s="99">
        <f>'Balance Sheet'!L37/'Balance Sheet'!L26</f>
        <v>0</v>
      </c>
      <c r="N19" s="99">
        <f>'Balance Sheet'!M37/'Balance Sheet'!M26</f>
        <v>0</v>
      </c>
      <c r="O19" s="99">
        <f>'Balance Sheet'!N37/'Balance Sheet'!N26</f>
        <v>0</v>
      </c>
      <c r="P19" s="99">
        <f>'Balance Sheet'!O37/'Balance Sheet'!O26</f>
        <v>0</v>
      </c>
      <c r="Q19" s="99">
        <f>'Balance Sheet'!P37/'Balance Sheet'!P26</f>
        <v>0</v>
      </c>
      <c r="R19" s="99">
        <f>'Balance Sheet'!Q37/'Balance Sheet'!Q26</f>
        <v>0</v>
      </c>
      <c r="S19" s="99">
        <f>'Balance Sheet'!R37/'Balance Sheet'!R26</f>
        <v>0</v>
      </c>
      <c r="T19" s="99">
        <f>'Balance Sheet'!S37/'Balance Sheet'!S26</f>
        <v>0</v>
      </c>
      <c r="U19" s="99">
        <f>'Balance Sheet'!T37/'Balance Sheet'!T26</f>
        <v>0</v>
      </c>
      <c r="V19" s="99">
        <f>'Balance Sheet'!U37/'Balance Sheet'!U26</f>
        <v>0</v>
      </c>
      <c r="W19" s="99">
        <f>'Balance Sheet'!V37/'Balance Sheet'!V26</f>
        <v>0</v>
      </c>
      <c r="X19" s="99">
        <f>'Balance Sheet'!W37/'Balance Sheet'!W26</f>
        <v>0</v>
      </c>
      <c r="Y19" s="99">
        <f>'Balance Sheet'!X37/'Balance Sheet'!X26</f>
        <v>0</v>
      </c>
      <c r="Z19" s="99">
        <f>'Balance Sheet'!Y37/'Balance Sheet'!Y26</f>
        <v>0</v>
      </c>
      <c r="AA19" s="99">
        <f>'Balance Sheet'!Z37/'Balance Sheet'!Z26</f>
        <v>0</v>
      </c>
      <c r="AB19" s="99">
        <f>'Balance Sheet'!AA37/'Balance Sheet'!AA26</f>
        <v>0</v>
      </c>
      <c r="AC19" s="99">
        <f>'Balance Sheet'!AB37/'Balance Sheet'!AB26</f>
        <v>0</v>
      </c>
      <c r="AD19" s="99" t="e">
        <f>'Balance Sheet'!AC37/'Balance Sheet'!AC26</f>
        <v>#DIV/0!</v>
      </c>
      <c r="AE19" s="99" t="e">
        <f>'Balance Sheet'!AD37/'Balance Sheet'!AD26</f>
        <v>#DIV/0!</v>
      </c>
      <c r="AF19" s="99" t="e">
        <f>'Balance Sheet'!AE37/'Balance Sheet'!AE26</f>
        <v>#DIV/0!</v>
      </c>
      <c r="AG19" s="99" t="e">
        <f>'Balance Sheet'!AF37/'Balance Sheet'!AF26</f>
        <v>#DIV/0!</v>
      </c>
      <c r="AH19" s="99" t="e">
        <f>'Balance Sheet'!AG37/'Balance Sheet'!AG26</f>
        <v>#DIV/0!</v>
      </c>
      <c r="AI19" s="99" t="e">
        <f>'Balance Sheet'!AH37/'Balance Sheet'!AH26</f>
        <v>#DIV/0!</v>
      </c>
      <c r="AJ19" s="99" t="e">
        <f>'Balance Sheet'!AI37/'Balance Sheet'!AI26</f>
        <v>#DIV/0!</v>
      </c>
      <c r="AK19" s="99" t="e">
        <f>'Balance Sheet'!AJ38/'Balance Sheet'!AJ26</f>
        <v>#DIV/0!</v>
      </c>
      <c r="AL19" s="99" t="e">
        <f>'Balance Sheet'!AK38/'Balance Sheet'!AK26</f>
        <v>#DIV/0!</v>
      </c>
      <c r="AM19" s="99" t="e">
        <f>'Balance Sheet'!AL38/'Balance Sheet'!AL26</f>
        <v>#DIV/0!</v>
      </c>
      <c r="AN19" s="99" t="e">
        <f>'Balance Sheet'!AM38/'Balance Sheet'!AM26</f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77F4A-C0C2-43CC-B720-F35ED0FD9288}"/>
</file>

<file path=customXml/itemProps2.xml><?xml version="1.0" encoding="utf-8"?>
<ds:datastoreItem xmlns:ds="http://schemas.openxmlformats.org/officeDocument/2006/customXml" ds:itemID="{CB77037F-0F32-4143-8B63-07301056DE69}"/>
</file>

<file path=customXml/itemProps3.xml><?xml version="1.0" encoding="utf-8"?>
<ds:datastoreItem xmlns:ds="http://schemas.openxmlformats.org/officeDocument/2006/customXml" ds:itemID="{7ABBB2BE-4D91-4B80-82E2-6012293B83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David Onyango</cp:lastModifiedBy>
  <cp:revision/>
  <dcterms:created xsi:type="dcterms:W3CDTF">2020-12-13T08:25:54Z</dcterms:created>
  <dcterms:modified xsi:type="dcterms:W3CDTF">2023-02-16T08:51:14Z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2021-07-29T09:47:27Z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ffa2a51d-9212-4eb6-bfe0-b8d8cb8bb76e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
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lochit\Desktop\Audited Accounts-2022\"/>
    </mc:Choice>
  </mc:AlternateContent>
  <xr:revisionPtr revIDLastSave="205" documentId="13_ncr:1_{65FF9519-C21B-4B81-95C1-E99FF755D32E}" xr6:coauthVersionLast="47" xr6:coauthVersionMax="47" xr10:uidLastSave="{1B84B7F8-B529-47E4-B8F5-341C36E9E1F2}"/>
  <bookViews>
    <workbookView xWindow="-96" yWindow="0" windowWidth="11712" windowHeight="12336" activeTab="7" xr2:uid="{00000000-000D-0000-FFFF-FFFF00000000}"/>
  </bookViews>
  <sheets>
    <sheet name="Trend" sheetId="4" r:id="rId1"/>
    <sheet name="GDP" sheetId="11" r:id="rId2"/>
    <sheet name="Sheet2" sheetId="10" r:id="rId3"/>
    <sheet name="Sheet4" sheetId="12" r:id="rId4"/>
    <sheet name="FSI" sheetId="9" r:id="rId5"/>
    <sheet name="Financials" sheetId="6" r:id="rId6"/>
    <sheet name="Prudential Ratios" sheetId="5" r:id="rId7"/>
    <sheet name="CAELS" sheetId="7" r:id="rId8"/>
    <sheet name="FORM 4" sheetId="8" r:id="rId9"/>
  </sheets>
  <externalReferences>
    <externalReference r:id="rId10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NotApplicable">CAELS!$B$25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_xlnm.Print_Area" localSheetId="7">CAELS!$B$2:$G$25</definedName>
    <definedName name="_xlnm.Print_Area" localSheetId="6">'Prudential Ratios'!$B$2:$L$46</definedName>
    <definedName name="_xlnm.Print_Area" localSheetId="0">Trend!$A$1:$Q$105</definedName>
    <definedName name="units">'[1]SASRA B.S.'!$C$2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9" i="7" l="1"/>
  <c r="Y73" i="7" s="1"/>
  <c r="Z79" i="7"/>
  <c r="Z73" i="7" s="1"/>
  <c r="AA79" i="7"/>
  <c r="AA73" i="7" s="1"/>
  <c r="AB79" i="7"/>
  <c r="AB73" i="7" s="1"/>
  <c r="AC79" i="7"/>
  <c r="AC73" i="7" s="1"/>
  <c r="AD79" i="7"/>
  <c r="AD73" i="7" s="1"/>
  <c r="AE79" i="7"/>
  <c r="AE73" i="7" s="1"/>
  <c r="Y80" i="7"/>
  <c r="Y74" i="7" s="1"/>
  <c r="Z80" i="7"/>
  <c r="Z74" i="7" s="1"/>
  <c r="AA80" i="7"/>
  <c r="AA74" i="7" s="1"/>
  <c r="AB80" i="7"/>
  <c r="AB74" i="7" s="1"/>
  <c r="AC80" i="7"/>
  <c r="AC74" i="7" s="1"/>
  <c r="AD80" i="7"/>
  <c r="AD74" i="7" s="1"/>
  <c r="AE80" i="7"/>
  <c r="AE74" i="7" s="1"/>
  <c r="Y81" i="7"/>
  <c r="Y75" i="7" s="1"/>
  <c r="Z81" i="7"/>
  <c r="Z75" i="7" s="1"/>
  <c r="AA81" i="7"/>
  <c r="AA75" i="7" s="1"/>
  <c r="AB81" i="7"/>
  <c r="AB75" i="7" s="1"/>
  <c r="AC81" i="7"/>
  <c r="AC75" i="7" s="1"/>
  <c r="AD81" i="7"/>
  <c r="AD75" i="7" s="1"/>
  <c r="AE81" i="7"/>
  <c r="AE75" i="7" s="1"/>
  <c r="Y82" i="7"/>
  <c r="Y76" i="7" s="1"/>
  <c r="Z82" i="7"/>
  <c r="Z76" i="7" s="1"/>
  <c r="AA82" i="7"/>
  <c r="AA76" i="7" s="1"/>
  <c r="AB82" i="7"/>
  <c r="AB76" i="7" s="1"/>
  <c r="AC82" i="7"/>
  <c r="AC76" i="7" s="1"/>
  <c r="AD82" i="7"/>
  <c r="AD76" i="7" s="1"/>
  <c r="AE82" i="7"/>
  <c r="AE76" i="7" s="1"/>
  <c r="Y83" i="7"/>
  <c r="Y77" i="7" s="1"/>
  <c r="Z83" i="7"/>
  <c r="Z77" i="7" s="1"/>
  <c r="AA83" i="7"/>
  <c r="AA77" i="7" s="1"/>
  <c r="AB83" i="7"/>
  <c r="AB77" i="7" s="1"/>
  <c r="AC83" i="7"/>
  <c r="AC77" i="7" s="1"/>
  <c r="AD83" i="7"/>
  <c r="AD77" i="7" s="1"/>
  <c r="AE83" i="7"/>
  <c r="AE77" i="7" s="1"/>
  <c r="Y85" i="7"/>
  <c r="Z85" i="7"/>
  <c r="AA85" i="7"/>
  <c r="AB85" i="7"/>
  <c r="AC85" i="7"/>
  <c r="AD85" i="7"/>
  <c r="AE85" i="7"/>
  <c r="Y86" i="7"/>
  <c r="Z86" i="7"/>
  <c r="AA86" i="7"/>
  <c r="AB86" i="7"/>
  <c r="AC86" i="7"/>
  <c r="AD86" i="7"/>
  <c r="AE86" i="7"/>
  <c r="Y87" i="7"/>
  <c r="Z87" i="7"/>
  <c r="AA87" i="7"/>
  <c r="AB87" i="7"/>
  <c r="AC87" i="7"/>
  <c r="AD87" i="7"/>
  <c r="AE87" i="7"/>
  <c r="Y88" i="7"/>
  <c r="Z88" i="7"/>
  <c r="AA88" i="7"/>
  <c r="AB88" i="7"/>
  <c r="AC88" i="7"/>
  <c r="AD88" i="7"/>
  <c r="AE88" i="7"/>
  <c r="Y46" i="7"/>
  <c r="Z46" i="7"/>
  <c r="AA46" i="7"/>
  <c r="AB46" i="7"/>
  <c r="AC46" i="7"/>
  <c r="AD46" i="7"/>
  <c r="AE46" i="7"/>
  <c r="Y47" i="7"/>
  <c r="Z47" i="7"/>
  <c r="AA47" i="7"/>
  <c r="AB47" i="7"/>
  <c r="AC47" i="7"/>
  <c r="AD47" i="7"/>
  <c r="AE47" i="7"/>
  <c r="Y48" i="7"/>
  <c r="Z48" i="7"/>
  <c r="AA48" i="7"/>
  <c r="AB48" i="7"/>
  <c r="AC48" i="7"/>
  <c r="AD48" i="7"/>
  <c r="AE48" i="7"/>
  <c r="Y49" i="7"/>
  <c r="Z49" i="7"/>
  <c r="AA49" i="7"/>
  <c r="AB49" i="7"/>
  <c r="AC49" i="7"/>
  <c r="AD49" i="7"/>
  <c r="AE49" i="7"/>
  <c r="Y41" i="7"/>
  <c r="Z41" i="7"/>
  <c r="AA41" i="7"/>
  <c r="AB41" i="7"/>
  <c r="AC41" i="7"/>
  <c r="AD41" i="7"/>
  <c r="AE41" i="7"/>
  <c r="Y42" i="7"/>
  <c r="Z42" i="7"/>
  <c r="AA42" i="7"/>
  <c r="AB42" i="7"/>
  <c r="AC42" i="7"/>
  <c r="AD42" i="7"/>
  <c r="AE42" i="7"/>
  <c r="Y43" i="7"/>
  <c r="Z43" i="7"/>
  <c r="AA43" i="7"/>
  <c r="AB43" i="7"/>
  <c r="AC43" i="7"/>
  <c r="AD43" i="7"/>
  <c r="AE43" i="7"/>
  <c r="Y44" i="7"/>
  <c r="Z44" i="7"/>
  <c r="AA44" i="7"/>
  <c r="AB44" i="7"/>
  <c r="AC44" i="7"/>
  <c r="AD44" i="7"/>
  <c r="AE44" i="7"/>
  <c r="Y37" i="7"/>
  <c r="Z37" i="7"/>
  <c r="AA37" i="7"/>
  <c r="AB37" i="7"/>
  <c r="AC37" i="7"/>
  <c r="AD37" i="7"/>
  <c r="AE37" i="7"/>
  <c r="Y38" i="7"/>
  <c r="Z38" i="7"/>
  <c r="AA38" i="7"/>
  <c r="AB38" i="7"/>
  <c r="AC38" i="7"/>
  <c r="AD38" i="7"/>
  <c r="AE38" i="7"/>
  <c r="Y39" i="7"/>
  <c r="Z39" i="7"/>
  <c r="AA39" i="7"/>
  <c r="AB39" i="7"/>
  <c r="AC39" i="7"/>
  <c r="AD39" i="7"/>
  <c r="AE39" i="7"/>
  <c r="Y34" i="7"/>
  <c r="Z34" i="7"/>
  <c r="AA34" i="7"/>
  <c r="AB34" i="7"/>
  <c r="AC34" i="7"/>
  <c r="AD34" i="7"/>
  <c r="AE34" i="7"/>
  <c r="Y35" i="7"/>
  <c r="Z35" i="7"/>
  <c r="AA35" i="7"/>
  <c r="AB35" i="7"/>
  <c r="AC35" i="7"/>
  <c r="AD35" i="7"/>
  <c r="AE35" i="7"/>
  <c r="Y28" i="7"/>
  <c r="Z28" i="7"/>
  <c r="AA28" i="7"/>
  <c r="AB28" i="7"/>
  <c r="AC28" i="7"/>
  <c r="AD28" i="7"/>
  <c r="AE28" i="7"/>
  <c r="Y29" i="7"/>
  <c r="Z29" i="7"/>
  <c r="AA29" i="7"/>
  <c r="AB29" i="7"/>
  <c r="AC29" i="7"/>
  <c r="AD29" i="7"/>
  <c r="AE29" i="7"/>
  <c r="Y30" i="7"/>
  <c r="Z30" i="7"/>
  <c r="AA30" i="7"/>
  <c r="AB30" i="7"/>
  <c r="AC30" i="7"/>
  <c r="AD30" i="7"/>
  <c r="AE30" i="7"/>
  <c r="Y31" i="7"/>
  <c r="Z31" i="7"/>
  <c r="AA31" i="7"/>
  <c r="AB31" i="7"/>
  <c r="AC31" i="7"/>
  <c r="AD31" i="7"/>
  <c r="AE31" i="7"/>
  <c r="Y32" i="7"/>
  <c r="Z32" i="7"/>
  <c r="AA32" i="7"/>
  <c r="AB32" i="7"/>
  <c r="AC32" i="7"/>
  <c r="AD32" i="7"/>
  <c r="AE32" i="7"/>
  <c r="Y21" i="7"/>
  <c r="Z21" i="7"/>
  <c r="AA21" i="7"/>
  <c r="AB21" i="7"/>
  <c r="AC21" i="7"/>
  <c r="AD21" i="7"/>
  <c r="AE21" i="7"/>
  <c r="Y22" i="7"/>
  <c r="Z22" i="7"/>
  <c r="AA22" i="7"/>
  <c r="AB22" i="7"/>
  <c r="AC22" i="7"/>
  <c r="AD22" i="7"/>
  <c r="AE22" i="7"/>
  <c r="Y23" i="7"/>
  <c r="Z23" i="7"/>
  <c r="AA23" i="7"/>
  <c r="AB23" i="7"/>
  <c r="AC23" i="7"/>
  <c r="AD23" i="7"/>
  <c r="AE23" i="7"/>
  <c r="Y24" i="7"/>
  <c r="Z24" i="7"/>
  <c r="AA24" i="7"/>
  <c r="AB24" i="7"/>
  <c r="AC24" i="7"/>
  <c r="AD24" i="7"/>
  <c r="AE24" i="7"/>
  <c r="Y25" i="7"/>
  <c r="Z25" i="7"/>
  <c r="AA25" i="7"/>
  <c r="AB25" i="7"/>
  <c r="AC25" i="7"/>
  <c r="AD25" i="7"/>
  <c r="AE25" i="7"/>
  <c r="Y16" i="7"/>
  <c r="Z16" i="7"/>
  <c r="AA16" i="7"/>
  <c r="AB16" i="7"/>
  <c r="AC16" i="7"/>
  <c r="AD16" i="7"/>
  <c r="AE16" i="7"/>
  <c r="Y17" i="7"/>
  <c r="Z17" i="7"/>
  <c r="AA17" i="7"/>
  <c r="AB17" i="7"/>
  <c r="AC17" i="7"/>
  <c r="AD17" i="7"/>
  <c r="AE17" i="7"/>
  <c r="Y18" i="7"/>
  <c r="Z18" i="7"/>
  <c r="AA18" i="7"/>
  <c r="AB18" i="7"/>
  <c r="AC18" i="7"/>
  <c r="AD18" i="7"/>
  <c r="AE18" i="7"/>
  <c r="Y19" i="7"/>
  <c r="Z19" i="7"/>
  <c r="AA19" i="7"/>
  <c r="AB19" i="7"/>
  <c r="AC19" i="7"/>
  <c r="AD19" i="7"/>
  <c r="AE19" i="7"/>
  <c r="Y12" i="7"/>
  <c r="Z12" i="7"/>
  <c r="AA12" i="7"/>
  <c r="AB12" i="7"/>
  <c r="AC12" i="7"/>
  <c r="AD12" i="7"/>
  <c r="AE12" i="7"/>
  <c r="Y13" i="7"/>
  <c r="Z13" i="7"/>
  <c r="AA13" i="7"/>
  <c r="AB13" i="7"/>
  <c r="AC13" i="7"/>
  <c r="AD13" i="7"/>
  <c r="AE13" i="7"/>
  <c r="Y14" i="7"/>
  <c r="Z14" i="7"/>
  <c r="AA14" i="7"/>
  <c r="AB14" i="7"/>
  <c r="AC14" i="7"/>
  <c r="AD14" i="7"/>
  <c r="AE14" i="7"/>
  <c r="Y3" i="7"/>
  <c r="Z3" i="7"/>
  <c r="AA3" i="7"/>
  <c r="AB3" i="7"/>
  <c r="AC3" i="7"/>
  <c r="AD3" i="7"/>
  <c r="AE3" i="7"/>
  <c r="Y4" i="7"/>
  <c r="Z4" i="7"/>
  <c r="AA4" i="7"/>
  <c r="AB4" i="7"/>
  <c r="AC4" i="7"/>
  <c r="AD4" i="7"/>
  <c r="AE4" i="7"/>
  <c r="Y5" i="7"/>
  <c r="Z5" i="7"/>
  <c r="AA5" i="7"/>
  <c r="AB5" i="7"/>
  <c r="AC5" i="7"/>
  <c r="AD5" i="7"/>
  <c r="AE5" i="7"/>
  <c r="Y6" i="7"/>
  <c r="Z6" i="7"/>
  <c r="AA6" i="7"/>
  <c r="AB6" i="7"/>
  <c r="AC6" i="7"/>
  <c r="AD6" i="7"/>
  <c r="AE6" i="7"/>
  <c r="Y7" i="7"/>
  <c r="Z7" i="7"/>
  <c r="AA7" i="7"/>
  <c r="AB7" i="7"/>
  <c r="AC7" i="7"/>
  <c r="AD7" i="7"/>
  <c r="AE7" i="7"/>
  <c r="Y44" i="5"/>
  <c r="Z44" i="5"/>
  <c r="AA44" i="5"/>
  <c r="AB44" i="5"/>
  <c r="AC44" i="5"/>
  <c r="AD44" i="5"/>
  <c r="AE44" i="5"/>
  <c r="Y45" i="5"/>
  <c r="Z45" i="5"/>
  <c r="AA45" i="5"/>
  <c r="AB45" i="5"/>
  <c r="AC45" i="5"/>
  <c r="AD45" i="5"/>
  <c r="AE45" i="5"/>
  <c r="Y46" i="5"/>
  <c r="Z46" i="5"/>
  <c r="AA46" i="5"/>
  <c r="AB46" i="5"/>
  <c r="AC46" i="5"/>
  <c r="AD46" i="5"/>
  <c r="AE46" i="5"/>
  <c r="Y40" i="5"/>
  <c r="Z40" i="5"/>
  <c r="AA40" i="5"/>
  <c r="AB40" i="5"/>
  <c r="AC40" i="5"/>
  <c r="AD40" i="5"/>
  <c r="AE40" i="5"/>
  <c r="Y34" i="5"/>
  <c r="Z34" i="5"/>
  <c r="AA34" i="5"/>
  <c r="AB34" i="5"/>
  <c r="AC34" i="5"/>
  <c r="AD34" i="5"/>
  <c r="AE34" i="5"/>
  <c r="Y35" i="5"/>
  <c r="Z35" i="5"/>
  <c r="AA35" i="5"/>
  <c r="AB35" i="5"/>
  <c r="AC35" i="5"/>
  <c r="AD35" i="5"/>
  <c r="AE35" i="5"/>
  <c r="Y36" i="5"/>
  <c r="Z36" i="5"/>
  <c r="AA36" i="5"/>
  <c r="AB36" i="5"/>
  <c r="AC36" i="5"/>
  <c r="AD36" i="5"/>
  <c r="AE36" i="5"/>
  <c r="Y37" i="5"/>
  <c r="Z37" i="5"/>
  <c r="AA37" i="5"/>
  <c r="AB37" i="5"/>
  <c r="AC37" i="5"/>
  <c r="AD37" i="5"/>
  <c r="AE37" i="5"/>
  <c r="Y38" i="5"/>
  <c r="Z38" i="5"/>
  <c r="AA38" i="5"/>
  <c r="AB38" i="5"/>
  <c r="AC38" i="5"/>
  <c r="AD38" i="5"/>
  <c r="AE38" i="5"/>
  <c r="Y25" i="5"/>
  <c r="Z25" i="5"/>
  <c r="AA25" i="5"/>
  <c r="AB25" i="5"/>
  <c r="AC25" i="5"/>
  <c r="AD25" i="5"/>
  <c r="AE25" i="5"/>
  <c r="Y26" i="5"/>
  <c r="Z26" i="5"/>
  <c r="AA26" i="5"/>
  <c r="AB26" i="5"/>
  <c r="AC26" i="5"/>
  <c r="AD26" i="5"/>
  <c r="AE26" i="5"/>
  <c r="Y27" i="5"/>
  <c r="Z27" i="5"/>
  <c r="AA27" i="5"/>
  <c r="AB27" i="5"/>
  <c r="AC27" i="5"/>
  <c r="AD27" i="5"/>
  <c r="AE27" i="5"/>
  <c r="Y28" i="5"/>
  <c r="Z28" i="5"/>
  <c r="AA28" i="5"/>
  <c r="AB28" i="5"/>
  <c r="AC28" i="5"/>
  <c r="AD28" i="5"/>
  <c r="AE28" i="5"/>
  <c r="Y29" i="5"/>
  <c r="Z29" i="5"/>
  <c r="AA29" i="5"/>
  <c r="AB29" i="5"/>
  <c r="AC29" i="5"/>
  <c r="AD29" i="5"/>
  <c r="AE29" i="5"/>
  <c r="Y30" i="5"/>
  <c r="Z30" i="5"/>
  <c r="AA30" i="5"/>
  <c r="AB30" i="5"/>
  <c r="AC30" i="5"/>
  <c r="AD30" i="5"/>
  <c r="AE30" i="5"/>
  <c r="Y31" i="5"/>
  <c r="Z31" i="5"/>
  <c r="AA31" i="5"/>
  <c r="AB31" i="5"/>
  <c r="AC31" i="5"/>
  <c r="AD31" i="5"/>
  <c r="AE31" i="5"/>
  <c r="Y20" i="5"/>
  <c r="Z20" i="5"/>
  <c r="AA20" i="5"/>
  <c r="AB20" i="5"/>
  <c r="AC20" i="5"/>
  <c r="AD20" i="5"/>
  <c r="AE20" i="5"/>
  <c r="Y21" i="5"/>
  <c r="Z21" i="5"/>
  <c r="AA21" i="5"/>
  <c r="AB21" i="5"/>
  <c r="AC21" i="5"/>
  <c r="AD21" i="5"/>
  <c r="AE21" i="5"/>
  <c r="Y22" i="5"/>
  <c r="Z22" i="5"/>
  <c r="AA22" i="5"/>
  <c r="AB22" i="5"/>
  <c r="AC22" i="5"/>
  <c r="AD22" i="5"/>
  <c r="AE22" i="5"/>
  <c r="Y23" i="5"/>
  <c r="Z23" i="5"/>
  <c r="AA23" i="5"/>
  <c r="AB23" i="5"/>
  <c r="AC23" i="5"/>
  <c r="AD23" i="5"/>
  <c r="AE23" i="5"/>
  <c r="Y16" i="5"/>
  <c r="Z16" i="5"/>
  <c r="AA16" i="5"/>
  <c r="AB16" i="5"/>
  <c r="AC16" i="5"/>
  <c r="AD16" i="5"/>
  <c r="AE16" i="5"/>
  <c r="Y17" i="5"/>
  <c r="Z17" i="5"/>
  <c r="AA17" i="5"/>
  <c r="AB17" i="5"/>
  <c r="AC17" i="5"/>
  <c r="AD17" i="5"/>
  <c r="AE17" i="5"/>
  <c r="Y18" i="5"/>
  <c r="Z18" i="5"/>
  <c r="AA18" i="5"/>
  <c r="AB18" i="5"/>
  <c r="AC18" i="5"/>
  <c r="AD18" i="5"/>
  <c r="AE18" i="5"/>
  <c r="Y12" i="5"/>
  <c r="Z12" i="5"/>
  <c r="AA12" i="5"/>
  <c r="AB12" i="5"/>
  <c r="AC12" i="5"/>
  <c r="AD12" i="5"/>
  <c r="AE12" i="5"/>
  <c r="Y13" i="5"/>
  <c r="Z13" i="5"/>
  <c r="AA13" i="5"/>
  <c r="AB13" i="5"/>
  <c r="AC13" i="5"/>
  <c r="AD13" i="5"/>
  <c r="AE13" i="5"/>
  <c r="Y14" i="5"/>
  <c r="Z14" i="5"/>
  <c r="AA14" i="5"/>
  <c r="AB14" i="5"/>
  <c r="AC14" i="5"/>
  <c r="AD14" i="5"/>
  <c r="AE14" i="5"/>
  <c r="Y5" i="5"/>
  <c r="Z5" i="5"/>
  <c r="AA5" i="5"/>
  <c r="AB5" i="5"/>
  <c r="AC5" i="5"/>
  <c r="AD5" i="5"/>
  <c r="AE5" i="5"/>
  <c r="Y6" i="5"/>
  <c r="Z6" i="5"/>
  <c r="AA6" i="5"/>
  <c r="AB6" i="5"/>
  <c r="AC6" i="5"/>
  <c r="AD6" i="5"/>
  <c r="AE6" i="5"/>
  <c r="Y7" i="5"/>
  <c r="Z7" i="5"/>
  <c r="AA7" i="5"/>
  <c r="AB7" i="5"/>
  <c r="AC7" i="5"/>
  <c r="AD7" i="5"/>
  <c r="AE7" i="5"/>
  <c r="Y8" i="5"/>
  <c r="Z8" i="5"/>
  <c r="AA8" i="5"/>
  <c r="AB8" i="5"/>
  <c r="AC8" i="5"/>
  <c r="AD8" i="5"/>
  <c r="AE8" i="5"/>
  <c r="Y9" i="5"/>
  <c r="Z9" i="5"/>
  <c r="AA9" i="5"/>
  <c r="AB9" i="5"/>
  <c r="AC9" i="5"/>
  <c r="AD9" i="5"/>
  <c r="AE9" i="5"/>
  <c r="W58" i="6"/>
  <c r="X58" i="6"/>
  <c r="Y58" i="6"/>
  <c r="Z58" i="6"/>
  <c r="AA58" i="6"/>
  <c r="AB58" i="6"/>
  <c r="AC58" i="6"/>
  <c r="W59" i="6"/>
  <c r="X59" i="6"/>
  <c r="Y59" i="6"/>
  <c r="Z59" i="6"/>
  <c r="AA59" i="6"/>
  <c r="AB59" i="6"/>
  <c r="AC59" i="6"/>
  <c r="W60" i="6"/>
  <c r="X60" i="6"/>
  <c r="Y60" i="6"/>
  <c r="Z60" i="6"/>
  <c r="AA60" i="6"/>
  <c r="AB60" i="6"/>
  <c r="AC60" i="6"/>
  <c r="W61" i="6"/>
  <c r="X61" i="6"/>
  <c r="Y61" i="6"/>
  <c r="Z61" i="6"/>
  <c r="AA61" i="6"/>
  <c r="AB61" i="6"/>
  <c r="AC61" i="6"/>
  <c r="W62" i="6"/>
  <c r="X62" i="6"/>
  <c r="Y62" i="6"/>
  <c r="Z62" i="6"/>
  <c r="AA62" i="6"/>
  <c r="AB62" i="6"/>
  <c r="AC62" i="6"/>
  <c r="W63" i="6"/>
  <c r="X63" i="6"/>
  <c r="Y63" i="6"/>
  <c r="Z63" i="6"/>
  <c r="AA63" i="6"/>
  <c r="AB63" i="6"/>
  <c r="AC63" i="6"/>
  <c r="W64" i="6"/>
  <c r="X64" i="6"/>
  <c r="Y64" i="6"/>
  <c r="Z64" i="6"/>
  <c r="AA64" i="6"/>
  <c r="AB64" i="6"/>
  <c r="AC64" i="6"/>
  <c r="W65" i="6"/>
  <c r="X65" i="6"/>
  <c r="Y65" i="6"/>
  <c r="Z65" i="6"/>
  <c r="AA65" i="6"/>
  <c r="AB65" i="6"/>
  <c r="AC65" i="6"/>
  <c r="W66" i="6"/>
  <c r="X66" i="6"/>
  <c r="Y66" i="6"/>
  <c r="Z66" i="6"/>
  <c r="AA66" i="6"/>
  <c r="AB66" i="6"/>
  <c r="AC66" i="6"/>
  <c r="W50" i="6"/>
  <c r="X50" i="6"/>
  <c r="Y50" i="6"/>
  <c r="Z50" i="6"/>
  <c r="AA50" i="6"/>
  <c r="AB50" i="6"/>
  <c r="AC50" i="6"/>
  <c r="W51" i="6"/>
  <c r="X51" i="6"/>
  <c r="Y51" i="6"/>
  <c r="Z51" i="6"/>
  <c r="AA51" i="6"/>
  <c r="AB51" i="6"/>
  <c r="AC51" i="6"/>
  <c r="W52" i="6"/>
  <c r="X52" i="6"/>
  <c r="Y52" i="6"/>
  <c r="Z52" i="6"/>
  <c r="AA52" i="6"/>
  <c r="AB52" i="6"/>
  <c r="AC52" i="6"/>
  <c r="W53" i="6"/>
  <c r="X53" i="6"/>
  <c r="Y53" i="6"/>
  <c r="Z53" i="6"/>
  <c r="AA53" i="6"/>
  <c r="AB53" i="6"/>
  <c r="AC53" i="6"/>
  <c r="W54" i="6"/>
  <c r="X54" i="6"/>
  <c r="Y54" i="6"/>
  <c r="Z54" i="6"/>
  <c r="AA54" i="6"/>
  <c r="AB54" i="6"/>
  <c r="AC54" i="6"/>
  <c r="W55" i="6"/>
  <c r="X55" i="6"/>
  <c r="Y55" i="6"/>
  <c r="Z55" i="6"/>
  <c r="AA55" i="6"/>
  <c r="AB55" i="6"/>
  <c r="AC55" i="6"/>
  <c r="W56" i="6"/>
  <c r="X56" i="6"/>
  <c r="Y56" i="6"/>
  <c r="Z56" i="6"/>
  <c r="AA56" i="6"/>
  <c r="AB56" i="6"/>
  <c r="AC56" i="6"/>
  <c r="W44" i="6"/>
  <c r="X44" i="6"/>
  <c r="Y44" i="6"/>
  <c r="Z44" i="6"/>
  <c r="AA44" i="6"/>
  <c r="AB44" i="6"/>
  <c r="AC44" i="6"/>
  <c r="W45" i="6"/>
  <c r="X45" i="6"/>
  <c r="Y45" i="6"/>
  <c r="Z45" i="6"/>
  <c r="AA45" i="6"/>
  <c r="AB45" i="6"/>
  <c r="AC45" i="6"/>
  <c r="W46" i="6"/>
  <c r="X46" i="6"/>
  <c r="Y46" i="6"/>
  <c r="Z46" i="6"/>
  <c r="AA46" i="6"/>
  <c r="AB46" i="6"/>
  <c r="AC46" i="6"/>
  <c r="W47" i="6"/>
  <c r="X47" i="6"/>
  <c r="Y47" i="6"/>
  <c r="Z47" i="6"/>
  <c r="AA47" i="6"/>
  <c r="AB47" i="6"/>
  <c r="AC47" i="6"/>
  <c r="W40" i="6"/>
  <c r="X40" i="6"/>
  <c r="Y40" i="6"/>
  <c r="Z40" i="6"/>
  <c r="AA40" i="6"/>
  <c r="AB40" i="6"/>
  <c r="AC40" i="6"/>
  <c r="W39" i="6"/>
  <c r="X39" i="6"/>
  <c r="Y39" i="6"/>
  <c r="Z39" i="6"/>
  <c r="AA39" i="6"/>
  <c r="AB39" i="6"/>
  <c r="AC39" i="6"/>
  <c r="W37" i="6"/>
  <c r="X37" i="6"/>
  <c r="Y37" i="6"/>
  <c r="Z37" i="6"/>
  <c r="AA37" i="6"/>
  <c r="AB37" i="6"/>
  <c r="AC37" i="6"/>
  <c r="W32" i="6"/>
  <c r="X32" i="6"/>
  <c r="Y32" i="6"/>
  <c r="Z32" i="6"/>
  <c r="AA32" i="6"/>
  <c r="AB32" i="6"/>
  <c r="AC32" i="6"/>
  <c r="W33" i="6"/>
  <c r="X33" i="6"/>
  <c r="Y33" i="6"/>
  <c r="Z33" i="6"/>
  <c r="AA33" i="6"/>
  <c r="AB33" i="6"/>
  <c r="AC33" i="6"/>
  <c r="W27" i="6"/>
  <c r="X27" i="6"/>
  <c r="Y27" i="6"/>
  <c r="Z27" i="6"/>
  <c r="AA27" i="6"/>
  <c r="AB27" i="6"/>
  <c r="AC27" i="6"/>
  <c r="W28" i="6"/>
  <c r="X28" i="6"/>
  <c r="Y28" i="6"/>
  <c r="Z28" i="6"/>
  <c r="AA28" i="6"/>
  <c r="AB28" i="6"/>
  <c r="AC28" i="6"/>
  <c r="W23" i="6"/>
  <c r="X23" i="6"/>
  <c r="Y23" i="6"/>
  <c r="Z23" i="6"/>
  <c r="AA23" i="6"/>
  <c r="AB23" i="6"/>
  <c r="AC23" i="6"/>
  <c r="W17" i="6"/>
  <c r="X17" i="6"/>
  <c r="Y17" i="6"/>
  <c r="Z17" i="6"/>
  <c r="AA17" i="6"/>
  <c r="AB17" i="6"/>
  <c r="AC17" i="6"/>
  <c r="W18" i="6"/>
  <c r="X18" i="6"/>
  <c r="Y18" i="6"/>
  <c r="Z18" i="6"/>
  <c r="AA18" i="6"/>
  <c r="AB18" i="6"/>
  <c r="AC18" i="6"/>
  <c r="W19" i="6"/>
  <c r="X19" i="6"/>
  <c r="Y19" i="6"/>
  <c r="Z19" i="6"/>
  <c r="AA19" i="6"/>
  <c r="AB19" i="6"/>
  <c r="AC19" i="6"/>
  <c r="W20" i="6"/>
  <c r="X20" i="6"/>
  <c r="Y20" i="6"/>
  <c r="Z20" i="6"/>
  <c r="AA20" i="6"/>
  <c r="AB20" i="6"/>
  <c r="AC20" i="6"/>
  <c r="W5" i="6"/>
  <c r="X5" i="6"/>
  <c r="Y5" i="6"/>
  <c r="Z5" i="6"/>
  <c r="AA5" i="6"/>
  <c r="AB5" i="6"/>
  <c r="AC5" i="6"/>
  <c r="W6" i="6"/>
  <c r="X6" i="6"/>
  <c r="Y6" i="6"/>
  <c r="Z6" i="6"/>
  <c r="AA6" i="6"/>
  <c r="AB6" i="6"/>
  <c r="AC6" i="6"/>
  <c r="W7" i="6"/>
  <c r="X7" i="6"/>
  <c r="Y7" i="6"/>
  <c r="Z7" i="6"/>
  <c r="AA7" i="6"/>
  <c r="AB7" i="6"/>
  <c r="AC7" i="6"/>
  <c r="W8" i="6"/>
  <c r="X8" i="6"/>
  <c r="Y8" i="6"/>
  <c r="Z8" i="6"/>
  <c r="AA8" i="6"/>
  <c r="AB8" i="6"/>
  <c r="AC8" i="6"/>
  <c r="W9" i="6"/>
  <c r="X9" i="6"/>
  <c r="Y9" i="6"/>
  <c r="Z9" i="6"/>
  <c r="AA9" i="6"/>
  <c r="AB9" i="6"/>
  <c r="AC9" i="6"/>
  <c r="W10" i="6"/>
  <c r="X10" i="6"/>
  <c r="Y10" i="6"/>
  <c r="Z10" i="6"/>
  <c r="AA10" i="6"/>
  <c r="AB10" i="6"/>
  <c r="AC10" i="6"/>
  <c r="AB93" i="4"/>
  <c r="AC93" i="4"/>
  <c r="AD93" i="4"/>
  <c r="AB91" i="4"/>
  <c r="AC91" i="4"/>
  <c r="AD91" i="4"/>
  <c r="AB89" i="4"/>
  <c r="AC89" i="4"/>
  <c r="AD89" i="4"/>
  <c r="AB85" i="4"/>
  <c r="AC85" i="4"/>
  <c r="AD85" i="4"/>
  <c r="AB86" i="4"/>
  <c r="AC86" i="4"/>
  <c r="AD86" i="4"/>
  <c r="AB79" i="4"/>
  <c r="AC79" i="4"/>
  <c r="AD79" i="4"/>
  <c r="AB75" i="4"/>
  <c r="AC75" i="4"/>
  <c r="AD75" i="4"/>
  <c r="AB76" i="4"/>
  <c r="AC76" i="4"/>
  <c r="AD76" i="4"/>
  <c r="AB68" i="4"/>
  <c r="AC68" i="4"/>
  <c r="AD68" i="4"/>
  <c r="AB63" i="4"/>
  <c r="AC63" i="4"/>
  <c r="AD63" i="4"/>
  <c r="AB60" i="4"/>
  <c r="AB59" i="4" s="1"/>
  <c r="AC60" i="4"/>
  <c r="AC59" i="4" s="1"/>
  <c r="AD60" i="4"/>
  <c r="AD59" i="4" s="1"/>
  <c r="AB53" i="4"/>
  <c r="AC53" i="4"/>
  <c r="AD53" i="4"/>
  <c r="AB52" i="4"/>
  <c r="AC52" i="4"/>
  <c r="AD52" i="4"/>
  <c r="AB51" i="4"/>
  <c r="AC51" i="4"/>
  <c r="AD51" i="4"/>
  <c r="AB45" i="4"/>
  <c r="AC45" i="4"/>
  <c r="AD45" i="4"/>
  <c r="AB42" i="4"/>
  <c r="AC42" i="4"/>
  <c r="AD42" i="4"/>
  <c r="AB39" i="4"/>
  <c r="AC39" i="4"/>
  <c r="AD39" i="4"/>
  <c r="AB32" i="4"/>
  <c r="AC32" i="4"/>
  <c r="AD32" i="4"/>
  <c r="AB31" i="4"/>
  <c r="AC31" i="4"/>
  <c r="AD31" i="4"/>
  <c r="AB27" i="4"/>
  <c r="AC27" i="4"/>
  <c r="AD27" i="4"/>
  <c r="AB21" i="4"/>
  <c r="AC21" i="4"/>
  <c r="AD21" i="4"/>
  <c r="AB17" i="4"/>
  <c r="AC17" i="4"/>
  <c r="AD17" i="4"/>
  <c r="AB14" i="4"/>
  <c r="AC14" i="4"/>
  <c r="AD14" i="4"/>
  <c r="AB9" i="4"/>
  <c r="AC9" i="4"/>
  <c r="AD9" i="4"/>
  <c r="AB5" i="4"/>
  <c r="AC5" i="4"/>
  <c r="AD5" i="4"/>
  <c r="X93" i="4"/>
  <c r="Y93" i="4"/>
  <c r="Z93" i="4"/>
  <c r="AA93" i="4"/>
  <c r="X91" i="4"/>
  <c r="Y91" i="4"/>
  <c r="Z91" i="4"/>
  <c r="AA91" i="4"/>
  <c r="X89" i="4"/>
  <c r="Y89" i="4"/>
  <c r="Z89" i="4"/>
  <c r="AA89" i="4"/>
  <c r="X86" i="4"/>
  <c r="Y86" i="4"/>
  <c r="Z86" i="4"/>
  <c r="AA86" i="4"/>
  <c r="W86" i="4"/>
  <c r="X85" i="4"/>
  <c r="Y85" i="4"/>
  <c r="Z85" i="4"/>
  <c r="AA85" i="4"/>
  <c r="X79" i="4"/>
  <c r="Y79" i="4"/>
  <c r="Z79" i="4"/>
  <c r="AA79" i="4"/>
  <c r="X76" i="4"/>
  <c r="Y76" i="4"/>
  <c r="Z76" i="4"/>
  <c r="AA76" i="4"/>
  <c r="X75" i="4"/>
  <c r="Y75" i="4"/>
  <c r="Z75" i="4"/>
  <c r="AA75" i="4"/>
  <c r="X68" i="4"/>
  <c r="Y68" i="4"/>
  <c r="Z68" i="4"/>
  <c r="AA68" i="4"/>
  <c r="X63" i="4"/>
  <c r="Y63" i="4"/>
  <c r="Z63" i="4"/>
  <c r="AA63" i="4"/>
  <c r="X60" i="4"/>
  <c r="Y60" i="4"/>
  <c r="Z60" i="4"/>
  <c r="AA60" i="4"/>
  <c r="X59" i="4"/>
  <c r="Y59" i="4"/>
  <c r="Z59" i="4"/>
  <c r="AA59" i="4"/>
  <c r="Y53" i="4"/>
  <c r="Z53" i="4"/>
  <c r="AA53" i="4"/>
  <c r="X52" i="4"/>
  <c r="Y52" i="4"/>
  <c r="Z52" i="4"/>
  <c r="AA52" i="4"/>
  <c r="X51" i="4"/>
  <c r="Y51" i="4"/>
  <c r="Z51" i="4"/>
  <c r="AA51" i="4"/>
  <c r="X45" i="4"/>
  <c r="Y45" i="4"/>
  <c r="Z45" i="4"/>
  <c r="AA45" i="4"/>
  <c r="X42" i="4"/>
  <c r="Y42" i="4"/>
  <c r="Z42" i="4"/>
  <c r="AA42" i="4"/>
  <c r="X39" i="4"/>
  <c r="Y39" i="4"/>
  <c r="Z39" i="4"/>
  <c r="AA39" i="4"/>
  <c r="X32" i="4"/>
  <c r="Y32" i="4"/>
  <c r="Z32" i="4"/>
  <c r="AA32" i="4"/>
  <c r="X31" i="4"/>
  <c r="Y31" i="4"/>
  <c r="Z31" i="4"/>
  <c r="AA31" i="4"/>
  <c r="X21" i="4"/>
  <c r="Y21" i="4"/>
  <c r="Z21" i="4"/>
  <c r="AA21" i="4"/>
  <c r="W21" i="4"/>
  <c r="X27" i="4"/>
  <c r="Y27" i="4"/>
  <c r="Z27" i="4"/>
  <c r="AA27" i="4"/>
  <c r="X17" i="4"/>
  <c r="Y17" i="4"/>
  <c r="Z17" i="4"/>
  <c r="AA17" i="4"/>
  <c r="X14" i="4"/>
  <c r="Y14" i="4"/>
  <c r="Z14" i="4"/>
  <c r="AA14" i="4"/>
  <c r="X9" i="4"/>
  <c r="Y9" i="4"/>
  <c r="Z9" i="4"/>
  <c r="AA9" i="4"/>
  <c r="X5" i="4"/>
  <c r="Y5" i="4"/>
  <c r="Z5" i="4"/>
  <c r="AA5" i="4"/>
  <c r="X84" i="4"/>
  <c r="X80" i="4"/>
  <c r="X37" i="4"/>
  <c r="X34" i="4"/>
  <c r="AC49" i="6" l="1"/>
  <c r="AB49" i="6"/>
  <c r="AA49" i="6"/>
  <c r="Z49" i="6"/>
  <c r="Y49" i="6"/>
  <c r="X49" i="6"/>
  <c r="W49" i="6"/>
  <c r="AC43" i="6"/>
  <c r="AB43" i="6"/>
  <c r="AA43" i="6"/>
  <c r="Z43" i="6"/>
  <c r="Y43" i="6"/>
  <c r="X43" i="6"/>
  <c r="W43" i="6"/>
  <c r="AC31" i="6"/>
  <c r="AB31" i="6"/>
  <c r="AA31" i="6"/>
  <c r="Z31" i="6"/>
  <c r="Y31" i="6"/>
  <c r="X31" i="6"/>
  <c r="W31" i="6"/>
  <c r="AC26" i="6"/>
  <c r="AB26" i="6"/>
  <c r="AA26" i="6"/>
  <c r="Z26" i="6"/>
  <c r="Y26" i="6"/>
  <c r="X26" i="6"/>
  <c r="W26" i="6"/>
  <c r="AC16" i="6"/>
  <c r="AC13" i="6" s="1"/>
  <c r="AC14" i="6" s="1"/>
  <c r="AB16" i="6"/>
  <c r="AB13" i="6" s="1"/>
  <c r="AB14" i="6" s="1"/>
  <c r="AA16" i="6"/>
  <c r="AA13" i="6" s="1"/>
  <c r="AA14" i="6" s="1"/>
  <c r="Z16" i="6"/>
  <c r="Z13" i="6" s="1"/>
  <c r="Z14" i="6" s="1"/>
  <c r="Y16" i="6"/>
  <c r="Y13" i="6" s="1"/>
  <c r="Y14" i="6" s="1"/>
  <c r="X16" i="6"/>
  <c r="X13" i="6" s="1"/>
  <c r="X14" i="6" s="1"/>
  <c r="W16" i="6"/>
  <c r="W13" i="6" s="1"/>
  <c r="W14" i="6" s="1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L35" i="7"/>
  <c r="M35" i="7"/>
  <c r="N35" i="7"/>
  <c r="O35" i="7"/>
  <c r="P35" i="7"/>
  <c r="P80" i="7" s="1"/>
  <c r="P74" i="7" s="1"/>
  <c r="Q35" i="7"/>
  <c r="Q80" i="7" s="1"/>
  <c r="Q74" i="7" s="1"/>
  <c r="R35" i="7"/>
  <c r="S35" i="7"/>
  <c r="T35" i="7"/>
  <c r="U35" i="7"/>
  <c r="V35" i="7"/>
  <c r="W35" i="7"/>
  <c r="X35" i="7"/>
  <c r="X80" i="7" s="1"/>
  <c r="X74" i="7" s="1"/>
  <c r="L80" i="7"/>
  <c r="L74" i="7" s="1"/>
  <c r="M80" i="7"/>
  <c r="M74" i="7" s="1"/>
  <c r="R80" i="7"/>
  <c r="R74" i="7" s="1"/>
  <c r="S80" i="7"/>
  <c r="S74" i="7" s="1"/>
  <c r="T80" i="7"/>
  <c r="T74" i="7" s="1"/>
  <c r="U80" i="7"/>
  <c r="U74" i="7" s="1"/>
  <c r="M32" i="5"/>
  <c r="N32" i="5"/>
  <c r="O32" i="5"/>
  <c r="S32" i="5"/>
  <c r="P32" i="5"/>
  <c r="Q32" i="5"/>
  <c r="R32" i="5"/>
  <c r="T32" i="5"/>
  <c r="U32" i="5"/>
  <c r="V32" i="5"/>
  <c r="W32" i="5"/>
  <c r="X32" i="5"/>
  <c r="Y32" i="5"/>
  <c r="K7" i="6"/>
  <c r="L7" i="6"/>
  <c r="M7" i="6"/>
  <c r="N7" i="6"/>
  <c r="O7" i="6"/>
  <c r="P7" i="6"/>
  <c r="Q7" i="6"/>
  <c r="R7" i="6"/>
  <c r="S7" i="6"/>
  <c r="T7" i="6"/>
  <c r="U7" i="6"/>
  <c r="V7" i="6"/>
  <c r="K8" i="6"/>
  <c r="L8" i="6"/>
  <c r="M8" i="6"/>
  <c r="N8" i="6"/>
  <c r="O8" i="6"/>
  <c r="P8" i="6"/>
  <c r="Q8" i="6"/>
  <c r="R8" i="6"/>
  <c r="S8" i="6"/>
  <c r="T8" i="6"/>
  <c r="U8" i="6"/>
  <c r="V8" i="6"/>
  <c r="K9" i="6"/>
  <c r="L9" i="6"/>
  <c r="M9" i="6"/>
  <c r="N9" i="6"/>
  <c r="O9" i="6"/>
  <c r="P9" i="6"/>
  <c r="Q9" i="6"/>
  <c r="R9" i="6"/>
  <c r="S9" i="6"/>
  <c r="T9" i="6"/>
  <c r="U9" i="6"/>
  <c r="V9" i="6"/>
  <c r="K10" i="6"/>
  <c r="L10" i="6"/>
  <c r="M10" i="6"/>
  <c r="N10" i="6"/>
  <c r="O10" i="6"/>
  <c r="P10" i="6"/>
  <c r="Q10" i="6"/>
  <c r="R10" i="6"/>
  <c r="S10" i="6"/>
  <c r="T10" i="6"/>
  <c r="U10" i="6"/>
  <c r="V10" i="6"/>
  <c r="K17" i="6"/>
  <c r="L17" i="6"/>
  <c r="M17" i="6"/>
  <c r="N17" i="6"/>
  <c r="O17" i="6"/>
  <c r="P17" i="6"/>
  <c r="Q17" i="6"/>
  <c r="R17" i="6"/>
  <c r="S17" i="6"/>
  <c r="T17" i="6"/>
  <c r="U17" i="6"/>
  <c r="V17" i="6"/>
  <c r="K19" i="6"/>
  <c r="L19" i="6"/>
  <c r="M19" i="6"/>
  <c r="N19" i="6"/>
  <c r="O19" i="6"/>
  <c r="P19" i="6"/>
  <c r="Q19" i="6"/>
  <c r="R19" i="6"/>
  <c r="S19" i="6"/>
  <c r="T19" i="6"/>
  <c r="U19" i="6"/>
  <c r="V19" i="6"/>
  <c r="K20" i="6"/>
  <c r="L20" i="6"/>
  <c r="M20" i="6"/>
  <c r="N20" i="6"/>
  <c r="O20" i="6"/>
  <c r="P20" i="6"/>
  <c r="Q20" i="6"/>
  <c r="R20" i="6"/>
  <c r="S20" i="6"/>
  <c r="T20" i="6"/>
  <c r="U20" i="6"/>
  <c r="V20" i="6"/>
  <c r="K23" i="6"/>
  <c r="L23" i="6"/>
  <c r="M23" i="6"/>
  <c r="N23" i="6"/>
  <c r="O23" i="6"/>
  <c r="P23" i="6"/>
  <c r="Q23" i="6"/>
  <c r="R23" i="6"/>
  <c r="S23" i="6"/>
  <c r="T23" i="6"/>
  <c r="U23" i="6"/>
  <c r="V23" i="6"/>
  <c r="K27" i="6"/>
  <c r="L27" i="6"/>
  <c r="M27" i="6"/>
  <c r="N27" i="6"/>
  <c r="O27" i="6"/>
  <c r="P27" i="6"/>
  <c r="Q27" i="6"/>
  <c r="R27" i="6"/>
  <c r="S27" i="6"/>
  <c r="T27" i="6"/>
  <c r="U27" i="6"/>
  <c r="V27" i="6"/>
  <c r="K28" i="6"/>
  <c r="L28" i="6"/>
  <c r="M28" i="6"/>
  <c r="N28" i="6"/>
  <c r="O28" i="6"/>
  <c r="P28" i="6"/>
  <c r="Q28" i="6"/>
  <c r="R28" i="6"/>
  <c r="R26" i="6" s="1"/>
  <c r="S28" i="6"/>
  <c r="T28" i="6"/>
  <c r="U28" i="6"/>
  <c r="V28" i="6"/>
  <c r="K32" i="6"/>
  <c r="L32" i="6"/>
  <c r="M32" i="6"/>
  <c r="N32" i="6"/>
  <c r="O32" i="6"/>
  <c r="P32" i="6"/>
  <c r="Q32" i="6"/>
  <c r="R32" i="6"/>
  <c r="S32" i="6"/>
  <c r="T32" i="6"/>
  <c r="U32" i="6"/>
  <c r="V32" i="6"/>
  <c r="K33" i="6"/>
  <c r="L33" i="6"/>
  <c r="N42" i="5" s="1"/>
  <c r="M33" i="6"/>
  <c r="O42" i="5" s="1"/>
  <c r="N33" i="6"/>
  <c r="S42" i="5" s="1"/>
  <c r="O33" i="6"/>
  <c r="P42" i="5" s="1"/>
  <c r="P33" i="6"/>
  <c r="Q42" i="5" s="1"/>
  <c r="Q33" i="6"/>
  <c r="R42" i="5" s="1"/>
  <c r="R33" i="6"/>
  <c r="T42" i="5" s="1"/>
  <c r="S33" i="6"/>
  <c r="T33" i="6"/>
  <c r="V42" i="5" s="1"/>
  <c r="U33" i="6"/>
  <c r="W42" i="5" s="1"/>
  <c r="V33" i="6"/>
  <c r="X42" i="5" s="1"/>
  <c r="Y42" i="5"/>
  <c r="K39" i="6"/>
  <c r="L39" i="6"/>
  <c r="M39" i="6"/>
  <c r="N39" i="6"/>
  <c r="O39" i="6"/>
  <c r="P39" i="6"/>
  <c r="Q39" i="6"/>
  <c r="R39" i="6"/>
  <c r="S39" i="6"/>
  <c r="T39" i="6"/>
  <c r="U39" i="6"/>
  <c r="V39" i="6"/>
  <c r="K40" i="6"/>
  <c r="L40" i="6"/>
  <c r="M40" i="6"/>
  <c r="N40" i="6"/>
  <c r="O40" i="6"/>
  <c r="P40" i="6"/>
  <c r="Q40" i="6"/>
  <c r="R40" i="6"/>
  <c r="S40" i="6"/>
  <c r="T40" i="6"/>
  <c r="U40" i="6"/>
  <c r="V40" i="6"/>
  <c r="K44" i="6"/>
  <c r="L44" i="6"/>
  <c r="M44" i="6"/>
  <c r="N44" i="6"/>
  <c r="O44" i="6"/>
  <c r="P44" i="6"/>
  <c r="Q44" i="6"/>
  <c r="R44" i="6"/>
  <c r="S44" i="6"/>
  <c r="T44" i="6"/>
  <c r="U44" i="6"/>
  <c r="V44" i="6"/>
  <c r="K45" i="6"/>
  <c r="L45" i="6"/>
  <c r="M45" i="6"/>
  <c r="N45" i="6"/>
  <c r="O45" i="6"/>
  <c r="P45" i="6"/>
  <c r="Q45" i="6"/>
  <c r="R45" i="6"/>
  <c r="S45" i="6"/>
  <c r="T45" i="6"/>
  <c r="U45" i="6"/>
  <c r="V45" i="6"/>
  <c r="K47" i="6"/>
  <c r="L47" i="6"/>
  <c r="M47" i="6"/>
  <c r="Q47" i="6"/>
  <c r="S47" i="6"/>
  <c r="T47" i="6"/>
  <c r="U47" i="6"/>
  <c r="K50" i="6"/>
  <c r="L50" i="6"/>
  <c r="M50" i="6"/>
  <c r="N50" i="6"/>
  <c r="O50" i="6"/>
  <c r="P50" i="6"/>
  <c r="Q50" i="6"/>
  <c r="R50" i="6"/>
  <c r="S50" i="6"/>
  <c r="T50" i="6"/>
  <c r="U50" i="6"/>
  <c r="V50" i="6"/>
  <c r="K51" i="6"/>
  <c r="L51" i="6"/>
  <c r="M51" i="6"/>
  <c r="O35" i="5" s="1"/>
  <c r="N51" i="6"/>
  <c r="S35" i="5" s="1"/>
  <c r="O51" i="6"/>
  <c r="P35" i="5" s="1"/>
  <c r="P51" i="6"/>
  <c r="Q35" i="5" s="1"/>
  <c r="Q51" i="6"/>
  <c r="R35" i="5" s="1"/>
  <c r="R51" i="6"/>
  <c r="T35" i="5" s="1"/>
  <c r="S51" i="6"/>
  <c r="U35" i="5" s="1"/>
  <c r="T51" i="6"/>
  <c r="U51" i="6"/>
  <c r="W35" i="5" s="1"/>
  <c r="V51" i="6"/>
  <c r="X35" i="5" s="1"/>
  <c r="K52" i="6"/>
  <c r="L52" i="6"/>
  <c r="M52" i="6"/>
  <c r="N52" i="6"/>
  <c r="S36" i="5" s="1"/>
  <c r="O52" i="6"/>
  <c r="P36" i="5" s="1"/>
  <c r="P52" i="6"/>
  <c r="Q36" i="5" s="1"/>
  <c r="Q52" i="6"/>
  <c r="R36" i="5" s="1"/>
  <c r="R52" i="6"/>
  <c r="T36" i="5" s="1"/>
  <c r="S52" i="6"/>
  <c r="U36" i="5" s="1"/>
  <c r="T52" i="6"/>
  <c r="V36" i="5" s="1"/>
  <c r="U52" i="6"/>
  <c r="V52" i="6"/>
  <c r="X36" i="5" s="1"/>
  <c r="K53" i="6"/>
  <c r="L53" i="6"/>
  <c r="M53" i="6"/>
  <c r="N53" i="6"/>
  <c r="O53" i="6"/>
  <c r="P53" i="6"/>
  <c r="Q53" i="6"/>
  <c r="R53" i="6"/>
  <c r="S53" i="6"/>
  <c r="T53" i="6"/>
  <c r="U53" i="6"/>
  <c r="V53" i="6"/>
  <c r="K54" i="6"/>
  <c r="L54" i="6"/>
  <c r="M54" i="6"/>
  <c r="N54" i="6"/>
  <c r="O54" i="6"/>
  <c r="P54" i="6"/>
  <c r="Q54" i="6"/>
  <c r="R54" i="6"/>
  <c r="S54" i="6"/>
  <c r="T54" i="6"/>
  <c r="U54" i="6"/>
  <c r="V54" i="6"/>
  <c r="K55" i="6"/>
  <c r="L55" i="6"/>
  <c r="M55" i="6"/>
  <c r="N55" i="6"/>
  <c r="O55" i="6"/>
  <c r="P55" i="6"/>
  <c r="Q55" i="6"/>
  <c r="R55" i="6"/>
  <c r="S55" i="6"/>
  <c r="T55" i="6"/>
  <c r="U55" i="6"/>
  <c r="V55" i="6"/>
  <c r="K62" i="6"/>
  <c r="L62" i="6"/>
  <c r="M62" i="6"/>
  <c r="N62" i="6"/>
  <c r="O62" i="6"/>
  <c r="P62" i="6"/>
  <c r="Q62" i="6"/>
  <c r="R62" i="6"/>
  <c r="S62" i="6"/>
  <c r="T62" i="6"/>
  <c r="U62" i="6"/>
  <c r="V62" i="6"/>
  <c r="K64" i="6"/>
  <c r="L64" i="6"/>
  <c r="M64" i="6"/>
  <c r="M65" i="6" s="1"/>
  <c r="N64" i="6"/>
  <c r="N65" i="6" s="1"/>
  <c r="O64" i="6"/>
  <c r="O65" i="6" s="1"/>
  <c r="P64" i="6"/>
  <c r="P65" i="6" s="1"/>
  <c r="Q64" i="6"/>
  <c r="R64" i="6"/>
  <c r="S64" i="6"/>
  <c r="T64" i="6"/>
  <c r="U64" i="6"/>
  <c r="U65" i="6" s="1"/>
  <c r="V64" i="6"/>
  <c r="V65" i="6" s="1"/>
  <c r="K65" i="6"/>
  <c r="L65" i="6"/>
  <c r="Q65" i="6"/>
  <c r="R65" i="6"/>
  <c r="S65" i="6"/>
  <c r="T65" i="6"/>
  <c r="L66" i="6"/>
  <c r="M66" i="6"/>
  <c r="N66" i="6"/>
  <c r="O66" i="6"/>
  <c r="R66" i="6"/>
  <c r="S66" i="6"/>
  <c r="T66" i="6"/>
  <c r="U66" i="6"/>
  <c r="V66" i="6"/>
  <c r="X67" i="4"/>
  <c r="X65" i="4"/>
  <c r="X44" i="4"/>
  <c r="X8" i="4"/>
  <c r="X7" i="4"/>
  <c r="X6" i="4"/>
  <c r="W36" i="5" l="1"/>
  <c r="O36" i="5"/>
  <c r="V35" i="5"/>
  <c r="O47" i="6"/>
  <c r="S31" i="6"/>
  <c r="U42" i="5"/>
  <c r="K31" i="6"/>
  <c r="M42" i="5"/>
  <c r="V31" i="6"/>
  <c r="X14" i="5"/>
  <c r="W14" i="5"/>
  <c r="U31" i="6"/>
  <c r="V14" i="5"/>
  <c r="T31" i="6"/>
  <c r="U14" i="5"/>
  <c r="R31" i="6"/>
  <c r="T14" i="5"/>
  <c r="Q31" i="6"/>
  <c r="R14" i="5"/>
  <c r="P66" i="6"/>
  <c r="Q14" i="5"/>
  <c r="O31" i="6"/>
  <c r="P14" i="5"/>
  <c r="N31" i="6"/>
  <c r="S14" i="5"/>
  <c r="O14" i="5"/>
  <c r="M31" i="6"/>
  <c r="N14" i="5"/>
  <c r="L31" i="6"/>
  <c r="M14" i="5"/>
  <c r="V26" i="6"/>
  <c r="U26" i="6"/>
  <c r="T26" i="6"/>
  <c r="S26" i="6"/>
  <c r="Q26" i="6"/>
  <c r="P26" i="6"/>
  <c r="O26" i="6"/>
  <c r="N26" i="6"/>
  <c r="M26" i="6"/>
  <c r="L26" i="6"/>
  <c r="K26" i="6"/>
  <c r="X27" i="5"/>
  <c r="W27" i="5"/>
  <c r="V27" i="5"/>
  <c r="U27" i="5"/>
  <c r="T27" i="5"/>
  <c r="R27" i="5"/>
  <c r="Q27" i="5"/>
  <c r="P27" i="5"/>
  <c r="S27" i="5"/>
  <c r="O27" i="5"/>
  <c r="X28" i="5"/>
  <c r="W28" i="5"/>
  <c r="V28" i="5"/>
  <c r="U28" i="5"/>
  <c r="T28" i="5"/>
  <c r="R28" i="5"/>
  <c r="Q28" i="5"/>
  <c r="P28" i="5"/>
  <c r="S28" i="5"/>
  <c r="O28" i="5"/>
  <c r="W80" i="7"/>
  <c r="W74" i="7" s="1"/>
  <c r="V80" i="7"/>
  <c r="V74" i="7" s="1"/>
  <c r="O80" i="7"/>
  <c r="O74" i="7" s="1"/>
  <c r="N80" i="7"/>
  <c r="N74" i="7" s="1"/>
  <c r="R47" i="6"/>
  <c r="P47" i="6"/>
  <c r="Q66" i="6"/>
  <c r="V47" i="6"/>
  <c r="N47" i="6"/>
  <c r="P31" i="6"/>
  <c r="Q29" i="5" l="1"/>
  <c r="Q38" i="5"/>
  <c r="O29" i="5"/>
  <c r="O38" i="5"/>
  <c r="S29" i="5"/>
  <c r="S38" i="5"/>
  <c r="P29" i="5"/>
  <c r="P38" i="5"/>
  <c r="R29" i="5"/>
  <c r="R38" i="5"/>
  <c r="T29" i="5"/>
  <c r="T38" i="5"/>
  <c r="V29" i="5"/>
  <c r="V38" i="5"/>
  <c r="W29" i="5"/>
  <c r="W38" i="5"/>
  <c r="X29" i="5"/>
  <c r="X38" i="5"/>
  <c r="U29" i="5"/>
  <c r="U38" i="5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L5" i="4"/>
  <c r="M5" i="4"/>
  <c r="N5" i="4"/>
  <c r="O5" i="4"/>
  <c r="P5" i="4"/>
  <c r="Q5" i="4"/>
  <c r="R5" i="4"/>
  <c r="S5" i="4"/>
  <c r="T5" i="4"/>
  <c r="U5" i="4"/>
  <c r="V5" i="4"/>
  <c r="W5" i="4"/>
  <c r="L9" i="4"/>
  <c r="M9" i="4"/>
  <c r="N9" i="4"/>
  <c r="O9" i="4"/>
  <c r="P9" i="4"/>
  <c r="Q9" i="4"/>
  <c r="R9" i="4"/>
  <c r="S9" i="4"/>
  <c r="T9" i="4"/>
  <c r="U9" i="4"/>
  <c r="V9" i="4"/>
  <c r="W9" i="4"/>
  <c r="L14" i="4"/>
  <c r="M14" i="4"/>
  <c r="N14" i="4"/>
  <c r="O14" i="4"/>
  <c r="P14" i="4"/>
  <c r="Q14" i="4"/>
  <c r="R14" i="4"/>
  <c r="S14" i="4"/>
  <c r="T14" i="4"/>
  <c r="U14" i="4"/>
  <c r="V14" i="4"/>
  <c r="W14" i="4"/>
  <c r="L17" i="4"/>
  <c r="M17" i="4"/>
  <c r="M27" i="4" s="1"/>
  <c r="L5" i="6" s="1"/>
  <c r="N17" i="4"/>
  <c r="O17" i="4"/>
  <c r="P17" i="4"/>
  <c r="Q17" i="4"/>
  <c r="R17" i="4"/>
  <c r="S17" i="4"/>
  <c r="T17" i="4"/>
  <c r="U17" i="4"/>
  <c r="V17" i="4"/>
  <c r="W17" i="4"/>
  <c r="P27" i="4"/>
  <c r="O5" i="6" s="1"/>
  <c r="Q27" i="4"/>
  <c r="P5" i="6" s="1"/>
  <c r="R27" i="4"/>
  <c r="Q5" i="6" s="1"/>
  <c r="S27" i="4"/>
  <c r="R5" i="6" s="1"/>
  <c r="U27" i="4"/>
  <c r="T5" i="6" s="1"/>
  <c r="L31" i="4"/>
  <c r="K6" i="6" s="1"/>
  <c r="M31" i="4"/>
  <c r="L6" i="6" s="1"/>
  <c r="N31" i="4"/>
  <c r="M6" i="6" s="1"/>
  <c r="O31" i="4"/>
  <c r="N6" i="6" s="1"/>
  <c r="P31" i="4"/>
  <c r="O6" i="6" s="1"/>
  <c r="Q31" i="4"/>
  <c r="P6" i="6" s="1"/>
  <c r="R31" i="4"/>
  <c r="Q6" i="6" s="1"/>
  <c r="S31" i="4"/>
  <c r="R6" i="6" s="1"/>
  <c r="T31" i="4"/>
  <c r="S6" i="6" s="1"/>
  <c r="U31" i="4"/>
  <c r="T6" i="6" s="1"/>
  <c r="V31" i="4"/>
  <c r="U6" i="6" s="1"/>
  <c r="W31" i="4"/>
  <c r="V6" i="6" s="1"/>
  <c r="L32" i="4"/>
  <c r="M32" i="4"/>
  <c r="N32" i="4"/>
  <c r="O32" i="4"/>
  <c r="P32" i="4"/>
  <c r="P39" i="4" s="1"/>
  <c r="Q32" i="4"/>
  <c r="R32" i="4"/>
  <c r="R39" i="4" s="1"/>
  <c r="S32" i="4"/>
  <c r="S39" i="4" s="1"/>
  <c r="T32" i="4"/>
  <c r="U32" i="4"/>
  <c r="V32" i="4"/>
  <c r="W32" i="4"/>
  <c r="L39" i="4"/>
  <c r="M39" i="4"/>
  <c r="N39" i="4"/>
  <c r="O39" i="4"/>
  <c r="Q39" i="4"/>
  <c r="T39" i="4"/>
  <c r="U39" i="4"/>
  <c r="V39" i="4"/>
  <c r="W39" i="4"/>
  <c r="L42" i="4"/>
  <c r="M42" i="4"/>
  <c r="N42" i="4"/>
  <c r="O42" i="4"/>
  <c r="P42" i="4"/>
  <c r="Q42" i="4"/>
  <c r="R42" i="4"/>
  <c r="S42" i="4"/>
  <c r="T42" i="4"/>
  <c r="U42" i="4"/>
  <c r="V42" i="4"/>
  <c r="W42" i="4"/>
  <c r="K17" i="4"/>
  <c r="L79" i="4"/>
  <c r="M79" i="4"/>
  <c r="N79" i="4"/>
  <c r="O79" i="4"/>
  <c r="P79" i="4"/>
  <c r="Q79" i="4"/>
  <c r="R79" i="4"/>
  <c r="S79" i="4"/>
  <c r="T79" i="4"/>
  <c r="U79" i="4"/>
  <c r="V79" i="4"/>
  <c r="W79" i="4"/>
  <c r="L76" i="4"/>
  <c r="K56" i="6" s="1"/>
  <c r="K49" i="6" s="1"/>
  <c r="M76" i="4"/>
  <c r="L56" i="6" s="1"/>
  <c r="L49" i="6" s="1"/>
  <c r="N76" i="4"/>
  <c r="M56" i="6" s="1"/>
  <c r="M49" i="6" s="1"/>
  <c r="O76" i="4"/>
  <c r="N56" i="6" s="1"/>
  <c r="N49" i="6" s="1"/>
  <c r="P76" i="4"/>
  <c r="O56" i="6" s="1"/>
  <c r="O49" i="6" s="1"/>
  <c r="Q76" i="4"/>
  <c r="P56" i="6" s="1"/>
  <c r="P49" i="6" s="1"/>
  <c r="R76" i="4"/>
  <c r="Q56" i="6" s="1"/>
  <c r="Q49" i="6" s="1"/>
  <c r="S76" i="4"/>
  <c r="R56" i="6" s="1"/>
  <c r="R49" i="6" s="1"/>
  <c r="T76" i="4"/>
  <c r="S56" i="6" s="1"/>
  <c r="S49" i="6" s="1"/>
  <c r="U76" i="4"/>
  <c r="T56" i="6" s="1"/>
  <c r="T49" i="6" s="1"/>
  <c r="V76" i="4"/>
  <c r="U56" i="6" s="1"/>
  <c r="U49" i="6" s="1"/>
  <c r="W76" i="4"/>
  <c r="V56" i="6" s="1"/>
  <c r="V49" i="6" s="1"/>
  <c r="L68" i="4"/>
  <c r="M68" i="4"/>
  <c r="N68" i="4"/>
  <c r="O68" i="4"/>
  <c r="P68" i="4"/>
  <c r="Q68" i="4"/>
  <c r="R68" i="4"/>
  <c r="S68" i="4"/>
  <c r="T68" i="4"/>
  <c r="U68" i="4"/>
  <c r="V68" i="4"/>
  <c r="W68" i="4"/>
  <c r="L63" i="4"/>
  <c r="K46" i="6" s="1"/>
  <c r="K43" i="6" s="1"/>
  <c r="M63" i="4"/>
  <c r="L46" i="6" s="1"/>
  <c r="L43" i="6" s="1"/>
  <c r="N63" i="4"/>
  <c r="O63" i="4"/>
  <c r="N46" i="6" s="1"/>
  <c r="N43" i="6" s="1"/>
  <c r="S31" i="5" s="1"/>
  <c r="P63" i="4"/>
  <c r="O46" i="6" s="1"/>
  <c r="O43" i="6" s="1"/>
  <c r="Q63" i="4"/>
  <c r="P46" i="6" s="1"/>
  <c r="P43" i="6" s="1"/>
  <c r="Q31" i="5" s="1"/>
  <c r="R63" i="4"/>
  <c r="Q46" i="6" s="1"/>
  <c r="Q43" i="6" s="1"/>
  <c r="R31" i="5" s="1"/>
  <c r="S63" i="4"/>
  <c r="R46" i="6" s="1"/>
  <c r="R43" i="6" s="1"/>
  <c r="T31" i="5" s="1"/>
  <c r="T63" i="4"/>
  <c r="S46" i="6" s="1"/>
  <c r="S43" i="6" s="1"/>
  <c r="U31" i="5" s="1"/>
  <c r="U63" i="4"/>
  <c r="T46" i="6" s="1"/>
  <c r="T43" i="6" s="1"/>
  <c r="V31" i="5" s="1"/>
  <c r="V63" i="4"/>
  <c r="U46" i="6" s="1"/>
  <c r="U43" i="6" s="1"/>
  <c r="W31" i="5" s="1"/>
  <c r="W63" i="4"/>
  <c r="V46" i="6" s="1"/>
  <c r="V43" i="6" s="1"/>
  <c r="X31" i="5" s="1"/>
  <c r="L60" i="4"/>
  <c r="M60" i="4"/>
  <c r="N60" i="4"/>
  <c r="O60" i="4"/>
  <c r="O59" i="4" s="1"/>
  <c r="P60" i="4"/>
  <c r="P59" i="4" s="1"/>
  <c r="Q60" i="4"/>
  <c r="R60" i="4"/>
  <c r="S60" i="4"/>
  <c r="T60" i="4"/>
  <c r="T59" i="4" s="1"/>
  <c r="S59" i="6" s="1"/>
  <c r="U60" i="4"/>
  <c r="V60" i="4"/>
  <c r="W60" i="4"/>
  <c r="W59" i="4" s="1"/>
  <c r="V59" i="4"/>
  <c r="K37" i="4"/>
  <c r="L32" i="5"/>
  <c r="J7" i="6"/>
  <c r="N28" i="5" s="1"/>
  <c r="J8" i="6"/>
  <c r="N27" i="5" s="1"/>
  <c r="J9" i="6"/>
  <c r="J17" i="6"/>
  <c r="N35" i="5" s="1"/>
  <c r="J19" i="6"/>
  <c r="J20" i="6"/>
  <c r="J23" i="6"/>
  <c r="J27" i="6"/>
  <c r="J28" i="6"/>
  <c r="J32" i="6"/>
  <c r="J33" i="6"/>
  <c r="L42" i="5" s="1"/>
  <c r="J39" i="6"/>
  <c r="J40" i="6"/>
  <c r="J44" i="6"/>
  <c r="J47" i="6" s="1"/>
  <c r="J45" i="6"/>
  <c r="J50" i="6"/>
  <c r="J51" i="6"/>
  <c r="J52" i="6"/>
  <c r="J54" i="6"/>
  <c r="J55" i="6"/>
  <c r="J64" i="6"/>
  <c r="J65" i="6" s="1"/>
  <c r="K72" i="4"/>
  <c r="K76" i="4"/>
  <c r="J56" i="6" s="1"/>
  <c r="K79" i="4"/>
  <c r="K60" i="4"/>
  <c r="K63" i="4"/>
  <c r="J46" i="6" s="1"/>
  <c r="K42" i="4"/>
  <c r="K34" i="4"/>
  <c r="K32" i="4" s="1"/>
  <c r="K31" i="4"/>
  <c r="J6" i="6" s="1"/>
  <c r="K9" i="4"/>
  <c r="K14" i="4"/>
  <c r="K5" i="4"/>
  <c r="L17" i="7" s="1"/>
  <c r="L42" i="7" s="1"/>
  <c r="J86" i="4"/>
  <c r="J76" i="4"/>
  <c r="I56" i="6" s="1"/>
  <c r="J68" i="4"/>
  <c r="J84" i="4"/>
  <c r="J79" i="4" s="1"/>
  <c r="J63" i="4"/>
  <c r="J60" i="4"/>
  <c r="J51" i="4"/>
  <c r="J31" i="4"/>
  <c r="J37" i="4"/>
  <c r="J32" i="4" s="1"/>
  <c r="J17" i="4"/>
  <c r="J21" i="4"/>
  <c r="J14" i="4"/>
  <c r="J9" i="4"/>
  <c r="J5" i="4"/>
  <c r="F10" i="8"/>
  <c r="J10" i="8"/>
  <c r="N10" i="8"/>
  <c r="F11" i="8"/>
  <c r="J11" i="8"/>
  <c r="N11" i="8"/>
  <c r="F12" i="8"/>
  <c r="J12" i="8"/>
  <c r="N12" i="8"/>
  <c r="F13" i="8"/>
  <c r="J13" i="8"/>
  <c r="N13" i="8"/>
  <c r="F14" i="8"/>
  <c r="J14" i="8"/>
  <c r="N14" i="8"/>
  <c r="C15" i="8"/>
  <c r="D15" i="8"/>
  <c r="F15" i="8"/>
  <c r="G15" i="8"/>
  <c r="H15" i="8"/>
  <c r="J15" i="8"/>
  <c r="K15" i="8"/>
  <c r="L15" i="8"/>
  <c r="N15" i="8"/>
  <c r="F17" i="8"/>
  <c r="J17" i="8"/>
  <c r="N17" i="8"/>
  <c r="F18" i="8"/>
  <c r="J18" i="8"/>
  <c r="N18" i="8"/>
  <c r="F19" i="8"/>
  <c r="J19" i="8"/>
  <c r="N19" i="8"/>
  <c r="F20" i="8"/>
  <c r="J20" i="8"/>
  <c r="N20" i="8"/>
  <c r="F21" i="8"/>
  <c r="J21" i="8"/>
  <c r="N21" i="8"/>
  <c r="C22" i="8"/>
  <c r="D22" i="8"/>
  <c r="F22" i="8"/>
  <c r="G22" i="8"/>
  <c r="H22" i="8"/>
  <c r="J22" i="8"/>
  <c r="K22" i="8"/>
  <c r="L22" i="8"/>
  <c r="N22" i="8"/>
  <c r="C23" i="8"/>
  <c r="D23" i="8"/>
  <c r="F23" i="8"/>
  <c r="G23" i="8"/>
  <c r="H23" i="8"/>
  <c r="J23" i="8"/>
  <c r="K23" i="8"/>
  <c r="L23" i="8"/>
  <c r="N23" i="8"/>
  <c r="D24" i="8"/>
  <c r="H24" i="8"/>
  <c r="L24" i="8"/>
  <c r="D25" i="8"/>
  <c r="H25" i="8"/>
  <c r="L25" i="8"/>
  <c r="D26" i="8"/>
  <c r="N26" i="8"/>
  <c r="E13" i="7"/>
  <c r="F13" i="7"/>
  <c r="F38" i="7" s="1"/>
  <c r="G13" i="7"/>
  <c r="G38" i="7"/>
  <c r="H13" i="7"/>
  <c r="H38" i="7" s="1"/>
  <c r="I13" i="7"/>
  <c r="I38" i="7" s="1"/>
  <c r="J13" i="7"/>
  <c r="J38" i="7" s="1"/>
  <c r="E19" i="7"/>
  <c r="E44" i="7" s="1"/>
  <c r="F19" i="7"/>
  <c r="F44" i="7" s="1"/>
  <c r="J34" i="7"/>
  <c r="K34" i="7"/>
  <c r="J35" i="7"/>
  <c r="K35" i="7"/>
  <c r="E38" i="7"/>
  <c r="J80" i="7"/>
  <c r="J74" i="7" s="1"/>
  <c r="K80" i="7"/>
  <c r="K74" i="7" s="1"/>
  <c r="E32" i="5"/>
  <c r="F32" i="5"/>
  <c r="G32" i="5"/>
  <c r="H32" i="5"/>
  <c r="I32" i="5"/>
  <c r="J32" i="5"/>
  <c r="K32" i="5"/>
  <c r="E45" i="5"/>
  <c r="F45" i="5"/>
  <c r="G45" i="5"/>
  <c r="H45" i="5"/>
  <c r="I45" i="5"/>
  <c r="J45" i="5"/>
  <c r="C5" i="6"/>
  <c r="E21" i="7" s="1"/>
  <c r="E46" i="7" s="1"/>
  <c r="E83" i="7" s="1"/>
  <c r="E77" i="7" s="1"/>
  <c r="D5" i="6"/>
  <c r="E5" i="6"/>
  <c r="F5" i="6"/>
  <c r="H21" i="7" s="1"/>
  <c r="H46" i="7" s="1"/>
  <c r="H83" i="7" s="1"/>
  <c r="H77" i="7" s="1"/>
  <c r="G5" i="6"/>
  <c r="H5" i="6"/>
  <c r="C6" i="6"/>
  <c r="E26" i="5" s="1"/>
  <c r="D6" i="6"/>
  <c r="E6" i="6"/>
  <c r="F6" i="6"/>
  <c r="G6" i="6"/>
  <c r="H6" i="6"/>
  <c r="C7" i="6"/>
  <c r="E28" i="5" s="1"/>
  <c r="D7" i="6"/>
  <c r="E7" i="6"/>
  <c r="F7" i="6"/>
  <c r="G7" i="6"/>
  <c r="H7" i="6"/>
  <c r="I7" i="6"/>
  <c r="M28" i="5" s="1"/>
  <c r="C8" i="6"/>
  <c r="E27" i="5" s="1"/>
  <c r="D8" i="6"/>
  <c r="E8" i="6"/>
  <c r="G22" i="5" s="1"/>
  <c r="F8" i="6"/>
  <c r="G8" i="6"/>
  <c r="H8" i="6"/>
  <c r="I8" i="6"/>
  <c r="M27" i="5" s="1"/>
  <c r="C9" i="6"/>
  <c r="D9" i="6"/>
  <c r="E9" i="6"/>
  <c r="F9" i="6"/>
  <c r="H23" i="5" s="1"/>
  <c r="G9" i="6"/>
  <c r="H9" i="6"/>
  <c r="I9" i="6"/>
  <c r="M36" i="5" s="1"/>
  <c r="C10" i="6"/>
  <c r="E16" i="7" s="1"/>
  <c r="D10" i="6"/>
  <c r="E10" i="6"/>
  <c r="F10" i="6"/>
  <c r="G10" i="6"/>
  <c r="H10" i="6"/>
  <c r="I10" i="6"/>
  <c r="C17" i="6"/>
  <c r="D17" i="6"/>
  <c r="F8" i="5" s="1"/>
  <c r="E17" i="6"/>
  <c r="F17" i="6"/>
  <c r="H8" i="5" s="1"/>
  <c r="G17" i="6"/>
  <c r="I8" i="5" s="1"/>
  <c r="H17" i="6"/>
  <c r="I17" i="6"/>
  <c r="M35" i="5" s="1"/>
  <c r="C18" i="6"/>
  <c r="D18" i="6"/>
  <c r="E18" i="6"/>
  <c r="F18" i="6"/>
  <c r="G18" i="6"/>
  <c r="H18" i="6"/>
  <c r="C19" i="6"/>
  <c r="D19" i="6"/>
  <c r="E19" i="6"/>
  <c r="F19" i="6"/>
  <c r="G19" i="6"/>
  <c r="H19" i="6"/>
  <c r="I19" i="6"/>
  <c r="C20" i="6"/>
  <c r="D20" i="6"/>
  <c r="E20" i="6"/>
  <c r="F20" i="6"/>
  <c r="G20" i="6"/>
  <c r="H20" i="6"/>
  <c r="I20" i="6"/>
  <c r="C23" i="6"/>
  <c r="D23" i="6"/>
  <c r="E23" i="6"/>
  <c r="F23" i="6"/>
  <c r="G23" i="6"/>
  <c r="H23" i="6"/>
  <c r="I23" i="6"/>
  <c r="C27" i="6"/>
  <c r="D27" i="6"/>
  <c r="E27" i="6"/>
  <c r="F27" i="6"/>
  <c r="G27" i="6"/>
  <c r="H27" i="6"/>
  <c r="I27" i="6"/>
  <c r="C28" i="6"/>
  <c r="D28" i="6"/>
  <c r="D26" i="6" s="1"/>
  <c r="F23" i="7" s="1"/>
  <c r="E28" i="6"/>
  <c r="F28" i="6"/>
  <c r="G28" i="6"/>
  <c r="H28" i="6"/>
  <c r="I28" i="6"/>
  <c r="C32" i="6"/>
  <c r="E14" i="5" s="1"/>
  <c r="D32" i="6"/>
  <c r="F14" i="5" s="1"/>
  <c r="E32" i="6"/>
  <c r="F32" i="6"/>
  <c r="H10" i="7" s="1"/>
  <c r="H35" i="7" s="1"/>
  <c r="G32" i="6"/>
  <c r="H32" i="6"/>
  <c r="I32" i="6"/>
  <c r="J66" i="6" s="1"/>
  <c r="C33" i="6"/>
  <c r="E42" i="5" s="1"/>
  <c r="D33" i="6"/>
  <c r="F42" i="5" s="1"/>
  <c r="E33" i="6"/>
  <c r="F33" i="6"/>
  <c r="H42" i="5" s="1"/>
  <c r="G33" i="6"/>
  <c r="H33" i="6"/>
  <c r="J42" i="5" s="1"/>
  <c r="I33" i="6"/>
  <c r="K42" i="5" s="1"/>
  <c r="G34" i="6"/>
  <c r="I9" i="7" s="1"/>
  <c r="I34" i="7" s="1"/>
  <c r="I80" i="7" s="1"/>
  <c r="I74" i="7" s="1"/>
  <c r="H34" i="6"/>
  <c r="C37" i="6"/>
  <c r="D37" i="6"/>
  <c r="E37" i="6"/>
  <c r="F37" i="6"/>
  <c r="H19" i="7" s="1"/>
  <c r="H44" i="7" s="1"/>
  <c r="G37" i="6"/>
  <c r="I40" i="5" s="1"/>
  <c r="H37" i="6"/>
  <c r="C39" i="6"/>
  <c r="D39" i="6"/>
  <c r="E39" i="6"/>
  <c r="G25" i="7" s="1"/>
  <c r="G49" i="7" s="1"/>
  <c r="F39" i="6"/>
  <c r="H25" i="7" s="1"/>
  <c r="H49" i="7" s="1"/>
  <c r="G39" i="6"/>
  <c r="H39" i="6"/>
  <c r="J25" i="7" s="1"/>
  <c r="J49" i="7" s="1"/>
  <c r="I39" i="6"/>
  <c r="C40" i="6"/>
  <c r="D40" i="6"/>
  <c r="E40" i="6"/>
  <c r="F40" i="6"/>
  <c r="H13" i="5" s="1"/>
  <c r="G40" i="6"/>
  <c r="H40" i="6"/>
  <c r="I40" i="6"/>
  <c r="C44" i="6"/>
  <c r="D44" i="6"/>
  <c r="E44" i="6"/>
  <c r="E47" i="6" s="1"/>
  <c r="F44" i="6"/>
  <c r="G44" i="6"/>
  <c r="G47" i="6" s="1"/>
  <c r="H44" i="6"/>
  <c r="I44" i="6"/>
  <c r="C45" i="6"/>
  <c r="D45" i="6"/>
  <c r="E45" i="6"/>
  <c r="F45" i="6"/>
  <c r="G45" i="6"/>
  <c r="H45" i="6"/>
  <c r="I45" i="6"/>
  <c r="C46" i="6"/>
  <c r="D46" i="6"/>
  <c r="E46" i="6"/>
  <c r="F46" i="6"/>
  <c r="G46" i="6"/>
  <c r="H46" i="6"/>
  <c r="C50" i="6"/>
  <c r="D50" i="6"/>
  <c r="E50" i="6"/>
  <c r="F50" i="6"/>
  <c r="G50" i="6"/>
  <c r="H50" i="6"/>
  <c r="I50" i="6"/>
  <c r="C51" i="6"/>
  <c r="D51" i="6"/>
  <c r="E51" i="6"/>
  <c r="F51" i="6"/>
  <c r="G51" i="6"/>
  <c r="H51" i="6"/>
  <c r="I51" i="6"/>
  <c r="C52" i="6"/>
  <c r="D52" i="6"/>
  <c r="E52" i="6"/>
  <c r="F52" i="6"/>
  <c r="G52" i="6"/>
  <c r="H52" i="6"/>
  <c r="I52" i="6"/>
  <c r="C53" i="6"/>
  <c r="D53" i="6"/>
  <c r="E53" i="6"/>
  <c r="F53" i="6"/>
  <c r="G53" i="6"/>
  <c r="H53" i="6"/>
  <c r="I53" i="6"/>
  <c r="C54" i="6"/>
  <c r="D54" i="6"/>
  <c r="E54" i="6"/>
  <c r="F54" i="6"/>
  <c r="G54" i="6"/>
  <c r="H54" i="6"/>
  <c r="I54" i="6"/>
  <c r="C55" i="6"/>
  <c r="D55" i="6"/>
  <c r="E55" i="6"/>
  <c r="F55" i="6"/>
  <c r="G55" i="6"/>
  <c r="I37" i="5" s="1"/>
  <c r="H55" i="6"/>
  <c r="I55" i="6"/>
  <c r="C56" i="6"/>
  <c r="D56" i="6"/>
  <c r="E56" i="6"/>
  <c r="F56" i="6"/>
  <c r="G56" i="6"/>
  <c r="H56" i="6"/>
  <c r="C58" i="6"/>
  <c r="D58" i="6"/>
  <c r="E58" i="6"/>
  <c r="F58" i="6"/>
  <c r="G58" i="6"/>
  <c r="H58" i="6"/>
  <c r="F59" i="6"/>
  <c r="G59" i="6"/>
  <c r="H59" i="6"/>
  <c r="F60" i="6"/>
  <c r="G60" i="6"/>
  <c r="H60" i="6"/>
  <c r="F61" i="6"/>
  <c r="G61" i="6"/>
  <c r="H61" i="6"/>
  <c r="G62" i="6"/>
  <c r="H62" i="6"/>
  <c r="I62" i="6"/>
  <c r="G64" i="6"/>
  <c r="G65" i="6" s="1"/>
  <c r="H64" i="6"/>
  <c r="H65" i="6" s="1"/>
  <c r="I64" i="6"/>
  <c r="I65" i="6" s="1"/>
  <c r="I61" i="6"/>
  <c r="I18" i="6"/>
  <c r="I60" i="6"/>
  <c r="I37" i="6"/>
  <c r="F31" i="6"/>
  <c r="J21" i="7"/>
  <c r="J46" i="7" s="1"/>
  <c r="J83" i="7" s="1"/>
  <c r="J77" i="7" s="1"/>
  <c r="I6" i="6"/>
  <c r="K17" i="7" s="1"/>
  <c r="K42" i="7" s="1"/>
  <c r="G10" i="7"/>
  <c r="G35" i="7" s="1"/>
  <c r="E31" i="6"/>
  <c r="G18" i="5" s="1"/>
  <c r="I12" i="7"/>
  <c r="I14" i="7"/>
  <c r="I39" i="7" s="1"/>
  <c r="I21" i="7"/>
  <c r="I46" i="7" s="1"/>
  <c r="I83" i="7" s="1"/>
  <c r="I77" i="7" s="1"/>
  <c r="I46" i="5"/>
  <c r="I25" i="5"/>
  <c r="E43" i="6"/>
  <c r="H22" i="5"/>
  <c r="I10" i="7"/>
  <c r="I35" i="7" s="1"/>
  <c r="I24" i="7"/>
  <c r="J22" i="5"/>
  <c r="H20" i="5"/>
  <c r="I21" i="5"/>
  <c r="G46" i="5"/>
  <c r="F12" i="7"/>
  <c r="I35" i="5"/>
  <c r="H18" i="7"/>
  <c r="H43" i="7" s="1"/>
  <c r="H46" i="5"/>
  <c r="I12" i="5"/>
  <c r="G8" i="5"/>
  <c r="I18" i="7"/>
  <c r="I43" i="7" s="1"/>
  <c r="H12" i="7"/>
  <c r="E10" i="7"/>
  <c r="E35" i="7" s="1"/>
  <c r="I34" i="5"/>
  <c r="G37" i="5"/>
  <c r="J27" i="5"/>
  <c r="H25" i="5"/>
  <c r="H14" i="5"/>
  <c r="G24" i="7"/>
  <c r="I17" i="7"/>
  <c r="I42" i="7" s="1"/>
  <c r="G9" i="7"/>
  <c r="G34" i="7" s="1"/>
  <c r="G80" i="7" s="1"/>
  <c r="G74" i="7" s="1"/>
  <c r="G16" i="6"/>
  <c r="G13" i="6" s="1"/>
  <c r="J44" i="5"/>
  <c r="I36" i="5"/>
  <c r="G25" i="5"/>
  <c r="G14" i="5"/>
  <c r="J19" i="7"/>
  <c r="J44" i="7" s="1"/>
  <c r="H17" i="7"/>
  <c r="H42" i="7" s="1"/>
  <c r="F14" i="7"/>
  <c r="F39" i="7" s="1"/>
  <c r="I44" i="5"/>
  <c r="F21" i="7"/>
  <c r="F46" i="7" s="1"/>
  <c r="F83" i="7" s="1"/>
  <c r="F77" i="7" s="1"/>
  <c r="I20" i="5"/>
  <c r="J12" i="7"/>
  <c r="I46" i="6"/>
  <c r="I47" i="6"/>
  <c r="K40" i="5"/>
  <c r="C26" i="6" l="1"/>
  <c r="E16" i="5" s="1"/>
  <c r="H26" i="5"/>
  <c r="J18" i="6"/>
  <c r="K51" i="4"/>
  <c r="K59" i="4"/>
  <c r="L14" i="5"/>
  <c r="K66" i="6"/>
  <c r="N36" i="5"/>
  <c r="V75" i="4"/>
  <c r="V85" i="4" s="1"/>
  <c r="U59" i="6"/>
  <c r="W75" i="4"/>
  <c r="W85" i="4" s="1"/>
  <c r="V59" i="6"/>
  <c r="P75" i="4"/>
  <c r="O59" i="6"/>
  <c r="O75" i="4"/>
  <c r="O85" i="4" s="1"/>
  <c r="N59" i="6"/>
  <c r="N59" i="4"/>
  <c r="M46" i="6"/>
  <c r="M43" i="6" s="1"/>
  <c r="X13" i="7"/>
  <c r="X38" i="7" s="1"/>
  <c r="X45" i="5"/>
  <c r="V60" i="6"/>
  <c r="W13" i="7"/>
  <c r="W38" i="7" s="1"/>
  <c r="W45" i="5"/>
  <c r="U60" i="6"/>
  <c r="V46" i="5"/>
  <c r="T60" i="6"/>
  <c r="S60" i="6"/>
  <c r="T14" i="7"/>
  <c r="T39" i="7" s="1"/>
  <c r="T46" i="5"/>
  <c r="R60" i="6"/>
  <c r="S14" i="7"/>
  <c r="S39" i="7" s="1"/>
  <c r="R46" i="5"/>
  <c r="Q60" i="6"/>
  <c r="R14" i="7"/>
  <c r="R39" i="7" s="1"/>
  <c r="P60" i="6"/>
  <c r="Q13" i="7"/>
  <c r="Q38" i="7" s="1"/>
  <c r="P45" i="5"/>
  <c r="O60" i="6"/>
  <c r="P13" i="7"/>
  <c r="P38" i="7" s="1"/>
  <c r="S45" i="5"/>
  <c r="N60" i="6"/>
  <c r="M60" i="6"/>
  <c r="L60" i="6"/>
  <c r="K60" i="6"/>
  <c r="V18" i="6"/>
  <c r="V16" i="6" s="1"/>
  <c r="V13" i="6" s="1"/>
  <c r="W51" i="4"/>
  <c r="W52" i="4" s="1"/>
  <c r="U18" i="6"/>
  <c r="U16" i="6" s="1"/>
  <c r="U13" i="6" s="1"/>
  <c r="V51" i="4"/>
  <c r="V52" i="4" s="1"/>
  <c r="T18" i="6"/>
  <c r="T16" i="6" s="1"/>
  <c r="T13" i="6" s="1"/>
  <c r="U51" i="4"/>
  <c r="U52" i="4" s="1"/>
  <c r="S18" i="6"/>
  <c r="S16" i="6" s="1"/>
  <c r="S13" i="6" s="1"/>
  <c r="T51" i="4"/>
  <c r="R18" i="6"/>
  <c r="R16" i="6" s="1"/>
  <c r="R13" i="6" s="1"/>
  <c r="S51" i="4"/>
  <c r="Q18" i="6"/>
  <c r="Q16" i="6" s="1"/>
  <c r="Q13" i="6" s="1"/>
  <c r="R51" i="4"/>
  <c r="P18" i="6"/>
  <c r="P16" i="6" s="1"/>
  <c r="P13" i="6" s="1"/>
  <c r="Q51" i="4"/>
  <c r="Q52" i="4" s="1"/>
  <c r="O18" i="6"/>
  <c r="O16" i="6" s="1"/>
  <c r="O13" i="6" s="1"/>
  <c r="P51" i="4"/>
  <c r="N18" i="6"/>
  <c r="N16" i="6" s="1"/>
  <c r="N13" i="6" s="1"/>
  <c r="O51" i="4"/>
  <c r="O52" i="4" s="1"/>
  <c r="M18" i="6"/>
  <c r="M16" i="6" s="1"/>
  <c r="M13" i="6" s="1"/>
  <c r="N51" i="4"/>
  <c r="N52" i="4" s="1"/>
  <c r="L18" i="6"/>
  <c r="L16" i="6" s="1"/>
  <c r="L13" i="6" s="1"/>
  <c r="M51" i="4"/>
  <c r="M52" i="4" s="1"/>
  <c r="K18" i="6"/>
  <c r="K16" i="6" s="1"/>
  <c r="K13" i="6" s="1"/>
  <c r="L51" i="4"/>
  <c r="L52" i="4" s="1"/>
  <c r="X26" i="5"/>
  <c r="X34" i="5"/>
  <c r="X23" i="7"/>
  <c r="X16" i="5"/>
  <c r="W26" i="5"/>
  <c r="W34" i="5"/>
  <c r="W23" i="7"/>
  <c r="W16" i="5"/>
  <c r="V20" i="5"/>
  <c r="V26" i="5"/>
  <c r="V34" i="5"/>
  <c r="V23" i="7"/>
  <c r="V16" i="5"/>
  <c r="U26" i="5"/>
  <c r="U34" i="5"/>
  <c r="U23" i="7"/>
  <c r="U16" i="5"/>
  <c r="T20" i="5"/>
  <c r="T26" i="5"/>
  <c r="T34" i="5"/>
  <c r="T23" i="7"/>
  <c r="T16" i="5"/>
  <c r="R20" i="5"/>
  <c r="R26" i="5"/>
  <c r="R34" i="5"/>
  <c r="S23" i="7"/>
  <c r="R16" i="5"/>
  <c r="Q20" i="5"/>
  <c r="Q26" i="5"/>
  <c r="Q34" i="5"/>
  <c r="R23" i="7"/>
  <c r="Q16" i="5"/>
  <c r="P20" i="5"/>
  <c r="P26" i="5"/>
  <c r="P34" i="5"/>
  <c r="Q23" i="7"/>
  <c r="P16" i="5"/>
  <c r="S26" i="5"/>
  <c r="S34" i="5"/>
  <c r="P23" i="7"/>
  <c r="S16" i="5"/>
  <c r="O26" i="5"/>
  <c r="O34" i="5"/>
  <c r="O23" i="7"/>
  <c r="O16" i="5"/>
  <c r="N20" i="5"/>
  <c r="N26" i="5"/>
  <c r="N34" i="5"/>
  <c r="N23" i="7"/>
  <c r="N16" i="5"/>
  <c r="M26" i="5"/>
  <c r="M34" i="5"/>
  <c r="M23" i="7"/>
  <c r="M16" i="5"/>
  <c r="V21" i="7"/>
  <c r="V46" i="7" s="1"/>
  <c r="V25" i="5"/>
  <c r="T63" i="6"/>
  <c r="V37" i="5"/>
  <c r="V13" i="5"/>
  <c r="V25" i="7"/>
  <c r="V49" i="7" s="1"/>
  <c r="V12" i="5"/>
  <c r="V24" i="7"/>
  <c r="V8" i="5"/>
  <c r="V18" i="7"/>
  <c r="V43" i="7" s="1"/>
  <c r="V23" i="5"/>
  <c r="V22" i="5"/>
  <c r="V21" i="5"/>
  <c r="V18" i="5"/>
  <c r="R63" i="6"/>
  <c r="T21" i="7"/>
  <c r="T46" i="7" s="1"/>
  <c r="T25" i="5"/>
  <c r="T37" i="5"/>
  <c r="T13" i="5"/>
  <c r="T25" i="7"/>
  <c r="T49" i="7" s="1"/>
  <c r="T12" i="5"/>
  <c r="T24" i="7"/>
  <c r="T8" i="5"/>
  <c r="T18" i="7"/>
  <c r="T43" i="7" s="1"/>
  <c r="T23" i="5"/>
  <c r="T22" i="5"/>
  <c r="T21" i="5"/>
  <c r="T18" i="5"/>
  <c r="S21" i="7"/>
  <c r="S46" i="7" s="1"/>
  <c r="R25" i="5"/>
  <c r="Q63" i="6"/>
  <c r="R37" i="5"/>
  <c r="R13" i="5"/>
  <c r="S25" i="7"/>
  <c r="S49" i="7" s="1"/>
  <c r="R12" i="5"/>
  <c r="S24" i="7"/>
  <c r="R8" i="5"/>
  <c r="S18" i="7"/>
  <c r="S43" i="7" s="1"/>
  <c r="R23" i="5"/>
  <c r="R22" i="5"/>
  <c r="R21" i="5"/>
  <c r="R18" i="5"/>
  <c r="R21" i="7"/>
  <c r="R46" i="7" s="1"/>
  <c r="P63" i="6"/>
  <c r="Q13" i="5"/>
  <c r="R25" i="7"/>
  <c r="R49" i="7" s="1"/>
  <c r="Q12" i="5"/>
  <c r="R24" i="7"/>
  <c r="Q8" i="5"/>
  <c r="R18" i="7"/>
  <c r="R43" i="7" s="1"/>
  <c r="Q23" i="5"/>
  <c r="Q22" i="5"/>
  <c r="Q21" i="5"/>
  <c r="Q18" i="5"/>
  <c r="Q21" i="7"/>
  <c r="Q46" i="7" s="1"/>
  <c r="O63" i="6"/>
  <c r="P13" i="5"/>
  <c r="Q25" i="7"/>
  <c r="Q49" i="7" s="1"/>
  <c r="P12" i="5"/>
  <c r="Q24" i="7"/>
  <c r="P8" i="5"/>
  <c r="Q18" i="7"/>
  <c r="Q43" i="7" s="1"/>
  <c r="P23" i="5"/>
  <c r="P22" i="5"/>
  <c r="P21" i="5"/>
  <c r="P18" i="5"/>
  <c r="N21" i="7"/>
  <c r="N46" i="7" s="1"/>
  <c r="L63" i="6"/>
  <c r="N13" i="5"/>
  <c r="N25" i="7"/>
  <c r="N49" i="7" s="1"/>
  <c r="N12" i="5"/>
  <c r="N24" i="7"/>
  <c r="N8" i="5"/>
  <c r="N18" i="7"/>
  <c r="N43" i="7" s="1"/>
  <c r="N23" i="5"/>
  <c r="N22" i="5"/>
  <c r="N21" i="5"/>
  <c r="N18" i="5"/>
  <c r="W27" i="4"/>
  <c r="V5" i="6" s="1"/>
  <c r="V27" i="4"/>
  <c r="U5" i="6" s="1"/>
  <c r="T27" i="4"/>
  <c r="S5" i="6" s="1"/>
  <c r="O27" i="4"/>
  <c r="N5" i="6" s="1"/>
  <c r="N27" i="4"/>
  <c r="M5" i="6" s="1"/>
  <c r="L27" i="4"/>
  <c r="K5" i="6" s="1"/>
  <c r="X17" i="7"/>
  <c r="X42" i="7" s="1"/>
  <c r="V37" i="6"/>
  <c r="V61" i="6"/>
  <c r="W17" i="7"/>
  <c r="W42" i="7" s="1"/>
  <c r="U37" i="6"/>
  <c r="U61" i="6"/>
  <c r="V17" i="7"/>
  <c r="V42" i="7" s="1"/>
  <c r="T37" i="6"/>
  <c r="T61" i="6"/>
  <c r="U17" i="7"/>
  <c r="U42" i="7" s="1"/>
  <c r="S37" i="6"/>
  <c r="S61" i="6"/>
  <c r="T17" i="7"/>
  <c r="T42" i="7" s="1"/>
  <c r="R37" i="6"/>
  <c r="R61" i="6"/>
  <c r="S17" i="7"/>
  <c r="S42" i="7" s="1"/>
  <c r="Q37" i="6"/>
  <c r="Q61" i="6"/>
  <c r="R17" i="7"/>
  <c r="R42" i="7" s="1"/>
  <c r="P37" i="6"/>
  <c r="P61" i="6"/>
  <c r="Q17" i="7"/>
  <c r="Q42" i="7" s="1"/>
  <c r="O37" i="6"/>
  <c r="O61" i="6"/>
  <c r="P17" i="7"/>
  <c r="P42" i="7" s="1"/>
  <c r="N37" i="6"/>
  <c r="N61" i="6"/>
  <c r="O17" i="7"/>
  <c r="O42" i="7" s="1"/>
  <c r="M37" i="6"/>
  <c r="M61" i="6"/>
  <c r="N17" i="7"/>
  <c r="N42" i="7" s="1"/>
  <c r="L37" i="6"/>
  <c r="L61" i="6"/>
  <c r="M17" i="7"/>
  <c r="M42" i="7" s="1"/>
  <c r="K37" i="6"/>
  <c r="K61" i="6"/>
  <c r="T52" i="4"/>
  <c r="K16" i="7"/>
  <c r="K37" i="7" s="1"/>
  <c r="K36" i="5"/>
  <c r="E25" i="7"/>
  <c r="E49" i="7" s="1"/>
  <c r="G43" i="6"/>
  <c r="I27" i="5"/>
  <c r="F18" i="7"/>
  <c r="F43" i="7" s="1"/>
  <c r="E35" i="5"/>
  <c r="E9" i="7"/>
  <c r="E34" i="7" s="1"/>
  <c r="E80" i="7" s="1"/>
  <c r="G17" i="7"/>
  <c r="G42" i="7" s="1"/>
  <c r="J37" i="5"/>
  <c r="G28" i="5"/>
  <c r="F26" i="5"/>
  <c r="F25" i="5"/>
  <c r="H9" i="7"/>
  <c r="H34" i="7" s="1"/>
  <c r="H80" i="7" s="1"/>
  <c r="H74" i="7" s="1"/>
  <c r="E13" i="5"/>
  <c r="I66" i="6"/>
  <c r="J25" i="5"/>
  <c r="I31" i="6"/>
  <c r="H40" i="5"/>
  <c r="E34" i="5"/>
  <c r="H24" i="7"/>
  <c r="G20" i="5"/>
  <c r="I49" i="6"/>
  <c r="E22" i="5"/>
  <c r="K14" i="5"/>
  <c r="H35" i="5"/>
  <c r="H43" i="6"/>
  <c r="J31" i="5" s="1"/>
  <c r="G12" i="5"/>
  <c r="C47" i="6"/>
  <c r="H34" i="5"/>
  <c r="F13" i="5"/>
  <c r="E14" i="7"/>
  <c r="E39" i="7" s="1"/>
  <c r="G21" i="7"/>
  <c r="G46" i="7" s="1"/>
  <c r="G83" i="7" s="1"/>
  <c r="G77" i="7" s="1"/>
  <c r="H63" i="6"/>
  <c r="F23" i="5"/>
  <c r="E8" i="5"/>
  <c r="E12" i="5"/>
  <c r="I13" i="5"/>
  <c r="I25" i="7"/>
  <c r="I49" i="7" s="1"/>
  <c r="I16" i="7"/>
  <c r="I37" i="7" s="1"/>
  <c r="I81" i="7" s="1"/>
  <c r="I75" i="7" s="1"/>
  <c r="I16" i="6"/>
  <c r="I13" i="6" s="1"/>
  <c r="G34" i="5"/>
  <c r="E25" i="5"/>
  <c r="I19" i="7"/>
  <c r="I44" i="7" s="1"/>
  <c r="C31" i="6"/>
  <c r="E18" i="5" s="1"/>
  <c r="G26" i="5"/>
  <c r="E44" i="5"/>
  <c r="G13" i="5"/>
  <c r="E23" i="7"/>
  <c r="J46" i="5"/>
  <c r="F62" i="6"/>
  <c r="F28" i="5"/>
  <c r="E12" i="7"/>
  <c r="J14" i="7"/>
  <c r="J39" i="7" s="1"/>
  <c r="G12" i="7"/>
  <c r="I14" i="5"/>
  <c r="F12" i="5"/>
  <c r="G40" i="5"/>
  <c r="E16" i="6"/>
  <c r="E13" i="6" s="1"/>
  <c r="G7" i="7" s="1"/>
  <c r="G32" i="7" s="1"/>
  <c r="J16" i="7"/>
  <c r="J41" i="7" s="1"/>
  <c r="J82" i="7" s="1"/>
  <c r="E74" i="7"/>
  <c r="E24" i="7"/>
  <c r="G63" i="6"/>
  <c r="G14" i="7"/>
  <c r="G39" i="7" s="1"/>
  <c r="F44" i="5"/>
  <c r="F46" i="5"/>
  <c r="J12" i="5"/>
  <c r="E20" i="5"/>
  <c r="F49" i="6"/>
  <c r="H49" i="6"/>
  <c r="G23" i="5"/>
  <c r="E46" i="5"/>
  <c r="F16" i="5"/>
  <c r="G44" i="5"/>
  <c r="E21" i="5"/>
  <c r="H27" i="5"/>
  <c r="E37" i="5"/>
  <c r="C49" i="6"/>
  <c r="G14" i="6"/>
  <c r="I9" i="5" s="1"/>
  <c r="I6" i="7"/>
  <c r="I31" i="7" s="1"/>
  <c r="I5" i="5"/>
  <c r="I4" i="7"/>
  <c r="I29" i="7" s="1"/>
  <c r="I7" i="5"/>
  <c r="I6" i="5"/>
  <c r="I3" i="7"/>
  <c r="I28" i="7" s="1"/>
  <c r="G18" i="7"/>
  <c r="G43" i="7" s="1"/>
  <c r="I22" i="5"/>
  <c r="H31" i="6"/>
  <c r="H47" i="6"/>
  <c r="I26" i="5"/>
  <c r="H66" i="6"/>
  <c r="G42" i="5"/>
  <c r="J24" i="7"/>
  <c r="I43" i="6"/>
  <c r="K26" i="5"/>
  <c r="H36" i="5"/>
  <c r="G19" i="7"/>
  <c r="G44" i="7" s="1"/>
  <c r="J14" i="5"/>
  <c r="G35" i="5"/>
  <c r="F16" i="6"/>
  <c r="F13" i="6" s="1"/>
  <c r="H5" i="5" s="1"/>
  <c r="I23" i="5"/>
  <c r="G21" i="5"/>
  <c r="G16" i="7"/>
  <c r="G37" i="7" s="1"/>
  <c r="G81" i="7" s="1"/>
  <c r="G75" i="7" s="1"/>
  <c r="J21" i="5"/>
  <c r="J13" i="5"/>
  <c r="F35" i="5"/>
  <c r="F21" i="5"/>
  <c r="F20" i="5"/>
  <c r="J28" i="5"/>
  <c r="F25" i="7"/>
  <c r="F49" i="7" s="1"/>
  <c r="K34" i="5"/>
  <c r="F37" i="5"/>
  <c r="K35" i="5"/>
  <c r="K28" i="5"/>
  <c r="P85" i="4"/>
  <c r="T75" i="4"/>
  <c r="L59" i="4"/>
  <c r="U59" i="4"/>
  <c r="M59" i="4"/>
  <c r="S52" i="4"/>
  <c r="R52" i="4"/>
  <c r="P52" i="4"/>
  <c r="S59" i="4"/>
  <c r="R59" i="4"/>
  <c r="Q59" i="4"/>
  <c r="K3" i="7"/>
  <c r="K28" i="7" s="1"/>
  <c r="K7" i="5"/>
  <c r="K5" i="5"/>
  <c r="H29" i="5"/>
  <c r="H18" i="5"/>
  <c r="E36" i="5"/>
  <c r="E18" i="7"/>
  <c r="E43" i="7" s="1"/>
  <c r="E23" i="5"/>
  <c r="K41" i="7"/>
  <c r="J36" i="5"/>
  <c r="J18" i="7"/>
  <c r="J43" i="7" s="1"/>
  <c r="J23" i="5"/>
  <c r="I41" i="7"/>
  <c r="I82" i="7" s="1"/>
  <c r="I76" i="7" s="1"/>
  <c r="F16" i="7"/>
  <c r="F40" i="5"/>
  <c r="F27" i="5"/>
  <c r="G27" i="5"/>
  <c r="F22" i="5"/>
  <c r="F43" i="6"/>
  <c r="H38" i="5"/>
  <c r="F47" i="6"/>
  <c r="H6" i="7"/>
  <c r="H31" i="7" s="1"/>
  <c r="H7" i="7"/>
  <c r="H32" i="7" s="1"/>
  <c r="F14" i="6"/>
  <c r="E14" i="6"/>
  <c r="J8" i="5"/>
  <c r="J35" i="5"/>
  <c r="E41" i="7"/>
  <c r="E82" i="7" s="1"/>
  <c r="E37" i="7"/>
  <c r="E81" i="7" s="1"/>
  <c r="E75" i="7" s="1"/>
  <c r="J26" i="5"/>
  <c r="J40" i="5"/>
  <c r="J17" i="7"/>
  <c r="J42" i="7" s="1"/>
  <c r="J34" i="5"/>
  <c r="J20" i="5"/>
  <c r="H12" i="5"/>
  <c r="G41" i="7"/>
  <c r="G82" i="7" s="1"/>
  <c r="G36" i="5"/>
  <c r="E49" i="6"/>
  <c r="E40" i="5"/>
  <c r="F10" i="7"/>
  <c r="F35" i="7" s="1"/>
  <c r="F24" i="7"/>
  <c r="D47" i="6"/>
  <c r="D31" i="6"/>
  <c r="F9" i="7"/>
  <c r="F34" i="7" s="1"/>
  <c r="F80" i="7" s="1"/>
  <c r="F74" i="7" s="1"/>
  <c r="K27" i="5"/>
  <c r="I42" i="5"/>
  <c r="G31" i="6"/>
  <c r="H21" i="5"/>
  <c r="H28" i="5"/>
  <c r="H16" i="7"/>
  <c r="F36" i="5"/>
  <c r="F34" i="5"/>
  <c r="D49" i="6"/>
  <c r="I7" i="7"/>
  <c r="I32" i="7" s="1"/>
  <c r="I26" i="6"/>
  <c r="E17" i="7"/>
  <c r="E42" i="7" s="1"/>
  <c r="H26" i="6"/>
  <c r="G26" i="6"/>
  <c r="H16" i="6"/>
  <c r="H13" i="6" s="1"/>
  <c r="J59" i="4"/>
  <c r="H37" i="5"/>
  <c r="F26" i="6"/>
  <c r="E26" i="6"/>
  <c r="I28" i="5"/>
  <c r="F17" i="7"/>
  <c r="F42" i="7" s="1"/>
  <c r="J27" i="4"/>
  <c r="I5" i="6" s="1"/>
  <c r="K27" i="4"/>
  <c r="J5" i="6" s="1"/>
  <c r="J37" i="6"/>
  <c r="J61" i="6"/>
  <c r="L26" i="5"/>
  <c r="J10" i="6"/>
  <c r="J62" i="6"/>
  <c r="J59" i="6"/>
  <c r="J53" i="6"/>
  <c r="J49" i="6" s="1"/>
  <c r="K68" i="4"/>
  <c r="L36" i="5"/>
  <c r="L35" i="5"/>
  <c r="L34" i="5"/>
  <c r="L27" i="5"/>
  <c r="L28" i="5"/>
  <c r="J43" i="6"/>
  <c r="J31" i="6"/>
  <c r="J26" i="6"/>
  <c r="J16" i="6"/>
  <c r="J13" i="6" s="1"/>
  <c r="K39" i="4"/>
  <c r="G49" i="6"/>
  <c r="D43" i="6"/>
  <c r="C43" i="6"/>
  <c r="E31" i="5" s="1"/>
  <c r="D16" i="6"/>
  <c r="D13" i="6" s="1"/>
  <c r="C16" i="6"/>
  <c r="C13" i="6" s="1"/>
  <c r="H14" i="7"/>
  <c r="H39" i="7" s="1"/>
  <c r="H44" i="5"/>
  <c r="J39" i="4"/>
  <c r="J52" i="4" s="1"/>
  <c r="L3" i="7" l="1"/>
  <c r="L28" i="7" s="1"/>
  <c r="L4" i="7"/>
  <c r="L29" i="7" s="1"/>
  <c r="L6" i="7"/>
  <c r="L31" i="7" s="1"/>
  <c r="L7" i="7"/>
  <c r="L32" i="7" s="1"/>
  <c r="L22" i="7"/>
  <c r="L23" i="7"/>
  <c r="N29" i="5"/>
  <c r="N38" i="5"/>
  <c r="L31" i="5"/>
  <c r="N31" i="5"/>
  <c r="L16" i="7"/>
  <c r="L19" i="7"/>
  <c r="L44" i="7" s="1"/>
  <c r="L20" i="5"/>
  <c r="L21" i="7"/>
  <c r="L46" i="7" s="1"/>
  <c r="L14" i="7"/>
  <c r="L39" i="7" s="1"/>
  <c r="L25" i="7"/>
  <c r="L49" i="7" s="1"/>
  <c r="L24" i="7"/>
  <c r="L18" i="7"/>
  <c r="L43" i="7" s="1"/>
  <c r="N46" i="5"/>
  <c r="N25" i="5"/>
  <c r="N37" i="5"/>
  <c r="Q75" i="4"/>
  <c r="P59" i="6"/>
  <c r="R75" i="4"/>
  <c r="Q59" i="6"/>
  <c r="S75" i="4"/>
  <c r="R59" i="6"/>
  <c r="M75" i="4"/>
  <c r="L59" i="6"/>
  <c r="U75" i="4"/>
  <c r="T59" i="6"/>
  <c r="L75" i="4"/>
  <c r="K59" i="6"/>
  <c r="T85" i="4"/>
  <c r="U13" i="7"/>
  <c r="U38" i="7" s="1"/>
  <c r="U45" i="5"/>
  <c r="P89" i="4"/>
  <c r="P91" i="4" s="1"/>
  <c r="P93" i="4" s="1"/>
  <c r="P44" i="5"/>
  <c r="X53" i="4"/>
  <c r="K31" i="5"/>
  <c r="M31" i="5"/>
  <c r="M29" i="5"/>
  <c r="M38" i="5"/>
  <c r="M16" i="7"/>
  <c r="M19" i="7"/>
  <c r="M44" i="7" s="1"/>
  <c r="M40" i="5"/>
  <c r="N16" i="7"/>
  <c r="N19" i="7"/>
  <c r="N44" i="7" s="1"/>
  <c r="N40" i="5"/>
  <c r="O16" i="7"/>
  <c r="O19" i="7"/>
  <c r="O44" i="7" s="1"/>
  <c r="O40" i="5"/>
  <c r="P16" i="7"/>
  <c r="P19" i="7"/>
  <c r="P44" i="7" s="1"/>
  <c r="S40" i="5"/>
  <c r="Q16" i="7"/>
  <c r="Q19" i="7"/>
  <c r="Q44" i="7" s="1"/>
  <c r="P40" i="5"/>
  <c r="R16" i="7"/>
  <c r="R19" i="7"/>
  <c r="R44" i="7" s="1"/>
  <c r="Q40" i="5"/>
  <c r="S16" i="7"/>
  <c r="S19" i="7"/>
  <c r="S44" i="7" s="1"/>
  <c r="R40" i="5"/>
  <c r="T16" i="7"/>
  <c r="T19" i="7"/>
  <c r="T44" i="7" s="1"/>
  <c r="T40" i="5"/>
  <c r="U16" i="7"/>
  <c r="U19" i="7"/>
  <c r="U44" i="7" s="1"/>
  <c r="U40" i="5"/>
  <c r="V16" i="7"/>
  <c r="V19" i="7"/>
  <c r="V44" i="7" s="1"/>
  <c r="V40" i="5"/>
  <c r="W16" i="7"/>
  <c r="W19" i="7"/>
  <c r="W44" i="7" s="1"/>
  <c r="W40" i="5"/>
  <c r="X16" i="7"/>
  <c r="X19" i="7"/>
  <c r="X44" i="7" s="1"/>
  <c r="X40" i="5"/>
  <c r="M21" i="7"/>
  <c r="M46" i="7" s="1"/>
  <c r="M25" i="5"/>
  <c r="K63" i="6"/>
  <c r="M37" i="5"/>
  <c r="M13" i="5"/>
  <c r="M25" i="7"/>
  <c r="M49" i="7" s="1"/>
  <c r="M12" i="5"/>
  <c r="M24" i="7"/>
  <c r="M8" i="5"/>
  <c r="M18" i="7"/>
  <c r="M43" i="7" s="1"/>
  <c r="M23" i="5"/>
  <c r="M22" i="5"/>
  <c r="M21" i="5"/>
  <c r="M18" i="5"/>
  <c r="N14" i="7"/>
  <c r="N39" i="7" s="1"/>
  <c r="M14" i="7"/>
  <c r="M39" i="7" s="1"/>
  <c r="M46" i="5"/>
  <c r="M20" i="5"/>
  <c r="O21" i="7"/>
  <c r="O46" i="7" s="1"/>
  <c r="O25" i="5"/>
  <c r="M63" i="6"/>
  <c r="O37" i="5"/>
  <c r="O13" i="5"/>
  <c r="O25" i="7"/>
  <c r="O49" i="7" s="1"/>
  <c r="O12" i="5"/>
  <c r="O24" i="7"/>
  <c r="O8" i="5"/>
  <c r="O18" i="7"/>
  <c r="O43" i="7" s="1"/>
  <c r="O23" i="5"/>
  <c r="O22" i="5"/>
  <c r="O21" i="5"/>
  <c r="O18" i="5"/>
  <c r="P46" i="5"/>
  <c r="O14" i="7"/>
  <c r="O39" i="7" s="1"/>
  <c r="O46" i="5"/>
  <c r="O20" i="5"/>
  <c r="P25" i="5"/>
  <c r="P37" i="5"/>
  <c r="P21" i="7"/>
  <c r="P46" i="7" s="1"/>
  <c r="S25" i="5"/>
  <c r="S37" i="5"/>
  <c r="S13" i="5"/>
  <c r="P25" i="7"/>
  <c r="P49" i="7" s="1"/>
  <c r="S12" i="5"/>
  <c r="P24" i="7"/>
  <c r="S8" i="5"/>
  <c r="P18" i="7"/>
  <c r="P43" i="7" s="1"/>
  <c r="S23" i="5"/>
  <c r="S22" i="5"/>
  <c r="S21" i="5"/>
  <c r="S18" i="5"/>
  <c r="Q46" i="5"/>
  <c r="Q14" i="7"/>
  <c r="Q39" i="7" s="1"/>
  <c r="P14" i="7"/>
  <c r="P39" i="7" s="1"/>
  <c r="S46" i="5"/>
  <c r="S20" i="5"/>
  <c r="N63" i="6"/>
  <c r="Q25" i="5"/>
  <c r="Q37" i="5"/>
  <c r="U21" i="7"/>
  <c r="U46" i="7" s="1"/>
  <c r="U25" i="5"/>
  <c r="S63" i="6"/>
  <c r="U37" i="5"/>
  <c r="U13" i="5"/>
  <c r="U25" i="7"/>
  <c r="U49" i="7" s="1"/>
  <c r="U12" i="5"/>
  <c r="U24" i="7"/>
  <c r="U8" i="5"/>
  <c r="U18" i="7"/>
  <c r="U43" i="7" s="1"/>
  <c r="U23" i="5"/>
  <c r="U22" i="5"/>
  <c r="U21" i="5"/>
  <c r="U18" i="5"/>
  <c r="V14" i="7"/>
  <c r="V39" i="7" s="1"/>
  <c r="U14" i="7"/>
  <c r="U39" i="7" s="1"/>
  <c r="U46" i="5"/>
  <c r="U20" i="5"/>
  <c r="W21" i="7"/>
  <c r="W46" i="7" s="1"/>
  <c r="W25" i="5"/>
  <c r="U63" i="6"/>
  <c r="W37" i="5"/>
  <c r="W13" i="5"/>
  <c r="W25" i="7"/>
  <c r="W49" i="7" s="1"/>
  <c r="W12" i="5"/>
  <c r="W24" i="7"/>
  <c r="W8" i="5"/>
  <c r="W18" i="7"/>
  <c r="W43" i="7" s="1"/>
  <c r="W23" i="5"/>
  <c r="W22" i="5"/>
  <c r="W21" i="5"/>
  <c r="W18" i="5"/>
  <c r="W14" i="7"/>
  <c r="W39" i="7" s="1"/>
  <c r="W46" i="5"/>
  <c r="W20" i="5"/>
  <c r="X21" i="7"/>
  <c r="X46" i="7" s="1"/>
  <c r="X25" i="5"/>
  <c r="X37" i="5"/>
  <c r="X13" i="5"/>
  <c r="X25" i="7"/>
  <c r="X49" i="7" s="1"/>
  <c r="X12" i="5"/>
  <c r="X24" i="7"/>
  <c r="X8" i="5"/>
  <c r="X18" i="7"/>
  <c r="X43" i="7" s="1"/>
  <c r="X23" i="5"/>
  <c r="X22" i="5"/>
  <c r="X21" i="5"/>
  <c r="X18" i="5"/>
  <c r="X14" i="7"/>
  <c r="X39" i="7" s="1"/>
  <c r="X46" i="5"/>
  <c r="X20" i="5"/>
  <c r="V63" i="6"/>
  <c r="K14" i="6"/>
  <c r="M3" i="7"/>
  <c r="M28" i="7" s="1"/>
  <c r="M4" i="7"/>
  <c r="M29" i="7" s="1"/>
  <c r="M6" i="7"/>
  <c r="M31" i="7" s="1"/>
  <c r="M7" i="7"/>
  <c r="M32" i="7" s="1"/>
  <c r="M5" i="5"/>
  <c r="M6" i="5"/>
  <c r="M7" i="5"/>
  <c r="M30" i="5"/>
  <c r="M22" i="7"/>
  <c r="M17" i="5"/>
  <c r="L14" i="6"/>
  <c r="N3" i="7"/>
  <c r="N28" i="7" s="1"/>
  <c r="N4" i="7"/>
  <c r="N29" i="7" s="1"/>
  <c r="N6" i="7"/>
  <c r="N31" i="7" s="1"/>
  <c r="N7" i="7"/>
  <c r="N32" i="7" s="1"/>
  <c r="N5" i="5"/>
  <c r="N6" i="5"/>
  <c r="N7" i="5"/>
  <c r="N30" i="5"/>
  <c r="N22" i="7"/>
  <c r="N17" i="5"/>
  <c r="M14" i="6"/>
  <c r="O3" i="7"/>
  <c r="O28" i="7" s="1"/>
  <c r="O4" i="7"/>
  <c r="O29" i="7" s="1"/>
  <c r="O6" i="7"/>
  <c r="O31" i="7" s="1"/>
  <c r="O7" i="7"/>
  <c r="O32" i="7" s="1"/>
  <c r="O5" i="5"/>
  <c r="O6" i="5"/>
  <c r="O7" i="5"/>
  <c r="O30" i="5"/>
  <c r="O22" i="7"/>
  <c r="O17" i="5"/>
  <c r="N14" i="6"/>
  <c r="P3" i="7"/>
  <c r="P28" i="7" s="1"/>
  <c r="P4" i="7"/>
  <c r="P29" i="7" s="1"/>
  <c r="P6" i="7"/>
  <c r="P31" i="7" s="1"/>
  <c r="P7" i="7"/>
  <c r="P32" i="7" s="1"/>
  <c r="S5" i="5"/>
  <c r="S6" i="5"/>
  <c r="S7" i="5"/>
  <c r="S30" i="5"/>
  <c r="P22" i="7"/>
  <c r="S17" i="5"/>
  <c r="O14" i="6"/>
  <c r="Q3" i="7"/>
  <c r="Q28" i="7" s="1"/>
  <c r="Q4" i="7"/>
  <c r="Q29" i="7" s="1"/>
  <c r="Q6" i="7"/>
  <c r="Q31" i="7" s="1"/>
  <c r="Q7" i="7"/>
  <c r="Q32" i="7" s="1"/>
  <c r="P5" i="5"/>
  <c r="P6" i="5"/>
  <c r="P7" i="5"/>
  <c r="P30" i="5"/>
  <c r="Q22" i="7"/>
  <c r="P17" i="5"/>
  <c r="P14" i="6"/>
  <c r="R3" i="7"/>
  <c r="R28" i="7" s="1"/>
  <c r="R4" i="7"/>
  <c r="R29" i="7" s="1"/>
  <c r="R6" i="7"/>
  <c r="R31" i="7" s="1"/>
  <c r="R7" i="7"/>
  <c r="R32" i="7" s="1"/>
  <c r="Q5" i="5"/>
  <c r="Q6" i="5"/>
  <c r="Q7" i="5"/>
  <c r="Q30" i="5"/>
  <c r="R22" i="7"/>
  <c r="Q17" i="5"/>
  <c r="Q14" i="6"/>
  <c r="S3" i="7"/>
  <c r="S28" i="7" s="1"/>
  <c r="S4" i="7"/>
  <c r="S29" i="7" s="1"/>
  <c r="S6" i="7"/>
  <c r="S31" i="7" s="1"/>
  <c r="S7" i="7"/>
  <c r="S32" i="7" s="1"/>
  <c r="R5" i="5"/>
  <c r="R6" i="5"/>
  <c r="R7" i="5"/>
  <c r="R30" i="5"/>
  <c r="S22" i="7"/>
  <c r="R17" i="5"/>
  <c r="R14" i="6"/>
  <c r="T3" i="7"/>
  <c r="T28" i="7" s="1"/>
  <c r="T4" i="7"/>
  <c r="T29" i="7" s="1"/>
  <c r="T6" i="7"/>
  <c r="T31" i="7" s="1"/>
  <c r="T7" i="7"/>
  <c r="T32" i="7" s="1"/>
  <c r="T5" i="5"/>
  <c r="T6" i="5"/>
  <c r="T7" i="5"/>
  <c r="T30" i="5"/>
  <c r="T22" i="7"/>
  <c r="T17" i="5"/>
  <c r="S14" i="6"/>
  <c r="U3" i="7"/>
  <c r="U28" i="7" s="1"/>
  <c r="U4" i="7"/>
  <c r="U29" i="7" s="1"/>
  <c r="U6" i="7"/>
  <c r="U31" i="7" s="1"/>
  <c r="U7" i="7"/>
  <c r="U32" i="7" s="1"/>
  <c r="U5" i="5"/>
  <c r="U6" i="5"/>
  <c r="U7" i="5"/>
  <c r="U30" i="5"/>
  <c r="U22" i="7"/>
  <c r="U17" i="5"/>
  <c r="T14" i="6"/>
  <c r="V3" i="7"/>
  <c r="V28" i="7" s="1"/>
  <c r="V4" i="7"/>
  <c r="V29" i="7" s="1"/>
  <c r="V6" i="7"/>
  <c r="V31" i="7" s="1"/>
  <c r="V7" i="7"/>
  <c r="V32" i="7" s="1"/>
  <c r="V5" i="5"/>
  <c r="V6" i="5"/>
  <c r="V7" i="5"/>
  <c r="V30" i="5"/>
  <c r="V22" i="7"/>
  <c r="V17" i="5"/>
  <c r="U14" i="6"/>
  <c r="W3" i="7"/>
  <c r="W28" i="7" s="1"/>
  <c r="W4" i="7"/>
  <c r="W29" i="7" s="1"/>
  <c r="W6" i="7"/>
  <c r="W31" i="7" s="1"/>
  <c r="W7" i="7"/>
  <c r="W32" i="7" s="1"/>
  <c r="W5" i="5"/>
  <c r="W6" i="5"/>
  <c r="W7" i="5"/>
  <c r="W30" i="5"/>
  <c r="W22" i="7"/>
  <c r="W17" i="5"/>
  <c r="V14" i="6"/>
  <c r="X3" i="7"/>
  <c r="X28" i="7" s="1"/>
  <c r="X4" i="7"/>
  <c r="X29" i="7" s="1"/>
  <c r="X6" i="7"/>
  <c r="X31" i="7" s="1"/>
  <c r="X7" i="7"/>
  <c r="X32" i="7" s="1"/>
  <c r="X5" i="5"/>
  <c r="X6" i="5"/>
  <c r="X7" i="5"/>
  <c r="X30" i="5"/>
  <c r="X22" i="7"/>
  <c r="X17" i="5"/>
  <c r="O31" i="5"/>
  <c r="P31" i="5"/>
  <c r="N75" i="4"/>
  <c r="M59" i="6"/>
  <c r="O89" i="4"/>
  <c r="O91" i="4" s="1"/>
  <c r="O93" i="4" s="1"/>
  <c r="S44" i="5"/>
  <c r="W89" i="4"/>
  <c r="W91" i="4" s="1"/>
  <c r="W93" i="4" s="1"/>
  <c r="X44" i="5"/>
  <c r="V89" i="4"/>
  <c r="V91" i="4" s="1"/>
  <c r="V93" i="4" s="1"/>
  <c r="W44" i="5"/>
  <c r="K6" i="7"/>
  <c r="K31" i="7" s="1"/>
  <c r="E76" i="7"/>
  <c r="J37" i="7"/>
  <c r="J81" i="7" s="1"/>
  <c r="J75" i="7" s="1"/>
  <c r="L13" i="5"/>
  <c r="I5" i="7"/>
  <c r="I30" i="7" s="1"/>
  <c r="G6" i="7"/>
  <c r="G31" i="7" s="1"/>
  <c r="G3" i="7"/>
  <c r="G28" i="7" s="1"/>
  <c r="G5" i="5"/>
  <c r="I79" i="7"/>
  <c r="G6" i="5"/>
  <c r="G7" i="5"/>
  <c r="G4" i="7"/>
  <c r="G29" i="7" s="1"/>
  <c r="I14" i="6"/>
  <c r="L21" i="5"/>
  <c r="K6" i="5"/>
  <c r="E38" i="5"/>
  <c r="E29" i="5"/>
  <c r="L23" i="5"/>
  <c r="H22" i="7"/>
  <c r="G76" i="7"/>
  <c r="H7" i="5"/>
  <c r="L12" i="5"/>
  <c r="H6" i="5"/>
  <c r="J18" i="5"/>
  <c r="K29" i="5"/>
  <c r="K38" i="5"/>
  <c r="L8" i="5"/>
  <c r="L40" i="5"/>
  <c r="H30" i="5"/>
  <c r="H3" i="7"/>
  <c r="H28" i="7" s="1"/>
  <c r="H4" i="7"/>
  <c r="H29" i="7" s="1"/>
  <c r="L37" i="5"/>
  <c r="I30" i="5"/>
  <c r="J63" i="6"/>
  <c r="L46" i="5"/>
  <c r="H47" i="7"/>
  <c r="H48" i="7"/>
  <c r="K9" i="5"/>
  <c r="K5" i="7"/>
  <c r="K30" i="7" s="1"/>
  <c r="L25" i="5"/>
  <c r="J75" i="4"/>
  <c r="I59" i="6"/>
  <c r="I18" i="5"/>
  <c r="J29" i="5"/>
  <c r="I29" i="5"/>
  <c r="I38" i="5"/>
  <c r="J38" i="5"/>
  <c r="K4" i="7"/>
  <c r="K29" i="7" s="1"/>
  <c r="J23" i="7"/>
  <c r="J16" i="5"/>
  <c r="H9" i="5"/>
  <c r="H5" i="7"/>
  <c r="H30" i="7" s="1"/>
  <c r="J54" i="4"/>
  <c r="L22" i="5"/>
  <c r="G17" i="5"/>
  <c r="G16" i="5"/>
  <c r="G22" i="7"/>
  <c r="G23" i="7"/>
  <c r="H23" i="7"/>
  <c r="H16" i="5"/>
  <c r="H17" i="5"/>
  <c r="I23" i="7"/>
  <c r="I16" i="5"/>
  <c r="I22" i="7"/>
  <c r="I17" i="5"/>
  <c r="K16" i="5"/>
  <c r="K22" i="7"/>
  <c r="K23" i="7"/>
  <c r="K17" i="5"/>
  <c r="H37" i="7"/>
  <c r="H81" i="7" s="1"/>
  <c r="H75" i="7" s="1"/>
  <c r="H41" i="7"/>
  <c r="H82" i="7" s="1"/>
  <c r="H76" i="7" s="1"/>
  <c r="G38" i="5"/>
  <c r="F29" i="5"/>
  <c r="F38" i="5"/>
  <c r="F18" i="5"/>
  <c r="G29" i="5"/>
  <c r="H31" i="5"/>
  <c r="I31" i="5"/>
  <c r="G5" i="7"/>
  <c r="G30" i="7" s="1"/>
  <c r="G9" i="5"/>
  <c r="F41" i="7"/>
  <c r="F82" i="7" s="1"/>
  <c r="F76" i="7" s="1"/>
  <c r="F37" i="7"/>
  <c r="F81" i="7" s="1"/>
  <c r="F75" i="7" s="1"/>
  <c r="J76" i="7"/>
  <c r="K46" i="5"/>
  <c r="K22" i="5"/>
  <c r="K18" i="5"/>
  <c r="K12" i="5"/>
  <c r="K21" i="5"/>
  <c r="K13" i="5"/>
  <c r="I63" i="6"/>
  <c r="K8" i="5"/>
  <c r="K25" i="7"/>
  <c r="K49" i="7" s="1"/>
  <c r="K25" i="5"/>
  <c r="K23" i="5"/>
  <c r="K20" i="5"/>
  <c r="K24" i="7"/>
  <c r="K37" i="5"/>
  <c r="K14" i="7"/>
  <c r="K39" i="7" s="1"/>
  <c r="K21" i="7"/>
  <c r="K46" i="7" s="1"/>
  <c r="K18" i="7"/>
  <c r="K43" i="7" s="1"/>
  <c r="K19" i="7"/>
  <c r="K44" i="7" s="1"/>
  <c r="K82" i="7" s="1"/>
  <c r="K76" i="7" s="1"/>
  <c r="K7" i="7"/>
  <c r="K32" i="7" s="1"/>
  <c r="J14" i="6"/>
  <c r="L5" i="5"/>
  <c r="L7" i="5"/>
  <c r="L30" i="5"/>
  <c r="L6" i="5"/>
  <c r="L16" i="5"/>
  <c r="L17" i="5"/>
  <c r="K75" i="4"/>
  <c r="L13" i="7" s="1"/>
  <c r="L38" i="7" s="1"/>
  <c r="J60" i="6"/>
  <c r="L18" i="5"/>
  <c r="L29" i="5"/>
  <c r="L38" i="5"/>
  <c r="K52" i="4"/>
  <c r="K54" i="4" s="1"/>
  <c r="E30" i="5"/>
  <c r="E3" i="7"/>
  <c r="E28" i="7" s="1"/>
  <c r="E4" i="7"/>
  <c r="E29" i="7" s="1"/>
  <c r="E7" i="5"/>
  <c r="E6" i="7"/>
  <c r="E31" i="7" s="1"/>
  <c r="E5" i="5"/>
  <c r="C14" i="6"/>
  <c r="E7" i="7"/>
  <c r="E32" i="7" s="1"/>
  <c r="E6" i="5"/>
  <c r="E22" i="7"/>
  <c r="E17" i="5"/>
  <c r="G30" i="5"/>
  <c r="F17" i="5"/>
  <c r="F22" i="7"/>
  <c r="F7" i="7"/>
  <c r="F32" i="7" s="1"/>
  <c r="F6" i="5"/>
  <c r="F30" i="5"/>
  <c r="F6" i="7"/>
  <c r="F31" i="7" s="1"/>
  <c r="F5" i="5"/>
  <c r="F3" i="7"/>
  <c r="F28" i="7" s="1"/>
  <c r="F4" i="7"/>
  <c r="F29" i="7" s="1"/>
  <c r="F7" i="5"/>
  <c r="D14" i="6"/>
  <c r="J6" i="7"/>
  <c r="J31" i="7" s="1"/>
  <c r="J5" i="5"/>
  <c r="H14" i="6"/>
  <c r="J7" i="7"/>
  <c r="J32" i="7" s="1"/>
  <c r="J6" i="5"/>
  <c r="J4" i="7"/>
  <c r="J29" i="7" s="1"/>
  <c r="J7" i="5"/>
  <c r="J3" i="7"/>
  <c r="J28" i="7" s="1"/>
  <c r="J22" i="7"/>
  <c r="J17" i="5"/>
  <c r="J30" i="5"/>
  <c r="K30" i="5"/>
  <c r="F31" i="5"/>
  <c r="G31" i="5"/>
  <c r="L9" i="5" l="1"/>
  <c r="L5" i="7"/>
  <c r="L30" i="7" s="1"/>
  <c r="W12" i="7"/>
  <c r="U58" i="6"/>
  <c r="X12" i="7"/>
  <c r="V58" i="6"/>
  <c r="P12" i="7"/>
  <c r="N58" i="6"/>
  <c r="N85" i="4"/>
  <c r="O13" i="7"/>
  <c r="O38" i="7" s="1"/>
  <c r="O45" i="5"/>
  <c r="X47" i="7"/>
  <c r="X48" i="7"/>
  <c r="X5" i="7"/>
  <c r="X30" i="7" s="1"/>
  <c r="X79" i="7" s="1"/>
  <c r="X9" i="5"/>
  <c r="W47" i="7"/>
  <c r="W48" i="7"/>
  <c r="W5" i="7"/>
  <c r="W30" i="7" s="1"/>
  <c r="W79" i="7" s="1"/>
  <c r="W9" i="5"/>
  <c r="V47" i="7"/>
  <c r="V48" i="7"/>
  <c r="V5" i="7"/>
  <c r="V30" i="7" s="1"/>
  <c r="V79" i="7" s="1"/>
  <c r="V9" i="5"/>
  <c r="U47" i="7"/>
  <c r="U48" i="7"/>
  <c r="U5" i="7"/>
  <c r="U30" i="7" s="1"/>
  <c r="U9" i="5"/>
  <c r="T47" i="7"/>
  <c r="T48" i="7"/>
  <c r="T5" i="7"/>
  <c r="T30" i="7" s="1"/>
  <c r="T9" i="5"/>
  <c r="S47" i="7"/>
  <c r="S48" i="7"/>
  <c r="S5" i="7"/>
  <c r="S30" i="7" s="1"/>
  <c r="R9" i="5"/>
  <c r="R47" i="7"/>
  <c r="R48" i="7"/>
  <c r="R5" i="7"/>
  <c r="R30" i="7" s="1"/>
  <c r="Q9" i="5"/>
  <c r="Q47" i="7"/>
  <c r="Q48" i="7"/>
  <c r="Q5" i="7"/>
  <c r="Q30" i="7" s="1"/>
  <c r="P9" i="5"/>
  <c r="P47" i="7"/>
  <c r="P48" i="7"/>
  <c r="P5" i="7"/>
  <c r="P30" i="7" s="1"/>
  <c r="S9" i="5"/>
  <c r="O47" i="7"/>
  <c r="O48" i="7"/>
  <c r="O5" i="7"/>
  <c r="O30" i="7" s="1"/>
  <c r="O9" i="5"/>
  <c r="N47" i="7"/>
  <c r="N48" i="7"/>
  <c r="N5" i="7"/>
  <c r="N30" i="7" s="1"/>
  <c r="N9" i="5"/>
  <c r="M47" i="7"/>
  <c r="M48" i="7"/>
  <c r="M5" i="7"/>
  <c r="M30" i="7" s="1"/>
  <c r="M79" i="7" s="1"/>
  <c r="M9" i="5"/>
  <c r="X83" i="7"/>
  <c r="X77" i="7" s="1"/>
  <c r="W83" i="7"/>
  <c r="W77" i="7" s="1"/>
  <c r="P83" i="7"/>
  <c r="P77" i="7" s="1"/>
  <c r="O83" i="7"/>
  <c r="O77" i="7" s="1"/>
  <c r="X37" i="7"/>
  <c r="X81" i="7" s="1"/>
  <c r="X75" i="7" s="1"/>
  <c r="X41" i="7"/>
  <c r="X82" i="7" s="1"/>
  <c r="X76" i="7" s="1"/>
  <c r="W37" i="7"/>
  <c r="W81" i="7" s="1"/>
  <c r="W75" i="7" s="1"/>
  <c r="W41" i="7"/>
  <c r="W82" i="7" s="1"/>
  <c r="W76" i="7" s="1"/>
  <c r="V37" i="7"/>
  <c r="V41" i="7"/>
  <c r="V82" i="7" s="1"/>
  <c r="V76" i="7" s="1"/>
  <c r="U37" i="7"/>
  <c r="U41" i="7"/>
  <c r="U82" i="7" s="1"/>
  <c r="U76" i="7" s="1"/>
  <c r="T37" i="7"/>
  <c r="T41" i="7"/>
  <c r="T82" i="7" s="1"/>
  <c r="T76" i="7" s="1"/>
  <c r="S41" i="7"/>
  <c r="S82" i="7" s="1"/>
  <c r="S76" i="7" s="1"/>
  <c r="S37" i="7"/>
  <c r="R41" i="7"/>
  <c r="R82" i="7" s="1"/>
  <c r="R76" i="7" s="1"/>
  <c r="R37" i="7"/>
  <c r="Q37" i="7"/>
  <c r="Q81" i="7" s="1"/>
  <c r="Q75" i="7" s="1"/>
  <c r="Q41" i="7"/>
  <c r="Q82" i="7" s="1"/>
  <c r="Q76" i="7" s="1"/>
  <c r="P37" i="7"/>
  <c r="P81" i="7" s="1"/>
  <c r="P75" i="7" s="1"/>
  <c r="P41" i="7"/>
  <c r="P82" i="7" s="1"/>
  <c r="P76" i="7" s="1"/>
  <c r="O37" i="7"/>
  <c r="O41" i="7"/>
  <c r="O82" i="7" s="1"/>
  <c r="O76" i="7" s="1"/>
  <c r="N37" i="7"/>
  <c r="N41" i="7"/>
  <c r="N82" i="7" s="1"/>
  <c r="N76" i="7" s="1"/>
  <c r="M37" i="7"/>
  <c r="M41" i="7"/>
  <c r="M82" i="7" s="1"/>
  <c r="M76" i="7" s="1"/>
  <c r="Q12" i="7"/>
  <c r="O58" i="6"/>
  <c r="U81" i="7"/>
  <c r="U75" i="7" s="1"/>
  <c r="T89" i="4"/>
  <c r="T91" i="4" s="1"/>
  <c r="T93" i="4" s="1"/>
  <c r="U44" i="5"/>
  <c r="L85" i="4"/>
  <c r="M13" i="7"/>
  <c r="M38" i="7" s="1"/>
  <c r="M81" i="7" s="1"/>
  <c r="M75" i="7" s="1"/>
  <c r="M45" i="5"/>
  <c r="U85" i="4"/>
  <c r="V13" i="7"/>
  <c r="V38" i="7" s="1"/>
  <c r="V81" i="7" s="1"/>
  <c r="V75" i="7" s="1"/>
  <c r="V45" i="5"/>
  <c r="M85" i="4"/>
  <c r="N13" i="7"/>
  <c r="N38" i="7" s="1"/>
  <c r="N81" i="7" s="1"/>
  <c r="N75" i="7" s="1"/>
  <c r="N45" i="5"/>
  <c r="S85" i="4"/>
  <c r="T13" i="7"/>
  <c r="T38" i="7" s="1"/>
  <c r="T81" i="7" s="1"/>
  <c r="T75" i="7" s="1"/>
  <c r="T45" i="5"/>
  <c r="R85" i="4"/>
  <c r="S13" i="7"/>
  <c r="S38" i="7" s="1"/>
  <c r="R45" i="5"/>
  <c r="Q85" i="4"/>
  <c r="R13" i="7"/>
  <c r="R38" i="7" s="1"/>
  <c r="Q45" i="5"/>
  <c r="L37" i="7"/>
  <c r="L81" i="7" s="1"/>
  <c r="L75" i="7" s="1"/>
  <c r="L41" i="7"/>
  <c r="L82" i="7" s="1"/>
  <c r="L76" i="7" s="1"/>
  <c r="L47" i="7"/>
  <c r="L48" i="7"/>
  <c r="L79" i="7"/>
  <c r="I85" i="7"/>
  <c r="I88" i="7" s="1"/>
  <c r="I73" i="7"/>
  <c r="I86" i="7" s="1"/>
  <c r="I87" i="7" s="1"/>
  <c r="G79" i="7"/>
  <c r="H79" i="7"/>
  <c r="H73" i="7" s="1"/>
  <c r="K79" i="7"/>
  <c r="K73" i="7" s="1"/>
  <c r="K86" i="7" s="1"/>
  <c r="K87" i="7" s="1"/>
  <c r="J85" i="4"/>
  <c r="K45" i="5"/>
  <c r="K13" i="7"/>
  <c r="K38" i="7" s="1"/>
  <c r="K81" i="7" s="1"/>
  <c r="K75" i="7" s="1"/>
  <c r="G48" i="7"/>
  <c r="G47" i="7"/>
  <c r="I47" i="7"/>
  <c r="I48" i="7"/>
  <c r="K47" i="7"/>
  <c r="K48" i="7"/>
  <c r="K85" i="4"/>
  <c r="L45" i="5"/>
  <c r="J47" i="7"/>
  <c r="J48" i="7"/>
  <c r="J5" i="7"/>
  <c r="J30" i="7" s="1"/>
  <c r="J9" i="5"/>
  <c r="F9" i="5"/>
  <c r="F5" i="7"/>
  <c r="F30" i="7" s="1"/>
  <c r="F47" i="7"/>
  <c r="F48" i="7"/>
  <c r="E48" i="7"/>
  <c r="E47" i="7"/>
  <c r="E9" i="5"/>
  <c r="E5" i="7"/>
  <c r="E30" i="7" s="1"/>
  <c r="L73" i="7" l="1"/>
  <c r="L86" i="7" s="1"/>
  <c r="L87" i="7" s="1"/>
  <c r="L83" i="7"/>
  <c r="Q89" i="4"/>
  <c r="Q91" i="4" s="1"/>
  <c r="Q93" i="4" s="1"/>
  <c r="Q44" i="5"/>
  <c r="R89" i="4"/>
  <c r="R91" i="4" s="1"/>
  <c r="R93" i="4" s="1"/>
  <c r="R44" i="5"/>
  <c r="S89" i="4"/>
  <c r="S91" i="4" s="1"/>
  <c r="S93" i="4" s="1"/>
  <c r="T44" i="5"/>
  <c r="M89" i="4"/>
  <c r="M91" i="4" s="1"/>
  <c r="M93" i="4" s="1"/>
  <c r="N44" i="5"/>
  <c r="U89" i="4"/>
  <c r="U91" i="4" s="1"/>
  <c r="U93" i="4" s="1"/>
  <c r="V44" i="5"/>
  <c r="L89" i="4"/>
  <c r="L91" i="4" s="1"/>
  <c r="L93" i="4" s="1"/>
  <c r="M44" i="5"/>
  <c r="U12" i="7"/>
  <c r="S58" i="6"/>
  <c r="R81" i="7"/>
  <c r="R75" i="7" s="1"/>
  <c r="S81" i="7"/>
  <c r="S75" i="7" s="1"/>
  <c r="M73" i="7"/>
  <c r="M86" i="7" s="1"/>
  <c r="M87" i="7" s="1"/>
  <c r="M83" i="7"/>
  <c r="N83" i="7"/>
  <c r="N77" i="7" s="1"/>
  <c r="T83" i="7"/>
  <c r="T77" i="7" s="1"/>
  <c r="U83" i="7"/>
  <c r="U77" i="7" s="1"/>
  <c r="V73" i="7"/>
  <c r="V86" i="7" s="1"/>
  <c r="V87" i="7" s="1"/>
  <c r="V83" i="7"/>
  <c r="W85" i="7"/>
  <c r="W88" i="7" s="1"/>
  <c r="W73" i="7"/>
  <c r="W86" i="7" s="1"/>
  <c r="W87" i="7" s="1"/>
  <c r="X85" i="7"/>
  <c r="X88" i="7" s="1"/>
  <c r="X73" i="7"/>
  <c r="X86" i="7" s="1"/>
  <c r="X87" i="7" s="1"/>
  <c r="O81" i="7"/>
  <c r="O75" i="7" s="1"/>
  <c r="N89" i="4"/>
  <c r="N91" i="4" s="1"/>
  <c r="N93" i="4" s="1"/>
  <c r="O44" i="5"/>
  <c r="G73" i="7"/>
  <c r="G86" i="7" s="1"/>
  <c r="G87" i="7" s="1"/>
  <c r="G85" i="7"/>
  <c r="G88" i="7" s="1"/>
  <c r="K83" i="7"/>
  <c r="K77" i="7" s="1"/>
  <c r="J89" i="4"/>
  <c r="J91" i="4" s="1"/>
  <c r="J93" i="4" s="1"/>
  <c r="K44" i="5"/>
  <c r="K89" i="4"/>
  <c r="K91" i="4" s="1"/>
  <c r="K93" i="4" s="1"/>
  <c r="L44" i="5"/>
  <c r="J58" i="6" l="1"/>
  <c r="L12" i="7"/>
  <c r="O12" i="7"/>
  <c r="M58" i="6"/>
  <c r="V77" i="7"/>
  <c r="V85" i="7"/>
  <c r="V88" i="7" s="1"/>
  <c r="M77" i="7"/>
  <c r="M85" i="7"/>
  <c r="M88" i="7" s="1"/>
  <c r="M12" i="7"/>
  <c r="K58" i="6"/>
  <c r="V12" i="7"/>
  <c r="T58" i="6"/>
  <c r="N12" i="7"/>
  <c r="L58" i="6"/>
  <c r="T12" i="7"/>
  <c r="R58" i="6"/>
  <c r="S12" i="7"/>
  <c r="Q58" i="6"/>
  <c r="R12" i="7"/>
  <c r="P58" i="6"/>
  <c r="L77" i="7"/>
  <c r="L85" i="7"/>
  <c r="L88" i="7" s="1"/>
  <c r="K85" i="7"/>
  <c r="K88" i="7" s="1"/>
  <c r="K12" i="7"/>
  <c r="I58" i="6"/>
  <c r="J79" i="7"/>
  <c r="J73" i="7" s="1"/>
  <c r="J86" i="7" s="1"/>
  <c r="J87" i="7" s="1"/>
  <c r="F79" i="7"/>
  <c r="F85" i="7" s="1"/>
  <c r="F88" i="7" s="1"/>
  <c r="E79" i="7"/>
  <c r="E85" i="7" s="1"/>
  <c r="E88" i="7" s="1"/>
  <c r="J85" i="7"/>
  <c r="J88" i="7" s="1"/>
  <c r="F73" i="7" l="1"/>
  <c r="F86" i="7" s="1"/>
  <c r="F87" i="7" s="1"/>
  <c r="E73" i="7"/>
  <c r="E86" i="7" s="1"/>
  <c r="E87" i="7" s="1"/>
  <c r="S83" i="7"/>
  <c r="S77" i="7"/>
  <c r="S79" i="7"/>
  <c r="R83" i="7"/>
  <c r="R77" i="7"/>
  <c r="R79" i="7"/>
  <c r="T79" i="7"/>
  <c r="P79" i="7"/>
  <c r="U79" i="7"/>
  <c r="O79" i="7"/>
  <c r="Q79" i="7"/>
  <c r="Q83" i="7"/>
  <c r="Q77" i="7"/>
  <c r="N79" i="7"/>
  <c r="N85" i="7"/>
  <c r="N88" i="7"/>
  <c r="N73" i="7"/>
  <c r="N86" i="7"/>
  <c r="N87" i="7"/>
  <c r="P85" i="7"/>
  <c r="P88" i="7"/>
  <c r="P73" i="7"/>
  <c r="P86" i="7"/>
  <c r="P87" i="7"/>
  <c r="S85" i="7"/>
  <c r="S88" i="7"/>
  <c r="S73" i="7"/>
  <c r="S86" i="7"/>
  <c r="S87" i="7"/>
  <c r="T73" i="7"/>
  <c r="T86" i="7"/>
  <c r="T87" i="7"/>
  <c r="T85" i="7"/>
  <c r="T88" i="7"/>
  <c r="Q85" i="7"/>
  <c r="Q88" i="7"/>
  <c r="Q73" i="7"/>
  <c r="Q86" i="7"/>
  <c r="Q87" i="7"/>
  <c r="R73" i="7"/>
  <c r="R86" i="7"/>
  <c r="R87" i="7"/>
  <c r="R85" i="7"/>
  <c r="R88" i="7"/>
  <c r="U73" i="7"/>
  <c r="U86" i="7"/>
  <c r="U87" i="7"/>
  <c r="U85" i="7"/>
  <c r="U88" i="7"/>
  <c r="O85" i="7"/>
  <c r="O88" i="7"/>
  <c r="O73" i="7"/>
  <c r="O86" i="7"/>
  <c r="O8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IORETA</author>
  </authors>
  <commentList>
    <comment ref="F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Start Date:</t>
        </r>
        <r>
          <rPr>
            <sz val="9"/>
            <color indexed="81"/>
            <rFont val="Tahoma"/>
            <family val="2"/>
          </rPr>
          <t xml:space="preserve">
Start Date Of The Year</t>
        </r>
      </text>
    </comment>
    <comment ref="F6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End Date:</t>
        </r>
        <r>
          <rPr>
            <sz val="9"/>
            <color indexed="81"/>
            <rFont val="Tahoma"/>
            <family val="2"/>
          </rPr>
          <t xml:space="preserve">
End Date Of Reporting Month</t>
        </r>
      </text>
    </comment>
  </commentList>
</comments>
</file>

<file path=xl/sharedStrings.xml><?xml version="1.0" encoding="utf-8"?>
<sst xmlns="http://schemas.openxmlformats.org/spreadsheetml/2006/main" count="501" uniqueCount="350">
  <si>
    <t>DEFENCE SACCO</t>
  </si>
  <si>
    <t>Base Year</t>
  </si>
  <si>
    <t>Audit 2015</t>
  </si>
  <si>
    <t>Audit 2016</t>
  </si>
  <si>
    <t>Audit 2017</t>
  </si>
  <si>
    <t>Audited 2018</t>
  </si>
  <si>
    <t>Audited 2019</t>
  </si>
  <si>
    <t>Audited 2020</t>
  </si>
  <si>
    <t>Audited 2021</t>
  </si>
  <si>
    <t>Audited-2022</t>
  </si>
  <si>
    <t>Cash and Cash Equivalent</t>
  </si>
  <si>
    <t>Cash in Hand</t>
  </si>
  <si>
    <t>Cash at Bank</t>
  </si>
  <si>
    <t>Prepayments and Sundry Receivables</t>
  </si>
  <si>
    <t>Financial Investments</t>
  </si>
  <si>
    <t>Government Securities</t>
  </si>
  <si>
    <t>Other Securities</t>
  </si>
  <si>
    <t>Balances with other SACCO Societies</t>
  </si>
  <si>
    <t>Investments in companies</t>
  </si>
  <si>
    <t>Net Loan Portfolio</t>
  </si>
  <si>
    <t>Gross Loan Portfolio</t>
  </si>
  <si>
    <t>Allowance for Loan Loss</t>
  </si>
  <si>
    <t>Account Receivables</t>
  </si>
  <si>
    <t>Tax Recoverable</t>
  </si>
  <si>
    <t>Deferred Tax Assets</t>
  </si>
  <si>
    <t>Retirement Benefit Assets</t>
  </si>
  <si>
    <t>Property and Equipment and 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</si>
  <si>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</si>
  <si>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</si>
  <si>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</si>
  <si>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</si>
  <si>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</si>
  <si>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</si>
  <si>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Deposits</t>
  </si>
  <si>
    <t>Short Term Deposits</t>
  </si>
  <si>
    <t>Non withdrawable Deposits</t>
  </si>
  <si>
    <t>Total Deposit Liabilities</t>
  </si>
  <si>
    <t>Accounts Payable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</si>
  <si>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</si>
  <si>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</si>
  <si>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</si>
  <si>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</si>
  <si>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</si>
  <si>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</si>
  <si>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</si>
  <si>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Share Capital</t>
  </si>
  <si>
    <t>Capital Grants</t>
  </si>
  <si>
    <t>Retained Earnings</t>
  </si>
  <si>
    <t>Prior Year Retained Earnings</t>
  </si>
  <si>
    <t>Current Year Surplus</t>
  </si>
  <si>
    <t>Other Equity Accounts</t>
  </si>
  <si>
    <t>Statutory Reserve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</si>
  <si>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</si>
  <si>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</si>
  <si>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</si>
  <si>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</si>
  <si>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</si>
  <si>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</si>
  <si>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Suspense  (Balancing Figure capital side)</t>
  </si>
  <si>
    <t>Adjustment to Equity</t>
  </si>
  <si>
    <t>Sacco Name</t>
  </si>
  <si>
    <t>AUDITED YEAR TO</t>
  </si>
  <si>
    <t>Financial Income</t>
  </si>
  <si>
    <t>Financial Income from Loans Portfolio</t>
  </si>
  <si>
    <t>Interest on Loan Portfolio</t>
  </si>
  <si>
    <t>Fees and Commission on Loan Portfolio</t>
  </si>
  <si>
    <t>Financial Income From Investments</t>
  </si>
  <si>
    <t>Deposits with Banks and other Financial Institutions</t>
  </si>
  <si>
    <t>Other Investments</t>
  </si>
  <si>
    <t>Other Operating Income</t>
  </si>
  <si>
    <t>Financial Expense</t>
  </si>
  <si>
    <t>Interest Expense on Deposits</t>
  </si>
  <si>
    <t>Cost of External Borrowings</t>
  </si>
  <si>
    <t>Dividend Expenses</t>
  </si>
  <si>
    <t>Other Financial Expense</t>
  </si>
  <si>
    <t>Fees and Commission Expense</t>
  </si>
  <si>
    <t>Other Expense</t>
  </si>
  <si>
    <t>Net Financial Income</t>
  </si>
  <si>
    <t>Allowance For Loan Loss</t>
  </si>
  <si>
    <t>Provsion for Loan Losses</t>
  </si>
  <si>
    <t>Value of Loans Recovered</t>
  </si>
  <si>
    <t>Operating Expenses</t>
  </si>
  <si>
    <t>Personnel Expenses</t>
  </si>
  <si>
    <t>Governance Expenses</t>
  </si>
  <si>
    <t>Marketing Expenses</t>
  </si>
  <si>
    <t>Depreciation and Amortization Charges</t>
  </si>
  <si>
    <t>Administrative Expenses</t>
  </si>
  <si>
    <t>Net Operating Income</t>
  </si>
  <si>
    <t>Net Non Operating Income</t>
  </si>
  <si>
    <t>Non Operating Income</t>
  </si>
  <si>
    <t>Non Operating Expense</t>
  </si>
  <si>
    <t>Net Income before tax</t>
  </si>
  <si>
    <t>Taxes</t>
  </si>
  <si>
    <t>Net Income After Tax Before Donations</t>
  </si>
  <si>
    <t>Donations</t>
  </si>
  <si>
    <t>Net Income</t>
  </si>
  <si>
    <t>Share of Financial Sector Total Assets to National GDP</t>
  </si>
  <si>
    <t>Year</t>
  </si>
  <si>
    <t>Nominal GDP(Millions)</t>
  </si>
  <si>
    <t>Industry/Indicator</t>
  </si>
  <si>
    <t>Total Assets KShs B)</t>
  </si>
  <si>
    <t>Share of GDP</t>
  </si>
  <si>
    <t>Banks excl MFB</t>
  </si>
  <si>
    <t>Microfinance Banks</t>
  </si>
  <si>
    <t>Insurance</t>
  </si>
  <si>
    <t>Pension</t>
  </si>
  <si>
    <t>SACCO's</t>
  </si>
  <si>
    <t>KEY FINANCIAL SECTOR PERFORMANCE INDICATORS</t>
  </si>
  <si>
    <t>DT-SACCOS</t>
  </si>
  <si>
    <t>COMMERCIAL BANKS</t>
  </si>
  <si>
    <t>MICROFINANCE BANKS</t>
  </si>
  <si>
    <t>PARAMETER</t>
  </si>
  <si>
    <t>No of Institutions</t>
  </si>
  <si>
    <t>No of branches</t>
  </si>
  <si>
    <t>Total Asset (KShs B)</t>
  </si>
  <si>
    <t>Gross Loans (KShs B)</t>
  </si>
  <si>
    <t>Customer deposits</t>
  </si>
  <si>
    <t>NPL</t>
  </si>
  <si>
    <t>YtY % change</t>
  </si>
  <si>
    <t>No of DTS</t>
  </si>
  <si>
    <t>Total Deposits</t>
  </si>
  <si>
    <t>Gross Loans</t>
  </si>
  <si>
    <t>Capital &amp; Reserves</t>
  </si>
  <si>
    <t>Core Capital</t>
  </si>
  <si>
    <t>FINANCIAL SOUNDNESS INDICATORS</t>
  </si>
  <si>
    <t>Prescribed Minimum</t>
  </si>
  <si>
    <t>CAPITAL ADEQUACY</t>
  </si>
  <si>
    <t>KShs 10 M</t>
  </si>
  <si>
    <t>Core Capital/Total Assets</t>
  </si>
  <si>
    <t>Core Capital/Total Deposits</t>
  </si>
  <si>
    <t>Institutional Capital/Total Assets</t>
  </si>
  <si>
    <t>ASSET QUALITY</t>
  </si>
  <si>
    <t>Non-performing loans to Gross Loans</t>
  </si>
  <si>
    <t>NPL net of provisions to Core capital</t>
  </si>
  <si>
    <t>Earning Assets to Total Assets</t>
  </si>
  <si>
    <t>EARNING RATING</t>
  </si>
  <si>
    <t>Return on Assets</t>
  </si>
  <si>
    <t>Cost Income ratio</t>
  </si>
  <si>
    <t>Operating Expense/Total Assets</t>
  </si>
  <si>
    <t>LIQUIDITY</t>
  </si>
  <si>
    <t>Liquid Assets/Short term Liabilities</t>
  </si>
  <si>
    <t>Liquid Assets/Total Deposits</t>
  </si>
  <si>
    <t>Gross Loans/Total Deposits</t>
  </si>
  <si>
    <t>DEFENCE SACCO FINANCIALS</t>
  </si>
  <si>
    <t>Base</t>
  </si>
  <si>
    <t>Audit 2018</t>
  </si>
  <si>
    <t>Membership</t>
  </si>
  <si>
    <t>Deposits-Members(BOSA)</t>
  </si>
  <si>
    <t>Deposits-Customers(FOSA)</t>
  </si>
  <si>
    <t xml:space="preserve">External Borrowing </t>
  </si>
  <si>
    <t>Short term Liabilities</t>
  </si>
  <si>
    <t>Share capital and Reserves</t>
  </si>
  <si>
    <t>Institutional  Capital</t>
  </si>
  <si>
    <t>Total Capital</t>
  </si>
  <si>
    <t>5.3.1</t>
  </si>
  <si>
    <t>Members Share Capital</t>
  </si>
  <si>
    <t>5.3.3</t>
  </si>
  <si>
    <t>5.3.5</t>
  </si>
  <si>
    <t>Statutory Reserves</t>
  </si>
  <si>
    <t>5.3.6</t>
  </si>
  <si>
    <t>Capital Reserve</t>
  </si>
  <si>
    <t>Capital grant</t>
  </si>
  <si>
    <t>5.3.7</t>
  </si>
  <si>
    <t>Supplementary Capital &amp; reserves</t>
  </si>
  <si>
    <t>a</t>
  </si>
  <si>
    <t>b</t>
  </si>
  <si>
    <t>Investments</t>
  </si>
  <si>
    <t>Investments in Coop bank, CIC, Kuscco, Kerussu &amp; Codic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</si>
  <si>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</si>
  <si>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</si>
  <si>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</si>
  <si>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</si>
  <si>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</si>
  <si>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 Performing Loans NPL30</t>
  </si>
  <si>
    <t>Non Performing Loans  A/L NPL30</t>
  </si>
  <si>
    <t>Required loan loss provision</t>
  </si>
  <si>
    <t>Cash and Cash equipments</t>
  </si>
  <si>
    <t>Non-Earning Assets</t>
  </si>
  <si>
    <t>Land and Building</t>
  </si>
  <si>
    <t>Turnover</t>
  </si>
  <si>
    <t>Loan Interest</t>
  </si>
  <si>
    <t>Income from investments</t>
  </si>
  <si>
    <t>Fees &amp; Commissions</t>
  </si>
  <si>
    <t>Average yield on loans</t>
  </si>
  <si>
    <t>Total Expenses (FinCosts + OpEx)</t>
  </si>
  <si>
    <t>Financial Exp. (Interest on deposits)</t>
  </si>
  <si>
    <t>Financial Exp. (Dividends)</t>
  </si>
  <si>
    <t>Financial Exp. (Interest on bank loans)</t>
  </si>
  <si>
    <t>Other Financial Expenses</t>
  </si>
  <si>
    <t>LLP</t>
  </si>
  <si>
    <t>Net Surplus</t>
  </si>
  <si>
    <t>Total Income</t>
  </si>
  <si>
    <t>Total Expenses</t>
  </si>
  <si>
    <t>Liquid Assets</t>
  </si>
  <si>
    <t>Short Term Liabilities + Deposits</t>
  </si>
  <si>
    <t>Average Assets</t>
  </si>
  <si>
    <t>core Capital</t>
  </si>
  <si>
    <t>Institutional Capital</t>
  </si>
  <si>
    <t>Average Gross Loans</t>
  </si>
  <si>
    <t>Prude.  Std</t>
  </si>
  <si>
    <t>Ref. #</t>
  </si>
  <si>
    <t>AUDIT 2018</t>
  </si>
  <si>
    <t>CAPITAL ADEQUACY REQUIREMENTS</t>
  </si>
  <si>
    <t xml:space="preserve">Core capital </t>
  </si>
  <si>
    <t>≥ Ksh.10M</t>
  </si>
  <si>
    <t>9.a</t>
  </si>
  <si>
    <t>Core capital /Total Assets</t>
  </si>
  <si>
    <t>≥ 10%</t>
  </si>
  <si>
    <t>9.b</t>
  </si>
  <si>
    <t>Core capital /Total Deposits</t>
  </si>
  <si>
    <t>≥ 8%</t>
  </si>
  <si>
    <t>9.d</t>
  </si>
  <si>
    <t>Share Capital/Total Assets</t>
  </si>
  <si>
    <t>≤2%</t>
  </si>
  <si>
    <t>9.c</t>
  </si>
  <si>
    <t>ASSET MIX AND QUALITY</t>
  </si>
  <si>
    <t>Non Earning Assets</t>
  </si>
  <si>
    <t>2.1.1</t>
  </si>
  <si>
    <t>Non earning Assets/Total assets</t>
  </si>
  <si>
    <t>≤ 10%</t>
  </si>
  <si>
    <t>2.1.2</t>
  </si>
  <si>
    <t xml:space="preserve">Property and Equipment/Total Assets </t>
  </si>
  <si>
    <t>≤ 5%</t>
  </si>
  <si>
    <t>2.1.3</t>
  </si>
  <si>
    <t xml:space="preserve">Non Performing loans/Gross Loans </t>
  </si>
  <si>
    <t>≤ 6%</t>
  </si>
  <si>
    <t>Earning Assets</t>
  </si>
  <si>
    <t>2.2.1</t>
  </si>
  <si>
    <t>Equities &amp; Investments/Deposits</t>
  </si>
  <si>
    <t>2.2.2</t>
  </si>
  <si>
    <t>Equities &amp; Investments/Core Capital</t>
  </si>
  <si>
    <t>≤ 40%</t>
  </si>
  <si>
    <t>2.2.3</t>
  </si>
  <si>
    <t>Net Loans &amp; advances /Total assets</t>
  </si>
  <si>
    <t>NPR</t>
  </si>
  <si>
    <t>FUNDING MIX</t>
  </si>
  <si>
    <t>Total Deposits/Total Assets</t>
  </si>
  <si>
    <t>3.1.1</t>
  </si>
  <si>
    <t>BOSA Deposits/Total Assets</t>
  </si>
  <si>
    <t>3.1.2</t>
  </si>
  <si>
    <t>FOSA Deposits/Total Assets</t>
  </si>
  <si>
    <t>External Borrowing/Total assets</t>
  </si>
  <si>
    <t>≤ 25%</t>
  </si>
  <si>
    <t>GROWTH RATIOS</t>
  </si>
  <si>
    <t>4.2.1</t>
  </si>
  <si>
    <t>FOSA Deposits</t>
  </si>
  <si>
    <t>4.2.2</t>
  </si>
  <si>
    <t>BOSA Deposits</t>
  </si>
  <si>
    <t>Core capital</t>
  </si>
  <si>
    <t>Total Gross Income</t>
  </si>
  <si>
    <t xml:space="preserve">Efficiency Ratios </t>
  </si>
  <si>
    <t>FinCost-Deposits/Average Deposits</t>
  </si>
  <si>
    <t>FinCost-Shares/Average Share capital</t>
  </si>
  <si>
    <t>FinCost-Ext Loans/Average Ext Loans</t>
  </si>
  <si>
    <t>OpEx/Average Total Assets</t>
  </si>
  <si>
    <t xml:space="preserve">Avge yield on Net loans </t>
  </si>
  <si>
    <t>Liquidity Ratio</t>
  </si>
  <si>
    <t xml:space="preserve">Liquid Assets - ST Liabilities/ Deposits </t>
  </si>
  <si>
    <t>Loan Loss Provisions Ratios</t>
  </si>
  <si>
    <t>Actual LLP / Required LLP</t>
  </si>
  <si>
    <t>Earnings</t>
  </si>
  <si>
    <t>ROA</t>
  </si>
  <si>
    <t>C/I Ratio</t>
  </si>
  <si>
    <t>OE Ratio</t>
  </si>
  <si>
    <t>Audit 2013</t>
  </si>
  <si>
    <t>Audit 2014</t>
  </si>
  <si>
    <t>AUDITED-2022</t>
  </si>
  <si>
    <t>INDICATORS</t>
  </si>
  <si>
    <t>CORE CAPITAL</t>
  </si>
  <si>
    <t>10M</t>
  </si>
  <si>
    <t>CCA</t>
  </si>
  <si>
    <t>Min 10%</t>
  </si>
  <si>
    <t>ICA</t>
  </si>
  <si>
    <t>Min 8%</t>
  </si>
  <si>
    <t>CCD</t>
  </si>
  <si>
    <t>Adjusted CCA</t>
  </si>
  <si>
    <t>NPL30</t>
  </si>
  <si>
    <t>A/L NPL30</t>
  </si>
  <si>
    <t>EARNINGS</t>
  </si>
  <si>
    <t>C/I ratio</t>
  </si>
  <si>
    <t>OE ratio</t>
  </si>
  <si>
    <t>W NLIQ ratio</t>
  </si>
  <si>
    <t>Min 15%</t>
  </si>
  <si>
    <t>T NLIQ ratio</t>
  </si>
  <si>
    <t>EB ratio</t>
  </si>
  <si>
    <t>Max 25%</t>
  </si>
  <si>
    <t>LIQ to TA ratio</t>
  </si>
  <si>
    <t>STRUCTURE OF ASSETS</t>
  </si>
  <si>
    <t>LB ratio</t>
  </si>
  <si>
    <t>Max 5%</t>
  </si>
  <si>
    <t>FICC</t>
  </si>
  <si>
    <t>Max 40%</t>
  </si>
  <si>
    <t>FITD</t>
  </si>
  <si>
    <t>Gross Loans/TA</t>
  </si>
  <si>
    <t>NEA</t>
  </si>
  <si>
    <t>Max 10%</t>
  </si>
  <si>
    <t>RATING PARAMETERS</t>
  </si>
  <si>
    <t>CAPITAL</t>
  </si>
  <si>
    <t>INDICATOR WEIGHTS</t>
  </si>
  <si>
    <t>CCA (Min 10%)</t>
  </si>
  <si>
    <t>ICA (Min 8%)</t>
  </si>
  <si>
    <t>CCD (Min 8%)</t>
  </si>
  <si>
    <t>LB ratio (Max 5%)</t>
  </si>
  <si>
    <t>FICC (Max 40%)</t>
  </si>
  <si>
    <t>FITD (Max 5%)</t>
  </si>
  <si>
    <t>NEA (Max 10%)</t>
  </si>
  <si>
    <t>COMPONENT RATINGS</t>
  </si>
  <si>
    <t>STRUCTURE</t>
  </si>
  <si>
    <t>CONDITIONAL COMPONENT RATINGS</t>
  </si>
  <si>
    <t>COMPOSITE RATINGS</t>
  </si>
  <si>
    <t>CONDITION RATING</t>
  </si>
  <si>
    <t>AVERAGE OF COMP RATINGS</t>
  </si>
  <si>
    <t>COMPLIANCE RATING SOFT</t>
  </si>
  <si>
    <t>FINAL RATING</t>
  </si>
  <si>
    <t>In the Law only</t>
  </si>
  <si>
    <t>FORM 4 SASRA2/004</t>
  </si>
  <si>
    <t>RISK CLASSIFICATION OF ASSETS AND PROVISIONING</t>
  </si>
  <si>
    <t>SACCO SOCIETY CS NUMBER</t>
  </si>
  <si>
    <t>9231</t>
  </si>
  <si>
    <t xml:space="preserve">FINANCIAL YEAR </t>
  </si>
  <si>
    <t>START DATE:</t>
  </si>
  <si>
    <t>1/1/2019</t>
  </si>
  <si>
    <t>END DATE:</t>
  </si>
  <si>
    <t>31/12/2019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</si>
  <si>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</si>
  <si>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</si>
  <si>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</si>
  <si>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</si>
  <si>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</si>
  <si>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</si>
  <si>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</si>
  <si>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</si>
  <si>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</si>
  <si>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</si>
  <si>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</si>
  <si>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</si>
  <si>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</si>
  <si>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</si>
  <si>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 xml:space="preserve">                                                                                                                                                                              </t>
  </si>
  <si>
    <t>GRAND TOTAL</t>
  </si>
  <si>
    <t>PAR</t>
  </si>
  <si>
    <t>provision for loan loss</t>
  </si>
  <si>
    <r>
      <t>Note:</t>
    </r>
    <r>
      <rPr>
        <sz val="10.5"/>
        <rFont val="Cambria"/>
        <family val="1"/>
      </rPr>
      <t xml:space="preserve"> This return should be received on or before the 15th day of the month following end of every  quarter </t>
    </r>
  </si>
  <si>
    <t>Allowance for Loan Loss 2018 Audited accts</t>
  </si>
  <si>
    <t>AUTHORIZATION:</t>
  </si>
  <si>
    <t xml:space="preserve"> We declare that this return, to the best of our knowledge and belief is correct.</t>
  </si>
  <si>
    <t>………………………………………………………....         sign ………………….…………….   date……………………………</t>
  </si>
  <si>
    <t>Name of Authorizing Officer</t>
  </si>
  <si>
    <t>………………………………………………………...           sign………………………………     date…………………………….</t>
  </si>
  <si>
    <t>Name of Countersigning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</si>
</sst>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-* #,##0.00_-;\-* #,##0.00_-;_-* &quot;-&quot;??_-;_-@_-"/>
    <numFmt numFmtId="165" formatCode="&quot;£&quot;#,##0;\-&quot;£&quot;#,##0"/>
    <numFmt numFmtId="166" formatCode="_(* #,##0_);_(* \(#,##0\);_(* &quot;-&quot;??_);_(@_)"/>
    <numFmt numFmtId="167" formatCode="_(* #,##0.00_);_(* \(#,##0.00\);_(* \-??_);_(@_)"/>
    <numFmt numFmtId="168" formatCode="[$-10409]#,##0.00;\-\ #,##0.00"/>
    <numFmt numFmtId="169" formatCode="d/mmm/yy"/>
    <numFmt numFmtId="170" formatCode="\£#,##0;&quot;-£&quot;#,##0"/>
    <numFmt numFmtId="171" formatCode="_-* #,##0.00_-;\-* #,##0.00_-;_-* \-??_-;_-@_-"/>
    <numFmt numFmtId="172" formatCode="0.0"/>
    <numFmt numFmtId="173" formatCode="0.0%"/>
    <numFmt numFmtId="174" formatCode="#,##0.00_);\-#,##0.00"/>
    <numFmt numFmtId="175" formatCode="[$-10409]0.00;\-\ 0.00"/>
    <numFmt numFmtId="176" formatCode="[$-409]mmm/yy;@"/>
    <numFmt numFmtId="177" formatCode="_(* #,##0.0_);_(* \(#,##0.0\);_(* \-??_);_(@_)"/>
  </numFmts>
  <fonts count="6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Cambria"/>
      <family val="1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8"/>
      <color indexed="8"/>
      <name val="Trebuchet MS"/>
      <family val="2"/>
    </font>
    <font>
      <b/>
      <sz val="8.3000000000000007"/>
      <color indexed="8"/>
      <name val="Arial"/>
      <family val="2"/>
    </font>
    <font>
      <sz val="10"/>
      <name val="Arial Narrow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Cambria"/>
      <family val="1"/>
    </font>
    <font>
      <sz val="10"/>
      <name val="Arial"/>
      <family val="2"/>
    </font>
    <font>
      <b/>
      <sz val="14"/>
      <color indexed="8"/>
      <name val="Times New Roman"/>
      <family val="1"/>
    </font>
    <font>
      <b/>
      <sz val="10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b/>
      <sz val="10.5"/>
      <name val="Cambria"/>
      <family val="1"/>
    </font>
    <font>
      <sz val="10.5"/>
      <name val="Cambria"/>
      <family val="1"/>
    </font>
    <font>
      <sz val="9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Arial"/>
      <family val="2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sz val="12"/>
      <color rgb="FFFF0000"/>
      <name val="Cambria"/>
      <family val="1"/>
      <scheme val="major"/>
    </font>
    <font>
      <sz val="10"/>
      <color rgb="FFFF0000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sz val="1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i/>
      <sz val="1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name val="Cambria"/>
      <family val="1"/>
      <scheme val="major"/>
    </font>
    <font>
      <b/>
      <sz val="12"/>
      <color indexed="8"/>
      <name val="Cambria"/>
      <family val="1"/>
      <scheme val="major"/>
    </font>
    <font>
      <sz val="12"/>
      <color indexed="8"/>
      <name val="Cambria"/>
      <family val="1"/>
      <scheme val="major"/>
    </font>
    <font>
      <i/>
      <sz val="12"/>
      <name val="Cambria"/>
      <family val="1"/>
      <scheme val="major"/>
    </font>
    <font>
      <i/>
      <sz val="12"/>
      <color indexed="8"/>
      <name val="Cambria"/>
      <family val="1"/>
      <scheme val="major"/>
    </font>
    <font>
      <sz val="8"/>
      <name val="Calibri"/>
      <family val="2"/>
      <scheme val="minor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indexed="47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C000"/>
        <bgColor indexed="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0000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6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/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105">
    <xf numFmtId="0" fontId="0" fillId="0" borderId="0"/>
    <xf numFmtId="0" fontId="4" fillId="2" borderId="0" applyNumberFormat="0" applyBorder="0" applyAlignment="0" applyProtection="0"/>
    <xf numFmtId="0" fontId="27" fillId="11" borderId="0" applyNumberFormat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8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8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8" fillId="12" borderId="0" applyNumberFormat="0" applyBorder="0" applyAlignment="0" applyProtection="0"/>
    <xf numFmtId="0" fontId="5" fillId="3" borderId="0" applyNumberFormat="0" applyBorder="0" applyAlignment="0" applyProtection="0"/>
    <xf numFmtId="0" fontId="28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8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8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8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8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8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8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8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8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28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28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28" fillId="13" borderId="0" applyNumberFormat="0" applyBorder="0" applyAlignment="0" applyProtection="0"/>
    <xf numFmtId="0" fontId="5" fillId="4" borderId="0" applyNumberFormat="0" applyBorder="0" applyAlignment="0" applyProtection="0"/>
    <xf numFmtId="0" fontId="28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28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28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28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28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28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28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28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28" fillId="1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2" applyNumberFormat="0" applyAlignment="0" applyProtection="0"/>
    <xf numFmtId="0" fontId="29" fillId="14" borderId="28" applyNumberFormat="0" applyAlignment="0" applyProtection="0"/>
    <xf numFmtId="0" fontId="6" fillId="5" borderId="2" applyNumberFormat="0" applyAlignment="0" applyProtection="0"/>
    <xf numFmtId="43" fontId="26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70" fontId="2" fillId="0" borderId="0" applyFill="0" applyBorder="0" applyAlignment="0" applyProtection="0"/>
    <xf numFmtId="165" fontId="2" fillId="0" borderId="0" applyFont="0" applyFill="0" applyBorder="0" applyAlignment="0" applyProtection="0"/>
    <xf numFmtId="170" fontId="2" fillId="0" borderId="0" applyFill="0" applyBorder="0" applyAlignment="0" applyProtection="0"/>
    <xf numFmtId="167" fontId="2" fillId="0" borderId="0" applyFill="0" applyBorder="0" applyAlignment="0" applyProtection="0"/>
    <xf numFmtId="43" fontId="7" fillId="0" borderId="0" applyFont="0" applyFill="0" applyBorder="0" applyAlignment="0" applyProtection="0"/>
    <xf numFmtId="167" fontId="2" fillId="0" borderId="0" applyFill="0" applyBorder="0" applyAlignment="0" applyProtection="0"/>
    <xf numFmtId="171" fontId="2" fillId="0" borderId="0" applyFill="0" applyBorder="0" applyAlignment="0" applyProtection="0"/>
    <xf numFmtId="164" fontId="2" fillId="0" borderId="0" applyFont="0" applyFill="0" applyBorder="0" applyAlignment="0" applyProtection="0"/>
    <xf numFmtId="171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ill="0" applyBorder="0" applyAlignment="0" applyProtection="0"/>
    <xf numFmtId="43" fontId="8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71" fontId="2" fillId="0" borderId="0" applyFill="0" applyBorder="0" applyAlignment="0" applyProtection="0"/>
    <xf numFmtId="164" fontId="9" fillId="0" borderId="0" applyFont="0" applyFill="0" applyBorder="0" applyAlignment="0" applyProtection="0"/>
    <xf numFmtId="171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0" fontId="10" fillId="6" borderId="1" applyNumberFormat="0" applyAlignment="0" applyProtection="0"/>
    <xf numFmtId="0" fontId="30" fillId="15" borderId="27" applyNumberFormat="0" applyAlignment="0" applyProtection="0"/>
    <xf numFmtId="0" fontId="10" fillId="6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31" fillId="0" borderId="0"/>
    <xf numFmtId="0" fontId="7" fillId="0" borderId="0"/>
    <xf numFmtId="0" fontId="7" fillId="0" borderId="0"/>
    <xf numFmtId="0" fontId="31" fillId="0" borderId="0"/>
    <xf numFmtId="0" fontId="7" fillId="0" borderId="0"/>
    <xf numFmtId="0" fontId="7" fillId="0" borderId="0"/>
    <xf numFmtId="0" fontId="31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7" fillId="0" borderId="0"/>
    <xf numFmtId="0" fontId="2" fillId="0" borderId="0"/>
    <xf numFmtId="0" fontId="7" fillId="0" borderId="0"/>
    <xf numFmtId="0" fontId="31" fillId="0" borderId="0"/>
    <xf numFmtId="0" fontId="7" fillId="0" borderId="0"/>
    <xf numFmtId="0" fontId="7" fillId="0" borderId="0"/>
    <xf numFmtId="0" fontId="31" fillId="0" borderId="0"/>
    <xf numFmtId="0" fontId="7" fillId="0" borderId="0"/>
    <xf numFmtId="0" fontId="7" fillId="0" borderId="0"/>
    <xf numFmtId="0" fontId="31" fillId="0" borderId="0"/>
    <xf numFmtId="0" fontId="7" fillId="0" borderId="0"/>
    <xf numFmtId="0" fontId="2" fillId="0" borderId="0"/>
    <xf numFmtId="0" fontId="7" fillId="0" borderId="0"/>
    <xf numFmtId="0" fontId="31" fillId="0" borderId="0"/>
    <xf numFmtId="0" fontId="7" fillId="0" borderId="0"/>
    <xf numFmtId="0" fontId="7" fillId="0" borderId="0"/>
    <xf numFmtId="0" fontId="31" fillId="0" borderId="0"/>
    <xf numFmtId="0" fontId="7" fillId="0" borderId="0"/>
    <xf numFmtId="0" fontId="7" fillId="0" borderId="0"/>
    <xf numFmtId="0" fontId="31" fillId="0" borderId="0"/>
    <xf numFmtId="0" fontId="7" fillId="0" borderId="0"/>
    <xf numFmtId="0" fontId="7" fillId="0" borderId="0"/>
    <xf numFmtId="0" fontId="31" fillId="0" borderId="0"/>
    <xf numFmtId="0" fontId="7" fillId="0" borderId="0"/>
    <xf numFmtId="0" fontId="7" fillId="0" borderId="0"/>
    <xf numFmtId="0" fontId="31" fillId="0" borderId="0"/>
    <xf numFmtId="0" fontId="7" fillId="0" borderId="0"/>
    <xf numFmtId="0" fontId="7" fillId="0" borderId="0"/>
    <xf numFmtId="0" fontId="31" fillId="0" borderId="0"/>
    <xf numFmtId="0" fontId="7" fillId="0" borderId="0"/>
    <xf numFmtId="0" fontId="7" fillId="0" borderId="0"/>
    <xf numFmtId="0" fontId="31" fillId="0" borderId="0"/>
    <xf numFmtId="0" fontId="7" fillId="0" borderId="0"/>
    <xf numFmtId="0" fontId="2" fillId="7" borderId="3" applyNumberFormat="0" applyAlignment="0" applyProtection="0"/>
    <xf numFmtId="0" fontId="2" fillId="16" borderId="29" applyNumberFormat="0" applyFont="0" applyAlignment="0" applyProtection="0"/>
    <xf numFmtId="0" fontId="2" fillId="7" borderId="3" applyNumberFormat="0" applyAlignment="0" applyProtection="0"/>
    <xf numFmtId="9" fontId="2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ill="0" applyBorder="0" applyAlignment="0" applyProtection="0"/>
    <xf numFmtId="9" fontId="7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2" fillId="0" borderId="30" applyNumberFormat="0" applyFill="0" applyAlignment="0" applyProtection="0"/>
    <xf numFmtId="0" fontId="12" fillId="0" borderId="4" applyNumberFormat="0" applyFill="0" applyAlignment="0" applyProtection="0"/>
    <xf numFmtId="0" fontId="32" fillId="0" borderId="30" applyNumberFormat="0" applyFill="0" applyAlignment="0" applyProtection="0"/>
    <xf numFmtId="0" fontId="12" fillId="0" borderId="4" applyNumberFormat="0" applyFill="0" applyAlignment="0" applyProtection="0"/>
  </cellStyleXfs>
  <cellXfs count="454">
    <xf numFmtId="0" fontId="0" fillId="0" borderId="0" xfId="0"/>
    <xf numFmtId="0" fontId="33" fillId="0" borderId="0" xfId="1029" applyFont="1"/>
    <xf numFmtId="0" fontId="34" fillId="0" borderId="0" xfId="1029" applyFont="1"/>
    <xf numFmtId="0" fontId="33" fillId="0" borderId="0" xfId="1029" applyFont="1" applyAlignment="1">
      <alignment horizontal="center"/>
    </xf>
    <xf numFmtId="0" fontId="35" fillId="0" borderId="0" xfId="1029" applyFont="1"/>
    <xf numFmtId="0" fontId="36" fillId="0" borderId="0" xfId="0" applyFont="1"/>
    <xf numFmtId="0" fontId="37" fillId="0" borderId="0" xfId="0" applyFont="1"/>
    <xf numFmtId="43" fontId="36" fillId="0" borderId="0" xfId="79" applyFont="1"/>
    <xf numFmtId="43" fontId="36" fillId="0" borderId="0" xfId="79" applyFont="1" applyBorder="1"/>
    <xf numFmtId="0" fontId="36" fillId="0" borderId="0" xfId="0" applyFont="1" applyAlignment="1">
      <alignment horizontal="center" vertical="center"/>
    </xf>
    <xf numFmtId="0" fontId="37" fillId="17" borderId="5" xfId="0" applyFont="1" applyFill="1" applyBorder="1" applyAlignment="1" applyProtection="1">
      <alignment horizontal="left" vertical="top" wrapText="1" readingOrder="1"/>
      <protection locked="0"/>
    </xf>
    <xf numFmtId="166" fontId="36" fillId="18" borderId="5" xfId="79" applyNumberFormat="1" applyFont="1" applyFill="1" applyBorder="1"/>
    <xf numFmtId="0" fontId="37" fillId="19" borderId="5" xfId="0" applyFont="1" applyFill="1" applyBorder="1" applyAlignment="1" applyProtection="1">
      <alignment horizontal="left" vertical="top" wrapText="1" readingOrder="1"/>
      <protection locked="0"/>
    </xf>
    <xf numFmtId="166" fontId="36" fillId="0" borderId="5" xfId="79" applyNumberFormat="1" applyFont="1" applyBorder="1"/>
    <xf numFmtId="166" fontId="36" fillId="0" borderId="5" xfId="0" applyNumberFormat="1" applyFont="1" applyBorder="1"/>
    <xf numFmtId="0" fontId="37" fillId="20" borderId="5" xfId="0" applyFont="1" applyFill="1" applyBorder="1" applyAlignment="1" applyProtection="1">
      <alignment horizontal="left" vertical="top" wrapText="1" readingOrder="1"/>
      <protection locked="0"/>
    </xf>
    <xf numFmtId="166" fontId="36" fillId="21" borderId="5" xfId="79" applyNumberFormat="1" applyFont="1" applyFill="1" applyBorder="1"/>
    <xf numFmtId="0" fontId="37" fillId="0" borderId="5" xfId="0" applyFont="1" applyBorder="1" applyAlignment="1" applyProtection="1">
      <alignment horizontal="left" vertical="top" wrapText="1" readingOrder="1"/>
      <protection locked="0"/>
    </xf>
    <xf numFmtId="0" fontId="37" fillId="19" borderId="0" xfId="0" applyFont="1" applyFill="1" applyAlignment="1" applyProtection="1">
      <alignment horizontal="left" vertical="top" wrapText="1" readingOrder="1"/>
      <protection locked="0"/>
    </xf>
    <xf numFmtId="40" fontId="36" fillId="0" borderId="0" xfId="0" applyNumberFormat="1" applyFont="1"/>
    <xf numFmtId="43" fontId="36" fillId="22" borderId="0" xfId="79" applyFont="1" applyFill="1" applyBorder="1"/>
    <xf numFmtId="0" fontId="37" fillId="17" borderId="6" xfId="0" applyFont="1" applyFill="1" applyBorder="1" applyAlignment="1" applyProtection="1">
      <alignment horizontal="left" vertical="top" wrapText="1" readingOrder="1"/>
      <protection locked="0"/>
    </xf>
    <xf numFmtId="166" fontId="33" fillId="18" borderId="6" xfId="79" applyNumberFormat="1" applyFont="1" applyFill="1" applyBorder="1"/>
    <xf numFmtId="166" fontId="33" fillId="18" borderId="5" xfId="79" applyNumberFormat="1" applyFont="1" applyFill="1" applyBorder="1"/>
    <xf numFmtId="166" fontId="37" fillId="17" borderId="5" xfId="79" applyNumberFormat="1" applyFont="1" applyFill="1" applyBorder="1" applyAlignment="1" applyProtection="1">
      <alignment horizontal="left" vertical="top" wrapText="1" readingOrder="1"/>
      <protection locked="0"/>
    </xf>
    <xf numFmtId="166" fontId="33" fillId="21" borderId="5" xfId="79" applyNumberFormat="1" applyFont="1" applyFill="1" applyBorder="1"/>
    <xf numFmtId="43" fontId="36" fillId="0" borderId="5" xfId="79" applyFont="1" applyBorder="1"/>
    <xf numFmtId="0" fontId="37" fillId="0" borderId="5" xfId="0" applyFont="1" applyBorder="1" applyAlignment="1">
      <alignment horizontal="center" vertical="center"/>
    </xf>
    <xf numFmtId="168" fontId="13" fillId="0" borderId="5" xfId="0" applyNumberFormat="1" applyFont="1" applyBorder="1" applyAlignment="1" applyProtection="1">
      <alignment vertical="top" wrapText="1" readingOrder="1"/>
      <protection locked="0"/>
    </xf>
    <xf numFmtId="17" fontId="37" fillId="0" borderId="5" xfId="0" applyNumberFormat="1" applyFont="1" applyBorder="1" applyAlignment="1">
      <alignment horizontal="center" vertical="center"/>
    </xf>
    <xf numFmtId="0" fontId="37" fillId="0" borderId="7" xfId="0" applyFont="1" applyBorder="1" applyAlignment="1" applyProtection="1">
      <alignment horizontal="center" vertical="top" wrapText="1" readingOrder="1"/>
      <protection locked="0"/>
    </xf>
    <xf numFmtId="0" fontId="37" fillId="0" borderId="6" xfId="0" applyFont="1" applyBorder="1" applyAlignment="1" applyProtection="1">
      <alignment horizontal="left" vertical="top" wrapText="1" readingOrder="1"/>
      <protection locked="0"/>
    </xf>
    <xf numFmtId="0" fontId="37" fillId="0" borderId="0" xfId="0" applyFont="1" applyAlignment="1">
      <alignment horizontal="center"/>
    </xf>
    <xf numFmtId="0" fontId="37" fillId="0" borderId="5" xfId="0" applyFont="1" applyBorder="1" applyAlignment="1" applyProtection="1">
      <alignment horizontal="center" vertical="center" wrapText="1"/>
      <protection locked="0"/>
    </xf>
    <xf numFmtId="166" fontId="36" fillId="18" borderId="8" xfId="79" applyNumberFormat="1" applyFont="1" applyFill="1" applyBorder="1"/>
    <xf numFmtId="166" fontId="37" fillId="18" borderId="5" xfId="0" applyNumberFormat="1" applyFont="1" applyFill="1" applyBorder="1" applyAlignment="1" applyProtection="1">
      <alignment vertical="top" wrapText="1" readingOrder="1"/>
      <protection locked="0"/>
    </xf>
    <xf numFmtId="166" fontId="36" fillId="18" borderId="9" xfId="79" applyNumberFormat="1" applyFont="1" applyFill="1" applyBorder="1"/>
    <xf numFmtId="166" fontId="36" fillId="21" borderId="10" xfId="79" applyNumberFormat="1" applyFont="1" applyFill="1" applyBorder="1"/>
    <xf numFmtId="0" fontId="37" fillId="0" borderId="11" xfId="0" applyFont="1" applyBorder="1" applyAlignment="1" applyProtection="1">
      <alignment horizontal="left" vertical="top" wrapText="1" readingOrder="1"/>
      <protection locked="0"/>
    </xf>
    <xf numFmtId="0" fontId="37" fillId="0" borderId="10" xfId="0" applyFont="1" applyBorder="1" applyAlignment="1" applyProtection="1">
      <alignment horizontal="left" vertical="top" wrapText="1" readingOrder="1"/>
      <protection locked="0"/>
    </xf>
    <xf numFmtId="174" fontId="14" fillId="0" borderId="5" xfId="0" applyNumberFormat="1" applyFont="1" applyBorder="1" applyAlignment="1" applyProtection="1">
      <alignment horizontal="right" vertical="center"/>
      <protection locked="0"/>
    </xf>
    <xf numFmtId="177" fontId="3" fillId="0" borderId="5" xfId="80" applyNumberFormat="1" applyFont="1" applyBorder="1" applyAlignment="1" applyProtection="1">
      <alignment horizontal="right" vertical="center"/>
      <protection locked="0"/>
    </xf>
    <xf numFmtId="177" fontId="3" fillId="0" borderId="5" xfId="80" applyNumberFormat="1" applyFont="1" applyFill="1" applyBorder="1" applyAlignment="1" applyProtection="1">
      <protection locked="0"/>
    </xf>
    <xf numFmtId="166" fontId="36" fillId="0" borderId="0" xfId="0" applyNumberFormat="1" applyFont="1"/>
    <xf numFmtId="1" fontId="37" fillId="0" borderId="5" xfId="0" applyNumberFormat="1" applyFont="1" applyBorder="1" applyAlignment="1">
      <alignment horizontal="center" vertical="center"/>
    </xf>
    <xf numFmtId="176" fontId="37" fillId="0" borderId="5" xfId="0" applyNumberFormat="1" applyFont="1" applyBorder="1" applyAlignment="1">
      <alignment horizontal="center" vertical="center"/>
    </xf>
    <xf numFmtId="0" fontId="38" fillId="0" borderId="0" xfId="0" applyFont="1"/>
    <xf numFmtId="166" fontId="33" fillId="18" borderId="8" xfId="79" applyNumberFormat="1" applyFont="1" applyFill="1" applyBorder="1"/>
    <xf numFmtId="166" fontId="37" fillId="18" borderId="5" xfId="79" applyNumberFormat="1" applyFont="1" applyFill="1" applyBorder="1" applyAlignment="1" applyProtection="1">
      <alignment vertical="top" wrapText="1" readingOrder="1"/>
      <protection locked="0"/>
    </xf>
    <xf numFmtId="166" fontId="36" fillId="0" borderId="8" xfId="79" applyNumberFormat="1" applyFont="1" applyBorder="1"/>
    <xf numFmtId="166" fontId="37" fillId="18" borderId="8" xfId="79" applyNumberFormat="1" applyFont="1" applyFill="1" applyBorder="1" applyAlignment="1" applyProtection="1">
      <alignment vertical="top" wrapText="1" readingOrder="1"/>
      <protection locked="0"/>
    </xf>
    <xf numFmtId="166" fontId="3" fillId="0" borderId="5" xfId="79" applyNumberFormat="1" applyFont="1" applyFill="1" applyBorder="1" applyAlignment="1" applyProtection="1">
      <protection locked="0"/>
    </xf>
    <xf numFmtId="166" fontId="33" fillId="0" borderId="0" xfId="79" applyNumberFormat="1" applyFont="1" applyFill="1" applyBorder="1" applyAlignment="1" applyProtection="1">
      <protection locked="0"/>
    </xf>
    <xf numFmtId="166" fontId="39" fillId="0" borderId="5" xfId="79" applyNumberFormat="1" applyFont="1" applyBorder="1" applyAlignment="1" applyProtection="1">
      <alignment vertical="top" wrapText="1" readingOrder="1"/>
      <protection locked="0"/>
    </xf>
    <xf numFmtId="166" fontId="33" fillId="0" borderId="5" xfId="79" applyNumberFormat="1" applyFont="1" applyFill="1" applyBorder="1" applyAlignment="1" applyProtection="1">
      <protection locked="0"/>
    </xf>
    <xf numFmtId="166" fontId="33" fillId="0" borderId="8" xfId="79" applyNumberFormat="1" applyFont="1" applyFill="1" applyBorder="1" applyAlignment="1" applyProtection="1">
      <protection locked="0"/>
    </xf>
    <xf numFmtId="166" fontId="33" fillId="18" borderId="12" xfId="79" applyNumberFormat="1" applyFont="1" applyFill="1" applyBorder="1"/>
    <xf numFmtId="166" fontId="37" fillId="18" borderId="7" xfId="79" applyNumberFormat="1" applyFont="1" applyFill="1" applyBorder="1" applyAlignment="1" applyProtection="1">
      <alignment vertical="top" wrapText="1" readingOrder="1"/>
      <protection locked="0"/>
    </xf>
    <xf numFmtId="166" fontId="36" fillId="0" borderId="12" xfId="79" applyNumberFormat="1" applyFont="1" applyBorder="1"/>
    <xf numFmtId="166" fontId="39" fillId="0" borderId="7" xfId="79" applyNumberFormat="1" applyFont="1" applyBorder="1" applyAlignment="1" applyProtection="1">
      <alignment vertical="top" wrapText="1" readingOrder="1"/>
      <protection locked="0"/>
    </xf>
    <xf numFmtId="166" fontId="36" fillId="18" borderId="12" xfId="79" applyNumberFormat="1" applyFont="1" applyFill="1" applyBorder="1"/>
    <xf numFmtId="166" fontId="36" fillId="18" borderId="7" xfId="79" applyNumberFormat="1" applyFont="1" applyFill="1" applyBorder="1"/>
    <xf numFmtId="166" fontId="37" fillId="18" borderId="12" xfId="79" applyNumberFormat="1" applyFont="1" applyFill="1" applyBorder="1" applyAlignment="1" applyProtection="1">
      <alignment vertical="top" wrapText="1" readingOrder="1"/>
      <protection locked="0"/>
    </xf>
    <xf numFmtId="166" fontId="33" fillId="0" borderId="12" xfId="79" applyNumberFormat="1" applyFont="1" applyFill="1" applyBorder="1" applyAlignment="1" applyProtection="1">
      <protection locked="0"/>
    </xf>
    <xf numFmtId="166" fontId="36" fillId="21" borderId="7" xfId="79" applyNumberFormat="1" applyFont="1" applyFill="1" applyBorder="1"/>
    <xf numFmtId="166" fontId="36" fillId="18" borderId="13" xfId="79" applyNumberFormat="1" applyFont="1" applyFill="1" applyBorder="1"/>
    <xf numFmtId="166" fontId="36" fillId="21" borderId="14" xfId="79" applyNumberFormat="1" applyFont="1" applyFill="1" applyBorder="1"/>
    <xf numFmtId="167" fontId="3" fillId="0" borderId="5" xfId="80" applyFont="1" applyFill="1" applyBorder="1" applyAlignment="1" applyProtection="1">
      <protection locked="0"/>
    </xf>
    <xf numFmtId="0" fontId="36" fillId="0" borderId="5" xfId="0" applyFont="1" applyBorder="1"/>
    <xf numFmtId="166" fontId="33" fillId="18" borderId="5" xfId="82" applyNumberFormat="1" applyFont="1" applyFill="1" applyBorder="1"/>
    <xf numFmtId="43" fontId="36" fillId="18" borderId="5" xfId="79" applyFont="1" applyFill="1" applyBorder="1"/>
    <xf numFmtId="43" fontId="33" fillId="18" borderId="5" xfId="79" applyFont="1" applyFill="1" applyBorder="1"/>
    <xf numFmtId="43" fontId="37" fillId="18" borderId="5" xfId="79" applyFont="1" applyFill="1" applyBorder="1" applyAlignment="1" applyProtection="1">
      <alignment vertical="top" wrapText="1" readingOrder="1"/>
      <protection locked="0"/>
    </xf>
    <xf numFmtId="43" fontId="36" fillId="21" borderId="5" xfId="79" applyFont="1" applyFill="1" applyBorder="1"/>
    <xf numFmtId="43" fontId="37" fillId="17" borderId="5" xfId="79" applyFont="1" applyFill="1" applyBorder="1" applyAlignment="1" applyProtection="1">
      <alignment horizontal="left" vertical="top" wrapText="1" readingOrder="1"/>
      <protection locked="0"/>
    </xf>
    <xf numFmtId="43" fontId="33" fillId="21" borderId="5" xfId="79" applyFont="1" applyFill="1" applyBorder="1"/>
    <xf numFmtId="43" fontId="3" fillId="0" borderId="5" xfId="79" applyFont="1" applyFill="1" applyBorder="1" applyAlignment="1" applyProtection="1">
      <protection locked="0"/>
    </xf>
    <xf numFmtId="43" fontId="18" fillId="0" borderId="0" xfId="0" applyNumberFormat="1" applyFont="1"/>
    <xf numFmtId="164" fontId="18" fillId="0" borderId="0" xfId="0" applyNumberFormat="1" applyFont="1"/>
    <xf numFmtId="9" fontId="18" fillId="0" borderId="0" xfId="0" applyNumberFormat="1" applyFont="1"/>
    <xf numFmtId="43" fontId="18" fillId="0" borderId="0" xfId="79" applyFont="1"/>
    <xf numFmtId="43" fontId="13" fillId="0" borderId="5" xfId="79" applyFont="1" applyBorder="1" applyAlignment="1" applyProtection="1">
      <alignment vertical="top" wrapText="1" readingOrder="1"/>
      <protection locked="0"/>
    </xf>
    <xf numFmtId="43" fontId="3" fillId="0" borderId="5" xfId="79" applyFont="1" applyBorder="1" applyAlignment="1" applyProtection="1">
      <alignment horizontal="right" vertical="center"/>
      <protection locked="0"/>
    </xf>
    <xf numFmtId="43" fontId="14" fillId="0" borderId="5" xfId="79" applyFont="1" applyBorder="1" applyAlignment="1" applyProtection="1">
      <alignment horizontal="right" vertical="center"/>
      <protection locked="0"/>
    </xf>
    <xf numFmtId="43" fontId="33" fillId="18" borderId="6" xfId="79" applyFont="1" applyFill="1" applyBorder="1"/>
    <xf numFmtId="0" fontId="19" fillId="23" borderId="5" xfId="0" applyFont="1" applyFill="1" applyBorder="1" applyAlignment="1">
      <alignment wrapText="1"/>
    </xf>
    <xf numFmtId="0" fontId="19" fillId="0" borderId="5" xfId="0" applyFont="1" applyBorder="1" applyAlignment="1">
      <alignment wrapText="1"/>
    </xf>
    <xf numFmtId="0" fontId="19" fillId="0" borderId="15" xfId="0" applyFont="1" applyBorder="1" applyAlignment="1">
      <alignment wrapText="1"/>
    </xf>
    <xf numFmtId="0" fontId="18" fillId="0" borderId="16" xfId="0" applyFont="1" applyBorder="1" applyAlignment="1">
      <alignment wrapText="1"/>
    </xf>
    <xf numFmtId="0" fontId="19" fillId="8" borderId="15" xfId="0" applyFont="1" applyFill="1" applyBorder="1" applyAlignment="1">
      <alignment wrapText="1"/>
    </xf>
    <xf numFmtId="10" fontId="19" fillId="8" borderId="5" xfId="1090" applyNumberFormat="1" applyFont="1" applyFill="1" applyBorder="1" applyAlignment="1" applyProtection="1">
      <alignment wrapText="1"/>
    </xf>
    <xf numFmtId="43" fontId="19" fillId="8" borderId="5" xfId="79" applyFont="1" applyFill="1" applyBorder="1" applyAlignment="1" applyProtection="1">
      <alignment wrapText="1"/>
    </xf>
    <xf numFmtId="43" fontId="19" fillId="8" borderId="15" xfId="79" applyFont="1" applyFill="1" applyBorder="1" applyAlignment="1" applyProtection="1">
      <alignment wrapText="1"/>
    </xf>
    <xf numFmtId="43" fontId="18" fillId="0" borderId="17" xfId="79" applyFont="1" applyBorder="1" applyAlignment="1" applyProtection="1">
      <alignment wrapText="1"/>
    </xf>
    <xf numFmtId="43" fontId="19" fillId="8" borderId="17" xfId="79" applyFont="1" applyFill="1" applyBorder="1" applyAlignment="1" applyProtection="1">
      <alignment wrapText="1"/>
    </xf>
    <xf numFmtId="43" fontId="18" fillId="0" borderId="17" xfId="79" applyFont="1" applyBorder="1" applyAlignment="1" applyProtection="1">
      <alignment wrapText="1"/>
      <protection locked="0"/>
    </xf>
    <xf numFmtId="0" fontId="18" fillId="0" borderId="18" xfId="0" applyFont="1" applyBorder="1"/>
    <xf numFmtId="0" fontId="19" fillId="0" borderId="15" xfId="0" applyFont="1" applyBorder="1" applyAlignment="1" applyProtection="1">
      <alignment horizontal="right"/>
      <protection locked="0"/>
    </xf>
    <xf numFmtId="49" fontId="19" fillId="0" borderId="17" xfId="0" applyNumberFormat="1" applyFont="1" applyBorder="1" applyAlignment="1" applyProtection="1">
      <alignment horizontal="right"/>
      <protection locked="0"/>
    </xf>
    <xf numFmtId="0" fontId="3" fillId="0" borderId="0" xfId="0" applyFont="1"/>
    <xf numFmtId="0" fontId="19" fillId="0" borderId="17" xfId="0" applyFont="1" applyBorder="1"/>
    <xf numFmtId="0" fontId="19" fillId="0" borderId="0" xfId="0" applyFont="1"/>
    <xf numFmtId="0" fontId="18" fillId="0" borderId="0" xfId="0" applyFont="1"/>
    <xf numFmtId="0" fontId="18" fillId="0" borderId="17" xfId="0" applyFont="1" applyBorder="1"/>
    <xf numFmtId="0" fontId="18" fillId="0" borderId="0" xfId="0" applyFont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wrapText="1"/>
      <protection locked="0"/>
    </xf>
    <xf numFmtId="0" fontId="23" fillId="0" borderId="0" xfId="0" applyFont="1" applyAlignment="1">
      <alignment horizontal="left" wrapText="1"/>
    </xf>
    <xf numFmtId="0" fontId="19" fillId="0" borderId="17" xfId="0" applyFont="1" applyBorder="1" applyAlignment="1">
      <alignment wrapText="1"/>
    </xf>
    <xf numFmtId="2" fontId="19" fillId="0" borderId="17" xfId="0" applyNumberFormat="1" applyFont="1" applyBorder="1" applyAlignment="1">
      <alignment wrapText="1"/>
    </xf>
    <xf numFmtId="0" fontId="19" fillId="8" borderId="17" xfId="0" applyFont="1" applyFill="1" applyBorder="1" applyAlignment="1">
      <alignment wrapText="1"/>
    </xf>
    <xf numFmtId="2" fontId="18" fillId="0" borderId="17" xfId="0" applyNumberFormat="1" applyFont="1" applyBorder="1" applyAlignment="1">
      <alignment horizontal="center" wrapText="1"/>
    </xf>
    <xf numFmtId="0" fontId="18" fillId="0" borderId="17" xfId="0" applyFont="1" applyBorder="1" applyAlignment="1" applyProtection="1">
      <alignment wrapText="1"/>
      <protection locked="0"/>
    </xf>
    <xf numFmtId="49" fontId="22" fillId="0" borderId="5" xfId="0" applyNumberFormat="1" applyFont="1" applyBorder="1" applyAlignment="1" applyProtection="1">
      <alignment horizontal="right"/>
      <protection locked="0"/>
    </xf>
    <xf numFmtId="0" fontId="18" fillId="0" borderId="18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18" fillId="0" borderId="0" xfId="0" applyFont="1" applyAlignment="1">
      <alignment wrapText="1"/>
    </xf>
    <xf numFmtId="164" fontId="18" fillId="0" borderId="19" xfId="0" applyNumberFormat="1" applyFont="1" applyBorder="1" applyAlignment="1">
      <alignment wrapText="1"/>
    </xf>
    <xf numFmtId="164" fontId="0" fillId="0" borderId="0" xfId="0" applyNumberFormat="1"/>
    <xf numFmtId="0" fontId="40" fillId="18" borderId="20" xfId="0" applyFont="1" applyFill="1" applyBorder="1" applyAlignment="1">
      <alignment horizontal="center" vertical="center"/>
    </xf>
    <xf numFmtId="166" fontId="41" fillId="0" borderId="21" xfId="82" applyNumberFormat="1" applyFont="1" applyBorder="1"/>
    <xf numFmtId="0" fontId="42" fillId="0" borderId="21" xfId="1029" applyFont="1" applyBorder="1" applyAlignment="1">
      <alignment horizontal="center"/>
    </xf>
    <xf numFmtId="1" fontId="42" fillId="0" borderId="21" xfId="1029" applyNumberFormat="1" applyFont="1" applyBorder="1"/>
    <xf numFmtId="0" fontId="41" fillId="0" borderId="21" xfId="0" applyFont="1" applyBorder="1"/>
    <xf numFmtId="9" fontId="42" fillId="0" borderId="21" xfId="1090" applyFont="1" applyBorder="1"/>
    <xf numFmtId="9" fontId="43" fillId="0" borderId="21" xfId="1090" applyFont="1" applyBorder="1"/>
    <xf numFmtId="0" fontId="42" fillId="0" borderId="21" xfId="1029" applyFont="1" applyBorder="1"/>
    <xf numFmtId="0" fontId="33" fillId="0" borderId="21" xfId="1029" applyFont="1" applyBorder="1"/>
    <xf numFmtId="0" fontId="33" fillId="0" borderId="21" xfId="1029" applyFont="1" applyBorder="1" applyAlignment="1">
      <alignment horizontal="center"/>
    </xf>
    <xf numFmtId="166" fontId="34" fillId="0" borderId="21" xfId="82" applyNumberFormat="1" applyFont="1" applyBorder="1"/>
    <xf numFmtId="0" fontId="34" fillId="0" borderId="21" xfId="0" applyFont="1" applyBorder="1"/>
    <xf numFmtId="9" fontId="33" fillId="0" borderId="21" xfId="1090" applyFont="1" applyBorder="1" applyAlignment="1">
      <alignment horizontal="center"/>
    </xf>
    <xf numFmtId="0" fontId="33" fillId="0" borderId="21" xfId="1029" applyFont="1" applyBorder="1" applyAlignment="1">
      <alignment horizontal="center" vertical="center" textRotation="90"/>
    </xf>
    <xf numFmtId="0" fontId="33" fillId="0" borderId="21" xfId="1029" applyFont="1" applyBorder="1" applyAlignment="1">
      <alignment horizontal="left" vertical="center"/>
    </xf>
    <xf numFmtId="0" fontId="34" fillId="0" borderId="21" xfId="1029" applyFont="1" applyBorder="1" applyAlignment="1">
      <alignment horizontal="center" vertical="center"/>
    </xf>
    <xf numFmtId="0" fontId="33" fillId="0" borderId="21" xfId="1029" applyFont="1" applyBorder="1" applyAlignment="1">
      <alignment horizontal="center" vertical="distributed" textRotation="90"/>
    </xf>
    <xf numFmtId="0" fontId="33" fillId="0" borderId="21" xfId="1029" applyFont="1" applyBorder="1" applyAlignment="1">
      <alignment vertical="center"/>
    </xf>
    <xf numFmtId="0" fontId="34" fillId="24" borderId="21" xfId="1029" applyFont="1" applyFill="1" applyBorder="1" applyAlignment="1">
      <alignment horizontal="center" vertical="center"/>
    </xf>
    <xf numFmtId="0" fontId="37" fillId="18" borderId="22" xfId="0" applyFont="1" applyFill="1" applyBorder="1" applyAlignment="1">
      <alignment horizontal="center" vertical="center"/>
    </xf>
    <xf numFmtId="9" fontId="42" fillId="25" borderId="21" xfId="1090" applyFont="1" applyFill="1" applyBorder="1"/>
    <xf numFmtId="43" fontId="37" fillId="0" borderId="21" xfId="82" applyFont="1" applyBorder="1"/>
    <xf numFmtId="0" fontId="36" fillId="0" borderId="21" xfId="0" applyFont="1" applyBorder="1"/>
    <xf numFmtId="0" fontId="33" fillId="0" borderId="21" xfId="0" applyFont="1" applyBorder="1"/>
    <xf numFmtId="166" fontId="36" fillId="0" borderId="21" xfId="79" applyNumberFormat="1" applyFont="1" applyBorder="1"/>
    <xf numFmtId="43" fontId="36" fillId="0" borderId="21" xfId="79" applyFont="1" applyBorder="1"/>
    <xf numFmtId="43" fontId="45" fillId="0" borderId="21" xfId="79" applyFont="1" applyBorder="1"/>
    <xf numFmtId="0" fontId="46" fillId="0" borderId="21" xfId="0" applyFont="1" applyBorder="1"/>
    <xf numFmtId="43" fontId="47" fillId="0" borderId="21" xfId="79" applyFont="1" applyBorder="1"/>
    <xf numFmtId="9" fontId="46" fillId="0" borderId="21" xfId="1092" applyFont="1" applyBorder="1"/>
    <xf numFmtId="0" fontId="48" fillId="0" borderId="21" xfId="0" applyFont="1" applyBorder="1"/>
    <xf numFmtId="166" fontId="46" fillId="0" borderId="21" xfId="0" applyNumberFormat="1" applyFont="1" applyBorder="1"/>
    <xf numFmtId="43" fontId="37" fillId="0" borderId="21" xfId="79" applyFont="1" applyBorder="1"/>
    <xf numFmtId="0" fontId="49" fillId="0" borderId="21" xfId="0" applyFont="1" applyBorder="1"/>
    <xf numFmtId="43" fontId="50" fillId="0" borderId="21" xfId="79" applyFont="1" applyBorder="1"/>
    <xf numFmtId="43" fontId="33" fillId="0" borderId="21" xfId="79" applyFont="1" applyBorder="1"/>
    <xf numFmtId="0" fontId="33" fillId="23" borderId="21" xfId="0" applyFont="1" applyFill="1" applyBorder="1"/>
    <xf numFmtId="43" fontId="36" fillId="23" borderId="21" xfId="79" applyFont="1" applyFill="1" applyBorder="1"/>
    <xf numFmtId="0" fontId="36" fillId="23" borderId="0" xfId="0" applyFont="1" applyFill="1"/>
    <xf numFmtId="0" fontId="37" fillId="23" borderId="21" xfId="0" applyFont="1" applyFill="1" applyBorder="1"/>
    <xf numFmtId="0" fontId="37" fillId="26" borderId="21" xfId="0" applyFont="1" applyFill="1" applyBorder="1"/>
    <xf numFmtId="43" fontId="36" fillId="26" borderId="21" xfId="79" applyFont="1" applyFill="1" applyBorder="1"/>
    <xf numFmtId="43" fontId="37" fillId="26" borderId="21" xfId="82" applyFont="1" applyFill="1" applyBorder="1"/>
    <xf numFmtId="1" fontId="51" fillId="26" borderId="21" xfId="0" applyNumberFormat="1" applyFont="1" applyFill="1" applyBorder="1" applyAlignment="1">
      <alignment horizontal="center" vertical="center"/>
    </xf>
    <xf numFmtId="17" fontId="51" fillId="26" borderId="21" xfId="0" applyNumberFormat="1" applyFont="1" applyFill="1" applyBorder="1" applyAlignment="1">
      <alignment horizontal="center" vertical="center"/>
    </xf>
    <xf numFmtId="0" fontId="36" fillId="26" borderId="21" xfId="0" applyFont="1" applyFill="1" applyBorder="1"/>
    <xf numFmtId="0" fontId="48" fillId="26" borderId="21" xfId="0" applyFont="1" applyFill="1" applyBorder="1"/>
    <xf numFmtId="43" fontId="37" fillId="26" borderId="21" xfId="79" applyFont="1" applyFill="1" applyBorder="1"/>
    <xf numFmtId="0" fontId="52" fillId="26" borderId="21" xfId="0" applyFont="1" applyFill="1" applyBorder="1"/>
    <xf numFmtId="17" fontId="36" fillId="26" borderId="21" xfId="0" applyNumberFormat="1" applyFont="1" applyFill="1" applyBorder="1"/>
    <xf numFmtId="17" fontId="37" fillId="18" borderId="22" xfId="0" applyNumberFormat="1" applyFont="1" applyFill="1" applyBorder="1" applyAlignment="1">
      <alignment horizontal="center" vertical="center"/>
    </xf>
    <xf numFmtId="43" fontId="23" fillId="0" borderId="0" xfId="79" applyFont="1" applyBorder="1" applyAlignment="1">
      <alignment horizontal="left" wrapText="1"/>
    </xf>
    <xf numFmtId="43" fontId="18" fillId="0" borderId="16" xfId="0" applyNumberFormat="1" applyFont="1" applyBorder="1" applyAlignment="1">
      <alignment wrapText="1"/>
    </xf>
    <xf numFmtId="168" fontId="25" fillId="0" borderId="23" xfId="0" applyNumberFormat="1" applyFont="1" applyBorder="1" applyAlignment="1" applyProtection="1">
      <alignment vertical="top" wrapText="1" readingOrder="1"/>
      <protection locked="0"/>
    </xf>
    <xf numFmtId="168" fontId="25" fillId="9" borderId="23" xfId="0" applyNumberFormat="1" applyFont="1" applyFill="1" applyBorder="1" applyAlignment="1" applyProtection="1">
      <alignment vertical="top" wrapText="1" readingOrder="1"/>
      <protection locked="0"/>
    </xf>
    <xf numFmtId="166" fontId="38" fillId="18" borderId="5" xfId="79" applyNumberFormat="1" applyFont="1" applyFill="1" applyBorder="1"/>
    <xf numFmtId="17" fontId="37" fillId="18" borderId="5" xfId="0" applyNumberFormat="1" applyFont="1" applyFill="1" applyBorder="1" applyAlignment="1">
      <alignment horizontal="center" vertical="center"/>
    </xf>
    <xf numFmtId="43" fontId="37" fillId="18" borderId="5" xfId="0" applyNumberFormat="1" applyFont="1" applyFill="1" applyBorder="1" applyAlignment="1">
      <alignment horizontal="center" vertical="center"/>
    </xf>
    <xf numFmtId="168" fontId="13" fillId="0" borderId="23" xfId="0" applyNumberFormat="1" applyFont="1" applyBorder="1" applyAlignment="1" applyProtection="1">
      <alignment vertical="top" wrapText="1" readingOrder="1"/>
      <protection locked="0"/>
    </xf>
    <xf numFmtId="175" fontId="13" fillId="0" borderId="23" xfId="0" applyNumberFormat="1" applyFont="1" applyBorder="1" applyAlignment="1" applyProtection="1">
      <alignment vertical="top" wrapText="1" readingOrder="1"/>
      <protection locked="0"/>
    </xf>
    <xf numFmtId="43" fontId="36" fillId="0" borderId="0" xfId="0" applyNumberFormat="1" applyFont="1"/>
    <xf numFmtId="0" fontId="33" fillId="27" borderId="0" xfId="1029" applyFont="1" applyFill="1"/>
    <xf numFmtId="0" fontId="37" fillId="0" borderId="31" xfId="0" applyFont="1" applyBorder="1"/>
    <xf numFmtId="0" fontId="37" fillId="0" borderId="32" xfId="0" applyFont="1" applyBorder="1"/>
    <xf numFmtId="0" fontId="36" fillId="0" borderId="32" xfId="0" applyFont="1" applyBorder="1"/>
    <xf numFmtId="0" fontId="36" fillId="0" borderId="33" xfId="0" applyFont="1" applyBorder="1"/>
    <xf numFmtId="0" fontId="37" fillId="26" borderId="34" xfId="0" applyFont="1" applyFill="1" applyBorder="1"/>
    <xf numFmtId="17" fontId="36" fillId="26" borderId="35" xfId="0" applyNumberFormat="1" applyFont="1" applyFill="1" applyBorder="1"/>
    <xf numFmtId="0" fontId="33" fillId="0" borderId="34" xfId="0" applyFont="1" applyBorder="1"/>
    <xf numFmtId="0" fontId="36" fillId="0" borderId="35" xfId="0" applyFont="1" applyBorder="1"/>
    <xf numFmtId="43" fontId="45" fillId="0" borderId="35" xfId="79" applyFont="1" applyBorder="1"/>
    <xf numFmtId="43" fontId="47" fillId="0" borderId="35" xfId="79" applyFont="1" applyBorder="1"/>
    <xf numFmtId="0" fontId="33" fillId="23" borderId="34" xfId="0" applyFont="1" applyFill="1" applyBorder="1"/>
    <xf numFmtId="43" fontId="36" fillId="23" borderId="35" xfId="79" applyFont="1" applyFill="1" applyBorder="1"/>
    <xf numFmtId="172" fontId="33" fillId="23" borderId="34" xfId="0" applyNumberFormat="1" applyFont="1" applyFill="1" applyBorder="1"/>
    <xf numFmtId="172" fontId="33" fillId="26" borderId="34" xfId="0" applyNumberFormat="1" applyFont="1" applyFill="1" applyBorder="1"/>
    <xf numFmtId="43" fontId="36" fillId="26" borderId="35" xfId="79" applyFont="1" applyFill="1" applyBorder="1"/>
    <xf numFmtId="172" fontId="33" fillId="0" borderId="34" xfId="0" applyNumberFormat="1" applyFont="1" applyBorder="1"/>
    <xf numFmtId="43" fontId="36" fillId="0" borderId="35" xfId="79" applyFont="1" applyBorder="1"/>
    <xf numFmtId="172" fontId="33" fillId="0" borderId="34" xfId="0" applyNumberFormat="1" applyFont="1" applyBorder="1" applyAlignment="1">
      <alignment horizontal="right"/>
    </xf>
    <xf numFmtId="172" fontId="34" fillId="26" borderId="34" xfId="0" applyNumberFormat="1" applyFont="1" applyFill="1" applyBorder="1"/>
    <xf numFmtId="43" fontId="37" fillId="26" borderId="35" xfId="79" applyFont="1" applyFill="1" applyBorder="1"/>
    <xf numFmtId="43" fontId="50" fillId="0" borderId="35" xfId="79" applyFont="1" applyBorder="1"/>
    <xf numFmtId="43" fontId="37" fillId="0" borderId="35" xfId="79" applyFont="1" applyBorder="1"/>
    <xf numFmtId="172" fontId="52" fillId="26" borderId="34" xfId="0" applyNumberFormat="1" applyFont="1" applyFill="1" applyBorder="1"/>
    <xf numFmtId="43" fontId="33" fillId="0" borderId="35" xfId="79" applyFont="1" applyBorder="1"/>
    <xf numFmtId="0" fontId="36" fillId="0" borderId="36" xfId="0" applyFont="1" applyBorder="1"/>
    <xf numFmtId="43" fontId="36" fillId="0" borderId="37" xfId="79" applyFont="1" applyBorder="1"/>
    <xf numFmtId="0" fontId="36" fillId="0" borderId="38" xfId="0" applyFont="1" applyBorder="1"/>
    <xf numFmtId="0" fontId="36" fillId="0" borderId="39" xfId="0" applyFont="1" applyBorder="1"/>
    <xf numFmtId="43" fontId="36" fillId="0" borderId="39" xfId="79" applyFont="1" applyBorder="1"/>
    <xf numFmtId="43" fontId="36" fillId="0" borderId="40" xfId="79" applyFont="1" applyBorder="1"/>
    <xf numFmtId="0" fontId="45" fillId="0" borderId="0" xfId="0" applyFont="1"/>
    <xf numFmtId="0" fontId="40" fillId="0" borderId="5" xfId="0" applyFont="1" applyBorder="1"/>
    <xf numFmtId="0" fontId="38" fillId="0" borderId="5" xfId="0" applyFont="1" applyBorder="1"/>
    <xf numFmtId="2" fontId="38" fillId="0" borderId="5" xfId="0" applyNumberFormat="1" applyFont="1" applyBorder="1"/>
    <xf numFmtId="9" fontId="38" fillId="0" borderId="5" xfId="0" applyNumberFormat="1" applyFont="1" applyBorder="1"/>
    <xf numFmtId="10" fontId="38" fillId="0" borderId="5" xfId="0" applyNumberFormat="1" applyFont="1" applyBorder="1"/>
    <xf numFmtId="0" fontId="38" fillId="0" borderId="43" xfId="0" applyFont="1" applyBorder="1"/>
    <xf numFmtId="0" fontId="38" fillId="0" borderId="9" xfId="0" applyFont="1" applyBorder="1"/>
    <xf numFmtId="2" fontId="38" fillId="0" borderId="43" xfId="0" applyNumberFormat="1" applyFont="1" applyBorder="1"/>
    <xf numFmtId="10" fontId="38" fillId="0" borderId="43" xfId="0" applyNumberFormat="1" applyFont="1" applyBorder="1"/>
    <xf numFmtId="0" fontId="38" fillId="0" borderId="10" xfId="0" applyFont="1" applyBorder="1"/>
    <xf numFmtId="0" fontId="38" fillId="0" borderId="44" xfId="0" applyFont="1" applyBorder="1"/>
    <xf numFmtId="10" fontId="38" fillId="0" borderId="44" xfId="0" applyNumberFormat="1" applyFont="1" applyBorder="1"/>
    <xf numFmtId="10" fontId="38" fillId="0" borderId="45" xfId="0" applyNumberFormat="1" applyFont="1" applyBorder="1"/>
    <xf numFmtId="0" fontId="40" fillId="28" borderId="11" xfId="0" applyFont="1" applyFill="1" applyBorder="1"/>
    <xf numFmtId="0" fontId="40" fillId="28" borderId="41" xfId="0" applyFont="1" applyFill="1" applyBorder="1" applyAlignment="1">
      <alignment wrapText="1"/>
    </xf>
    <xf numFmtId="0" fontId="40" fillId="28" borderId="41" xfId="0" applyFont="1" applyFill="1" applyBorder="1"/>
    <xf numFmtId="0" fontId="40" fillId="28" borderId="42" xfId="0" applyFont="1" applyFill="1" applyBorder="1"/>
    <xf numFmtId="0" fontId="40" fillId="28" borderId="9" xfId="0" applyFont="1" applyFill="1" applyBorder="1"/>
    <xf numFmtId="0" fontId="40" fillId="0" borderId="43" xfId="0" applyFont="1" applyBorder="1"/>
    <xf numFmtId="0" fontId="40" fillId="29" borderId="5" xfId="0" applyFont="1" applyFill="1" applyBorder="1"/>
    <xf numFmtId="0" fontId="40" fillId="29" borderId="43" xfId="0" applyFont="1" applyFill="1" applyBorder="1"/>
    <xf numFmtId="0" fontId="38" fillId="29" borderId="5" xfId="0" applyFont="1" applyFill="1" applyBorder="1"/>
    <xf numFmtId="0" fontId="38" fillId="29" borderId="43" xfId="0" applyFont="1" applyFill="1" applyBorder="1"/>
    <xf numFmtId="166" fontId="38" fillId="29" borderId="5" xfId="79" applyNumberFormat="1" applyFont="1" applyFill="1" applyBorder="1"/>
    <xf numFmtId="166" fontId="38" fillId="29" borderId="43" xfId="79" applyNumberFormat="1" applyFont="1" applyFill="1" applyBorder="1"/>
    <xf numFmtId="43" fontId="38" fillId="29" borderId="5" xfId="79" applyFont="1" applyFill="1" applyBorder="1"/>
    <xf numFmtId="43" fontId="38" fillId="29" borderId="43" xfId="79" applyFont="1" applyFill="1" applyBorder="1"/>
    <xf numFmtId="10" fontId="38" fillId="29" borderId="44" xfId="0" applyNumberFormat="1" applyFont="1" applyFill="1" applyBorder="1"/>
    <xf numFmtId="10" fontId="38" fillId="29" borderId="45" xfId="0" applyNumberFormat="1" applyFont="1" applyFill="1" applyBorder="1"/>
    <xf numFmtId="0" fontId="40" fillId="18" borderId="5" xfId="0" applyFont="1" applyFill="1" applyBorder="1"/>
    <xf numFmtId="0" fontId="38" fillId="18" borderId="5" xfId="0" applyFont="1" applyFill="1" applyBorder="1"/>
    <xf numFmtId="43" fontId="38" fillId="18" borderId="5" xfId="79" applyFont="1" applyFill="1" applyBorder="1"/>
    <xf numFmtId="10" fontId="38" fillId="18" borderId="44" xfId="0" applyNumberFormat="1" applyFont="1" applyFill="1" applyBorder="1"/>
    <xf numFmtId="0" fontId="40" fillId="30" borderId="5" xfId="0" applyFont="1" applyFill="1" applyBorder="1"/>
    <xf numFmtId="0" fontId="38" fillId="30" borderId="5" xfId="0" applyFont="1" applyFill="1" applyBorder="1"/>
    <xf numFmtId="166" fontId="38" fillId="30" borderId="5" xfId="79" applyNumberFormat="1" applyFont="1" applyFill="1" applyBorder="1"/>
    <xf numFmtId="43" fontId="38" fillId="30" borderId="5" xfId="79" applyFont="1" applyFill="1" applyBorder="1"/>
    <xf numFmtId="10" fontId="38" fillId="30" borderId="44" xfId="0" applyNumberFormat="1" applyFont="1" applyFill="1" applyBorder="1"/>
    <xf numFmtId="0" fontId="45" fillId="0" borderId="5" xfId="0" applyFont="1" applyBorder="1"/>
    <xf numFmtId="0" fontId="51" fillId="0" borderId="5" xfId="0" applyFont="1" applyBorder="1" applyAlignment="1">
      <alignment wrapText="1"/>
    </xf>
    <xf numFmtId="0" fontId="45" fillId="33" borderId="5" xfId="0" applyFont="1" applyFill="1" applyBorder="1"/>
    <xf numFmtId="43" fontId="45" fillId="33" borderId="5" xfId="79" applyFont="1" applyFill="1" applyBorder="1"/>
    <xf numFmtId="2" fontId="45" fillId="33" borderId="5" xfId="0" applyNumberFormat="1" applyFont="1" applyFill="1" applyBorder="1"/>
    <xf numFmtId="0" fontId="45" fillId="32" borderId="5" xfId="0" applyFont="1" applyFill="1" applyBorder="1"/>
    <xf numFmtId="43" fontId="45" fillId="32" borderId="5" xfId="79" applyFont="1" applyFill="1" applyBorder="1"/>
    <xf numFmtId="2" fontId="45" fillId="32" borderId="5" xfId="0" applyNumberFormat="1" applyFont="1" applyFill="1" applyBorder="1"/>
    <xf numFmtId="0" fontId="45" fillId="29" borderId="5" xfId="0" applyFont="1" applyFill="1" applyBorder="1"/>
    <xf numFmtId="43" fontId="45" fillId="29" borderId="5" xfId="79" applyFont="1" applyFill="1" applyBorder="1"/>
    <xf numFmtId="0" fontId="45" fillId="22" borderId="5" xfId="0" applyFont="1" applyFill="1" applyBorder="1"/>
    <xf numFmtId="43" fontId="45" fillId="22" borderId="5" xfId="79" applyFont="1" applyFill="1" applyBorder="1"/>
    <xf numFmtId="0" fontId="45" fillId="0" borderId="11" xfId="0" applyFont="1" applyBorder="1"/>
    <xf numFmtId="0" fontId="45" fillId="0" borderId="41" xfId="0" applyFont="1" applyBorder="1"/>
    <xf numFmtId="0" fontId="45" fillId="0" borderId="42" xfId="0" applyFont="1" applyBorder="1"/>
    <xf numFmtId="0" fontId="51" fillId="0" borderId="9" xfId="0" applyFont="1" applyBorder="1"/>
    <xf numFmtId="0" fontId="51" fillId="0" borderId="43" xfId="0" applyFont="1" applyBorder="1" applyAlignment="1">
      <alignment wrapText="1"/>
    </xf>
    <xf numFmtId="0" fontId="45" fillId="33" borderId="9" xfId="0" applyFont="1" applyFill="1" applyBorder="1"/>
    <xf numFmtId="0" fontId="45" fillId="33" borderId="43" xfId="0" applyFont="1" applyFill="1" applyBorder="1"/>
    <xf numFmtId="0" fontId="45" fillId="32" borderId="9" xfId="0" applyFont="1" applyFill="1" applyBorder="1"/>
    <xf numFmtId="0" fontId="45" fillId="32" borderId="43" xfId="0" applyFont="1" applyFill="1" applyBorder="1"/>
    <xf numFmtId="0" fontId="45" fillId="29" borderId="9" xfId="0" applyFont="1" applyFill="1" applyBorder="1"/>
    <xf numFmtId="0" fontId="45" fillId="29" borderId="43" xfId="0" applyFont="1" applyFill="1" applyBorder="1"/>
    <xf numFmtId="0" fontId="45" fillId="22" borderId="9" xfId="0" applyFont="1" applyFill="1" applyBorder="1"/>
    <xf numFmtId="0" fontId="45" fillId="22" borderId="43" xfId="0" applyFont="1" applyFill="1" applyBorder="1"/>
    <xf numFmtId="0" fontId="45" fillId="31" borderId="10" xfId="0" applyFont="1" applyFill="1" applyBorder="1"/>
    <xf numFmtId="43" fontId="45" fillId="31" borderId="44" xfId="79" applyFont="1" applyFill="1" applyBorder="1"/>
    <xf numFmtId="0" fontId="45" fillId="31" borderId="44" xfId="0" applyFont="1" applyFill="1" applyBorder="1"/>
    <xf numFmtId="0" fontId="45" fillId="31" borderId="45" xfId="0" applyFont="1" applyFill="1" applyBorder="1"/>
    <xf numFmtId="0" fontId="51" fillId="31" borderId="5" xfId="0" applyFont="1" applyFill="1" applyBorder="1"/>
    <xf numFmtId="10" fontId="45" fillId="0" borderId="5" xfId="0" applyNumberFormat="1" applyFont="1" applyBorder="1"/>
    <xf numFmtId="0" fontId="51" fillId="31" borderId="11" xfId="0" applyFont="1" applyFill="1" applyBorder="1"/>
    <xf numFmtId="0" fontId="51" fillId="31" borderId="41" xfId="0" applyFont="1" applyFill="1" applyBorder="1"/>
    <xf numFmtId="0" fontId="51" fillId="31" borderId="42" xfId="0" applyFont="1" applyFill="1" applyBorder="1"/>
    <xf numFmtId="0" fontId="51" fillId="31" borderId="9" xfId="0" applyFont="1" applyFill="1" applyBorder="1"/>
    <xf numFmtId="0" fontId="51" fillId="31" borderId="43" xfId="0" applyFont="1" applyFill="1" applyBorder="1"/>
    <xf numFmtId="0" fontId="45" fillId="0" borderId="9" xfId="0" applyFont="1" applyBorder="1"/>
    <xf numFmtId="0" fontId="45" fillId="0" borderId="43" xfId="0" applyFont="1" applyBorder="1"/>
    <xf numFmtId="0" fontId="45" fillId="0" borderId="10" xfId="0" applyFont="1" applyBorder="1"/>
    <xf numFmtId="0" fontId="45" fillId="0" borderId="44" xfId="0" applyFont="1" applyBorder="1"/>
    <xf numFmtId="10" fontId="45" fillId="0" borderId="44" xfId="0" applyNumberFormat="1" applyFont="1" applyBorder="1"/>
    <xf numFmtId="0" fontId="45" fillId="0" borderId="45" xfId="0" applyFont="1" applyBorder="1"/>
    <xf numFmtId="17" fontId="37" fillId="0" borderId="0" xfId="0" applyNumberFormat="1" applyFont="1" applyAlignment="1">
      <alignment horizontal="center" vertical="center"/>
    </xf>
    <xf numFmtId="0" fontId="0" fillId="0" borderId="47" xfId="0" applyBorder="1" applyAlignment="1" applyProtection="1">
      <alignment vertical="top" wrapText="1"/>
      <protection locked="0"/>
    </xf>
    <xf numFmtId="168" fontId="13" fillId="18" borderId="23" xfId="0" applyNumberFormat="1" applyFont="1" applyFill="1" applyBorder="1" applyAlignment="1" applyProtection="1">
      <alignment vertical="top" wrapText="1" readingOrder="1"/>
      <protection locked="0"/>
    </xf>
    <xf numFmtId="43" fontId="0" fillId="0" borderId="47" xfId="79" applyFont="1" applyBorder="1" applyAlignment="1" applyProtection="1">
      <alignment vertical="top" wrapText="1"/>
      <protection locked="0"/>
    </xf>
    <xf numFmtId="0" fontId="41" fillId="0" borderId="48" xfId="1029" applyFont="1" applyBorder="1"/>
    <xf numFmtId="0" fontId="42" fillId="0" borderId="48" xfId="1029" applyFont="1" applyBorder="1" applyAlignment="1">
      <alignment horizontal="center"/>
    </xf>
    <xf numFmtId="0" fontId="42" fillId="0" borderId="48" xfId="1029" applyFont="1" applyBorder="1"/>
    <xf numFmtId="0" fontId="33" fillId="0" borderId="48" xfId="1029" applyFont="1" applyBorder="1"/>
    <xf numFmtId="0" fontId="33" fillId="27" borderId="48" xfId="1029" applyFont="1" applyFill="1" applyBorder="1"/>
    <xf numFmtId="0" fontId="53" fillId="10" borderId="48" xfId="1029" applyFont="1" applyFill="1" applyBorder="1" applyAlignment="1">
      <alignment horizontal="center"/>
    </xf>
    <xf numFmtId="1" fontId="40" fillId="0" borderId="48" xfId="0" applyNumberFormat="1" applyFont="1" applyBorder="1" applyAlignment="1">
      <alignment horizontal="center" vertical="center"/>
    </xf>
    <xf numFmtId="0" fontId="40" fillId="25" borderId="48" xfId="0" applyFont="1" applyFill="1" applyBorder="1"/>
    <xf numFmtId="0" fontId="53" fillId="0" borderId="48" xfId="1029" applyFont="1" applyBorder="1"/>
    <xf numFmtId="17" fontId="53" fillId="27" borderId="48" xfId="1029" applyNumberFormat="1" applyFont="1" applyFill="1" applyBorder="1"/>
    <xf numFmtId="17" fontId="35" fillId="0" borderId="48" xfId="1029" applyNumberFormat="1" applyFont="1" applyBorder="1"/>
    <xf numFmtId="0" fontId="53" fillId="0" borderId="48" xfId="1029" applyFont="1" applyBorder="1" applyAlignment="1">
      <alignment horizontal="center"/>
    </xf>
    <xf numFmtId="9" fontId="53" fillId="0" borderId="48" xfId="1092" applyFont="1" applyFill="1" applyBorder="1"/>
    <xf numFmtId="0" fontId="35" fillId="0" borderId="48" xfId="1029" applyFont="1" applyBorder="1"/>
    <xf numFmtId="0" fontId="35" fillId="27" borderId="48" xfId="1029" applyFont="1" applyFill="1" applyBorder="1"/>
    <xf numFmtId="0" fontId="54" fillId="0" borderId="48" xfId="1029" applyFont="1" applyBorder="1" applyAlignment="1">
      <alignment horizontal="center"/>
    </xf>
    <xf numFmtId="166" fontId="42" fillId="0" borderId="48" xfId="79" applyNumberFormat="1" applyFont="1" applyBorder="1" applyAlignment="1">
      <alignment horizontal="right"/>
    </xf>
    <xf numFmtId="166" fontId="42" fillId="27" borderId="48" xfId="79" applyNumberFormat="1" applyFont="1" applyFill="1" applyBorder="1" applyAlignment="1">
      <alignment horizontal="right"/>
    </xf>
    <xf numFmtId="173" fontId="54" fillId="0" borderId="48" xfId="1092" applyNumberFormat="1" applyFont="1" applyBorder="1"/>
    <xf numFmtId="173" fontId="54" fillId="27" borderId="48" xfId="1092" applyNumberFormat="1" applyFont="1" applyFill="1" applyBorder="1"/>
    <xf numFmtId="173" fontId="42" fillId="0" borderId="48" xfId="1092" applyNumberFormat="1" applyFont="1" applyBorder="1"/>
    <xf numFmtId="173" fontId="42" fillId="27" borderId="48" xfId="1092" applyNumberFormat="1" applyFont="1" applyFill="1" applyBorder="1"/>
    <xf numFmtId="0" fontId="53" fillId="27" borderId="48" xfId="1029" applyFont="1" applyFill="1" applyBorder="1"/>
    <xf numFmtId="173" fontId="42" fillId="24" borderId="48" xfId="1092" applyNumberFormat="1" applyFont="1" applyFill="1" applyBorder="1"/>
    <xf numFmtId="173" fontId="42" fillId="23" borderId="48" xfId="1092" applyNumberFormat="1" applyFont="1" applyFill="1" applyBorder="1"/>
    <xf numFmtId="173" fontId="42" fillId="0" borderId="48" xfId="1092" applyNumberFormat="1" applyFont="1" applyBorder="1" applyAlignment="1">
      <alignment horizontal="center"/>
    </xf>
    <xf numFmtId="0" fontId="41" fillId="0" borderId="48" xfId="1029" applyFont="1" applyBorder="1" applyAlignment="1">
      <alignment horizontal="center"/>
    </xf>
    <xf numFmtId="14" fontId="41" fillId="10" borderId="48" xfId="1029" applyNumberFormat="1" applyFont="1" applyFill="1" applyBorder="1" applyAlignment="1">
      <alignment horizontal="center"/>
    </xf>
    <xf numFmtId="14" fontId="41" fillId="27" borderId="48" xfId="1029" applyNumberFormat="1" applyFont="1" applyFill="1" applyBorder="1" applyAlignment="1">
      <alignment horizontal="center"/>
    </xf>
    <xf numFmtId="173" fontId="55" fillId="0" borderId="48" xfId="1092" applyNumberFormat="1" applyFont="1" applyBorder="1" applyAlignment="1">
      <alignment horizontal="center"/>
    </xf>
    <xf numFmtId="173" fontId="55" fillId="0" borderId="48" xfId="1092" applyNumberFormat="1" applyFont="1" applyBorder="1"/>
    <xf numFmtId="173" fontId="55" fillId="27" borderId="48" xfId="1092" applyNumberFormat="1" applyFont="1" applyFill="1" applyBorder="1"/>
    <xf numFmtId="173" fontId="56" fillId="0" borderId="48" xfId="1092" applyNumberFormat="1" applyFont="1" applyBorder="1" applyAlignment="1">
      <alignment horizontal="center"/>
    </xf>
    <xf numFmtId="173" fontId="56" fillId="0" borderId="48" xfId="1092" applyNumberFormat="1" applyFont="1" applyBorder="1"/>
    <xf numFmtId="173" fontId="56" fillId="27" borderId="48" xfId="1092" applyNumberFormat="1" applyFont="1" applyFill="1" applyBorder="1"/>
    <xf numFmtId="14" fontId="53" fillId="10" borderId="48" xfId="1029" applyNumberFormat="1" applyFont="1" applyFill="1" applyBorder="1" applyAlignment="1">
      <alignment horizontal="center"/>
    </xf>
    <xf numFmtId="14" fontId="53" fillId="27" borderId="48" xfId="1029" applyNumberFormat="1" applyFont="1" applyFill="1" applyBorder="1" applyAlignment="1">
      <alignment horizontal="center"/>
    </xf>
    <xf numFmtId="173" fontId="54" fillId="0" borderId="48" xfId="1092" applyNumberFormat="1" applyFont="1" applyBorder="1" applyAlignment="1">
      <alignment horizontal="center"/>
    </xf>
    <xf numFmtId="173" fontId="54" fillId="0" borderId="48" xfId="1092" applyNumberFormat="1" applyFont="1" applyBorder="1" applyAlignment="1">
      <alignment horizontal="right"/>
    </xf>
    <xf numFmtId="173" fontId="54" fillId="27" borderId="48" xfId="1092" applyNumberFormat="1" applyFont="1" applyFill="1" applyBorder="1" applyAlignment="1">
      <alignment horizontal="right"/>
    </xf>
    <xf numFmtId="9" fontId="54" fillId="0" borderId="48" xfId="1092" applyFont="1" applyBorder="1" applyAlignment="1">
      <alignment horizontal="right"/>
    </xf>
    <xf numFmtId="9" fontId="54" fillId="27" borderId="48" xfId="1092" applyFont="1" applyFill="1" applyBorder="1" applyAlignment="1">
      <alignment horizontal="right"/>
    </xf>
    <xf numFmtId="9" fontId="42" fillId="0" borderId="48" xfId="1090" applyFont="1" applyBorder="1" applyAlignment="1">
      <alignment horizontal="right"/>
    </xf>
    <xf numFmtId="9" fontId="42" fillId="27" borderId="48" xfId="1090" applyFont="1" applyFill="1" applyBorder="1" applyAlignment="1">
      <alignment horizontal="right"/>
    </xf>
    <xf numFmtId="14" fontId="53" fillId="10" borderId="48" xfId="1029" applyNumberFormat="1" applyFont="1" applyFill="1" applyBorder="1" applyAlignment="1">
      <alignment horizontal="right"/>
    </xf>
    <xf numFmtId="14" fontId="53" fillId="27" borderId="48" xfId="1029" applyNumberFormat="1" applyFont="1" applyFill="1" applyBorder="1" applyAlignment="1">
      <alignment horizontal="right"/>
    </xf>
    <xf numFmtId="0" fontId="42" fillId="0" borderId="48" xfId="1029" applyFont="1" applyBorder="1" applyAlignment="1">
      <alignment horizontal="right"/>
    </xf>
    <xf numFmtId="0" fontId="42" fillId="27" borderId="48" xfId="1029" applyFont="1" applyFill="1" applyBorder="1" applyAlignment="1">
      <alignment horizontal="right"/>
    </xf>
    <xf numFmtId="9" fontId="54" fillId="0" borderId="48" xfId="1029" applyNumberFormat="1" applyFont="1" applyBorder="1" applyAlignment="1">
      <alignment horizontal="center"/>
    </xf>
    <xf numFmtId="173" fontId="42" fillId="0" borderId="48" xfId="1092" applyNumberFormat="1" applyFont="1" applyBorder="1" applyAlignment="1">
      <alignment horizontal="right"/>
    </xf>
    <xf numFmtId="173" fontId="42" fillId="27" borderId="48" xfId="1092" applyNumberFormat="1" applyFont="1" applyFill="1" applyBorder="1" applyAlignment="1">
      <alignment horizontal="right"/>
    </xf>
    <xf numFmtId="0" fontId="33" fillId="0" borderId="48" xfId="1029" applyFont="1" applyBorder="1" applyAlignment="1">
      <alignment horizontal="center"/>
    </xf>
    <xf numFmtId="0" fontId="39" fillId="0" borderId="48" xfId="1029" applyFont="1" applyBorder="1" applyAlignment="1">
      <alignment horizontal="center"/>
    </xf>
    <xf numFmtId="0" fontId="33" fillId="0" borderId="48" xfId="1029" applyFont="1" applyBorder="1" applyAlignment="1">
      <alignment horizontal="right"/>
    </xf>
    <xf numFmtId="0" fontId="33" fillId="27" borderId="48" xfId="1029" applyFont="1" applyFill="1" applyBorder="1" applyAlignment="1">
      <alignment horizontal="right"/>
    </xf>
    <xf numFmtId="9" fontId="39" fillId="0" borderId="48" xfId="1029" applyNumberFormat="1" applyFont="1" applyBorder="1" applyAlignment="1">
      <alignment horizontal="center"/>
    </xf>
    <xf numFmtId="173" fontId="39" fillId="0" borderId="48" xfId="1092" applyNumberFormat="1" applyFont="1" applyBorder="1" applyAlignment="1">
      <alignment horizontal="right"/>
    </xf>
    <xf numFmtId="173" fontId="39" fillId="27" borderId="48" xfId="1092" applyNumberFormat="1" applyFont="1" applyFill="1" applyBorder="1" applyAlignment="1">
      <alignment horizontal="right"/>
    </xf>
    <xf numFmtId="10" fontId="44" fillId="0" borderId="48" xfId="1090" applyNumberFormat="1" applyFont="1" applyBorder="1"/>
    <xf numFmtId="10" fontId="36" fillId="27" borderId="48" xfId="1090" applyNumberFormat="1" applyFont="1" applyFill="1" applyBorder="1"/>
    <xf numFmtId="9" fontId="33" fillId="0" borderId="48" xfId="1090" applyFont="1" applyBorder="1"/>
    <xf numFmtId="9" fontId="44" fillId="0" borderId="48" xfId="1090" applyFont="1" applyBorder="1"/>
    <xf numFmtId="9" fontId="36" fillId="27" borderId="48" xfId="1090" applyFont="1" applyFill="1" applyBorder="1"/>
    <xf numFmtId="0" fontId="35" fillId="0" borderId="49" xfId="1029" applyFont="1" applyBorder="1"/>
    <xf numFmtId="172" fontId="35" fillId="0" borderId="49" xfId="1029" applyNumberFormat="1" applyFont="1" applyBorder="1"/>
    <xf numFmtId="0" fontId="33" fillId="0" borderId="49" xfId="1029" applyFont="1" applyBorder="1"/>
    <xf numFmtId="172" fontId="33" fillId="0" borderId="49" xfId="1029" applyNumberFormat="1" applyFont="1" applyBorder="1"/>
    <xf numFmtId="0" fontId="33" fillId="0" borderId="49" xfId="1029" applyFont="1" applyBorder="1" applyAlignment="1">
      <alignment horizontal="right"/>
    </xf>
    <xf numFmtId="172" fontId="34" fillId="0" borderId="49" xfId="1029" applyNumberFormat="1" applyFont="1" applyBorder="1"/>
    <xf numFmtId="0" fontId="41" fillId="0" borderId="50" xfId="1029" applyFont="1" applyBorder="1"/>
    <xf numFmtId="0" fontId="42" fillId="0" borderId="51" xfId="1029" applyFont="1" applyBorder="1" applyAlignment="1">
      <alignment horizontal="center"/>
    </xf>
    <xf numFmtId="0" fontId="42" fillId="0" borderId="51" xfId="1029" applyFont="1" applyBorder="1"/>
    <xf numFmtId="0" fontId="33" fillId="0" borderId="51" xfId="1029" applyFont="1" applyBorder="1"/>
    <xf numFmtId="0" fontId="33" fillId="27" borderId="51" xfId="1029" applyFont="1" applyFill="1" applyBorder="1"/>
    <xf numFmtId="0" fontId="33" fillId="0" borderId="52" xfId="1029" applyFont="1" applyBorder="1"/>
    <xf numFmtId="0" fontId="53" fillId="10" borderId="53" xfId="1029" applyFont="1" applyFill="1" applyBorder="1"/>
    <xf numFmtId="0" fontId="53" fillId="0" borderId="53" xfId="1029" applyFont="1" applyBorder="1"/>
    <xf numFmtId="0" fontId="35" fillId="27" borderId="54" xfId="1029" applyFont="1" applyFill="1" applyBorder="1"/>
    <xf numFmtId="0" fontId="42" fillId="0" borderId="53" xfId="1029" applyFont="1" applyBorder="1"/>
    <xf numFmtId="0" fontId="42" fillId="23" borderId="53" xfId="1029" applyFont="1" applyFill="1" applyBorder="1"/>
    <xf numFmtId="173" fontId="42" fillId="27" borderId="54" xfId="1092" applyNumberFormat="1" applyFont="1" applyFill="1" applyBorder="1"/>
    <xf numFmtId="0" fontId="53" fillId="27" borderId="54" xfId="1029" applyFont="1" applyFill="1" applyBorder="1"/>
    <xf numFmtId="0" fontId="41" fillId="0" borderId="53" xfId="1029" applyFont="1" applyBorder="1"/>
    <xf numFmtId="14" fontId="41" fillId="27" borderId="54" xfId="1029" applyNumberFormat="1" applyFont="1" applyFill="1" applyBorder="1" applyAlignment="1">
      <alignment horizontal="center"/>
    </xf>
    <xf numFmtId="0" fontId="55" fillId="0" borderId="53" xfId="1029" applyFont="1" applyBorder="1"/>
    <xf numFmtId="14" fontId="53" fillId="27" borderId="54" xfId="1029" applyNumberFormat="1" applyFont="1" applyFill="1" applyBorder="1" applyAlignment="1">
      <alignment horizontal="center"/>
    </xf>
    <xf numFmtId="0" fontId="56" fillId="23" borderId="53" xfId="1029" applyFont="1" applyFill="1" applyBorder="1"/>
    <xf numFmtId="9" fontId="42" fillId="27" borderId="54" xfId="1090" applyFont="1" applyFill="1" applyBorder="1" applyAlignment="1">
      <alignment horizontal="right"/>
    </xf>
    <xf numFmtId="0" fontId="41" fillId="23" borderId="53" xfId="1029" applyFont="1" applyFill="1" applyBorder="1"/>
    <xf numFmtId="14" fontId="53" fillId="27" borderId="54" xfId="1029" applyNumberFormat="1" applyFont="1" applyFill="1" applyBorder="1" applyAlignment="1">
      <alignment horizontal="right"/>
    </xf>
    <xf numFmtId="0" fontId="42" fillId="27" borderId="54" xfId="1029" applyFont="1" applyFill="1" applyBorder="1" applyAlignment="1">
      <alignment horizontal="right"/>
    </xf>
    <xf numFmtId="0" fontId="34" fillId="23" borderId="53" xfId="1029" applyFont="1" applyFill="1" applyBorder="1"/>
    <xf numFmtId="0" fontId="33" fillId="27" borderId="54" xfId="1029" applyFont="1" applyFill="1" applyBorder="1" applyAlignment="1">
      <alignment horizontal="right"/>
    </xf>
    <xf numFmtId="0" fontId="33" fillId="23" borderId="53" xfId="1029" applyFont="1" applyFill="1" applyBorder="1"/>
    <xf numFmtId="173" fontId="39" fillId="27" borderId="54" xfId="1092" applyNumberFormat="1" applyFont="1" applyFill="1" applyBorder="1" applyAlignment="1">
      <alignment horizontal="right"/>
    </xf>
    <xf numFmtId="173" fontId="34" fillId="0" borderId="53" xfId="1092" applyNumberFormat="1" applyFont="1" applyBorder="1"/>
    <xf numFmtId="0" fontId="33" fillId="27" borderId="54" xfId="1029" applyFont="1" applyFill="1" applyBorder="1"/>
    <xf numFmtId="0" fontId="33" fillId="0" borderId="53" xfId="1029" applyFont="1" applyBorder="1"/>
    <xf numFmtId="0" fontId="33" fillId="0" borderId="55" xfId="1029" applyFont="1" applyBorder="1"/>
    <xf numFmtId="0" fontId="33" fillId="0" borderId="56" xfId="1029" applyFont="1" applyBorder="1" applyAlignment="1">
      <alignment horizontal="center"/>
    </xf>
    <xf numFmtId="0" fontId="33" fillId="0" borderId="56" xfId="1029" applyFont="1" applyBorder="1"/>
    <xf numFmtId="9" fontId="33" fillId="0" borderId="56" xfId="1090" applyFont="1" applyBorder="1"/>
    <xf numFmtId="9" fontId="33" fillId="27" borderId="56" xfId="1090" applyFont="1" applyFill="1" applyBorder="1"/>
    <xf numFmtId="0" fontId="53" fillId="10" borderId="48" xfId="1029" applyFont="1" applyFill="1" applyBorder="1" applyAlignment="1">
      <alignment horizontal="center" wrapText="1"/>
    </xf>
    <xf numFmtId="0" fontId="58" fillId="0" borderId="57" xfId="0" applyFont="1" applyBorder="1" applyAlignment="1">
      <alignment wrapText="1" readingOrder="1"/>
    </xf>
    <xf numFmtId="4" fontId="58" fillId="0" borderId="57" xfId="0" applyNumberFormat="1" applyFont="1" applyBorder="1" applyAlignment="1">
      <alignment wrapText="1" readingOrder="1"/>
    </xf>
    <xf numFmtId="0" fontId="58" fillId="0" borderId="58" xfId="0" applyFont="1" applyBorder="1" applyAlignment="1">
      <alignment wrapText="1" readingOrder="1"/>
    </xf>
    <xf numFmtId="4" fontId="58" fillId="0" borderId="58" xfId="0" applyNumberFormat="1" applyFont="1" applyBorder="1" applyAlignment="1">
      <alignment wrapText="1" readingOrder="1"/>
    </xf>
    <xf numFmtId="0" fontId="58" fillId="0" borderId="59" xfId="0" applyFont="1" applyBorder="1" applyAlignment="1">
      <alignment wrapText="1" readingOrder="1"/>
    </xf>
    <xf numFmtId="4" fontId="58" fillId="0" borderId="59" xfId="0" applyNumberFormat="1" applyFont="1" applyBorder="1" applyAlignment="1">
      <alignment wrapText="1" readingOrder="1"/>
    </xf>
    <xf numFmtId="0" fontId="58" fillId="0" borderId="60" xfId="0" applyFont="1" applyBorder="1" applyAlignment="1">
      <alignment wrapText="1" readingOrder="1"/>
    </xf>
    <xf numFmtId="4" fontId="58" fillId="0" borderId="60" xfId="0" applyNumberFormat="1" applyFont="1" applyBorder="1" applyAlignment="1">
      <alignment wrapText="1" readingOrder="1"/>
    </xf>
    <xf numFmtId="0" fontId="59" fillId="0" borderId="57" xfId="0" applyFont="1" applyBorder="1" applyAlignment="1">
      <alignment wrapText="1" readingOrder="1"/>
    </xf>
    <xf numFmtId="4" fontId="59" fillId="0" borderId="57" xfId="0" applyNumberFormat="1" applyFont="1" applyBorder="1" applyAlignment="1">
      <alignment wrapText="1" readingOrder="1"/>
    </xf>
    <xf numFmtId="0" fontId="59" fillId="0" borderId="58" xfId="0" applyFont="1" applyBorder="1" applyAlignment="1">
      <alignment wrapText="1" readingOrder="1"/>
    </xf>
    <xf numFmtId="4" fontId="59" fillId="0" borderId="58" xfId="0" applyNumberFormat="1" applyFont="1" applyBorder="1" applyAlignment="1">
      <alignment wrapText="1" readingOrder="1"/>
    </xf>
    <xf numFmtId="0" fontId="59" fillId="0" borderId="59" xfId="0" applyFont="1" applyBorder="1" applyAlignment="1">
      <alignment wrapText="1" readingOrder="1"/>
    </xf>
    <xf numFmtId="4" fontId="59" fillId="0" borderId="59" xfId="0" applyNumberFormat="1" applyFont="1" applyBorder="1" applyAlignment="1">
      <alignment wrapText="1" readingOrder="1"/>
    </xf>
    <xf numFmtId="0" fontId="59" fillId="0" borderId="60" xfId="0" applyFont="1" applyBorder="1" applyAlignment="1">
      <alignment wrapText="1" readingOrder="1"/>
    </xf>
    <xf numFmtId="4" fontId="59" fillId="0" borderId="60" xfId="0" applyNumberFormat="1" applyFont="1" applyBorder="1" applyAlignment="1">
      <alignment wrapText="1" readingOrder="1"/>
    </xf>
    <xf numFmtId="0" fontId="51" fillId="0" borderId="5" xfId="0" applyFont="1" applyBorder="1" applyAlignment="1">
      <alignment horizontal="center"/>
    </xf>
    <xf numFmtId="0" fontId="51" fillId="0" borderId="43" xfId="0" applyFont="1" applyBorder="1" applyAlignment="1">
      <alignment horizontal="center"/>
    </xf>
    <xf numFmtId="166" fontId="51" fillId="0" borderId="5" xfId="79" applyNumberFormat="1" applyFont="1" applyBorder="1" applyAlignment="1">
      <alignment horizontal="center"/>
    </xf>
    <xf numFmtId="166" fontId="51" fillId="0" borderId="43" xfId="79" applyNumberFormat="1" applyFont="1" applyBorder="1" applyAlignment="1">
      <alignment horizontal="center"/>
    </xf>
    <xf numFmtId="0" fontId="40" fillId="30" borderId="41" xfId="0" applyFont="1" applyFill="1" applyBorder="1" applyAlignment="1">
      <alignment horizontal="center"/>
    </xf>
    <xf numFmtId="0" fontId="40" fillId="18" borderId="41" xfId="0" applyFont="1" applyFill="1" applyBorder="1" applyAlignment="1">
      <alignment horizontal="center"/>
    </xf>
    <xf numFmtId="0" fontId="40" fillId="29" borderId="41" xfId="0" applyFont="1" applyFill="1" applyBorder="1" applyAlignment="1">
      <alignment horizontal="center"/>
    </xf>
    <xf numFmtId="0" fontId="40" fillId="29" borderId="42" xfId="0" applyFont="1" applyFill="1" applyBorder="1" applyAlignment="1">
      <alignment horizontal="center"/>
    </xf>
    <xf numFmtId="0" fontId="40" fillId="0" borderId="46" xfId="0" applyFont="1" applyBorder="1" applyAlignment="1">
      <alignment horizontal="center"/>
    </xf>
    <xf numFmtId="0" fontId="34" fillId="0" borderId="21" xfId="1029" applyFont="1" applyBorder="1" applyAlignment="1">
      <alignment horizontal="center" vertical="center" textRotation="90"/>
    </xf>
    <xf numFmtId="0" fontId="33" fillId="0" borderId="21" xfId="1029" applyFont="1" applyBorder="1" applyAlignment="1">
      <alignment horizontal="center" vertical="center"/>
    </xf>
    <xf numFmtId="0" fontId="33" fillId="0" borderId="21" xfId="1029" applyFont="1" applyBorder="1" applyAlignment="1">
      <alignment horizontal="center" vertical="distributed" textRotation="90"/>
    </xf>
    <xf numFmtId="0" fontId="42" fillId="0" borderId="21" xfId="1029" applyFont="1" applyBorder="1" applyAlignment="1">
      <alignment horizontal="center" vertical="center"/>
    </xf>
    <xf numFmtId="0" fontId="33" fillId="0" borderId="21" xfId="1029" applyFont="1" applyBorder="1" applyAlignment="1">
      <alignment horizontal="left" vertical="center"/>
    </xf>
    <xf numFmtId="0" fontId="33" fillId="0" borderId="21" xfId="1029" applyFont="1" applyBorder="1" applyAlignment="1">
      <alignment horizontal="center" vertical="center" textRotation="90"/>
    </xf>
    <xf numFmtId="17" fontId="19" fillId="0" borderId="18" xfId="0" applyNumberFormat="1" applyFont="1" applyBorder="1" applyAlignment="1">
      <alignment horizontal="center" wrapText="1"/>
    </xf>
    <xf numFmtId="0" fontId="19" fillId="0" borderId="24" xfId="0" applyFont="1" applyBorder="1" applyAlignment="1">
      <alignment horizontal="center" wrapText="1"/>
    </xf>
    <xf numFmtId="0" fontId="19" fillId="0" borderId="25" xfId="0" applyFont="1" applyBorder="1" applyAlignment="1">
      <alignment horizontal="center" wrapText="1"/>
    </xf>
    <xf numFmtId="0" fontId="3" fillId="0" borderId="0" xfId="0" applyFont="1" applyAlignment="1" applyProtection="1">
      <alignment horizontal="left" wrapText="1"/>
      <protection locked="0"/>
    </xf>
    <xf numFmtId="0" fontId="19" fillId="0" borderId="17" xfId="0" applyFont="1" applyBorder="1" applyAlignment="1">
      <alignment horizontal="center"/>
    </xf>
    <xf numFmtId="0" fontId="18" fillId="0" borderId="17" xfId="0" applyFont="1" applyBorder="1" applyAlignment="1">
      <alignment horizontal="center" wrapText="1"/>
    </xf>
    <xf numFmtId="0" fontId="18" fillId="0" borderId="26" xfId="0" applyFont="1" applyBorder="1" applyAlignment="1">
      <alignment horizontal="center" wrapText="1"/>
    </xf>
    <xf numFmtId="0" fontId="23" fillId="0" borderId="17" xfId="0" applyFont="1" applyBorder="1" applyAlignment="1">
      <alignment horizontal="left" wrapText="1"/>
    </xf>
    <xf numFmtId="0" fontId="58" fillId="0" borderId="57" xfId="0" applyFont="1" applyFill="1" applyBorder="1" applyAlignment="1">
      <alignment wrapText="1" readingOrder="1"/>
    </xf>
    <xf numFmtId="4" fontId="58" fillId="0" borderId="57" xfId="0" applyNumberFormat="1" applyFont="1" applyFill="1" applyBorder="1" applyAlignment="1">
      <alignment wrapText="1" readingOrder="1"/>
    </xf>
    <xf numFmtId="4" fontId="58" fillId="0" borderId="58" xfId="0" applyNumberFormat="1" applyFont="1" applyFill="1" applyBorder="1" applyAlignment="1">
      <alignment wrapText="1" readingOrder="1"/>
    </xf>
    <xf numFmtId="0" fontId="58" fillId="0" borderId="59" xfId="0" applyFont="1" applyFill="1" applyBorder="1" applyAlignment="1">
      <alignment wrapText="1" readingOrder="1"/>
    </xf>
    <xf numFmtId="4" fontId="58" fillId="0" borderId="59" xfId="0" applyNumberFormat="1" applyFont="1" applyFill="1" applyBorder="1" applyAlignment="1">
      <alignment wrapText="1" readingOrder="1"/>
    </xf>
    <xf numFmtId="0" fontId="58" fillId="0" borderId="60" xfId="0" applyFont="1" applyFill="1" applyBorder="1" applyAlignment="1">
      <alignment wrapText="1" readingOrder="1"/>
    </xf>
    <xf numFmtId="4" fontId="58" fillId="0" borderId="60" xfId="0" applyNumberFormat="1" applyFont="1" applyFill="1" applyBorder="1" applyAlignment="1">
      <alignment wrapText="1" readingOrder="1"/>
    </xf>
    <xf numFmtId="0" fontId="59" fillId="0" borderId="57" xfId="0" applyFont="1" applyFill="1" applyBorder="1" applyAlignment="1">
      <alignment wrapText="1" readingOrder="1"/>
    </xf>
    <xf numFmtId="4" fontId="59" fillId="0" borderId="57" xfId="0" applyNumberFormat="1" applyFont="1" applyFill="1" applyBorder="1" applyAlignment="1">
      <alignment wrapText="1" readingOrder="1"/>
    </xf>
    <xf numFmtId="0" fontId="59" fillId="0" borderId="58" xfId="0" applyFont="1" applyFill="1" applyBorder="1" applyAlignment="1">
      <alignment wrapText="1" readingOrder="1"/>
    </xf>
    <xf numFmtId="4" fontId="59" fillId="0" borderId="58" xfId="0" applyNumberFormat="1" applyFont="1" applyFill="1" applyBorder="1" applyAlignment="1">
      <alignment wrapText="1" readingOrder="1"/>
    </xf>
    <xf numFmtId="0" fontId="59" fillId="0" borderId="59" xfId="0" applyFont="1" applyFill="1" applyBorder="1" applyAlignment="1">
      <alignment wrapText="1" readingOrder="1"/>
    </xf>
    <xf numFmtId="4" fontId="59" fillId="0" borderId="59" xfId="0" applyNumberFormat="1" applyFont="1" applyFill="1" applyBorder="1" applyAlignment="1">
      <alignment wrapText="1" readingOrder="1"/>
    </xf>
    <xf numFmtId="0" fontId="59" fillId="0" borderId="60" xfId="0" applyFont="1" applyFill="1" applyBorder="1" applyAlignment="1">
      <alignment wrapText="1" readingOrder="1"/>
    </xf>
    <xf numFmtId="4" fontId="59" fillId="0" borderId="60" xfId="0" applyNumberFormat="1" applyFont="1" applyFill="1" applyBorder="1" applyAlignment="1">
      <alignment wrapText="1" readingOrder="1"/>
    </xf>
  </cellXfs>
  <cellStyles count="1105">
    <cellStyle name="60% - Accent2 2" xfId="1" xr:uid="{00000000-0005-0000-0000-000000000000}"/>
    <cellStyle name="60% - Accent2 2 2" xfId="2" xr:uid="{00000000-0005-0000-0000-000001000000}"/>
    <cellStyle name="60% - Accent2 2 2 2" xfId="3" xr:uid="{00000000-0005-0000-0000-000002000000}"/>
    <cellStyle name="Accent1 2" xfId="4" xr:uid="{00000000-0005-0000-0000-000003000000}"/>
    <cellStyle name="Accent1 2 10" xfId="5" xr:uid="{00000000-0005-0000-0000-000004000000}"/>
    <cellStyle name="Accent1 2 10 2" xfId="6" xr:uid="{00000000-0005-0000-0000-000005000000}"/>
    <cellStyle name="Accent1 2 10 2 2" xfId="7" xr:uid="{00000000-0005-0000-0000-000006000000}"/>
    <cellStyle name="Accent1 2 11" xfId="8" xr:uid="{00000000-0005-0000-0000-000007000000}"/>
    <cellStyle name="Accent1 2 11 2" xfId="9" xr:uid="{00000000-0005-0000-0000-000008000000}"/>
    <cellStyle name="Accent1 2 11 2 2" xfId="10" xr:uid="{00000000-0005-0000-0000-000009000000}"/>
    <cellStyle name="Accent1 2 12" xfId="11" xr:uid="{00000000-0005-0000-0000-00000A000000}"/>
    <cellStyle name="Accent1 2 12 2" xfId="12" xr:uid="{00000000-0005-0000-0000-00000B000000}"/>
    <cellStyle name="Accent1 2 12 2 2" xfId="13" xr:uid="{00000000-0005-0000-0000-00000C000000}"/>
    <cellStyle name="Accent1 2 13" xfId="14" xr:uid="{00000000-0005-0000-0000-00000D000000}"/>
    <cellStyle name="Accent1 2 13 2" xfId="15" xr:uid="{00000000-0005-0000-0000-00000E000000}"/>
    <cellStyle name="Accent1 2 2" xfId="16" xr:uid="{00000000-0005-0000-0000-00000F000000}"/>
    <cellStyle name="Accent1 2 2 2" xfId="17" xr:uid="{00000000-0005-0000-0000-000010000000}"/>
    <cellStyle name="Accent1 2 2 2 2" xfId="18" xr:uid="{00000000-0005-0000-0000-000011000000}"/>
    <cellStyle name="Accent1 2 3" xfId="19" xr:uid="{00000000-0005-0000-0000-000012000000}"/>
    <cellStyle name="Accent1 2 3 2" xfId="20" xr:uid="{00000000-0005-0000-0000-000013000000}"/>
    <cellStyle name="Accent1 2 3 2 2" xfId="21" xr:uid="{00000000-0005-0000-0000-000014000000}"/>
    <cellStyle name="Accent1 2 4" xfId="22" xr:uid="{00000000-0005-0000-0000-000015000000}"/>
    <cellStyle name="Accent1 2 4 2" xfId="23" xr:uid="{00000000-0005-0000-0000-000016000000}"/>
    <cellStyle name="Accent1 2 4 2 2" xfId="24" xr:uid="{00000000-0005-0000-0000-000017000000}"/>
    <cellStyle name="Accent1 2 5" xfId="25" xr:uid="{00000000-0005-0000-0000-000018000000}"/>
    <cellStyle name="Accent1 2 5 2" xfId="26" xr:uid="{00000000-0005-0000-0000-000019000000}"/>
    <cellStyle name="Accent1 2 5 2 2" xfId="27" xr:uid="{00000000-0005-0000-0000-00001A000000}"/>
    <cellStyle name="Accent1 2 6" xfId="28" xr:uid="{00000000-0005-0000-0000-00001B000000}"/>
    <cellStyle name="Accent1 2 6 2" xfId="29" xr:uid="{00000000-0005-0000-0000-00001C000000}"/>
    <cellStyle name="Accent1 2 6 2 2" xfId="30" xr:uid="{00000000-0005-0000-0000-00001D000000}"/>
    <cellStyle name="Accent1 2 7" xfId="31" xr:uid="{00000000-0005-0000-0000-00001E000000}"/>
    <cellStyle name="Accent1 2 7 2" xfId="32" xr:uid="{00000000-0005-0000-0000-00001F000000}"/>
    <cellStyle name="Accent1 2 7 2 2" xfId="33" xr:uid="{00000000-0005-0000-0000-000020000000}"/>
    <cellStyle name="Accent1 2 8" xfId="34" xr:uid="{00000000-0005-0000-0000-000021000000}"/>
    <cellStyle name="Accent1 2 8 2" xfId="35" xr:uid="{00000000-0005-0000-0000-000022000000}"/>
    <cellStyle name="Accent1 2 8 2 2" xfId="36" xr:uid="{00000000-0005-0000-0000-000023000000}"/>
    <cellStyle name="Accent1 2 9" xfId="37" xr:uid="{00000000-0005-0000-0000-000024000000}"/>
    <cellStyle name="Accent1 2 9 2" xfId="38" xr:uid="{00000000-0005-0000-0000-000025000000}"/>
    <cellStyle name="Accent1 2 9 2 2" xfId="39" xr:uid="{00000000-0005-0000-0000-000026000000}"/>
    <cellStyle name="Accent5 2" xfId="40" xr:uid="{00000000-0005-0000-0000-000027000000}"/>
    <cellStyle name="Accent5 2 10" xfId="41" xr:uid="{00000000-0005-0000-0000-000028000000}"/>
    <cellStyle name="Accent5 2 10 2" xfId="42" xr:uid="{00000000-0005-0000-0000-000029000000}"/>
    <cellStyle name="Accent5 2 10 2 2" xfId="43" xr:uid="{00000000-0005-0000-0000-00002A000000}"/>
    <cellStyle name="Accent5 2 11" xfId="44" xr:uid="{00000000-0005-0000-0000-00002B000000}"/>
    <cellStyle name="Accent5 2 11 2" xfId="45" xr:uid="{00000000-0005-0000-0000-00002C000000}"/>
    <cellStyle name="Accent5 2 11 2 2" xfId="46" xr:uid="{00000000-0005-0000-0000-00002D000000}"/>
    <cellStyle name="Accent5 2 12" xfId="47" xr:uid="{00000000-0005-0000-0000-00002E000000}"/>
    <cellStyle name="Accent5 2 12 2" xfId="48" xr:uid="{00000000-0005-0000-0000-00002F000000}"/>
    <cellStyle name="Accent5 2 12 2 2" xfId="49" xr:uid="{00000000-0005-0000-0000-000030000000}"/>
    <cellStyle name="Accent5 2 13" xfId="50" xr:uid="{00000000-0005-0000-0000-000031000000}"/>
    <cellStyle name="Accent5 2 13 2" xfId="51" xr:uid="{00000000-0005-0000-0000-000032000000}"/>
    <cellStyle name="Accent5 2 2" xfId="52" xr:uid="{00000000-0005-0000-0000-000033000000}"/>
    <cellStyle name="Accent5 2 2 2" xfId="53" xr:uid="{00000000-0005-0000-0000-000034000000}"/>
    <cellStyle name="Accent5 2 2 2 2" xfId="54" xr:uid="{00000000-0005-0000-0000-000035000000}"/>
    <cellStyle name="Accent5 2 3" xfId="55" xr:uid="{00000000-0005-0000-0000-000036000000}"/>
    <cellStyle name="Accent5 2 3 2" xfId="56" xr:uid="{00000000-0005-0000-0000-000037000000}"/>
    <cellStyle name="Accent5 2 3 2 2" xfId="57" xr:uid="{00000000-0005-0000-0000-000038000000}"/>
    <cellStyle name="Accent5 2 4" xfId="58" xr:uid="{00000000-0005-0000-0000-000039000000}"/>
    <cellStyle name="Accent5 2 4 2" xfId="59" xr:uid="{00000000-0005-0000-0000-00003A000000}"/>
    <cellStyle name="Accent5 2 4 2 2" xfId="60" xr:uid="{00000000-0005-0000-0000-00003B000000}"/>
    <cellStyle name="Accent5 2 5" xfId="61" xr:uid="{00000000-0005-0000-0000-00003C000000}"/>
    <cellStyle name="Accent5 2 5 2" xfId="62" xr:uid="{00000000-0005-0000-0000-00003D000000}"/>
    <cellStyle name="Accent5 2 5 2 2" xfId="63" xr:uid="{00000000-0005-0000-0000-00003E000000}"/>
    <cellStyle name="Accent5 2 6" xfId="64" xr:uid="{00000000-0005-0000-0000-00003F000000}"/>
    <cellStyle name="Accent5 2 6 2" xfId="65" xr:uid="{00000000-0005-0000-0000-000040000000}"/>
    <cellStyle name="Accent5 2 6 2 2" xfId="66" xr:uid="{00000000-0005-0000-0000-000041000000}"/>
    <cellStyle name="Accent5 2 7" xfId="67" xr:uid="{00000000-0005-0000-0000-000042000000}"/>
    <cellStyle name="Accent5 2 7 2" xfId="68" xr:uid="{00000000-0005-0000-0000-000043000000}"/>
    <cellStyle name="Accent5 2 7 2 2" xfId="69" xr:uid="{00000000-0005-0000-0000-000044000000}"/>
    <cellStyle name="Accent5 2 8" xfId="70" xr:uid="{00000000-0005-0000-0000-000045000000}"/>
    <cellStyle name="Accent5 2 8 2" xfId="71" xr:uid="{00000000-0005-0000-0000-000046000000}"/>
    <cellStyle name="Accent5 2 8 2 2" xfId="72" xr:uid="{00000000-0005-0000-0000-000047000000}"/>
    <cellStyle name="Accent5 2 9" xfId="73" xr:uid="{00000000-0005-0000-0000-000048000000}"/>
    <cellStyle name="Accent5 2 9 2" xfId="74" xr:uid="{00000000-0005-0000-0000-000049000000}"/>
    <cellStyle name="Accent5 2 9 2 2" xfId="75" xr:uid="{00000000-0005-0000-0000-00004A000000}"/>
    <cellStyle name="Check Cell 2" xfId="76" xr:uid="{00000000-0005-0000-0000-00004B000000}"/>
    <cellStyle name="Check Cell 2 2" xfId="77" xr:uid="{00000000-0005-0000-0000-00004C000000}"/>
    <cellStyle name="Check Cell 2 2 2" xfId="78" xr:uid="{00000000-0005-0000-0000-00004D000000}"/>
    <cellStyle name="Comma" xfId="79" builtinId="3"/>
    <cellStyle name="Comma 10" xfId="80" xr:uid="{00000000-0005-0000-0000-00004F000000}"/>
    <cellStyle name="Comma 10 10" xfId="81" xr:uid="{00000000-0005-0000-0000-000050000000}"/>
    <cellStyle name="Comma 10 10 2" xfId="82" xr:uid="{00000000-0005-0000-0000-000051000000}"/>
    <cellStyle name="Comma 10 10 3" xfId="83" xr:uid="{00000000-0005-0000-0000-000052000000}"/>
    <cellStyle name="Comma 10 11" xfId="84" xr:uid="{00000000-0005-0000-0000-000053000000}"/>
    <cellStyle name="Comma 10 11 2" xfId="85" xr:uid="{00000000-0005-0000-0000-000054000000}"/>
    <cellStyle name="Comma 10 11 2 2" xfId="86" xr:uid="{00000000-0005-0000-0000-000055000000}"/>
    <cellStyle name="Comma 10 12" xfId="87" xr:uid="{00000000-0005-0000-0000-000056000000}"/>
    <cellStyle name="Comma 10 12 2" xfId="88" xr:uid="{00000000-0005-0000-0000-000057000000}"/>
    <cellStyle name="Comma 10 12 2 2" xfId="89" xr:uid="{00000000-0005-0000-0000-000058000000}"/>
    <cellStyle name="Comma 10 13" xfId="90" xr:uid="{00000000-0005-0000-0000-000059000000}"/>
    <cellStyle name="Comma 10 13 2" xfId="91" xr:uid="{00000000-0005-0000-0000-00005A000000}"/>
    <cellStyle name="Comma 10 13 2 2" xfId="92" xr:uid="{00000000-0005-0000-0000-00005B000000}"/>
    <cellStyle name="Comma 10 14" xfId="93" xr:uid="{00000000-0005-0000-0000-00005C000000}"/>
    <cellStyle name="Comma 10 14 2" xfId="94" xr:uid="{00000000-0005-0000-0000-00005D000000}"/>
    <cellStyle name="Comma 10 14 2 2" xfId="95" xr:uid="{00000000-0005-0000-0000-00005E000000}"/>
    <cellStyle name="Comma 10 15" xfId="96" xr:uid="{00000000-0005-0000-0000-00005F000000}"/>
    <cellStyle name="Comma 10 15 2" xfId="97" xr:uid="{00000000-0005-0000-0000-000060000000}"/>
    <cellStyle name="Comma 10 15 2 2" xfId="98" xr:uid="{00000000-0005-0000-0000-000061000000}"/>
    <cellStyle name="Comma 10 16" xfId="99" xr:uid="{00000000-0005-0000-0000-000062000000}"/>
    <cellStyle name="Comma 10 16 2" xfId="100" xr:uid="{00000000-0005-0000-0000-000063000000}"/>
    <cellStyle name="Comma 10 16 2 2" xfId="101" xr:uid="{00000000-0005-0000-0000-000064000000}"/>
    <cellStyle name="Comma 10 17" xfId="102" xr:uid="{00000000-0005-0000-0000-000065000000}"/>
    <cellStyle name="Comma 10 17 2" xfId="103" xr:uid="{00000000-0005-0000-0000-000066000000}"/>
    <cellStyle name="Comma 10 2" xfId="104" xr:uid="{00000000-0005-0000-0000-000067000000}"/>
    <cellStyle name="Comma 10 2 2" xfId="105" xr:uid="{00000000-0005-0000-0000-000068000000}"/>
    <cellStyle name="Comma 10 2 2 2" xfId="106" xr:uid="{00000000-0005-0000-0000-000069000000}"/>
    <cellStyle name="Comma 10 3" xfId="107" xr:uid="{00000000-0005-0000-0000-00006A000000}"/>
    <cellStyle name="Comma 10 3 2" xfId="108" xr:uid="{00000000-0005-0000-0000-00006B000000}"/>
    <cellStyle name="Comma 10 3 2 2" xfId="109" xr:uid="{00000000-0005-0000-0000-00006C000000}"/>
    <cellStyle name="Comma 10 4" xfId="110" xr:uid="{00000000-0005-0000-0000-00006D000000}"/>
    <cellStyle name="Comma 10 4 2" xfId="111" xr:uid="{00000000-0005-0000-0000-00006E000000}"/>
    <cellStyle name="Comma 10 4 2 2" xfId="112" xr:uid="{00000000-0005-0000-0000-00006F000000}"/>
    <cellStyle name="Comma 10 5" xfId="113" xr:uid="{00000000-0005-0000-0000-000070000000}"/>
    <cellStyle name="Comma 10 5 2" xfId="114" xr:uid="{00000000-0005-0000-0000-000071000000}"/>
    <cellStyle name="Comma 10 5 2 2" xfId="115" xr:uid="{00000000-0005-0000-0000-000072000000}"/>
    <cellStyle name="Comma 10 6" xfId="116" xr:uid="{00000000-0005-0000-0000-000073000000}"/>
    <cellStyle name="Comma 10 6 2" xfId="117" xr:uid="{00000000-0005-0000-0000-000074000000}"/>
    <cellStyle name="Comma 10 6 2 2" xfId="118" xr:uid="{00000000-0005-0000-0000-000075000000}"/>
    <cellStyle name="Comma 10 7" xfId="119" xr:uid="{00000000-0005-0000-0000-000076000000}"/>
    <cellStyle name="Comma 10 7 2" xfId="120" xr:uid="{00000000-0005-0000-0000-000077000000}"/>
    <cellStyle name="Comma 10 7 2 2" xfId="121" xr:uid="{00000000-0005-0000-0000-000078000000}"/>
    <cellStyle name="Comma 10 8" xfId="122" xr:uid="{00000000-0005-0000-0000-000079000000}"/>
    <cellStyle name="Comma 10 8 2" xfId="123" xr:uid="{00000000-0005-0000-0000-00007A000000}"/>
    <cellStyle name="Comma 10 8 2 2" xfId="124" xr:uid="{00000000-0005-0000-0000-00007B000000}"/>
    <cellStyle name="Comma 10 9" xfId="125" xr:uid="{00000000-0005-0000-0000-00007C000000}"/>
    <cellStyle name="Comma 10 9 2" xfId="126" xr:uid="{00000000-0005-0000-0000-00007D000000}"/>
    <cellStyle name="Comma 10 9 2 2" xfId="127" xr:uid="{00000000-0005-0000-0000-00007E000000}"/>
    <cellStyle name="Comma 11" xfId="128" xr:uid="{00000000-0005-0000-0000-00007F000000}"/>
    <cellStyle name="Comma 11 10" xfId="129" xr:uid="{00000000-0005-0000-0000-000080000000}"/>
    <cellStyle name="Comma 11 10 2" xfId="130" xr:uid="{00000000-0005-0000-0000-000081000000}"/>
    <cellStyle name="Comma 11 10 2 2" xfId="131" xr:uid="{00000000-0005-0000-0000-000082000000}"/>
    <cellStyle name="Comma 11 11" xfId="132" xr:uid="{00000000-0005-0000-0000-000083000000}"/>
    <cellStyle name="Comma 11 11 2" xfId="133" xr:uid="{00000000-0005-0000-0000-000084000000}"/>
    <cellStyle name="Comma 11 11 2 2" xfId="134" xr:uid="{00000000-0005-0000-0000-000085000000}"/>
    <cellStyle name="Comma 11 12" xfId="135" xr:uid="{00000000-0005-0000-0000-000086000000}"/>
    <cellStyle name="Comma 11 12 2" xfId="136" xr:uid="{00000000-0005-0000-0000-000087000000}"/>
    <cellStyle name="Comma 11 12 2 2" xfId="137" xr:uid="{00000000-0005-0000-0000-000088000000}"/>
    <cellStyle name="Comma 11 13" xfId="138" xr:uid="{00000000-0005-0000-0000-000089000000}"/>
    <cellStyle name="Comma 11 13 2" xfId="139" xr:uid="{00000000-0005-0000-0000-00008A000000}"/>
    <cellStyle name="Comma 11 13 2 2" xfId="140" xr:uid="{00000000-0005-0000-0000-00008B000000}"/>
    <cellStyle name="Comma 11 14" xfId="141" xr:uid="{00000000-0005-0000-0000-00008C000000}"/>
    <cellStyle name="Comma 11 14 2" xfId="142" xr:uid="{00000000-0005-0000-0000-00008D000000}"/>
    <cellStyle name="Comma 11 14 2 2" xfId="143" xr:uid="{00000000-0005-0000-0000-00008E000000}"/>
    <cellStyle name="Comma 11 15" xfId="144" xr:uid="{00000000-0005-0000-0000-00008F000000}"/>
    <cellStyle name="Comma 11 15 2" xfId="145" xr:uid="{00000000-0005-0000-0000-000090000000}"/>
    <cellStyle name="Comma 11 15 2 2" xfId="146" xr:uid="{00000000-0005-0000-0000-000091000000}"/>
    <cellStyle name="Comma 11 16" xfId="147" xr:uid="{00000000-0005-0000-0000-000092000000}"/>
    <cellStyle name="Comma 11 16 2" xfId="148" xr:uid="{00000000-0005-0000-0000-000093000000}"/>
    <cellStyle name="Comma 11 16 2 2" xfId="149" xr:uid="{00000000-0005-0000-0000-000094000000}"/>
    <cellStyle name="Comma 11 17" xfId="150" xr:uid="{00000000-0005-0000-0000-000095000000}"/>
    <cellStyle name="Comma 11 17 2" xfId="151" xr:uid="{00000000-0005-0000-0000-000096000000}"/>
    <cellStyle name="Comma 11 17 2 2" xfId="152" xr:uid="{00000000-0005-0000-0000-000097000000}"/>
    <cellStyle name="Comma 11 18" xfId="153" xr:uid="{00000000-0005-0000-0000-000098000000}"/>
    <cellStyle name="Comma 11 18 2" xfId="154" xr:uid="{00000000-0005-0000-0000-000099000000}"/>
    <cellStyle name="Comma 11 2" xfId="155" xr:uid="{00000000-0005-0000-0000-00009A000000}"/>
    <cellStyle name="Comma 11 2 2" xfId="156" xr:uid="{00000000-0005-0000-0000-00009B000000}"/>
    <cellStyle name="Comma 11 2 2 2" xfId="157" xr:uid="{00000000-0005-0000-0000-00009C000000}"/>
    <cellStyle name="Comma 11 2 2 2 2" xfId="158" xr:uid="{00000000-0005-0000-0000-00009D000000}"/>
    <cellStyle name="Comma 11 2 3" xfId="159" xr:uid="{00000000-0005-0000-0000-00009E000000}"/>
    <cellStyle name="Comma 11 2 3 2" xfId="160" xr:uid="{00000000-0005-0000-0000-00009F000000}"/>
    <cellStyle name="Comma 11 3" xfId="161" xr:uid="{00000000-0005-0000-0000-0000A0000000}"/>
    <cellStyle name="Comma 11 3 2" xfId="162" xr:uid="{00000000-0005-0000-0000-0000A1000000}"/>
    <cellStyle name="Comma 11 3 2 2" xfId="163" xr:uid="{00000000-0005-0000-0000-0000A2000000}"/>
    <cellStyle name="Comma 11 4" xfId="164" xr:uid="{00000000-0005-0000-0000-0000A3000000}"/>
    <cellStyle name="Comma 11 4 2" xfId="165" xr:uid="{00000000-0005-0000-0000-0000A4000000}"/>
    <cellStyle name="Comma 11 4 2 2" xfId="166" xr:uid="{00000000-0005-0000-0000-0000A5000000}"/>
    <cellStyle name="Comma 11 5" xfId="167" xr:uid="{00000000-0005-0000-0000-0000A6000000}"/>
    <cellStyle name="Comma 11 5 2" xfId="168" xr:uid="{00000000-0005-0000-0000-0000A7000000}"/>
    <cellStyle name="Comma 11 5 2 2" xfId="169" xr:uid="{00000000-0005-0000-0000-0000A8000000}"/>
    <cellStyle name="Comma 11 6" xfId="170" xr:uid="{00000000-0005-0000-0000-0000A9000000}"/>
    <cellStyle name="Comma 11 6 2" xfId="171" xr:uid="{00000000-0005-0000-0000-0000AA000000}"/>
    <cellStyle name="Comma 11 6 2 2" xfId="172" xr:uid="{00000000-0005-0000-0000-0000AB000000}"/>
    <cellStyle name="Comma 11 7" xfId="173" xr:uid="{00000000-0005-0000-0000-0000AC000000}"/>
    <cellStyle name="Comma 11 7 2" xfId="174" xr:uid="{00000000-0005-0000-0000-0000AD000000}"/>
    <cellStyle name="Comma 11 7 2 2" xfId="175" xr:uid="{00000000-0005-0000-0000-0000AE000000}"/>
    <cellStyle name="Comma 11 8" xfId="176" xr:uid="{00000000-0005-0000-0000-0000AF000000}"/>
    <cellStyle name="Comma 11 8 2" xfId="177" xr:uid="{00000000-0005-0000-0000-0000B0000000}"/>
    <cellStyle name="Comma 11 8 2 2" xfId="178" xr:uid="{00000000-0005-0000-0000-0000B1000000}"/>
    <cellStyle name="Comma 11 9" xfId="179" xr:uid="{00000000-0005-0000-0000-0000B2000000}"/>
    <cellStyle name="Comma 11 9 2" xfId="180" xr:uid="{00000000-0005-0000-0000-0000B3000000}"/>
    <cellStyle name="Comma 11 9 2 2" xfId="181" xr:uid="{00000000-0005-0000-0000-0000B4000000}"/>
    <cellStyle name="Comma 12" xfId="182" xr:uid="{00000000-0005-0000-0000-0000B5000000}"/>
    <cellStyle name="Comma 12 2" xfId="183" xr:uid="{00000000-0005-0000-0000-0000B6000000}"/>
    <cellStyle name="Comma 12 2 2" xfId="184" xr:uid="{00000000-0005-0000-0000-0000B7000000}"/>
    <cellStyle name="Comma 13" xfId="185" xr:uid="{00000000-0005-0000-0000-0000B8000000}"/>
    <cellStyle name="Comma 13 2" xfId="186" xr:uid="{00000000-0005-0000-0000-0000B9000000}"/>
    <cellStyle name="Comma 13 2 2" xfId="187" xr:uid="{00000000-0005-0000-0000-0000BA000000}"/>
    <cellStyle name="Comma 14" xfId="188" xr:uid="{00000000-0005-0000-0000-0000BB000000}"/>
    <cellStyle name="Comma 14 2" xfId="189" xr:uid="{00000000-0005-0000-0000-0000BC000000}"/>
    <cellStyle name="Comma 14 2 2" xfId="190" xr:uid="{00000000-0005-0000-0000-0000BD000000}"/>
    <cellStyle name="Comma 15" xfId="191" xr:uid="{00000000-0005-0000-0000-0000BE000000}"/>
    <cellStyle name="Comma 15 2" xfId="192" xr:uid="{00000000-0005-0000-0000-0000BF000000}"/>
    <cellStyle name="Comma 15 2 2" xfId="193" xr:uid="{00000000-0005-0000-0000-0000C0000000}"/>
    <cellStyle name="Comma 16" xfId="194" xr:uid="{00000000-0005-0000-0000-0000C1000000}"/>
    <cellStyle name="Comma 16 10" xfId="195" xr:uid="{00000000-0005-0000-0000-0000C2000000}"/>
    <cellStyle name="Comma 16 10 2" xfId="196" xr:uid="{00000000-0005-0000-0000-0000C3000000}"/>
    <cellStyle name="Comma 16 10 2 2" xfId="197" xr:uid="{00000000-0005-0000-0000-0000C4000000}"/>
    <cellStyle name="Comma 16 11" xfId="198" xr:uid="{00000000-0005-0000-0000-0000C5000000}"/>
    <cellStyle name="Comma 16 11 2" xfId="199" xr:uid="{00000000-0005-0000-0000-0000C6000000}"/>
    <cellStyle name="Comma 16 11 2 2" xfId="200" xr:uid="{00000000-0005-0000-0000-0000C7000000}"/>
    <cellStyle name="Comma 16 12" xfId="201" xr:uid="{00000000-0005-0000-0000-0000C8000000}"/>
    <cellStyle name="Comma 16 12 2" xfId="202" xr:uid="{00000000-0005-0000-0000-0000C9000000}"/>
    <cellStyle name="Comma 16 12 2 2" xfId="203" xr:uid="{00000000-0005-0000-0000-0000CA000000}"/>
    <cellStyle name="Comma 16 13" xfId="204" xr:uid="{00000000-0005-0000-0000-0000CB000000}"/>
    <cellStyle name="Comma 16 13 2" xfId="205" xr:uid="{00000000-0005-0000-0000-0000CC000000}"/>
    <cellStyle name="Comma 16 13 2 2" xfId="206" xr:uid="{00000000-0005-0000-0000-0000CD000000}"/>
    <cellStyle name="Comma 16 14" xfId="207" xr:uid="{00000000-0005-0000-0000-0000CE000000}"/>
    <cellStyle name="Comma 16 14 2" xfId="208" xr:uid="{00000000-0005-0000-0000-0000CF000000}"/>
    <cellStyle name="Comma 16 14 2 2" xfId="209" xr:uid="{00000000-0005-0000-0000-0000D0000000}"/>
    <cellStyle name="Comma 16 15" xfId="210" xr:uid="{00000000-0005-0000-0000-0000D1000000}"/>
    <cellStyle name="Comma 16 15 2" xfId="211" xr:uid="{00000000-0005-0000-0000-0000D2000000}"/>
    <cellStyle name="Comma 16 15 2 2" xfId="212" xr:uid="{00000000-0005-0000-0000-0000D3000000}"/>
    <cellStyle name="Comma 16 16" xfId="213" xr:uid="{00000000-0005-0000-0000-0000D4000000}"/>
    <cellStyle name="Comma 16 16 2" xfId="214" xr:uid="{00000000-0005-0000-0000-0000D5000000}"/>
    <cellStyle name="Comma 16 16 2 2" xfId="215" xr:uid="{00000000-0005-0000-0000-0000D6000000}"/>
    <cellStyle name="Comma 16 17" xfId="216" xr:uid="{00000000-0005-0000-0000-0000D7000000}"/>
    <cellStyle name="Comma 16 17 2" xfId="217" xr:uid="{00000000-0005-0000-0000-0000D8000000}"/>
    <cellStyle name="Comma 16 2" xfId="218" xr:uid="{00000000-0005-0000-0000-0000D9000000}"/>
    <cellStyle name="Comma 16 2 2" xfId="219" xr:uid="{00000000-0005-0000-0000-0000DA000000}"/>
    <cellStyle name="Comma 16 2 2 2" xfId="220" xr:uid="{00000000-0005-0000-0000-0000DB000000}"/>
    <cellStyle name="Comma 16 3" xfId="221" xr:uid="{00000000-0005-0000-0000-0000DC000000}"/>
    <cellStyle name="Comma 16 3 2" xfId="222" xr:uid="{00000000-0005-0000-0000-0000DD000000}"/>
    <cellStyle name="Comma 16 3 2 2" xfId="223" xr:uid="{00000000-0005-0000-0000-0000DE000000}"/>
    <cellStyle name="Comma 16 4" xfId="224" xr:uid="{00000000-0005-0000-0000-0000DF000000}"/>
    <cellStyle name="Comma 16 4 2" xfId="225" xr:uid="{00000000-0005-0000-0000-0000E0000000}"/>
    <cellStyle name="Comma 16 4 2 2" xfId="226" xr:uid="{00000000-0005-0000-0000-0000E1000000}"/>
    <cellStyle name="Comma 16 5" xfId="227" xr:uid="{00000000-0005-0000-0000-0000E2000000}"/>
    <cellStyle name="Comma 16 5 2" xfId="228" xr:uid="{00000000-0005-0000-0000-0000E3000000}"/>
    <cellStyle name="Comma 16 5 2 2" xfId="229" xr:uid="{00000000-0005-0000-0000-0000E4000000}"/>
    <cellStyle name="Comma 16 6" xfId="230" xr:uid="{00000000-0005-0000-0000-0000E5000000}"/>
    <cellStyle name="Comma 16 6 2" xfId="231" xr:uid="{00000000-0005-0000-0000-0000E6000000}"/>
    <cellStyle name="Comma 16 6 2 2" xfId="232" xr:uid="{00000000-0005-0000-0000-0000E7000000}"/>
    <cellStyle name="Comma 16 7" xfId="233" xr:uid="{00000000-0005-0000-0000-0000E8000000}"/>
    <cellStyle name="Comma 16 7 2" xfId="234" xr:uid="{00000000-0005-0000-0000-0000E9000000}"/>
    <cellStyle name="Comma 16 7 2 2" xfId="235" xr:uid="{00000000-0005-0000-0000-0000EA000000}"/>
    <cellStyle name="Comma 16 8" xfId="236" xr:uid="{00000000-0005-0000-0000-0000EB000000}"/>
    <cellStyle name="Comma 16 8 2" xfId="237" xr:uid="{00000000-0005-0000-0000-0000EC000000}"/>
    <cellStyle name="Comma 16 8 2 2" xfId="238" xr:uid="{00000000-0005-0000-0000-0000ED000000}"/>
    <cellStyle name="Comma 16 9" xfId="239" xr:uid="{00000000-0005-0000-0000-0000EE000000}"/>
    <cellStyle name="Comma 16 9 2" xfId="240" xr:uid="{00000000-0005-0000-0000-0000EF000000}"/>
    <cellStyle name="Comma 16 9 2 2" xfId="241" xr:uid="{00000000-0005-0000-0000-0000F0000000}"/>
    <cellStyle name="Comma 17" xfId="242" xr:uid="{00000000-0005-0000-0000-0000F1000000}"/>
    <cellStyle name="Comma 17 10" xfId="243" xr:uid="{00000000-0005-0000-0000-0000F2000000}"/>
    <cellStyle name="Comma 17 10 2" xfId="244" xr:uid="{00000000-0005-0000-0000-0000F3000000}"/>
    <cellStyle name="Comma 17 10 2 2" xfId="245" xr:uid="{00000000-0005-0000-0000-0000F4000000}"/>
    <cellStyle name="Comma 17 11" xfId="246" xr:uid="{00000000-0005-0000-0000-0000F5000000}"/>
    <cellStyle name="Comma 17 11 2" xfId="247" xr:uid="{00000000-0005-0000-0000-0000F6000000}"/>
    <cellStyle name="Comma 17 2" xfId="248" xr:uid="{00000000-0005-0000-0000-0000F7000000}"/>
    <cellStyle name="Comma 17 2 2" xfId="249" xr:uid="{00000000-0005-0000-0000-0000F8000000}"/>
    <cellStyle name="Comma 17 2 2 2" xfId="250" xr:uid="{00000000-0005-0000-0000-0000F9000000}"/>
    <cellStyle name="Comma 17 3" xfId="251" xr:uid="{00000000-0005-0000-0000-0000FA000000}"/>
    <cellStyle name="Comma 17 3 2" xfId="252" xr:uid="{00000000-0005-0000-0000-0000FB000000}"/>
    <cellStyle name="Comma 17 3 2 2" xfId="253" xr:uid="{00000000-0005-0000-0000-0000FC000000}"/>
    <cellStyle name="Comma 17 4" xfId="254" xr:uid="{00000000-0005-0000-0000-0000FD000000}"/>
    <cellStyle name="Comma 17 4 2" xfId="255" xr:uid="{00000000-0005-0000-0000-0000FE000000}"/>
    <cellStyle name="Comma 17 4 2 2" xfId="256" xr:uid="{00000000-0005-0000-0000-0000FF000000}"/>
    <cellStyle name="Comma 17 5" xfId="257" xr:uid="{00000000-0005-0000-0000-000000010000}"/>
    <cellStyle name="Comma 17 5 2" xfId="258" xr:uid="{00000000-0005-0000-0000-000001010000}"/>
    <cellStyle name="Comma 17 5 2 2" xfId="259" xr:uid="{00000000-0005-0000-0000-000002010000}"/>
    <cellStyle name="Comma 17 6" xfId="260" xr:uid="{00000000-0005-0000-0000-000003010000}"/>
    <cellStyle name="Comma 17 6 2" xfId="261" xr:uid="{00000000-0005-0000-0000-000004010000}"/>
    <cellStyle name="Comma 17 6 2 2" xfId="262" xr:uid="{00000000-0005-0000-0000-000005010000}"/>
    <cellStyle name="Comma 17 7" xfId="263" xr:uid="{00000000-0005-0000-0000-000006010000}"/>
    <cellStyle name="Comma 17 7 2" xfId="264" xr:uid="{00000000-0005-0000-0000-000007010000}"/>
    <cellStyle name="Comma 17 7 2 2" xfId="265" xr:uid="{00000000-0005-0000-0000-000008010000}"/>
    <cellStyle name="Comma 17 8" xfId="266" xr:uid="{00000000-0005-0000-0000-000009010000}"/>
    <cellStyle name="Comma 17 8 2" xfId="267" xr:uid="{00000000-0005-0000-0000-00000A010000}"/>
    <cellStyle name="Comma 17 8 2 2" xfId="268" xr:uid="{00000000-0005-0000-0000-00000B010000}"/>
    <cellStyle name="Comma 17 9" xfId="269" xr:uid="{00000000-0005-0000-0000-00000C010000}"/>
    <cellStyle name="Comma 17 9 2" xfId="270" xr:uid="{00000000-0005-0000-0000-00000D010000}"/>
    <cellStyle name="Comma 17 9 2 2" xfId="271" xr:uid="{00000000-0005-0000-0000-00000E010000}"/>
    <cellStyle name="Comma 18" xfId="272" xr:uid="{00000000-0005-0000-0000-00000F010000}"/>
    <cellStyle name="Comma 18 2" xfId="273" xr:uid="{00000000-0005-0000-0000-000010010000}"/>
    <cellStyle name="Comma 18 2 2" xfId="274" xr:uid="{00000000-0005-0000-0000-000011010000}"/>
    <cellStyle name="Comma 18 3" xfId="275" xr:uid="{00000000-0005-0000-0000-000012010000}"/>
    <cellStyle name="Comma 18 4" xfId="276" xr:uid="{00000000-0005-0000-0000-000013010000}"/>
    <cellStyle name="Comma 19" xfId="277" xr:uid="{00000000-0005-0000-0000-000014010000}"/>
    <cellStyle name="Comma 2" xfId="278" xr:uid="{00000000-0005-0000-0000-000015010000}"/>
    <cellStyle name="Comma 2 10" xfId="279" xr:uid="{00000000-0005-0000-0000-000016010000}"/>
    <cellStyle name="Comma 2 10 2" xfId="280" xr:uid="{00000000-0005-0000-0000-000017010000}"/>
    <cellStyle name="Comma 2 10 2 2" xfId="281" xr:uid="{00000000-0005-0000-0000-000018010000}"/>
    <cellStyle name="Comma 2 11" xfId="282" xr:uid="{00000000-0005-0000-0000-000019010000}"/>
    <cellStyle name="Comma 2 11 2" xfId="283" xr:uid="{00000000-0005-0000-0000-00001A010000}"/>
    <cellStyle name="Comma 2 11 2 2" xfId="284" xr:uid="{00000000-0005-0000-0000-00001B010000}"/>
    <cellStyle name="Comma 2 12" xfId="285" xr:uid="{00000000-0005-0000-0000-00001C010000}"/>
    <cellStyle name="Comma 2 12 2" xfId="286" xr:uid="{00000000-0005-0000-0000-00001D010000}"/>
    <cellStyle name="Comma 2 12 2 2" xfId="287" xr:uid="{00000000-0005-0000-0000-00001E010000}"/>
    <cellStyle name="Comma 2 13" xfId="288" xr:uid="{00000000-0005-0000-0000-00001F010000}"/>
    <cellStyle name="Comma 2 13 2" xfId="289" xr:uid="{00000000-0005-0000-0000-000020010000}"/>
    <cellStyle name="Comma 2 13 2 2" xfId="290" xr:uid="{00000000-0005-0000-0000-000021010000}"/>
    <cellStyle name="Comma 2 14" xfId="291" xr:uid="{00000000-0005-0000-0000-000022010000}"/>
    <cellStyle name="Comma 2 14 2" xfId="292" xr:uid="{00000000-0005-0000-0000-000023010000}"/>
    <cellStyle name="Comma 2 14 2 2" xfId="293" xr:uid="{00000000-0005-0000-0000-000024010000}"/>
    <cellStyle name="Comma 2 15" xfId="294" xr:uid="{00000000-0005-0000-0000-000025010000}"/>
    <cellStyle name="Comma 2 15 2" xfId="295" xr:uid="{00000000-0005-0000-0000-000026010000}"/>
    <cellStyle name="Comma 2 15 2 2" xfId="296" xr:uid="{00000000-0005-0000-0000-000027010000}"/>
    <cellStyle name="Comma 2 16" xfId="297" xr:uid="{00000000-0005-0000-0000-000028010000}"/>
    <cellStyle name="Comma 2 16 2" xfId="298" xr:uid="{00000000-0005-0000-0000-000029010000}"/>
    <cellStyle name="Comma 2 16 2 2" xfId="299" xr:uid="{00000000-0005-0000-0000-00002A010000}"/>
    <cellStyle name="Comma 2 17" xfId="300" xr:uid="{00000000-0005-0000-0000-00002B010000}"/>
    <cellStyle name="Comma 2 17 2" xfId="301" xr:uid="{00000000-0005-0000-0000-00002C010000}"/>
    <cellStyle name="Comma 2 17 2 2" xfId="302" xr:uid="{00000000-0005-0000-0000-00002D010000}"/>
    <cellStyle name="Comma 2 18" xfId="303" xr:uid="{00000000-0005-0000-0000-00002E010000}"/>
    <cellStyle name="Comma 2 18 2" xfId="304" xr:uid="{00000000-0005-0000-0000-00002F010000}"/>
    <cellStyle name="Comma 2 18 2 2" xfId="305" xr:uid="{00000000-0005-0000-0000-000030010000}"/>
    <cellStyle name="Comma 2 19" xfId="306" xr:uid="{00000000-0005-0000-0000-000031010000}"/>
    <cellStyle name="Comma 2 19 2" xfId="307" xr:uid="{00000000-0005-0000-0000-000032010000}"/>
    <cellStyle name="Comma 2 19 2 2" xfId="308" xr:uid="{00000000-0005-0000-0000-000033010000}"/>
    <cellStyle name="Comma 2 2" xfId="309" xr:uid="{00000000-0005-0000-0000-000034010000}"/>
    <cellStyle name="Comma 2 2 2" xfId="310" xr:uid="{00000000-0005-0000-0000-000035010000}"/>
    <cellStyle name="Comma 2 2 2 2" xfId="311" xr:uid="{00000000-0005-0000-0000-000036010000}"/>
    <cellStyle name="Comma 2 20" xfId="312" xr:uid="{00000000-0005-0000-0000-000037010000}"/>
    <cellStyle name="Comma 2 20 2" xfId="313" xr:uid="{00000000-0005-0000-0000-000038010000}"/>
    <cellStyle name="Comma 2 20 2 2" xfId="314" xr:uid="{00000000-0005-0000-0000-000039010000}"/>
    <cellStyle name="Comma 2 21" xfId="315" xr:uid="{00000000-0005-0000-0000-00003A010000}"/>
    <cellStyle name="Comma 2 21 2" xfId="316" xr:uid="{00000000-0005-0000-0000-00003B010000}"/>
    <cellStyle name="Comma 2 21 2 2" xfId="317" xr:uid="{00000000-0005-0000-0000-00003C010000}"/>
    <cellStyle name="Comma 2 22" xfId="318" xr:uid="{00000000-0005-0000-0000-00003D010000}"/>
    <cellStyle name="Comma 2 22 2" xfId="319" xr:uid="{00000000-0005-0000-0000-00003E010000}"/>
    <cellStyle name="Comma 2 22 2 2" xfId="320" xr:uid="{00000000-0005-0000-0000-00003F010000}"/>
    <cellStyle name="Comma 2 23" xfId="321" xr:uid="{00000000-0005-0000-0000-000040010000}"/>
    <cellStyle name="Comma 2 23 2" xfId="322" xr:uid="{00000000-0005-0000-0000-000041010000}"/>
    <cellStyle name="Comma 2 23 2 2" xfId="323" xr:uid="{00000000-0005-0000-0000-000042010000}"/>
    <cellStyle name="Comma 2 24" xfId="324" xr:uid="{00000000-0005-0000-0000-000043010000}"/>
    <cellStyle name="Comma 2 24 2" xfId="325" xr:uid="{00000000-0005-0000-0000-000044010000}"/>
    <cellStyle name="Comma 2 24 2 2" xfId="326" xr:uid="{00000000-0005-0000-0000-000045010000}"/>
    <cellStyle name="Comma 2 25" xfId="327" xr:uid="{00000000-0005-0000-0000-000046010000}"/>
    <cellStyle name="Comma 2 25 2" xfId="328" xr:uid="{00000000-0005-0000-0000-000047010000}"/>
    <cellStyle name="Comma 2 25 2 2" xfId="329" xr:uid="{00000000-0005-0000-0000-000048010000}"/>
    <cellStyle name="Comma 2 26" xfId="330" xr:uid="{00000000-0005-0000-0000-000049010000}"/>
    <cellStyle name="Comma 2 26 2" xfId="331" xr:uid="{00000000-0005-0000-0000-00004A010000}"/>
    <cellStyle name="Comma 2 26 2 2" xfId="332" xr:uid="{00000000-0005-0000-0000-00004B010000}"/>
    <cellStyle name="Comma 2 27" xfId="333" xr:uid="{00000000-0005-0000-0000-00004C010000}"/>
    <cellStyle name="Comma 2 27 2" xfId="334" xr:uid="{00000000-0005-0000-0000-00004D010000}"/>
    <cellStyle name="Comma 2 3" xfId="335" xr:uid="{00000000-0005-0000-0000-00004E010000}"/>
    <cellStyle name="Comma 2 3 2" xfId="336" xr:uid="{00000000-0005-0000-0000-00004F010000}"/>
    <cellStyle name="Comma 2 3 2 2" xfId="337" xr:uid="{00000000-0005-0000-0000-000050010000}"/>
    <cellStyle name="Comma 2 4" xfId="338" xr:uid="{00000000-0005-0000-0000-000051010000}"/>
    <cellStyle name="Comma 2 4 2" xfId="339" xr:uid="{00000000-0005-0000-0000-000052010000}"/>
    <cellStyle name="Comma 2 4 2 2" xfId="340" xr:uid="{00000000-0005-0000-0000-000053010000}"/>
    <cellStyle name="Comma 2 5" xfId="341" xr:uid="{00000000-0005-0000-0000-000054010000}"/>
    <cellStyle name="Comma 2 5 2" xfId="342" xr:uid="{00000000-0005-0000-0000-000055010000}"/>
    <cellStyle name="Comma 2 5 2 2" xfId="343" xr:uid="{00000000-0005-0000-0000-000056010000}"/>
    <cellStyle name="Comma 2 6" xfId="344" xr:uid="{00000000-0005-0000-0000-000057010000}"/>
    <cellStyle name="Comma 2 6 2" xfId="345" xr:uid="{00000000-0005-0000-0000-000058010000}"/>
    <cellStyle name="Comma 2 6 2 2" xfId="346" xr:uid="{00000000-0005-0000-0000-000059010000}"/>
    <cellStyle name="Comma 2 7" xfId="347" xr:uid="{00000000-0005-0000-0000-00005A010000}"/>
    <cellStyle name="Comma 2 7 2" xfId="348" xr:uid="{00000000-0005-0000-0000-00005B010000}"/>
    <cellStyle name="Comma 2 7 2 2" xfId="349" xr:uid="{00000000-0005-0000-0000-00005C010000}"/>
    <cellStyle name="Comma 2 8" xfId="350" xr:uid="{00000000-0005-0000-0000-00005D010000}"/>
    <cellStyle name="Comma 2 8 2" xfId="351" xr:uid="{00000000-0005-0000-0000-00005E010000}"/>
    <cellStyle name="Comma 2 8 2 2" xfId="352" xr:uid="{00000000-0005-0000-0000-00005F010000}"/>
    <cellStyle name="Comma 2 9" xfId="353" xr:uid="{00000000-0005-0000-0000-000060010000}"/>
    <cellStyle name="Comma 2 9 2" xfId="354" xr:uid="{00000000-0005-0000-0000-000061010000}"/>
    <cellStyle name="Comma 2 9 2 2" xfId="355" xr:uid="{00000000-0005-0000-0000-000062010000}"/>
    <cellStyle name="Comma 24" xfId="356" xr:uid="{00000000-0005-0000-0000-000063010000}"/>
    <cellStyle name="Comma 24 2" xfId="357" xr:uid="{00000000-0005-0000-0000-000064010000}"/>
    <cellStyle name="Comma 24 2 2" xfId="358" xr:uid="{00000000-0005-0000-0000-000065010000}"/>
    <cellStyle name="Comma 3" xfId="359" xr:uid="{00000000-0005-0000-0000-000066010000}"/>
    <cellStyle name="Comma 3 10" xfId="360" xr:uid="{00000000-0005-0000-0000-000067010000}"/>
    <cellStyle name="Comma 3 10 2" xfId="361" xr:uid="{00000000-0005-0000-0000-000068010000}"/>
    <cellStyle name="Comma 3 10 2 2" xfId="362" xr:uid="{00000000-0005-0000-0000-000069010000}"/>
    <cellStyle name="Comma 3 11" xfId="363" xr:uid="{00000000-0005-0000-0000-00006A010000}"/>
    <cellStyle name="Comma 3 11 2" xfId="364" xr:uid="{00000000-0005-0000-0000-00006B010000}"/>
    <cellStyle name="Comma 3 11 2 2" xfId="365" xr:uid="{00000000-0005-0000-0000-00006C010000}"/>
    <cellStyle name="Comma 3 12" xfId="366" xr:uid="{00000000-0005-0000-0000-00006D010000}"/>
    <cellStyle name="Comma 3 12 2" xfId="367" xr:uid="{00000000-0005-0000-0000-00006E010000}"/>
    <cellStyle name="Comma 3 12 2 2" xfId="368" xr:uid="{00000000-0005-0000-0000-00006F010000}"/>
    <cellStyle name="Comma 3 13" xfId="369" xr:uid="{00000000-0005-0000-0000-000070010000}"/>
    <cellStyle name="Comma 3 13 2" xfId="370" xr:uid="{00000000-0005-0000-0000-000071010000}"/>
    <cellStyle name="Comma 3 13 2 2" xfId="371" xr:uid="{00000000-0005-0000-0000-000072010000}"/>
    <cellStyle name="Comma 3 14" xfId="372" xr:uid="{00000000-0005-0000-0000-000073010000}"/>
    <cellStyle name="Comma 3 14 2" xfId="373" xr:uid="{00000000-0005-0000-0000-000074010000}"/>
    <cellStyle name="Comma 3 14 2 2" xfId="374" xr:uid="{00000000-0005-0000-0000-000075010000}"/>
    <cellStyle name="Comma 3 15" xfId="375" xr:uid="{00000000-0005-0000-0000-000076010000}"/>
    <cellStyle name="Comma 3 15 2" xfId="376" xr:uid="{00000000-0005-0000-0000-000077010000}"/>
    <cellStyle name="Comma 3 15 2 2" xfId="377" xr:uid="{00000000-0005-0000-0000-000078010000}"/>
    <cellStyle name="Comma 3 16" xfId="378" xr:uid="{00000000-0005-0000-0000-000079010000}"/>
    <cellStyle name="Comma 3 16 2" xfId="379" xr:uid="{00000000-0005-0000-0000-00007A010000}"/>
    <cellStyle name="Comma 3 16 2 2" xfId="380" xr:uid="{00000000-0005-0000-0000-00007B010000}"/>
    <cellStyle name="Comma 3 17" xfId="381" xr:uid="{00000000-0005-0000-0000-00007C010000}"/>
    <cellStyle name="Comma 3 17 2" xfId="382" xr:uid="{00000000-0005-0000-0000-00007D010000}"/>
    <cellStyle name="Comma 3 17 2 2" xfId="383" xr:uid="{00000000-0005-0000-0000-00007E010000}"/>
    <cellStyle name="Comma 3 18" xfId="384" xr:uid="{00000000-0005-0000-0000-00007F010000}"/>
    <cellStyle name="Comma 3 18 2" xfId="385" xr:uid="{00000000-0005-0000-0000-000080010000}"/>
    <cellStyle name="Comma 3 18 2 2" xfId="386" xr:uid="{00000000-0005-0000-0000-000081010000}"/>
    <cellStyle name="Comma 3 19" xfId="387" xr:uid="{00000000-0005-0000-0000-000082010000}"/>
    <cellStyle name="Comma 3 19 2" xfId="388" xr:uid="{00000000-0005-0000-0000-000083010000}"/>
    <cellStyle name="Comma 3 19 2 2" xfId="389" xr:uid="{00000000-0005-0000-0000-000084010000}"/>
    <cellStyle name="Comma 3 2" xfId="390" xr:uid="{00000000-0005-0000-0000-000085010000}"/>
    <cellStyle name="Comma 3 2 2" xfId="391" xr:uid="{00000000-0005-0000-0000-000086010000}"/>
    <cellStyle name="Comma 3 2 2 2" xfId="392" xr:uid="{00000000-0005-0000-0000-000087010000}"/>
    <cellStyle name="Comma 3 20" xfId="393" xr:uid="{00000000-0005-0000-0000-000088010000}"/>
    <cellStyle name="Comma 3 20 2" xfId="394" xr:uid="{00000000-0005-0000-0000-000089010000}"/>
    <cellStyle name="Comma 3 20 2 2" xfId="395" xr:uid="{00000000-0005-0000-0000-00008A010000}"/>
    <cellStyle name="Comma 3 21" xfId="396" xr:uid="{00000000-0005-0000-0000-00008B010000}"/>
    <cellStyle name="Comma 3 21 2" xfId="397" xr:uid="{00000000-0005-0000-0000-00008C010000}"/>
    <cellStyle name="Comma 3 3" xfId="398" xr:uid="{00000000-0005-0000-0000-00008D010000}"/>
    <cellStyle name="Comma 3 3 2" xfId="399" xr:uid="{00000000-0005-0000-0000-00008E010000}"/>
    <cellStyle name="Comma 3 3 2 2" xfId="400" xr:uid="{00000000-0005-0000-0000-00008F010000}"/>
    <cellStyle name="Comma 3 4" xfId="401" xr:uid="{00000000-0005-0000-0000-000090010000}"/>
    <cellStyle name="Comma 3 4 2" xfId="402" xr:uid="{00000000-0005-0000-0000-000091010000}"/>
    <cellStyle name="Comma 3 4 2 2" xfId="403" xr:uid="{00000000-0005-0000-0000-000092010000}"/>
    <cellStyle name="Comma 3 5" xfId="404" xr:uid="{00000000-0005-0000-0000-000093010000}"/>
    <cellStyle name="Comma 3 5 2" xfId="405" xr:uid="{00000000-0005-0000-0000-000094010000}"/>
    <cellStyle name="Comma 3 5 2 2" xfId="406" xr:uid="{00000000-0005-0000-0000-000095010000}"/>
    <cellStyle name="Comma 3 6" xfId="407" xr:uid="{00000000-0005-0000-0000-000096010000}"/>
    <cellStyle name="Comma 3 6 2" xfId="408" xr:uid="{00000000-0005-0000-0000-000097010000}"/>
    <cellStyle name="Comma 3 6 2 2" xfId="409" xr:uid="{00000000-0005-0000-0000-000098010000}"/>
    <cellStyle name="Comma 3 7" xfId="410" xr:uid="{00000000-0005-0000-0000-000099010000}"/>
    <cellStyle name="Comma 3 7 2" xfId="411" xr:uid="{00000000-0005-0000-0000-00009A010000}"/>
    <cellStyle name="Comma 3 7 2 2" xfId="412" xr:uid="{00000000-0005-0000-0000-00009B010000}"/>
    <cellStyle name="Comma 3 8" xfId="413" xr:uid="{00000000-0005-0000-0000-00009C010000}"/>
    <cellStyle name="Comma 3 8 2" xfId="414" xr:uid="{00000000-0005-0000-0000-00009D010000}"/>
    <cellStyle name="Comma 3 8 2 2" xfId="415" xr:uid="{00000000-0005-0000-0000-00009E010000}"/>
    <cellStyle name="Comma 3 9" xfId="416" xr:uid="{00000000-0005-0000-0000-00009F010000}"/>
    <cellStyle name="Comma 3 9 2" xfId="417" xr:uid="{00000000-0005-0000-0000-0000A0010000}"/>
    <cellStyle name="Comma 3 9 2 2" xfId="418" xr:uid="{00000000-0005-0000-0000-0000A1010000}"/>
    <cellStyle name="Comma 4" xfId="419" xr:uid="{00000000-0005-0000-0000-0000A2010000}"/>
    <cellStyle name="Comma 4 2" xfId="420" xr:uid="{00000000-0005-0000-0000-0000A3010000}"/>
    <cellStyle name="Comma 4 2 2" xfId="421" xr:uid="{00000000-0005-0000-0000-0000A4010000}"/>
    <cellStyle name="Comma 5" xfId="422" xr:uid="{00000000-0005-0000-0000-0000A5010000}"/>
    <cellStyle name="Comma 5 10" xfId="423" xr:uid="{00000000-0005-0000-0000-0000A6010000}"/>
    <cellStyle name="Comma 5 10 2" xfId="424" xr:uid="{00000000-0005-0000-0000-0000A7010000}"/>
    <cellStyle name="Comma 5 10 2 2" xfId="425" xr:uid="{00000000-0005-0000-0000-0000A8010000}"/>
    <cellStyle name="Comma 5 11" xfId="426" xr:uid="{00000000-0005-0000-0000-0000A9010000}"/>
    <cellStyle name="Comma 5 11 2" xfId="427" xr:uid="{00000000-0005-0000-0000-0000AA010000}"/>
    <cellStyle name="Comma 5 11 2 2" xfId="428" xr:uid="{00000000-0005-0000-0000-0000AB010000}"/>
    <cellStyle name="Comma 5 12" xfId="429" xr:uid="{00000000-0005-0000-0000-0000AC010000}"/>
    <cellStyle name="Comma 5 12 2" xfId="430" xr:uid="{00000000-0005-0000-0000-0000AD010000}"/>
    <cellStyle name="Comma 5 12 2 2" xfId="431" xr:uid="{00000000-0005-0000-0000-0000AE010000}"/>
    <cellStyle name="Comma 5 13" xfId="432" xr:uid="{00000000-0005-0000-0000-0000AF010000}"/>
    <cellStyle name="Comma 5 13 2" xfId="433" xr:uid="{00000000-0005-0000-0000-0000B0010000}"/>
    <cellStyle name="Comma 5 13 2 2" xfId="434" xr:uid="{00000000-0005-0000-0000-0000B1010000}"/>
    <cellStyle name="Comma 5 14" xfId="435" xr:uid="{00000000-0005-0000-0000-0000B2010000}"/>
    <cellStyle name="Comma 5 14 2" xfId="436" xr:uid="{00000000-0005-0000-0000-0000B3010000}"/>
    <cellStyle name="Comma 5 14 2 2" xfId="437" xr:uid="{00000000-0005-0000-0000-0000B4010000}"/>
    <cellStyle name="Comma 5 15" xfId="438" xr:uid="{00000000-0005-0000-0000-0000B5010000}"/>
    <cellStyle name="Comma 5 15 2" xfId="439" xr:uid="{00000000-0005-0000-0000-0000B6010000}"/>
    <cellStyle name="Comma 5 15 2 2" xfId="440" xr:uid="{00000000-0005-0000-0000-0000B7010000}"/>
    <cellStyle name="Comma 5 16" xfId="441" xr:uid="{00000000-0005-0000-0000-0000B8010000}"/>
    <cellStyle name="Comma 5 16 2" xfId="442" xr:uid="{00000000-0005-0000-0000-0000B9010000}"/>
    <cellStyle name="Comma 5 16 2 2" xfId="443" xr:uid="{00000000-0005-0000-0000-0000BA010000}"/>
    <cellStyle name="Comma 5 17" xfId="444" xr:uid="{00000000-0005-0000-0000-0000BB010000}"/>
    <cellStyle name="Comma 5 17 2" xfId="445" xr:uid="{00000000-0005-0000-0000-0000BC010000}"/>
    <cellStyle name="Comma 5 17 2 2" xfId="446" xr:uid="{00000000-0005-0000-0000-0000BD010000}"/>
    <cellStyle name="Comma 5 18" xfId="447" xr:uid="{00000000-0005-0000-0000-0000BE010000}"/>
    <cellStyle name="Comma 5 18 2" xfId="448" xr:uid="{00000000-0005-0000-0000-0000BF010000}"/>
    <cellStyle name="Comma 5 18 2 2" xfId="449" xr:uid="{00000000-0005-0000-0000-0000C0010000}"/>
    <cellStyle name="Comma 5 19" xfId="450" xr:uid="{00000000-0005-0000-0000-0000C1010000}"/>
    <cellStyle name="Comma 5 19 2" xfId="451" xr:uid="{00000000-0005-0000-0000-0000C2010000}"/>
    <cellStyle name="Comma 5 19 2 2" xfId="452" xr:uid="{00000000-0005-0000-0000-0000C3010000}"/>
    <cellStyle name="Comma 5 2" xfId="453" xr:uid="{00000000-0005-0000-0000-0000C4010000}"/>
    <cellStyle name="Comma 5 2 2" xfId="454" xr:uid="{00000000-0005-0000-0000-0000C5010000}"/>
    <cellStyle name="Comma 5 2 2 2" xfId="455" xr:uid="{00000000-0005-0000-0000-0000C6010000}"/>
    <cellStyle name="Comma 5 20" xfId="456" xr:uid="{00000000-0005-0000-0000-0000C7010000}"/>
    <cellStyle name="Comma 5 20 2" xfId="457" xr:uid="{00000000-0005-0000-0000-0000C8010000}"/>
    <cellStyle name="Comma 5 20 2 2" xfId="458" xr:uid="{00000000-0005-0000-0000-0000C9010000}"/>
    <cellStyle name="Comma 5 21" xfId="459" xr:uid="{00000000-0005-0000-0000-0000CA010000}"/>
    <cellStyle name="Comma 5 21 2" xfId="460" xr:uid="{00000000-0005-0000-0000-0000CB010000}"/>
    <cellStyle name="Comma 5 3" xfId="461" xr:uid="{00000000-0005-0000-0000-0000CC010000}"/>
    <cellStyle name="Comma 5 3 2" xfId="462" xr:uid="{00000000-0005-0000-0000-0000CD010000}"/>
    <cellStyle name="Comma 5 3 2 2" xfId="463" xr:uid="{00000000-0005-0000-0000-0000CE010000}"/>
    <cellStyle name="Comma 5 4" xfId="464" xr:uid="{00000000-0005-0000-0000-0000CF010000}"/>
    <cellStyle name="Comma 5 4 2" xfId="465" xr:uid="{00000000-0005-0000-0000-0000D0010000}"/>
    <cellStyle name="Comma 5 4 2 2" xfId="466" xr:uid="{00000000-0005-0000-0000-0000D1010000}"/>
    <cellStyle name="Comma 5 5" xfId="467" xr:uid="{00000000-0005-0000-0000-0000D2010000}"/>
    <cellStyle name="Comma 5 5 2" xfId="468" xr:uid="{00000000-0005-0000-0000-0000D3010000}"/>
    <cellStyle name="Comma 5 5 2 2" xfId="469" xr:uid="{00000000-0005-0000-0000-0000D4010000}"/>
    <cellStyle name="Comma 5 6" xfId="470" xr:uid="{00000000-0005-0000-0000-0000D5010000}"/>
    <cellStyle name="Comma 5 6 2" xfId="471" xr:uid="{00000000-0005-0000-0000-0000D6010000}"/>
    <cellStyle name="Comma 5 6 2 2" xfId="472" xr:uid="{00000000-0005-0000-0000-0000D7010000}"/>
    <cellStyle name="Comma 5 7" xfId="473" xr:uid="{00000000-0005-0000-0000-0000D8010000}"/>
    <cellStyle name="Comma 5 7 2" xfId="474" xr:uid="{00000000-0005-0000-0000-0000D9010000}"/>
    <cellStyle name="Comma 5 7 2 2" xfId="475" xr:uid="{00000000-0005-0000-0000-0000DA010000}"/>
    <cellStyle name="Comma 5 8" xfId="476" xr:uid="{00000000-0005-0000-0000-0000DB010000}"/>
    <cellStyle name="Comma 5 8 2" xfId="477" xr:uid="{00000000-0005-0000-0000-0000DC010000}"/>
    <cellStyle name="Comma 5 8 2 2" xfId="478" xr:uid="{00000000-0005-0000-0000-0000DD010000}"/>
    <cellStyle name="Comma 5 9" xfId="479" xr:uid="{00000000-0005-0000-0000-0000DE010000}"/>
    <cellStyle name="Comma 5 9 2" xfId="480" xr:uid="{00000000-0005-0000-0000-0000DF010000}"/>
    <cellStyle name="Comma 5 9 2 2" xfId="481" xr:uid="{00000000-0005-0000-0000-0000E0010000}"/>
    <cellStyle name="Comma 6" xfId="482" xr:uid="{00000000-0005-0000-0000-0000E1010000}"/>
    <cellStyle name="Comma 6 10" xfId="483" xr:uid="{00000000-0005-0000-0000-0000E2010000}"/>
    <cellStyle name="Comma 6 10 2" xfId="484" xr:uid="{00000000-0005-0000-0000-0000E3010000}"/>
    <cellStyle name="Comma 6 10 2 2" xfId="485" xr:uid="{00000000-0005-0000-0000-0000E4010000}"/>
    <cellStyle name="Comma 6 11" xfId="486" xr:uid="{00000000-0005-0000-0000-0000E5010000}"/>
    <cellStyle name="Comma 6 11 2" xfId="487" xr:uid="{00000000-0005-0000-0000-0000E6010000}"/>
    <cellStyle name="Comma 6 11 2 2" xfId="488" xr:uid="{00000000-0005-0000-0000-0000E7010000}"/>
    <cellStyle name="Comma 6 12" xfId="489" xr:uid="{00000000-0005-0000-0000-0000E8010000}"/>
    <cellStyle name="Comma 6 12 2" xfId="490" xr:uid="{00000000-0005-0000-0000-0000E9010000}"/>
    <cellStyle name="Comma 6 12 2 2" xfId="491" xr:uid="{00000000-0005-0000-0000-0000EA010000}"/>
    <cellStyle name="Comma 6 13" xfId="492" xr:uid="{00000000-0005-0000-0000-0000EB010000}"/>
    <cellStyle name="Comma 6 13 2" xfId="493" xr:uid="{00000000-0005-0000-0000-0000EC010000}"/>
    <cellStyle name="Comma 6 13 2 2" xfId="494" xr:uid="{00000000-0005-0000-0000-0000ED010000}"/>
    <cellStyle name="Comma 6 14" xfId="495" xr:uid="{00000000-0005-0000-0000-0000EE010000}"/>
    <cellStyle name="Comma 6 14 2" xfId="496" xr:uid="{00000000-0005-0000-0000-0000EF010000}"/>
    <cellStyle name="Comma 6 14 2 2" xfId="497" xr:uid="{00000000-0005-0000-0000-0000F0010000}"/>
    <cellStyle name="Comma 6 15" xfId="498" xr:uid="{00000000-0005-0000-0000-0000F1010000}"/>
    <cellStyle name="Comma 6 15 2" xfId="499" xr:uid="{00000000-0005-0000-0000-0000F2010000}"/>
    <cellStyle name="Comma 6 15 2 2" xfId="500" xr:uid="{00000000-0005-0000-0000-0000F3010000}"/>
    <cellStyle name="Comma 6 16" xfId="501" xr:uid="{00000000-0005-0000-0000-0000F4010000}"/>
    <cellStyle name="Comma 6 16 2" xfId="502" xr:uid="{00000000-0005-0000-0000-0000F5010000}"/>
    <cellStyle name="Comma 6 16 2 2" xfId="503" xr:uid="{00000000-0005-0000-0000-0000F6010000}"/>
    <cellStyle name="Comma 6 17" xfId="504" xr:uid="{00000000-0005-0000-0000-0000F7010000}"/>
    <cellStyle name="Comma 6 17 2" xfId="505" xr:uid="{00000000-0005-0000-0000-0000F8010000}"/>
    <cellStyle name="Comma 6 17 2 2" xfId="506" xr:uid="{00000000-0005-0000-0000-0000F9010000}"/>
    <cellStyle name="Comma 6 18" xfId="507" xr:uid="{00000000-0005-0000-0000-0000FA010000}"/>
    <cellStyle name="Comma 6 18 2" xfId="508" xr:uid="{00000000-0005-0000-0000-0000FB010000}"/>
    <cellStyle name="Comma 6 18 2 2" xfId="509" xr:uid="{00000000-0005-0000-0000-0000FC010000}"/>
    <cellStyle name="Comma 6 19" xfId="510" xr:uid="{00000000-0005-0000-0000-0000FD010000}"/>
    <cellStyle name="Comma 6 19 2" xfId="511" xr:uid="{00000000-0005-0000-0000-0000FE010000}"/>
    <cellStyle name="Comma 6 19 2 2" xfId="512" xr:uid="{00000000-0005-0000-0000-0000FF010000}"/>
    <cellStyle name="Comma 6 2" xfId="513" xr:uid="{00000000-0005-0000-0000-000000020000}"/>
    <cellStyle name="Comma 6 2 2" xfId="514" xr:uid="{00000000-0005-0000-0000-000001020000}"/>
    <cellStyle name="Comma 6 2 2 2" xfId="515" xr:uid="{00000000-0005-0000-0000-000002020000}"/>
    <cellStyle name="Comma 6 20" xfId="516" xr:uid="{00000000-0005-0000-0000-000003020000}"/>
    <cellStyle name="Comma 6 20 2" xfId="517" xr:uid="{00000000-0005-0000-0000-000004020000}"/>
    <cellStyle name="Comma 6 3" xfId="518" xr:uid="{00000000-0005-0000-0000-000005020000}"/>
    <cellStyle name="Comma 6 3 2" xfId="519" xr:uid="{00000000-0005-0000-0000-000006020000}"/>
    <cellStyle name="Comma 6 3 2 2" xfId="520" xr:uid="{00000000-0005-0000-0000-000007020000}"/>
    <cellStyle name="Comma 6 4" xfId="521" xr:uid="{00000000-0005-0000-0000-000008020000}"/>
    <cellStyle name="Comma 6 4 2" xfId="522" xr:uid="{00000000-0005-0000-0000-000009020000}"/>
    <cellStyle name="Comma 6 4 2 2" xfId="523" xr:uid="{00000000-0005-0000-0000-00000A020000}"/>
    <cellStyle name="Comma 6 5" xfId="524" xr:uid="{00000000-0005-0000-0000-00000B020000}"/>
    <cellStyle name="Comma 6 5 2" xfId="525" xr:uid="{00000000-0005-0000-0000-00000C020000}"/>
    <cellStyle name="Comma 6 5 2 2" xfId="526" xr:uid="{00000000-0005-0000-0000-00000D020000}"/>
    <cellStyle name="Comma 6 6" xfId="527" xr:uid="{00000000-0005-0000-0000-00000E020000}"/>
    <cellStyle name="Comma 6 6 2" xfId="528" xr:uid="{00000000-0005-0000-0000-00000F020000}"/>
    <cellStyle name="Comma 6 6 2 2" xfId="529" xr:uid="{00000000-0005-0000-0000-000010020000}"/>
    <cellStyle name="Comma 6 7" xfId="530" xr:uid="{00000000-0005-0000-0000-000011020000}"/>
    <cellStyle name="Comma 6 7 2" xfId="531" xr:uid="{00000000-0005-0000-0000-000012020000}"/>
    <cellStyle name="Comma 6 7 2 2" xfId="532" xr:uid="{00000000-0005-0000-0000-000013020000}"/>
    <cellStyle name="Comma 6 8" xfId="533" xr:uid="{00000000-0005-0000-0000-000014020000}"/>
    <cellStyle name="Comma 6 8 2" xfId="534" xr:uid="{00000000-0005-0000-0000-000015020000}"/>
    <cellStyle name="Comma 6 8 2 2" xfId="535" xr:uid="{00000000-0005-0000-0000-000016020000}"/>
    <cellStyle name="Comma 6 9" xfId="536" xr:uid="{00000000-0005-0000-0000-000017020000}"/>
    <cellStyle name="Comma 6 9 2" xfId="537" xr:uid="{00000000-0005-0000-0000-000018020000}"/>
    <cellStyle name="Comma 6 9 2 2" xfId="538" xr:uid="{00000000-0005-0000-0000-000019020000}"/>
    <cellStyle name="Comma 7" xfId="539" xr:uid="{00000000-0005-0000-0000-00001A020000}"/>
    <cellStyle name="Comma 7 10" xfId="540" xr:uid="{00000000-0005-0000-0000-00001B020000}"/>
    <cellStyle name="Comma 7 10 2" xfId="541" xr:uid="{00000000-0005-0000-0000-00001C020000}"/>
    <cellStyle name="Comma 7 10 2 2" xfId="542" xr:uid="{00000000-0005-0000-0000-00001D020000}"/>
    <cellStyle name="Comma 7 11" xfId="543" xr:uid="{00000000-0005-0000-0000-00001E020000}"/>
    <cellStyle name="Comma 7 11 2" xfId="544" xr:uid="{00000000-0005-0000-0000-00001F020000}"/>
    <cellStyle name="Comma 7 11 2 2" xfId="545" xr:uid="{00000000-0005-0000-0000-000020020000}"/>
    <cellStyle name="Comma 7 12" xfId="546" xr:uid="{00000000-0005-0000-0000-000021020000}"/>
    <cellStyle name="Comma 7 12 2" xfId="547" xr:uid="{00000000-0005-0000-0000-000022020000}"/>
    <cellStyle name="Comma 7 12 2 2" xfId="548" xr:uid="{00000000-0005-0000-0000-000023020000}"/>
    <cellStyle name="Comma 7 13" xfId="549" xr:uid="{00000000-0005-0000-0000-000024020000}"/>
    <cellStyle name="Comma 7 13 2" xfId="550" xr:uid="{00000000-0005-0000-0000-000025020000}"/>
    <cellStyle name="Comma 7 13 2 2" xfId="551" xr:uid="{00000000-0005-0000-0000-000026020000}"/>
    <cellStyle name="Comma 7 14" xfId="552" xr:uid="{00000000-0005-0000-0000-000027020000}"/>
    <cellStyle name="Comma 7 14 2" xfId="553" xr:uid="{00000000-0005-0000-0000-000028020000}"/>
    <cellStyle name="Comma 7 14 2 2" xfId="554" xr:uid="{00000000-0005-0000-0000-000029020000}"/>
    <cellStyle name="Comma 7 15" xfId="555" xr:uid="{00000000-0005-0000-0000-00002A020000}"/>
    <cellStyle name="Comma 7 15 2" xfId="556" xr:uid="{00000000-0005-0000-0000-00002B020000}"/>
    <cellStyle name="Comma 7 15 2 2" xfId="557" xr:uid="{00000000-0005-0000-0000-00002C020000}"/>
    <cellStyle name="Comma 7 16" xfId="558" xr:uid="{00000000-0005-0000-0000-00002D020000}"/>
    <cellStyle name="Comma 7 16 2" xfId="559" xr:uid="{00000000-0005-0000-0000-00002E020000}"/>
    <cellStyle name="Comma 7 16 2 2" xfId="560" xr:uid="{00000000-0005-0000-0000-00002F020000}"/>
    <cellStyle name="Comma 7 17" xfId="561" xr:uid="{00000000-0005-0000-0000-000030020000}"/>
    <cellStyle name="Comma 7 17 2" xfId="562" xr:uid="{00000000-0005-0000-0000-000031020000}"/>
    <cellStyle name="Comma 7 17 2 2" xfId="563" xr:uid="{00000000-0005-0000-0000-000032020000}"/>
    <cellStyle name="Comma 7 18" xfId="564" xr:uid="{00000000-0005-0000-0000-000033020000}"/>
    <cellStyle name="Comma 7 18 2" xfId="565" xr:uid="{00000000-0005-0000-0000-000034020000}"/>
    <cellStyle name="Comma 7 18 2 2" xfId="566" xr:uid="{00000000-0005-0000-0000-000035020000}"/>
    <cellStyle name="Comma 7 19" xfId="567" xr:uid="{00000000-0005-0000-0000-000036020000}"/>
    <cellStyle name="Comma 7 19 2" xfId="568" xr:uid="{00000000-0005-0000-0000-000037020000}"/>
    <cellStyle name="Comma 7 19 2 2" xfId="569" xr:uid="{00000000-0005-0000-0000-000038020000}"/>
    <cellStyle name="Comma 7 2" xfId="570" xr:uid="{00000000-0005-0000-0000-000039020000}"/>
    <cellStyle name="Comma 7 2 2" xfId="571" xr:uid="{00000000-0005-0000-0000-00003A020000}"/>
    <cellStyle name="Comma 7 2 2 2" xfId="572" xr:uid="{00000000-0005-0000-0000-00003B020000}"/>
    <cellStyle name="Comma 7 20" xfId="573" xr:uid="{00000000-0005-0000-0000-00003C020000}"/>
    <cellStyle name="Comma 7 20 2" xfId="574" xr:uid="{00000000-0005-0000-0000-00003D020000}"/>
    <cellStyle name="Comma 7 3" xfId="575" xr:uid="{00000000-0005-0000-0000-00003E020000}"/>
    <cellStyle name="Comma 7 3 2" xfId="576" xr:uid="{00000000-0005-0000-0000-00003F020000}"/>
    <cellStyle name="Comma 7 3 2 2" xfId="577" xr:uid="{00000000-0005-0000-0000-000040020000}"/>
    <cellStyle name="Comma 7 4" xfId="578" xr:uid="{00000000-0005-0000-0000-000041020000}"/>
    <cellStyle name="Comma 7 4 2" xfId="579" xr:uid="{00000000-0005-0000-0000-000042020000}"/>
    <cellStyle name="Comma 7 4 2 2" xfId="580" xr:uid="{00000000-0005-0000-0000-000043020000}"/>
    <cellStyle name="Comma 7 5" xfId="581" xr:uid="{00000000-0005-0000-0000-000044020000}"/>
    <cellStyle name="Comma 7 5 2" xfId="582" xr:uid="{00000000-0005-0000-0000-000045020000}"/>
    <cellStyle name="Comma 7 5 2 2" xfId="583" xr:uid="{00000000-0005-0000-0000-000046020000}"/>
    <cellStyle name="Comma 7 6" xfId="584" xr:uid="{00000000-0005-0000-0000-000047020000}"/>
    <cellStyle name="Comma 7 6 2" xfId="585" xr:uid="{00000000-0005-0000-0000-000048020000}"/>
    <cellStyle name="Comma 7 6 2 2" xfId="586" xr:uid="{00000000-0005-0000-0000-000049020000}"/>
    <cellStyle name="Comma 7 7" xfId="587" xr:uid="{00000000-0005-0000-0000-00004A020000}"/>
    <cellStyle name="Comma 7 7 2" xfId="588" xr:uid="{00000000-0005-0000-0000-00004B020000}"/>
    <cellStyle name="Comma 7 7 2 2" xfId="589" xr:uid="{00000000-0005-0000-0000-00004C020000}"/>
    <cellStyle name="Comma 7 8" xfId="590" xr:uid="{00000000-0005-0000-0000-00004D020000}"/>
    <cellStyle name="Comma 7 8 2" xfId="591" xr:uid="{00000000-0005-0000-0000-00004E020000}"/>
    <cellStyle name="Comma 7 8 2 2" xfId="592" xr:uid="{00000000-0005-0000-0000-00004F020000}"/>
    <cellStyle name="Comma 7 9" xfId="593" xr:uid="{00000000-0005-0000-0000-000050020000}"/>
    <cellStyle name="Comma 7 9 2" xfId="594" xr:uid="{00000000-0005-0000-0000-000051020000}"/>
    <cellStyle name="Comma 7 9 2 2" xfId="595" xr:uid="{00000000-0005-0000-0000-000052020000}"/>
    <cellStyle name="Comma 8" xfId="596" xr:uid="{00000000-0005-0000-0000-000053020000}"/>
    <cellStyle name="Comma 8 10" xfId="597" xr:uid="{00000000-0005-0000-0000-000054020000}"/>
    <cellStyle name="Comma 8 10 2" xfId="598" xr:uid="{00000000-0005-0000-0000-000055020000}"/>
    <cellStyle name="Comma 8 10 2 2" xfId="599" xr:uid="{00000000-0005-0000-0000-000056020000}"/>
    <cellStyle name="Comma 8 11" xfId="600" xr:uid="{00000000-0005-0000-0000-000057020000}"/>
    <cellStyle name="Comma 8 11 2" xfId="601" xr:uid="{00000000-0005-0000-0000-000058020000}"/>
    <cellStyle name="Comma 8 11 2 2" xfId="602" xr:uid="{00000000-0005-0000-0000-000059020000}"/>
    <cellStyle name="Comma 8 12" xfId="603" xr:uid="{00000000-0005-0000-0000-00005A020000}"/>
    <cellStyle name="Comma 8 12 2" xfId="604" xr:uid="{00000000-0005-0000-0000-00005B020000}"/>
    <cellStyle name="Comma 8 12 2 2" xfId="605" xr:uid="{00000000-0005-0000-0000-00005C020000}"/>
    <cellStyle name="Comma 8 13" xfId="606" xr:uid="{00000000-0005-0000-0000-00005D020000}"/>
    <cellStyle name="Comma 8 13 2" xfId="607" xr:uid="{00000000-0005-0000-0000-00005E020000}"/>
    <cellStyle name="Comma 8 13 2 2" xfId="608" xr:uid="{00000000-0005-0000-0000-00005F020000}"/>
    <cellStyle name="Comma 8 14" xfId="609" xr:uid="{00000000-0005-0000-0000-000060020000}"/>
    <cellStyle name="Comma 8 14 2" xfId="610" xr:uid="{00000000-0005-0000-0000-000061020000}"/>
    <cellStyle name="Comma 8 14 2 2" xfId="611" xr:uid="{00000000-0005-0000-0000-000062020000}"/>
    <cellStyle name="Comma 8 15" xfId="612" xr:uid="{00000000-0005-0000-0000-000063020000}"/>
    <cellStyle name="Comma 8 15 2" xfId="613" xr:uid="{00000000-0005-0000-0000-000064020000}"/>
    <cellStyle name="Comma 8 15 2 2" xfId="614" xr:uid="{00000000-0005-0000-0000-000065020000}"/>
    <cellStyle name="Comma 8 16" xfId="615" xr:uid="{00000000-0005-0000-0000-000066020000}"/>
    <cellStyle name="Comma 8 16 2" xfId="616" xr:uid="{00000000-0005-0000-0000-000067020000}"/>
    <cellStyle name="Comma 8 16 2 2" xfId="617" xr:uid="{00000000-0005-0000-0000-000068020000}"/>
    <cellStyle name="Comma 8 17" xfId="618" xr:uid="{00000000-0005-0000-0000-000069020000}"/>
    <cellStyle name="Comma 8 17 2" xfId="619" xr:uid="{00000000-0005-0000-0000-00006A020000}"/>
    <cellStyle name="Comma 8 17 2 2" xfId="620" xr:uid="{00000000-0005-0000-0000-00006B020000}"/>
    <cellStyle name="Comma 8 18" xfId="621" xr:uid="{00000000-0005-0000-0000-00006C020000}"/>
    <cellStyle name="Comma 8 18 2" xfId="622" xr:uid="{00000000-0005-0000-0000-00006D020000}"/>
    <cellStyle name="Comma 8 18 2 2" xfId="623" xr:uid="{00000000-0005-0000-0000-00006E020000}"/>
    <cellStyle name="Comma 8 19" xfId="624" xr:uid="{00000000-0005-0000-0000-00006F020000}"/>
    <cellStyle name="Comma 8 19 2" xfId="625" xr:uid="{00000000-0005-0000-0000-000070020000}"/>
    <cellStyle name="Comma 8 19 2 2" xfId="626" xr:uid="{00000000-0005-0000-0000-000071020000}"/>
    <cellStyle name="Comma 8 2" xfId="627" xr:uid="{00000000-0005-0000-0000-000072020000}"/>
    <cellStyle name="Comma 8 2 2" xfId="628" xr:uid="{00000000-0005-0000-0000-000073020000}"/>
    <cellStyle name="Comma 8 2 2 2" xfId="629" xr:uid="{00000000-0005-0000-0000-000074020000}"/>
    <cellStyle name="Comma 8 20" xfId="630" xr:uid="{00000000-0005-0000-0000-000075020000}"/>
    <cellStyle name="Comma 8 20 2" xfId="631" xr:uid="{00000000-0005-0000-0000-000076020000}"/>
    <cellStyle name="Comma 8 3" xfId="632" xr:uid="{00000000-0005-0000-0000-000077020000}"/>
    <cellStyle name="Comma 8 3 2" xfId="633" xr:uid="{00000000-0005-0000-0000-000078020000}"/>
    <cellStyle name="Comma 8 3 2 2" xfId="634" xr:uid="{00000000-0005-0000-0000-000079020000}"/>
    <cellStyle name="Comma 8 4" xfId="635" xr:uid="{00000000-0005-0000-0000-00007A020000}"/>
    <cellStyle name="Comma 8 4 2" xfId="636" xr:uid="{00000000-0005-0000-0000-00007B020000}"/>
    <cellStyle name="Comma 8 4 2 2" xfId="637" xr:uid="{00000000-0005-0000-0000-00007C020000}"/>
    <cellStyle name="Comma 8 5" xfId="638" xr:uid="{00000000-0005-0000-0000-00007D020000}"/>
    <cellStyle name="Comma 8 5 2" xfId="639" xr:uid="{00000000-0005-0000-0000-00007E020000}"/>
    <cellStyle name="Comma 8 5 2 2" xfId="640" xr:uid="{00000000-0005-0000-0000-00007F020000}"/>
    <cellStyle name="Comma 8 6" xfId="641" xr:uid="{00000000-0005-0000-0000-000080020000}"/>
    <cellStyle name="Comma 8 6 2" xfId="642" xr:uid="{00000000-0005-0000-0000-000081020000}"/>
    <cellStyle name="Comma 8 6 2 2" xfId="643" xr:uid="{00000000-0005-0000-0000-000082020000}"/>
    <cellStyle name="Comma 8 7" xfId="644" xr:uid="{00000000-0005-0000-0000-000083020000}"/>
    <cellStyle name="Comma 8 7 2" xfId="645" xr:uid="{00000000-0005-0000-0000-000084020000}"/>
    <cellStyle name="Comma 8 7 2 2" xfId="646" xr:uid="{00000000-0005-0000-0000-000085020000}"/>
    <cellStyle name="Comma 8 8" xfId="647" xr:uid="{00000000-0005-0000-0000-000086020000}"/>
    <cellStyle name="Comma 8 8 2" xfId="648" xr:uid="{00000000-0005-0000-0000-000087020000}"/>
    <cellStyle name="Comma 8 8 2 2" xfId="649" xr:uid="{00000000-0005-0000-0000-000088020000}"/>
    <cellStyle name="Comma 8 9" xfId="650" xr:uid="{00000000-0005-0000-0000-000089020000}"/>
    <cellStyle name="Comma 8 9 2" xfId="651" xr:uid="{00000000-0005-0000-0000-00008A020000}"/>
    <cellStyle name="Comma 8 9 2 2" xfId="652" xr:uid="{00000000-0005-0000-0000-00008B020000}"/>
    <cellStyle name="Comma 9" xfId="653" xr:uid="{00000000-0005-0000-0000-00008C020000}"/>
    <cellStyle name="Comma 9 10" xfId="654" xr:uid="{00000000-0005-0000-0000-00008D020000}"/>
    <cellStyle name="Comma 9 10 2" xfId="655" xr:uid="{00000000-0005-0000-0000-00008E020000}"/>
    <cellStyle name="Comma 9 10 2 2" xfId="656" xr:uid="{00000000-0005-0000-0000-00008F020000}"/>
    <cellStyle name="Comma 9 11" xfId="657" xr:uid="{00000000-0005-0000-0000-000090020000}"/>
    <cellStyle name="Comma 9 11 2" xfId="658" xr:uid="{00000000-0005-0000-0000-000091020000}"/>
    <cellStyle name="Comma 9 11 2 2" xfId="659" xr:uid="{00000000-0005-0000-0000-000092020000}"/>
    <cellStyle name="Comma 9 12" xfId="660" xr:uid="{00000000-0005-0000-0000-000093020000}"/>
    <cellStyle name="Comma 9 12 2" xfId="661" xr:uid="{00000000-0005-0000-0000-000094020000}"/>
    <cellStyle name="Comma 9 12 2 2" xfId="662" xr:uid="{00000000-0005-0000-0000-000095020000}"/>
    <cellStyle name="Comma 9 13" xfId="663" xr:uid="{00000000-0005-0000-0000-000096020000}"/>
    <cellStyle name="Comma 9 13 2" xfId="664" xr:uid="{00000000-0005-0000-0000-000097020000}"/>
    <cellStyle name="Comma 9 13 2 2" xfId="665" xr:uid="{00000000-0005-0000-0000-000098020000}"/>
    <cellStyle name="Comma 9 14" xfId="666" xr:uid="{00000000-0005-0000-0000-000099020000}"/>
    <cellStyle name="Comma 9 14 2" xfId="667" xr:uid="{00000000-0005-0000-0000-00009A020000}"/>
    <cellStyle name="Comma 9 14 2 2" xfId="668" xr:uid="{00000000-0005-0000-0000-00009B020000}"/>
    <cellStyle name="Comma 9 15" xfId="669" xr:uid="{00000000-0005-0000-0000-00009C020000}"/>
    <cellStyle name="Comma 9 15 2" xfId="670" xr:uid="{00000000-0005-0000-0000-00009D020000}"/>
    <cellStyle name="Comma 9 15 2 2" xfId="671" xr:uid="{00000000-0005-0000-0000-00009E020000}"/>
    <cellStyle name="Comma 9 16" xfId="672" xr:uid="{00000000-0005-0000-0000-00009F020000}"/>
    <cellStyle name="Comma 9 16 2" xfId="673" xr:uid="{00000000-0005-0000-0000-0000A0020000}"/>
    <cellStyle name="Comma 9 16 2 2" xfId="674" xr:uid="{00000000-0005-0000-0000-0000A1020000}"/>
    <cellStyle name="Comma 9 17" xfId="675" xr:uid="{00000000-0005-0000-0000-0000A2020000}"/>
    <cellStyle name="Comma 9 17 2" xfId="676" xr:uid="{00000000-0005-0000-0000-0000A3020000}"/>
    <cellStyle name="Comma 9 17 2 2" xfId="677" xr:uid="{00000000-0005-0000-0000-0000A4020000}"/>
    <cellStyle name="Comma 9 18" xfId="678" xr:uid="{00000000-0005-0000-0000-0000A5020000}"/>
    <cellStyle name="Comma 9 18 2" xfId="679" xr:uid="{00000000-0005-0000-0000-0000A6020000}"/>
    <cellStyle name="Comma 9 18 2 2" xfId="680" xr:uid="{00000000-0005-0000-0000-0000A7020000}"/>
    <cellStyle name="Comma 9 19" xfId="681" xr:uid="{00000000-0005-0000-0000-0000A8020000}"/>
    <cellStyle name="Comma 9 19 2" xfId="682" xr:uid="{00000000-0005-0000-0000-0000A9020000}"/>
    <cellStyle name="Comma 9 19 2 2" xfId="683" xr:uid="{00000000-0005-0000-0000-0000AA020000}"/>
    <cellStyle name="Comma 9 2" xfId="684" xr:uid="{00000000-0005-0000-0000-0000AB020000}"/>
    <cellStyle name="Comma 9 2 2" xfId="685" xr:uid="{00000000-0005-0000-0000-0000AC020000}"/>
    <cellStyle name="Comma 9 2 2 2" xfId="686" xr:uid="{00000000-0005-0000-0000-0000AD020000}"/>
    <cellStyle name="Comma 9 20" xfId="687" xr:uid="{00000000-0005-0000-0000-0000AE020000}"/>
    <cellStyle name="Comma 9 20 2" xfId="688" xr:uid="{00000000-0005-0000-0000-0000AF020000}"/>
    <cellStyle name="Comma 9 3" xfId="689" xr:uid="{00000000-0005-0000-0000-0000B0020000}"/>
    <cellStyle name="Comma 9 3 2" xfId="690" xr:uid="{00000000-0005-0000-0000-0000B1020000}"/>
    <cellStyle name="Comma 9 3 2 2" xfId="691" xr:uid="{00000000-0005-0000-0000-0000B2020000}"/>
    <cellStyle name="Comma 9 4" xfId="692" xr:uid="{00000000-0005-0000-0000-0000B3020000}"/>
    <cellStyle name="Comma 9 4 2" xfId="693" xr:uid="{00000000-0005-0000-0000-0000B4020000}"/>
    <cellStyle name="Comma 9 4 2 2" xfId="694" xr:uid="{00000000-0005-0000-0000-0000B5020000}"/>
    <cellStyle name="Comma 9 5" xfId="695" xr:uid="{00000000-0005-0000-0000-0000B6020000}"/>
    <cellStyle name="Comma 9 5 2" xfId="696" xr:uid="{00000000-0005-0000-0000-0000B7020000}"/>
    <cellStyle name="Comma 9 5 2 2" xfId="697" xr:uid="{00000000-0005-0000-0000-0000B8020000}"/>
    <cellStyle name="Comma 9 6" xfId="698" xr:uid="{00000000-0005-0000-0000-0000B9020000}"/>
    <cellStyle name="Comma 9 6 2" xfId="699" xr:uid="{00000000-0005-0000-0000-0000BA020000}"/>
    <cellStyle name="Comma 9 6 2 2" xfId="700" xr:uid="{00000000-0005-0000-0000-0000BB020000}"/>
    <cellStyle name="Comma 9 7" xfId="701" xr:uid="{00000000-0005-0000-0000-0000BC020000}"/>
    <cellStyle name="Comma 9 7 2" xfId="702" xr:uid="{00000000-0005-0000-0000-0000BD020000}"/>
    <cellStyle name="Comma 9 7 2 2" xfId="703" xr:uid="{00000000-0005-0000-0000-0000BE020000}"/>
    <cellStyle name="Comma 9 8" xfId="704" xr:uid="{00000000-0005-0000-0000-0000BF020000}"/>
    <cellStyle name="Comma 9 8 2" xfId="705" xr:uid="{00000000-0005-0000-0000-0000C0020000}"/>
    <cellStyle name="Comma 9 8 2 2" xfId="706" xr:uid="{00000000-0005-0000-0000-0000C1020000}"/>
    <cellStyle name="Comma 9 9" xfId="707" xr:uid="{00000000-0005-0000-0000-0000C2020000}"/>
    <cellStyle name="Comma 9 9 2" xfId="708" xr:uid="{00000000-0005-0000-0000-0000C3020000}"/>
    <cellStyle name="Comma 9 9 2 2" xfId="709" xr:uid="{00000000-0005-0000-0000-0000C4020000}"/>
    <cellStyle name="Input 2" xfId="710" xr:uid="{00000000-0005-0000-0000-0000C5020000}"/>
    <cellStyle name="Input 2 2" xfId="711" xr:uid="{00000000-0005-0000-0000-0000C6020000}"/>
    <cellStyle name="Input 2 2 2" xfId="712" xr:uid="{00000000-0005-0000-0000-0000C7020000}"/>
    <cellStyle name="Jun" xfId="713" xr:uid="{00000000-0005-0000-0000-0000C8020000}"/>
    <cellStyle name="Normal" xfId="0" builtinId="0"/>
    <cellStyle name="Normal 10" xfId="714" xr:uid="{00000000-0005-0000-0000-0000CA020000}"/>
    <cellStyle name="Normal 10 2" xfId="715" xr:uid="{00000000-0005-0000-0000-0000CB020000}"/>
    <cellStyle name="Normal 10 2 2" xfId="716" xr:uid="{00000000-0005-0000-0000-0000CC020000}"/>
    <cellStyle name="Normal 10 3" xfId="717" xr:uid="{00000000-0005-0000-0000-0000CD020000}"/>
    <cellStyle name="Normal 10 3 2" xfId="718" xr:uid="{00000000-0005-0000-0000-0000CE020000}"/>
    <cellStyle name="Normal 10 4" xfId="719" xr:uid="{00000000-0005-0000-0000-0000CF020000}"/>
    <cellStyle name="Normal 10 4 2" xfId="720" xr:uid="{00000000-0005-0000-0000-0000D0020000}"/>
    <cellStyle name="Normal 10 5" xfId="721" xr:uid="{00000000-0005-0000-0000-0000D1020000}"/>
    <cellStyle name="Normal 10 5 2" xfId="722" xr:uid="{00000000-0005-0000-0000-0000D2020000}"/>
    <cellStyle name="Normal 10 6" xfId="723" xr:uid="{00000000-0005-0000-0000-0000D3020000}"/>
    <cellStyle name="Normal 11" xfId="724" xr:uid="{00000000-0005-0000-0000-0000D4020000}"/>
    <cellStyle name="Normal 11 2" xfId="725" xr:uid="{00000000-0005-0000-0000-0000D5020000}"/>
    <cellStyle name="Normal 12" xfId="726" xr:uid="{00000000-0005-0000-0000-0000D6020000}"/>
    <cellStyle name="Normal 12 2" xfId="727" xr:uid="{00000000-0005-0000-0000-0000D7020000}"/>
    <cellStyle name="Normal 12 2 2" xfId="728" xr:uid="{00000000-0005-0000-0000-0000D8020000}"/>
    <cellStyle name="Normal 12 3" xfId="729" xr:uid="{00000000-0005-0000-0000-0000D9020000}"/>
    <cellStyle name="Normal 12 3 2" xfId="730" xr:uid="{00000000-0005-0000-0000-0000DA020000}"/>
    <cellStyle name="Normal 12 4" xfId="731" xr:uid="{00000000-0005-0000-0000-0000DB020000}"/>
    <cellStyle name="Normal 12 4 2" xfId="732" xr:uid="{00000000-0005-0000-0000-0000DC020000}"/>
    <cellStyle name="Normal 12 5" xfId="733" xr:uid="{00000000-0005-0000-0000-0000DD020000}"/>
    <cellStyle name="Normal 12 5 2" xfId="734" xr:uid="{00000000-0005-0000-0000-0000DE020000}"/>
    <cellStyle name="Normal 12 6" xfId="735" xr:uid="{00000000-0005-0000-0000-0000DF020000}"/>
    <cellStyle name="Normal 13" xfId="736" xr:uid="{00000000-0005-0000-0000-0000E0020000}"/>
    <cellStyle name="Normal 13 2" xfId="737" xr:uid="{00000000-0005-0000-0000-0000E1020000}"/>
    <cellStyle name="Normal 13 2 2" xfId="738" xr:uid="{00000000-0005-0000-0000-0000E2020000}"/>
    <cellStyle name="Normal 13 3" xfId="739" xr:uid="{00000000-0005-0000-0000-0000E3020000}"/>
    <cellStyle name="Normal 13 3 2" xfId="740" xr:uid="{00000000-0005-0000-0000-0000E4020000}"/>
    <cellStyle name="Normal 13 4" xfId="741" xr:uid="{00000000-0005-0000-0000-0000E5020000}"/>
    <cellStyle name="Normal 13 4 2" xfId="742" xr:uid="{00000000-0005-0000-0000-0000E6020000}"/>
    <cellStyle name="Normal 13 5" xfId="743" xr:uid="{00000000-0005-0000-0000-0000E7020000}"/>
    <cellStyle name="Normal 13 5 2" xfId="744" xr:uid="{00000000-0005-0000-0000-0000E8020000}"/>
    <cellStyle name="Normal 13 6" xfId="745" xr:uid="{00000000-0005-0000-0000-0000E9020000}"/>
    <cellStyle name="Normal 14" xfId="746" xr:uid="{00000000-0005-0000-0000-0000EA020000}"/>
    <cellStyle name="Normal 14 10" xfId="747" xr:uid="{00000000-0005-0000-0000-0000EB020000}"/>
    <cellStyle name="Normal 14 10 2" xfId="748" xr:uid="{00000000-0005-0000-0000-0000EC020000}"/>
    <cellStyle name="Normal 14 11" xfId="749" xr:uid="{00000000-0005-0000-0000-0000ED020000}"/>
    <cellStyle name="Normal 14 11 2" xfId="750" xr:uid="{00000000-0005-0000-0000-0000EE020000}"/>
    <cellStyle name="Normal 14 12" xfId="751" xr:uid="{00000000-0005-0000-0000-0000EF020000}"/>
    <cellStyle name="Normal 14 12 2" xfId="752" xr:uid="{00000000-0005-0000-0000-0000F0020000}"/>
    <cellStyle name="Normal 14 13" xfId="753" xr:uid="{00000000-0005-0000-0000-0000F1020000}"/>
    <cellStyle name="Normal 14 2" xfId="754" xr:uid="{00000000-0005-0000-0000-0000F2020000}"/>
    <cellStyle name="Normal 14 2 2" xfId="755" xr:uid="{00000000-0005-0000-0000-0000F3020000}"/>
    <cellStyle name="Normal 14 3" xfId="756" xr:uid="{00000000-0005-0000-0000-0000F4020000}"/>
    <cellStyle name="Normal 14 3 2" xfId="757" xr:uid="{00000000-0005-0000-0000-0000F5020000}"/>
    <cellStyle name="Normal 14 4" xfId="758" xr:uid="{00000000-0005-0000-0000-0000F6020000}"/>
    <cellStyle name="Normal 14 4 2" xfId="759" xr:uid="{00000000-0005-0000-0000-0000F7020000}"/>
    <cellStyle name="Normal 14 5" xfId="760" xr:uid="{00000000-0005-0000-0000-0000F8020000}"/>
    <cellStyle name="Normal 14 5 2" xfId="761" xr:uid="{00000000-0005-0000-0000-0000F9020000}"/>
    <cellStyle name="Normal 14 6" xfId="762" xr:uid="{00000000-0005-0000-0000-0000FA020000}"/>
    <cellStyle name="Normal 14 6 2" xfId="763" xr:uid="{00000000-0005-0000-0000-0000FB020000}"/>
    <cellStyle name="Normal 14 7" xfId="764" xr:uid="{00000000-0005-0000-0000-0000FC020000}"/>
    <cellStyle name="Normal 14 7 2" xfId="765" xr:uid="{00000000-0005-0000-0000-0000FD020000}"/>
    <cellStyle name="Normal 14 8" xfId="766" xr:uid="{00000000-0005-0000-0000-0000FE020000}"/>
    <cellStyle name="Normal 14 8 2" xfId="767" xr:uid="{00000000-0005-0000-0000-0000FF020000}"/>
    <cellStyle name="Normal 14 9" xfId="768" xr:uid="{00000000-0005-0000-0000-000000030000}"/>
    <cellStyle name="Normal 14 9 2" xfId="769" xr:uid="{00000000-0005-0000-0000-000001030000}"/>
    <cellStyle name="Normal 15" xfId="770" xr:uid="{00000000-0005-0000-0000-000002030000}"/>
    <cellStyle name="Normal 16" xfId="771" xr:uid="{00000000-0005-0000-0000-000003030000}"/>
    <cellStyle name="Normal 16 2" xfId="772" xr:uid="{00000000-0005-0000-0000-000004030000}"/>
    <cellStyle name="Normal 17" xfId="773" xr:uid="{00000000-0005-0000-0000-000005030000}"/>
    <cellStyle name="Normal 17 2" xfId="774" xr:uid="{00000000-0005-0000-0000-000006030000}"/>
    <cellStyle name="Normal 17 2 2" xfId="775" xr:uid="{00000000-0005-0000-0000-000007030000}"/>
    <cellStyle name="Normal 17 2 2 2" xfId="776" xr:uid="{00000000-0005-0000-0000-000008030000}"/>
    <cellStyle name="Normal 17 3" xfId="777" xr:uid="{00000000-0005-0000-0000-000009030000}"/>
    <cellStyle name="Normal 17 3 2" xfId="778" xr:uid="{00000000-0005-0000-0000-00000A030000}"/>
    <cellStyle name="Normal 17 3 2 2" xfId="779" xr:uid="{00000000-0005-0000-0000-00000B030000}"/>
    <cellStyle name="Normal 17 4" xfId="780" xr:uid="{00000000-0005-0000-0000-00000C030000}"/>
    <cellStyle name="Normal 17 4 2" xfId="781" xr:uid="{00000000-0005-0000-0000-00000D030000}"/>
    <cellStyle name="Normal 17 4 2 2" xfId="782" xr:uid="{00000000-0005-0000-0000-00000E030000}"/>
    <cellStyle name="Normal 17 5" xfId="783" xr:uid="{00000000-0005-0000-0000-00000F030000}"/>
    <cellStyle name="Normal 17 5 2" xfId="784" xr:uid="{00000000-0005-0000-0000-000010030000}"/>
    <cellStyle name="Normal 17 5 2 2" xfId="785" xr:uid="{00000000-0005-0000-0000-000011030000}"/>
    <cellStyle name="Normal 17 6" xfId="786" xr:uid="{00000000-0005-0000-0000-000012030000}"/>
    <cellStyle name="Normal 17 6 2" xfId="787" xr:uid="{00000000-0005-0000-0000-000013030000}"/>
    <cellStyle name="Normal 18" xfId="788" xr:uid="{00000000-0005-0000-0000-000014030000}"/>
    <cellStyle name="Normal 19" xfId="789" xr:uid="{00000000-0005-0000-0000-000015030000}"/>
    <cellStyle name="Normal 2" xfId="790" xr:uid="{00000000-0005-0000-0000-000016030000}"/>
    <cellStyle name="Normal 2 10" xfId="791" xr:uid="{00000000-0005-0000-0000-000017030000}"/>
    <cellStyle name="Normal 2 10 2" xfId="792" xr:uid="{00000000-0005-0000-0000-000018030000}"/>
    <cellStyle name="Normal 2 11" xfId="793" xr:uid="{00000000-0005-0000-0000-000019030000}"/>
    <cellStyle name="Normal 2 11 2" xfId="794" xr:uid="{00000000-0005-0000-0000-00001A030000}"/>
    <cellStyle name="Normal 2 12" xfId="795" xr:uid="{00000000-0005-0000-0000-00001B030000}"/>
    <cellStyle name="Normal 2 12 2" xfId="796" xr:uid="{00000000-0005-0000-0000-00001C030000}"/>
    <cellStyle name="Normal 2 13" xfId="797" xr:uid="{00000000-0005-0000-0000-00001D030000}"/>
    <cellStyle name="Normal 2 13 2" xfId="798" xr:uid="{00000000-0005-0000-0000-00001E030000}"/>
    <cellStyle name="Normal 2 14" xfId="799" xr:uid="{00000000-0005-0000-0000-00001F030000}"/>
    <cellStyle name="Normal 2 14 2" xfId="800" xr:uid="{00000000-0005-0000-0000-000020030000}"/>
    <cellStyle name="Normal 2 15" xfId="801" xr:uid="{00000000-0005-0000-0000-000021030000}"/>
    <cellStyle name="Normal 2 15 2" xfId="802" xr:uid="{00000000-0005-0000-0000-000022030000}"/>
    <cellStyle name="Normal 2 16" xfId="803" xr:uid="{00000000-0005-0000-0000-000023030000}"/>
    <cellStyle name="Normal 2 16 2" xfId="804" xr:uid="{00000000-0005-0000-0000-000024030000}"/>
    <cellStyle name="Normal 2 17" xfId="805" xr:uid="{00000000-0005-0000-0000-000025030000}"/>
    <cellStyle name="Normal 2 17 2" xfId="806" xr:uid="{00000000-0005-0000-0000-000026030000}"/>
    <cellStyle name="Normal 2 18" xfId="807" xr:uid="{00000000-0005-0000-0000-000027030000}"/>
    <cellStyle name="Normal 2 18 2" xfId="808" xr:uid="{00000000-0005-0000-0000-000028030000}"/>
    <cellStyle name="Normal 2 19" xfId="809" xr:uid="{00000000-0005-0000-0000-000029030000}"/>
    <cellStyle name="Normal 2 19 2" xfId="810" xr:uid="{00000000-0005-0000-0000-00002A030000}"/>
    <cellStyle name="Normal 2 2" xfId="811" xr:uid="{00000000-0005-0000-0000-00002B030000}"/>
    <cellStyle name="Normal 2 2 2" xfId="812" xr:uid="{00000000-0005-0000-0000-00002C030000}"/>
    <cellStyle name="Normal 2 20" xfId="813" xr:uid="{00000000-0005-0000-0000-00002D030000}"/>
    <cellStyle name="Normal 2 20 2" xfId="814" xr:uid="{00000000-0005-0000-0000-00002E030000}"/>
    <cellStyle name="Normal 2 21" xfId="815" xr:uid="{00000000-0005-0000-0000-00002F030000}"/>
    <cellStyle name="Normal 2 3" xfId="816" xr:uid="{00000000-0005-0000-0000-000030030000}"/>
    <cellStyle name="Normal 2 3 2" xfId="817" xr:uid="{00000000-0005-0000-0000-000031030000}"/>
    <cellStyle name="Normal 2 4" xfId="818" xr:uid="{00000000-0005-0000-0000-000032030000}"/>
    <cellStyle name="Normal 2 4 2" xfId="819" xr:uid="{00000000-0005-0000-0000-000033030000}"/>
    <cellStyle name="Normal 2 5" xfId="820" xr:uid="{00000000-0005-0000-0000-000034030000}"/>
    <cellStyle name="Normal 2 5 2" xfId="821" xr:uid="{00000000-0005-0000-0000-000035030000}"/>
    <cellStyle name="Normal 2 6" xfId="822" xr:uid="{00000000-0005-0000-0000-000036030000}"/>
    <cellStyle name="Normal 2 6 2" xfId="823" xr:uid="{00000000-0005-0000-0000-000037030000}"/>
    <cellStyle name="Normal 2 7" xfId="824" xr:uid="{00000000-0005-0000-0000-000038030000}"/>
    <cellStyle name="Normal 2 7 2" xfId="825" xr:uid="{00000000-0005-0000-0000-000039030000}"/>
    <cellStyle name="Normal 2 8" xfId="826" xr:uid="{00000000-0005-0000-0000-00003A030000}"/>
    <cellStyle name="Normal 2 8 2" xfId="827" xr:uid="{00000000-0005-0000-0000-00003B030000}"/>
    <cellStyle name="Normal 2 9" xfId="828" xr:uid="{00000000-0005-0000-0000-00003C030000}"/>
    <cellStyle name="Normal 2 9 2" xfId="829" xr:uid="{00000000-0005-0000-0000-00003D030000}"/>
    <cellStyle name="Normal 2_deposits mobilized" xfId="830" xr:uid="{00000000-0005-0000-0000-00003E030000}"/>
    <cellStyle name="Normal 21" xfId="831" xr:uid="{00000000-0005-0000-0000-00003F030000}"/>
    <cellStyle name="Normal 21 10" xfId="832" xr:uid="{00000000-0005-0000-0000-000040030000}"/>
    <cellStyle name="Normal 21 10 2" xfId="833" xr:uid="{00000000-0005-0000-0000-000041030000}"/>
    <cellStyle name="Normal 21 11" xfId="834" xr:uid="{00000000-0005-0000-0000-000042030000}"/>
    <cellStyle name="Normal 21 11 2" xfId="835" xr:uid="{00000000-0005-0000-0000-000043030000}"/>
    <cellStyle name="Normal 21 12" xfId="836" xr:uid="{00000000-0005-0000-0000-000044030000}"/>
    <cellStyle name="Normal 21 12 2" xfId="837" xr:uid="{00000000-0005-0000-0000-000045030000}"/>
    <cellStyle name="Normal 21 13" xfId="838" xr:uid="{00000000-0005-0000-0000-000046030000}"/>
    <cellStyle name="Normal 21 13 2" xfId="839" xr:uid="{00000000-0005-0000-0000-000047030000}"/>
    <cellStyle name="Normal 21 14" xfId="840" xr:uid="{00000000-0005-0000-0000-000048030000}"/>
    <cellStyle name="Normal 21 14 2" xfId="841" xr:uid="{00000000-0005-0000-0000-000049030000}"/>
    <cellStyle name="Normal 21 15" xfId="842" xr:uid="{00000000-0005-0000-0000-00004A030000}"/>
    <cellStyle name="Normal 21 15 2" xfId="843" xr:uid="{00000000-0005-0000-0000-00004B030000}"/>
    <cellStyle name="Normal 21 16" xfId="844" xr:uid="{00000000-0005-0000-0000-00004C030000}"/>
    <cellStyle name="Normal 21 16 2" xfId="845" xr:uid="{00000000-0005-0000-0000-00004D030000}"/>
    <cellStyle name="Normal 21 17" xfId="846" xr:uid="{00000000-0005-0000-0000-00004E030000}"/>
    <cellStyle name="Normal 21 2" xfId="847" xr:uid="{00000000-0005-0000-0000-00004F030000}"/>
    <cellStyle name="Normal 21 2 2" xfId="848" xr:uid="{00000000-0005-0000-0000-000050030000}"/>
    <cellStyle name="Normal 21 3" xfId="849" xr:uid="{00000000-0005-0000-0000-000051030000}"/>
    <cellStyle name="Normal 21 3 2" xfId="850" xr:uid="{00000000-0005-0000-0000-000052030000}"/>
    <cellStyle name="Normal 21 4" xfId="851" xr:uid="{00000000-0005-0000-0000-000053030000}"/>
    <cellStyle name="Normal 21 4 2" xfId="852" xr:uid="{00000000-0005-0000-0000-000054030000}"/>
    <cellStyle name="Normal 21 5" xfId="853" xr:uid="{00000000-0005-0000-0000-000055030000}"/>
    <cellStyle name="Normal 21 5 2" xfId="854" xr:uid="{00000000-0005-0000-0000-000056030000}"/>
    <cellStyle name="Normal 21 6" xfId="855" xr:uid="{00000000-0005-0000-0000-000057030000}"/>
    <cellStyle name="Normal 21 6 2" xfId="856" xr:uid="{00000000-0005-0000-0000-000058030000}"/>
    <cellStyle name="Normal 21 7" xfId="857" xr:uid="{00000000-0005-0000-0000-000059030000}"/>
    <cellStyle name="Normal 21 7 2" xfId="858" xr:uid="{00000000-0005-0000-0000-00005A030000}"/>
    <cellStyle name="Normal 21 8" xfId="859" xr:uid="{00000000-0005-0000-0000-00005B030000}"/>
    <cellStyle name="Normal 21 8 2" xfId="860" xr:uid="{00000000-0005-0000-0000-00005C030000}"/>
    <cellStyle name="Normal 21 9" xfId="861" xr:uid="{00000000-0005-0000-0000-00005D030000}"/>
    <cellStyle name="Normal 21 9 2" xfId="862" xr:uid="{00000000-0005-0000-0000-00005E030000}"/>
    <cellStyle name="Normal 22" xfId="863" xr:uid="{00000000-0005-0000-0000-00005F030000}"/>
    <cellStyle name="Normal 22 2" xfId="864" xr:uid="{00000000-0005-0000-0000-000060030000}"/>
    <cellStyle name="Normal 26" xfId="865" xr:uid="{00000000-0005-0000-0000-000061030000}"/>
    <cellStyle name="Normal 26 2" xfId="866" xr:uid="{00000000-0005-0000-0000-000062030000}"/>
    <cellStyle name="Normal 27" xfId="867" xr:uid="{00000000-0005-0000-0000-000063030000}"/>
    <cellStyle name="Normal 27 2" xfId="868" xr:uid="{00000000-0005-0000-0000-000064030000}"/>
    <cellStyle name="Normal 3" xfId="869" xr:uid="{00000000-0005-0000-0000-000065030000}"/>
    <cellStyle name="Normal 3 10" xfId="870" xr:uid="{00000000-0005-0000-0000-000066030000}"/>
    <cellStyle name="Normal 3 10 2" xfId="871" xr:uid="{00000000-0005-0000-0000-000067030000}"/>
    <cellStyle name="Normal 3 11" xfId="872" xr:uid="{00000000-0005-0000-0000-000068030000}"/>
    <cellStyle name="Normal 3 11 2" xfId="873" xr:uid="{00000000-0005-0000-0000-000069030000}"/>
    <cellStyle name="Normal 3 12" xfId="874" xr:uid="{00000000-0005-0000-0000-00006A030000}"/>
    <cellStyle name="Normal 3 12 2" xfId="875" xr:uid="{00000000-0005-0000-0000-00006B030000}"/>
    <cellStyle name="Normal 3 13" xfId="876" xr:uid="{00000000-0005-0000-0000-00006C030000}"/>
    <cellStyle name="Normal 3 13 2" xfId="877" xr:uid="{00000000-0005-0000-0000-00006D030000}"/>
    <cellStyle name="Normal 3 14" xfId="878" xr:uid="{00000000-0005-0000-0000-00006E030000}"/>
    <cellStyle name="Normal 3 14 2" xfId="879" xr:uid="{00000000-0005-0000-0000-00006F030000}"/>
    <cellStyle name="Normal 3 15" xfId="880" xr:uid="{00000000-0005-0000-0000-000070030000}"/>
    <cellStyle name="Normal 3 15 2" xfId="881" xr:uid="{00000000-0005-0000-0000-000071030000}"/>
    <cellStyle name="Normal 3 16" xfId="882" xr:uid="{00000000-0005-0000-0000-000072030000}"/>
    <cellStyle name="Normal 3 16 2" xfId="883" xr:uid="{00000000-0005-0000-0000-000073030000}"/>
    <cellStyle name="Normal 3 17" xfId="884" xr:uid="{00000000-0005-0000-0000-000074030000}"/>
    <cellStyle name="Normal 3 17 2" xfId="885" xr:uid="{00000000-0005-0000-0000-000075030000}"/>
    <cellStyle name="Normal 3 18" xfId="886" xr:uid="{00000000-0005-0000-0000-000076030000}"/>
    <cellStyle name="Normal 3 18 2" xfId="887" xr:uid="{00000000-0005-0000-0000-000077030000}"/>
    <cellStyle name="Normal 3 19" xfId="888" xr:uid="{00000000-0005-0000-0000-000078030000}"/>
    <cellStyle name="Normal 3 19 2" xfId="889" xr:uid="{00000000-0005-0000-0000-000079030000}"/>
    <cellStyle name="Normal 3 2" xfId="890" xr:uid="{00000000-0005-0000-0000-00007A030000}"/>
    <cellStyle name="Normal 3 2 2" xfId="891" xr:uid="{00000000-0005-0000-0000-00007B030000}"/>
    <cellStyle name="Normal 3 20" xfId="892" xr:uid="{00000000-0005-0000-0000-00007C030000}"/>
    <cellStyle name="Normal 3 20 2" xfId="893" xr:uid="{00000000-0005-0000-0000-00007D030000}"/>
    <cellStyle name="Normal 3 21" xfId="894" xr:uid="{00000000-0005-0000-0000-00007E030000}"/>
    <cellStyle name="Normal 3 21 2" xfId="895" xr:uid="{00000000-0005-0000-0000-00007F030000}"/>
    <cellStyle name="Normal 3 22" xfId="896" xr:uid="{00000000-0005-0000-0000-000080030000}"/>
    <cellStyle name="Normal 3 22 2" xfId="897" xr:uid="{00000000-0005-0000-0000-000081030000}"/>
    <cellStyle name="Normal 3 23" xfId="898" xr:uid="{00000000-0005-0000-0000-000082030000}"/>
    <cellStyle name="Normal 3 23 2" xfId="899" xr:uid="{00000000-0005-0000-0000-000083030000}"/>
    <cellStyle name="Normal 3 24" xfId="900" xr:uid="{00000000-0005-0000-0000-000084030000}"/>
    <cellStyle name="Normal 3 24 2" xfId="901" xr:uid="{00000000-0005-0000-0000-000085030000}"/>
    <cellStyle name="Normal 3 25" xfId="902" xr:uid="{00000000-0005-0000-0000-000086030000}"/>
    <cellStyle name="Normal 3 25 2" xfId="903" xr:uid="{00000000-0005-0000-0000-000087030000}"/>
    <cellStyle name="Normal 3 26" xfId="904" xr:uid="{00000000-0005-0000-0000-000088030000}"/>
    <cellStyle name="Normal 3 26 2" xfId="905" xr:uid="{00000000-0005-0000-0000-000089030000}"/>
    <cellStyle name="Normal 3 27" xfId="906" xr:uid="{00000000-0005-0000-0000-00008A030000}"/>
    <cellStyle name="Normal 3 27 2" xfId="907" xr:uid="{00000000-0005-0000-0000-00008B030000}"/>
    <cellStyle name="Normal 3 28" xfId="908" xr:uid="{00000000-0005-0000-0000-00008C030000}"/>
    <cellStyle name="Normal 3 28 2" xfId="909" xr:uid="{00000000-0005-0000-0000-00008D030000}"/>
    <cellStyle name="Normal 3 29" xfId="910" xr:uid="{00000000-0005-0000-0000-00008E030000}"/>
    <cellStyle name="Normal 3 29 2" xfId="911" xr:uid="{00000000-0005-0000-0000-00008F030000}"/>
    <cellStyle name="Normal 3 3" xfId="912" xr:uid="{00000000-0005-0000-0000-000090030000}"/>
    <cellStyle name="Normal 3 3 2" xfId="913" xr:uid="{00000000-0005-0000-0000-000091030000}"/>
    <cellStyle name="Normal 3 30" xfId="914" xr:uid="{00000000-0005-0000-0000-000092030000}"/>
    <cellStyle name="Normal 3 30 2" xfId="915" xr:uid="{00000000-0005-0000-0000-000093030000}"/>
    <cellStyle name="Normal 3 31" xfId="916" xr:uid="{00000000-0005-0000-0000-000094030000}"/>
    <cellStyle name="Normal 3 4" xfId="917" xr:uid="{00000000-0005-0000-0000-000095030000}"/>
    <cellStyle name="Normal 3 4 2" xfId="918" xr:uid="{00000000-0005-0000-0000-000096030000}"/>
    <cellStyle name="Normal 3 5" xfId="919" xr:uid="{00000000-0005-0000-0000-000097030000}"/>
    <cellStyle name="Normal 3 5 2" xfId="920" xr:uid="{00000000-0005-0000-0000-000098030000}"/>
    <cellStyle name="Normal 3 6" xfId="921" xr:uid="{00000000-0005-0000-0000-000099030000}"/>
    <cellStyle name="Normal 3 6 2" xfId="922" xr:uid="{00000000-0005-0000-0000-00009A030000}"/>
    <cellStyle name="Normal 3 7" xfId="923" xr:uid="{00000000-0005-0000-0000-00009B030000}"/>
    <cellStyle name="Normal 3 7 2" xfId="924" xr:uid="{00000000-0005-0000-0000-00009C030000}"/>
    <cellStyle name="Normal 3 8" xfId="925" xr:uid="{00000000-0005-0000-0000-00009D030000}"/>
    <cellStyle name="Normal 3 8 2" xfId="926" xr:uid="{00000000-0005-0000-0000-00009E030000}"/>
    <cellStyle name="Normal 3 9" xfId="927" xr:uid="{00000000-0005-0000-0000-00009F030000}"/>
    <cellStyle name="Normal 3 9 2" xfId="928" xr:uid="{00000000-0005-0000-0000-0000A0030000}"/>
    <cellStyle name="Normal 3_deposits mobilized" xfId="929" xr:uid="{00000000-0005-0000-0000-0000A1030000}"/>
    <cellStyle name="Normal 4" xfId="930" xr:uid="{00000000-0005-0000-0000-0000A2030000}"/>
    <cellStyle name="Normal 4 10" xfId="931" xr:uid="{00000000-0005-0000-0000-0000A3030000}"/>
    <cellStyle name="Normal 4 10 2" xfId="932" xr:uid="{00000000-0005-0000-0000-0000A4030000}"/>
    <cellStyle name="Normal 4 11" xfId="933" xr:uid="{00000000-0005-0000-0000-0000A5030000}"/>
    <cellStyle name="Normal 4 11 2" xfId="934" xr:uid="{00000000-0005-0000-0000-0000A6030000}"/>
    <cellStyle name="Normal 4 12" xfId="935" xr:uid="{00000000-0005-0000-0000-0000A7030000}"/>
    <cellStyle name="Normal 4 12 2" xfId="936" xr:uid="{00000000-0005-0000-0000-0000A8030000}"/>
    <cellStyle name="Normal 4 13" xfId="937" xr:uid="{00000000-0005-0000-0000-0000A9030000}"/>
    <cellStyle name="Normal 4 13 2" xfId="938" xr:uid="{00000000-0005-0000-0000-0000AA030000}"/>
    <cellStyle name="Normal 4 14" xfId="939" xr:uid="{00000000-0005-0000-0000-0000AB030000}"/>
    <cellStyle name="Normal 4 14 2" xfId="940" xr:uid="{00000000-0005-0000-0000-0000AC030000}"/>
    <cellStyle name="Normal 4 15" xfId="941" xr:uid="{00000000-0005-0000-0000-0000AD030000}"/>
    <cellStyle name="Normal 4 15 2" xfId="942" xr:uid="{00000000-0005-0000-0000-0000AE030000}"/>
    <cellStyle name="Normal 4 16" xfId="943" xr:uid="{00000000-0005-0000-0000-0000AF030000}"/>
    <cellStyle name="Normal 4 16 2" xfId="944" xr:uid="{00000000-0005-0000-0000-0000B0030000}"/>
    <cellStyle name="Normal 4 17" xfId="945" xr:uid="{00000000-0005-0000-0000-0000B1030000}"/>
    <cellStyle name="Normal 4 17 2" xfId="946" xr:uid="{00000000-0005-0000-0000-0000B2030000}"/>
    <cellStyle name="Normal 4 18" xfId="947" xr:uid="{00000000-0005-0000-0000-0000B3030000}"/>
    <cellStyle name="Normal 4 18 2" xfId="948" xr:uid="{00000000-0005-0000-0000-0000B4030000}"/>
    <cellStyle name="Normal 4 19" xfId="949" xr:uid="{00000000-0005-0000-0000-0000B5030000}"/>
    <cellStyle name="Normal 4 19 2" xfId="950" xr:uid="{00000000-0005-0000-0000-0000B6030000}"/>
    <cellStyle name="Normal 4 2" xfId="951" xr:uid="{00000000-0005-0000-0000-0000B7030000}"/>
    <cellStyle name="Normal 4 2 2" xfId="952" xr:uid="{00000000-0005-0000-0000-0000B8030000}"/>
    <cellStyle name="Normal 4 20" xfId="953" xr:uid="{00000000-0005-0000-0000-0000B9030000}"/>
    <cellStyle name="Normal 4 20 2" xfId="954" xr:uid="{00000000-0005-0000-0000-0000BA030000}"/>
    <cellStyle name="Normal 4 21" xfId="955" xr:uid="{00000000-0005-0000-0000-0000BB030000}"/>
    <cellStyle name="Normal 4 21 2" xfId="956" xr:uid="{00000000-0005-0000-0000-0000BC030000}"/>
    <cellStyle name="Normal 4 22" xfId="957" xr:uid="{00000000-0005-0000-0000-0000BD030000}"/>
    <cellStyle name="Normal 4 22 2" xfId="958" xr:uid="{00000000-0005-0000-0000-0000BE030000}"/>
    <cellStyle name="Normal 4 23" xfId="959" xr:uid="{00000000-0005-0000-0000-0000BF030000}"/>
    <cellStyle name="Normal 4 23 2" xfId="960" xr:uid="{00000000-0005-0000-0000-0000C0030000}"/>
    <cellStyle name="Normal 4 24" xfId="961" xr:uid="{00000000-0005-0000-0000-0000C1030000}"/>
    <cellStyle name="Normal 4 24 2" xfId="962" xr:uid="{00000000-0005-0000-0000-0000C2030000}"/>
    <cellStyle name="Normal 4 25" xfId="963" xr:uid="{00000000-0005-0000-0000-0000C3030000}"/>
    <cellStyle name="Normal 4 25 2" xfId="964" xr:uid="{00000000-0005-0000-0000-0000C4030000}"/>
    <cellStyle name="Normal 4 26" xfId="965" xr:uid="{00000000-0005-0000-0000-0000C5030000}"/>
    <cellStyle name="Normal 4 26 2" xfId="966" xr:uid="{00000000-0005-0000-0000-0000C6030000}"/>
    <cellStyle name="Normal 4 27" xfId="967" xr:uid="{00000000-0005-0000-0000-0000C7030000}"/>
    <cellStyle name="Normal 4 27 2" xfId="968" xr:uid="{00000000-0005-0000-0000-0000C8030000}"/>
    <cellStyle name="Normal 4 28" xfId="969" xr:uid="{00000000-0005-0000-0000-0000C9030000}"/>
    <cellStyle name="Normal 4 28 2" xfId="970" xr:uid="{00000000-0005-0000-0000-0000CA030000}"/>
    <cellStyle name="Normal 4 29" xfId="971" xr:uid="{00000000-0005-0000-0000-0000CB030000}"/>
    <cellStyle name="Normal 4 29 2" xfId="972" xr:uid="{00000000-0005-0000-0000-0000CC030000}"/>
    <cellStyle name="Normal 4 3" xfId="973" xr:uid="{00000000-0005-0000-0000-0000CD030000}"/>
    <cellStyle name="Normal 4 3 2" xfId="974" xr:uid="{00000000-0005-0000-0000-0000CE030000}"/>
    <cellStyle name="Normal 4 30" xfId="975" xr:uid="{00000000-0005-0000-0000-0000CF030000}"/>
    <cellStyle name="Normal 4 30 2" xfId="976" xr:uid="{00000000-0005-0000-0000-0000D0030000}"/>
    <cellStyle name="Normal 4 31" xfId="977" xr:uid="{00000000-0005-0000-0000-0000D1030000}"/>
    <cellStyle name="Normal 4 4" xfId="978" xr:uid="{00000000-0005-0000-0000-0000D2030000}"/>
    <cellStyle name="Normal 4 4 2" xfId="979" xr:uid="{00000000-0005-0000-0000-0000D3030000}"/>
    <cellStyle name="Normal 4 5" xfId="980" xr:uid="{00000000-0005-0000-0000-0000D4030000}"/>
    <cellStyle name="Normal 4 5 2" xfId="981" xr:uid="{00000000-0005-0000-0000-0000D5030000}"/>
    <cellStyle name="Normal 4 6" xfId="982" xr:uid="{00000000-0005-0000-0000-0000D6030000}"/>
    <cellStyle name="Normal 4 6 2" xfId="983" xr:uid="{00000000-0005-0000-0000-0000D7030000}"/>
    <cellStyle name="Normal 4 7" xfId="984" xr:uid="{00000000-0005-0000-0000-0000D8030000}"/>
    <cellStyle name="Normal 4 7 2" xfId="985" xr:uid="{00000000-0005-0000-0000-0000D9030000}"/>
    <cellStyle name="Normal 4 8" xfId="986" xr:uid="{00000000-0005-0000-0000-0000DA030000}"/>
    <cellStyle name="Normal 4 8 2" xfId="987" xr:uid="{00000000-0005-0000-0000-0000DB030000}"/>
    <cellStyle name="Normal 4 9" xfId="988" xr:uid="{00000000-0005-0000-0000-0000DC030000}"/>
    <cellStyle name="Normal 4 9 2" xfId="989" xr:uid="{00000000-0005-0000-0000-0000DD030000}"/>
    <cellStyle name="Normal 5" xfId="990" xr:uid="{00000000-0005-0000-0000-0000DE030000}"/>
    <cellStyle name="Normal 5 10" xfId="991" xr:uid="{00000000-0005-0000-0000-0000DF030000}"/>
    <cellStyle name="Normal 5 10 2" xfId="992" xr:uid="{00000000-0005-0000-0000-0000E0030000}"/>
    <cellStyle name="Normal 5 11" xfId="993" xr:uid="{00000000-0005-0000-0000-0000E1030000}"/>
    <cellStyle name="Normal 5 11 2" xfId="994" xr:uid="{00000000-0005-0000-0000-0000E2030000}"/>
    <cellStyle name="Normal 5 12" xfId="995" xr:uid="{00000000-0005-0000-0000-0000E3030000}"/>
    <cellStyle name="Normal 5 12 2" xfId="996" xr:uid="{00000000-0005-0000-0000-0000E4030000}"/>
    <cellStyle name="Normal 5 13" xfId="997" xr:uid="{00000000-0005-0000-0000-0000E5030000}"/>
    <cellStyle name="Normal 5 13 2" xfId="998" xr:uid="{00000000-0005-0000-0000-0000E6030000}"/>
    <cellStyle name="Normal 5 14" xfId="999" xr:uid="{00000000-0005-0000-0000-0000E7030000}"/>
    <cellStyle name="Normal 5 14 2" xfId="1000" xr:uid="{00000000-0005-0000-0000-0000E8030000}"/>
    <cellStyle name="Normal 5 15" xfId="1001" xr:uid="{00000000-0005-0000-0000-0000E9030000}"/>
    <cellStyle name="Normal 5 15 2" xfId="1002" xr:uid="{00000000-0005-0000-0000-0000EA030000}"/>
    <cellStyle name="Normal 5 16" xfId="1003" xr:uid="{00000000-0005-0000-0000-0000EB030000}"/>
    <cellStyle name="Normal 5 2" xfId="1004" xr:uid="{00000000-0005-0000-0000-0000EC030000}"/>
    <cellStyle name="Normal 5 2 2" xfId="1005" xr:uid="{00000000-0005-0000-0000-0000ED030000}"/>
    <cellStyle name="Normal 5 3" xfId="1006" xr:uid="{00000000-0005-0000-0000-0000EE030000}"/>
    <cellStyle name="Normal 5 3 2" xfId="1007" xr:uid="{00000000-0005-0000-0000-0000EF030000}"/>
    <cellStyle name="Normal 5 4" xfId="1008" xr:uid="{00000000-0005-0000-0000-0000F0030000}"/>
    <cellStyle name="Normal 5 4 2" xfId="1009" xr:uid="{00000000-0005-0000-0000-0000F1030000}"/>
    <cellStyle name="Normal 5 5" xfId="1010" xr:uid="{00000000-0005-0000-0000-0000F2030000}"/>
    <cellStyle name="Normal 5 5 2" xfId="1011" xr:uid="{00000000-0005-0000-0000-0000F3030000}"/>
    <cellStyle name="Normal 5 6" xfId="1012" xr:uid="{00000000-0005-0000-0000-0000F4030000}"/>
    <cellStyle name="Normal 5 6 2" xfId="1013" xr:uid="{00000000-0005-0000-0000-0000F5030000}"/>
    <cellStyle name="Normal 5 7" xfId="1014" xr:uid="{00000000-0005-0000-0000-0000F6030000}"/>
    <cellStyle name="Normal 5 7 2" xfId="1015" xr:uid="{00000000-0005-0000-0000-0000F7030000}"/>
    <cellStyle name="Normal 5 8" xfId="1016" xr:uid="{00000000-0005-0000-0000-0000F8030000}"/>
    <cellStyle name="Normal 5 8 2" xfId="1017" xr:uid="{00000000-0005-0000-0000-0000F9030000}"/>
    <cellStyle name="Normal 5 9" xfId="1018" xr:uid="{00000000-0005-0000-0000-0000FA030000}"/>
    <cellStyle name="Normal 5 9 2" xfId="1019" xr:uid="{00000000-0005-0000-0000-0000FB030000}"/>
    <cellStyle name="Normal 6" xfId="1020" xr:uid="{00000000-0005-0000-0000-0000FC030000}"/>
    <cellStyle name="Normal 6 2" xfId="1021" xr:uid="{00000000-0005-0000-0000-0000FD030000}"/>
    <cellStyle name="Normal 6 2 2" xfId="1022" xr:uid="{00000000-0005-0000-0000-0000FE030000}"/>
    <cellStyle name="Normal 6 3" xfId="1023" xr:uid="{00000000-0005-0000-0000-0000FF030000}"/>
    <cellStyle name="Normal 6 3 2" xfId="1024" xr:uid="{00000000-0005-0000-0000-000000040000}"/>
    <cellStyle name="Normal 6 4" xfId="1025" xr:uid="{00000000-0005-0000-0000-000001040000}"/>
    <cellStyle name="Normal 6 4 2" xfId="1026" xr:uid="{00000000-0005-0000-0000-000002040000}"/>
    <cellStyle name="Normal 6 5" xfId="1027" xr:uid="{00000000-0005-0000-0000-000003040000}"/>
    <cellStyle name="Normal 6 5 2" xfId="1028" xr:uid="{00000000-0005-0000-0000-000004040000}"/>
    <cellStyle name="Normal 7" xfId="1029" xr:uid="{00000000-0005-0000-0000-000005040000}"/>
    <cellStyle name="Normal 7 2" xfId="1030" xr:uid="{00000000-0005-0000-0000-000006040000}"/>
    <cellStyle name="Normal 7 2 2" xfId="1031" xr:uid="{00000000-0005-0000-0000-000007040000}"/>
    <cellStyle name="Normal 7 3" xfId="1032" xr:uid="{00000000-0005-0000-0000-000008040000}"/>
    <cellStyle name="Normal 7 3 2" xfId="1033" xr:uid="{00000000-0005-0000-0000-000009040000}"/>
    <cellStyle name="Normal 7 4" xfId="1034" xr:uid="{00000000-0005-0000-0000-00000A040000}"/>
    <cellStyle name="Normal 7 4 2" xfId="1035" xr:uid="{00000000-0005-0000-0000-00000B040000}"/>
    <cellStyle name="Normal 7 5" xfId="1036" xr:uid="{00000000-0005-0000-0000-00000C040000}"/>
    <cellStyle name="Normal 8" xfId="1037" xr:uid="{00000000-0005-0000-0000-00000D040000}"/>
    <cellStyle name="Normal 8 2" xfId="1038" xr:uid="{00000000-0005-0000-0000-00000E040000}"/>
    <cellStyle name="Normal 9" xfId="1039" xr:uid="{00000000-0005-0000-0000-00000F040000}"/>
    <cellStyle name="Normal 9 10" xfId="1040" xr:uid="{00000000-0005-0000-0000-000010040000}"/>
    <cellStyle name="Normal 9 10 2" xfId="1041" xr:uid="{00000000-0005-0000-0000-000011040000}"/>
    <cellStyle name="Normal 9 10 2 2" xfId="1042" xr:uid="{00000000-0005-0000-0000-000012040000}"/>
    <cellStyle name="Normal 9 11" xfId="1043" xr:uid="{00000000-0005-0000-0000-000013040000}"/>
    <cellStyle name="Normal 9 11 2" xfId="1044" xr:uid="{00000000-0005-0000-0000-000014040000}"/>
    <cellStyle name="Normal 9 11 2 2" xfId="1045" xr:uid="{00000000-0005-0000-0000-000015040000}"/>
    <cellStyle name="Normal 9 12" xfId="1046" xr:uid="{00000000-0005-0000-0000-000016040000}"/>
    <cellStyle name="Normal 9 12 2" xfId="1047" xr:uid="{00000000-0005-0000-0000-000017040000}"/>
    <cellStyle name="Normal 9 12 2 2" xfId="1048" xr:uid="{00000000-0005-0000-0000-000018040000}"/>
    <cellStyle name="Normal 9 13" xfId="1049" xr:uid="{00000000-0005-0000-0000-000019040000}"/>
    <cellStyle name="Normal 9 13 2" xfId="1050" xr:uid="{00000000-0005-0000-0000-00001A040000}"/>
    <cellStyle name="Normal 9 14" xfId="1051" xr:uid="{00000000-0005-0000-0000-00001B040000}"/>
    <cellStyle name="Normal 9 14 2" xfId="1052" xr:uid="{00000000-0005-0000-0000-00001C040000}"/>
    <cellStyle name="Normal 9 15" xfId="1053" xr:uid="{00000000-0005-0000-0000-00001D040000}"/>
    <cellStyle name="Normal 9 15 2" xfId="1054" xr:uid="{00000000-0005-0000-0000-00001E040000}"/>
    <cellStyle name="Normal 9 2" xfId="1055" xr:uid="{00000000-0005-0000-0000-00001F040000}"/>
    <cellStyle name="Normal 9 2 2" xfId="1056" xr:uid="{00000000-0005-0000-0000-000020040000}"/>
    <cellStyle name="Normal 9 2 2 2" xfId="1057" xr:uid="{00000000-0005-0000-0000-000021040000}"/>
    <cellStyle name="Normal 9 2 2 2 2" xfId="1058" xr:uid="{00000000-0005-0000-0000-000022040000}"/>
    <cellStyle name="Normal 9 2 3" xfId="1059" xr:uid="{00000000-0005-0000-0000-000023040000}"/>
    <cellStyle name="Normal 9 2 3 2" xfId="1060" xr:uid="{00000000-0005-0000-0000-000024040000}"/>
    <cellStyle name="Normal 9 2 3 2 2" xfId="1061" xr:uid="{00000000-0005-0000-0000-000025040000}"/>
    <cellStyle name="Normal 9 2 4" xfId="1062" xr:uid="{00000000-0005-0000-0000-000026040000}"/>
    <cellStyle name="Normal 9 2 4 2" xfId="1063" xr:uid="{00000000-0005-0000-0000-000027040000}"/>
    <cellStyle name="Normal 9 2 4 2 2" xfId="1064" xr:uid="{00000000-0005-0000-0000-000028040000}"/>
    <cellStyle name="Normal 9 2 5" xfId="1065" xr:uid="{00000000-0005-0000-0000-000029040000}"/>
    <cellStyle name="Normal 9 3" xfId="1066" xr:uid="{00000000-0005-0000-0000-00002A040000}"/>
    <cellStyle name="Normal 9 3 2" xfId="1067" xr:uid="{00000000-0005-0000-0000-00002B040000}"/>
    <cellStyle name="Normal 9 3 2 2" xfId="1068" xr:uid="{00000000-0005-0000-0000-00002C040000}"/>
    <cellStyle name="Normal 9 4" xfId="1069" xr:uid="{00000000-0005-0000-0000-00002D040000}"/>
    <cellStyle name="Normal 9 4 2" xfId="1070" xr:uid="{00000000-0005-0000-0000-00002E040000}"/>
    <cellStyle name="Normal 9 4 2 2" xfId="1071" xr:uid="{00000000-0005-0000-0000-00002F040000}"/>
    <cellStyle name="Normal 9 5" xfId="1072" xr:uid="{00000000-0005-0000-0000-000030040000}"/>
    <cellStyle name="Normal 9 5 2" xfId="1073" xr:uid="{00000000-0005-0000-0000-000031040000}"/>
    <cellStyle name="Normal 9 5 2 2" xfId="1074" xr:uid="{00000000-0005-0000-0000-000032040000}"/>
    <cellStyle name="Normal 9 6" xfId="1075" xr:uid="{00000000-0005-0000-0000-000033040000}"/>
    <cellStyle name="Normal 9 6 2" xfId="1076" xr:uid="{00000000-0005-0000-0000-000034040000}"/>
    <cellStyle name="Normal 9 6 2 2" xfId="1077" xr:uid="{00000000-0005-0000-0000-000035040000}"/>
    <cellStyle name="Normal 9 7" xfId="1078" xr:uid="{00000000-0005-0000-0000-000036040000}"/>
    <cellStyle name="Normal 9 7 2" xfId="1079" xr:uid="{00000000-0005-0000-0000-000037040000}"/>
    <cellStyle name="Normal 9 7 2 2" xfId="1080" xr:uid="{00000000-0005-0000-0000-000038040000}"/>
    <cellStyle name="Normal 9 8" xfId="1081" xr:uid="{00000000-0005-0000-0000-000039040000}"/>
    <cellStyle name="Normal 9 8 2" xfId="1082" xr:uid="{00000000-0005-0000-0000-00003A040000}"/>
    <cellStyle name="Normal 9 8 2 2" xfId="1083" xr:uid="{00000000-0005-0000-0000-00003B040000}"/>
    <cellStyle name="Normal 9 9" xfId="1084" xr:uid="{00000000-0005-0000-0000-00003C040000}"/>
    <cellStyle name="Normal 9 9 2" xfId="1085" xr:uid="{00000000-0005-0000-0000-00003D040000}"/>
    <cellStyle name="Normal 9 9 2 2" xfId="1086" xr:uid="{00000000-0005-0000-0000-00003E040000}"/>
    <cellStyle name="Note 2" xfId="1087" xr:uid="{00000000-0005-0000-0000-00003F040000}"/>
    <cellStyle name="Note 2 2" xfId="1088" xr:uid="{00000000-0005-0000-0000-000040040000}"/>
    <cellStyle name="Note 2 2 2" xfId="1089" xr:uid="{00000000-0005-0000-0000-000041040000}"/>
    <cellStyle name="Per cent" xfId="1090" builtinId="5"/>
    <cellStyle name="Percent 2" xfId="1091" xr:uid="{00000000-0005-0000-0000-000043040000}"/>
    <cellStyle name="Percent 2 2" xfId="1092" xr:uid="{00000000-0005-0000-0000-000044040000}"/>
    <cellStyle name="Percent 2 2 2" xfId="1093" xr:uid="{00000000-0005-0000-0000-000045040000}"/>
    <cellStyle name="Percent 3" xfId="1094" xr:uid="{00000000-0005-0000-0000-000046040000}"/>
    <cellStyle name="Percent 3 2" xfId="1095" xr:uid="{00000000-0005-0000-0000-000047040000}"/>
    <cellStyle name="Percent 3 2 2" xfId="1096" xr:uid="{00000000-0005-0000-0000-000048040000}"/>
    <cellStyle name="Percent 4" xfId="1097" xr:uid="{00000000-0005-0000-0000-000049040000}"/>
    <cellStyle name="Percent 5" xfId="1098" xr:uid="{00000000-0005-0000-0000-00004A040000}"/>
    <cellStyle name="Total 2" xfId="1099" xr:uid="{00000000-0005-0000-0000-00004B040000}"/>
    <cellStyle name="Total 2 2" xfId="1100" xr:uid="{00000000-0005-0000-0000-00004C040000}"/>
    <cellStyle name="Total 2 2 2" xfId="1101" xr:uid="{00000000-0005-0000-0000-00004D040000}"/>
    <cellStyle name="Total 2 2 2 2" xfId="1102" xr:uid="{00000000-0005-0000-0000-00004E040000}"/>
    <cellStyle name="Total 2 3" xfId="1103" xr:uid="{00000000-0005-0000-0000-00004F040000}"/>
    <cellStyle name="Total 2 3 2" xfId="1104" xr:uid="{00000000-0005-0000-0000-000050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95"/>
  <sheetViews>
    <sheetView zoomScale="70" zoomScaleNormal="70" zoomScaleSheetLayoutView="96" workbookViewId="0">
      <pane xSplit="10" ySplit="4" topLeftCell="W44" activePane="bottomRight" state="frozen"/>
      <selection pane="bottomRight" activeCell="AA93" sqref="AA93:AD93"/>
      <selection pane="bottomLeft" activeCell="A5" sqref="A5"/>
      <selection pane="topRight" activeCell="K1" sqref="K1"/>
    </sheetView>
  </sheetViews>
  <sheetFormatPr defaultColWidth="9.140625" defaultRowHeight="12.75" customHeight="1"/>
  <cols>
    <col min="1" max="1" width="9.140625" style="5"/>
    <col min="2" max="2" width="35.85546875" style="6" customWidth="1"/>
    <col min="3" max="4" width="5.5703125" style="5" hidden="1" customWidth="1"/>
    <col min="5" max="7" width="10.7109375" style="5" hidden="1" customWidth="1"/>
    <col min="8" max="9" width="12.7109375" style="5" hidden="1" customWidth="1"/>
    <col min="10" max="10" width="16" style="5" hidden="1" customWidth="1"/>
    <col min="11" max="22" width="17.42578125" style="5" hidden="1" customWidth="1"/>
    <col min="23" max="24" width="17.42578125" style="5" bestFit="1" customWidth="1"/>
    <col min="25" max="25" width="18.7109375" style="5" customWidth="1"/>
    <col min="26" max="26" width="16.85546875" style="5" customWidth="1"/>
    <col min="27" max="27" width="19.42578125" style="5" customWidth="1"/>
    <col min="28" max="28" width="17.7109375" style="5" customWidth="1"/>
    <col min="29" max="29" width="15.5703125" style="5" customWidth="1"/>
    <col min="30" max="30" width="16.140625" style="5" customWidth="1"/>
    <col min="31" max="16384" width="9.140625" style="5"/>
  </cols>
  <sheetData>
    <row r="1" spans="2:30" ht="13.15">
      <c r="B1" s="5"/>
      <c r="C1" s="7"/>
      <c r="D1" s="7"/>
      <c r="E1" s="7"/>
      <c r="F1" s="7"/>
    </row>
    <row r="2" spans="2:30" ht="13.15">
      <c r="B2" s="30"/>
    </row>
    <row r="3" spans="2:30" ht="13.15">
      <c r="B3" s="31" t="s">
        <v>0</v>
      </c>
      <c r="C3" s="32"/>
      <c r="D3" s="32"/>
      <c r="E3" s="32"/>
      <c r="F3" s="32"/>
      <c r="J3" s="5" t="s">
        <v>1</v>
      </c>
    </row>
    <row r="4" spans="2:30" s="9" customFormat="1">
      <c r="B4" s="33"/>
      <c r="C4" s="44">
        <v>2013</v>
      </c>
      <c r="D4" s="44">
        <v>2014</v>
      </c>
      <c r="E4" s="45" t="s">
        <v>2</v>
      </c>
      <c r="F4" s="45" t="s">
        <v>3</v>
      </c>
      <c r="G4" s="29" t="s">
        <v>4</v>
      </c>
      <c r="H4" s="27" t="s">
        <v>5</v>
      </c>
      <c r="I4" s="27" t="s">
        <v>6</v>
      </c>
      <c r="J4" s="29" t="s">
        <v>7</v>
      </c>
      <c r="K4" s="29" t="s">
        <v>8</v>
      </c>
      <c r="L4" s="292">
        <v>44562</v>
      </c>
      <c r="M4" s="292">
        <v>44593</v>
      </c>
      <c r="N4" s="292">
        <v>44621</v>
      </c>
      <c r="O4" s="292">
        <v>44652</v>
      </c>
      <c r="P4" s="292">
        <v>44682</v>
      </c>
      <c r="Q4" s="292">
        <v>44713</v>
      </c>
      <c r="R4" s="292">
        <v>44743</v>
      </c>
      <c r="S4" s="292">
        <v>44774</v>
      </c>
      <c r="T4" s="292">
        <v>44805</v>
      </c>
      <c r="U4" s="292">
        <v>44835</v>
      </c>
      <c r="V4" s="292">
        <v>44866</v>
      </c>
      <c r="W4" s="292">
        <v>44896</v>
      </c>
      <c r="X4" s="292" t="s">
        <v>9</v>
      </c>
      <c r="Y4" s="292">
        <v>44949</v>
      </c>
      <c r="Z4" s="292">
        <v>44980</v>
      </c>
      <c r="AA4" s="292">
        <v>45008</v>
      </c>
      <c r="AB4" s="292">
        <v>45039</v>
      </c>
      <c r="AC4" s="292">
        <v>45069</v>
      </c>
      <c r="AD4" s="292">
        <v>45100</v>
      </c>
    </row>
    <row r="5" spans="2:30" ht="12.75" customHeight="1">
      <c r="B5" s="10" t="s">
        <v>10</v>
      </c>
      <c r="C5" s="34"/>
      <c r="D5" s="34"/>
      <c r="E5" s="34"/>
      <c r="F5" s="34"/>
      <c r="G5" s="34"/>
      <c r="H5" s="70"/>
      <c r="I5" s="70"/>
      <c r="J5" s="70">
        <f>J6+J7</f>
        <v>375933615</v>
      </c>
      <c r="K5" s="70">
        <f>K6+K7</f>
        <v>583646239</v>
      </c>
      <c r="L5" s="70">
        <f t="shared" ref="L5:AD5" si="0">L6+L7</f>
        <v>530051264.5</v>
      </c>
      <c r="M5" s="70">
        <f t="shared" si="0"/>
        <v>414823307.37</v>
      </c>
      <c r="N5" s="70">
        <f t="shared" si="0"/>
        <v>674925014.98000002</v>
      </c>
      <c r="O5" s="70">
        <f t="shared" si="0"/>
        <v>650372544.58000004</v>
      </c>
      <c r="P5" s="70">
        <f t="shared" si="0"/>
        <v>686294227.04999995</v>
      </c>
      <c r="Q5" s="70">
        <f t="shared" si="0"/>
        <v>705390816.75</v>
      </c>
      <c r="R5" s="70">
        <f t="shared" si="0"/>
        <v>391682240.67000002</v>
      </c>
      <c r="S5" s="70">
        <f t="shared" si="0"/>
        <v>902132020.89999998</v>
      </c>
      <c r="T5" s="70">
        <f t="shared" si="0"/>
        <v>901814892.39999998</v>
      </c>
      <c r="U5" s="70">
        <f t="shared" si="0"/>
        <v>921860266.38</v>
      </c>
      <c r="V5" s="70">
        <f t="shared" si="0"/>
        <v>901230360.96000004</v>
      </c>
      <c r="W5" s="70">
        <f t="shared" si="0"/>
        <v>312423970.57999998</v>
      </c>
      <c r="X5" s="70">
        <f t="shared" si="0"/>
        <v>426668934</v>
      </c>
      <c r="Y5" s="70">
        <f t="shared" si="0"/>
        <v>910752712.99000001</v>
      </c>
      <c r="Z5" s="70">
        <f t="shared" si="0"/>
        <v>925424980.88</v>
      </c>
      <c r="AA5" s="70">
        <f t="shared" si="0"/>
        <v>794938300.32000005</v>
      </c>
      <c r="AB5" s="70">
        <f t="shared" si="0"/>
        <v>301126660.79000002</v>
      </c>
      <c r="AC5" s="70">
        <f t="shared" si="0"/>
        <v>256682020.78999999</v>
      </c>
      <c r="AD5" s="70">
        <f t="shared" si="0"/>
        <v>820057674.54999995</v>
      </c>
    </row>
    <row r="6" spans="2:30">
      <c r="B6" s="12" t="s">
        <v>11</v>
      </c>
      <c r="C6" s="52"/>
      <c r="D6" s="52"/>
      <c r="E6" s="52"/>
      <c r="F6" s="52"/>
      <c r="G6" s="67"/>
      <c r="H6" s="26"/>
      <c r="I6" s="26"/>
      <c r="J6" s="177">
        <v>0</v>
      </c>
      <c r="K6" s="177"/>
      <c r="L6" s="177">
        <v>200100</v>
      </c>
      <c r="M6" s="177">
        <v>1199830</v>
      </c>
      <c r="N6" s="177">
        <v>4094100</v>
      </c>
      <c r="O6" s="177">
        <v>2951700</v>
      </c>
      <c r="P6" s="177">
        <v>8750</v>
      </c>
      <c r="Q6" s="177">
        <v>4948100</v>
      </c>
      <c r="R6" s="177">
        <v>5149700</v>
      </c>
      <c r="S6" s="177">
        <v>4506450</v>
      </c>
      <c r="T6" s="177">
        <v>7058650</v>
      </c>
      <c r="U6" s="177">
        <v>5160050</v>
      </c>
      <c r="V6" s="177">
        <v>5408800</v>
      </c>
      <c r="W6" s="177">
        <v>6948900</v>
      </c>
      <c r="X6" s="7">
        <f>6948900+44915433+11276757</f>
        <v>63141090</v>
      </c>
      <c r="Y6" s="401">
        <v>2665250</v>
      </c>
      <c r="Z6" s="403">
        <v>4277700</v>
      </c>
      <c r="AA6" s="403">
        <v>4143400</v>
      </c>
      <c r="AB6" s="403">
        <v>6607350</v>
      </c>
      <c r="AC6" s="440">
        <v>5756000</v>
      </c>
      <c r="AD6" s="441">
        <v>2455300</v>
      </c>
    </row>
    <row r="7" spans="2:30">
      <c r="B7" s="12" t="s">
        <v>12</v>
      </c>
      <c r="C7" s="52"/>
      <c r="D7" s="52"/>
      <c r="E7" s="52"/>
      <c r="F7" s="52"/>
      <c r="G7" s="51"/>
      <c r="H7" s="26"/>
      <c r="I7" s="26"/>
      <c r="J7" s="177">
        <v>375933615</v>
      </c>
      <c r="K7" s="177">
        <v>583646239</v>
      </c>
      <c r="L7" s="177">
        <v>529851164.5</v>
      </c>
      <c r="M7" s="177">
        <v>413623477.37</v>
      </c>
      <c r="N7" s="177">
        <v>670830914.98000002</v>
      </c>
      <c r="O7" s="177">
        <v>647420844.58000004</v>
      </c>
      <c r="P7" s="177">
        <v>686285477.04999995</v>
      </c>
      <c r="Q7" s="177">
        <v>700442716.75</v>
      </c>
      <c r="R7" s="177">
        <v>386532540.67000002</v>
      </c>
      <c r="S7" s="177">
        <v>897625570.89999998</v>
      </c>
      <c r="T7" s="177">
        <v>894756242.39999998</v>
      </c>
      <c r="U7" s="177">
        <v>916700216.38</v>
      </c>
      <c r="V7" s="177">
        <v>895821560.96000004</v>
      </c>
      <c r="W7" s="177">
        <v>305475070.57999998</v>
      </c>
      <c r="X7" s="7">
        <f>15309747+557326+24720482+8561345+200000000+60000000+51511250+2867694</f>
        <v>363527844</v>
      </c>
      <c r="Y7" s="405">
        <v>908087462.99000001</v>
      </c>
      <c r="Z7" s="407">
        <v>921147280.88</v>
      </c>
      <c r="AA7" s="407">
        <v>790794900.32000005</v>
      </c>
      <c r="AB7" s="407">
        <v>294519310.79000002</v>
      </c>
      <c r="AC7" s="443">
        <v>250926020.78999999</v>
      </c>
      <c r="AD7" s="445">
        <v>817602374.54999995</v>
      </c>
    </row>
    <row r="8" spans="2:30">
      <c r="B8" s="10" t="s">
        <v>13</v>
      </c>
      <c r="C8" s="23"/>
      <c r="D8" s="47"/>
      <c r="E8" s="47"/>
      <c r="F8" s="56"/>
      <c r="G8" s="69"/>
      <c r="H8" s="69"/>
      <c r="I8" s="69"/>
      <c r="J8" s="69">
        <v>5863447</v>
      </c>
      <c r="K8" s="69">
        <v>24284162.030000001</v>
      </c>
      <c r="L8" s="294">
        <v>24779369.609999999</v>
      </c>
      <c r="M8" s="294">
        <v>215668362.74000001</v>
      </c>
      <c r="N8" s="294">
        <v>618454.56999999995</v>
      </c>
      <c r="O8" s="294">
        <v>2094825.03</v>
      </c>
      <c r="P8" s="294">
        <v>3757175.09</v>
      </c>
      <c r="Q8" s="294">
        <v>119761761.01000001</v>
      </c>
      <c r="R8" s="294">
        <v>493428781.44</v>
      </c>
      <c r="S8" s="294">
        <v>6147486.8200000003</v>
      </c>
      <c r="T8" s="294">
        <v>8381173.8399999999</v>
      </c>
      <c r="U8" s="294">
        <v>11930338.41</v>
      </c>
      <c r="V8" s="294">
        <v>13610849.83</v>
      </c>
      <c r="W8" s="294">
        <v>631628100.15999997</v>
      </c>
      <c r="X8" s="71">
        <f>430753438+195053203+2621600+1738005+628152+500000</f>
        <v>631294398</v>
      </c>
      <c r="Y8" s="405">
        <v>6132599.2000000002</v>
      </c>
      <c r="Z8" s="407">
        <v>7298663.1200000001</v>
      </c>
      <c r="AA8" s="407">
        <v>6209622.8499999996</v>
      </c>
      <c r="AB8" s="407">
        <v>540856770.30999994</v>
      </c>
      <c r="AC8" s="443">
        <v>571484900.05999994</v>
      </c>
      <c r="AD8" s="445">
        <v>2731571.45</v>
      </c>
    </row>
    <row r="9" spans="2:30">
      <c r="B9" s="10" t="s">
        <v>14</v>
      </c>
      <c r="C9" s="48"/>
      <c r="D9" s="48"/>
      <c r="E9" s="48"/>
      <c r="F9" s="57"/>
      <c r="G9" s="35"/>
      <c r="H9" s="72"/>
      <c r="I9" s="72"/>
      <c r="J9" s="72">
        <f>J10+J11+J12+J13</f>
        <v>10000000</v>
      </c>
      <c r="K9" s="72">
        <f>K10+K11+K12+K13</f>
        <v>10000000</v>
      </c>
      <c r="L9" s="72">
        <f t="shared" ref="L9:AD9" si="1">L10+L11+L12+L13</f>
        <v>130784885.88</v>
      </c>
      <c r="M9" s="72">
        <f t="shared" si="1"/>
        <v>132438541.16</v>
      </c>
      <c r="N9" s="72">
        <f t="shared" si="1"/>
        <v>132438541.98999999</v>
      </c>
      <c r="O9" s="72">
        <f t="shared" si="1"/>
        <v>192870499.56</v>
      </c>
      <c r="P9" s="72">
        <f t="shared" si="1"/>
        <v>233870499.56</v>
      </c>
      <c r="Q9" s="72">
        <f t="shared" si="1"/>
        <v>235448652.54000002</v>
      </c>
      <c r="R9" s="72">
        <f t="shared" si="1"/>
        <v>113764793.62</v>
      </c>
      <c r="S9" s="72">
        <f t="shared" si="1"/>
        <v>113764793.62</v>
      </c>
      <c r="T9" s="72">
        <f t="shared" si="1"/>
        <v>163764793.62</v>
      </c>
      <c r="U9" s="72">
        <f t="shared" si="1"/>
        <v>163764793.62</v>
      </c>
      <c r="V9" s="72">
        <f t="shared" si="1"/>
        <v>163764793.62</v>
      </c>
      <c r="W9" s="72">
        <f t="shared" si="1"/>
        <v>163867694.38</v>
      </c>
      <c r="X9" s="72">
        <f t="shared" si="1"/>
        <v>51000000</v>
      </c>
      <c r="Y9" s="72">
        <f t="shared" si="1"/>
        <v>165378944.38</v>
      </c>
      <c r="Z9" s="72">
        <f t="shared" si="1"/>
        <v>165378944.38</v>
      </c>
      <c r="AA9" s="72">
        <f t="shared" si="1"/>
        <v>183867694.38</v>
      </c>
      <c r="AB9" s="72">
        <f t="shared" si="1"/>
        <v>113867694.38</v>
      </c>
      <c r="AC9" s="72">
        <f t="shared" si="1"/>
        <v>113952981.53999999</v>
      </c>
      <c r="AD9" s="72">
        <f t="shared" si="1"/>
        <v>113952981.53999999</v>
      </c>
    </row>
    <row r="10" spans="2:30">
      <c r="B10" s="12" t="s">
        <v>15</v>
      </c>
      <c r="C10" s="49"/>
      <c r="D10" s="49"/>
      <c r="E10" s="49"/>
      <c r="F10" s="58"/>
      <c r="G10" s="68"/>
      <c r="H10" s="26"/>
      <c r="I10" s="26"/>
      <c r="J10" s="177"/>
      <c r="K10" s="177"/>
      <c r="L10" s="177">
        <v>60000000</v>
      </c>
      <c r="M10" s="177">
        <v>60000000</v>
      </c>
      <c r="N10" s="177">
        <v>60000000</v>
      </c>
      <c r="O10" s="177">
        <v>60000000</v>
      </c>
      <c r="P10" s="177">
        <v>60000000</v>
      </c>
      <c r="Q10" s="177">
        <v>60000000</v>
      </c>
      <c r="R10" s="177">
        <v>60000000</v>
      </c>
      <c r="S10" s="177">
        <v>60000000</v>
      </c>
      <c r="T10" s="177">
        <v>60000000</v>
      </c>
      <c r="U10" s="177">
        <v>60000000</v>
      </c>
      <c r="V10" s="177">
        <v>60000000</v>
      </c>
      <c r="W10" s="177">
        <v>60000000</v>
      </c>
      <c r="X10" s="7"/>
      <c r="Y10" s="401">
        <v>60000000</v>
      </c>
      <c r="Z10" s="403">
        <v>60000000</v>
      </c>
      <c r="AA10" s="403">
        <v>60000000</v>
      </c>
      <c r="AB10" s="403">
        <v>60000000</v>
      </c>
      <c r="AC10" s="440">
        <v>60000000</v>
      </c>
      <c r="AD10" s="441">
        <v>60000000</v>
      </c>
    </row>
    <row r="11" spans="2:30">
      <c r="B11" s="12" t="s">
        <v>16</v>
      </c>
      <c r="C11" s="49"/>
      <c r="D11" s="49"/>
      <c r="E11" s="49"/>
      <c r="F11" s="58"/>
      <c r="G11" s="68"/>
      <c r="H11" s="26"/>
      <c r="I11" s="26"/>
      <c r="J11" s="177"/>
      <c r="K11" s="177"/>
      <c r="L11" s="177">
        <v>10784885.880000001</v>
      </c>
      <c r="M11" s="177">
        <v>10855746.16</v>
      </c>
      <c r="N11" s="177">
        <v>10855746.99</v>
      </c>
      <c r="O11" s="177">
        <v>71287704.560000002</v>
      </c>
      <c r="P11" s="177">
        <v>71287704.560000002</v>
      </c>
      <c r="Q11" s="177">
        <v>71332525.540000007</v>
      </c>
      <c r="R11" s="177">
        <v>2764793.62</v>
      </c>
      <c r="S11" s="177">
        <v>2764793.62</v>
      </c>
      <c r="T11" s="177">
        <v>2764793.62</v>
      </c>
      <c r="U11" s="177">
        <v>2764793.62</v>
      </c>
      <c r="V11" s="177">
        <v>2764793.62</v>
      </c>
      <c r="W11" s="177">
        <v>2867694.38</v>
      </c>
      <c r="X11" s="7"/>
      <c r="Y11" s="405">
        <v>2867694.38</v>
      </c>
      <c r="Z11" s="407">
        <v>2867694.38</v>
      </c>
      <c r="AA11" s="407">
        <v>2867694.38</v>
      </c>
      <c r="AB11" s="407">
        <v>2867694.38</v>
      </c>
      <c r="AC11" s="443">
        <v>2952981.54</v>
      </c>
      <c r="AD11" s="445">
        <v>2952981.54</v>
      </c>
    </row>
    <row r="12" spans="2:30">
      <c r="B12" s="12" t="s">
        <v>17</v>
      </c>
      <c r="C12" s="49"/>
      <c r="D12" s="49"/>
      <c r="E12" s="49"/>
      <c r="F12" s="58"/>
      <c r="G12" s="14"/>
      <c r="H12" s="26"/>
      <c r="I12" s="26"/>
      <c r="J12" s="177">
        <v>10000000</v>
      </c>
      <c r="K12" s="177">
        <v>10000000</v>
      </c>
      <c r="L12" s="177">
        <v>50000000</v>
      </c>
      <c r="M12" s="177">
        <v>51582795</v>
      </c>
      <c r="N12" s="177">
        <v>51582795</v>
      </c>
      <c r="O12" s="177">
        <v>51582795</v>
      </c>
      <c r="P12" s="177">
        <v>51582795</v>
      </c>
      <c r="Q12" s="177">
        <v>53116127</v>
      </c>
      <c r="R12" s="177">
        <v>0</v>
      </c>
      <c r="S12" s="177">
        <v>0</v>
      </c>
      <c r="T12" s="177">
        <v>50000000</v>
      </c>
      <c r="U12" s="177">
        <v>50000000</v>
      </c>
      <c r="V12" s="177">
        <v>60000000</v>
      </c>
      <c r="W12" s="177">
        <v>50000000</v>
      </c>
      <c r="X12" s="7">
        <v>51000000</v>
      </c>
      <c r="Y12" s="405">
        <v>51511250</v>
      </c>
      <c r="Z12" s="407">
        <v>51511250</v>
      </c>
      <c r="AA12" s="407">
        <v>70000000</v>
      </c>
      <c r="AB12" s="406">
        <v>0</v>
      </c>
      <c r="AC12" s="442">
        <v>0</v>
      </c>
      <c r="AD12" s="444">
        <v>0</v>
      </c>
    </row>
    <row r="13" spans="2:30">
      <c r="B13" s="12" t="s">
        <v>18</v>
      </c>
      <c r="C13" s="53"/>
      <c r="D13" s="53"/>
      <c r="E13" s="53"/>
      <c r="F13" s="59"/>
      <c r="G13" s="28"/>
      <c r="H13" s="26"/>
      <c r="I13" s="26"/>
      <c r="J13" s="177"/>
      <c r="K13" s="177"/>
      <c r="L13" s="177">
        <v>10000000</v>
      </c>
      <c r="M13" s="177">
        <v>10000000</v>
      </c>
      <c r="N13" s="177">
        <v>10000000</v>
      </c>
      <c r="O13" s="177">
        <v>10000000</v>
      </c>
      <c r="P13" s="177">
        <v>51000000</v>
      </c>
      <c r="Q13" s="177">
        <v>51000000</v>
      </c>
      <c r="R13" s="177">
        <v>51000000</v>
      </c>
      <c r="S13" s="177">
        <v>51000000</v>
      </c>
      <c r="T13" s="177">
        <v>51000000</v>
      </c>
      <c r="U13" s="177">
        <v>51000000</v>
      </c>
      <c r="V13" s="177">
        <v>41000000</v>
      </c>
      <c r="W13" s="177">
        <v>51000000</v>
      </c>
      <c r="X13" s="7"/>
      <c r="Y13" s="405">
        <v>51000000</v>
      </c>
      <c r="Z13" s="407">
        <v>51000000</v>
      </c>
      <c r="AA13" s="407">
        <v>51000000</v>
      </c>
      <c r="AB13" s="407">
        <v>51000000</v>
      </c>
      <c r="AC13" s="443">
        <v>51000000</v>
      </c>
      <c r="AD13" s="445">
        <v>51000000</v>
      </c>
    </row>
    <row r="14" spans="2:30" ht="13.15">
      <c r="B14" s="10" t="s">
        <v>19</v>
      </c>
      <c r="C14" s="34"/>
      <c r="D14" s="34"/>
      <c r="E14" s="34"/>
      <c r="F14" s="60"/>
      <c r="G14" s="11"/>
      <c r="H14" s="11"/>
      <c r="I14" s="11"/>
      <c r="J14" s="11">
        <f>J15-J16</f>
        <v>67566895</v>
      </c>
      <c r="K14" s="11">
        <f>K15-K16</f>
        <v>552937724.51999998</v>
      </c>
      <c r="L14" s="11">
        <f t="shared" ref="L14:AD14" si="2">L15-L16</f>
        <v>595717835.81999993</v>
      </c>
      <c r="M14" s="11">
        <f t="shared" si="2"/>
        <v>639661333.55999994</v>
      </c>
      <c r="N14" s="11">
        <f t="shared" si="2"/>
        <v>706878796.46999991</v>
      </c>
      <c r="O14" s="11">
        <f t="shared" si="2"/>
        <v>804723164.08000004</v>
      </c>
      <c r="P14" s="11">
        <f t="shared" si="2"/>
        <v>913678359.81999993</v>
      </c>
      <c r="Q14" s="11">
        <f t="shared" si="2"/>
        <v>1036763082.9200001</v>
      </c>
      <c r="R14" s="11">
        <f t="shared" si="2"/>
        <v>1152217749.6600001</v>
      </c>
      <c r="S14" s="11">
        <f t="shared" si="2"/>
        <v>1279549773.6300001</v>
      </c>
      <c r="T14" s="11">
        <f t="shared" si="2"/>
        <v>1425723080.5800002</v>
      </c>
      <c r="U14" s="11">
        <f t="shared" si="2"/>
        <v>1583796850.52</v>
      </c>
      <c r="V14" s="11">
        <f t="shared" si="2"/>
        <v>1752123610</v>
      </c>
      <c r="W14" s="11">
        <f t="shared" si="2"/>
        <v>1919636893.0699999</v>
      </c>
      <c r="X14" s="11">
        <f t="shared" si="2"/>
        <v>1919672589</v>
      </c>
      <c r="Y14" s="11">
        <f t="shared" si="2"/>
        <v>2102724965.3</v>
      </c>
      <c r="Z14" s="11">
        <f t="shared" si="2"/>
        <v>2293473140.4300003</v>
      </c>
      <c r="AA14" s="11">
        <f t="shared" si="2"/>
        <v>2532739681.5600004</v>
      </c>
      <c r="AB14" s="11">
        <f t="shared" si="2"/>
        <v>2736147404.7199998</v>
      </c>
      <c r="AC14" s="11">
        <f t="shared" si="2"/>
        <v>2955033751.4699998</v>
      </c>
      <c r="AD14" s="11">
        <f t="shared" si="2"/>
        <v>3200234216.2399998</v>
      </c>
    </row>
    <row r="15" spans="2:30">
      <c r="B15" s="12" t="s">
        <v>20</v>
      </c>
      <c r="C15" s="52"/>
      <c r="D15" s="52"/>
      <c r="E15" s="52"/>
      <c r="F15" s="52"/>
      <c r="G15" s="67"/>
      <c r="H15" s="26"/>
      <c r="I15" s="26"/>
      <c r="J15" s="177">
        <v>67566895</v>
      </c>
      <c r="K15" s="177">
        <v>552937724.51999998</v>
      </c>
      <c r="L15" s="177">
        <v>607138207.25999999</v>
      </c>
      <c r="M15" s="177">
        <v>654081705</v>
      </c>
      <c r="N15" s="177">
        <v>725858774.90999997</v>
      </c>
      <c r="O15" s="177">
        <v>827863988.11000001</v>
      </c>
      <c r="P15" s="177">
        <v>942057614.00999999</v>
      </c>
      <c r="Q15" s="177">
        <v>1060214704.46</v>
      </c>
      <c r="R15" s="177">
        <v>1178890473.1600001</v>
      </c>
      <c r="S15" s="177">
        <v>1312370015.4100001</v>
      </c>
      <c r="T15" s="177">
        <v>1462298704.1600001</v>
      </c>
      <c r="U15" s="177">
        <v>1623872241.46</v>
      </c>
      <c r="V15" s="177">
        <v>1795914969.46</v>
      </c>
      <c r="W15" s="177">
        <v>1965876279.3299999</v>
      </c>
      <c r="X15" s="7">
        <v>1965911975</v>
      </c>
      <c r="Y15" s="401">
        <v>2156775721</v>
      </c>
      <c r="Z15" s="403">
        <v>2352187244.8200002</v>
      </c>
      <c r="AA15" s="403">
        <v>2594502052.5100002</v>
      </c>
      <c r="AB15" s="403">
        <v>2805719566.79</v>
      </c>
      <c r="AC15" s="440">
        <v>3031348975.8099999</v>
      </c>
      <c r="AD15" s="441">
        <v>3283191196.7199998</v>
      </c>
    </row>
    <row r="16" spans="2:30">
      <c r="B16" s="12" t="s">
        <v>21</v>
      </c>
      <c r="C16" s="49"/>
      <c r="D16" s="49"/>
      <c r="E16" s="49"/>
      <c r="F16" s="58"/>
      <c r="G16" s="14"/>
      <c r="H16" s="26"/>
      <c r="I16" s="26"/>
      <c r="J16" s="177">
        <v>0</v>
      </c>
      <c r="K16" s="177"/>
      <c r="L16" s="177">
        <v>11420371.439999999</v>
      </c>
      <c r="M16" s="177">
        <v>14420371.439999999</v>
      </c>
      <c r="N16" s="177">
        <v>18979978.440000001</v>
      </c>
      <c r="O16" s="177">
        <v>23140824.030000001</v>
      </c>
      <c r="P16" s="177">
        <v>28379254.190000001</v>
      </c>
      <c r="Q16" s="177">
        <v>23451621.539999999</v>
      </c>
      <c r="R16" s="177">
        <v>26672723.5</v>
      </c>
      <c r="S16" s="177">
        <v>32820241.780000001</v>
      </c>
      <c r="T16" s="177">
        <v>36575623.579999998</v>
      </c>
      <c r="U16" s="177">
        <v>40075390.939999998</v>
      </c>
      <c r="V16" s="177">
        <v>43791359.460000001</v>
      </c>
      <c r="W16" s="177">
        <v>46239386.259999998</v>
      </c>
      <c r="X16" s="7">
        <v>46239386</v>
      </c>
      <c r="Y16" s="405">
        <v>54050755.700000003</v>
      </c>
      <c r="Z16" s="407">
        <v>58714104.390000001</v>
      </c>
      <c r="AA16" s="407">
        <v>61762370.950000003</v>
      </c>
      <c r="AB16" s="407">
        <v>69572162.069999993</v>
      </c>
      <c r="AC16" s="443">
        <v>76315224.340000004</v>
      </c>
      <c r="AD16" s="445">
        <v>82956980.480000004</v>
      </c>
    </row>
    <row r="17" spans="2:30" ht="13.15">
      <c r="B17" s="10" t="s">
        <v>22</v>
      </c>
      <c r="C17" s="11"/>
      <c r="D17" s="11"/>
      <c r="E17" s="11"/>
      <c r="F17" s="61"/>
      <c r="G17" s="11"/>
      <c r="H17" s="11"/>
      <c r="I17" s="11"/>
      <c r="J17" s="11">
        <f>J18+J19+J20</f>
        <v>0</v>
      </c>
      <c r="K17" s="11">
        <f t="shared" ref="K17:AD17" si="3">K18+K19+K20</f>
        <v>0</v>
      </c>
      <c r="L17" s="11">
        <f t="shared" si="3"/>
        <v>628152.18000000005</v>
      </c>
      <c r="M17" s="11">
        <f t="shared" si="3"/>
        <v>628152.18000000005</v>
      </c>
      <c r="N17" s="11">
        <f t="shared" si="3"/>
        <v>628152.18000000005</v>
      </c>
      <c r="O17" s="11">
        <f t="shared" si="3"/>
        <v>628152.18000000005</v>
      </c>
      <c r="P17" s="11">
        <f t="shared" si="3"/>
        <v>628152.18000000005</v>
      </c>
      <c r="Q17" s="11">
        <f t="shared" si="3"/>
        <v>628152.18000000005</v>
      </c>
      <c r="R17" s="11">
        <f t="shared" si="3"/>
        <v>628152.18000000005</v>
      </c>
      <c r="S17" s="11">
        <f t="shared" si="3"/>
        <v>628152.18000000005</v>
      </c>
      <c r="T17" s="11">
        <f t="shared" si="3"/>
        <v>628152.18000000005</v>
      </c>
      <c r="U17" s="11">
        <f t="shared" si="3"/>
        <v>628152.18000000005</v>
      </c>
      <c r="V17" s="11">
        <f t="shared" si="3"/>
        <v>628152.18000000005</v>
      </c>
      <c r="W17" s="11">
        <f t="shared" si="3"/>
        <v>628152.18000000005</v>
      </c>
      <c r="X17" s="11">
        <f t="shared" si="3"/>
        <v>0</v>
      </c>
      <c r="Y17" s="11">
        <f t="shared" si="3"/>
        <v>628152.18000000005</v>
      </c>
      <c r="Z17" s="11">
        <f t="shared" si="3"/>
        <v>628152.18000000005</v>
      </c>
      <c r="AA17" s="11">
        <f t="shared" si="3"/>
        <v>628152.18000000005</v>
      </c>
      <c r="AB17" s="11">
        <f t="shared" si="3"/>
        <v>628152.18000000005</v>
      </c>
      <c r="AC17" s="11">
        <f t="shared" si="3"/>
        <v>628152.18000000005</v>
      </c>
      <c r="AD17" s="11">
        <f t="shared" si="3"/>
        <v>628152.18000000005</v>
      </c>
    </row>
    <row r="18" spans="2:30" ht="15">
      <c r="B18" s="12" t="s">
        <v>23</v>
      </c>
      <c r="C18" s="49"/>
      <c r="D18" s="49"/>
      <c r="E18" s="49"/>
      <c r="F18" s="58"/>
      <c r="G18" s="14"/>
      <c r="H18" s="68"/>
      <c r="I18" s="68"/>
      <c r="J18" s="26">
        <v>0</v>
      </c>
      <c r="K18" s="26"/>
      <c r="L18" s="177">
        <v>628152.18000000005</v>
      </c>
      <c r="M18" s="177">
        <v>628152.18000000005</v>
      </c>
      <c r="N18" s="177">
        <v>628152.18000000005</v>
      </c>
      <c r="O18" s="177">
        <v>628152.18000000005</v>
      </c>
      <c r="P18" s="177">
        <v>628152.18000000005</v>
      </c>
      <c r="Q18" s="177">
        <v>628152.18000000005</v>
      </c>
      <c r="R18" s="177">
        <v>628152.18000000005</v>
      </c>
      <c r="S18" s="177">
        <v>628152.18000000005</v>
      </c>
      <c r="T18" s="177">
        <v>628152.18000000005</v>
      </c>
      <c r="U18" s="177">
        <v>628152.18000000005</v>
      </c>
      <c r="V18" s="177">
        <v>628152.18000000005</v>
      </c>
      <c r="W18" s="177">
        <v>628152.18000000005</v>
      </c>
      <c r="X18" s="293">
        <v>0</v>
      </c>
      <c r="Y18" s="401">
        <v>628152.18000000005</v>
      </c>
      <c r="Z18" s="403">
        <v>628152.18000000005</v>
      </c>
      <c r="AA18" s="403">
        <v>628152.18000000005</v>
      </c>
      <c r="AB18" s="403">
        <v>628152.18000000005</v>
      </c>
      <c r="AC18" s="440">
        <v>628152.18000000005</v>
      </c>
      <c r="AD18" s="441">
        <v>628152.18000000005</v>
      </c>
    </row>
    <row r="19" spans="2:30" ht="15">
      <c r="B19" s="12" t="s">
        <v>24</v>
      </c>
      <c r="C19" s="49"/>
      <c r="D19" s="49"/>
      <c r="E19" s="49"/>
      <c r="F19" s="58"/>
      <c r="G19" s="14"/>
      <c r="H19" s="68"/>
      <c r="I19" s="68"/>
      <c r="J19" s="26">
        <v>0</v>
      </c>
      <c r="K19" s="26"/>
      <c r="L19" s="177">
        <v>0</v>
      </c>
      <c r="M19" s="177">
        <v>0</v>
      </c>
      <c r="N19" s="177">
        <v>0</v>
      </c>
      <c r="O19" s="177">
        <v>0</v>
      </c>
      <c r="P19" s="177">
        <v>0</v>
      </c>
      <c r="Q19" s="177">
        <v>0</v>
      </c>
      <c r="R19" s="177">
        <v>0</v>
      </c>
      <c r="S19" s="177">
        <v>0</v>
      </c>
      <c r="T19" s="177">
        <v>0</v>
      </c>
      <c r="U19" s="177">
        <v>0</v>
      </c>
      <c r="V19" s="177">
        <v>0</v>
      </c>
      <c r="W19" s="177">
        <v>0</v>
      </c>
      <c r="X19" s="293">
        <v>0</v>
      </c>
      <c r="Y19" s="404">
        <v>0</v>
      </c>
      <c r="Z19" s="406">
        <v>0</v>
      </c>
      <c r="AA19" s="406">
        <v>0</v>
      </c>
      <c r="AB19" s="406">
        <v>0</v>
      </c>
      <c r="AC19" s="442">
        <v>0</v>
      </c>
      <c r="AD19" s="444">
        <v>0</v>
      </c>
    </row>
    <row r="20" spans="2:30" ht="15">
      <c r="B20" s="12" t="s">
        <v>25</v>
      </c>
      <c r="C20" s="49"/>
      <c r="D20" s="49"/>
      <c r="E20" s="49"/>
      <c r="F20" s="58"/>
      <c r="G20" s="14"/>
      <c r="H20" s="68"/>
      <c r="I20" s="68"/>
      <c r="J20" s="26">
        <v>0</v>
      </c>
      <c r="K20" s="26"/>
      <c r="L20" s="177">
        <v>0</v>
      </c>
      <c r="M20" s="177">
        <v>0</v>
      </c>
      <c r="N20" s="177">
        <v>0</v>
      </c>
      <c r="O20" s="177">
        <v>0</v>
      </c>
      <c r="P20" s="177">
        <v>0</v>
      </c>
      <c r="Q20" s="177">
        <v>0</v>
      </c>
      <c r="R20" s="177">
        <v>0</v>
      </c>
      <c r="S20" s="177">
        <v>0</v>
      </c>
      <c r="T20" s="177">
        <v>0</v>
      </c>
      <c r="U20" s="177">
        <v>0</v>
      </c>
      <c r="V20" s="177">
        <v>0</v>
      </c>
      <c r="W20" s="177">
        <v>0</v>
      </c>
      <c r="X20" s="293">
        <v>0</v>
      </c>
      <c r="Y20" s="404">
        <v>0</v>
      </c>
      <c r="Z20" s="406">
        <v>0</v>
      </c>
      <c r="AA20" s="406">
        <v>0</v>
      </c>
      <c r="AB20" s="406">
        <v>0</v>
      </c>
      <c r="AC20" s="442">
        <v>0</v>
      </c>
      <c r="AD20" s="444">
        <v>0</v>
      </c>
    </row>
    <row r="21" spans="2:30" ht="25.5">
      <c r="B21" s="10" t="s">
        <v>26</v>
      </c>
      <c r="C21" s="50"/>
      <c r="D21" s="50"/>
      <c r="E21" s="50"/>
      <c r="F21" s="62"/>
      <c r="G21" s="48"/>
      <c r="H21" s="72"/>
      <c r="I21" s="72"/>
      <c r="J21" s="72">
        <f>J22+J23+J24+J25+J26</f>
        <v>0</v>
      </c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>
        <f>W22+W23+W24+W25+W26</f>
        <v>0</v>
      </c>
      <c r="X21" s="72">
        <f t="shared" ref="X21:AD21" si="4">X22+X23+X24+X25+X26</f>
        <v>0</v>
      </c>
      <c r="Y21" s="72">
        <f t="shared" si="4"/>
        <v>0</v>
      </c>
      <c r="Z21" s="72">
        <f t="shared" si="4"/>
        <v>0</v>
      </c>
      <c r="AA21" s="72">
        <f t="shared" si="4"/>
        <v>2552000</v>
      </c>
      <c r="AB21" s="72">
        <f t="shared" si="4"/>
        <v>6902000</v>
      </c>
      <c r="AC21" s="72">
        <f t="shared" si="4"/>
        <v>7027000</v>
      </c>
      <c r="AD21" s="72">
        <f t="shared" si="4"/>
        <v>7027000</v>
      </c>
    </row>
    <row r="22" spans="2:30" ht="15">
      <c r="B22" s="12" t="s">
        <v>27</v>
      </c>
      <c r="C22" s="13"/>
      <c r="D22" s="49"/>
      <c r="E22" s="49"/>
      <c r="F22" s="58"/>
      <c r="G22" s="68"/>
      <c r="H22" s="68"/>
      <c r="I22" s="68"/>
      <c r="J22" s="177">
        <v>0</v>
      </c>
      <c r="K22" s="177"/>
      <c r="L22" s="177">
        <v>0</v>
      </c>
      <c r="M22" s="177">
        <v>0</v>
      </c>
      <c r="N22" s="177">
        <v>0</v>
      </c>
      <c r="O22" s="177">
        <v>0</v>
      </c>
      <c r="P22" s="177">
        <v>0</v>
      </c>
      <c r="Q22" s="177">
        <v>0</v>
      </c>
      <c r="R22" s="177">
        <v>0</v>
      </c>
      <c r="S22" s="177">
        <v>0</v>
      </c>
      <c r="T22" s="177">
        <v>0</v>
      </c>
      <c r="U22" s="177">
        <v>0</v>
      </c>
      <c r="V22" s="177">
        <v>0</v>
      </c>
      <c r="W22" s="177">
        <v>0</v>
      </c>
      <c r="X22" s="293"/>
      <c r="Y22" s="400">
        <v>0</v>
      </c>
      <c r="Z22" s="402">
        <v>0</v>
      </c>
      <c r="AA22" s="402">
        <v>0</v>
      </c>
      <c r="AB22" s="402">
        <v>0</v>
      </c>
      <c r="AC22" s="439">
        <v>0</v>
      </c>
      <c r="AD22" s="441">
        <v>4475000</v>
      </c>
    </row>
    <row r="23" spans="2:30" ht="15">
      <c r="B23" s="12" t="s">
        <v>28</v>
      </c>
      <c r="C23" s="54"/>
      <c r="D23" s="55"/>
      <c r="E23" s="55"/>
      <c r="F23" s="63"/>
      <c r="G23" s="67"/>
      <c r="H23" s="26"/>
      <c r="I23" s="26"/>
      <c r="J23" s="177">
        <v>0</v>
      </c>
      <c r="K23" s="177"/>
      <c r="L23" s="177">
        <v>0</v>
      </c>
      <c r="M23" s="177">
        <v>0</v>
      </c>
      <c r="N23" s="177">
        <v>0</v>
      </c>
      <c r="O23" s="177">
        <v>0</v>
      </c>
      <c r="P23" s="177">
        <v>0</v>
      </c>
      <c r="Q23" s="177">
        <v>0</v>
      </c>
      <c r="R23" s="177">
        <v>0</v>
      </c>
      <c r="S23" s="177">
        <v>0</v>
      </c>
      <c r="T23" s="177">
        <v>0</v>
      </c>
      <c r="U23" s="177">
        <v>0</v>
      </c>
      <c r="V23" s="177">
        <v>0</v>
      </c>
      <c r="W23" s="177">
        <v>0</v>
      </c>
      <c r="X23" s="293"/>
      <c r="Y23" s="404">
        <v>0</v>
      </c>
      <c r="Z23" s="406">
        <v>0</v>
      </c>
      <c r="AA23" s="406">
        <v>0</v>
      </c>
      <c r="AB23" s="407">
        <v>4350000</v>
      </c>
      <c r="AC23" s="443">
        <v>4475000</v>
      </c>
      <c r="AD23" s="444">
        <v>0</v>
      </c>
    </row>
    <row r="24" spans="2:30" ht="15">
      <c r="B24" s="12" t="s">
        <v>29</v>
      </c>
      <c r="C24" s="54"/>
      <c r="D24" s="55"/>
      <c r="E24" s="55"/>
      <c r="F24" s="63"/>
      <c r="G24" s="67"/>
      <c r="H24" s="68"/>
      <c r="I24" s="68"/>
      <c r="J24" s="177">
        <v>0</v>
      </c>
      <c r="K24" s="177"/>
      <c r="L24" s="177">
        <v>0</v>
      </c>
      <c r="M24" s="177">
        <v>0</v>
      </c>
      <c r="N24" s="177">
        <v>0</v>
      </c>
      <c r="O24" s="177">
        <v>0</v>
      </c>
      <c r="P24" s="177">
        <v>0</v>
      </c>
      <c r="Q24" s="177">
        <v>0</v>
      </c>
      <c r="R24" s="177">
        <v>0</v>
      </c>
      <c r="S24" s="177">
        <v>0</v>
      </c>
      <c r="T24" s="177">
        <v>0</v>
      </c>
      <c r="U24" s="177">
        <v>0</v>
      </c>
      <c r="V24" s="177">
        <v>0</v>
      </c>
      <c r="W24" s="177">
        <v>0</v>
      </c>
      <c r="X24" s="293"/>
      <c r="Y24" s="404">
        <v>0</v>
      </c>
      <c r="Z24" s="406">
        <v>0</v>
      </c>
      <c r="AA24" s="406">
        <v>0</v>
      </c>
      <c r="AB24" s="406">
        <v>0</v>
      </c>
      <c r="AC24" s="442">
        <v>0</v>
      </c>
      <c r="AD24" s="444">
        <v>0</v>
      </c>
    </row>
    <row r="25" spans="2:30" ht="15">
      <c r="B25" s="12" t="s">
        <v>30</v>
      </c>
      <c r="C25" s="54"/>
      <c r="D25" s="55"/>
      <c r="E25" s="55"/>
      <c r="F25" s="63"/>
      <c r="G25" s="67"/>
      <c r="H25" s="26"/>
      <c r="I25" s="26"/>
      <c r="J25" s="177">
        <v>0</v>
      </c>
      <c r="K25" s="177"/>
      <c r="L25" s="177">
        <v>0</v>
      </c>
      <c r="M25" s="177">
        <v>0</v>
      </c>
      <c r="N25" s="177">
        <v>0</v>
      </c>
      <c r="O25" s="177">
        <v>0</v>
      </c>
      <c r="P25" s="177">
        <v>0</v>
      </c>
      <c r="Q25" s="177">
        <v>0</v>
      </c>
      <c r="R25" s="177">
        <v>0</v>
      </c>
      <c r="S25" s="177">
        <v>0</v>
      </c>
      <c r="T25" s="177">
        <v>0</v>
      </c>
      <c r="U25" s="177">
        <v>0</v>
      </c>
      <c r="V25" s="177">
        <v>0</v>
      </c>
      <c r="W25" s="177">
        <v>0</v>
      </c>
      <c r="X25" s="293"/>
      <c r="Y25" s="404">
        <v>0</v>
      </c>
      <c r="Z25" s="406">
        <v>0</v>
      </c>
      <c r="AA25" s="407">
        <v>2552000</v>
      </c>
      <c r="AB25" s="407">
        <v>2552000</v>
      </c>
      <c r="AC25" s="443">
        <v>2552000</v>
      </c>
      <c r="AD25" s="445">
        <v>2552000</v>
      </c>
    </row>
    <row r="26" spans="2:30" ht="15">
      <c r="B26" s="12" t="s">
        <v>31</v>
      </c>
      <c r="C26" s="54"/>
      <c r="D26" s="55"/>
      <c r="E26" s="55"/>
      <c r="F26" s="63"/>
      <c r="G26" s="67"/>
      <c r="H26" s="68"/>
      <c r="I26" s="68"/>
      <c r="J26" s="177">
        <v>0</v>
      </c>
      <c r="K26" s="177"/>
      <c r="L26" s="177">
        <v>0</v>
      </c>
      <c r="M26" s="177">
        <v>0</v>
      </c>
      <c r="N26" s="177">
        <v>0</v>
      </c>
      <c r="O26" s="177">
        <v>0</v>
      </c>
      <c r="P26" s="177">
        <v>0</v>
      </c>
      <c r="Q26" s="177">
        <v>0</v>
      </c>
      <c r="R26" s="177">
        <v>0</v>
      </c>
      <c r="S26" s="177">
        <v>0</v>
      </c>
      <c r="T26" s="177">
        <v>0</v>
      </c>
      <c r="U26" s="177">
        <v>0</v>
      </c>
      <c r="V26" s="177">
        <v>0</v>
      </c>
      <c r="W26" s="177">
        <v>0</v>
      </c>
      <c r="X26" s="293"/>
      <c r="Y26" s="404">
        <v>0</v>
      </c>
      <c r="Z26" s="406">
        <v>0</v>
      </c>
      <c r="AA26" s="406">
        <v>0</v>
      </c>
      <c r="AB26" s="406">
        <v>0</v>
      </c>
      <c r="AC26" s="442">
        <v>0</v>
      </c>
      <c r="AD26" s="444">
        <v>0</v>
      </c>
    </row>
    <row r="27" spans="2:30" ht="13.15">
      <c r="B27" s="15" t="s">
        <v>32</v>
      </c>
      <c r="C27" s="16"/>
      <c r="D27" s="16"/>
      <c r="E27" s="16"/>
      <c r="F27" s="64"/>
      <c r="G27" s="16"/>
      <c r="H27" s="73"/>
      <c r="I27" s="73"/>
      <c r="J27" s="73">
        <f>J5+J8+J9+J14+J17+J21</f>
        <v>459363957</v>
      </c>
      <c r="K27" s="73">
        <f t="shared" ref="K27:AD27" si="5">K5+K8+K9+K14+K17+K21</f>
        <v>1170868125.55</v>
      </c>
      <c r="L27" s="73">
        <f t="shared" si="5"/>
        <v>1281961507.99</v>
      </c>
      <c r="M27" s="73">
        <f t="shared" si="5"/>
        <v>1403219697.01</v>
      </c>
      <c r="N27" s="73">
        <f t="shared" si="5"/>
        <v>1515488960.1900001</v>
      </c>
      <c r="O27" s="73">
        <f t="shared" si="5"/>
        <v>1650689185.4300001</v>
      </c>
      <c r="P27" s="73">
        <f t="shared" si="5"/>
        <v>1838228413.7</v>
      </c>
      <c r="Q27" s="73">
        <f t="shared" si="5"/>
        <v>2097992465.4000001</v>
      </c>
      <c r="R27" s="73">
        <f t="shared" si="5"/>
        <v>2151721717.5700002</v>
      </c>
      <c r="S27" s="73">
        <f t="shared" si="5"/>
        <v>2302222227.1500001</v>
      </c>
      <c r="T27" s="73">
        <f t="shared" si="5"/>
        <v>2500312092.6200004</v>
      </c>
      <c r="U27" s="73">
        <f t="shared" si="5"/>
        <v>2681980401.1099997</v>
      </c>
      <c r="V27" s="73">
        <f t="shared" si="5"/>
        <v>2831357766.5899997</v>
      </c>
      <c r="W27" s="73">
        <f t="shared" si="5"/>
        <v>3028184810.3699994</v>
      </c>
      <c r="X27" s="73">
        <f t="shared" si="5"/>
        <v>3028635921</v>
      </c>
      <c r="Y27" s="73">
        <f t="shared" si="5"/>
        <v>3185617374.0499997</v>
      </c>
      <c r="Z27" s="73">
        <f t="shared" si="5"/>
        <v>3392203880.9900002</v>
      </c>
      <c r="AA27" s="73">
        <f t="shared" si="5"/>
        <v>3520935451.2900004</v>
      </c>
      <c r="AB27" s="73">
        <f t="shared" si="5"/>
        <v>3699528682.3799996</v>
      </c>
      <c r="AC27" s="73">
        <f t="shared" si="5"/>
        <v>3904808806.0399995</v>
      </c>
      <c r="AD27" s="73">
        <f t="shared" si="5"/>
        <v>4144631595.9599996</v>
      </c>
    </row>
    <row r="28" spans="2:30">
      <c r="B28" s="12" t="s">
        <v>33</v>
      </c>
      <c r="C28" s="54"/>
      <c r="D28" s="55"/>
      <c r="E28" s="55"/>
      <c r="F28" s="63"/>
      <c r="G28" s="67"/>
      <c r="H28" s="26"/>
      <c r="I28" s="26"/>
      <c r="J28" s="177"/>
      <c r="K28" s="177">
        <v>319521.55</v>
      </c>
      <c r="L28" s="177">
        <v>13983820.25</v>
      </c>
      <c r="M28" s="177">
        <v>49599559.350000001</v>
      </c>
      <c r="N28" s="177">
        <v>54281773.469999999</v>
      </c>
      <c r="O28" s="177">
        <v>75270723.219999999</v>
      </c>
      <c r="P28" s="177">
        <v>140921411.5</v>
      </c>
      <c r="Q28" s="177">
        <v>257353502.78999999</v>
      </c>
      <c r="R28" s="177">
        <v>154150791.36000001</v>
      </c>
      <c r="S28" s="177">
        <v>148145072.93000001</v>
      </c>
      <c r="T28" s="177">
        <v>179322849.43000001</v>
      </c>
      <c r="U28" s="177">
        <v>191418292.40000001</v>
      </c>
      <c r="V28" s="177">
        <v>185705856.19</v>
      </c>
      <c r="W28" s="177">
        <v>195404965.59999999</v>
      </c>
      <c r="X28" s="7">
        <v>195438509</v>
      </c>
      <c r="Y28" s="401">
        <v>186377612.61000001</v>
      </c>
      <c r="Z28" s="403">
        <v>211252211.44999999</v>
      </c>
      <c r="AA28" s="403">
        <v>243842645.93000001</v>
      </c>
      <c r="AB28" s="403">
        <v>239176893.72</v>
      </c>
      <c r="AC28" s="440">
        <v>236910992.86000001</v>
      </c>
      <c r="AD28" s="441">
        <v>269554724.62</v>
      </c>
    </row>
    <row r="29" spans="2:30">
      <c r="B29" s="12" t="s">
        <v>34</v>
      </c>
      <c r="C29" s="54"/>
      <c r="D29" s="55"/>
      <c r="E29" s="55"/>
      <c r="F29" s="63"/>
      <c r="G29" s="67"/>
      <c r="H29" s="26"/>
      <c r="I29" s="26"/>
      <c r="J29" s="177"/>
      <c r="K29" s="177"/>
      <c r="L29" s="177">
        <v>10205</v>
      </c>
      <c r="M29" s="177">
        <v>12955</v>
      </c>
      <c r="N29" s="177">
        <v>19136</v>
      </c>
      <c r="O29" s="177">
        <v>20236</v>
      </c>
      <c r="P29" s="177">
        <v>49312</v>
      </c>
      <c r="Q29" s="177">
        <v>119512</v>
      </c>
      <c r="R29" s="177">
        <v>19512</v>
      </c>
      <c r="S29" s="177">
        <v>19512</v>
      </c>
      <c r="T29" s="177">
        <v>19512</v>
      </c>
      <c r="U29" s="177">
        <v>19512</v>
      </c>
      <c r="V29" s="177">
        <v>9512</v>
      </c>
      <c r="W29" s="177">
        <v>9512</v>
      </c>
      <c r="X29" s="7"/>
      <c r="Y29" s="405">
        <v>9512</v>
      </c>
      <c r="Z29" s="407">
        <v>9512</v>
      </c>
      <c r="AA29" s="407">
        <v>9512</v>
      </c>
      <c r="AB29" s="407">
        <v>9512</v>
      </c>
      <c r="AC29" s="443">
        <v>9512</v>
      </c>
      <c r="AD29" s="445">
        <v>9512</v>
      </c>
    </row>
    <row r="30" spans="2:30">
      <c r="B30" s="12" t="s">
        <v>35</v>
      </c>
      <c r="C30" s="54"/>
      <c r="D30" s="55"/>
      <c r="E30" s="55"/>
      <c r="F30" s="63"/>
      <c r="G30" s="67"/>
      <c r="H30" s="26"/>
      <c r="I30" s="26"/>
      <c r="J30" s="177">
        <v>291131418</v>
      </c>
      <c r="K30" s="177">
        <v>926612134</v>
      </c>
      <c r="L30" s="177">
        <v>1013750708.49</v>
      </c>
      <c r="M30" s="177">
        <v>1103747016.1400001</v>
      </c>
      <c r="N30" s="177">
        <v>1050627979.11</v>
      </c>
      <c r="O30" s="177">
        <v>1155778797.3099999</v>
      </c>
      <c r="P30" s="177">
        <v>1259368752.9100001</v>
      </c>
      <c r="Q30" s="177">
        <v>1367977281.46</v>
      </c>
      <c r="R30" s="177">
        <v>1495413290.1099999</v>
      </c>
      <c r="S30" s="177">
        <v>1628917177.8099999</v>
      </c>
      <c r="T30" s="177">
        <v>1711112907.3299999</v>
      </c>
      <c r="U30" s="177">
        <v>1845584560.48</v>
      </c>
      <c r="V30" s="177">
        <v>1946444574.3800001</v>
      </c>
      <c r="W30" s="177">
        <v>2091430715.4100001</v>
      </c>
      <c r="X30" s="7">
        <v>2091506898</v>
      </c>
      <c r="Y30" s="405">
        <v>2231278857.0599999</v>
      </c>
      <c r="Z30" s="407">
        <v>2369823073.6599998</v>
      </c>
      <c r="AA30" s="407">
        <v>2311722659.6900001</v>
      </c>
      <c r="AB30" s="407">
        <v>2466737864.6500001</v>
      </c>
      <c r="AC30" s="443">
        <v>2612253894.0500002</v>
      </c>
      <c r="AD30" s="445">
        <v>2766375763.46</v>
      </c>
    </row>
    <row r="31" spans="2:30" ht="13.15">
      <c r="B31" s="10" t="s">
        <v>36</v>
      </c>
      <c r="C31" s="34"/>
      <c r="D31" s="34"/>
      <c r="E31" s="34"/>
      <c r="F31" s="60"/>
      <c r="G31" s="11"/>
      <c r="H31" s="70"/>
      <c r="I31" s="70"/>
      <c r="J31" s="70">
        <f>J28+J29+J30</f>
        <v>291131418</v>
      </c>
      <c r="K31" s="70">
        <f>K28+K29+K30</f>
        <v>926931655.54999995</v>
      </c>
      <c r="L31" s="70">
        <f t="shared" ref="L31:AD31" si="6">L28+L29+L30</f>
        <v>1027744733.74</v>
      </c>
      <c r="M31" s="70">
        <f t="shared" si="6"/>
        <v>1153359530.49</v>
      </c>
      <c r="N31" s="70">
        <f t="shared" si="6"/>
        <v>1104928888.5799999</v>
      </c>
      <c r="O31" s="70">
        <f t="shared" si="6"/>
        <v>1231069756.53</v>
      </c>
      <c r="P31" s="70">
        <f t="shared" si="6"/>
        <v>1400339476.4100001</v>
      </c>
      <c r="Q31" s="70">
        <f t="shared" si="6"/>
        <v>1625450296.25</v>
      </c>
      <c r="R31" s="70">
        <f t="shared" si="6"/>
        <v>1649583593.4699998</v>
      </c>
      <c r="S31" s="70">
        <f t="shared" si="6"/>
        <v>1777081762.74</v>
      </c>
      <c r="T31" s="70">
        <f t="shared" si="6"/>
        <v>1890455268.76</v>
      </c>
      <c r="U31" s="70">
        <f t="shared" si="6"/>
        <v>2037022364.8800001</v>
      </c>
      <c r="V31" s="70">
        <f t="shared" si="6"/>
        <v>2132159942.5700002</v>
      </c>
      <c r="W31" s="70">
        <f t="shared" si="6"/>
        <v>2286845193.0100002</v>
      </c>
      <c r="X31" s="70">
        <f t="shared" si="6"/>
        <v>2286945407</v>
      </c>
      <c r="Y31" s="70">
        <f t="shared" si="6"/>
        <v>2417665981.6700001</v>
      </c>
      <c r="Z31" s="70">
        <f t="shared" si="6"/>
        <v>2581084797.1099997</v>
      </c>
      <c r="AA31" s="70">
        <f t="shared" si="6"/>
        <v>2555574817.6199999</v>
      </c>
      <c r="AB31" s="70">
        <f t="shared" si="6"/>
        <v>2705924270.3699999</v>
      </c>
      <c r="AC31" s="70">
        <f t="shared" si="6"/>
        <v>2849174398.9100003</v>
      </c>
      <c r="AD31" s="70">
        <f t="shared" si="6"/>
        <v>3035940000.0799999</v>
      </c>
    </row>
    <row r="32" spans="2:30">
      <c r="B32" s="10" t="s">
        <v>37</v>
      </c>
      <c r="C32" s="50"/>
      <c r="D32" s="50"/>
      <c r="E32" s="50"/>
      <c r="F32" s="62"/>
      <c r="G32" s="48"/>
      <c r="H32" s="72"/>
      <c r="I32" s="72"/>
      <c r="J32" s="72">
        <f>J33+J34+J35+J36+J37+J38</f>
        <v>117409937</v>
      </c>
      <c r="K32" s="72">
        <f>K33+K34+K35+K36+K37+K38</f>
        <v>95695469</v>
      </c>
      <c r="L32" s="72">
        <f t="shared" ref="L32:AD32" si="7">L33+L34+L35+L36+L37+L38</f>
        <v>99271776.049999997</v>
      </c>
      <c r="M32" s="72">
        <f t="shared" si="7"/>
        <v>85051193.120000005</v>
      </c>
      <c r="N32" s="72">
        <f t="shared" si="7"/>
        <v>83997975.319999993</v>
      </c>
      <c r="O32" s="72">
        <f t="shared" si="7"/>
        <v>88767715.489999995</v>
      </c>
      <c r="P32" s="72">
        <f t="shared" si="7"/>
        <v>93678348.229999989</v>
      </c>
      <c r="Q32" s="72">
        <f t="shared" si="7"/>
        <v>99278714.180000007</v>
      </c>
      <c r="R32" s="72">
        <f t="shared" si="7"/>
        <v>107246520.23</v>
      </c>
      <c r="S32" s="72">
        <f t="shared" si="7"/>
        <v>115501993.73</v>
      </c>
      <c r="T32" s="72">
        <f t="shared" si="7"/>
        <v>122907299.68000001</v>
      </c>
      <c r="U32" s="72">
        <f t="shared" si="7"/>
        <v>128678372.83000001</v>
      </c>
      <c r="V32" s="72">
        <f t="shared" si="7"/>
        <v>124700128.23</v>
      </c>
      <c r="W32" s="72">
        <f t="shared" si="7"/>
        <v>136409268.93000001</v>
      </c>
      <c r="X32" s="72">
        <f t="shared" si="7"/>
        <v>220568735</v>
      </c>
      <c r="Y32" s="72">
        <f t="shared" si="7"/>
        <v>225786909.41000003</v>
      </c>
      <c r="Z32" s="72">
        <f t="shared" si="7"/>
        <v>231605158.47</v>
      </c>
      <c r="AA32" s="72">
        <f t="shared" si="7"/>
        <v>152718582.55000001</v>
      </c>
      <c r="AB32" s="72">
        <f t="shared" si="7"/>
        <v>154524439.01999998</v>
      </c>
      <c r="AC32" s="72">
        <f t="shared" si="7"/>
        <v>161016031.26999998</v>
      </c>
      <c r="AD32" s="72">
        <f t="shared" si="7"/>
        <v>171359778.45000002</v>
      </c>
    </row>
    <row r="33" spans="2:30">
      <c r="B33" s="12" t="s">
        <v>38</v>
      </c>
      <c r="C33" s="54"/>
      <c r="D33" s="55"/>
      <c r="E33" s="55"/>
      <c r="F33" s="63"/>
      <c r="G33" s="67"/>
      <c r="H33" s="26"/>
      <c r="I33" s="26"/>
      <c r="J33" s="177"/>
      <c r="K33" s="177"/>
      <c r="L33" s="177">
        <v>5893585.2300000004</v>
      </c>
      <c r="M33" s="177">
        <v>5981502.2300000004</v>
      </c>
      <c r="N33" s="177">
        <v>388478.63</v>
      </c>
      <c r="O33" s="177">
        <v>438731.05</v>
      </c>
      <c r="P33" s="177">
        <v>429410.19</v>
      </c>
      <c r="Q33" s="177">
        <v>667283.09</v>
      </c>
      <c r="R33" s="177">
        <v>795224.09</v>
      </c>
      <c r="S33" s="177">
        <v>810965.19</v>
      </c>
      <c r="T33" s="177">
        <v>885780.39</v>
      </c>
      <c r="U33" s="177">
        <v>860287.79</v>
      </c>
      <c r="V33" s="177">
        <v>879071.59</v>
      </c>
      <c r="W33" s="177">
        <v>916346.79</v>
      </c>
      <c r="X33" s="7"/>
      <c r="Y33" s="401">
        <v>12378272.4</v>
      </c>
      <c r="Z33" s="403">
        <v>16133049.82</v>
      </c>
      <c r="AA33" s="403">
        <v>1312211.02</v>
      </c>
      <c r="AB33" s="403">
        <v>1096107.92</v>
      </c>
      <c r="AC33" s="440">
        <v>1171225.82</v>
      </c>
      <c r="AD33" s="441">
        <v>1425818.02</v>
      </c>
    </row>
    <row r="34" spans="2:30">
      <c r="B34" s="12" t="s">
        <v>39</v>
      </c>
      <c r="C34" s="54"/>
      <c r="D34" s="55"/>
      <c r="E34" s="55"/>
      <c r="F34" s="63"/>
      <c r="G34" s="67"/>
      <c r="H34" s="26"/>
      <c r="I34" s="26"/>
      <c r="J34" s="177">
        <v>2463184</v>
      </c>
      <c r="K34" s="177">
        <f>16452616+3074654</f>
        <v>19527270</v>
      </c>
      <c r="L34" s="177">
        <v>18769641.079999998</v>
      </c>
      <c r="M34" s="177">
        <v>57</v>
      </c>
      <c r="N34" s="177">
        <v>57</v>
      </c>
      <c r="O34" s="177">
        <v>57</v>
      </c>
      <c r="P34" s="177">
        <v>57</v>
      </c>
      <c r="Q34" s="177">
        <v>57</v>
      </c>
      <c r="R34" s="177">
        <v>57</v>
      </c>
      <c r="S34" s="177">
        <v>57</v>
      </c>
      <c r="T34" s="177">
        <v>57</v>
      </c>
      <c r="U34" s="177">
        <v>57</v>
      </c>
      <c r="V34" s="177">
        <v>57</v>
      </c>
      <c r="W34" s="177">
        <v>57</v>
      </c>
      <c r="X34" s="7">
        <f>19514754+52611583</f>
        <v>72126337</v>
      </c>
      <c r="Y34" s="405">
        <v>72126393.650000006</v>
      </c>
      <c r="Z34" s="407">
        <v>68520074.340000004</v>
      </c>
      <c r="AA34" s="406">
        <v>57</v>
      </c>
      <c r="AB34" s="407">
        <v>8390.35</v>
      </c>
      <c r="AC34" s="442">
        <v>57</v>
      </c>
      <c r="AD34" s="444">
        <v>57</v>
      </c>
    </row>
    <row r="35" spans="2:30">
      <c r="B35" s="12" t="s">
        <v>40</v>
      </c>
      <c r="C35" s="54"/>
      <c r="D35" s="55"/>
      <c r="E35" s="55"/>
      <c r="F35" s="63"/>
      <c r="G35" s="67"/>
      <c r="H35" s="68"/>
      <c r="I35" s="68"/>
      <c r="J35" s="177"/>
      <c r="K35" s="177"/>
      <c r="L35" s="177">
        <v>0</v>
      </c>
      <c r="M35" s="177">
        <v>0</v>
      </c>
      <c r="N35" s="177">
        <v>0</v>
      </c>
      <c r="O35" s="177">
        <v>0</v>
      </c>
      <c r="P35" s="177">
        <v>0</v>
      </c>
      <c r="Q35" s="177">
        <v>0</v>
      </c>
      <c r="R35" s="177">
        <v>0</v>
      </c>
      <c r="S35" s="177">
        <v>0</v>
      </c>
      <c r="T35" s="177">
        <v>0</v>
      </c>
      <c r="U35" s="177">
        <v>0</v>
      </c>
      <c r="V35" s="177">
        <v>0</v>
      </c>
      <c r="W35" s="177">
        <v>0</v>
      </c>
      <c r="X35" s="7"/>
      <c r="Y35" s="404">
        <v>0</v>
      </c>
      <c r="Z35" s="406">
        <v>0</v>
      </c>
      <c r="AA35" s="406">
        <v>0</v>
      </c>
      <c r="AB35" s="406">
        <v>0</v>
      </c>
      <c r="AC35" s="442">
        <v>0</v>
      </c>
      <c r="AD35" s="444">
        <v>0</v>
      </c>
    </row>
    <row r="36" spans="2:30">
      <c r="B36" s="12" t="s">
        <v>41</v>
      </c>
      <c r="C36" s="54"/>
      <c r="D36" s="55"/>
      <c r="E36" s="55"/>
      <c r="F36" s="63"/>
      <c r="G36" s="67"/>
      <c r="H36" s="26"/>
      <c r="I36" s="26"/>
      <c r="J36" s="177">
        <v>8735358</v>
      </c>
      <c r="K36" s="177"/>
      <c r="L36" s="177">
        <v>0</v>
      </c>
      <c r="M36" s="177">
        <v>0</v>
      </c>
      <c r="N36" s="177">
        <v>0</v>
      </c>
      <c r="O36" s="177">
        <v>0</v>
      </c>
      <c r="P36" s="177">
        <v>0</v>
      </c>
      <c r="Q36" s="177">
        <v>0</v>
      </c>
      <c r="R36" s="177">
        <v>0</v>
      </c>
      <c r="S36" s="177">
        <v>0</v>
      </c>
      <c r="T36" s="177">
        <v>0</v>
      </c>
      <c r="U36" s="177">
        <v>0</v>
      </c>
      <c r="V36" s="177">
        <v>0</v>
      </c>
      <c r="W36" s="177">
        <v>0</v>
      </c>
      <c r="X36" s="7"/>
      <c r="Y36" s="404">
        <v>0</v>
      </c>
      <c r="Z36" s="406">
        <v>0</v>
      </c>
      <c r="AA36" s="406">
        <v>0</v>
      </c>
      <c r="AB36" s="406">
        <v>0</v>
      </c>
      <c r="AC36" s="442">
        <v>0</v>
      </c>
      <c r="AD36" s="444">
        <v>0</v>
      </c>
    </row>
    <row r="37" spans="2:30">
      <c r="B37" s="12" t="s">
        <v>42</v>
      </c>
      <c r="C37" s="54"/>
      <c r="D37" s="55"/>
      <c r="E37" s="55"/>
      <c r="F37" s="63"/>
      <c r="G37" s="67"/>
      <c r="H37" s="26"/>
      <c r="I37" s="26"/>
      <c r="J37" s="177">
        <f>10378923+5832472</f>
        <v>16211395</v>
      </c>
      <c r="K37" s="177">
        <f>35636830+10531369</f>
        <v>46168199</v>
      </c>
      <c r="L37" s="177">
        <v>44608549.740000002</v>
      </c>
      <c r="M37" s="177">
        <v>49069633.890000001</v>
      </c>
      <c r="N37" s="177">
        <v>53609439.689999998</v>
      </c>
      <c r="O37" s="177">
        <v>58328927.439999998</v>
      </c>
      <c r="P37" s="177">
        <v>63248881.039999999</v>
      </c>
      <c r="Q37" s="177">
        <v>68611374.090000004</v>
      </c>
      <c r="R37" s="177">
        <v>76451239.140000001</v>
      </c>
      <c r="S37" s="177">
        <v>84690971.540000007</v>
      </c>
      <c r="T37" s="177">
        <v>92021462.290000007</v>
      </c>
      <c r="U37" s="177">
        <v>97818028.040000007</v>
      </c>
      <c r="V37" s="177">
        <v>93820999.640000001</v>
      </c>
      <c r="W37" s="177">
        <v>105492865.14</v>
      </c>
      <c r="X37" s="7">
        <f>25147127+93295271</f>
        <v>118442398</v>
      </c>
      <c r="Y37" s="405">
        <v>111282243.36</v>
      </c>
      <c r="Z37" s="407">
        <v>116952034.31</v>
      </c>
      <c r="AA37" s="407">
        <v>121406314.53</v>
      </c>
      <c r="AB37" s="407">
        <v>123419940.75</v>
      </c>
      <c r="AC37" s="443">
        <v>129844748.45</v>
      </c>
      <c r="AD37" s="445">
        <v>139933903.43000001</v>
      </c>
    </row>
    <row r="38" spans="2:30">
      <c r="B38" s="17" t="s">
        <v>43</v>
      </c>
      <c r="C38" s="13"/>
      <c r="D38" s="49"/>
      <c r="E38" s="49"/>
      <c r="F38" s="58"/>
      <c r="G38" s="14"/>
      <c r="H38" s="26"/>
      <c r="I38" s="26"/>
      <c r="J38" s="177">
        <v>90000000</v>
      </c>
      <c r="K38" s="177">
        <v>30000000</v>
      </c>
      <c r="L38" s="177">
        <v>30000000</v>
      </c>
      <c r="M38" s="177">
        <v>30000000</v>
      </c>
      <c r="N38" s="177">
        <v>30000000</v>
      </c>
      <c r="O38" s="177">
        <v>30000000</v>
      </c>
      <c r="P38" s="177">
        <v>30000000</v>
      </c>
      <c r="Q38" s="177">
        <v>30000000</v>
      </c>
      <c r="R38" s="177">
        <v>30000000</v>
      </c>
      <c r="S38" s="177">
        <v>30000000</v>
      </c>
      <c r="T38" s="177">
        <v>30000000</v>
      </c>
      <c r="U38" s="177">
        <v>30000000</v>
      </c>
      <c r="V38" s="177">
        <v>30000000</v>
      </c>
      <c r="W38" s="177">
        <v>30000000</v>
      </c>
      <c r="X38" s="7">
        <v>30000000</v>
      </c>
      <c r="Y38" s="405">
        <v>30000000</v>
      </c>
      <c r="Z38" s="407">
        <v>30000000</v>
      </c>
      <c r="AA38" s="407">
        <v>30000000</v>
      </c>
      <c r="AB38" s="407">
        <v>30000000</v>
      </c>
      <c r="AC38" s="443">
        <v>30000000</v>
      </c>
      <c r="AD38" s="445">
        <v>30000000</v>
      </c>
    </row>
    <row r="39" spans="2:30" ht="13.15">
      <c r="B39" s="10" t="s">
        <v>44</v>
      </c>
      <c r="C39" s="11"/>
      <c r="D39" s="11"/>
      <c r="E39" s="11"/>
      <c r="F39" s="61"/>
      <c r="G39" s="11"/>
      <c r="H39" s="11"/>
      <c r="I39" s="11"/>
      <c r="J39" s="11">
        <f>J31+J32</f>
        <v>408541355</v>
      </c>
      <c r="K39" s="11">
        <f>K31+K32</f>
        <v>1022627124.55</v>
      </c>
      <c r="L39" s="11">
        <f t="shared" ref="L39:AD39" si="8">L31+L32</f>
        <v>1127016509.79</v>
      </c>
      <c r="M39" s="11">
        <f t="shared" si="8"/>
        <v>1238410723.6100001</v>
      </c>
      <c r="N39" s="11">
        <f t="shared" si="8"/>
        <v>1188926863.8999999</v>
      </c>
      <c r="O39" s="11">
        <f t="shared" si="8"/>
        <v>1319837472.02</v>
      </c>
      <c r="P39" s="11">
        <f t="shared" si="8"/>
        <v>1494017824.6400001</v>
      </c>
      <c r="Q39" s="11">
        <f t="shared" si="8"/>
        <v>1724729010.4300001</v>
      </c>
      <c r="R39" s="11">
        <f t="shared" si="8"/>
        <v>1756830113.6999998</v>
      </c>
      <c r="S39" s="11">
        <f t="shared" si="8"/>
        <v>1892583756.47</v>
      </c>
      <c r="T39" s="11">
        <f t="shared" si="8"/>
        <v>2013362568.4400001</v>
      </c>
      <c r="U39" s="11">
        <f t="shared" si="8"/>
        <v>2165700737.71</v>
      </c>
      <c r="V39" s="11">
        <f t="shared" si="8"/>
        <v>2256860070.8000002</v>
      </c>
      <c r="W39" s="11">
        <f t="shared" si="8"/>
        <v>2423254461.9400001</v>
      </c>
      <c r="X39" s="11">
        <f t="shared" si="8"/>
        <v>2507514142</v>
      </c>
      <c r="Y39" s="11">
        <f t="shared" si="8"/>
        <v>2643452891.0799999</v>
      </c>
      <c r="Z39" s="11">
        <f t="shared" si="8"/>
        <v>2812689955.5799994</v>
      </c>
      <c r="AA39" s="11">
        <f t="shared" si="8"/>
        <v>2708293400.1700001</v>
      </c>
      <c r="AB39" s="11">
        <f t="shared" si="8"/>
        <v>2860448709.3899999</v>
      </c>
      <c r="AC39" s="11">
        <f t="shared" si="8"/>
        <v>3010190430.1800003</v>
      </c>
      <c r="AD39" s="11">
        <f t="shared" si="8"/>
        <v>3207299778.5299997</v>
      </c>
    </row>
    <row r="40" spans="2:30">
      <c r="B40" s="12" t="s">
        <v>45</v>
      </c>
      <c r="C40" s="52"/>
      <c r="D40" s="52"/>
      <c r="E40" s="52"/>
      <c r="F40" s="52"/>
      <c r="G40" s="67"/>
      <c r="H40" s="26"/>
      <c r="I40" s="26"/>
      <c r="J40" s="177">
        <v>43186838</v>
      </c>
      <c r="K40" s="177">
        <v>73760486</v>
      </c>
      <c r="L40" s="177">
        <v>73765486</v>
      </c>
      <c r="M40" s="177">
        <v>73796626</v>
      </c>
      <c r="N40" s="177">
        <v>225824998</v>
      </c>
      <c r="O40" s="177">
        <v>226402490</v>
      </c>
      <c r="P40" s="177">
        <v>232021774</v>
      </c>
      <c r="Q40" s="177">
        <v>232099073.86000001</v>
      </c>
      <c r="R40" s="177">
        <v>232323254.86000001</v>
      </c>
      <c r="S40" s="177">
        <v>232475025.86000001</v>
      </c>
      <c r="T40" s="177">
        <v>286738539.86000001</v>
      </c>
      <c r="U40" s="177">
        <v>295063282.86000001</v>
      </c>
      <c r="V40" s="177">
        <v>331688156.86000001</v>
      </c>
      <c r="W40" s="177">
        <v>337595001.86000001</v>
      </c>
      <c r="X40" s="7">
        <v>337595002</v>
      </c>
      <c r="Y40" s="401">
        <v>338267766.86000001</v>
      </c>
      <c r="Z40" s="403">
        <v>339704264.86000001</v>
      </c>
      <c r="AA40" s="403">
        <v>539767301.61000001</v>
      </c>
      <c r="AB40" s="403">
        <v>540925814.61000001</v>
      </c>
      <c r="AC40" s="440">
        <v>552889367.61000001</v>
      </c>
      <c r="AD40" s="441">
        <v>553910110.61000001</v>
      </c>
    </row>
    <row r="41" spans="2:30" ht="15">
      <c r="B41" s="12" t="s">
        <v>46</v>
      </c>
      <c r="C41" s="49"/>
      <c r="D41" s="49"/>
      <c r="E41" s="49"/>
      <c r="F41" s="58"/>
      <c r="G41" s="14"/>
      <c r="H41" s="26"/>
      <c r="I41" s="26"/>
      <c r="J41" s="177"/>
      <c r="K41" s="177"/>
      <c r="L41" s="177">
        <v>31750000</v>
      </c>
      <c r="M41" s="177">
        <v>31750000</v>
      </c>
      <c r="N41" s="177">
        <v>31750000</v>
      </c>
      <c r="O41" s="177">
        <v>31750000</v>
      </c>
      <c r="P41" s="177">
        <v>31750000</v>
      </c>
      <c r="Q41" s="177">
        <v>31750000</v>
      </c>
      <c r="R41" s="177">
        <v>31750000</v>
      </c>
      <c r="S41" s="177">
        <v>31750000</v>
      </c>
      <c r="T41" s="177">
        <v>31750000</v>
      </c>
      <c r="U41" s="177">
        <v>31750000</v>
      </c>
      <c r="V41" s="177">
        <v>31750000</v>
      </c>
      <c r="W41" s="177">
        <v>31750000</v>
      </c>
      <c r="X41" s="295">
        <v>31750000</v>
      </c>
      <c r="Y41" s="405">
        <v>31750000</v>
      </c>
      <c r="Z41" s="407">
        <v>31750000</v>
      </c>
      <c r="AA41" s="407">
        <v>31750000</v>
      </c>
      <c r="AB41" s="407">
        <v>31750000</v>
      </c>
      <c r="AC41" s="443">
        <v>31750000</v>
      </c>
      <c r="AD41" s="445">
        <v>31750000</v>
      </c>
    </row>
    <row r="42" spans="2:30" ht="13.15">
      <c r="B42" s="10" t="s">
        <v>47</v>
      </c>
      <c r="C42" s="34"/>
      <c r="D42" s="34"/>
      <c r="E42" s="34"/>
      <c r="F42" s="60"/>
      <c r="G42" s="11"/>
      <c r="H42" s="70"/>
      <c r="I42" s="70"/>
      <c r="J42" s="70">
        <v>5615976</v>
      </c>
      <c r="K42" s="70">
        <f>K43+K44</f>
        <v>32981843</v>
      </c>
      <c r="L42" s="70">
        <f t="shared" ref="L42:AD42" si="9">L43+L44</f>
        <v>39775841.969999999</v>
      </c>
      <c r="M42" s="70">
        <f t="shared" si="9"/>
        <v>49608677.18</v>
      </c>
      <c r="N42" s="70">
        <f t="shared" si="9"/>
        <v>59333428.060000002</v>
      </c>
      <c r="O42" s="70">
        <f t="shared" si="9"/>
        <v>63045553.18</v>
      </c>
      <c r="P42" s="70">
        <f t="shared" si="9"/>
        <v>70785144.829999998</v>
      </c>
      <c r="Q42" s="70">
        <f t="shared" si="9"/>
        <v>100760710.88</v>
      </c>
      <c r="R42" s="70">
        <f t="shared" si="9"/>
        <v>121164678.78</v>
      </c>
      <c r="S42" s="70">
        <f t="shared" si="9"/>
        <v>135759774.59</v>
      </c>
      <c r="T42" s="70">
        <f t="shared" si="9"/>
        <v>158807314.09</v>
      </c>
      <c r="U42" s="70">
        <f t="shared" si="9"/>
        <v>179812710.31</v>
      </c>
      <c r="V42" s="70">
        <f t="shared" si="9"/>
        <v>201405868.70000002</v>
      </c>
      <c r="W42" s="70">
        <f t="shared" si="9"/>
        <v>225931676.34</v>
      </c>
      <c r="X42" s="70">
        <f t="shared" si="9"/>
        <v>116410903</v>
      </c>
      <c r="Y42" s="70">
        <f t="shared" si="9"/>
        <v>136780841.66999999</v>
      </c>
      <c r="Z42" s="70">
        <f t="shared" si="9"/>
        <v>172693786.31999999</v>
      </c>
      <c r="AA42" s="70">
        <f t="shared" si="9"/>
        <v>205758875.28</v>
      </c>
      <c r="AB42" s="70">
        <f t="shared" si="9"/>
        <v>231038284.14999998</v>
      </c>
      <c r="AC42" s="70">
        <f t="shared" si="9"/>
        <v>274613134.00999999</v>
      </c>
      <c r="AD42" s="70">
        <f t="shared" si="9"/>
        <v>316305832.59000003</v>
      </c>
    </row>
    <row r="43" spans="2:30">
      <c r="B43" s="12" t="s">
        <v>48</v>
      </c>
      <c r="C43" s="54"/>
      <c r="D43" s="55"/>
      <c r="E43" s="55"/>
      <c r="F43" s="63"/>
      <c r="G43" s="67"/>
      <c r="H43" s="26"/>
      <c r="I43" s="26"/>
      <c r="J43" s="177"/>
      <c r="K43" s="177">
        <v>5615975</v>
      </c>
      <c r="L43" s="177">
        <v>33076842.68</v>
      </c>
      <c r="M43" s="177">
        <v>33076842.68</v>
      </c>
      <c r="N43" s="177">
        <v>33076842.68</v>
      </c>
      <c r="O43" s="177">
        <v>33076842.68</v>
      </c>
      <c r="P43" s="177">
        <v>33076842.68</v>
      </c>
      <c r="Q43" s="177">
        <v>33076842.68</v>
      </c>
      <c r="R43" s="177">
        <v>33076842.68</v>
      </c>
      <c r="S43" s="177">
        <v>33076842.68</v>
      </c>
      <c r="T43" s="177">
        <v>33076842.68</v>
      </c>
      <c r="U43" s="177">
        <v>33076842.68</v>
      </c>
      <c r="V43" s="177">
        <v>33076842.68</v>
      </c>
      <c r="W43" s="177">
        <v>33076842.68</v>
      </c>
      <c r="X43" s="7">
        <v>33076843</v>
      </c>
      <c r="Y43" s="401">
        <v>116410903.38</v>
      </c>
      <c r="Z43" s="403">
        <v>116412093.69</v>
      </c>
      <c r="AA43" s="403">
        <v>116412093.69</v>
      </c>
      <c r="AB43" s="403">
        <v>116412093.69</v>
      </c>
      <c r="AC43" s="440">
        <v>116412093.69</v>
      </c>
      <c r="AD43" s="441">
        <v>116412093.69</v>
      </c>
    </row>
    <row r="44" spans="2:30">
      <c r="B44" s="12" t="s">
        <v>49</v>
      </c>
      <c r="C44" s="54"/>
      <c r="D44" s="55"/>
      <c r="E44" s="55"/>
      <c r="F44" s="63"/>
      <c r="G44" s="67"/>
      <c r="H44" s="26"/>
      <c r="I44" s="26"/>
      <c r="J44" s="177"/>
      <c r="K44" s="177">
        <v>27365868</v>
      </c>
      <c r="L44" s="177">
        <v>6698999.29</v>
      </c>
      <c r="M44" s="177">
        <v>16531834.5</v>
      </c>
      <c r="N44" s="177">
        <v>26256585.379999999</v>
      </c>
      <c r="O44" s="177">
        <v>29968710.5</v>
      </c>
      <c r="P44" s="177">
        <v>37708302.149999999</v>
      </c>
      <c r="Q44" s="177">
        <v>67683868.200000003</v>
      </c>
      <c r="R44" s="177">
        <v>88087836.099999994</v>
      </c>
      <c r="S44" s="177">
        <v>102682931.91</v>
      </c>
      <c r="T44" s="177">
        <v>125730471.41</v>
      </c>
      <c r="U44" s="177">
        <v>146735867.63</v>
      </c>
      <c r="V44" s="177">
        <v>168329026.02000001</v>
      </c>
      <c r="W44" s="177">
        <v>192854833.66</v>
      </c>
      <c r="X44" s="7">
        <f>116410903-X43</f>
        <v>83334060</v>
      </c>
      <c r="Y44" s="405">
        <v>20369938.289999999</v>
      </c>
      <c r="Z44" s="407">
        <v>56281692.630000003</v>
      </c>
      <c r="AA44" s="407">
        <v>89346781.590000004</v>
      </c>
      <c r="AB44" s="407">
        <v>114626190.45999999</v>
      </c>
      <c r="AC44" s="443">
        <v>158201040.31999999</v>
      </c>
      <c r="AD44" s="445">
        <v>199893738.90000001</v>
      </c>
    </row>
    <row r="45" spans="2:30">
      <c r="B45" s="10" t="s">
        <v>50</v>
      </c>
      <c r="C45" s="48"/>
      <c r="D45" s="48"/>
      <c r="E45" s="48"/>
      <c r="F45" s="57"/>
      <c r="G45" s="48"/>
      <c r="H45" s="72"/>
      <c r="I45" s="72"/>
      <c r="J45" s="72">
        <f>J46+J47+J48+J49+J50</f>
        <v>2019789</v>
      </c>
      <c r="K45" s="72">
        <f t="shared" ref="K45:AD45" si="10">K46+K47+K48+K49+K50</f>
        <v>41498670</v>
      </c>
      <c r="L45" s="72">
        <f t="shared" si="10"/>
        <v>9653670.2300000004</v>
      </c>
      <c r="M45" s="72">
        <f t="shared" si="10"/>
        <v>9653670.2300000004</v>
      </c>
      <c r="N45" s="72">
        <f t="shared" si="10"/>
        <v>9653670.2300000004</v>
      </c>
      <c r="O45" s="72">
        <f t="shared" si="10"/>
        <v>9653670.2300000004</v>
      </c>
      <c r="P45" s="72">
        <f t="shared" si="10"/>
        <v>9653670.2300000004</v>
      </c>
      <c r="Q45" s="72">
        <f t="shared" si="10"/>
        <v>9653670.2300000004</v>
      </c>
      <c r="R45" s="72">
        <f t="shared" si="10"/>
        <v>9653670.2300000004</v>
      </c>
      <c r="S45" s="72">
        <f t="shared" si="10"/>
        <v>9653670.2300000004</v>
      </c>
      <c r="T45" s="72">
        <f t="shared" si="10"/>
        <v>9653670.2300000004</v>
      </c>
      <c r="U45" s="72">
        <f t="shared" si="10"/>
        <v>9653670.2300000004</v>
      </c>
      <c r="V45" s="72">
        <f t="shared" si="10"/>
        <v>9653670.2300000004</v>
      </c>
      <c r="W45" s="72">
        <f t="shared" si="10"/>
        <v>9653670.2300000004</v>
      </c>
      <c r="X45" s="72">
        <f t="shared" si="10"/>
        <v>35365874</v>
      </c>
      <c r="Y45" s="72">
        <f t="shared" si="10"/>
        <v>35365874.530000001</v>
      </c>
      <c r="Z45" s="72">
        <f t="shared" si="10"/>
        <v>35365874.229999997</v>
      </c>
      <c r="AA45" s="72">
        <f t="shared" si="10"/>
        <v>35365874.229999997</v>
      </c>
      <c r="AB45" s="72">
        <f t="shared" si="10"/>
        <v>35365874.229999997</v>
      </c>
      <c r="AC45" s="72">
        <f t="shared" si="10"/>
        <v>35365874.229999997</v>
      </c>
      <c r="AD45" s="72">
        <f t="shared" si="10"/>
        <v>35365874.229999997</v>
      </c>
    </row>
    <row r="46" spans="2:30">
      <c r="B46" s="12" t="s">
        <v>51</v>
      </c>
      <c r="C46" s="52"/>
      <c r="D46" s="52"/>
      <c r="E46" s="52"/>
      <c r="F46" s="52"/>
      <c r="G46" s="67"/>
      <c r="H46" s="26"/>
      <c r="I46" s="26"/>
      <c r="J46" s="177">
        <v>2019789</v>
      </c>
      <c r="K46" s="177">
        <v>9748670</v>
      </c>
      <c r="L46" s="177">
        <v>9653670.2300000004</v>
      </c>
      <c r="M46" s="177">
        <v>9653670.2300000004</v>
      </c>
      <c r="N46" s="177">
        <v>9653670.2300000004</v>
      </c>
      <c r="O46" s="177">
        <v>9653670.2300000004</v>
      </c>
      <c r="P46" s="177">
        <v>9653670.2300000004</v>
      </c>
      <c r="Q46" s="177">
        <v>9653670.2300000004</v>
      </c>
      <c r="R46" s="177">
        <v>9653670.2300000004</v>
      </c>
      <c r="S46" s="177">
        <v>9653670.2300000004</v>
      </c>
      <c r="T46" s="177">
        <v>9653670.2300000004</v>
      </c>
      <c r="U46" s="177">
        <v>9653670.2300000004</v>
      </c>
      <c r="V46" s="177">
        <v>9653670.2300000004</v>
      </c>
      <c r="W46" s="177">
        <v>9653670.2300000004</v>
      </c>
      <c r="X46" s="7">
        <v>35365874</v>
      </c>
      <c r="Y46" s="401">
        <v>35365874.530000001</v>
      </c>
      <c r="Z46" s="403">
        <v>35365874.229999997</v>
      </c>
      <c r="AA46" s="403">
        <v>35365874.229999997</v>
      </c>
      <c r="AB46" s="403">
        <v>35365874.229999997</v>
      </c>
      <c r="AC46" s="440">
        <v>35365874.229999997</v>
      </c>
      <c r="AD46" s="441">
        <v>35365874.229999997</v>
      </c>
    </row>
    <row r="47" spans="2:30">
      <c r="B47" s="12" t="s">
        <v>52</v>
      </c>
      <c r="C47" s="49"/>
      <c r="D47" s="49"/>
      <c r="E47" s="49"/>
      <c r="F47" s="58"/>
      <c r="G47" s="14"/>
      <c r="H47" s="26"/>
      <c r="I47" s="26"/>
      <c r="J47" s="177"/>
      <c r="K47" s="177">
        <v>31750000</v>
      </c>
      <c r="L47" s="177">
        <v>0</v>
      </c>
      <c r="M47" s="177">
        <v>0</v>
      </c>
      <c r="N47" s="177">
        <v>0</v>
      </c>
      <c r="O47" s="177">
        <v>0</v>
      </c>
      <c r="P47" s="177">
        <v>0</v>
      </c>
      <c r="Q47" s="177">
        <v>0</v>
      </c>
      <c r="R47" s="177">
        <v>0</v>
      </c>
      <c r="S47" s="177">
        <v>0</v>
      </c>
      <c r="T47" s="177">
        <v>0</v>
      </c>
      <c r="U47" s="177">
        <v>0</v>
      </c>
      <c r="V47" s="177">
        <v>0</v>
      </c>
      <c r="W47" s="177">
        <v>0</v>
      </c>
      <c r="X47" s="177">
        <v>0</v>
      </c>
      <c r="Y47" s="404">
        <v>0</v>
      </c>
      <c r="Z47" s="406">
        <v>0</v>
      </c>
      <c r="AA47" s="406">
        <v>0</v>
      </c>
      <c r="AB47" s="406">
        <v>0</v>
      </c>
      <c r="AC47" s="442">
        <v>0</v>
      </c>
      <c r="AD47" s="444">
        <v>0</v>
      </c>
    </row>
    <row r="48" spans="2:30">
      <c r="B48" s="12" t="s">
        <v>53</v>
      </c>
      <c r="C48" s="49"/>
      <c r="D48" s="49"/>
      <c r="E48" s="49"/>
      <c r="F48" s="58"/>
      <c r="G48" s="14"/>
      <c r="H48" s="68"/>
      <c r="I48" s="68"/>
      <c r="J48" s="177"/>
      <c r="K48" s="177"/>
      <c r="L48" s="177">
        <v>0</v>
      </c>
      <c r="M48" s="177">
        <v>0</v>
      </c>
      <c r="N48" s="177">
        <v>0</v>
      </c>
      <c r="O48" s="177">
        <v>0</v>
      </c>
      <c r="P48" s="177">
        <v>0</v>
      </c>
      <c r="Q48" s="177">
        <v>0</v>
      </c>
      <c r="R48" s="177">
        <v>0</v>
      </c>
      <c r="S48" s="177">
        <v>0</v>
      </c>
      <c r="T48" s="177">
        <v>0</v>
      </c>
      <c r="U48" s="177">
        <v>0</v>
      </c>
      <c r="V48" s="177">
        <v>0</v>
      </c>
      <c r="W48" s="177">
        <v>0</v>
      </c>
      <c r="X48" s="177">
        <v>0</v>
      </c>
      <c r="Y48" s="404">
        <v>0</v>
      </c>
      <c r="Z48" s="406">
        <v>0</v>
      </c>
      <c r="AA48" s="406">
        <v>0</v>
      </c>
      <c r="AB48" s="406">
        <v>0</v>
      </c>
      <c r="AC48" s="442">
        <v>0</v>
      </c>
      <c r="AD48" s="444">
        <v>0</v>
      </c>
    </row>
    <row r="49" spans="2:30">
      <c r="B49" s="18" t="s">
        <v>54</v>
      </c>
      <c r="C49" s="49"/>
      <c r="D49" s="49"/>
      <c r="E49" s="49"/>
      <c r="F49" s="58"/>
      <c r="G49" s="14"/>
      <c r="H49" s="68"/>
      <c r="I49" s="68"/>
      <c r="J49" s="178"/>
      <c r="K49" s="178"/>
      <c r="L49" s="178">
        <v>0</v>
      </c>
      <c r="M49" s="178">
        <v>0</v>
      </c>
      <c r="N49" s="178">
        <v>0</v>
      </c>
      <c r="O49" s="178">
        <v>0</v>
      </c>
      <c r="P49" s="178">
        <v>0</v>
      </c>
      <c r="Q49" s="178">
        <v>0</v>
      </c>
      <c r="R49" s="178">
        <v>0</v>
      </c>
      <c r="S49" s="178">
        <v>0</v>
      </c>
      <c r="T49" s="178">
        <v>0</v>
      </c>
      <c r="U49" s="178">
        <v>0</v>
      </c>
      <c r="V49" s="178">
        <v>0</v>
      </c>
      <c r="W49" s="178">
        <v>0</v>
      </c>
      <c r="X49" s="178">
        <v>0</v>
      </c>
      <c r="Y49" s="404">
        <v>0</v>
      </c>
      <c r="Z49" s="406">
        <v>0</v>
      </c>
      <c r="AA49" s="406">
        <v>0</v>
      </c>
      <c r="AB49" s="406">
        <v>0</v>
      </c>
      <c r="AC49" s="442">
        <v>0</v>
      </c>
      <c r="AD49" s="444">
        <v>0</v>
      </c>
    </row>
    <row r="50" spans="2:30">
      <c r="B50" s="6" t="s">
        <v>55</v>
      </c>
      <c r="C50" s="49"/>
      <c r="D50" s="49"/>
      <c r="E50" s="49"/>
      <c r="F50" s="58"/>
      <c r="G50" s="14"/>
      <c r="H50" s="68"/>
      <c r="I50" s="68"/>
      <c r="J50" s="178"/>
      <c r="K50" s="178"/>
      <c r="L50" s="178">
        <v>0</v>
      </c>
      <c r="M50" s="178">
        <v>0</v>
      </c>
      <c r="N50" s="178">
        <v>0</v>
      </c>
      <c r="O50" s="178">
        <v>0</v>
      </c>
      <c r="P50" s="178">
        <v>0</v>
      </c>
      <c r="Q50" s="178">
        <v>0</v>
      </c>
      <c r="R50" s="178">
        <v>0</v>
      </c>
      <c r="S50" s="178">
        <v>0</v>
      </c>
      <c r="T50" s="178">
        <v>0</v>
      </c>
      <c r="U50" s="178">
        <v>0</v>
      </c>
      <c r="V50" s="178">
        <v>0</v>
      </c>
      <c r="W50" s="178">
        <v>0</v>
      </c>
      <c r="X50" s="178">
        <v>0</v>
      </c>
      <c r="Y50" s="404">
        <v>0</v>
      </c>
      <c r="Z50" s="406">
        <v>0</v>
      </c>
      <c r="AA50" s="406">
        <v>0</v>
      </c>
      <c r="AB50" s="406">
        <v>0</v>
      </c>
      <c r="AC50" s="442">
        <v>0</v>
      </c>
      <c r="AD50" s="444">
        <v>0</v>
      </c>
    </row>
    <row r="51" spans="2:30" ht="13.15">
      <c r="B51" s="10" t="s">
        <v>56</v>
      </c>
      <c r="C51" s="36"/>
      <c r="D51" s="36"/>
      <c r="E51" s="36"/>
      <c r="F51" s="65"/>
      <c r="G51" s="11"/>
      <c r="H51" s="70"/>
      <c r="I51" s="70"/>
      <c r="J51" s="70">
        <f>J42+J45+J40</f>
        <v>50822603</v>
      </c>
      <c r="K51" s="70">
        <f>K40+K41+K42+K45</f>
        <v>148240999</v>
      </c>
      <c r="L51" s="70">
        <f>L40+L41+L42+L45</f>
        <v>154944998.19999999</v>
      </c>
      <c r="M51" s="70">
        <f t="shared" ref="M51:AD51" si="11">M40+M41+M42+M45</f>
        <v>164808973.41</v>
      </c>
      <c r="N51" s="70">
        <f t="shared" si="11"/>
        <v>326562096.29000002</v>
      </c>
      <c r="O51" s="70">
        <f t="shared" si="11"/>
        <v>330851713.41000003</v>
      </c>
      <c r="P51" s="70">
        <f t="shared" si="11"/>
        <v>344210589.06</v>
      </c>
      <c r="Q51" s="70">
        <f t="shared" si="11"/>
        <v>374263454.97000003</v>
      </c>
      <c r="R51" s="70">
        <f t="shared" si="11"/>
        <v>394891603.87</v>
      </c>
      <c r="S51" s="70">
        <f t="shared" si="11"/>
        <v>409638470.68000007</v>
      </c>
      <c r="T51" s="70">
        <f t="shared" si="11"/>
        <v>486949524.18000007</v>
      </c>
      <c r="U51" s="70">
        <f t="shared" si="11"/>
        <v>516279663.40000004</v>
      </c>
      <c r="V51" s="70">
        <f t="shared" si="11"/>
        <v>574497695.79000008</v>
      </c>
      <c r="W51" s="70">
        <f t="shared" si="11"/>
        <v>604930348.43000007</v>
      </c>
      <c r="X51" s="70">
        <f t="shared" si="11"/>
        <v>521121779</v>
      </c>
      <c r="Y51" s="70">
        <f t="shared" si="11"/>
        <v>542164483.05999994</v>
      </c>
      <c r="Z51" s="70">
        <f t="shared" si="11"/>
        <v>579513925.41000009</v>
      </c>
      <c r="AA51" s="70">
        <f t="shared" si="11"/>
        <v>812642051.12</v>
      </c>
      <c r="AB51" s="70">
        <f t="shared" si="11"/>
        <v>839079972.99000001</v>
      </c>
      <c r="AC51" s="70">
        <f t="shared" si="11"/>
        <v>894618375.85000002</v>
      </c>
      <c r="AD51" s="70">
        <f t="shared" si="11"/>
        <v>937331817.43000007</v>
      </c>
    </row>
    <row r="52" spans="2:30" ht="13.15">
      <c r="B52" s="15" t="s">
        <v>57</v>
      </c>
      <c r="C52" s="37"/>
      <c r="D52" s="37"/>
      <c r="E52" s="37"/>
      <c r="F52" s="66"/>
      <c r="G52" s="16"/>
      <c r="H52" s="73"/>
      <c r="I52" s="73"/>
      <c r="J52" s="73">
        <f>J39+J51</f>
        <v>459363958</v>
      </c>
      <c r="K52" s="73">
        <f>K39+K51</f>
        <v>1170868123.55</v>
      </c>
      <c r="L52" s="73">
        <f t="shared" ref="L52:AD52" si="12">L39+L51</f>
        <v>1281961507.99</v>
      </c>
      <c r="M52" s="73">
        <f t="shared" si="12"/>
        <v>1403219697.0200002</v>
      </c>
      <c r="N52" s="73">
        <f t="shared" si="12"/>
        <v>1515488960.1899998</v>
      </c>
      <c r="O52" s="73">
        <f t="shared" si="12"/>
        <v>1650689185.4300001</v>
      </c>
      <c r="P52" s="73">
        <f t="shared" si="12"/>
        <v>1838228413.7</v>
      </c>
      <c r="Q52" s="73">
        <f t="shared" si="12"/>
        <v>2098992465.4000001</v>
      </c>
      <c r="R52" s="73">
        <f t="shared" si="12"/>
        <v>2151721717.5699997</v>
      </c>
      <c r="S52" s="73">
        <f t="shared" si="12"/>
        <v>2302222227.1500001</v>
      </c>
      <c r="T52" s="73">
        <f t="shared" si="12"/>
        <v>2500312092.6199999</v>
      </c>
      <c r="U52" s="73">
        <f t="shared" si="12"/>
        <v>2681980401.1100001</v>
      </c>
      <c r="V52" s="73">
        <f t="shared" si="12"/>
        <v>2831357766.5900002</v>
      </c>
      <c r="W52" s="73">
        <f t="shared" si="12"/>
        <v>3028184810.3699999</v>
      </c>
      <c r="X52" s="73">
        <f t="shared" si="12"/>
        <v>3028635921</v>
      </c>
      <c r="Y52" s="73">
        <f t="shared" si="12"/>
        <v>3185617374.1399999</v>
      </c>
      <c r="Z52" s="73">
        <f t="shared" si="12"/>
        <v>3392203880.9899998</v>
      </c>
      <c r="AA52" s="73">
        <f t="shared" si="12"/>
        <v>3520935451.29</v>
      </c>
      <c r="AB52" s="73">
        <f t="shared" si="12"/>
        <v>3699528682.3800001</v>
      </c>
      <c r="AC52" s="73">
        <f t="shared" si="12"/>
        <v>3904808806.0300002</v>
      </c>
      <c r="AD52" s="73">
        <f t="shared" si="12"/>
        <v>4144631595.96</v>
      </c>
    </row>
    <row r="53" spans="2:30" ht="13.15">
      <c r="B53" s="18"/>
      <c r="C53" s="8"/>
      <c r="D53" s="8"/>
      <c r="E53" s="8"/>
      <c r="F53" s="8"/>
      <c r="G53" s="8"/>
      <c r="X53" s="179">
        <f>X27-X52</f>
        <v>0</v>
      </c>
      <c r="Y53" s="179">
        <f t="shared" ref="Y53:AD53" si="13">Y27-Y52</f>
        <v>-9.0000152587890625E-2</v>
      </c>
      <c r="Z53" s="179">
        <f t="shared" si="13"/>
        <v>0</v>
      </c>
      <c r="AA53" s="179">
        <f t="shared" si="13"/>
        <v>0</v>
      </c>
      <c r="AB53" s="179">
        <f t="shared" si="13"/>
        <v>0</v>
      </c>
      <c r="AC53" s="179">
        <f t="shared" si="13"/>
        <v>9.9992752075195313E-3</v>
      </c>
      <c r="AD53" s="179">
        <f t="shared" si="13"/>
        <v>0</v>
      </c>
    </row>
    <row r="54" spans="2:30" ht="13.15">
      <c r="B54" s="18"/>
      <c r="C54" s="20"/>
      <c r="D54" s="20"/>
      <c r="E54" s="20"/>
      <c r="F54" s="20"/>
      <c r="G54" s="20"/>
      <c r="H54" s="20"/>
      <c r="I54" s="20"/>
      <c r="J54" s="20">
        <f t="shared" ref="J54" si="14">J27-J52</f>
        <v>-1</v>
      </c>
      <c r="K54" s="179">
        <f>K52-K27</f>
        <v>-2</v>
      </c>
    </row>
    <row r="55" spans="2:30" ht="13.15">
      <c r="B55" s="18" t="s">
        <v>58</v>
      </c>
      <c r="C55" s="19"/>
      <c r="D55" s="19"/>
      <c r="E55" s="19"/>
      <c r="F55" s="19"/>
      <c r="G55" s="19"/>
    </row>
    <row r="56" spans="2:30" ht="13.15">
      <c r="B56" s="18" t="s">
        <v>59</v>
      </c>
      <c r="C56" s="19"/>
      <c r="D56" s="19"/>
      <c r="E56" s="19"/>
      <c r="F56" s="19"/>
      <c r="G56" s="19"/>
    </row>
    <row r="57" spans="2:30" ht="13.15">
      <c r="B57" s="38" t="s">
        <v>60</v>
      </c>
      <c r="C57" s="19"/>
      <c r="D57" s="19"/>
      <c r="E57" s="19"/>
      <c r="F57" s="19"/>
      <c r="G57" s="19"/>
      <c r="J57" s="5" t="s">
        <v>1</v>
      </c>
    </row>
    <row r="58" spans="2:30" ht="13.15">
      <c r="B58" s="39" t="s">
        <v>61</v>
      </c>
      <c r="C58" s="27">
        <v>2013</v>
      </c>
      <c r="D58" s="27">
        <v>2014</v>
      </c>
      <c r="E58" s="45" t="s">
        <v>2</v>
      </c>
      <c r="F58" s="45" t="s">
        <v>3</v>
      </c>
      <c r="G58" s="45" t="s">
        <v>4</v>
      </c>
      <c r="H58" s="6" t="s">
        <v>5</v>
      </c>
      <c r="I58" s="6" t="s">
        <v>6</v>
      </c>
      <c r="J58" s="175" t="s">
        <v>7</v>
      </c>
      <c r="K58" s="175" t="s">
        <v>8</v>
      </c>
    </row>
    <row r="59" spans="2:30">
      <c r="B59" s="21" t="s">
        <v>62</v>
      </c>
      <c r="C59" s="22"/>
      <c r="D59" s="22"/>
      <c r="E59" s="22"/>
      <c r="F59" s="84"/>
      <c r="G59" s="84"/>
      <c r="H59" s="71"/>
      <c r="I59" s="71"/>
      <c r="J59" s="176">
        <f>J60+J63</f>
        <v>26073627</v>
      </c>
      <c r="K59" s="176">
        <f>K60+K63</f>
        <v>75147891.050000012</v>
      </c>
      <c r="L59" s="176">
        <f t="shared" ref="L59:AB59" si="15">L60+L63</f>
        <v>9844121.8100000005</v>
      </c>
      <c r="M59" s="176">
        <f t="shared" si="15"/>
        <v>23307861.990000002</v>
      </c>
      <c r="N59" s="176">
        <f t="shared" si="15"/>
        <v>38162899.18</v>
      </c>
      <c r="O59" s="176">
        <f t="shared" si="15"/>
        <v>51641984.539999999</v>
      </c>
      <c r="P59" s="176">
        <f t="shared" si="15"/>
        <v>67868386.549999997</v>
      </c>
      <c r="Q59" s="176">
        <f t="shared" si="15"/>
        <v>94717716.99000001</v>
      </c>
      <c r="R59" s="176">
        <f t="shared" si="15"/>
        <v>118749388.47</v>
      </c>
      <c r="S59" s="176">
        <f t="shared" si="15"/>
        <v>139877320.03</v>
      </c>
      <c r="T59" s="176">
        <f t="shared" si="15"/>
        <v>168237574.86000001</v>
      </c>
      <c r="U59" s="176">
        <f t="shared" si="15"/>
        <v>193463165.50999999</v>
      </c>
      <c r="V59" s="176">
        <f t="shared" si="15"/>
        <v>221373276.09000003</v>
      </c>
      <c r="W59" s="176">
        <f t="shared" si="15"/>
        <v>253851567</v>
      </c>
      <c r="X59" s="176">
        <f t="shared" si="15"/>
        <v>254436092</v>
      </c>
      <c r="Y59" s="176">
        <f t="shared" si="15"/>
        <v>28917818.530000001</v>
      </c>
      <c r="Z59" s="176">
        <f t="shared" si="15"/>
        <v>69604649.760000005</v>
      </c>
      <c r="AA59" s="176">
        <f t="shared" si="15"/>
        <v>108353720.03</v>
      </c>
      <c r="AB59" s="176">
        <f t="shared" ref="AB59:AD59" si="16">AB60+AB63</f>
        <v>147756254.77000001</v>
      </c>
      <c r="AC59" s="176">
        <f t="shared" si="16"/>
        <v>199781983.82999998</v>
      </c>
      <c r="AD59" s="176">
        <f t="shared" si="16"/>
        <v>254052805.08999997</v>
      </c>
    </row>
    <row r="60" spans="2:30">
      <c r="B60" s="10" t="s">
        <v>63</v>
      </c>
      <c r="C60" s="23"/>
      <c r="D60" s="23"/>
      <c r="E60" s="23"/>
      <c r="F60" s="71"/>
      <c r="G60" s="71"/>
      <c r="H60" s="71"/>
      <c r="I60" s="71"/>
      <c r="J60" s="71">
        <f>J61+J62</f>
        <v>2051377</v>
      </c>
      <c r="K60" s="71">
        <f>K61+K62</f>
        <v>30031681.75</v>
      </c>
      <c r="L60" s="71">
        <f t="shared" ref="L60:AB60" si="17">L61+L62</f>
        <v>6387480</v>
      </c>
      <c r="M60" s="71">
        <f t="shared" si="17"/>
        <v>13288120.9</v>
      </c>
      <c r="N60" s="71">
        <f t="shared" si="17"/>
        <v>20599493</v>
      </c>
      <c r="O60" s="71">
        <f t="shared" si="17"/>
        <v>29474824.460000001</v>
      </c>
      <c r="P60" s="71">
        <f t="shared" si="17"/>
        <v>39346655.140000001</v>
      </c>
      <c r="Q60" s="71">
        <f t="shared" si="17"/>
        <v>49903312.979999997</v>
      </c>
      <c r="R60" s="71">
        <f t="shared" si="17"/>
        <v>63306632.68</v>
      </c>
      <c r="S60" s="71">
        <f t="shared" si="17"/>
        <v>77581735.74000001</v>
      </c>
      <c r="T60" s="71">
        <f t="shared" si="17"/>
        <v>93908964.719999999</v>
      </c>
      <c r="U60" s="71">
        <f t="shared" si="17"/>
        <v>111877739.06</v>
      </c>
      <c r="V60" s="71">
        <f t="shared" si="17"/>
        <v>132066886.60000001</v>
      </c>
      <c r="W60" s="71">
        <f t="shared" si="17"/>
        <v>155252037.36000001</v>
      </c>
      <c r="X60" s="71">
        <f t="shared" si="17"/>
        <v>132133329</v>
      </c>
      <c r="Y60" s="71">
        <f t="shared" si="17"/>
        <v>23420280.440000001</v>
      </c>
      <c r="Z60" s="71">
        <f t="shared" si="17"/>
        <v>53094242.039999999</v>
      </c>
      <c r="AA60" s="71">
        <f t="shared" si="17"/>
        <v>86110739.439999998</v>
      </c>
      <c r="AB60" s="71">
        <f t="shared" ref="AB60:AD60" si="18">AB61+AB62</f>
        <v>121078876.71000001</v>
      </c>
      <c r="AC60" s="71">
        <f t="shared" si="18"/>
        <v>159301962.38999999</v>
      </c>
      <c r="AD60" s="71">
        <f t="shared" si="18"/>
        <v>202352442.56999999</v>
      </c>
    </row>
    <row r="61" spans="2:30">
      <c r="B61" s="12" t="s">
        <v>64</v>
      </c>
      <c r="C61" s="40"/>
      <c r="D61" s="40"/>
      <c r="E61" s="40"/>
      <c r="F61" s="83"/>
      <c r="G61" s="83"/>
      <c r="H61" s="8"/>
      <c r="I61" s="8"/>
      <c r="J61" s="172">
        <v>2051377</v>
      </c>
      <c r="K61" s="179">
        <v>30031681.75</v>
      </c>
      <c r="L61" s="172">
        <v>5791010</v>
      </c>
      <c r="M61" s="172">
        <v>12004630.9</v>
      </c>
      <c r="N61" s="172">
        <v>18456061</v>
      </c>
      <c r="O61" s="172">
        <v>26231070.359999999</v>
      </c>
      <c r="P61" s="172">
        <v>34864958.740000002</v>
      </c>
      <c r="Q61" s="172">
        <v>44097121.579999998</v>
      </c>
      <c r="R61" s="172">
        <v>56341071.280000001</v>
      </c>
      <c r="S61" s="172">
        <v>69144624.340000004</v>
      </c>
      <c r="T61" s="172">
        <v>83776983.319999993</v>
      </c>
      <c r="U61" s="172">
        <v>99957290.659999996</v>
      </c>
      <c r="V61" s="172">
        <v>118234788.2</v>
      </c>
      <c r="W61" s="172">
        <v>139456484.96000001</v>
      </c>
      <c r="X61" s="26">
        <v>132133329</v>
      </c>
      <c r="Y61" s="409">
        <v>20982250.440000001</v>
      </c>
      <c r="Z61" s="411">
        <v>47460924.439999998</v>
      </c>
      <c r="AA61" s="411">
        <v>76825973.840000004</v>
      </c>
      <c r="AB61" s="411">
        <v>108785390.51000001</v>
      </c>
      <c r="AC61" s="447">
        <v>143743260.69</v>
      </c>
      <c r="AD61" s="449">
        <v>182222778.87</v>
      </c>
    </row>
    <row r="62" spans="2:30">
      <c r="B62" s="12" t="s">
        <v>65</v>
      </c>
      <c r="C62" s="41"/>
      <c r="D62" s="41"/>
      <c r="E62" s="41"/>
      <c r="F62" s="82"/>
      <c r="G62" s="82"/>
      <c r="H62" s="8"/>
      <c r="I62" s="8"/>
      <c r="J62" s="172"/>
      <c r="K62" s="172"/>
      <c r="L62" s="172">
        <v>596470</v>
      </c>
      <c r="M62" s="172">
        <v>1283490</v>
      </c>
      <c r="N62" s="172">
        <v>2143432</v>
      </c>
      <c r="O62" s="172">
        <v>3243754.1</v>
      </c>
      <c r="P62" s="172">
        <v>4481696.4000000004</v>
      </c>
      <c r="Q62" s="172">
        <v>5806191.4000000004</v>
      </c>
      <c r="R62" s="172">
        <v>6965561.4000000004</v>
      </c>
      <c r="S62" s="172">
        <v>8437111.4000000004</v>
      </c>
      <c r="T62" s="172">
        <v>10131981.4</v>
      </c>
      <c r="U62" s="172">
        <v>11920448.4</v>
      </c>
      <c r="V62" s="172">
        <v>13832098.4</v>
      </c>
      <c r="W62" s="172">
        <v>15795552.4</v>
      </c>
      <c r="Y62" s="413">
        <v>2438030</v>
      </c>
      <c r="Z62" s="415">
        <v>5633317.5999999996</v>
      </c>
      <c r="AA62" s="415">
        <v>9284765.5999999996</v>
      </c>
      <c r="AB62" s="415">
        <v>12293486.199999999</v>
      </c>
      <c r="AC62" s="451">
        <v>15558701.699999999</v>
      </c>
      <c r="AD62" s="453">
        <v>20129663.699999999</v>
      </c>
    </row>
    <row r="63" spans="2:30">
      <c r="B63" s="10" t="s">
        <v>66</v>
      </c>
      <c r="C63" s="24"/>
      <c r="D63" s="24"/>
      <c r="E63" s="24"/>
      <c r="F63" s="74"/>
      <c r="G63" s="74"/>
      <c r="H63" s="74"/>
      <c r="I63" s="74"/>
      <c r="J63" s="74">
        <f>J64+J65+J66+J67</f>
        <v>24022250</v>
      </c>
      <c r="K63" s="74">
        <f>K64+K65+K66+K67</f>
        <v>45116209.300000004</v>
      </c>
      <c r="L63" s="74">
        <f t="shared" ref="L63:AD63" si="19">L64+L65+L66+L67</f>
        <v>3456641.81</v>
      </c>
      <c r="M63" s="74">
        <f t="shared" si="19"/>
        <v>10019741.09</v>
      </c>
      <c r="N63" s="74">
        <f t="shared" si="19"/>
        <v>17563406.18</v>
      </c>
      <c r="O63" s="74">
        <f t="shared" si="19"/>
        <v>22167160.079999998</v>
      </c>
      <c r="P63" s="74">
        <f t="shared" si="19"/>
        <v>28521731.41</v>
      </c>
      <c r="Q63" s="74">
        <f t="shared" si="19"/>
        <v>44814404.010000005</v>
      </c>
      <c r="R63" s="74">
        <f t="shared" si="19"/>
        <v>55442755.789999999</v>
      </c>
      <c r="S63" s="74">
        <f t="shared" si="19"/>
        <v>62295584.289999999</v>
      </c>
      <c r="T63" s="74">
        <f t="shared" si="19"/>
        <v>74328610.140000001</v>
      </c>
      <c r="U63" s="74">
        <f t="shared" si="19"/>
        <v>81585426.450000003</v>
      </c>
      <c r="V63" s="74">
        <f t="shared" si="19"/>
        <v>89306389.49000001</v>
      </c>
      <c r="W63" s="74">
        <f t="shared" si="19"/>
        <v>98599529.640000001</v>
      </c>
      <c r="X63" s="74">
        <f t="shared" si="19"/>
        <v>122302763</v>
      </c>
      <c r="Y63" s="74">
        <f t="shared" si="19"/>
        <v>5497538.0899999999</v>
      </c>
      <c r="Z63" s="74">
        <f t="shared" si="19"/>
        <v>16510407.720000001</v>
      </c>
      <c r="AA63" s="74">
        <f t="shared" si="19"/>
        <v>22242980.59</v>
      </c>
      <c r="AB63" s="74">
        <f t="shared" si="19"/>
        <v>26677378.060000002</v>
      </c>
      <c r="AC63" s="74">
        <f t="shared" si="19"/>
        <v>40480021.439999998</v>
      </c>
      <c r="AD63" s="74">
        <f t="shared" si="19"/>
        <v>51700362.519999996</v>
      </c>
    </row>
    <row r="64" spans="2:30">
      <c r="B64" s="12" t="s">
        <v>15</v>
      </c>
      <c r="C64" s="14"/>
      <c r="D64" s="14"/>
      <c r="E64" s="14"/>
      <c r="F64" s="26"/>
      <c r="G64" s="26"/>
      <c r="J64" s="8"/>
      <c r="K64" s="8"/>
      <c r="L64" s="172">
        <v>0</v>
      </c>
      <c r="M64" s="172">
        <v>1119420</v>
      </c>
      <c r="N64" s="172">
        <v>1119420</v>
      </c>
      <c r="O64" s="172">
        <v>1119420</v>
      </c>
      <c r="P64" s="172">
        <v>3518640</v>
      </c>
      <c r="Q64" s="172">
        <v>3518640</v>
      </c>
      <c r="R64" s="172">
        <v>3518640</v>
      </c>
      <c r="S64" s="172">
        <v>4638060</v>
      </c>
      <c r="T64" s="172">
        <v>4638060</v>
      </c>
      <c r="U64" s="172">
        <v>4638060</v>
      </c>
      <c r="V64" s="172">
        <v>7037280</v>
      </c>
      <c r="W64" s="172">
        <v>7037280</v>
      </c>
      <c r="X64" s="26"/>
      <c r="Y64" s="408">
        <v>0</v>
      </c>
      <c r="Z64" s="411">
        <v>1119420</v>
      </c>
      <c r="AA64" s="411">
        <v>1119420</v>
      </c>
      <c r="AB64" s="411">
        <v>1119420</v>
      </c>
      <c r="AC64" s="447">
        <v>3518640</v>
      </c>
      <c r="AD64" s="449">
        <v>3518640</v>
      </c>
    </row>
    <row r="65" spans="2:30" ht="25.5">
      <c r="B65" s="12" t="s">
        <v>67</v>
      </c>
      <c r="C65" s="40"/>
      <c r="D65" s="40"/>
      <c r="E65" s="40"/>
      <c r="F65" s="83"/>
      <c r="G65" s="83"/>
      <c r="H65" s="8"/>
      <c r="I65" s="8"/>
      <c r="J65" s="173">
        <v>18745805</v>
      </c>
      <c r="K65" s="173">
        <v>34607802.840000004</v>
      </c>
      <c r="L65" s="172">
        <v>2331101.81</v>
      </c>
      <c r="M65" s="172">
        <v>6234757.0899999999</v>
      </c>
      <c r="N65" s="172">
        <v>9575500.1799999997</v>
      </c>
      <c r="O65" s="172">
        <v>12591019.08</v>
      </c>
      <c r="P65" s="172">
        <v>15174580.41</v>
      </c>
      <c r="Q65" s="172">
        <v>23425989.010000002</v>
      </c>
      <c r="R65" s="172">
        <v>28154800.789999999</v>
      </c>
      <c r="S65" s="172">
        <v>30749389.789999999</v>
      </c>
      <c r="T65" s="172">
        <v>34887218.640000001</v>
      </c>
      <c r="U65" s="172">
        <v>39018793.950000003</v>
      </c>
      <c r="V65" s="172">
        <v>41613382.990000002</v>
      </c>
      <c r="W65" s="172">
        <v>51969196.140000001</v>
      </c>
      <c r="X65" s="26">
        <f>7037280+2163910+1676036+12940607+4926592+30368219+1671180</f>
        <v>60783824</v>
      </c>
      <c r="Y65" s="413">
        <v>2922991.59</v>
      </c>
      <c r="Z65" s="415">
        <v>8588362.2200000007</v>
      </c>
      <c r="AA65" s="415">
        <v>11248525.59</v>
      </c>
      <c r="AB65" s="415">
        <v>12968799.560000001</v>
      </c>
      <c r="AC65" s="451">
        <v>21083025.34</v>
      </c>
      <c r="AD65" s="453">
        <v>29386888.120000001</v>
      </c>
    </row>
    <row r="66" spans="2:30">
      <c r="B66" s="12" t="s">
        <v>68</v>
      </c>
      <c r="C66" s="40"/>
      <c r="D66" s="40"/>
      <c r="E66" s="40"/>
      <c r="F66" s="83"/>
      <c r="G66" s="83"/>
      <c r="H66" s="8"/>
      <c r="I66" s="8"/>
      <c r="J66" s="8"/>
      <c r="K66" s="8"/>
      <c r="L66" s="172">
        <v>0</v>
      </c>
      <c r="M66" s="172">
        <v>0</v>
      </c>
      <c r="N66" s="172">
        <v>0</v>
      </c>
      <c r="O66" s="172">
        <v>0</v>
      </c>
      <c r="P66" s="172">
        <v>0</v>
      </c>
      <c r="Q66" s="172">
        <v>0</v>
      </c>
      <c r="R66" s="172">
        <v>5137125</v>
      </c>
      <c r="S66" s="172">
        <v>5137125</v>
      </c>
      <c r="T66" s="172">
        <v>5137125</v>
      </c>
      <c r="U66" s="172">
        <v>5137125</v>
      </c>
      <c r="V66" s="172">
        <v>5137125</v>
      </c>
      <c r="W66" s="172">
        <v>5137125</v>
      </c>
      <c r="X66" s="26">
        <v>5137125</v>
      </c>
      <c r="Y66" s="412">
        <v>0</v>
      </c>
      <c r="Z66" s="414">
        <v>0</v>
      </c>
      <c r="AA66" s="414">
        <v>0</v>
      </c>
      <c r="AB66" s="414">
        <v>0</v>
      </c>
      <c r="AC66" s="450">
        <v>0</v>
      </c>
      <c r="AD66" s="452">
        <v>0</v>
      </c>
    </row>
    <row r="67" spans="2:30">
      <c r="B67" s="17" t="s">
        <v>69</v>
      </c>
      <c r="C67" s="40"/>
      <c r="D67" s="40"/>
      <c r="E67" s="40"/>
      <c r="F67" s="83"/>
      <c r="G67" s="83"/>
      <c r="H67" s="8"/>
      <c r="I67" s="8"/>
      <c r="J67" s="173">
        <v>5276445</v>
      </c>
      <c r="K67" s="173">
        <v>10508406.460000001</v>
      </c>
      <c r="L67" s="173">
        <v>1125540</v>
      </c>
      <c r="M67" s="173">
        <v>2665564</v>
      </c>
      <c r="N67" s="173">
        <v>6868486</v>
      </c>
      <c r="O67" s="173">
        <v>8456721</v>
      </c>
      <c r="P67" s="173">
        <v>9828511</v>
      </c>
      <c r="Q67" s="173">
        <v>17869775</v>
      </c>
      <c r="R67" s="173">
        <v>18632190</v>
      </c>
      <c r="S67" s="173">
        <v>21771009.5</v>
      </c>
      <c r="T67" s="173">
        <v>29666206.5</v>
      </c>
      <c r="U67" s="173">
        <v>32791447.5</v>
      </c>
      <c r="V67" s="173">
        <v>35518601.5</v>
      </c>
      <c r="W67" s="173">
        <v>34455928.5</v>
      </c>
      <c r="X67" s="26">
        <f>61518939-5137125</f>
        <v>56381814</v>
      </c>
      <c r="Y67" s="409">
        <v>2574546.5</v>
      </c>
      <c r="Z67" s="411">
        <v>6802625.5</v>
      </c>
      <c r="AA67" s="411">
        <v>9875035</v>
      </c>
      <c r="AB67" s="411">
        <v>12589158.5</v>
      </c>
      <c r="AC67" s="451">
        <v>15878356.1</v>
      </c>
      <c r="AD67" s="453">
        <v>18794834.399999999</v>
      </c>
    </row>
    <row r="68" spans="2:30">
      <c r="B68" s="10" t="s">
        <v>70</v>
      </c>
      <c r="C68" s="23"/>
      <c r="D68" s="23"/>
      <c r="E68" s="23"/>
      <c r="F68" s="71"/>
      <c r="G68" s="71"/>
      <c r="H68" s="71"/>
      <c r="I68" s="71"/>
      <c r="J68" s="71">
        <f>J69+J70+J71+J72+J73+J74</f>
        <v>13028923</v>
      </c>
      <c r="K68" s="71">
        <f>K69+K70+K71+K72+K73+K74</f>
        <v>20967322</v>
      </c>
      <c r="L68" s="71">
        <f t="shared" ref="L68:AD68" si="20">L69+L70+L71+L72+L73+L74</f>
        <v>37465.9</v>
      </c>
      <c r="M68" s="71">
        <f t="shared" si="20"/>
        <v>80100.100000000006</v>
      </c>
      <c r="N68" s="71">
        <f t="shared" si="20"/>
        <v>144751.79999999999</v>
      </c>
      <c r="O68" s="71">
        <f t="shared" si="20"/>
        <v>195361.8</v>
      </c>
      <c r="P68" s="71">
        <f t="shared" si="20"/>
        <v>1609627.8</v>
      </c>
      <c r="Q68" s="71">
        <f t="shared" si="20"/>
        <v>1677369.9</v>
      </c>
      <c r="R68" s="71">
        <f t="shared" si="20"/>
        <v>1692345.5</v>
      </c>
      <c r="S68" s="71">
        <f t="shared" si="20"/>
        <v>1717195.3</v>
      </c>
      <c r="T68" s="71">
        <f t="shared" si="20"/>
        <v>1739215.1</v>
      </c>
      <c r="U68" s="71">
        <f t="shared" si="20"/>
        <v>1752415.1</v>
      </c>
      <c r="V68" s="71">
        <f t="shared" si="20"/>
        <v>2093085.1</v>
      </c>
      <c r="W68" s="71">
        <f t="shared" si="20"/>
        <v>1817521.1</v>
      </c>
      <c r="X68" s="71">
        <f t="shared" si="20"/>
        <v>53635104</v>
      </c>
      <c r="Y68" s="71">
        <f t="shared" si="20"/>
        <v>11604</v>
      </c>
      <c r="Z68" s="71">
        <f t="shared" si="20"/>
        <v>44684</v>
      </c>
      <c r="AA68" s="71">
        <f t="shared" si="20"/>
        <v>72932.3</v>
      </c>
      <c r="AB68" s="71">
        <f t="shared" si="20"/>
        <v>110290.3</v>
      </c>
      <c r="AC68" s="71">
        <f t="shared" si="20"/>
        <v>132029.79999999999</v>
      </c>
      <c r="AD68" s="71">
        <f t="shared" si="20"/>
        <v>145581.79999999999</v>
      </c>
    </row>
    <row r="69" spans="2:30">
      <c r="B69" s="12" t="s">
        <v>71</v>
      </c>
      <c r="C69" s="40"/>
      <c r="D69" s="40"/>
      <c r="E69" s="40"/>
      <c r="F69" s="83"/>
      <c r="G69" s="83"/>
      <c r="H69" s="8"/>
      <c r="I69" s="8"/>
      <c r="J69" s="172">
        <v>13028923</v>
      </c>
      <c r="K69" s="172">
        <v>17052616</v>
      </c>
      <c r="L69" s="172">
        <v>0</v>
      </c>
      <c r="M69" s="172">
        <v>0</v>
      </c>
      <c r="N69" s="172">
        <v>0</v>
      </c>
      <c r="O69" s="172">
        <v>0</v>
      </c>
      <c r="P69" s="172">
        <v>0</v>
      </c>
      <c r="Q69" s="172">
        <v>0</v>
      </c>
      <c r="R69" s="172">
        <v>0</v>
      </c>
      <c r="S69" s="172">
        <v>0</v>
      </c>
      <c r="T69" s="172">
        <v>0</v>
      </c>
      <c r="U69" s="172">
        <v>0</v>
      </c>
      <c r="V69" s="172">
        <v>0</v>
      </c>
      <c r="W69" s="172">
        <v>0</v>
      </c>
      <c r="X69" s="26">
        <v>52611583</v>
      </c>
      <c r="Y69" s="408">
        <v>0</v>
      </c>
      <c r="Z69" s="410">
        <v>0</v>
      </c>
      <c r="AA69" s="410">
        <v>0</v>
      </c>
      <c r="AB69" s="410">
        <v>0</v>
      </c>
      <c r="AC69" s="446">
        <v>0</v>
      </c>
      <c r="AD69" s="448">
        <v>0</v>
      </c>
    </row>
    <row r="70" spans="2:30">
      <c r="B70" s="12" t="s">
        <v>72</v>
      </c>
      <c r="C70" s="28"/>
      <c r="D70" s="28"/>
      <c r="E70" s="28"/>
      <c r="F70" s="81"/>
      <c r="G70" s="81"/>
      <c r="H70" s="8"/>
      <c r="I70" s="8"/>
      <c r="J70" s="172"/>
      <c r="K70" s="172"/>
      <c r="L70" s="172">
        <v>0</v>
      </c>
      <c r="M70" s="172">
        <v>0</v>
      </c>
      <c r="N70" s="172">
        <v>0</v>
      </c>
      <c r="O70" s="172">
        <v>0</v>
      </c>
      <c r="P70" s="172">
        <v>0</v>
      </c>
      <c r="Q70" s="172">
        <v>0</v>
      </c>
      <c r="R70" s="172">
        <v>0</v>
      </c>
      <c r="S70" s="172">
        <v>0</v>
      </c>
      <c r="T70" s="172">
        <v>0</v>
      </c>
      <c r="U70" s="172">
        <v>0</v>
      </c>
      <c r="V70" s="172">
        <v>0</v>
      </c>
      <c r="W70" s="172">
        <v>0</v>
      </c>
      <c r="X70" s="26">
        <v>600000</v>
      </c>
      <c r="Y70" s="412">
        <v>0</v>
      </c>
      <c r="Z70" s="414">
        <v>0</v>
      </c>
      <c r="AA70" s="414">
        <v>0</v>
      </c>
      <c r="AB70" s="414">
        <v>0</v>
      </c>
      <c r="AC70" s="450">
        <v>0</v>
      </c>
      <c r="AD70" s="452">
        <v>0</v>
      </c>
    </row>
    <row r="71" spans="2:30">
      <c r="B71" s="12" t="s">
        <v>73</v>
      </c>
      <c r="C71" s="28"/>
      <c r="D71" s="28"/>
      <c r="E71" s="28"/>
      <c r="F71" s="81"/>
      <c r="G71" s="81"/>
      <c r="J71" s="172"/>
      <c r="K71" s="172"/>
      <c r="L71" s="172">
        <v>0</v>
      </c>
      <c r="M71" s="172">
        <v>0</v>
      </c>
      <c r="N71" s="172">
        <v>0</v>
      </c>
      <c r="O71" s="172">
        <v>0</v>
      </c>
      <c r="P71" s="172">
        <v>0</v>
      </c>
      <c r="Q71" s="172">
        <v>0</v>
      </c>
      <c r="R71" s="172">
        <v>0</v>
      </c>
      <c r="S71" s="172">
        <v>0</v>
      </c>
      <c r="T71" s="172">
        <v>0</v>
      </c>
      <c r="U71" s="172">
        <v>0</v>
      </c>
      <c r="V71" s="172">
        <v>0</v>
      </c>
      <c r="W71" s="172">
        <v>0</v>
      </c>
      <c r="X71" s="26"/>
      <c r="Y71" s="412">
        <v>0</v>
      </c>
      <c r="Z71" s="414">
        <v>0</v>
      </c>
      <c r="AA71" s="414">
        <v>0</v>
      </c>
      <c r="AB71" s="414">
        <v>0</v>
      </c>
      <c r="AC71" s="450">
        <v>0</v>
      </c>
      <c r="AD71" s="452">
        <v>0</v>
      </c>
    </row>
    <row r="72" spans="2:30">
      <c r="B72" s="12" t="s">
        <v>74</v>
      </c>
      <c r="C72" s="28"/>
      <c r="D72" s="28"/>
      <c r="E72" s="28"/>
      <c r="F72" s="81"/>
      <c r="G72" s="81"/>
      <c r="J72" s="172"/>
      <c r="K72" s="172">
        <f>55354+3859352</f>
        <v>3914706</v>
      </c>
      <c r="L72" s="172">
        <v>0</v>
      </c>
      <c r="M72" s="172">
        <v>0</v>
      </c>
      <c r="N72" s="172">
        <v>0</v>
      </c>
      <c r="O72" s="172">
        <v>0</v>
      </c>
      <c r="P72" s="172">
        <v>0</v>
      </c>
      <c r="Q72" s="172">
        <v>0</v>
      </c>
      <c r="R72" s="172">
        <v>0</v>
      </c>
      <c r="S72" s="172">
        <v>0</v>
      </c>
      <c r="T72" s="172">
        <v>0</v>
      </c>
      <c r="U72" s="172">
        <v>0</v>
      </c>
      <c r="V72" s="172">
        <v>0</v>
      </c>
      <c r="W72" s="172">
        <v>0</v>
      </c>
      <c r="X72" s="26">
        <v>423521</v>
      </c>
      <c r="Y72" s="412">
        <v>0</v>
      </c>
      <c r="Z72" s="414">
        <v>0</v>
      </c>
      <c r="AA72" s="414">
        <v>0</v>
      </c>
      <c r="AB72" s="414">
        <v>0</v>
      </c>
      <c r="AC72" s="450">
        <v>0</v>
      </c>
      <c r="AD72" s="452">
        <v>0</v>
      </c>
    </row>
    <row r="73" spans="2:30">
      <c r="B73" s="12" t="s">
        <v>75</v>
      </c>
      <c r="C73" s="41"/>
      <c r="D73" s="41"/>
      <c r="E73" s="41"/>
      <c r="F73" s="82"/>
      <c r="G73" s="82"/>
      <c r="H73" s="8"/>
      <c r="I73" s="8"/>
      <c r="J73" s="172"/>
      <c r="K73" s="172"/>
      <c r="L73" s="172">
        <v>0</v>
      </c>
      <c r="M73" s="172">
        <v>0</v>
      </c>
      <c r="N73" s="172">
        <v>0</v>
      </c>
      <c r="O73" s="172">
        <v>0</v>
      </c>
      <c r="P73" s="172">
        <v>1609627.8</v>
      </c>
      <c r="Q73" s="172">
        <v>1677369.9</v>
      </c>
      <c r="R73" s="172">
        <v>1692345.5</v>
      </c>
      <c r="S73" s="172">
        <v>1717195.3</v>
      </c>
      <c r="T73" s="172">
        <v>1739215.1</v>
      </c>
      <c r="U73" s="172">
        <v>1752415.1</v>
      </c>
      <c r="V73" s="172">
        <v>2093085.1</v>
      </c>
      <c r="W73" s="172">
        <v>1817521.1</v>
      </c>
      <c r="X73" s="26"/>
      <c r="Y73" s="413">
        <v>11604</v>
      </c>
      <c r="Z73" s="415">
        <v>44684</v>
      </c>
      <c r="AA73" s="415">
        <v>72932.3</v>
      </c>
      <c r="AB73" s="415">
        <v>110290.3</v>
      </c>
      <c r="AC73" s="451">
        <v>132029.79999999999</v>
      </c>
      <c r="AD73" s="453">
        <v>145581.79999999999</v>
      </c>
    </row>
    <row r="74" spans="2:30">
      <c r="B74" s="12" t="s">
        <v>76</v>
      </c>
      <c r="C74" s="14"/>
      <c r="D74" s="14"/>
      <c r="E74" s="14"/>
      <c r="F74" s="26"/>
      <c r="G74" s="26"/>
      <c r="J74" s="172"/>
      <c r="K74" s="172"/>
      <c r="L74" s="172">
        <v>37465.9</v>
      </c>
      <c r="M74" s="172">
        <v>80100.100000000006</v>
      </c>
      <c r="N74" s="172">
        <v>144751.79999999999</v>
      </c>
      <c r="O74" s="172">
        <v>195361.8</v>
      </c>
      <c r="P74" s="172">
        <v>0</v>
      </c>
      <c r="Q74" s="172">
        <v>0</v>
      </c>
      <c r="R74" s="172">
        <v>0</v>
      </c>
      <c r="S74" s="172">
        <v>0</v>
      </c>
      <c r="T74" s="172">
        <v>0</v>
      </c>
      <c r="U74" s="172">
        <v>0</v>
      </c>
      <c r="V74" s="172">
        <v>0</v>
      </c>
      <c r="W74" s="172">
        <v>0</v>
      </c>
      <c r="X74" s="26"/>
      <c r="Y74" s="412">
        <v>0</v>
      </c>
      <c r="Z74" s="414">
        <v>0</v>
      </c>
      <c r="AA74" s="414">
        <v>0</v>
      </c>
      <c r="AB74" s="414">
        <v>0</v>
      </c>
      <c r="AC74" s="450">
        <v>0</v>
      </c>
      <c r="AD74" s="452">
        <v>0</v>
      </c>
    </row>
    <row r="75" spans="2:30" ht="13.15">
      <c r="B75" s="10" t="s">
        <v>77</v>
      </c>
      <c r="C75" s="11"/>
      <c r="D75" s="11"/>
      <c r="E75" s="11"/>
      <c r="F75" s="70"/>
      <c r="G75" s="70"/>
      <c r="H75" s="70"/>
      <c r="I75" s="70"/>
      <c r="J75" s="70">
        <f>J59-J68</f>
        <v>13044704</v>
      </c>
      <c r="K75" s="70">
        <f>K59-K68</f>
        <v>54180569.050000012</v>
      </c>
      <c r="L75" s="70">
        <f t="shared" ref="L75:AB75" si="21">L59-L68</f>
        <v>9806655.9100000001</v>
      </c>
      <c r="M75" s="70">
        <f t="shared" si="21"/>
        <v>23227761.890000001</v>
      </c>
      <c r="N75" s="70">
        <f t="shared" si="21"/>
        <v>38018147.380000003</v>
      </c>
      <c r="O75" s="70">
        <f t="shared" si="21"/>
        <v>51446622.740000002</v>
      </c>
      <c r="P75" s="70">
        <f t="shared" si="21"/>
        <v>66258758.75</v>
      </c>
      <c r="Q75" s="70">
        <f t="shared" si="21"/>
        <v>93040347.090000004</v>
      </c>
      <c r="R75" s="70">
        <f t="shared" si="21"/>
        <v>117057042.97</v>
      </c>
      <c r="S75" s="70">
        <f t="shared" si="21"/>
        <v>138160124.72999999</v>
      </c>
      <c r="T75" s="70">
        <f t="shared" si="21"/>
        <v>166498359.76000002</v>
      </c>
      <c r="U75" s="70">
        <f t="shared" si="21"/>
        <v>191710750.41</v>
      </c>
      <c r="V75" s="70">
        <f t="shared" si="21"/>
        <v>219280190.99000004</v>
      </c>
      <c r="W75" s="70">
        <f t="shared" si="21"/>
        <v>252034045.90000001</v>
      </c>
      <c r="X75" s="70">
        <f t="shared" si="21"/>
        <v>200800988</v>
      </c>
      <c r="Y75" s="70">
        <f t="shared" si="21"/>
        <v>28906214.530000001</v>
      </c>
      <c r="Z75" s="70">
        <f t="shared" si="21"/>
        <v>69559965.760000005</v>
      </c>
      <c r="AA75" s="70">
        <f t="shared" si="21"/>
        <v>108280787.73</v>
      </c>
      <c r="AB75" s="70">
        <f t="shared" ref="AB75:AD75" si="22">AB59-AB68</f>
        <v>147645964.47</v>
      </c>
      <c r="AC75" s="70">
        <f t="shared" si="22"/>
        <v>199649954.02999997</v>
      </c>
      <c r="AD75" s="70">
        <f t="shared" si="22"/>
        <v>253907223.28999996</v>
      </c>
    </row>
    <row r="76" spans="2:30">
      <c r="B76" s="10" t="s">
        <v>78</v>
      </c>
      <c r="C76" s="23"/>
      <c r="D76" s="23"/>
      <c r="E76" s="23"/>
      <c r="F76" s="71"/>
      <c r="G76" s="71"/>
      <c r="H76" s="71"/>
      <c r="I76" s="71"/>
      <c r="J76" s="71">
        <f>J77</f>
        <v>0</v>
      </c>
      <c r="K76" s="71">
        <f>K77</f>
        <v>7744702</v>
      </c>
      <c r="L76" s="71">
        <f t="shared" ref="L76:AD76" si="23">L77</f>
        <v>3000000</v>
      </c>
      <c r="M76" s="71">
        <f t="shared" si="23"/>
        <v>6000000</v>
      </c>
      <c r="N76" s="71">
        <f t="shared" si="23"/>
        <v>10559607</v>
      </c>
      <c r="O76" s="71">
        <f t="shared" si="23"/>
        <v>14720452.6</v>
      </c>
      <c r="P76" s="71">
        <f t="shared" si="23"/>
        <v>19958882.800000001</v>
      </c>
      <c r="Q76" s="71">
        <f t="shared" si="23"/>
        <v>15031250.1</v>
      </c>
      <c r="R76" s="71">
        <f t="shared" si="23"/>
        <v>18252352.100000001</v>
      </c>
      <c r="S76" s="71">
        <f t="shared" si="23"/>
        <v>24399870.300000001</v>
      </c>
      <c r="T76" s="71">
        <f t="shared" si="23"/>
        <v>28155252.100000001</v>
      </c>
      <c r="U76" s="71">
        <f t="shared" si="23"/>
        <v>31655019.5</v>
      </c>
      <c r="V76" s="71">
        <f t="shared" si="23"/>
        <v>35370988</v>
      </c>
      <c r="W76" s="71">
        <f t="shared" si="23"/>
        <v>37819014.799999997</v>
      </c>
      <c r="X76" s="71">
        <f t="shared" si="23"/>
        <v>37819015</v>
      </c>
      <c r="Y76" s="71">
        <f t="shared" si="23"/>
        <v>7811369.4000000004</v>
      </c>
      <c r="Z76" s="71">
        <f t="shared" si="23"/>
        <v>12474718.1</v>
      </c>
      <c r="AA76" s="71">
        <f t="shared" si="23"/>
        <v>15522984.699999999</v>
      </c>
      <c r="AB76" s="71">
        <f t="shared" si="23"/>
        <v>23332775.800000001</v>
      </c>
      <c r="AC76" s="71">
        <f t="shared" si="23"/>
        <v>30075838.100000001</v>
      </c>
      <c r="AD76" s="71">
        <f t="shared" si="23"/>
        <v>36717594.200000003</v>
      </c>
    </row>
    <row r="77" spans="2:30">
      <c r="B77" s="12" t="s">
        <v>79</v>
      </c>
      <c r="C77" s="14"/>
      <c r="D77" s="14"/>
      <c r="E77" s="14"/>
      <c r="F77" s="26"/>
      <c r="G77" s="26"/>
      <c r="H77" s="8"/>
      <c r="I77" s="8"/>
      <c r="J77" s="172"/>
      <c r="K77" s="172">
        <v>7744702</v>
      </c>
      <c r="L77" s="172">
        <v>3000000</v>
      </c>
      <c r="M77" s="172">
        <v>6000000</v>
      </c>
      <c r="N77" s="172">
        <v>10559607</v>
      </c>
      <c r="O77" s="172">
        <v>14720452.6</v>
      </c>
      <c r="P77" s="172">
        <v>19958882.800000001</v>
      </c>
      <c r="Q77" s="172">
        <v>15031250.1</v>
      </c>
      <c r="R77" s="172">
        <v>18252352.100000001</v>
      </c>
      <c r="S77" s="172">
        <v>24399870.300000001</v>
      </c>
      <c r="T77" s="172">
        <v>28155252.100000001</v>
      </c>
      <c r="U77" s="172">
        <v>31655019.5</v>
      </c>
      <c r="V77" s="172">
        <v>35370988</v>
      </c>
      <c r="W77" s="172">
        <v>37819014.799999997</v>
      </c>
      <c r="X77" s="26">
        <v>37819015</v>
      </c>
      <c r="Y77" s="409">
        <v>7811369.4000000004</v>
      </c>
      <c r="Z77" s="411">
        <v>12474718.1</v>
      </c>
      <c r="AA77" s="411">
        <v>15522984.699999999</v>
      </c>
      <c r="AB77" s="411">
        <v>23332775.800000001</v>
      </c>
      <c r="AC77" s="447">
        <v>30075838.100000001</v>
      </c>
      <c r="AD77" s="449">
        <v>36717594.200000003</v>
      </c>
    </row>
    <row r="78" spans="2:30">
      <c r="B78" s="12" t="s">
        <v>80</v>
      </c>
      <c r="C78" s="14"/>
      <c r="D78" s="14"/>
      <c r="E78" s="14"/>
      <c r="F78" s="26"/>
      <c r="G78" s="26"/>
      <c r="J78" s="172"/>
      <c r="K78" s="172"/>
      <c r="L78" s="172">
        <v>0</v>
      </c>
      <c r="M78" s="172">
        <v>0</v>
      </c>
      <c r="N78" s="172">
        <v>0</v>
      </c>
      <c r="O78" s="172">
        <v>0</v>
      </c>
      <c r="P78" s="172">
        <v>0</v>
      </c>
      <c r="Q78" s="172">
        <v>0</v>
      </c>
      <c r="R78" s="172">
        <v>0</v>
      </c>
      <c r="S78" s="172">
        <v>0</v>
      </c>
      <c r="T78" s="172">
        <v>0</v>
      </c>
      <c r="U78" s="172">
        <v>0</v>
      </c>
      <c r="V78" s="172">
        <v>0</v>
      </c>
      <c r="W78" s="172">
        <v>0</v>
      </c>
      <c r="X78" s="26"/>
      <c r="Y78" s="412">
        <v>0</v>
      </c>
      <c r="Z78" s="414">
        <v>0</v>
      </c>
      <c r="AA78" s="414">
        <v>0</v>
      </c>
      <c r="AB78" s="414">
        <v>0</v>
      </c>
      <c r="AC78" s="450">
        <v>0</v>
      </c>
      <c r="AD78" s="452">
        <v>0</v>
      </c>
    </row>
    <row r="79" spans="2:30">
      <c r="B79" s="10" t="s">
        <v>81</v>
      </c>
      <c r="C79" s="23"/>
      <c r="D79" s="23"/>
      <c r="E79" s="23"/>
      <c r="F79" s="71"/>
      <c r="G79" s="71"/>
      <c r="H79" s="71"/>
      <c r="I79" s="71"/>
      <c r="J79" s="71">
        <f>J80+J81+J82+J83+J84</f>
        <v>782036</v>
      </c>
      <c r="K79" s="71">
        <f>K80+K81+K82+K83+K84</f>
        <v>3168454</v>
      </c>
      <c r="L79" s="71">
        <f t="shared" ref="L79:AD79" si="24">L80+L81+L82+L83+L84</f>
        <v>107656.67</v>
      </c>
      <c r="M79" s="71">
        <f t="shared" si="24"/>
        <v>695927.34</v>
      </c>
      <c r="N79" s="71">
        <f t="shared" si="24"/>
        <v>1201955.01</v>
      </c>
      <c r="O79" s="71">
        <f t="shared" si="24"/>
        <v>6757459.6799999997</v>
      </c>
      <c r="P79" s="71">
        <f t="shared" si="24"/>
        <v>8591573.8499999996</v>
      </c>
      <c r="Q79" s="71">
        <f t="shared" si="24"/>
        <v>10325228.720000001</v>
      </c>
      <c r="R79" s="71">
        <f t="shared" si="24"/>
        <v>10716854.789999999</v>
      </c>
      <c r="S79" s="71">
        <f t="shared" si="24"/>
        <v>11077322.460000001</v>
      </c>
      <c r="T79" s="71">
        <f t="shared" si="24"/>
        <v>12612636.130000001</v>
      </c>
      <c r="U79" s="71">
        <f t="shared" si="24"/>
        <v>13319863.199999999</v>
      </c>
      <c r="V79" s="71">
        <f t="shared" si="24"/>
        <v>15580176.869999999</v>
      </c>
      <c r="W79" s="71">
        <f t="shared" si="24"/>
        <v>21360197.34</v>
      </c>
      <c r="X79" s="71">
        <f t="shared" si="24"/>
        <v>14666872</v>
      </c>
      <c r="Y79" s="71">
        <f t="shared" si="24"/>
        <v>724906.8</v>
      </c>
      <c r="Z79" s="71">
        <f t="shared" si="24"/>
        <v>803555</v>
      </c>
      <c r="AA79" s="71">
        <f t="shared" si="24"/>
        <v>3411021.45</v>
      </c>
      <c r="AB79" s="71">
        <f t="shared" si="24"/>
        <v>9686998.1500000004</v>
      </c>
      <c r="AC79" s="71">
        <f t="shared" si="24"/>
        <v>11373075.65</v>
      </c>
      <c r="AD79" s="71">
        <f t="shared" si="24"/>
        <v>17295890.149999999</v>
      </c>
    </row>
    <row r="80" spans="2:30">
      <c r="B80" s="12" t="s">
        <v>82</v>
      </c>
      <c r="C80" s="42"/>
      <c r="D80" s="42"/>
      <c r="E80" s="42"/>
      <c r="F80" s="76"/>
      <c r="G80" s="76"/>
      <c r="H80" s="8"/>
      <c r="I80" s="8"/>
      <c r="J80" s="172"/>
      <c r="K80" s="172"/>
      <c r="L80" s="172">
        <v>0</v>
      </c>
      <c r="M80" s="172">
        <v>10200</v>
      </c>
      <c r="N80" s="172">
        <v>10200</v>
      </c>
      <c r="O80" s="172">
        <v>10200</v>
      </c>
      <c r="P80" s="172">
        <v>223650</v>
      </c>
      <c r="Q80" s="172">
        <v>249650</v>
      </c>
      <c r="R80" s="172">
        <v>254650</v>
      </c>
      <c r="S80" s="172">
        <v>254650</v>
      </c>
      <c r="T80" s="172">
        <v>254650</v>
      </c>
      <c r="U80" s="172">
        <v>254650</v>
      </c>
      <c r="V80" s="172">
        <v>254650</v>
      </c>
      <c r="W80" s="172">
        <v>254650</v>
      </c>
      <c r="X80" s="26">
        <f>173450+81200+33800</f>
        <v>288450</v>
      </c>
      <c r="Y80" s="408">
        <v>0</v>
      </c>
      <c r="Z80" s="410">
        <v>0</v>
      </c>
      <c r="AA80" s="410">
        <v>0</v>
      </c>
      <c r="AB80" s="410">
        <v>0</v>
      </c>
      <c r="AC80" s="446">
        <v>0</v>
      </c>
      <c r="AD80" s="449">
        <v>69600</v>
      </c>
    </row>
    <row r="81" spans="2:30">
      <c r="B81" s="12" t="s">
        <v>83</v>
      </c>
      <c r="C81" s="40"/>
      <c r="D81" s="40"/>
      <c r="E81" s="40"/>
      <c r="F81" s="83"/>
      <c r="G81" s="8"/>
      <c r="H81" s="8"/>
      <c r="I81" s="8"/>
      <c r="J81" s="172"/>
      <c r="K81" s="172"/>
      <c r="L81" s="172">
        <v>0</v>
      </c>
      <c r="M81" s="172">
        <v>4000</v>
      </c>
      <c r="N81" s="172">
        <v>68600</v>
      </c>
      <c r="O81" s="172">
        <v>72600</v>
      </c>
      <c r="P81" s="172">
        <v>72600</v>
      </c>
      <c r="Q81" s="172">
        <v>80100</v>
      </c>
      <c r="R81" s="172">
        <v>80100</v>
      </c>
      <c r="S81" s="172">
        <v>80100</v>
      </c>
      <c r="T81" s="172">
        <v>80100</v>
      </c>
      <c r="U81" s="172">
        <v>80100</v>
      </c>
      <c r="V81" s="172">
        <v>80100</v>
      </c>
      <c r="W81" s="172">
        <v>906100</v>
      </c>
      <c r="X81" s="26">
        <v>906100</v>
      </c>
      <c r="Y81" s="412">
        <v>0</v>
      </c>
      <c r="Z81" s="415">
        <v>8000</v>
      </c>
      <c r="AA81" s="415">
        <v>276000</v>
      </c>
      <c r="AB81" s="415">
        <v>276000</v>
      </c>
      <c r="AC81" s="451">
        <v>288000</v>
      </c>
      <c r="AD81" s="453">
        <v>288000</v>
      </c>
    </row>
    <row r="82" spans="2:30">
      <c r="B82" s="12" t="s">
        <v>84</v>
      </c>
      <c r="C82" s="40"/>
      <c r="D82" s="40"/>
      <c r="E82" s="40"/>
      <c r="F82" s="83"/>
      <c r="G82" s="83"/>
      <c r="H82" s="8"/>
      <c r="I82" s="8"/>
      <c r="J82" s="172"/>
      <c r="K82" s="172"/>
      <c r="L82" s="172">
        <v>0</v>
      </c>
      <c r="M82" s="172">
        <v>0</v>
      </c>
      <c r="N82" s="172">
        <v>0</v>
      </c>
      <c r="O82" s="172">
        <v>0</v>
      </c>
      <c r="P82" s="172">
        <v>0</v>
      </c>
      <c r="Q82" s="172">
        <v>0</v>
      </c>
      <c r="R82" s="172">
        <v>0</v>
      </c>
      <c r="S82" s="172">
        <v>0</v>
      </c>
      <c r="T82" s="172">
        <v>0</v>
      </c>
      <c r="U82" s="172">
        <v>0</v>
      </c>
      <c r="V82" s="172">
        <v>0</v>
      </c>
      <c r="W82" s="172">
        <v>0</v>
      </c>
      <c r="X82" s="26">
        <v>327290</v>
      </c>
      <c r="Y82" s="412">
        <v>0</v>
      </c>
      <c r="Z82" s="414">
        <v>0</v>
      </c>
      <c r="AA82" s="414">
        <v>0</v>
      </c>
      <c r="AB82" s="414">
        <v>0</v>
      </c>
      <c r="AC82" s="450">
        <v>0</v>
      </c>
      <c r="AD82" s="452">
        <v>0</v>
      </c>
    </row>
    <row r="83" spans="2:30">
      <c r="B83" s="12" t="s">
        <v>85</v>
      </c>
      <c r="C83" s="40"/>
      <c r="D83" s="40"/>
      <c r="E83" s="40"/>
      <c r="F83" s="83"/>
      <c r="G83" s="83"/>
      <c r="H83" s="8"/>
      <c r="I83" s="8"/>
      <c r="J83" s="172"/>
      <c r="K83" s="172"/>
      <c r="L83" s="172">
        <v>0</v>
      </c>
      <c r="M83" s="172">
        <v>0</v>
      </c>
      <c r="N83" s="172">
        <v>0</v>
      </c>
      <c r="O83" s="172">
        <v>0</v>
      </c>
      <c r="P83" s="172">
        <v>0</v>
      </c>
      <c r="Q83" s="172">
        <v>0</v>
      </c>
      <c r="R83" s="172">
        <v>0</v>
      </c>
      <c r="S83" s="172">
        <v>0</v>
      </c>
      <c r="T83" s="172">
        <v>0</v>
      </c>
      <c r="U83" s="172">
        <v>0</v>
      </c>
      <c r="V83" s="172">
        <v>0</v>
      </c>
      <c r="W83" s="172">
        <v>0</v>
      </c>
      <c r="X83" s="26">
        <v>0</v>
      </c>
      <c r="Y83" s="412">
        <v>0</v>
      </c>
      <c r="Z83" s="414">
        <v>0</v>
      </c>
      <c r="AA83" s="414">
        <v>0</v>
      </c>
      <c r="AB83" s="414">
        <v>0</v>
      </c>
      <c r="AC83" s="450">
        <v>0</v>
      </c>
      <c r="AD83" s="452">
        <v>0</v>
      </c>
    </row>
    <row r="84" spans="2:30">
      <c r="B84" s="12" t="s">
        <v>86</v>
      </c>
      <c r="C84" s="40"/>
      <c r="D84" s="40"/>
      <c r="E84" s="40"/>
      <c r="F84" s="83"/>
      <c r="G84" s="83"/>
      <c r="H84" s="8"/>
      <c r="I84" s="8"/>
      <c r="J84" s="172">
        <f>64035+718001</f>
        <v>782036</v>
      </c>
      <c r="K84" s="172">
        <v>3168454</v>
      </c>
      <c r="L84" s="172">
        <v>107656.67</v>
      </c>
      <c r="M84" s="172">
        <v>681727.34</v>
      </c>
      <c r="N84" s="172">
        <v>1123155.01</v>
      </c>
      <c r="O84" s="172">
        <v>6674659.6799999997</v>
      </c>
      <c r="P84" s="172">
        <v>8295323.8499999996</v>
      </c>
      <c r="Q84" s="172">
        <v>9995478.7200000007</v>
      </c>
      <c r="R84" s="172">
        <v>10382104.789999999</v>
      </c>
      <c r="S84" s="172">
        <v>10742572.460000001</v>
      </c>
      <c r="T84" s="172">
        <v>12277886.130000001</v>
      </c>
      <c r="U84" s="172">
        <v>12985113.199999999</v>
      </c>
      <c r="V84" s="172">
        <v>15245426.869999999</v>
      </c>
      <c r="W84" s="172">
        <v>20199447.34</v>
      </c>
      <c r="X84" s="26">
        <f>13760772-327290-288450</f>
        <v>13145032</v>
      </c>
      <c r="Y84" s="413">
        <v>724906.8</v>
      </c>
      <c r="Z84" s="415">
        <v>795555</v>
      </c>
      <c r="AA84" s="415">
        <v>3135021.45</v>
      </c>
      <c r="AB84" s="415">
        <v>9410998.1500000004</v>
      </c>
      <c r="AC84" s="451">
        <v>11085075.65</v>
      </c>
      <c r="AD84" s="453">
        <v>16938290.149999999</v>
      </c>
    </row>
    <row r="85" spans="2:30">
      <c r="B85" s="10" t="s">
        <v>87</v>
      </c>
      <c r="C85" s="23"/>
      <c r="D85" s="23"/>
      <c r="E85" s="23"/>
      <c r="F85" s="71"/>
      <c r="G85" s="71"/>
      <c r="H85" s="71"/>
      <c r="I85" s="71"/>
      <c r="J85" s="71">
        <f>J75-J79-J76</f>
        <v>12262668</v>
      </c>
      <c r="K85" s="71">
        <f>K75-K79-K76</f>
        <v>43267413.050000012</v>
      </c>
      <c r="L85" s="71">
        <f t="shared" ref="L85:AB85" si="25">L75-L79-L76</f>
        <v>6698999.2400000002</v>
      </c>
      <c r="M85" s="71">
        <f t="shared" si="25"/>
        <v>16531834.550000001</v>
      </c>
      <c r="N85" s="71">
        <f t="shared" si="25"/>
        <v>26256585.370000005</v>
      </c>
      <c r="O85" s="71">
        <f t="shared" si="25"/>
        <v>29968710.460000001</v>
      </c>
      <c r="P85" s="71">
        <f t="shared" si="25"/>
        <v>37708302.099999994</v>
      </c>
      <c r="Q85" s="71">
        <f t="shared" si="25"/>
        <v>67683868.270000011</v>
      </c>
      <c r="R85" s="71">
        <f t="shared" si="25"/>
        <v>88087836.080000013</v>
      </c>
      <c r="S85" s="71">
        <f t="shared" si="25"/>
        <v>102682931.96999998</v>
      </c>
      <c r="T85" s="71">
        <f t="shared" si="25"/>
        <v>125730471.53000003</v>
      </c>
      <c r="U85" s="71">
        <f t="shared" si="25"/>
        <v>146735867.71000001</v>
      </c>
      <c r="V85" s="71">
        <f t="shared" si="25"/>
        <v>168329026.12000003</v>
      </c>
      <c r="W85" s="71">
        <f t="shared" si="25"/>
        <v>192854833.75999999</v>
      </c>
      <c r="X85" s="71">
        <f t="shared" si="25"/>
        <v>148315101</v>
      </c>
      <c r="Y85" s="71">
        <f t="shared" si="25"/>
        <v>20369938.329999998</v>
      </c>
      <c r="Z85" s="71">
        <f t="shared" si="25"/>
        <v>56281692.660000004</v>
      </c>
      <c r="AA85" s="71">
        <f t="shared" si="25"/>
        <v>89346781.579999998</v>
      </c>
      <c r="AB85" s="71">
        <f t="shared" ref="AB85:AD85" si="26">AB75-AB79-AB76</f>
        <v>114626190.52</v>
      </c>
      <c r="AC85" s="71">
        <f t="shared" si="26"/>
        <v>158201040.27999997</v>
      </c>
      <c r="AD85" s="71">
        <f t="shared" si="26"/>
        <v>199893738.93999994</v>
      </c>
    </row>
    <row r="86" spans="2:30">
      <c r="B86" s="10" t="s">
        <v>88</v>
      </c>
      <c r="C86" s="23"/>
      <c r="D86" s="23"/>
      <c r="E86" s="23"/>
      <c r="F86" s="71"/>
      <c r="G86" s="71"/>
      <c r="H86" s="71"/>
      <c r="I86" s="71"/>
      <c r="J86" s="71">
        <f>J87-J88</f>
        <v>0</v>
      </c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>
        <f>W87+W88</f>
        <v>0</v>
      </c>
      <c r="X86" s="71">
        <f t="shared" ref="X86:AB86" si="27">X87+X88</f>
        <v>0</v>
      </c>
      <c r="Y86" s="71">
        <f t="shared" si="27"/>
        <v>0</v>
      </c>
      <c r="Z86" s="71">
        <f t="shared" si="27"/>
        <v>0</v>
      </c>
      <c r="AA86" s="71">
        <f t="shared" si="27"/>
        <v>0</v>
      </c>
      <c r="AB86" s="71">
        <f t="shared" ref="AB86:AD86" si="28">AB87+AB88</f>
        <v>0</v>
      </c>
      <c r="AC86" s="71">
        <f t="shared" si="28"/>
        <v>0</v>
      </c>
      <c r="AD86" s="71">
        <f t="shared" si="28"/>
        <v>0</v>
      </c>
    </row>
    <row r="87" spans="2:30">
      <c r="B87" s="12" t="s">
        <v>89</v>
      </c>
      <c r="C87" s="14"/>
      <c r="D87" s="14"/>
      <c r="E87" s="14"/>
      <c r="F87" s="26"/>
      <c r="G87" s="26"/>
      <c r="J87" s="8"/>
      <c r="K87" s="8"/>
      <c r="L87" s="172">
        <v>0</v>
      </c>
      <c r="M87" s="172">
        <v>0</v>
      </c>
      <c r="N87" s="172">
        <v>0</v>
      </c>
      <c r="O87" s="172">
        <v>0</v>
      </c>
      <c r="P87" s="172">
        <v>0</v>
      </c>
      <c r="Q87" s="172">
        <v>0</v>
      </c>
      <c r="R87" s="172">
        <v>0</v>
      </c>
      <c r="S87" s="172">
        <v>0</v>
      </c>
      <c r="T87" s="172">
        <v>0</v>
      </c>
      <c r="U87" s="172">
        <v>0</v>
      </c>
      <c r="V87" s="172">
        <v>0</v>
      </c>
      <c r="W87" s="172">
        <v>0</v>
      </c>
      <c r="Y87" s="408">
        <v>0</v>
      </c>
      <c r="Z87" s="410">
        <v>0</v>
      </c>
      <c r="AA87" s="410">
        <v>0</v>
      </c>
      <c r="AB87" s="410">
        <v>0</v>
      </c>
      <c r="AC87" s="446">
        <v>0</v>
      </c>
      <c r="AD87" s="448">
        <v>0</v>
      </c>
    </row>
    <row r="88" spans="2:30">
      <c r="B88" s="12" t="s">
        <v>90</v>
      </c>
      <c r="C88" s="14"/>
      <c r="D88" s="14"/>
      <c r="E88" s="14"/>
      <c r="F88" s="26"/>
      <c r="G88" s="26"/>
      <c r="J88" s="8"/>
      <c r="K88" s="8"/>
      <c r="L88" s="172">
        <v>0</v>
      </c>
      <c r="M88" s="172">
        <v>0</v>
      </c>
      <c r="N88" s="172">
        <v>0</v>
      </c>
      <c r="O88" s="172">
        <v>0</v>
      </c>
      <c r="P88" s="172">
        <v>0</v>
      </c>
      <c r="Q88" s="172">
        <v>0</v>
      </c>
      <c r="R88" s="172">
        <v>0</v>
      </c>
      <c r="S88" s="172">
        <v>0</v>
      </c>
      <c r="T88" s="172">
        <v>0</v>
      </c>
      <c r="U88" s="172">
        <v>0</v>
      </c>
      <c r="V88" s="172">
        <v>0</v>
      </c>
      <c r="W88" s="172">
        <v>0</v>
      </c>
      <c r="Y88" s="412">
        <v>0</v>
      </c>
      <c r="Z88" s="414">
        <v>0</v>
      </c>
      <c r="AA88" s="414">
        <v>0</v>
      </c>
      <c r="AB88" s="414">
        <v>0</v>
      </c>
      <c r="AC88" s="450">
        <v>0</v>
      </c>
      <c r="AD88" s="452">
        <v>0</v>
      </c>
    </row>
    <row r="89" spans="2:30">
      <c r="B89" s="10" t="s">
        <v>91</v>
      </c>
      <c r="C89" s="23"/>
      <c r="D89" s="23"/>
      <c r="E89" s="23"/>
      <c r="F89" s="71"/>
      <c r="G89" s="71"/>
      <c r="H89" s="71"/>
      <c r="I89" s="71"/>
      <c r="J89" s="71">
        <f>J85+J86</f>
        <v>12262668</v>
      </c>
      <c r="K89" s="71">
        <f>K85+K86</f>
        <v>43267413.050000012</v>
      </c>
      <c r="L89" s="71">
        <f t="shared" ref="L89:AD89" si="29">L85+L86</f>
        <v>6698999.2400000002</v>
      </c>
      <c r="M89" s="71">
        <f t="shared" si="29"/>
        <v>16531834.550000001</v>
      </c>
      <c r="N89" s="71">
        <f t="shared" si="29"/>
        <v>26256585.370000005</v>
      </c>
      <c r="O89" s="71">
        <f t="shared" si="29"/>
        <v>29968710.460000001</v>
      </c>
      <c r="P89" s="71">
        <f t="shared" si="29"/>
        <v>37708302.099999994</v>
      </c>
      <c r="Q89" s="71">
        <f t="shared" si="29"/>
        <v>67683868.270000011</v>
      </c>
      <c r="R89" s="71">
        <f t="shared" si="29"/>
        <v>88087836.080000013</v>
      </c>
      <c r="S89" s="71">
        <f t="shared" si="29"/>
        <v>102682931.96999998</v>
      </c>
      <c r="T89" s="71">
        <f t="shared" si="29"/>
        <v>125730471.53000003</v>
      </c>
      <c r="U89" s="71">
        <f t="shared" si="29"/>
        <v>146735867.71000001</v>
      </c>
      <c r="V89" s="71">
        <f t="shared" si="29"/>
        <v>168329026.12000003</v>
      </c>
      <c r="W89" s="71">
        <f t="shared" si="29"/>
        <v>192854833.75999999</v>
      </c>
      <c r="X89" s="71">
        <f t="shared" si="29"/>
        <v>148315101</v>
      </c>
      <c r="Y89" s="71">
        <f t="shared" si="29"/>
        <v>20369938.329999998</v>
      </c>
      <c r="Z89" s="71">
        <f t="shared" si="29"/>
        <v>56281692.660000004</v>
      </c>
      <c r="AA89" s="71">
        <f t="shared" si="29"/>
        <v>89346781.579999998</v>
      </c>
      <c r="AB89" s="71">
        <f t="shared" si="29"/>
        <v>114626190.52</v>
      </c>
      <c r="AC89" s="71">
        <f t="shared" si="29"/>
        <v>158201040.27999997</v>
      </c>
      <c r="AD89" s="71">
        <f t="shared" si="29"/>
        <v>199893738.93999994</v>
      </c>
    </row>
    <row r="90" spans="2:30">
      <c r="B90" s="12" t="s">
        <v>92</v>
      </c>
      <c r="C90" s="42"/>
      <c r="D90" s="42"/>
      <c r="E90" s="42"/>
      <c r="F90" s="76"/>
      <c r="G90" s="76"/>
      <c r="H90" s="8"/>
      <c r="I90" s="8"/>
      <c r="J90" s="8">
        <v>2163718</v>
      </c>
      <c r="K90" s="8">
        <v>4623009.43</v>
      </c>
      <c r="L90" s="172">
        <v>0</v>
      </c>
      <c r="M90" s="172">
        <v>0</v>
      </c>
      <c r="N90" s="172">
        <v>0</v>
      </c>
      <c r="O90" s="172">
        <v>0</v>
      </c>
      <c r="P90" s="172">
        <v>0</v>
      </c>
      <c r="Q90" s="172">
        <v>0</v>
      </c>
      <c r="R90" s="172">
        <v>0</v>
      </c>
      <c r="S90" s="172">
        <v>0</v>
      </c>
      <c r="T90" s="172">
        <v>0</v>
      </c>
      <c r="U90" s="172">
        <v>0</v>
      </c>
      <c r="V90" s="172">
        <v>0</v>
      </c>
      <c r="W90" s="172">
        <v>0</v>
      </c>
      <c r="X90" s="26">
        <v>19754082</v>
      </c>
      <c r="Y90" s="408">
        <v>0</v>
      </c>
      <c r="Z90" s="410">
        <v>0</v>
      </c>
      <c r="AA90" s="410">
        <v>0</v>
      </c>
      <c r="AB90" s="410">
        <v>0</v>
      </c>
      <c r="AC90" s="446">
        <v>0</v>
      </c>
      <c r="AD90" s="448">
        <v>0</v>
      </c>
    </row>
    <row r="91" spans="2:30">
      <c r="B91" s="10" t="s">
        <v>93</v>
      </c>
      <c r="C91" s="23"/>
      <c r="D91" s="23"/>
      <c r="E91" s="23"/>
      <c r="F91" s="71"/>
      <c r="G91" s="71"/>
      <c r="H91" s="71"/>
      <c r="I91" s="71"/>
      <c r="J91" s="71">
        <f>J89-J90</f>
        <v>10098950</v>
      </c>
      <c r="K91" s="71">
        <f>K89-K90</f>
        <v>38644403.620000012</v>
      </c>
      <c r="L91" s="71">
        <f t="shared" ref="L91:AD91" si="30">L89-L90</f>
        <v>6698999.2400000002</v>
      </c>
      <c r="M91" s="71">
        <f t="shared" si="30"/>
        <v>16531834.550000001</v>
      </c>
      <c r="N91" s="71">
        <f t="shared" si="30"/>
        <v>26256585.370000005</v>
      </c>
      <c r="O91" s="71">
        <f t="shared" si="30"/>
        <v>29968710.460000001</v>
      </c>
      <c r="P91" s="71">
        <f t="shared" si="30"/>
        <v>37708302.099999994</v>
      </c>
      <c r="Q91" s="71">
        <f t="shared" si="30"/>
        <v>67683868.270000011</v>
      </c>
      <c r="R91" s="71">
        <f t="shared" si="30"/>
        <v>88087836.080000013</v>
      </c>
      <c r="S91" s="71">
        <f t="shared" si="30"/>
        <v>102682931.96999998</v>
      </c>
      <c r="T91" s="71">
        <f t="shared" si="30"/>
        <v>125730471.53000003</v>
      </c>
      <c r="U91" s="71">
        <f t="shared" si="30"/>
        <v>146735867.71000001</v>
      </c>
      <c r="V91" s="71">
        <f t="shared" si="30"/>
        <v>168329026.12000003</v>
      </c>
      <c r="W91" s="71">
        <f t="shared" si="30"/>
        <v>192854833.75999999</v>
      </c>
      <c r="X91" s="71">
        <f t="shared" si="30"/>
        <v>128561019</v>
      </c>
      <c r="Y91" s="71">
        <f t="shared" si="30"/>
        <v>20369938.329999998</v>
      </c>
      <c r="Z91" s="71">
        <f t="shared" si="30"/>
        <v>56281692.660000004</v>
      </c>
      <c r="AA91" s="71">
        <f t="shared" si="30"/>
        <v>89346781.579999998</v>
      </c>
      <c r="AB91" s="71">
        <f t="shared" si="30"/>
        <v>114626190.52</v>
      </c>
      <c r="AC91" s="71">
        <f t="shared" si="30"/>
        <v>158201040.27999997</v>
      </c>
      <c r="AD91" s="71">
        <f t="shared" si="30"/>
        <v>199893738.93999994</v>
      </c>
    </row>
    <row r="92" spans="2:30">
      <c r="B92" s="12" t="s">
        <v>94</v>
      </c>
      <c r="C92" s="14"/>
      <c r="D92" s="14"/>
      <c r="E92" s="14"/>
      <c r="F92" s="26"/>
      <c r="G92" s="26"/>
      <c r="J92" s="8">
        <v>0</v>
      </c>
      <c r="K92" s="8"/>
      <c r="L92" s="172">
        <v>0</v>
      </c>
      <c r="M92" s="172">
        <v>0</v>
      </c>
      <c r="N92" s="172">
        <v>0</v>
      </c>
      <c r="O92" s="172">
        <v>0</v>
      </c>
      <c r="P92" s="172">
        <v>0</v>
      </c>
      <c r="Q92" s="172">
        <v>0</v>
      </c>
      <c r="R92" s="172">
        <v>0</v>
      </c>
      <c r="S92" s="172">
        <v>0</v>
      </c>
      <c r="T92" s="172">
        <v>0</v>
      </c>
      <c r="U92" s="172">
        <v>0</v>
      </c>
      <c r="V92" s="172">
        <v>0</v>
      </c>
      <c r="W92" s="172">
        <v>0</v>
      </c>
      <c r="Y92" s="408">
        <v>0</v>
      </c>
      <c r="Z92" s="410">
        <v>0</v>
      </c>
      <c r="AA92" s="410">
        <v>0</v>
      </c>
      <c r="AB92" s="410">
        <v>0</v>
      </c>
      <c r="AC92" s="446">
        <v>0</v>
      </c>
      <c r="AD92" s="448">
        <v>0</v>
      </c>
    </row>
    <row r="93" spans="2:30">
      <c r="B93" s="15" t="s">
        <v>95</v>
      </c>
      <c r="C93" s="25"/>
      <c r="D93" s="25"/>
      <c r="E93" s="25"/>
      <c r="F93" s="75"/>
      <c r="G93" s="75"/>
      <c r="H93" s="75"/>
      <c r="I93" s="75"/>
      <c r="J93" s="75">
        <f>J91-J92</f>
        <v>10098950</v>
      </c>
      <c r="K93" s="75">
        <f>K91-K92</f>
        <v>38644403.620000012</v>
      </c>
      <c r="L93" s="75">
        <f t="shared" ref="L93:AD93" si="31">L91-L92</f>
        <v>6698999.2400000002</v>
      </c>
      <c r="M93" s="75">
        <f t="shared" si="31"/>
        <v>16531834.550000001</v>
      </c>
      <c r="N93" s="75">
        <f t="shared" si="31"/>
        <v>26256585.370000005</v>
      </c>
      <c r="O93" s="75">
        <f t="shared" si="31"/>
        <v>29968710.460000001</v>
      </c>
      <c r="P93" s="75">
        <f t="shared" si="31"/>
        <v>37708302.099999994</v>
      </c>
      <c r="Q93" s="75">
        <f t="shared" si="31"/>
        <v>67683868.270000011</v>
      </c>
      <c r="R93" s="75">
        <f t="shared" si="31"/>
        <v>88087836.080000013</v>
      </c>
      <c r="S93" s="75">
        <f t="shared" si="31"/>
        <v>102682931.96999998</v>
      </c>
      <c r="T93" s="75">
        <f t="shared" si="31"/>
        <v>125730471.53000003</v>
      </c>
      <c r="U93" s="75">
        <f t="shared" si="31"/>
        <v>146735867.71000001</v>
      </c>
      <c r="V93" s="75">
        <f t="shared" si="31"/>
        <v>168329026.12000003</v>
      </c>
      <c r="W93" s="75">
        <f t="shared" si="31"/>
        <v>192854833.75999999</v>
      </c>
      <c r="X93" s="75">
        <f t="shared" si="31"/>
        <v>128561019</v>
      </c>
      <c r="Y93" s="75">
        <f t="shared" si="31"/>
        <v>20369938.329999998</v>
      </c>
      <c r="Z93" s="75">
        <f t="shared" si="31"/>
        <v>56281692.660000004</v>
      </c>
      <c r="AA93" s="75">
        <f t="shared" si="31"/>
        <v>89346781.579999998</v>
      </c>
      <c r="AB93" s="75">
        <f t="shared" si="31"/>
        <v>114626190.52</v>
      </c>
      <c r="AC93" s="75">
        <f t="shared" si="31"/>
        <v>158201040.27999997</v>
      </c>
      <c r="AD93" s="75">
        <f t="shared" si="31"/>
        <v>199893738.93999994</v>
      </c>
    </row>
    <row r="94" spans="2:30" ht="13.15">
      <c r="C94" s="43"/>
      <c r="D94" s="43"/>
      <c r="E94" s="43"/>
      <c r="F94" s="7"/>
      <c r="G94" s="8"/>
    </row>
    <row r="95" spans="2:30" ht="13.15">
      <c r="F95" s="7"/>
      <c r="G95" s="8"/>
    </row>
  </sheetData>
  <pageMargins left="0.7" right="0.7" top="0.75" bottom="0.75" header="0.3" footer="0.3"/>
  <pageSetup scale="1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886D-F504-49AF-A0AC-00DD96937506}">
  <dimension ref="A1:I9"/>
  <sheetViews>
    <sheetView workbookViewId="0">
      <selection activeCell="H13" sqref="H13"/>
    </sheetView>
  </sheetViews>
  <sheetFormatPr defaultColWidth="8.7109375" defaultRowHeight="13.9"/>
  <cols>
    <col min="1" max="1" width="23" style="211" customWidth="1"/>
    <col min="2" max="2" width="11.85546875" style="211" customWidth="1"/>
    <col min="3" max="3" width="8.7109375" style="211"/>
    <col min="4" max="4" width="12.5703125" style="211" bestFit="1" customWidth="1"/>
    <col min="5" max="5" width="8.7109375" style="211"/>
    <col min="6" max="6" width="12.5703125" style="211" bestFit="1" customWidth="1"/>
    <col min="7" max="7" width="8.7109375" style="211"/>
    <col min="8" max="8" width="13.5703125" style="211" bestFit="1" customWidth="1"/>
    <col min="9" max="16384" width="8.7109375" style="211"/>
  </cols>
  <sheetData>
    <row r="1" spans="1:9">
      <c r="A1" s="262" t="s">
        <v>96</v>
      </c>
      <c r="B1" s="263"/>
      <c r="C1" s="263"/>
      <c r="D1" s="263"/>
      <c r="E1" s="263"/>
      <c r="F1" s="263"/>
      <c r="G1" s="263"/>
      <c r="H1" s="263"/>
      <c r="I1" s="264"/>
    </row>
    <row r="2" spans="1:9">
      <c r="A2" s="265" t="s">
        <v>97</v>
      </c>
      <c r="B2" s="416">
        <v>2017</v>
      </c>
      <c r="C2" s="416"/>
      <c r="D2" s="416">
        <v>2018</v>
      </c>
      <c r="E2" s="416"/>
      <c r="F2" s="416">
        <v>2019</v>
      </c>
      <c r="G2" s="416"/>
      <c r="H2" s="416">
        <v>2020</v>
      </c>
      <c r="I2" s="417"/>
    </row>
    <row r="3" spans="1:9">
      <c r="A3" s="265" t="s">
        <v>98</v>
      </c>
      <c r="B3" s="418">
        <v>8144373</v>
      </c>
      <c r="C3" s="418"/>
      <c r="D3" s="418">
        <v>8904984</v>
      </c>
      <c r="E3" s="418"/>
      <c r="F3" s="418">
        <v>9740400</v>
      </c>
      <c r="G3" s="418"/>
      <c r="H3" s="418">
        <v>10266381</v>
      </c>
      <c r="I3" s="419"/>
    </row>
    <row r="4" spans="1:9" ht="36.950000000000003" customHeight="1">
      <c r="A4" s="265" t="s">
        <v>99</v>
      </c>
      <c r="B4" s="251" t="s">
        <v>100</v>
      </c>
      <c r="C4" s="251" t="s">
        <v>101</v>
      </c>
      <c r="D4" s="251" t="s">
        <v>100</v>
      </c>
      <c r="E4" s="251" t="s">
        <v>101</v>
      </c>
      <c r="F4" s="251" t="s">
        <v>100</v>
      </c>
      <c r="G4" s="251" t="s">
        <v>101</v>
      </c>
      <c r="H4" s="251" t="s">
        <v>100</v>
      </c>
      <c r="I4" s="266" t="s">
        <v>101</v>
      </c>
    </row>
    <row r="5" spans="1:9">
      <c r="A5" s="267" t="s">
        <v>102</v>
      </c>
      <c r="B5" s="253">
        <v>4002.74</v>
      </c>
      <c r="C5" s="252">
        <v>49.15</v>
      </c>
      <c r="D5" s="253">
        <v>4408.59</v>
      </c>
      <c r="E5" s="254">
        <v>49.51</v>
      </c>
      <c r="F5" s="253">
        <v>4832.3</v>
      </c>
      <c r="G5" s="252">
        <v>49.61</v>
      </c>
      <c r="H5" s="253">
        <v>5420.1</v>
      </c>
      <c r="I5" s="268">
        <v>52.79</v>
      </c>
    </row>
    <row r="6" spans="1:9">
      <c r="A6" s="269" t="s">
        <v>103</v>
      </c>
      <c r="B6" s="256">
        <v>67.599999999999994</v>
      </c>
      <c r="C6" s="255">
        <v>0.83</v>
      </c>
      <c r="D6" s="256">
        <v>70.75</v>
      </c>
      <c r="E6" s="257">
        <v>0.79</v>
      </c>
      <c r="F6" s="256">
        <v>76.349999999999994</v>
      </c>
      <c r="G6" s="255">
        <v>0.78</v>
      </c>
      <c r="H6" s="256">
        <v>74.88</v>
      </c>
      <c r="I6" s="270">
        <v>0.73</v>
      </c>
    </row>
    <row r="7" spans="1:9">
      <c r="A7" s="271" t="s">
        <v>104</v>
      </c>
      <c r="B7" s="259">
        <v>590.95000000000005</v>
      </c>
      <c r="C7" s="258">
        <v>7.26</v>
      </c>
      <c r="D7" s="259">
        <v>637.41</v>
      </c>
      <c r="E7" s="258">
        <v>7.14</v>
      </c>
      <c r="F7" s="259">
        <v>705.84</v>
      </c>
      <c r="G7" s="258">
        <v>7.25</v>
      </c>
      <c r="H7" s="259">
        <v>761.34</v>
      </c>
      <c r="I7" s="272">
        <v>7.42</v>
      </c>
    </row>
    <row r="8" spans="1:9">
      <c r="A8" s="273" t="s">
        <v>105</v>
      </c>
      <c r="B8" s="261">
        <v>1081.0999999999999</v>
      </c>
      <c r="C8" s="260">
        <v>13.270000000000001</v>
      </c>
      <c r="D8" s="261">
        <v>1166.3399999999999</v>
      </c>
      <c r="E8" s="260">
        <v>13.1</v>
      </c>
      <c r="F8" s="261">
        <v>1298.19</v>
      </c>
      <c r="G8" s="260">
        <v>13.33</v>
      </c>
      <c r="H8" s="261">
        <v>1398.95</v>
      </c>
      <c r="I8" s="274">
        <v>13.63</v>
      </c>
    </row>
    <row r="9" spans="1:9" ht="14.45" thickBot="1">
      <c r="A9" s="275" t="s">
        <v>106</v>
      </c>
      <c r="B9" s="276">
        <v>442.9</v>
      </c>
      <c r="C9" s="277">
        <v>5.4399999999999995</v>
      </c>
      <c r="D9" s="276">
        <v>493.82</v>
      </c>
      <c r="E9" s="277">
        <v>5.55</v>
      </c>
      <c r="F9" s="276">
        <v>556.71</v>
      </c>
      <c r="G9" s="277">
        <v>5.72</v>
      </c>
      <c r="H9" s="276">
        <v>627.67999999999995</v>
      </c>
      <c r="I9" s="278">
        <v>6.11</v>
      </c>
    </row>
  </sheetData>
  <mergeCells count="8">
    <mergeCell ref="H2:I2"/>
    <mergeCell ref="H3:I3"/>
    <mergeCell ref="B2:C2"/>
    <mergeCell ref="B3:C3"/>
    <mergeCell ref="D2:E2"/>
    <mergeCell ref="D3:E3"/>
    <mergeCell ref="F2:G2"/>
    <mergeCell ref="F3:G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4667-C4DE-4E6D-9952-3100501D1438}">
  <dimension ref="A1:J9"/>
  <sheetViews>
    <sheetView workbookViewId="0">
      <selection activeCell="L2" sqref="L2"/>
    </sheetView>
  </sheetViews>
  <sheetFormatPr defaultColWidth="8.7109375" defaultRowHeight="15"/>
  <cols>
    <col min="1" max="1" width="20.85546875" style="46" bestFit="1" customWidth="1"/>
    <col min="2" max="4" width="9" style="46" bestFit="1" customWidth="1"/>
    <col min="5" max="7" width="10.5703125" style="46" bestFit="1" customWidth="1"/>
    <col min="8" max="10" width="9" style="46" bestFit="1" customWidth="1"/>
    <col min="11" max="16384" width="8.7109375" style="46"/>
  </cols>
  <sheetData>
    <row r="1" spans="1:10" ht="15.6" thickBot="1">
      <c r="A1" s="424" t="s">
        <v>107</v>
      </c>
      <c r="B1" s="424"/>
      <c r="C1" s="424"/>
      <c r="D1" s="424"/>
      <c r="E1" s="424"/>
      <c r="F1" s="424"/>
      <c r="G1" s="424"/>
      <c r="H1" s="424"/>
      <c r="I1" s="424"/>
      <c r="J1" s="424"/>
    </row>
    <row r="2" spans="1:10">
      <c r="A2" s="225"/>
      <c r="B2" s="420" t="s">
        <v>108</v>
      </c>
      <c r="C2" s="420"/>
      <c r="D2" s="420"/>
      <c r="E2" s="421" t="s">
        <v>109</v>
      </c>
      <c r="F2" s="421"/>
      <c r="G2" s="421"/>
      <c r="H2" s="422" t="s">
        <v>110</v>
      </c>
      <c r="I2" s="422"/>
      <c r="J2" s="423"/>
    </row>
    <row r="3" spans="1:10">
      <c r="A3" s="229" t="s">
        <v>111</v>
      </c>
      <c r="B3" s="245">
        <v>2018</v>
      </c>
      <c r="C3" s="245">
        <v>2019</v>
      </c>
      <c r="D3" s="245">
        <v>2020</v>
      </c>
      <c r="E3" s="241">
        <v>2018</v>
      </c>
      <c r="F3" s="241">
        <v>2019</v>
      </c>
      <c r="G3" s="241">
        <v>2020</v>
      </c>
      <c r="H3" s="231">
        <v>2018</v>
      </c>
      <c r="I3" s="231">
        <v>2019</v>
      </c>
      <c r="J3" s="232">
        <v>2020</v>
      </c>
    </row>
    <row r="4" spans="1:10">
      <c r="A4" s="218" t="s">
        <v>112</v>
      </c>
      <c r="B4" s="246">
        <v>174</v>
      </c>
      <c r="C4" s="246">
        <v>172</v>
      </c>
      <c r="D4" s="246">
        <v>175</v>
      </c>
      <c r="E4" s="242">
        <v>40</v>
      </c>
      <c r="F4" s="242">
        <v>39</v>
      </c>
      <c r="G4" s="242">
        <v>39</v>
      </c>
      <c r="H4" s="233">
        <v>13</v>
      </c>
      <c r="I4" s="233">
        <v>14</v>
      </c>
      <c r="J4" s="234">
        <v>14</v>
      </c>
    </row>
    <row r="5" spans="1:10">
      <c r="A5" s="218" t="s">
        <v>113</v>
      </c>
      <c r="B5" s="247">
        <v>504</v>
      </c>
      <c r="C5" s="247">
        <v>526</v>
      </c>
      <c r="D5" s="247">
        <v>537</v>
      </c>
      <c r="E5" s="174">
        <v>1505</v>
      </c>
      <c r="F5" s="174">
        <v>1490</v>
      </c>
      <c r="G5" s="174">
        <v>1502</v>
      </c>
      <c r="H5" s="235">
        <v>118</v>
      </c>
      <c r="I5" s="235">
        <v>123</v>
      </c>
      <c r="J5" s="236">
        <v>120</v>
      </c>
    </row>
    <row r="6" spans="1:10">
      <c r="A6" s="218" t="s">
        <v>114</v>
      </c>
      <c r="B6" s="248">
        <v>495.25</v>
      </c>
      <c r="C6" s="248">
        <v>556.71</v>
      </c>
      <c r="D6" s="248">
        <v>627.67999999999995</v>
      </c>
      <c r="E6" s="243">
        <v>4446.1000000000004</v>
      </c>
      <c r="F6" s="243">
        <v>4832.3</v>
      </c>
      <c r="G6" s="243">
        <v>5405.75</v>
      </c>
      <c r="H6" s="237">
        <v>70.75</v>
      </c>
      <c r="I6" s="237">
        <v>76.349999999999994</v>
      </c>
      <c r="J6" s="238">
        <v>74.88</v>
      </c>
    </row>
    <row r="7" spans="1:10">
      <c r="A7" s="218" t="s">
        <v>115</v>
      </c>
      <c r="B7" s="248">
        <v>374.28</v>
      </c>
      <c r="C7" s="248">
        <v>419.55</v>
      </c>
      <c r="D7" s="248">
        <v>473.74</v>
      </c>
      <c r="E7" s="243">
        <v>2567.3000000000002</v>
      </c>
      <c r="F7" s="243">
        <v>2774.6</v>
      </c>
      <c r="G7" s="243">
        <v>3006.1</v>
      </c>
      <c r="H7" s="237">
        <v>49.36</v>
      </c>
      <c r="I7" s="237">
        <v>50.45</v>
      </c>
      <c r="J7" s="238">
        <v>48.85</v>
      </c>
    </row>
    <row r="8" spans="1:10">
      <c r="A8" s="218" t="s">
        <v>116</v>
      </c>
      <c r="B8" s="248">
        <v>341.91</v>
      </c>
      <c r="C8" s="248">
        <v>380.44</v>
      </c>
      <c r="D8" s="248">
        <v>430.11</v>
      </c>
      <c r="E8" s="243">
        <v>3332.4</v>
      </c>
      <c r="F8" s="243">
        <v>3554.4</v>
      </c>
      <c r="G8" s="243">
        <v>4011.32</v>
      </c>
      <c r="H8" s="237">
        <v>40.96</v>
      </c>
      <c r="I8" s="237">
        <v>43.94</v>
      </c>
      <c r="J8" s="238">
        <v>49.36</v>
      </c>
    </row>
    <row r="9" spans="1:10" ht="15.6" thickBot="1">
      <c r="A9" s="221" t="s">
        <v>117</v>
      </c>
      <c r="B9" s="249">
        <v>6.3E-2</v>
      </c>
      <c r="C9" s="249">
        <v>6.1499999999999999E-2</v>
      </c>
      <c r="D9" s="249">
        <v>8.3900000000000002E-2</v>
      </c>
      <c r="E9" s="244">
        <v>0.1203</v>
      </c>
      <c r="F9" s="244">
        <v>0.1201</v>
      </c>
      <c r="G9" s="244">
        <v>0.14499999999999999</v>
      </c>
      <c r="H9" s="239">
        <v>0.20039999999999999</v>
      </c>
      <c r="I9" s="239">
        <v>0.19500000000000001</v>
      </c>
      <c r="J9" s="240">
        <v>0.26600000000000001</v>
      </c>
    </row>
  </sheetData>
  <mergeCells count="4">
    <mergeCell ref="B2:D2"/>
    <mergeCell ref="E2:G2"/>
    <mergeCell ref="H2:J2"/>
    <mergeCell ref="A1:J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3B82-B98A-400B-B859-C7D6005EC396}">
  <dimension ref="A1:F7"/>
  <sheetViews>
    <sheetView workbookViewId="0">
      <selection activeCell="F1" sqref="A1:F7"/>
    </sheetView>
  </sheetViews>
  <sheetFormatPr defaultColWidth="8.7109375" defaultRowHeight="13.9"/>
  <cols>
    <col min="1" max="1" width="16.28515625" style="211" bestFit="1" customWidth="1"/>
    <col min="2" max="2" width="8.7109375" style="211"/>
    <col min="3" max="3" width="13.42578125" style="211" bestFit="1" customWidth="1"/>
    <col min="4" max="4" width="8.7109375" style="211"/>
    <col min="5" max="5" width="11.7109375" style="211" bestFit="1" customWidth="1"/>
    <col min="6" max="16384" width="8.7109375" style="211"/>
  </cols>
  <sheetData>
    <row r="1" spans="1:6">
      <c r="A1" s="281" t="s">
        <v>111</v>
      </c>
      <c r="B1" s="282">
        <v>2018</v>
      </c>
      <c r="C1" s="282" t="s">
        <v>118</v>
      </c>
      <c r="D1" s="282">
        <v>2019</v>
      </c>
      <c r="E1" s="282" t="s">
        <v>118</v>
      </c>
      <c r="F1" s="283">
        <v>2020</v>
      </c>
    </row>
    <row r="2" spans="1:6">
      <c r="A2" s="284" t="s">
        <v>119</v>
      </c>
      <c r="B2" s="279">
        <v>174</v>
      </c>
      <c r="C2" s="279"/>
      <c r="D2" s="279">
        <v>172</v>
      </c>
      <c r="E2" s="279"/>
      <c r="F2" s="285">
        <v>175</v>
      </c>
    </row>
    <row r="3" spans="1:6">
      <c r="A3" s="286" t="s">
        <v>32</v>
      </c>
      <c r="B3" s="250">
        <v>495.25</v>
      </c>
      <c r="C3" s="280">
        <v>0.1241</v>
      </c>
      <c r="D3" s="250">
        <v>556.71</v>
      </c>
      <c r="E3" s="280">
        <v>0.1275</v>
      </c>
      <c r="F3" s="287">
        <v>627.67999999999995</v>
      </c>
    </row>
    <row r="4" spans="1:6">
      <c r="A4" s="286" t="s">
        <v>120</v>
      </c>
      <c r="B4" s="250">
        <v>341.91</v>
      </c>
      <c r="C4" s="280">
        <v>0.11269999999999999</v>
      </c>
      <c r="D4" s="250">
        <v>380.44</v>
      </c>
      <c r="E4" s="280">
        <v>0.1341</v>
      </c>
      <c r="F4" s="287">
        <v>431.46</v>
      </c>
    </row>
    <row r="5" spans="1:6">
      <c r="A5" s="286" t="s">
        <v>121</v>
      </c>
      <c r="B5" s="250">
        <v>374.29</v>
      </c>
      <c r="C5" s="280">
        <v>0.12089999999999999</v>
      </c>
      <c r="D5" s="250">
        <v>419.55</v>
      </c>
      <c r="E5" s="280">
        <v>0.13159999999999999</v>
      </c>
      <c r="F5" s="287">
        <v>474.77</v>
      </c>
    </row>
    <row r="6" spans="1:6">
      <c r="A6" s="286" t="s">
        <v>122</v>
      </c>
      <c r="B6" s="250">
        <v>83.76</v>
      </c>
      <c r="C6" s="280">
        <v>0.16470000000000001</v>
      </c>
      <c r="D6" s="250">
        <v>97.55</v>
      </c>
      <c r="E6" s="280">
        <v>0.18179999999999999</v>
      </c>
      <c r="F6" s="287">
        <v>115.28</v>
      </c>
    </row>
    <row r="7" spans="1:6" ht="14.45" thickBot="1">
      <c r="A7" s="288" t="s">
        <v>123</v>
      </c>
      <c r="B7" s="289">
        <v>74.37</v>
      </c>
      <c r="C7" s="290">
        <v>6.4899999999999999E-2</v>
      </c>
      <c r="D7" s="289">
        <v>79.2</v>
      </c>
      <c r="E7" s="290">
        <v>0.2341</v>
      </c>
      <c r="F7" s="291">
        <v>97.74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3104-F378-4AD6-A34B-BF8DDEB907E3}">
  <dimension ref="A1:G18"/>
  <sheetViews>
    <sheetView workbookViewId="0">
      <selection activeCell="G5" sqref="G5"/>
    </sheetView>
  </sheetViews>
  <sheetFormatPr defaultColWidth="8.7109375" defaultRowHeight="15"/>
  <cols>
    <col min="1" max="1" width="38.140625" style="46" bestFit="1" customWidth="1"/>
    <col min="2" max="2" width="12.140625" style="46" customWidth="1"/>
    <col min="3" max="3" width="9.28515625" style="46" bestFit="1" customWidth="1"/>
    <col min="4" max="4" width="8.7109375" style="46"/>
    <col min="5" max="7" width="9.28515625" style="46" bestFit="1" customWidth="1"/>
    <col min="8" max="16384" width="8.7109375" style="46"/>
  </cols>
  <sheetData>
    <row r="1" spans="1:7" ht="30">
      <c r="A1" s="225" t="s">
        <v>124</v>
      </c>
      <c r="B1" s="226" t="s">
        <v>125</v>
      </c>
      <c r="C1" s="227">
        <v>2016</v>
      </c>
      <c r="D1" s="227">
        <v>2017</v>
      </c>
      <c r="E1" s="227">
        <v>2018</v>
      </c>
      <c r="F1" s="227">
        <v>2019</v>
      </c>
      <c r="G1" s="228">
        <v>2020</v>
      </c>
    </row>
    <row r="2" spans="1:7">
      <c r="A2" s="229" t="s">
        <v>126</v>
      </c>
      <c r="B2" s="212" t="s">
        <v>119</v>
      </c>
      <c r="C2" s="212">
        <v>175</v>
      </c>
      <c r="D2" s="212">
        <v>174</v>
      </c>
      <c r="E2" s="212">
        <v>172</v>
      </c>
      <c r="F2" s="212">
        <v>172</v>
      </c>
      <c r="G2" s="230">
        <v>175</v>
      </c>
    </row>
    <row r="3" spans="1:7">
      <c r="A3" s="218" t="s">
        <v>123</v>
      </c>
      <c r="B3" s="213" t="s">
        <v>127</v>
      </c>
      <c r="C3" s="214">
        <v>54.94</v>
      </c>
      <c r="D3" s="214">
        <v>64.25</v>
      </c>
      <c r="E3" s="214">
        <v>74.37</v>
      </c>
      <c r="F3" s="214">
        <v>79.2</v>
      </c>
      <c r="G3" s="219">
        <v>97.74</v>
      </c>
    </row>
    <row r="4" spans="1:7">
      <c r="A4" s="218" t="s">
        <v>128</v>
      </c>
      <c r="B4" s="215">
        <v>0.1</v>
      </c>
      <c r="C4" s="216">
        <v>0.1396</v>
      </c>
      <c r="D4" s="216">
        <v>0.14530000000000001</v>
      </c>
      <c r="E4" s="216">
        <v>0.1502</v>
      </c>
      <c r="F4" s="216">
        <v>0.14230000000000001</v>
      </c>
      <c r="G4" s="220">
        <v>0.15570000000000001</v>
      </c>
    </row>
    <row r="5" spans="1:7">
      <c r="A5" s="218" t="s">
        <v>129</v>
      </c>
      <c r="B5" s="215">
        <v>0.08</v>
      </c>
      <c r="C5" s="216">
        <v>0.2016</v>
      </c>
      <c r="D5" s="216">
        <v>0.21049999999999999</v>
      </c>
      <c r="E5" s="216">
        <v>0.2175</v>
      </c>
      <c r="F5" s="216">
        <v>0.2082</v>
      </c>
      <c r="G5" s="220">
        <v>0.22650000000000001</v>
      </c>
    </row>
    <row r="6" spans="1:7">
      <c r="A6" s="218" t="s">
        <v>130</v>
      </c>
      <c r="B6" s="215">
        <v>0.08</v>
      </c>
      <c r="C6" s="216">
        <v>7.7100000000000002E-2</v>
      </c>
      <c r="D6" s="216">
        <v>8.1799999999999998E-2</v>
      </c>
      <c r="E6" s="216">
        <v>8.5000000000000006E-2</v>
      </c>
      <c r="F6" s="216">
        <v>0.10630000000000001</v>
      </c>
      <c r="G6" s="220">
        <v>0.1139</v>
      </c>
    </row>
    <row r="7" spans="1:7">
      <c r="A7" s="229" t="s">
        <v>131</v>
      </c>
      <c r="B7" s="212"/>
      <c r="C7" s="213"/>
      <c r="D7" s="213"/>
      <c r="E7" s="213"/>
      <c r="F7" s="213"/>
      <c r="G7" s="217"/>
    </row>
    <row r="8" spans="1:7">
      <c r="A8" s="218" t="s">
        <v>132</v>
      </c>
      <c r="B8" s="213"/>
      <c r="C8" s="216">
        <v>5.2299999999999999E-2</v>
      </c>
      <c r="D8" s="216">
        <v>6.1400000000000003E-2</v>
      </c>
      <c r="E8" s="216">
        <v>6.3E-2</v>
      </c>
      <c r="F8" s="216">
        <v>6.1499999999999999E-2</v>
      </c>
      <c r="G8" s="220">
        <v>8.3900000000000002E-2</v>
      </c>
    </row>
    <row r="9" spans="1:7">
      <c r="A9" s="218" t="s">
        <v>133</v>
      </c>
      <c r="B9" s="213"/>
      <c r="C9" s="216">
        <v>7.6300000000000007E-2</v>
      </c>
      <c r="D9" s="216">
        <v>9.9000000000000005E-2</v>
      </c>
      <c r="E9" s="216">
        <v>9.2700000000000005E-2</v>
      </c>
      <c r="F9" s="216">
        <v>8.5000000000000006E-2</v>
      </c>
      <c r="G9" s="220">
        <v>0.1018</v>
      </c>
    </row>
    <row r="10" spans="1:7">
      <c r="A10" s="218" t="s">
        <v>134</v>
      </c>
      <c r="B10" s="213"/>
      <c r="C10" s="216">
        <v>0.80710000000000004</v>
      </c>
      <c r="D10" s="216">
        <v>0.78500000000000003</v>
      </c>
      <c r="E10" s="216">
        <v>0.77680000000000005</v>
      </c>
      <c r="F10" s="216">
        <v>0.76900000000000002</v>
      </c>
      <c r="G10" s="220">
        <v>0.79620000000000002</v>
      </c>
    </row>
    <row r="11" spans="1:7">
      <c r="A11" s="229" t="s">
        <v>135</v>
      </c>
      <c r="B11" s="212"/>
      <c r="C11" s="213"/>
      <c r="D11" s="213"/>
      <c r="E11" s="213"/>
      <c r="F11" s="213"/>
      <c r="G11" s="217"/>
    </row>
    <row r="12" spans="1:7">
      <c r="A12" s="218" t="s">
        <v>136</v>
      </c>
      <c r="B12" s="213"/>
      <c r="C12" s="216">
        <v>2.4500000000000001E-2</v>
      </c>
      <c r="D12" s="216">
        <v>2.69E-2</v>
      </c>
      <c r="E12" s="216">
        <v>2.4E-2</v>
      </c>
      <c r="F12" s="216">
        <v>2.5999999999999999E-2</v>
      </c>
      <c r="G12" s="220">
        <v>2.6499999999999999E-2</v>
      </c>
    </row>
    <row r="13" spans="1:7">
      <c r="A13" s="218" t="s">
        <v>137</v>
      </c>
      <c r="B13" s="213"/>
      <c r="C13" s="216">
        <v>0.628</v>
      </c>
      <c r="D13" s="216">
        <v>0.66100000000000003</v>
      </c>
      <c r="E13" s="216">
        <v>0.621</v>
      </c>
      <c r="F13" s="216">
        <v>0.57669999999999999</v>
      </c>
      <c r="G13" s="220">
        <v>0.56720000000000004</v>
      </c>
    </row>
    <row r="14" spans="1:7">
      <c r="A14" s="218" t="s">
        <v>138</v>
      </c>
      <c r="B14" s="213"/>
      <c r="C14" s="216">
        <v>5.4399999999999997E-2</v>
      </c>
      <c r="D14" s="216">
        <v>5.2900000000000003E-2</v>
      </c>
      <c r="E14" s="216">
        <v>4.6199999999999998E-2</v>
      </c>
      <c r="F14" s="216">
        <v>4.7500000000000001E-2</v>
      </c>
      <c r="G14" s="220">
        <v>4.4999999999999998E-2</v>
      </c>
    </row>
    <row r="15" spans="1:7">
      <c r="A15" s="229" t="s">
        <v>139</v>
      </c>
      <c r="B15" s="212"/>
      <c r="C15" s="213"/>
      <c r="D15" s="213"/>
      <c r="E15" s="213"/>
      <c r="F15" s="213"/>
      <c r="G15" s="217"/>
    </row>
    <row r="16" spans="1:7">
      <c r="A16" s="218" t="s">
        <v>140</v>
      </c>
      <c r="B16" s="213"/>
      <c r="C16" s="216">
        <v>0.4995</v>
      </c>
      <c r="D16" s="216">
        <v>0.54100000000000004</v>
      </c>
      <c r="E16" s="216">
        <v>0.52680000000000005</v>
      </c>
      <c r="F16" s="216">
        <v>0.50919999999999999</v>
      </c>
      <c r="G16" s="220">
        <v>0.48499999999999999</v>
      </c>
    </row>
    <row r="17" spans="1:7">
      <c r="A17" s="218" t="s">
        <v>141</v>
      </c>
      <c r="B17" s="213"/>
      <c r="C17" s="216">
        <v>0.18049999999999999</v>
      </c>
      <c r="D17" s="216">
        <v>0.17169999999999999</v>
      </c>
      <c r="E17" s="216">
        <v>0.17050000000000001</v>
      </c>
      <c r="F17" s="216">
        <v>0.17</v>
      </c>
      <c r="G17" s="220">
        <v>0.2099</v>
      </c>
    </row>
    <row r="18" spans="1:7" ht="15.6" thickBot="1">
      <c r="A18" s="221" t="s">
        <v>142</v>
      </c>
      <c r="B18" s="222"/>
      <c r="C18" s="223">
        <v>1.0839000000000001</v>
      </c>
      <c r="D18" s="223">
        <v>0.10489999999999999</v>
      </c>
      <c r="E18" s="223">
        <v>1.0947</v>
      </c>
      <c r="F18" s="223">
        <v>1.1028</v>
      </c>
      <c r="G18" s="224">
        <v>1.1004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67"/>
  <sheetViews>
    <sheetView showGridLines="0" zoomScale="80" zoomScaleNormal="80" workbookViewId="0">
      <pane xSplit="2" ySplit="10" topLeftCell="S91" activePane="bottomRight" state="frozen"/>
      <selection pane="bottomRight" activeCell="V58" sqref="V58:AC66"/>
      <selection pane="bottomLeft" activeCell="A12" sqref="A12"/>
      <selection pane="topRight" activeCell="D1" sqref="D1"/>
    </sheetView>
  </sheetViews>
  <sheetFormatPr defaultColWidth="9.140625" defaultRowHeight="13.15"/>
  <cols>
    <col min="1" max="1" width="5" style="5" bestFit="1" customWidth="1"/>
    <col min="2" max="2" width="35" style="5" customWidth="1"/>
    <col min="3" max="6" width="16.7109375" style="5" hidden="1" customWidth="1"/>
    <col min="7" max="7" width="16.28515625" style="5" hidden="1" customWidth="1"/>
    <col min="8" max="8" width="16.7109375" style="5" hidden="1" customWidth="1"/>
    <col min="9" max="9" width="16.28515625" style="5" bestFit="1" customWidth="1"/>
    <col min="10" max="10" width="18.28515625" style="5" bestFit="1" customWidth="1"/>
    <col min="11" max="12" width="17.85546875" style="5" hidden="1" customWidth="1"/>
    <col min="13" max="13" width="17.85546875" style="5" bestFit="1" customWidth="1"/>
    <col min="14" max="15" width="17.85546875" style="5" hidden="1" customWidth="1"/>
    <col min="16" max="16" width="17.85546875" style="5" bestFit="1" customWidth="1"/>
    <col min="17" max="18" width="17.85546875" style="5" hidden="1" customWidth="1"/>
    <col min="19" max="19" width="17.85546875" style="5" bestFit="1" customWidth="1"/>
    <col min="20" max="21" width="17.85546875" style="5" hidden="1" customWidth="1"/>
    <col min="22" max="23" width="17.85546875" style="5" bestFit="1" customWidth="1"/>
    <col min="24" max="29" width="18.28515625" style="5" bestFit="1" customWidth="1"/>
    <col min="30" max="16384" width="9.140625" style="5"/>
  </cols>
  <sheetData>
    <row r="1" spans="1:32" ht="13.9" thickBot="1"/>
    <row r="2" spans="1:32" ht="12.75">
      <c r="A2" s="181"/>
      <c r="B2" s="182" t="s">
        <v>143</v>
      </c>
      <c r="C2" s="183"/>
      <c r="D2" s="183"/>
      <c r="E2" s="183"/>
      <c r="F2" s="183"/>
      <c r="G2" s="183"/>
      <c r="H2" s="183"/>
      <c r="I2" s="183" t="s">
        <v>144</v>
      </c>
      <c r="J2" s="184"/>
    </row>
    <row r="3" spans="1:32" ht="14.25">
      <c r="A3" s="185"/>
      <c r="B3" s="161" t="s">
        <v>97</v>
      </c>
      <c r="C3" s="162">
        <v>2013</v>
      </c>
      <c r="D3" s="162">
        <v>2014</v>
      </c>
      <c r="E3" s="163" t="s">
        <v>2</v>
      </c>
      <c r="F3" s="163" t="s">
        <v>3</v>
      </c>
      <c r="G3" s="163" t="s">
        <v>4</v>
      </c>
      <c r="H3" s="164" t="s">
        <v>145</v>
      </c>
      <c r="I3" s="168" t="s">
        <v>7</v>
      </c>
      <c r="J3" s="186" t="s">
        <v>8</v>
      </c>
      <c r="K3" s="186">
        <v>44562</v>
      </c>
      <c r="L3" s="186">
        <v>44593</v>
      </c>
      <c r="M3" s="186">
        <v>44621</v>
      </c>
      <c r="N3" s="186">
        <v>44652</v>
      </c>
      <c r="O3" s="186">
        <v>44682</v>
      </c>
      <c r="P3" s="186">
        <v>44713</v>
      </c>
      <c r="Q3" s="186">
        <v>44743</v>
      </c>
      <c r="R3" s="186">
        <v>44774</v>
      </c>
      <c r="S3" s="186">
        <v>44805</v>
      </c>
      <c r="T3" s="186">
        <v>44835</v>
      </c>
      <c r="U3" s="186">
        <v>44866</v>
      </c>
      <c r="V3" s="186">
        <v>44896</v>
      </c>
      <c r="W3" s="186" t="s">
        <v>9</v>
      </c>
      <c r="X3" s="186">
        <v>44949</v>
      </c>
      <c r="Y3" s="186">
        <v>44980</v>
      </c>
      <c r="Z3" s="186">
        <v>45008</v>
      </c>
      <c r="AA3" s="186">
        <v>45039</v>
      </c>
      <c r="AB3" s="186">
        <v>45069</v>
      </c>
      <c r="AC3" s="186">
        <v>45100</v>
      </c>
      <c r="AD3" s="186">
        <v>45130</v>
      </c>
      <c r="AE3" s="186">
        <v>45161</v>
      </c>
      <c r="AF3" s="186">
        <v>45192</v>
      </c>
    </row>
    <row r="4" spans="1:32" ht="12.75">
      <c r="A4" s="187">
        <v>1</v>
      </c>
      <c r="B4" s="142" t="s">
        <v>146</v>
      </c>
      <c r="C4" s="143">
        <v>10344</v>
      </c>
      <c r="D4" s="143">
        <v>10824</v>
      </c>
      <c r="E4" s="143">
        <v>11521</v>
      </c>
      <c r="F4" s="144"/>
      <c r="G4" s="141"/>
      <c r="H4" s="141"/>
      <c r="I4" s="141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</row>
    <row r="5" spans="1:32" ht="14.25">
      <c r="A5" s="187">
        <v>2</v>
      </c>
      <c r="B5" s="142" t="s">
        <v>32</v>
      </c>
      <c r="C5" s="145">
        <f>Trend!C27</f>
        <v>0</v>
      </c>
      <c r="D5" s="145">
        <f>Trend!D27</f>
        <v>0</v>
      </c>
      <c r="E5" s="145">
        <f>Trend!E27</f>
        <v>0</v>
      </c>
      <c r="F5" s="145">
        <f>Trend!F27</f>
        <v>0</v>
      </c>
      <c r="G5" s="145">
        <f>Trend!G27</f>
        <v>0</v>
      </c>
      <c r="H5" s="145">
        <f>Trend!H27</f>
        <v>0</v>
      </c>
      <c r="I5" s="145">
        <f>Trend!J27</f>
        <v>459363957</v>
      </c>
      <c r="J5" s="189">
        <f>Trend!K27</f>
        <v>1170868125.55</v>
      </c>
      <c r="K5" s="189">
        <f>Trend!L27</f>
        <v>1281961507.99</v>
      </c>
      <c r="L5" s="189">
        <f>Trend!M27</f>
        <v>1403219697.01</v>
      </c>
      <c r="M5" s="189">
        <f>Trend!N27</f>
        <v>1515488960.1900001</v>
      </c>
      <c r="N5" s="189">
        <f>Trend!O27</f>
        <v>1650689185.4300001</v>
      </c>
      <c r="O5" s="189">
        <f>Trend!P27</f>
        <v>1838228413.7</v>
      </c>
      <c r="P5" s="189">
        <f>Trend!Q27</f>
        <v>2097992465.4000001</v>
      </c>
      <c r="Q5" s="189">
        <f>Trend!R27</f>
        <v>2151721717.5700002</v>
      </c>
      <c r="R5" s="189">
        <f>Trend!S27</f>
        <v>2302222227.1500001</v>
      </c>
      <c r="S5" s="189">
        <f>Trend!T27</f>
        <v>2500312092.6200004</v>
      </c>
      <c r="T5" s="189">
        <f>Trend!U27</f>
        <v>2681980401.1099997</v>
      </c>
      <c r="U5" s="189">
        <f>Trend!V27</f>
        <v>2831357766.5899997</v>
      </c>
      <c r="V5" s="189">
        <f>Trend!W27</f>
        <v>3028184810.3699994</v>
      </c>
      <c r="W5" s="189">
        <f>Trend!X27</f>
        <v>3028635921</v>
      </c>
      <c r="X5" s="189">
        <f>Trend!Y27</f>
        <v>3185617374.0499997</v>
      </c>
      <c r="Y5" s="189">
        <f>Trend!Z27</f>
        <v>3392203880.9900002</v>
      </c>
      <c r="Z5" s="189">
        <f>Trend!AA27</f>
        <v>3520935451.2900004</v>
      </c>
      <c r="AA5" s="189">
        <f>Trend!AB27</f>
        <v>3699528682.3799996</v>
      </c>
      <c r="AB5" s="189">
        <f>Trend!AC27</f>
        <v>3904808806.0399995</v>
      </c>
      <c r="AC5" s="189">
        <f>Trend!AD27</f>
        <v>4144631595.9599996</v>
      </c>
    </row>
    <row r="6" spans="1:32" ht="14.25">
      <c r="A6" s="187">
        <v>3</v>
      </c>
      <c r="B6" s="142" t="s">
        <v>120</v>
      </c>
      <c r="C6" s="145">
        <f>Trend!C31</f>
        <v>0</v>
      </c>
      <c r="D6" s="145">
        <f>Trend!D31</f>
        <v>0</v>
      </c>
      <c r="E6" s="145">
        <f>Trend!E31</f>
        <v>0</v>
      </c>
      <c r="F6" s="145">
        <f>Trend!F31</f>
        <v>0</v>
      </c>
      <c r="G6" s="145">
        <f>Trend!G31</f>
        <v>0</v>
      </c>
      <c r="H6" s="145">
        <f>Trend!H31</f>
        <v>0</v>
      </c>
      <c r="I6" s="145">
        <f>Trend!J31</f>
        <v>291131418</v>
      </c>
      <c r="J6" s="189">
        <f>Trend!K31</f>
        <v>926931655.54999995</v>
      </c>
      <c r="K6" s="189">
        <f>Trend!L31</f>
        <v>1027744733.74</v>
      </c>
      <c r="L6" s="189">
        <f>Trend!M31</f>
        <v>1153359530.49</v>
      </c>
      <c r="M6" s="189">
        <f>Trend!N31</f>
        <v>1104928888.5799999</v>
      </c>
      <c r="N6" s="189">
        <f>Trend!O31</f>
        <v>1231069756.53</v>
      </c>
      <c r="O6" s="189">
        <f>Trend!P31</f>
        <v>1400339476.4100001</v>
      </c>
      <c r="P6" s="189">
        <f>Trend!Q31</f>
        <v>1625450296.25</v>
      </c>
      <c r="Q6" s="189">
        <f>Trend!R31</f>
        <v>1649583593.4699998</v>
      </c>
      <c r="R6" s="189">
        <f>Trend!S31</f>
        <v>1777081762.74</v>
      </c>
      <c r="S6" s="189">
        <f>Trend!T31</f>
        <v>1890455268.76</v>
      </c>
      <c r="T6" s="189">
        <f>Trend!U31</f>
        <v>2037022364.8800001</v>
      </c>
      <c r="U6" s="189">
        <f>Trend!V31</f>
        <v>2132159942.5700002</v>
      </c>
      <c r="V6" s="189">
        <f>Trend!W31</f>
        <v>2286845193.0100002</v>
      </c>
      <c r="W6" s="189">
        <f>Trend!X31</f>
        <v>2286945407</v>
      </c>
      <c r="X6" s="189">
        <f>Trend!Y31</f>
        <v>2417665981.6700001</v>
      </c>
      <c r="Y6" s="189">
        <f>Trend!Z31</f>
        <v>2581084797.1099997</v>
      </c>
      <c r="Z6" s="189">
        <f>Trend!AA31</f>
        <v>2555574817.6199999</v>
      </c>
      <c r="AA6" s="189">
        <f>Trend!AB31</f>
        <v>2705924270.3699999</v>
      </c>
      <c r="AB6" s="189">
        <f>Trend!AC31</f>
        <v>2849174398.9100003</v>
      </c>
      <c r="AC6" s="189">
        <f>Trend!AD31</f>
        <v>3035940000.0799999</v>
      </c>
    </row>
    <row r="7" spans="1:32" ht="14.25">
      <c r="A7" s="187">
        <v>3.1</v>
      </c>
      <c r="B7" s="146" t="s">
        <v>147</v>
      </c>
      <c r="C7" s="145">
        <f>Trend!C30</f>
        <v>0</v>
      </c>
      <c r="D7" s="145">
        <f>Trend!D30</f>
        <v>0</v>
      </c>
      <c r="E7" s="145">
        <f>Trend!E30</f>
        <v>0</v>
      </c>
      <c r="F7" s="145">
        <f>Trend!F30</f>
        <v>0</v>
      </c>
      <c r="G7" s="145">
        <f>Trend!G30</f>
        <v>0</v>
      </c>
      <c r="H7" s="145">
        <f>Trend!H30</f>
        <v>0</v>
      </c>
      <c r="I7" s="145">
        <f>Trend!J30</f>
        <v>291131418</v>
      </c>
      <c r="J7" s="189">
        <f>Trend!K30</f>
        <v>926612134</v>
      </c>
      <c r="K7" s="189">
        <f>Trend!L30</f>
        <v>1013750708.49</v>
      </c>
      <c r="L7" s="189">
        <f>Trend!M30</f>
        <v>1103747016.1400001</v>
      </c>
      <c r="M7" s="189">
        <f>Trend!N30</f>
        <v>1050627979.11</v>
      </c>
      <c r="N7" s="189">
        <f>Trend!O30</f>
        <v>1155778797.3099999</v>
      </c>
      <c r="O7" s="189">
        <f>Trend!P30</f>
        <v>1259368752.9100001</v>
      </c>
      <c r="P7" s="189">
        <f>Trend!Q30</f>
        <v>1367977281.46</v>
      </c>
      <c r="Q7" s="189">
        <f>Trend!R30</f>
        <v>1495413290.1099999</v>
      </c>
      <c r="R7" s="189">
        <f>Trend!S30</f>
        <v>1628917177.8099999</v>
      </c>
      <c r="S7" s="189">
        <f>Trend!T30</f>
        <v>1711112907.3299999</v>
      </c>
      <c r="T7" s="189">
        <f>Trend!U30</f>
        <v>1845584560.48</v>
      </c>
      <c r="U7" s="189">
        <f>Trend!V30</f>
        <v>1946444574.3800001</v>
      </c>
      <c r="V7" s="189">
        <f>Trend!W30</f>
        <v>2091430715.4100001</v>
      </c>
      <c r="W7" s="189">
        <f>Trend!X30</f>
        <v>2091506898</v>
      </c>
      <c r="X7" s="189">
        <f>Trend!Y30</f>
        <v>2231278857.0599999</v>
      </c>
      <c r="Y7" s="189">
        <f>Trend!Z30</f>
        <v>2369823073.6599998</v>
      </c>
      <c r="Z7" s="189">
        <f>Trend!AA30</f>
        <v>2311722659.6900001</v>
      </c>
      <c r="AA7" s="189">
        <f>Trend!AB30</f>
        <v>2466737864.6500001</v>
      </c>
      <c r="AB7" s="189">
        <f>Trend!AC30</f>
        <v>2612253894.0500002</v>
      </c>
      <c r="AC7" s="189">
        <f>Trend!AD30</f>
        <v>2766375763.46</v>
      </c>
    </row>
    <row r="8" spans="1:32" ht="14.25">
      <c r="A8" s="187">
        <v>3.2</v>
      </c>
      <c r="B8" s="146" t="s">
        <v>148</v>
      </c>
      <c r="C8" s="145">
        <f>Trend!C28</f>
        <v>0</v>
      </c>
      <c r="D8" s="145">
        <f>Trend!D28</f>
        <v>0</v>
      </c>
      <c r="E8" s="145">
        <f>Trend!E28</f>
        <v>0</v>
      </c>
      <c r="F8" s="145">
        <f>Trend!F28</f>
        <v>0</v>
      </c>
      <c r="G8" s="145">
        <f>Trend!G28</f>
        <v>0</v>
      </c>
      <c r="H8" s="145">
        <f>Trend!H28</f>
        <v>0</v>
      </c>
      <c r="I8" s="145">
        <f>Trend!J28</f>
        <v>0</v>
      </c>
      <c r="J8" s="189">
        <f>Trend!K28</f>
        <v>319521.55</v>
      </c>
      <c r="K8" s="189">
        <f>Trend!L28</f>
        <v>13983820.25</v>
      </c>
      <c r="L8" s="189">
        <f>Trend!M28</f>
        <v>49599559.350000001</v>
      </c>
      <c r="M8" s="189">
        <f>Trend!N28</f>
        <v>54281773.469999999</v>
      </c>
      <c r="N8" s="189">
        <f>Trend!O28</f>
        <v>75270723.219999999</v>
      </c>
      <c r="O8" s="189">
        <f>Trend!P28</f>
        <v>140921411.5</v>
      </c>
      <c r="P8" s="189">
        <f>Trend!Q28</f>
        <v>257353502.78999999</v>
      </c>
      <c r="Q8" s="189">
        <f>Trend!R28</f>
        <v>154150791.36000001</v>
      </c>
      <c r="R8" s="189">
        <f>Trend!S28</f>
        <v>148145072.93000001</v>
      </c>
      <c r="S8" s="189">
        <f>Trend!T28</f>
        <v>179322849.43000001</v>
      </c>
      <c r="T8" s="189">
        <f>Trend!U28</f>
        <v>191418292.40000001</v>
      </c>
      <c r="U8" s="189">
        <f>Trend!V28</f>
        <v>185705856.19</v>
      </c>
      <c r="V8" s="189">
        <f>Trend!W28</f>
        <v>195404965.59999999</v>
      </c>
      <c r="W8" s="189">
        <f>Trend!X28</f>
        <v>195438509</v>
      </c>
      <c r="X8" s="189">
        <f>Trend!Y28</f>
        <v>186377612.61000001</v>
      </c>
      <c r="Y8" s="189">
        <f>Trend!Z28</f>
        <v>211252211.44999999</v>
      </c>
      <c r="Z8" s="189">
        <f>Trend!AA28</f>
        <v>243842645.93000001</v>
      </c>
      <c r="AA8" s="189">
        <f>Trend!AB28</f>
        <v>239176893.72</v>
      </c>
      <c r="AB8" s="189">
        <f>Trend!AC28</f>
        <v>236910992.86000001</v>
      </c>
      <c r="AC8" s="189">
        <f>Trend!AD28</f>
        <v>269554724.62</v>
      </c>
    </row>
    <row r="9" spans="1:32" ht="14.25">
      <c r="A9" s="187">
        <v>4</v>
      </c>
      <c r="B9" s="142" t="s">
        <v>149</v>
      </c>
      <c r="C9" s="147">
        <f>Trend!C38</f>
        <v>0</v>
      </c>
      <c r="D9" s="147">
        <f>Trend!D38</f>
        <v>0</v>
      </c>
      <c r="E9" s="147">
        <f>Trend!E38</f>
        <v>0</v>
      </c>
      <c r="F9" s="147">
        <f>Trend!F38</f>
        <v>0</v>
      </c>
      <c r="G9" s="147">
        <f>Trend!G38</f>
        <v>0</v>
      </c>
      <c r="H9" s="147">
        <f>Trend!H38</f>
        <v>0</v>
      </c>
      <c r="I9" s="147">
        <f>Trend!J38</f>
        <v>90000000</v>
      </c>
      <c r="J9" s="190">
        <f>Trend!K38</f>
        <v>30000000</v>
      </c>
      <c r="K9" s="190">
        <f>Trend!L38</f>
        <v>30000000</v>
      </c>
      <c r="L9" s="190">
        <f>Trend!M38</f>
        <v>30000000</v>
      </c>
      <c r="M9" s="190">
        <f>Trend!N38</f>
        <v>30000000</v>
      </c>
      <c r="N9" s="190">
        <f>Trend!O38</f>
        <v>30000000</v>
      </c>
      <c r="O9" s="190">
        <f>Trend!P38</f>
        <v>30000000</v>
      </c>
      <c r="P9" s="190">
        <f>Trend!Q38</f>
        <v>30000000</v>
      </c>
      <c r="Q9" s="190">
        <f>Trend!R38</f>
        <v>30000000</v>
      </c>
      <c r="R9" s="190">
        <f>Trend!S38</f>
        <v>30000000</v>
      </c>
      <c r="S9" s="190">
        <f>Trend!T38</f>
        <v>30000000</v>
      </c>
      <c r="T9" s="190">
        <f>Trend!U38</f>
        <v>30000000</v>
      </c>
      <c r="U9" s="190">
        <f>Trend!V38</f>
        <v>30000000</v>
      </c>
      <c r="V9" s="190">
        <f>Trend!W38</f>
        <v>30000000</v>
      </c>
      <c r="W9" s="190">
        <f>Trend!X38</f>
        <v>30000000</v>
      </c>
      <c r="X9" s="190">
        <f>Trend!Y38</f>
        <v>30000000</v>
      </c>
      <c r="Y9" s="190">
        <f>Trend!Z38</f>
        <v>30000000</v>
      </c>
      <c r="Z9" s="190">
        <f>Trend!AA38</f>
        <v>30000000</v>
      </c>
      <c r="AA9" s="190">
        <f>Trend!AB38</f>
        <v>30000000</v>
      </c>
      <c r="AB9" s="190">
        <f>Trend!AC38</f>
        <v>30000000</v>
      </c>
      <c r="AC9" s="190">
        <f>Trend!AD38</f>
        <v>30000000</v>
      </c>
    </row>
    <row r="10" spans="1:32" s="157" customFormat="1" ht="12.75">
      <c r="A10" s="191">
        <v>4.0999999999999996</v>
      </c>
      <c r="B10" s="155" t="s">
        <v>150</v>
      </c>
      <c r="C10" s="156">
        <f>Trend!C33+Trend!C34+Trend!C35+Trend!C37</f>
        <v>0</v>
      </c>
      <c r="D10" s="156">
        <f>Trend!D33+Trend!D34+Trend!D35+Trend!D37</f>
        <v>0</v>
      </c>
      <c r="E10" s="156">
        <f>Trend!E33+Trend!E34+Trend!E35+Trend!E37</f>
        <v>0</v>
      </c>
      <c r="F10" s="156">
        <f>Trend!F33+Trend!F34+Trend!F35+Trend!F37</f>
        <v>0</v>
      </c>
      <c r="G10" s="156">
        <f>Trend!G33+Trend!G34+Trend!G35+Trend!G37</f>
        <v>0</v>
      </c>
      <c r="H10" s="156">
        <f>Trend!H33+Trend!H34+Trend!H35+Trend!H37</f>
        <v>0</v>
      </c>
      <c r="I10" s="156">
        <f>Trend!J33+Trend!J34+Trend!J35+Trend!J37</f>
        <v>18674579</v>
      </c>
      <c r="J10" s="192">
        <f>Trend!K33+Trend!K34+Trend!K35+Trend!K37</f>
        <v>65695469</v>
      </c>
      <c r="K10" s="192">
        <f>Trend!L33+Trend!L34+Trend!L35+Trend!L37</f>
        <v>69271776.049999997</v>
      </c>
      <c r="L10" s="192">
        <f>Trend!M33+Trend!M34+Trend!M35+Trend!M37</f>
        <v>55051193.120000005</v>
      </c>
      <c r="M10" s="192">
        <f>Trend!N33+Trend!N34+Trend!N35+Trend!N37</f>
        <v>53997975.32</v>
      </c>
      <c r="N10" s="192">
        <f>Trend!O33+Trend!O34+Trend!O35+Trend!O37</f>
        <v>58767715.489999995</v>
      </c>
      <c r="O10" s="192">
        <f>Trend!P33+Trend!P34+Trend!P35+Trend!P37</f>
        <v>63678348.229999997</v>
      </c>
      <c r="P10" s="192">
        <f>Trend!Q33+Trend!Q34+Trend!Q35+Trend!Q37</f>
        <v>69278714.180000007</v>
      </c>
      <c r="Q10" s="192">
        <f>Trend!R33+Trend!R34+Trend!R35+Trend!R37</f>
        <v>77246520.230000004</v>
      </c>
      <c r="R10" s="192">
        <f>Trend!S33+Trend!S34+Trend!S35+Trend!S37</f>
        <v>85501993.730000004</v>
      </c>
      <c r="S10" s="192">
        <f>Trend!T33+Trend!T34+Trend!T35+Trend!T37</f>
        <v>92907299.680000007</v>
      </c>
      <c r="T10" s="192">
        <f>Trend!U33+Trend!U34+Trend!U35+Trend!U37</f>
        <v>98678372.830000013</v>
      </c>
      <c r="U10" s="192">
        <f>Trend!V33+Trend!V34+Trend!V35+Trend!V37</f>
        <v>94700128.230000004</v>
      </c>
      <c r="V10" s="192">
        <f>Trend!W33+Trend!W34+Trend!W35+Trend!W37</f>
        <v>106409268.93000001</v>
      </c>
      <c r="W10" s="192">
        <f>Trend!X33+Trend!X34+Trend!X35+Trend!X37</f>
        <v>190568735</v>
      </c>
      <c r="X10" s="192">
        <f>Trend!Y33+Trend!Y34+Trend!Y35+Trend!Y37</f>
        <v>195786909.41000003</v>
      </c>
      <c r="Y10" s="192">
        <f>Trend!Z33+Trend!Z34+Trend!Z35+Trend!Z37</f>
        <v>201605158.47</v>
      </c>
      <c r="Z10" s="192">
        <f>Trend!AA33+Trend!AA34+Trend!AA35+Trend!AA37</f>
        <v>122718582.55</v>
      </c>
      <c r="AA10" s="192">
        <f>Trend!AB33+Trend!AB34+Trend!AB35+Trend!AB37</f>
        <v>124524439.02</v>
      </c>
      <c r="AB10" s="192">
        <f>Trend!AC33+Trend!AC34+Trend!AC35+Trend!AC37</f>
        <v>131016031.27</v>
      </c>
      <c r="AC10" s="192">
        <f>Trend!AD33+Trend!AD34+Trend!AD35+Trend!AD37</f>
        <v>141359778.45000002</v>
      </c>
    </row>
    <row r="11" spans="1:32" s="157" customFormat="1" ht="12.75">
      <c r="A11" s="191"/>
      <c r="B11" s="155"/>
      <c r="C11" s="156"/>
      <c r="D11" s="156"/>
      <c r="E11" s="156"/>
      <c r="F11" s="156"/>
      <c r="G11" s="156"/>
      <c r="H11" s="156"/>
      <c r="I11" s="156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</row>
    <row r="12" spans="1:32" s="157" customFormat="1" ht="12.75">
      <c r="A12" s="193">
        <v>5</v>
      </c>
      <c r="B12" s="158" t="s">
        <v>151</v>
      </c>
      <c r="C12" s="156"/>
      <c r="D12" s="156"/>
      <c r="E12" s="156"/>
      <c r="F12" s="156"/>
      <c r="G12" s="156"/>
      <c r="H12" s="156"/>
      <c r="I12" s="156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</row>
    <row r="13" spans="1:32" s="157" customFormat="1" ht="12.75">
      <c r="A13" s="194">
        <v>5.0999999999999996</v>
      </c>
      <c r="B13" s="159" t="s">
        <v>123</v>
      </c>
      <c r="C13" s="160">
        <f t="shared" ref="C13:H13" si="0">C16-C28</f>
        <v>0</v>
      </c>
      <c r="D13" s="160">
        <f t="shared" si="0"/>
        <v>0</v>
      </c>
      <c r="E13" s="160">
        <f t="shared" si="0"/>
        <v>0</v>
      </c>
      <c r="F13" s="160">
        <f t="shared" si="0"/>
        <v>0</v>
      </c>
      <c r="G13" s="160">
        <f t="shared" si="0"/>
        <v>0</v>
      </c>
      <c r="H13" s="160">
        <f t="shared" si="0"/>
        <v>0</v>
      </c>
      <c r="I13" s="160">
        <f t="shared" ref="I13" si="1">I16-I28</f>
        <v>50822603</v>
      </c>
      <c r="J13" s="195">
        <f t="shared" ref="J13:W13" si="2">J16-J28</f>
        <v>148240999</v>
      </c>
      <c r="K13" s="195">
        <f t="shared" ref="K13:W13" si="3">K16-K28</f>
        <v>113194998.2</v>
      </c>
      <c r="L13" s="195">
        <f t="shared" si="3"/>
        <v>123058973.41000001</v>
      </c>
      <c r="M13" s="195">
        <f t="shared" si="3"/>
        <v>284812096.29000002</v>
      </c>
      <c r="N13" s="195">
        <f t="shared" si="3"/>
        <v>289101713.41000003</v>
      </c>
      <c r="O13" s="195">
        <f t="shared" si="3"/>
        <v>261460589.06</v>
      </c>
      <c r="P13" s="195">
        <f t="shared" si="3"/>
        <v>291513454.97000003</v>
      </c>
      <c r="Q13" s="195">
        <f t="shared" si="3"/>
        <v>312141603.87</v>
      </c>
      <c r="R13" s="195">
        <f t="shared" si="3"/>
        <v>326888470.68000007</v>
      </c>
      <c r="S13" s="195">
        <f t="shared" si="3"/>
        <v>404199524.18000007</v>
      </c>
      <c r="T13" s="195">
        <f t="shared" si="3"/>
        <v>433529663.40000004</v>
      </c>
      <c r="U13" s="195">
        <f t="shared" si="3"/>
        <v>501747695.79000008</v>
      </c>
      <c r="V13" s="195">
        <f t="shared" si="3"/>
        <v>522180348.43000007</v>
      </c>
      <c r="W13" s="195">
        <f t="shared" ref="W13:AC13" si="4">W16-W28</f>
        <v>489371779</v>
      </c>
      <c r="X13" s="195">
        <f t="shared" si="4"/>
        <v>459414483.05999994</v>
      </c>
      <c r="Y13" s="195">
        <f t="shared" si="4"/>
        <v>496763925.40999997</v>
      </c>
      <c r="Z13" s="195">
        <f t="shared" si="4"/>
        <v>729892051.12</v>
      </c>
      <c r="AA13" s="195">
        <f t="shared" si="4"/>
        <v>756329972.99000001</v>
      </c>
      <c r="AB13" s="195">
        <f t="shared" si="4"/>
        <v>811868375.85000002</v>
      </c>
      <c r="AC13" s="195">
        <f t="shared" si="4"/>
        <v>854581817.43000007</v>
      </c>
    </row>
    <row r="14" spans="1:32" s="157" customFormat="1" ht="12.75">
      <c r="A14" s="194">
        <v>5.2</v>
      </c>
      <c r="B14" s="159" t="s">
        <v>152</v>
      </c>
      <c r="C14" s="160">
        <f t="shared" ref="C14:I14" si="5">C13-C17</f>
        <v>0</v>
      </c>
      <c r="D14" s="160">
        <f t="shared" si="5"/>
        <v>0</v>
      </c>
      <c r="E14" s="160">
        <f t="shared" si="5"/>
        <v>0</v>
      </c>
      <c r="F14" s="160">
        <f t="shared" si="5"/>
        <v>0</v>
      </c>
      <c r="G14" s="160">
        <f t="shared" si="5"/>
        <v>0</v>
      </c>
      <c r="H14" s="160">
        <f t="shared" si="5"/>
        <v>0</v>
      </c>
      <c r="I14" s="160">
        <f t="shared" si="5"/>
        <v>7635765</v>
      </c>
      <c r="J14" s="195">
        <f t="shared" ref="J14:W14" si="6">J13-J17</f>
        <v>74480513</v>
      </c>
      <c r="K14" s="195">
        <f t="shared" ref="K14:W14" si="7">K13-K17</f>
        <v>39429512.200000003</v>
      </c>
      <c r="L14" s="195">
        <f t="shared" si="7"/>
        <v>49262347.410000011</v>
      </c>
      <c r="M14" s="195">
        <f t="shared" si="7"/>
        <v>58987098.290000021</v>
      </c>
      <c r="N14" s="195">
        <f t="shared" si="7"/>
        <v>62699223.410000026</v>
      </c>
      <c r="O14" s="195">
        <f t="shared" si="7"/>
        <v>29438815.060000002</v>
      </c>
      <c r="P14" s="195">
        <f t="shared" si="7"/>
        <v>59414381.110000014</v>
      </c>
      <c r="Q14" s="195">
        <f t="shared" si="7"/>
        <v>79818349.00999999</v>
      </c>
      <c r="R14" s="195">
        <f t="shared" si="7"/>
        <v>94413444.820000052</v>
      </c>
      <c r="S14" s="195">
        <f t="shared" si="7"/>
        <v>117460984.32000005</v>
      </c>
      <c r="T14" s="195">
        <f t="shared" si="7"/>
        <v>138466380.54000002</v>
      </c>
      <c r="U14" s="195">
        <f t="shared" si="7"/>
        <v>170059538.93000007</v>
      </c>
      <c r="V14" s="195">
        <f t="shared" si="7"/>
        <v>184585346.57000005</v>
      </c>
      <c r="W14" s="195">
        <f t="shared" ref="W14:AC14" si="8">W13-W17</f>
        <v>151776777</v>
      </c>
      <c r="X14" s="195">
        <f t="shared" si="8"/>
        <v>121146716.19999993</v>
      </c>
      <c r="Y14" s="195">
        <f t="shared" si="8"/>
        <v>157059660.54999995</v>
      </c>
      <c r="Z14" s="195">
        <f t="shared" si="8"/>
        <v>190124749.50999999</v>
      </c>
      <c r="AA14" s="195">
        <f t="shared" si="8"/>
        <v>215404158.38</v>
      </c>
      <c r="AB14" s="195">
        <f t="shared" si="8"/>
        <v>258979008.24000001</v>
      </c>
      <c r="AC14" s="195">
        <f t="shared" si="8"/>
        <v>300671706.82000005</v>
      </c>
    </row>
    <row r="15" spans="1:32" s="157" customFormat="1" ht="12.75">
      <c r="A15" s="193"/>
      <c r="B15" s="158"/>
      <c r="C15" s="156"/>
      <c r="D15" s="156"/>
      <c r="E15" s="156"/>
      <c r="F15" s="156"/>
      <c r="G15" s="156"/>
      <c r="H15" s="156"/>
      <c r="I15" s="156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</row>
    <row r="16" spans="1:32" s="157" customFormat="1" ht="12.75">
      <c r="A16" s="193">
        <v>5.3</v>
      </c>
      <c r="B16" s="159" t="s">
        <v>153</v>
      </c>
      <c r="C16" s="160">
        <f t="shared" ref="C16:I16" si="9">SUM(C17:C20)</f>
        <v>0</v>
      </c>
      <c r="D16" s="160">
        <f t="shared" si="9"/>
        <v>0</v>
      </c>
      <c r="E16" s="160">
        <f t="shared" si="9"/>
        <v>0</v>
      </c>
      <c r="F16" s="160">
        <f t="shared" si="9"/>
        <v>0</v>
      </c>
      <c r="G16" s="160">
        <f t="shared" si="9"/>
        <v>0</v>
      </c>
      <c r="H16" s="160">
        <f t="shared" si="9"/>
        <v>0</v>
      </c>
      <c r="I16" s="160">
        <f t="shared" si="9"/>
        <v>50822603</v>
      </c>
      <c r="J16" s="195">
        <f t="shared" ref="J16:W16" si="10">SUM(J17:J20)</f>
        <v>148240999</v>
      </c>
      <c r="K16" s="195">
        <f t="shared" ref="K16:W16" si="11">SUM(K17:K20)</f>
        <v>123194998.2</v>
      </c>
      <c r="L16" s="195">
        <f t="shared" si="11"/>
        <v>133058973.41000001</v>
      </c>
      <c r="M16" s="195">
        <f t="shared" si="11"/>
        <v>294812096.29000002</v>
      </c>
      <c r="N16" s="195">
        <f t="shared" si="11"/>
        <v>299101713.41000003</v>
      </c>
      <c r="O16" s="195">
        <f t="shared" si="11"/>
        <v>312460589.06</v>
      </c>
      <c r="P16" s="195">
        <f t="shared" si="11"/>
        <v>342513454.97000003</v>
      </c>
      <c r="Q16" s="195">
        <f t="shared" si="11"/>
        <v>363141603.87</v>
      </c>
      <c r="R16" s="195">
        <f t="shared" si="11"/>
        <v>377888470.68000007</v>
      </c>
      <c r="S16" s="195">
        <f t="shared" si="11"/>
        <v>455199524.18000007</v>
      </c>
      <c r="T16" s="195">
        <f t="shared" si="11"/>
        <v>484529663.40000004</v>
      </c>
      <c r="U16" s="195">
        <f t="shared" si="11"/>
        <v>542747695.79000008</v>
      </c>
      <c r="V16" s="195">
        <f t="shared" si="11"/>
        <v>573180348.43000007</v>
      </c>
      <c r="W16" s="195">
        <f t="shared" ref="W16:AC16" si="12">SUM(W17:W20)</f>
        <v>489371779</v>
      </c>
      <c r="X16" s="195">
        <f t="shared" si="12"/>
        <v>510414483.05999994</v>
      </c>
      <c r="Y16" s="195">
        <f t="shared" si="12"/>
        <v>547763925.40999997</v>
      </c>
      <c r="Z16" s="195">
        <f t="shared" si="12"/>
        <v>780892051.12</v>
      </c>
      <c r="AA16" s="195">
        <f t="shared" si="12"/>
        <v>807329972.99000001</v>
      </c>
      <c r="AB16" s="195">
        <f t="shared" si="12"/>
        <v>862868375.85000002</v>
      </c>
      <c r="AC16" s="195">
        <f t="shared" si="12"/>
        <v>905581817.43000007</v>
      </c>
    </row>
    <row r="17" spans="1:29" ht="12.75">
      <c r="A17" s="196" t="s">
        <v>154</v>
      </c>
      <c r="B17" s="148" t="s">
        <v>155</v>
      </c>
      <c r="C17" s="144">
        <f>Trend!C40</f>
        <v>0</v>
      </c>
      <c r="D17" s="144">
        <f>Trend!D40</f>
        <v>0</v>
      </c>
      <c r="E17" s="144">
        <f>Trend!E40</f>
        <v>0</v>
      </c>
      <c r="F17" s="144">
        <f>Trend!F40</f>
        <v>0</v>
      </c>
      <c r="G17" s="144">
        <f>Trend!G40</f>
        <v>0</v>
      </c>
      <c r="H17" s="144">
        <f>Trend!H40</f>
        <v>0</v>
      </c>
      <c r="I17" s="144">
        <f>Trend!J40</f>
        <v>43186838</v>
      </c>
      <c r="J17" s="197">
        <f>Trend!K40</f>
        <v>73760486</v>
      </c>
      <c r="K17" s="197">
        <f>Trend!L40</f>
        <v>73765486</v>
      </c>
      <c r="L17" s="197">
        <f>Trend!M40</f>
        <v>73796626</v>
      </c>
      <c r="M17" s="197">
        <f>Trend!N40</f>
        <v>225824998</v>
      </c>
      <c r="N17" s="197">
        <f>Trend!O40</f>
        <v>226402490</v>
      </c>
      <c r="O17" s="197">
        <f>Trend!P40</f>
        <v>232021774</v>
      </c>
      <c r="P17" s="197">
        <f>Trend!Q40</f>
        <v>232099073.86000001</v>
      </c>
      <c r="Q17" s="197">
        <f>Trend!R40</f>
        <v>232323254.86000001</v>
      </c>
      <c r="R17" s="197">
        <f>Trend!S40</f>
        <v>232475025.86000001</v>
      </c>
      <c r="S17" s="197">
        <f>Trend!T40</f>
        <v>286738539.86000001</v>
      </c>
      <c r="T17" s="197">
        <f>Trend!U40</f>
        <v>295063282.86000001</v>
      </c>
      <c r="U17" s="197">
        <f>Trend!V40</f>
        <v>331688156.86000001</v>
      </c>
      <c r="V17" s="197">
        <f>Trend!W40</f>
        <v>337595001.86000001</v>
      </c>
      <c r="W17" s="197">
        <f>Trend!X40</f>
        <v>337595002</v>
      </c>
      <c r="X17" s="197">
        <f>Trend!Y40</f>
        <v>338267766.86000001</v>
      </c>
      <c r="Y17" s="197">
        <f>Trend!Z40</f>
        <v>339704264.86000001</v>
      </c>
      <c r="Z17" s="197">
        <f>Trend!AA40</f>
        <v>539767301.61000001</v>
      </c>
      <c r="AA17" s="197">
        <f>Trend!AB40</f>
        <v>540925814.61000001</v>
      </c>
      <c r="AB17" s="197">
        <f>Trend!AC40</f>
        <v>552889367.61000001</v>
      </c>
      <c r="AC17" s="197">
        <f>Trend!AD40</f>
        <v>553910110.61000001</v>
      </c>
    </row>
    <row r="18" spans="1:29" ht="12.75">
      <c r="A18" s="196" t="s">
        <v>156</v>
      </c>
      <c r="B18" s="146" t="s">
        <v>47</v>
      </c>
      <c r="C18" s="144">
        <f>Trend!C42</f>
        <v>0</v>
      </c>
      <c r="D18" s="144">
        <f>Trend!D42</f>
        <v>0</v>
      </c>
      <c r="E18" s="144">
        <f>Trend!E42</f>
        <v>0</v>
      </c>
      <c r="F18" s="144">
        <f>Trend!F42</f>
        <v>0</v>
      </c>
      <c r="G18" s="144">
        <f>Trend!G42</f>
        <v>0</v>
      </c>
      <c r="H18" s="144">
        <f>Trend!H42</f>
        <v>0</v>
      </c>
      <c r="I18" s="144">
        <f>Trend!J42</f>
        <v>5615976</v>
      </c>
      <c r="J18" s="197">
        <f>Trend!K42</f>
        <v>32981843</v>
      </c>
      <c r="K18" s="197">
        <f>Trend!L42</f>
        <v>39775841.969999999</v>
      </c>
      <c r="L18" s="197">
        <f>Trend!M42</f>
        <v>49608677.18</v>
      </c>
      <c r="M18" s="197">
        <f>Trend!N42</f>
        <v>59333428.060000002</v>
      </c>
      <c r="N18" s="197">
        <f>Trend!O42</f>
        <v>63045553.18</v>
      </c>
      <c r="O18" s="197">
        <f>Trend!P42</f>
        <v>70785144.829999998</v>
      </c>
      <c r="P18" s="197">
        <f>Trend!Q42</f>
        <v>100760710.88</v>
      </c>
      <c r="Q18" s="197">
        <f>Trend!R42</f>
        <v>121164678.78</v>
      </c>
      <c r="R18" s="197">
        <f>Trend!S42</f>
        <v>135759774.59</v>
      </c>
      <c r="S18" s="197">
        <f>Trend!T42</f>
        <v>158807314.09</v>
      </c>
      <c r="T18" s="197">
        <f>Trend!U42</f>
        <v>179812710.31</v>
      </c>
      <c r="U18" s="197">
        <f>Trend!V42</f>
        <v>201405868.70000002</v>
      </c>
      <c r="V18" s="197">
        <f>Trend!W42</f>
        <v>225931676.34</v>
      </c>
      <c r="W18" s="197">
        <f>Trend!X42</f>
        <v>116410903</v>
      </c>
      <c r="X18" s="197">
        <f>Trend!Y42</f>
        <v>136780841.66999999</v>
      </c>
      <c r="Y18" s="197">
        <f>Trend!Z42</f>
        <v>172693786.31999999</v>
      </c>
      <c r="Z18" s="197">
        <f>Trend!AA42</f>
        <v>205758875.28</v>
      </c>
      <c r="AA18" s="197">
        <f>Trend!AB42</f>
        <v>231038284.14999998</v>
      </c>
      <c r="AB18" s="197">
        <f>Trend!AC42</f>
        <v>274613134.00999999</v>
      </c>
      <c r="AC18" s="197">
        <f>Trend!AD42</f>
        <v>316305832.59000003</v>
      </c>
    </row>
    <row r="19" spans="1:29" ht="12.75">
      <c r="A19" s="196" t="s">
        <v>157</v>
      </c>
      <c r="B19" s="146" t="s">
        <v>158</v>
      </c>
      <c r="C19" s="144">
        <f>Trend!C46</f>
        <v>0</v>
      </c>
      <c r="D19" s="144">
        <f>Trend!D46</f>
        <v>0</v>
      </c>
      <c r="E19" s="144">
        <f>Trend!E46</f>
        <v>0</v>
      </c>
      <c r="F19" s="144">
        <f>Trend!F46</f>
        <v>0</v>
      </c>
      <c r="G19" s="144">
        <f>Trend!G46</f>
        <v>0</v>
      </c>
      <c r="H19" s="144">
        <f>Trend!H46</f>
        <v>0</v>
      </c>
      <c r="I19" s="144">
        <f>Trend!J46</f>
        <v>2019789</v>
      </c>
      <c r="J19" s="197">
        <f>Trend!K46</f>
        <v>9748670</v>
      </c>
      <c r="K19" s="197">
        <f>Trend!L46</f>
        <v>9653670.2300000004</v>
      </c>
      <c r="L19" s="197">
        <f>Trend!M46</f>
        <v>9653670.2300000004</v>
      </c>
      <c r="M19" s="197">
        <f>Trend!N46</f>
        <v>9653670.2300000004</v>
      </c>
      <c r="N19" s="197">
        <f>Trend!O46</f>
        <v>9653670.2300000004</v>
      </c>
      <c r="O19" s="197">
        <f>Trend!P46</f>
        <v>9653670.2300000004</v>
      </c>
      <c r="P19" s="197">
        <f>Trend!Q46</f>
        <v>9653670.2300000004</v>
      </c>
      <c r="Q19" s="197">
        <f>Trend!R46</f>
        <v>9653670.2300000004</v>
      </c>
      <c r="R19" s="197">
        <f>Trend!S46</f>
        <v>9653670.2300000004</v>
      </c>
      <c r="S19" s="197">
        <f>Trend!T46</f>
        <v>9653670.2300000004</v>
      </c>
      <c r="T19" s="197">
        <f>Trend!U46</f>
        <v>9653670.2300000004</v>
      </c>
      <c r="U19" s="197">
        <f>Trend!V46</f>
        <v>9653670.2300000004</v>
      </c>
      <c r="V19" s="197">
        <f>Trend!W46</f>
        <v>9653670.2300000004</v>
      </c>
      <c r="W19" s="197">
        <f>Trend!X46</f>
        <v>35365874</v>
      </c>
      <c r="X19" s="197">
        <f>Trend!Y46</f>
        <v>35365874.530000001</v>
      </c>
      <c r="Y19" s="197">
        <f>Trend!Z46</f>
        <v>35365874.229999997</v>
      </c>
      <c r="Z19" s="197">
        <f>Trend!AA46</f>
        <v>35365874.229999997</v>
      </c>
      <c r="AA19" s="197">
        <f>Trend!AB46</f>
        <v>35365874.229999997</v>
      </c>
      <c r="AB19" s="197">
        <f>Trend!AC46</f>
        <v>35365874.229999997</v>
      </c>
      <c r="AC19" s="197">
        <f>Trend!AD46</f>
        <v>35365874.229999997</v>
      </c>
    </row>
    <row r="20" spans="1:29" ht="12.75">
      <c r="A20" s="196" t="s">
        <v>159</v>
      </c>
      <c r="B20" s="146" t="s">
        <v>160</v>
      </c>
      <c r="C20" s="144">
        <f>Trend!C47</f>
        <v>0</v>
      </c>
      <c r="D20" s="144">
        <f>Trend!D47</f>
        <v>0</v>
      </c>
      <c r="E20" s="144">
        <f>Trend!E47</f>
        <v>0</v>
      </c>
      <c r="F20" s="144">
        <f>Trend!F47</f>
        <v>0</v>
      </c>
      <c r="G20" s="144">
        <f>Trend!G47</f>
        <v>0</v>
      </c>
      <c r="H20" s="144">
        <f>Trend!H47</f>
        <v>0</v>
      </c>
      <c r="I20" s="144">
        <f>Trend!J47</f>
        <v>0</v>
      </c>
      <c r="J20" s="197">
        <f>Trend!K47</f>
        <v>31750000</v>
      </c>
      <c r="K20" s="197">
        <f>Trend!L47</f>
        <v>0</v>
      </c>
      <c r="L20" s="197">
        <f>Trend!M47</f>
        <v>0</v>
      </c>
      <c r="M20" s="197">
        <f>Trend!N47</f>
        <v>0</v>
      </c>
      <c r="N20" s="197">
        <f>Trend!O47</f>
        <v>0</v>
      </c>
      <c r="O20" s="197">
        <f>Trend!P47</f>
        <v>0</v>
      </c>
      <c r="P20" s="197">
        <f>Trend!Q47</f>
        <v>0</v>
      </c>
      <c r="Q20" s="197">
        <f>Trend!R47</f>
        <v>0</v>
      </c>
      <c r="R20" s="197">
        <f>Trend!S47</f>
        <v>0</v>
      </c>
      <c r="S20" s="197">
        <f>Trend!T47</f>
        <v>0</v>
      </c>
      <c r="T20" s="197">
        <f>Trend!U47</f>
        <v>0</v>
      </c>
      <c r="U20" s="197">
        <f>Trend!V47</f>
        <v>0</v>
      </c>
      <c r="V20" s="197">
        <f>Trend!W47</f>
        <v>0</v>
      </c>
      <c r="W20" s="197">
        <f>Trend!X47</f>
        <v>0</v>
      </c>
      <c r="X20" s="197">
        <f>Trend!Y47</f>
        <v>0</v>
      </c>
      <c r="Y20" s="197">
        <f>Trend!Z47</f>
        <v>0</v>
      </c>
      <c r="Z20" s="197">
        <f>Trend!AA47</f>
        <v>0</v>
      </c>
      <c r="AA20" s="197">
        <f>Trend!AB47</f>
        <v>0</v>
      </c>
      <c r="AB20" s="197">
        <f>Trend!AC47</f>
        <v>0</v>
      </c>
      <c r="AC20" s="197">
        <f>Trend!AD47</f>
        <v>0</v>
      </c>
    </row>
    <row r="21" spans="1:29" ht="12.75">
      <c r="A21" s="196" t="s">
        <v>161</v>
      </c>
      <c r="B21" s="146"/>
      <c r="C21" s="144"/>
      <c r="D21" s="144"/>
      <c r="E21" s="144"/>
      <c r="F21" s="144"/>
      <c r="G21" s="144"/>
      <c r="H21" s="144"/>
      <c r="I21" s="144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>
        <v>31750000</v>
      </c>
    </row>
    <row r="22" spans="1:29" ht="12.75">
      <c r="A22" s="196" t="s">
        <v>162</v>
      </c>
      <c r="B22" s="149" t="s">
        <v>163</v>
      </c>
      <c r="C22" s="144"/>
      <c r="D22" s="144"/>
      <c r="E22" s="144"/>
      <c r="F22" s="144"/>
      <c r="G22" s="144"/>
      <c r="H22" s="144"/>
      <c r="I22" s="144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</row>
    <row r="23" spans="1:29" ht="12.75">
      <c r="A23" s="198" t="s">
        <v>164</v>
      </c>
      <c r="B23" s="146" t="s">
        <v>54</v>
      </c>
      <c r="C23" s="144">
        <f>Trend!C69+Trend!C70</f>
        <v>0</v>
      </c>
      <c r="D23" s="144">
        <f>Trend!D69+Trend!D70</f>
        <v>0</v>
      </c>
      <c r="E23" s="144">
        <f>Trend!E69+Trend!E70</f>
        <v>0</v>
      </c>
      <c r="F23" s="144">
        <f>Trend!F69+Trend!F70</f>
        <v>0</v>
      </c>
      <c r="G23" s="144">
        <f>Trend!G69+Trend!G70</f>
        <v>0</v>
      </c>
      <c r="H23" s="144">
        <f>Trend!H69+Trend!H70</f>
        <v>0</v>
      </c>
      <c r="I23" s="144">
        <f>Trend!J69+Trend!J70</f>
        <v>13028923</v>
      </c>
      <c r="J23" s="197">
        <f>Trend!K69+Trend!K70</f>
        <v>17052616</v>
      </c>
      <c r="K23" s="197">
        <f>Trend!L69+Trend!L70</f>
        <v>0</v>
      </c>
      <c r="L23" s="197">
        <f>Trend!M69+Trend!M70</f>
        <v>0</v>
      </c>
      <c r="M23" s="197">
        <f>Trend!N69+Trend!N70</f>
        <v>0</v>
      </c>
      <c r="N23" s="197">
        <f>Trend!O69+Trend!O70</f>
        <v>0</v>
      </c>
      <c r="O23" s="197">
        <f>Trend!P69+Trend!P70</f>
        <v>0</v>
      </c>
      <c r="P23" s="197">
        <f>Trend!Q69+Trend!Q70</f>
        <v>0</v>
      </c>
      <c r="Q23" s="197">
        <f>Trend!R69+Trend!R70</f>
        <v>0</v>
      </c>
      <c r="R23" s="197">
        <f>Trend!S69+Trend!S70</f>
        <v>0</v>
      </c>
      <c r="S23" s="197">
        <f>Trend!T69+Trend!T70</f>
        <v>0</v>
      </c>
      <c r="T23" s="197">
        <f>Trend!U69+Trend!U70</f>
        <v>0</v>
      </c>
      <c r="U23" s="197">
        <f>Trend!V69+Trend!V70</f>
        <v>0</v>
      </c>
      <c r="V23" s="197">
        <f>Trend!W69+Trend!W70</f>
        <v>0</v>
      </c>
      <c r="W23" s="197">
        <f>Trend!X69+Trend!X70</f>
        <v>53211583</v>
      </c>
      <c r="X23" s="197">
        <f>Trend!Y69+Trend!Y70</f>
        <v>0</v>
      </c>
      <c r="Y23" s="197">
        <f>Trend!Z69+Trend!Z70</f>
        <v>0</v>
      </c>
      <c r="Z23" s="197">
        <f>Trend!AA69+Trend!AA70</f>
        <v>0</v>
      </c>
      <c r="AA23" s="197">
        <f>Trend!AB69+Trend!AB70</f>
        <v>0</v>
      </c>
      <c r="AB23" s="197">
        <f>Trend!AC69+Trend!AC70</f>
        <v>0</v>
      </c>
      <c r="AC23" s="197">
        <f>Trend!AD69+Trend!AD70</f>
        <v>0</v>
      </c>
    </row>
    <row r="24" spans="1:29" ht="12.75">
      <c r="A24" s="198" t="s">
        <v>165</v>
      </c>
      <c r="B24" s="146"/>
      <c r="C24" s="144"/>
      <c r="D24" s="144"/>
      <c r="E24" s="144"/>
      <c r="F24" s="144"/>
      <c r="G24" s="144"/>
      <c r="H24" s="144"/>
      <c r="I24" s="144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</row>
    <row r="25" spans="1:29" ht="12.75">
      <c r="A25" s="187"/>
      <c r="B25" s="150"/>
      <c r="C25" s="144"/>
      <c r="D25" s="144"/>
      <c r="E25" s="144"/>
      <c r="F25" s="144"/>
      <c r="G25" s="144"/>
      <c r="H25" s="144"/>
      <c r="I25" s="144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</row>
    <row r="26" spans="1:29" s="6" customFormat="1" ht="12.75">
      <c r="A26" s="199">
        <v>6</v>
      </c>
      <c r="B26" s="165" t="s">
        <v>166</v>
      </c>
      <c r="C26" s="166">
        <f t="shared" ref="C26:I26" si="13">SUM(C27:C28)</f>
        <v>0</v>
      </c>
      <c r="D26" s="166">
        <f t="shared" si="13"/>
        <v>0</v>
      </c>
      <c r="E26" s="166">
        <f t="shared" si="13"/>
        <v>0</v>
      </c>
      <c r="F26" s="166">
        <f t="shared" si="13"/>
        <v>0</v>
      </c>
      <c r="G26" s="166">
        <f t="shared" si="13"/>
        <v>0</v>
      </c>
      <c r="H26" s="166">
        <f t="shared" si="13"/>
        <v>0</v>
      </c>
      <c r="I26" s="166">
        <f t="shared" si="13"/>
        <v>10000000</v>
      </c>
      <c r="J26" s="200">
        <f t="shared" ref="J26:W26" si="14">SUM(J27:J28)</f>
        <v>10000000</v>
      </c>
      <c r="K26" s="200">
        <f t="shared" ref="K26:W26" si="15">SUM(K27:K28)</f>
        <v>60000000</v>
      </c>
      <c r="L26" s="200">
        <f t="shared" si="15"/>
        <v>61582795</v>
      </c>
      <c r="M26" s="200">
        <f t="shared" si="15"/>
        <v>61582795</v>
      </c>
      <c r="N26" s="200">
        <f t="shared" si="15"/>
        <v>61582795</v>
      </c>
      <c r="O26" s="200">
        <f t="shared" si="15"/>
        <v>102582795</v>
      </c>
      <c r="P26" s="200">
        <f t="shared" si="15"/>
        <v>104116127</v>
      </c>
      <c r="Q26" s="200">
        <f t="shared" si="15"/>
        <v>51000000</v>
      </c>
      <c r="R26" s="200">
        <f t="shared" si="15"/>
        <v>51000000</v>
      </c>
      <c r="S26" s="200">
        <f t="shared" si="15"/>
        <v>101000000</v>
      </c>
      <c r="T26" s="200">
        <f t="shared" si="15"/>
        <v>101000000</v>
      </c>
      <c r="U26" s="200">
        <f t="shared" si="15"/>
        <v>101000000</v>
      </c>
      <c r="V26" s="200">
        <f t="shared" si="15"/>
        <v>101000000</v>
      </c>
      <c r="W26" s="200">
        <f t="shared" ref="W26:AC26" si="16">SUM(W27:W28)</f>
        <v>51000000</v>
      </c>
      <c r="X26" s="200">
        <f t="shared" si="16"/>
        <v>102511250</v>
      </c>
      <c r="Y26" s="200">
        <f t="shared" si="16"/>
        <v>102511250</v>
      </c>
      <c r="Z26" s="200">
        <f t="shared" si="16"/>
        <v>121000000</v>
      </c>
      <c r="AA26" s="200">
        <f t="shared" si="16"/>
        <v>51000000</v>
      </c>
      <c r="AB26" s="200">
        <f t="shared" si="16"/>
        <v>51000000</v>
      </c>
      <c r="AC26" s="200">
        <f t="shared" si="16"/>
        <v>51000000</v>
      </c>
    </row>
    <row r="27" spans="1:29" ht="12.75">
      <c r="A27" s="196">
        <v>6.1</v>
      </c>
      <c r="B27" s="146" t="s">
        <v>167</v>
      </c>
      <c r="C27" s="144">
        <f>Trend!C12</f>
        <v>0</v>
      </c>
      <c r="D27" s="144">
        <f>Trend!D12</f>
        <v>0</v>
      </c>
      <c r="E27" s="144">
        <f>Trend!E12</f>
        <v>0</v>
      </c>
      <c r="F27" s="144">
        <f>Trend!F12</f>
        <v>0</v>
      </c>
      <c r="G27" s="144">
        <f>Trend!G12</f>
        <v>0</v>
      </c>
      <c r="H27" s="144">
        <f>Trend!H12</f>
        <v>0</v>
      </c>
      <c r="I27" s="144">
        <f>Trend!J12</f>
        <v>10000000</v>
      </c>
      <c r="J27" s="197">
        <f>Trend!K12</f>
        <v>10000000</v>
      </c>
      <c r="K27" s="197">
        <f>Trend!L12</f>
        <v>50000000</v>
      </c>
      <c r="L27" s="197">
        <f>Trend!M12</f>
        <v>51582795</v>
      </c>
      <c r="M27" s="197">
        <f>Trend!N12</f>
        <v>51582795</v>
      </c>
      <c r="N27" s="197">
        <f>Trend!O12</f>
        <v>51582795</v>
      </c>
      <c r="O27" s="197">
        <f>Trend!P12</f>
        <v>51582795</v>
      </c>
      <c r="P27" s="197">
        <f>Trend!Q12</f>
        <v>53116127</v>
      </c>
      <c r="Q27" s="197">
        <f>Trend!R12</f>
        <v>0</v>
      </c>
      <c r="R27" s="197">
        <f>Trend!S12</f>
        <v>0</v>
      </c>
      <c r="S27" s="197">
        <f>Trend!T12</f>
        <v>50000000</v>
      </c>
      <c r="T27" s="197">
        <f>Trend!U12</f>
        <v>50000000</v>
      </c>
      <c r="U27" s="197">
        <f>Trend!V12</f>
        <v>60000000</v>
      </c>
      <c r="V27" s="197">
        <f>Trend!W12</f>
        <v>50000000</v>
      </c>
      <c r="W27" s="197">
        <f>Trend!X12</f>
        <v>51000000</v>
      </c>
      <c r="X27" s="197">
        <f>Trend!Y12</f>
        <v>51511250</v>
      </c>
      <c r="Y27" s="197">
        <f>Trend!Z12</f>
        <v>51511250</v>
      </c>
      <c r="Z27" s="197">
        <f>Trend!AA12</f>
        <v>70000000</v>
      </c>
      <c r="AA27" s="197">
        <f>Trend!AB12</f>
        <v>0</v>
      </c>
      <c r="AB27" s="197">
        <f>Trend!AC12</f>
        <v>0</v>
      </c>
      <c r="AC27" s="197">
        <f>Trend!AD12</f>
        <v>0</v>
      </c>
    </row>
    <row r="28" spans="1:29" ht="12.75">
      <c r="A28" s="196">
        <v>6.2</v>
      </c>
      <c r="B28" s="146" t="s">
        <v>168</v>
      </c>
      <c r="C28" s="144">
        <f>Trend!C13</f>
        <v>0</v>
      </c>
      <c r="D28" s="144">
        <f>Trend!D13</f>
        <v>0</v>
      </c>
      <c r="E28" s="144">
        <f>Trend!E13</f>
        <v>0</v>
      </c>
      <c r="F28" s="144">
        <f>Trend!F13</f>
        <v>0</v>
      </c>
      <c r="G28" s="144">
        <f>Trend!G13</f>
        <v>0</v>
      </c>
      <c r="H28" s="144">
        <f>Trend!H13</f>
        <v>0</v>
      </c>
      <c r="I28" s="144">
        <f>Trend!J13</f>
        <v>0</v>
      </c>
      <c r="J28" s="197">
        <f>Trend!K13</f>
        <v>0</v>
      </c>
      <c r="K28" s="197">
        <f>Trend!L13</f>
        <v>10000000</v>
      </c>
      <c r="L28" s="197">
        <f>Trend!M13</f>
        <v>10000000</v>
      </c>
      <c r="M28" s="197">
        <f>Trend!N13</f>
        <v>10000000</v>
      </c>
      <c r="N28" s="197">
        <f>Trend!O13</f>
        <v>10000000</v>
      </c>
      <c r="O28" s="197">
        <f>Trend!P13</f>
        <v>51000000</v>
      </c>
      <c r="P28" s="197">
        <f>Trend!Q13</f>
        <v>51000000</v>
      </c>
      <c r="Q28" s="197">
        <f>Trend!R13</f>
        <v>51000000</v>
      </c>
      <c r="R28" s="197">
        <f>Trend!S13</f>
        <v>51000000</v>
      </c>
      <c r="S28" s="197">
        <f>Trend!T13</f>
        <v>51000000</v>
      </c>
      <c r="T28" s="197">
        <f>Trend!U13</f>
        <v>51000000</v>
      </c>
      <c r="U28" s="197">
        <f>Trend!V13</f>
        <v>41000000</v>
      </c>
      <c r="V28" s="197">
        <f>Trend!W13</f>
        <v>51000000</v>
      </c>
      <c r="W28" s="197">
        <f>Trend!X13</f>
        <v>0</v>
      </c>
      <c r="X28" s="197">
        <f>Trend!Y13</f>
        <v>51000000</v>
      </c>
      <c r="Y28" s="197">
        <f>Trend!Z13</f>
        <v>51000000</v>
      </c>
      <c r="Z28" s="197">
        <f>Trend!AA13</f>
        <v>51000000</v>
      </c>
      <c r="AA28" s="197">
        <f>Trend!AB13</f>
        <v>51000000</v>
      </c>
      <c r="AB28" s="197">
        <f>Trend!AC13</f>
        <v>51000000</v>
      </c>
      <c r="AC28" s="197">
        <f>Trend!AD13</f>
        <v>51000000</v>
      </c>
    </row>
    <row r="29" spans="1:29" ht="12.75">
      <c r="A29" s="196">
        <v>6.3</v>
      </c>
      <c r="B29" s="146" t="s">
        <v>169</v>
      </c>
      <c r="C29" s="144"/>
      <c r="D29" s="144"/>
      <c r="E29" s="144"/>
      <c r="F29" s="144"/>
      <c r="G29" s="144"/>
      <c r="H29" s="144"/>
      <c r="I29" s="144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</row>
    <row r="30" spans="1:29" ht="12.75">
      <c r="A30" s="187"/>
      <c r="B30" s="146"/>
      <c r="C30" s="144"/>
      <c r="D30" s="144"/>
      <c r="E30" s="144"/>
      <c r="F30" s="144"/>
      <c r="G30" s="144"/>
      <c r="H30" s="144"/>
      <c r="I30" s="144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</row>
    <row r="31" spans="1:29" ht="12.75">
      <c r="A31" s="196">
        <v>7</v>
      </c>
      <c r="B31" s="142" t="s">
        <v>170</v>
      </c>
      <c r="C31" s="144">
        <f t="shared" ref="C31:I31" si="17">C32-C33</f>
        <v>0</v>
      </c>
      <c r="D31" s="144">
        <f t="shared" si="17"/>
        <v>0</v>
      </c>
      <c r="E31" s="144">
        <f t="shared" si="17"/>
        <v>0</v>
      </c>
      <c r="F31" s="144">
        <f t="shared" si="17"/>
        <v>0</v>
      </c>
      <c r="G31" s="144">
        <f t="shared" si="17"/>
        <v>0</v>
      </c>
      <c r="H31" s="144">
        <f t="shared" si="17"/>
        <v>0</v>
      </c>
      <c r="I31" s="144">
        <f t="shared" si="17"/>
        <v>67566895</v>
      </c>
      <c r="J31" s="197">
        <f t="shared" ref="J31:W31" si="18">J32-J33</f>
        <v>552937724.51999998</v>
      </c>
      <c r="K31" s="197">
        <f t="shared" ref="K31:W31" si="19">K32-K33</f>
        <v>595717835.81999993</v>
      </c>
      <c r="L31" s="197">
        <f t="shared" si="19"/>
        <v>639661333.55999994</v>
      </c>
      <c r="M31" s="197">
        <f t="shared" si="19"/>
        <v>706878796.46999991</v>
      </c>
      <c r="N31" s="197">
        <f t="shared" si="19"/>
        <v>804723164.08000004</v>
      </c>
      <c r="O31" s="197">
        <f t="shared" si="19"/>
        <v>913678359.81999993</v>
      </c>
      <c r="P31" s="197">
        <f t="shared" si="19"/>
        <v>1036763082.9200001</v>
      </c>
      <c r="Q31" s="197">
        <f t="shared" si="19"/>
        <v>1152217749.6600001</v>
      </c>
      <c r="R31" s="197">
        <f t="shared" si="19"/>
        <v>1279549773.6300001</v>
      </c>
      <c r="S31" s="197">
        <f t="shared" si="19"/>
        <v>1425723080.5800002</v>
      </c>
      <c r="T31" s="197">
        <f t="shared" si="19"/>
        <v>1583796850.52</v>
      </c>
      <c r="U31" s="197">
        <f t="shared" si="19"/>
        <v>1752123610</v>
      </c>
      <c r="V31" s="197">
        <f t="shared" si="19"/>
        <v>1919636893.0699999</v>
      </c>
      <c r="W31" s="197">
        <f t="shared" ref="W31:AC31" si="20">W32-W33</f>
        <v>1919672589</v>
      </c>
      <c r="X31" s="197">
        <f t="shared" si="20"/>
        <v>2102724965.3</v>
      </c>
      <c r="Y31" s="197">
        <f t="shared" si="20"/>
        <v>2293473140.4300003</v>
      </c>
      <c r="Z31" s="197">
        <f t="shared" si="20"/>
        <v>2532739681.5600004</v>
      </c>
      <c r="AA31" s="197">
        <f t="shared" si="20"/>
        <v>2736147404.7199998</v>
      </c>
      <c r="AB31" s="197">
        <f t="shared" si="20"/>
        <v>2955033751.4699998</v>
      </c>
      <c r="AC31" s="197">
        <f t="shared" si="20"/>
        <v>3200234216.2399998</v>
      </c>
    </row>
    <row r="32" spans="1:29" ht="12.75">
      <c r="A32" s="196">
        <v>7.1</v>
      </c>
      <c r="B32" s="142" t="s">
        <v>171</v>
      </c>
      <c r="C32" s="144">
        <f>+Trend!C15</f>
        <v>0</v>
      </c>
      <c r="D32" s="144">
        <f>+Trend!D15</f>
        <v>0</v>
      </c>
      <c r="E32" s="144">
        <f>+Trend!E15</f>
        <v>0</v>
      </c>
      <c r="F32" s="144">
        <f>+Trend!F15</f>
        <v>0</v>
      </c>
      <c r="G32" s="144">
        <f>+Trend!G15</f>
        <v>0</v>
      </c>
      <c r="H32" s="144">
        <f>+Trend!H15</f>
        <v>0</v>
      </c>
      <c r="I32" s="144">
        <f>+Trend!J15</f>
        <v>67566895</v>
      </c>
      <c r="J32" s="197">
        <f>+Trend!K15</f>
        <v>552937724.51999998</v>
      </c>
      <c r="K32" s="197">
        <f>+Trend!L15</f>
        <v>607138207.25999999</v>
      </c>
      <c r="L32" s="197">
        <f>+Trend!M15</f>
        <v>654081705</v>
      </c>
      <c r="M32" s="197">
        <f>+Trend!N15</f>
        <v>725858774.90999997</v>
      </c>
      <c r="N32" s="197">
        <f>+Trend!O15</f>
        <v>827863988.11000001</v>
      </c>
      <c r="O32" s="197">
        <f>+Trend!P15</f>
        <v>942057614.00999999</v>
      </c>
      <c r="P32" s="197">
        <f>+Trend!Q15</f>
        <v>1060214704.46</v>
      </c>
      <c r="Q32" s="197">
        <f>+Trend!R15</f>
        <v>1178890473.1600001</v>
      </c>
      <c r="R32" s="197">
        <f>+Trend!S15</f>
        <v>1312370015.4100001</v>
      </c>
      <c r="S32" s="197">
        <f>+Trend!T15</f>
        <v>1462298704.1600001</v>
      </c>
      <c r="T32" s="197">
        <f>+Trend!U15</f>
        <v>1623872241.46</v>
      </c>
      <c r="U32" s="197">
        <f>+Trend!V15</f>
        <v>1795914969.46</v>
      </c>
      <c r="V32" s="197">
        <f>+Trend!W15</f>
        <v>1965876279.3299999</v>
      </c>
      <c r="W32" s="197">
        <f>+Trend!X15</f>
        <v>1965911975</v>
      </c>
      <c r="X32" s="197">
        <f>+Trend!Y15</f>
        <v>2156775721</v>
      </c>
      <c r="Y32" s="197">
        <f>+Trend!Z15</f>
        <v>2352187244.8200002</v>
      </c>
      <c r="Z32" s="197">
        <f>+Trend!AA15</f>
        <v>2594502052.5100002</v>
      </c>
      <c r="AA32" s="197">
        <f>+Trend!AB15</f>
        <v>2805719566.79</v>
      </c>
      <c r="AB32" s="197">
        <f>+Trend!AC15</f>
        <v>3031348975.8099999</v>
      </c>
      <c r="AC32" s="197">
        <f>+Trend!AD15</f>
        <v>3283191196.7199998</v>
      </c>
    </row>
    <row r="33" spans="1:29" ht="12.75">
      <c r="A33" s="196">
        <v>7.3</v>
      </c>
      <c r="B33" s="142" t="s">
        <v>172</v>
      </c>
      <c r="C33" s="144">
        <f>+Trend!C16</f>
        <v>0</v>
      </c>
      <c r="D33" s="144">
        <f>+Trend!D16</f>
        <v>0</v>
      </c>
      <c r="E33" s="144">
        <f>+Trend!E16</f>
        <v>0</v>
      </c>
      <c r="F33" s="144">
        <f>+Trend!F16</f>
        <v>0</v>
      </c>
      <c r="G33" s="144">
        <f>+Trend!G16</f>
        <v>0</v>
      </c>
      <c r="H33" s="144">
        <f>+Trend!H16</f>
        <v>0</v>
      </c>
      <c r="I33" s="144">
        <f>+Trend!J16</f>
        <v>0</v>
      </c>
      <c r="J33" s="197">
        <f>+Trend!K16</f>
        <v>0</v>
      </c>
      <c r="K33" s="197">
        <f>+Trend!L16</f>
        <v>11420371.439999999</v>
      </c>
      <c r="L33" s="197">
        <f>+Trend!M16</f>
        <v>14420371.439999999</v>
      </c>
      <c r="M33" s="197">
        <f>+Trend!N16</f>
        <v>18979978.440000001</v>
      </c>
      <c r="N33" s="197">
        <f>+Trend!O16</f>
        <v>23140824.030000001</v>
      </c>
      <c r="O33" s="197">
        <f>+Trend!P16</f>
        <v>28379254.190000001</v>
      </c>
      <c r="P33" s="197">
        <f>+Trend!Q16</f>
        <v>23451621.539999999</v>
      </c>
      <c r="Q33" s="197">
        <f>+Trend!R16</f>
        <v>26672723.5</v>
      </c>
      <c r="R33" s="197">
        <f>+Trend!S16</f>
        <v>32820241.780000001</v>
      </c>
      <c r="S33" s="197">
        <f>+Trend!T16</f>
        <v>36575623.579999998</v>
      </c>
      <c r="T33" s="197">
        <f>+Trend!U16</f>
        <v>40075390.939999998</v>
      </c>
      <c r="U33" s="197">
        <f>+Trend!V16</f>
        <v>43791359.460000001</v>
      </c>
      <c r="V33" s="197">
        <f>+Trend!W16</f>
        <v>46239386.259999998</v>
      </c>
      <c r="W33" s="197">
        <f>+Trend!X16</f>
        <v>46239386</v>
      </c>
      <c r="X33" s="197">
        <f>+Trend!Y16</f>
        <v>54050755.700000003</v>
      </c>
      <c r="Y33" s="197">
        <f>+Trend!Z16</f>
        <v>58714104.390000001</v>
      </c>
      <c r="Z33" s="197">
        <f>+Trend!AA16</f>
        <v>61762370.950000003</v>
      </c>
      <c r="AA33" s="197">
        <f>+Trend!AB16</f>
        <v>69572162.069999993</v>
      </c>
      <c r="AB33" s="197">
        <f>+Trend!AC16</f>
        <v>76315224.340000004</v>
      </c>
      <c r="AC33" s="197">
        <f>+Trend!AD16</f>
        <v>82956980.480000004</v>
      </c>
    </row>
    <row r="34" spans="1:29" ht="12.75">
      <c r="A34" s="187">
        <v>7.4</v>
      </c>
      <c r="B34" s="142" t="s">
        <v>173</v>
      </c>
      <c r="C34" s="144"/>
      <c r="D34" s="144"/>
      <c r="E34" s="144"/>
      <c r="F34" s="144">
        <v>15659839.059999999</v>
      </c>
      <c r="G34" s="144">
        <f>9488181.59+650188.65+8950044.59</f>
        <v>19088414.829999998</v>
      </c>
      <c r="H34" s="144">
        <f>9488181.59+650188.65+8950044.59</f>
        <v>19088414.829999998</v>
      </c>
      <c r="I34" s="144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</row>
    <row r="35" spans="1:29" ht="13.9" thickBot="1">
      <c r="A35" s="196">
        <v>7.56666666666667</v>
      </c>
      <c r="B35" s="142" t="s">
        <v>174</v>
      </c>
      <c r="C35" s="144"/>
      <c r="D35" s="144"/>
      <c r="E35" s="144"/>
      <c r="F35" s="144"/>
      <c r="G35" s="144"/>
      <c r="H35" s="144"/>
      <c r="I35" s="144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</row>
    <row r="36" spans="1:29" ht="12.75">
      <c r="A36" s="196">
        <v>7.7166666666666703</v>
      </c>
      <c r="B36" s="152" t="s">
        <v>175</v>
      </c>
      <c r="C36" s="144"/>
      <c r="D36" s="144"/>
      <c r="E36" s="144"/>
      <c r="F36" s="144"/>
      <c r="G36" s="144"/>
      <c r="H36" s="144"/>
      <c r="I36" s="144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</row>
    <row r="37" spans="1:29" ht="12.75">
      <c r="A37" s="196">
        <v>7.8666666666666698</v>
      </c>
      <c r="B37" s="152" t="s">
        <v>176</v>
      </c>
      <c r="C37" s="144">
        <f>Trend!C5</f>
        <v>0</v>
      </c>
      <c r="D37" s="144">
        <f>Trend!D5</f>
        <v>0</v>
      </c>
      <c r="E37" s="144">
        <f>Trend!E5</f>
        <v>0</v>
      </c>
      <c r="F37" s="144">
        <f>Trend!F5</f>
        <v>0</v>
      </c>
      <c r="G37" s="144">
        <f>Trend!G5</f>
        <v>0</v>
      </c>
      <c r="H37" s="144">
        <f>Trend!H5</f>
        <v>0</v>
      </c>
      <c r="I37" s="144">
        <f>Trend!J5</f>
        <v>375933615</v>
      </c>
      <c r="J37" s="197">
        <f>Trend!K5</f>
        <v>583646239</v>
      </c>
      <c r="K37" s="197">
        <f>Trend!L5</f>
        <v>530051264.5</v>
      </c>
      <c r="L37" s="197">
        <f>Trend!M5</f>
        <v>414823307.37</v>
      </c>
      <c r="M37" s="197">
        <f>Trend!N5</f>
        <v>674925014.98000002</v>
      </c>
      <c r="N37" s="197">
        <f>Trend!O5</f>
        <v>650372544.58000004</v>
      </c>
      <c r="O37" s="197">
        <f>Trend!P5</f>
        <v>686294227.04999995</v>
      </c>
      <c r="P37" s="197">
        <f>Trend!Q5</f>
        <v>705390816.75</v>
      </c>
      <c r="Q37" s="197">
        <f>Trend!R5</f>
        <v>391682240.67000002</v>
      </c>
      <c r="R37" s="197">
        <f>Trend!S5</f>
        <v>902132020.89999998</v>
      </c>
      <c r="S37" s="197">
        <f>Trend!T5</f>
        <v>901814892.39999998</v>
      </c>
      <c r="T37" s="197">
        <f>Trend!U5</f>
        <v>921860266.38</v>
      </c>
      <c r="U37" s="197">
        <f>Trend!V5</f>
        <v>901230360.96000004</v>
      </c>
      <c r="V37" s="197">
        <f>Trend!W5</f>
        <v>312423970.57999998</v>
      </c>
      <c r="W37" s="197">
        <f>Trend!X5</f>
        <v>426668934</v>
      </c>
      <c r="X37" s="197">
        <f>Trend!Y5</f>
        <v>910752712.99000001</v>
      </c>
      <c r="Y37" s="197">
        <f>Trend!Z5</f>
        <v>925424980.88</v>
      </c>
      <c r="Z37" s="197">
        <f>Trend!AA5</f>
        <v>794938300.32000005</v>
      </c>
      <c r="AA37" s="197">
        <f>Trend!AB5</f>
        <v>301126660.79000002</v>
      </c>
      <c r="AB37" s="197">
        <f>Trend!AC5</f>
        <v>256682020.78999999</v>
      </c>
      <c r="AC37" s="197">
        <f>Trend!AD5</f>
        <v>820057674.54999995</v>
      </c>
    </row>
    <row r="38" spans="1:29" ht="12.75">
      <c r="A38" s="187"/>
      <c r="B38" s="140"/>
      <c r="C38" s="144"/>
      <c r="D38" s="144"/>
      <c r="E38" s="144"/>
      <c r="F38" s="144"/>
      <c r="G38" s="144"/>
      <c r="H38" s="144"/>
      <c r="I38" s="144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</row>
    <row r="39" spans="1:29" ht="12.75">
      <c r="A39" s="196">
        <v>8</v>
      </c>
      <c r="B39" s="142" t="s">
        <v>177</v>
      </c>
      <c r="C39" s="144">
        <f>Trend!C8+Trend!C21</f>
        <v>0</v>
      </c>
      <c r="D39" s="144">
        <f>Trend!D8+Trend!D21</f>
        <v>0</v>
      </c>
      <c r="E39" s="144">
        <f>Trend!E8+Trend!E21</f>
        <v>0</v>
      </c>
      <c r="F39" s="144">
        <f>Trend!F8+Trend!F21</f>
        <v>0</v>
      </c>
      <c r="G39" s="144">
        <f>Trend!G8+Trend!G21</f>
        <v>0</v>
      </c>
      <c r="H39" s="144">
        <f>Trend!H8+Trend!H21</f>
        <v>0</v>
      </c>
      <c r="I39" s="144">
        <f>Trend!J8+Trend!J21</f>
        <v>5863447</v>
      </c>
      <c r="J39" s="197">
        <f>Trend!K8+Trend!K21</f>
        <v>24284162.030000001</v>
      </c>
      <c r="K39" s="197">
        <f>Trend!L8+Trend!L21</f>
        <v>24779369.609999999</v>
      </c>
      <c r="L39" s="197">
        <f>Trend!M8+Trend!M21</f>
        <v>215668362.74000001</v>
      </c>
      <c r="M39" s="197">
        <f>Trend!N8+Trend!N21</f>
        <v>618454.56999999995</v>
      </c>
      <c r="N39" s="197">
        <f>Trend!O8+Trend!O21</f>
        <v>2094825.03</v>
      </c>
      <c r="O39" s="197">
        <f>Trend!P8+Trend!P21</f>
        <v>3757175.09</v>
      </c>
      <c r="P39" s="197">
        <f>Trend!Q8+Trend!Q21</f>
        <v>119761761.01000001</v>
      </c>
      <c r="Q39" s="197">
        <f>Trend!R8+Trend!R21</f>
        <v>493428781.44</v>
      </c>
      <c r="R39" s="197">
        <f>Trend!S8+Trend!S21</f>
        <v>6147486.8200000003</v>
      </c>
      <c r="S39" s="197">
        <f>Trend!T8+Trend!T21</f>
        <v>8381173.8399999999</v>
      </c>
      <c r="T39" s="197">
        <f>Trend!U8+Trend!U21</f>
        <v>11930338.41</v>
      </c>
      <c r="U39" s="197">
        <f>Trend!V8+Trend!V21</f>
        <v>13610849.83</v>
      </c>
      <c r="V39" s="197">
        <f>Trend!W8+Trend!W21</f>
        <v>631628100.15999997</v>
      </c>
      <c r="W39" s="197">
        <f>Trend!X8+Trend!X21</f>
        <v>631294398</v>
      </c>
      <c r="X39" s="197">
        <f>Trend!Y8+Trend!Y21</f>
        <v>6132599.2000000002</v>
      </c>
      <c r="Y39" s="197">
        <f>Trend!Z8+Trend!Z21</f>
        <v>7298663.1200000001</v>
      </c>
      <c r="Z39" s="197">
        <f>Trend!AA8+Trend!AA21</f>
        <v>8761622.8499999996</v>
      </c>
      <c r="AA39" s="197">
        <f>Trend!AB8+Trend!AB21</f>
        <v>547758770.30999994</v>
      </c>
      <c r="AB39" s="197">
        <f>Trend!AC8+Trend!AC21</f>
        <v>578511900.05999994</v>
      </c>
      <c r="AC39" s="197">
        <f>Trend!AD8+Trend!AD21</f>
        <v>9758571.4499999993</v>
      </c>
    </row>
    <row r="40" spans="1:29" ht="12.75">
      <c r="A40" s="196">
        <v>8.1</v>
      </c>
      <c r="B40" s="142" t="s">
        <v>28</v>
      </c>
      <c r="C40" s="144">
        <f>Trend!C23</f>
        <v>0</v>
      </c>
      <c r="D40" s="144">
        <f>Trend!D23</f>
        <v>0</v>
      </c>
      <c r="E40" s="144">
        <f>Trend!E23</f>
        <v>0</v>
      </c>
      <c r="F40" s="144">
        <f>Trend!F23</f>
        <v>0</v>
      </c>
      <c r="G40" s="144">
        <f>Trend!G23</f>
        <v>0</v>
      </c>
      <c r="H40" s="144">
        <f>Trend!H23</f>
        <v>0</v>
      </c>
      <c r="I40" s="144">
        <f>Trend!J23</f>
        <v>0</v>
      </c>
      <c r="J40" s="197">
        <f>Trend!K23</f>
        <v>0</v>
      </c>
      <c r="K40" s="197">
        <f>Trend!L23</f>
        <v>0</v>
      </c>
      <c r="L40" s="197">
        <f>Trend!M23</f>
        <v>0</v>
      </c>
      <c r="M40" s="197">
        <f>Trend!N23</f>
        <v>0</v>
      </c>
      <c r="N40" s="197">
        <f>Trend!O23</f>
        <v>0</v>
      </c>
      <c r="O40" s="197">
        <f>Trend!P23</f>
        <v>0</v>
      </c>
      <c r="P40" s="197">
        <f>Trend!Q23</f>
        <v>0</v>
      </c>
      <c r="Q40" s="197">
        <f>Trend!R23</f>
        <v>0</v>
      </c>
      <c r="R40" s="197">
        <f>Trend!S23</f>
        <v>0</v>
      </c>
      <c r="S40" s="197">
        <f>Trend!T23</f>
        <v>0</v>
      </c>
      <c r="T40" s="197">
        <f>Trend!U23</f>
        <v>0</v>
      </c>
      <c r="U40" s="197">
        <f>Trend!V23</f>
        <v>0</v>
      </c>
      <c r="V40" s="197">
        <f>Trend!W23</f>
        <v>0</v>
      </c>
      <c r="W40" s="197">
        <f>Trend!X23</f>
        <v>0</v>
      </c>
      <c r="X40" s="197">
        <f>Trend!Y23</f>
        <v>0</v>
      </c>
      <c r="Y40" s="197">
        <f>Trend!Z23</f>
        <v>0</v>
      </c>
      <c r="Z40" s="197">
        <f>Trend!AA23</f>
        <v>0</v>
      </c>
      <c r="AA40" s="197">
        <f>Trend!AB23</f>
        <v>4350000</v>
      </c>
      <c r="AB40" s="197">
        <f>Trend!AC23</f>
        <v>4475000</v>
      </c>
      <c r="AC40" s="197">
        <f>Trend!AD23</f>
        <v>0</v>
      </c>
    </row>
    <row r="41" spans="1:29" ht="12.75">
      <c r="A41" s="196">
        <v>8.1999999999999993</v>
      </c>
      <c r="B41" s="141" t="s">
        <v>178</v>
      </c>
      <c r="C41" s="144"/>
      <c r="D41" s="144"/>
      <c r="E41" s="144"/>
      <c r="F41" s="144"/>
      <c r="G41" s="144"/>
      <c r="H41" s="144"/>
      <c r="I41" s="144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</row>
    <row r="42" spans="1:29" ht="12.75">
      <c r="A42" s="187"/>
      <c r="B42" s="142"/>
      <c r="C42" s="144"/>
      <c r="D42" s="144"/>
      <c r="E42" s="144"/>
      <c r="F42" s="144"/>
      <c r="G42" s="144"/>
      <c r="H42" s="144"/>
      <c r="I42" s="144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</row>
    <row r="43" spans="1:29" ht="12.75">
      <c r="A43" s="194">
        <v>9</v>
      </c>
      <c r="B43" s="167" t="s">
        <v>179</v>
      </c>
      <c r="C43" s="160">
        <f t="shared" ref="C43:I43" si="21">C44+C45+C46</f>
        <v>0</v>
      </c>
      <c r="D43" s="160">
        <f t="shared" si="21"/>
        <v>0</v>
      </c>
      <c r="E43" s="160">
        <f t="shared" si="21"/>
        <v>0</v>
      </c>
      <c r="F43" s="160">
        <f t="shared" si="21"/>
        <v>0</v>
      </c>
      <c r="G43" s="160">
        <f t="shared" si="21"/>
        <v>0</v>
      </c>
      <c r="H43" s="160">
        <f t="shared" si="21"/>
        <v>0</v>
      </c>
      <c r="I43" s="160">
        <f t="shared" si="21"/>
        <v>26073627</v>
      </c>
      <c r="J43" s="195">
        <f t="shared" ref="J43:W43" si="22">J44+J45+J46</f>
        <v>75147891.050000012</v>
      </c>
      <c r="K43" s="195">
        <f t="shared" ref="K43:W43" si="23">K44+K45+K46</f>
        <v>9844121.8100000005</v>
      </c>
      <c r="L43" s="195">
        <f t="shared" si="23"/>
        <v>23307861.990000002</v>
      </c>
      <c r="M43" s="195">
        <f t="shared" si="23"/>
        <v>38162899.18</v>
      </c>
      <c r="N43" s="195">
        <f t="shared" si="23"/>
        <v>51641984.539999999</v>
      </c>
      <c r="O43" s="195">
        <f t="shared" si="23"/>
        <v>67868386.549999997</v>
      </c>
      <c r="P43" s="195">
        <f t="shared" si="23"/>
        <v>94717716.99000001</v>
      </c>
      <c r="Q43" s="195">
        <f t="shared" si="23"/>
        <v>118749388.47</v>
      </c>
      <c r="R43" s="195">
        <f t="shared" si="23"/>
        <v>139877320.03</v>
      </c>
      <c r="S43" s="195">
        <f t="shared" si="23"/>
        <v>168237574.86000001</v>
      </c>
      <c r="T43" s="195">
        <f t="shared" si="23"/>
        <v>193463165.50999999</v>
      </c>
      <c r="U43" s="195">
        <f t="shared" si="23"/>
        <v>221373276.09000003</v>
      </c>
      <c r="V43" s="195">
        <f t="shared" si="23"/>
        <v>253851567</v>
      </c>
      <c r="W43" s="195">
        <f t="shared" ref="W43:AC43" si="24">W44+W45+W46</f>
        <v>254436092</v>
      </c>
      <c r="X43" s="195">
        <f t="shared" si="24"/>
        <v>28917818.530000001</v>
      </c>
      <c r="Y43" s="195">
        <f t="shared" si="24"/>
        <v>69604649.760000005</v>
      </c>
      <c r="Z43" s="195">
        <f t="shared" si="24"/>
        <v>108353720.03</v>
      </c>
      <c r="AA43" s="195">
        <f t="shared" si="24"/>
        <v>147756254.77000001</v>
      </c>
      <c r="AB43" s="195">
        <f t="shared" si="24"/>
        <v>199781983.82999998</v>
      </c>
      <c r="AC43" s="195">
        <f t="shared" si="24"/>
        <v>254052805.08999997</v>
      </c>
    </row>
    <row r="44" spans="1:29" ht="12.75">
      <c r="A44" s="196">
        <v>9.1</v>
      </c>
      <c r="B44" s="142" t="s">
        <v>180</v>
      </c>
      <c r="C44" s="144">
        <f>Trend!C61</f>
        <v>0</v>
      </c>
      <c r="D44" s="144">
        <f>Trend!D61</f>
        <v>0</v>
      </c>
      <c r="E44" s="144">
        <f>Trend!E61</f>
        <v>0</v>
      </c>
      <c r="F44" s="144">
        <f>Trend!F61</f>
        <v>0</v>
      </c>
      <c r="G44" s="144">
        <f>Trend!G61</f>
        <v>0</v>
      </c>
      <c r="H44" s="144">
        <f>Trend!H61</f>
        <v>0</v>
      </c>
      <c r="I44" s="144">
        <f>Trend!J61</f>
        <v>2051377</v>
      </c>
      <c r="J44" s="197">
        <f>Trend!K61</f>
        <v>30031681.75</v>
      </c>
      <c r="K44" s="197">
        <f>Trend!L61</f>
        <v>5791010</v>
      </c>
      <c r="L44" s="197">
        <f>Trend!M61</f>
        <v>12004630.9</v>
      </c>
      <c r="M44" s="197">
        <f>Trend!N61</f>
        <v>18456061</v>
      </c>
      <c r="N44" s="197">
        <f>Trend!O61</f>
        <v>26231070.359999999</v>
      </c>
      <c r="O44" s="197">
        <f>Trend!P61</f>
        <v>34864958.740000002</v>
      </c>
      <c r="P44" s="197">
        <f>Trend!Q61</f>
        <v>44097121.579999998</v>
      </c>
      <c r="Q44" s="197">
        <f>Trend!R61</f>
        <v>56341071.280000001</v>
      </c>
      <c r="R44" s="197">
        <f>Trend!S61</f>
        <v>69144624.340000004</v>
      </c>
      <c r="S44" s="197">
        <f>Trend!T61</f>
        <v>83776983.319999993</v>
      </c>
      <c r="T44" s="197">
        <f>Trend!U61</f>
        <v>99957290.659999996</v>
      </c>
      <c r="U44" s="197">
        <f>Trend!V61</f>
        <v>118234788.2</v>
      </c>
      <c r="V44" s="197">
        <f>Trend!W61</f>
        <v>139456484.96000001</v>
      </c>
      <c r="W44" s="197">
        <f>Trend!X61</f>
        <v>132133329</v>
      </c>
      <c r="X44" s="197">
        <f>Trend!Y61</f>
        <v>20982250.440000001</v>
      </c>
      <c r="Y44" s="197">
        <f>Trend!Z61</f>
        <v>47460924.439999998</v>
      </c>
      <c r="Z44" s="197">
        <f>Trend!AA61</f>
        <v>76825973.840000004</v>
      </c>
      <c r="AA44" s="197">
        <f>Trend!AB61</f>
        <v>108785390.51000001</v>
      </c>
      <c r="AB44" s="197">
        <f>Trend!AC61</f>
        <v>143743260.69</v>
      </c>
      <c r="AC44" s="197">
        <f>Trend!AD61</f>
        <v>182222778.87</v>
      </c>
    </row>
    <row r="45" spans="1:29" ht="12.75">
      <c r="A45" s="196"/>
      <c r="B45" s="142" t="s">
        <v>181</v>
      </c>
      <c r="C45" s="144">
        <f>Trend!C62</f>
        <v>0</v>
      </c>
      <c r="D45" s="144">
        <f>Trend!D62</f>
        <v>0</v>
      </c>
      <c r="E45" s="144">
        <f>Trend!E62</f>
        <v>0</v>
      </c>
      <c r="F45" s="144">
        <f>Trend!F62</f>
        <v>0</v>
      </c>
      <c r="G45" s="144">
        <f>Trend!G62</f>
        <v>0</v>
      </c>
      <c r="H45" s="144">
        <f>Trend!H62</f>
        <v>0</v>
      </c>
      <c r="I45" s="144">
        <f>Trend!J62</f>
        <v>0</v>
      </c>
      <c r="J45" s="197">
        <f>Trend!K62</f>
        <v>0</v>
      </c>
      <c r="K45" s="197">
        <f>Trend!L62</f>
        <v>596470</v>
      </c>
      <c r="L45" s="197">
        <f>Trend!M62</f>
        <v>1283490</v>
      </c>
      <c r="M45" s="197">
        <f>Trend!N62</f>
        <v>2143432</v>
      </c>
      <c r="N45" s="197">
        <f>Trend!O62</f>
        <v>3243754.1</v>
      </c>
      <c r="O45" s="197">
        <f>Trend!P62</f>
        <v>4481696.4000000004</v>
      </c>
      <c r="P45" s="197">
        <f>Trend!Q62</f>
        <v>5806191.4000000004</v>
      </c>
      <c r="Q45" s="197">
        <f>Trend!R62</f>
        <v>6965561.4000000004</v>
      </c>
      <c r="R45" s="197">
        <f>Trend!S62</f>
        <v>8437111.4000000004</v>
      </c>
      <c r="S45" s="197">
        <f>Trend!T62</f>
        <v>10131981.4</v>
      </c>
      <c r="T45" s="197">
        <f>Trend!U62</f>
        <v>11920448.4</v>
      </c>
      <c r="U45" s="197">
        <f>Trend!V62</f>
        <v>13832098.4</v>
      </c>
      <c r="V45" s="197">
        <f>Trend!W62</f>
        <v>15795552.4</v>
      </c>
      <c r="W45" s="197">
        <f>Trend!X62</f>
        <v>0</v>
      </c>
      <c r="X45" s="197">
        <f>Trend!Y62</f>
        <v>2438030</v>
      </c>
      <c r="Y45" s="197">
        <f>Trend!Z62</f>
        <v>5633317.5999999996</v>
      </c>
      <c r="Z45" s="197">
        <f>Trend!AA62</f>
        <v>9284765.5999999996</v>
      </c>
      <c r="AA45" s="197">
        <f>Trend!AB62</f>
        <v>12293486.199999999</v>
      </c>
      <c r="AB45" s="197">
        <f>Trend!AC62</f>
        <v>15558701.699999999</v>
      </c>
      <c r="AC45" s="197">
        <f>Trend!AD62</f>
        <v>20129663.699999999</v>
      </c>
    </row>
    <row r="46" spans="1:29" ht="12.75">
      <c r="A46" s="196">
        <v>9.1999999999999993</v>
      </c>
      <c r="B46" s="142" t="s">
        <v>182</v>
      </c>
      <c r="C46" s="144">
        <f>Trend!C63</f>
        <v>0</v>
      </c>
      <c r="D46" s="144">
        <f>Trend!D63</f>
        <v>0</v>
      </c>
      <c r="E46" s="144">
        <f>Trend!E63</f>
        <v>0</v>
      </c>
      <c r="F46" s="144">
        <f>Trend!F63</f>
        <v>0</v>
      </c>
      <c r="G46" s="144">
        <f>Trend!G63</f>
        <v>0</v>
      </c>
      <c r="H46" s="144">
        <f>Trend!H63</f>
        <v>0</v>
      </c>
      <c r="I46" s="144">
        <f>Trend!J63</f>
        <v>24022250</v>
      </c>
      <c r="J46" s="197">
        <f>Trend!K63</f>
        <v>45116209.300000004</v>
      </c>
      <c r="K46" s="197">
        <f>Trend!L63</f>
        <v>3456641.81</v>
      </c>
      <c r="L46" s="197">
        <f>Trend!M63</f>
        <v>10019741.09</v>
      </c>
      <c r="M46" s="197">
        <f>Trend!N63</f>
        <v>17563406.18</v>
      </c>
      <c r="N46" s="197">
        <f>Trend!O63</f>
        <v>22167160.079999998</v>
      </c>
      <c r="O46" s="197">
        <f>Trend!P63</f>
        <v>28521731.41</v>
      </c>
      <c r="P46" s="197">
        <f>Trend!Q63</f>
        <v>44814404.010000005</v>
      </c>
      <c r="Q46" s="197">
        <f>Trend!R63</f>
        <v>55442755.789999999</v>
      </c>
      <c r="R46" s="197">
        <f>Trend!S63</f>
        <v>62295584.289999999</v>
      </c>
      <c r="S46" s="197">
        <f>Trend!T63</f>
        <v>74328610.140000001</v>
      </c>
      <c r="T46" s="197">
        <f>Trend!U63</f>
        <v>81585426.450000003</v>
      </c>
      <c r="U46" s="197">
        <f>Trend!V63</f>
        <v>89306389.49000001</v>
      </c>
      <c r="V46" s="197">
        <f>Trend!W63</f>
        <v>98599529.640000001</v>
      </c>
      <c r="W46" s="197">
        <f>Trend!X63</f>
        <v>122302763</v>
      </c>
      <c r="X46" s="197">
        <f>Trend!Y63</f>
        <v>5497538.0899999999</v>
      </c>
      <c r="Y46" s="197">
        <f>Trend!Z63</f>
        <v>16510407.720000001</v>
      </c>
      <c r="Z46" s="197">
        <f>Trend!AA63</f>
        <v>22242980.59</v>
      </c>
      <c r="AA46" s="197">
        <f>Trend!AB63</f>
        <v>26677378.060000002</v>
      </c>
      <c r="AB46" s="197">
        <f>Trend!AC63</f>
        <v>40480021.439999998</v>
      </c>
      <c r="AC46" s="197">
        <f>Trend!AD63</f>
        <v>51700362.519999996</v>
      </c>
    </row>
    <row r="47" spans="1:29" ht="12.75">
      <c r="A47" s="196"/>
      <c r="B47" s="142" t="s">
        <v>183</v>
      </c>
      <c r="C47" s="153" t="e">
        <f t="shared" ref="C47:H47" si="25">C44/C32</f>
        <v>#DIV/0!</v>
      </c>
      <c r="D47" s="153" t="e">
        <f t="shared" si="25"/>
        <v>#DIV/0!</v>
      </c>
      <c r="E47" s="153" t="e">
        <f t="shared" si="25"/>
        <v>#DIV/0!</v>
      </c>
      <c r="F47" s="153" t="e">
        <f t="shared" si="25"/>
        <v>#DIV/0!</v>
      </c>
      <c r="G47" s="153" t="e">
        <f t="shared" si="25"/>
        <v>#DIV/0!</v>
      </c>
      <c r="H47" s="153" t="e">
        <f t="shared" si="25"/>
        <v>#DIV/0!</v>
      </c>
      <c r="I47" s="153">
        <f t="shared" ref="I47" si="26">I44/I32</f>
        <v>3.036068181022674E-2</v>
      </c>
      <c r="J47" s="201">
        <f t="shared" ref="J47:W47" si="27">J44/J32</f>
        <v>5.4312955000620042E-2</v>
      </c>
      <c r="K47" s="201">
        <f t="shared" ref="K47:W47" si="28">K44/K32</f>
        <v>9.5382071672522276E-3</v>
      </c>
      <c r="L47" s="201">
        <f t="shared" si="28"/>
        <v>1.8353411826432298E-2</v>
      </c>
      <c r="M47" s="201">
        <f t="shared" si="28"/>
        <v>2.5426517716601812E-2</v>
      </c>
      <c r="N47" s="201">
        <f t="shared" si="28"/>
        <v>3.1685241460840813E-2</v>
      </c>
      <c r="O47" s="201">
        <f t="shared" si="28"/>
        <v>3.7009369938206249E-2</v>
      </c>
      <c r="P47" s="201">
        <f t="shared" si="28"/>
        <v>4.1592633449146529E-2</v>
      </c>
      <c r="Q47" s="201">
        <f t="shared" si="28"/>
        <v>4.7791607925186226E-2</v>
      </c>
      <c r="R47" s="201">
        <f t="shared" si="28"/>
        <v>5.2686836431871997E-2</v>
      </c>
      <c r="S47" s="201">
        <f t="shared" si="28"/>
        <v>5.7291292867639294E-2</v>
      </c>
      <c r="T47" s="201">
        <f t="shared" si="28"/>
        <v>6.1554898290600644E-2</v>
      </c>
      <c r="U47" s="201">
        <f t="shared" si="28"/>
        <v>6.5835404354110991E-2</v>
      </c>
      <c r="V47" s="201">
        <f t="shared" si="28"/>
        <v>7.0938586739308362E-2</v>
      </c>
      <c r="W47" s="201">
        <f t="shared" ref="W47:AC47" si="29">W44/W32</f>
        <v>6.7212230598473255E-2</v>
      </c>
      <c r="X47" s="201">
        <f t="shared" si="29"/>
        <v>9.7285268169986054E-3</v>
      </c>
      <c r="Y47" s="201">
        <f t="shared" si="29"/>
        <v>2.0177358135292464E-2</v>
      </c>
      <c r="Z47" s="201">
        <f t="shared" si="29"/>
        <v>2.9611066896507644E-2</v>
      </c>
      <c r="AA47" s="201">
        <f t="shared" si="29"/>
        <v>3.8772724044712867E-2</v>
      </c>
      <c r="AB47" s="201">
        <f t="shared" si="29"/>
        <v>4.7418908821473017E-2</v>
      </c>
      <c r="AC47" s="201">
        <f t="shared" si="29"/>
        <v>5.5501726202252757E-2</v>
      </c>
    </row>
    <row r="48" spans="1:29" ht="12.75">
      <c r="A48" s="196"/>
      <c r="B48" s="142"/>
      <c r="C48" s="151"/>
      <c r="D48" s="151"/>
      <c r="E48" s="151"/>
      <c r="F48" s="151"/>
      <c r="G48" s="151"/>
      <c r="H48" s="151"/>
      <c r="I48" s="151"/>
      <c r="J48" s="202"/>
      <c r="K48" s="202"/>
      <c r="L48" s="202"/>
      <c r="M48" s="202"/>
      <c r="N48" s="202"/>
      <c r="O48" s="202"/>
      <c r="P48" s="202"/>
      <c r="Q48" s="202"/>
      <c r="R48" s="202"/>
      <c r="S48" s="202"/>
      <c r="T48" s="202"/>
      <c r="U48" s="202"/>
      <c r="V48" s="202"/>
      <c r="W48" s="202"/>
    </row>
    <row r="49" spans="1:29" ht="12.75">
      <c r="A49" s="203">
        <v>10</v>
      </c>
      <c r="B49" s="167" t="s">
        <v>184</v>
      </c>
      <c r="C49" s="166">
        <f t="shared" ref="C49:I49" si="30">SUM(C50:C56)</f>
        <v>0</v>
      </c>
      <c r="D49" s="166">
        <f t="shared" si="30"/>
        <v>0</v>
      </c>
      <c r="E49" s="166">
        <f t="shared" si="30"/>
        <v>0</v>
      </c>
      <c r="F49" s="166">
        <f t="shared" si="30"/>
        <v>0</v>
      </c>
      <c r="G49" s="166">
        <f t="shared" si="30"/>
        <v>0</v>
      </c>
      <c r="H49" s="166">
        <f t="shared" si="30"/>
        <v>0</v>
      </c>
      <c r="I49" s="166">
        <f t="shared" si="30"/>
        <v>14592995</v>
      </c>
      <c r="J49" s="200">
        <f t="shared" ref="J49:W49" si="31">SUM(J50:J56)</f>
        <v>35048932</v>
      </c>
      <c r="K49" s="200">
        <f t="shared" ref="K49:W49" si="32">SUM(K50:K56)</f>
        <v>3252779.24</v>
      </c>
      <c r="L49" s="200">
        <f t="shared" si="32"/>
        <v>7453754.7799999993</v>
      </c>
      <c r="M49" s="200">
        <f t="shared" si="32"/>
        <v>12960868.82</v>
      </c>
      <c r="N49" s="200">
        <f t="shared" si="32"/>
        <v>28275333.759999998</v>
      </c>
      <c r="O49" s="200">
        <f t="shared" si="32"/>
        <v>38382808.299999997</v>
      </c>
      <c r="P49" s="200">
        <f t="shared" si="32"/>
        <v>36949227.440000005</v>
      </c>
      <c r="Q49" s="200">
        <f t="shared" si="32"/>
        <v>40963557.18</v>
      </c>
      <c r="R49" s="200">
        <f t="shared" si="32"/>
        <v>47856860.520000003</v>
      </c>
      <c r="S49" s="200">
        <f t="shared" si="32"/>
        <v>54704889.460000001</v>
      </c>
      <c r="T49" s="200">
        <f t="shared" si="32"/>
        <v>59632311</v>
      </c>
      <c r="U49" s="200">
        <f t="shared" si="32"/>
        <v>68209576.840000004</v>
      </c>
      <c r="V49" s="200">
        <f t="shared" si="32"/>
        <v>80290080.579999998</v>
      </c>
      <c r="W49" s="200">
        <f t="shared" ref="W49:AC49" si="33">SUM(W50:W56)</f>
        <v>118359923</v>
      </c>
      <c r="X49" s="200">
        <f t="shared" si="33"/>
        <v>9272787</v>
      </c>
      <c r="Y49" s="200">
        <f t="shared" si="33"/>
        <v>14110512.1</v>
      </c>
      <c r="Z49" s="200">
        <f t="shared" si="33"/>
        <v>21865959.899999999</v>
      </c>
      <c r="AA49" s="200">
        <f t="shared" si="33"/>
        <v>42265062.400000006</v>
      </c>
      <c r="AB49" s="200">
        <f t="shared" si="33"/>
        <v>52378019.200000003</v>
      </c>
      <c r="AC49" s="200">
        <f t="shared" si="33"/>
        <v>70809356.299999997</v>
      </c>
    </row>
    <row r="50" spans="1:29" ht="12.75">
      <c r="A50" s="196">
        <v>10.1</v>
      </c>
      <c r="B50" s="142" t="s">
        <v>185</v>
      </c>
      <c r="C50" s="144">
        <f>Trend!C69</f>
        <v>0</v>
      </c>
      <c r="D50" s="144">
        <f>Trend!D69</f>
        <v>0</v>
      </c>
      <c r="E50" s="144">
        <f>Trend!E69</f>
        <v>0</v>
      </c>
      <c r="F50" s="144">
        <f>Trend!F69</f>
        <v>0</v>
      </c>
      <c r="G50" s="144">
        <f>Trend!G69</f>
        <v>0</v>
      </c>
      <c r="H50" s="144">
        <f>Trend!H69</f>
        <v>0</v>
      </c>
      <c r="I50" s="144">
        <f>Trend!J69</f>
        <v>13028923</v>
      </c>
      <c r="J50" s="197">
        <f>Trend!K69</f>
        <v>17052616</v>
      </c>
      <c r="K50" s="197">
        <f>Trend!L69</f>
        <v>0</v>
      </c>
      <c r="L50" s="197">
        <f>Trend!M69</f>
        <v>0</v>
      </c>
      <c r="M50" s="197">
        <f>Trend!N69</f>
        <v>0</v>
      </c>
      <c r="N50" s="197">
        <f>Trend!O69</f>
        <v>0</v>
      </c>
      <c r="O50" s="197">
        <f>Trend!P69</f>
        <v>0</v>
      </c>
      <c r="P50" s="197">
        <f>Trend!Q69</f>
        <v>0</v>
      </c>
      <c r="Q50" s="197">
        <f>Trend!R69</f>
        <v>0</v>
      </c>
      <c r="R50" s="197">
        <f>Trend!S69</f>
        <v>0</v>
      </c>
      <c r="S50" s="197">
        <f>Trend!T69</f>
        <v>0</v>
      </c>
      <c r="T50" s="197">
        <f>Trend!U69</f>
        <v>0</v>
      </c>
      <c r="U50" s="197">
        <f>Trend!V69</f>
        <v>0</v>
      </c>
      <c r="V50" s="197">
        <f>Trend!W69</f>
        <v>0</v>
      </c>
      <c r="W50" s="197">
        <f>Trend!X69</f>
        <v>52611583</v>
      </c>
      <c r="X50" s="197">
        <f>Trend!Y69</f>
        <v>0</v>
      </c>
      <c r="Y50" s="197">
        <f>Trend!Z69</f>
        <v>0</v>
      </c>
      <c r="Z50" s="197">
        <f>Trend!AA69</f>
        <v>0</v>
      </c>
      <c r="AA50" s="197">
        <f>Trend!AB69</f>
        <v>0</v>
      </c>
      <c r="AB50" s="197">
        <f>Trend!AC69</f>
        <v>0</v>
      </c>
      <c r="AC50" s="197">
        <f>Trend!AD69</f>
        <v>0</v>
      </c>
    </row>
    <row r="51" spans="1:29" ht="12.75">
      <c r="A51" s="196">
        <v>10.199999999999999</v>
      </c>
      <c r="B51" s="142" t="s">
        <v>186</v>
      </c>
      <c r="C51" s="144">
        <f>Trend!C71</f>
        <v>0</v>
      </c>
      <c r="D51" s="144">
        <f>Trend!D71</f>
        <v>0</v>
      </c>
      <c r="E51" s="144">
        <f>Trend!E71</f>
        <v>0</v>
      </c>
      <c r="F51" s="144">
        <f>Trend!F71</f>
        <v>0</v>
      </c>
      <c r="G51" s="144">
        <f>Trend!G71</f>
        <v>0</v>
      </c>
      <c r="H51" s="144">
        <f>Trend!H71</f>
        <v>0</v>
      </c>
      <c r="I51" s="144">
        <f>Trend!J71</f>
        <v>0</v>
      </c>
      <c r="J51" s="197">
        <f>Trend!K71</f>
        <v>0</v>
      </c>
      <c r="K51" s="197">
        <f>Trend!L71</f>
        <v>0</v>
      </c>
      <c r="L51" s="197">
        <f>Trend!M71</f>
        <v>0</v>
      </c>
      <c r="M51" s="197">
        <f>Trend!N71</f>
        <v>0</v>
      </c>
      <c r="N51" s="197">
        <f>Trend!O71</f>
        <v>0</v>
      </c>
      <c r="O51" s="197">
        <f>Trend!P71</f>
        <v>0</v>
      </c>
      <c r="P51" s="197">
        <f>Trend!Q71</f>
        <v>0</v>
      </c>
      <c r="Q51" s="197">
        <f>Trend!R71</f>
        <v>0</v>
      </c>
      <c r="R51" s="197">
        <f>Trend!S71</f>
        <v>0</v>
      </c>
      <c r="S51" s="197">
        <f>Trend!T71</f>
        <v>0</v>
      </c>
      <c r="T51" s="197">
        <f>Trend!U71</f>
        <v>0</v>
      </c>
      <c r="U51" s="197">
        <f>Trend!V71</f>
        <v>0</v>
      </c>
      <c r="V51" s="197">
        <f>Trend!W71</f>
        <v>0</v>
      </c>
      <c r="W51" s="197">
        <f>Trend!X71</f>
        <v>0</v>
      </c>
      <c r="X51" s="197">
        <f>Trend!Y71</f>
        <v>0</v>
      </c>
      <c r="Y51" s="197">
        <f>Trend!Z71</f>
        <v>0</v>
      </c>
      <c r="Z51" s="197">
        <f>Trend!AA71</f>
        <v>0</v>
      </c>
      <c r="AA51" s="197">
        <f>Trend!AB71</f>
        <v>0</v>
      </c>
      <c r="AB51" s="197">
        <f>Trend!AC71</f>
        <v>0</v>
      </c>
      <c r="AC51" s="197">
        <f>Trend!AD71</f>
        <v>0</v>
      </c>
    </row>
    <row r="52" spans="1:29" ht="12.75">
      <c r="A52" s="196">
        <v>10.3</v>
      </c>
      <c r="B52" s="142" t="s">
        <v>187</v>
      </c>
      <c r="C52" s="154">
        <f>Trend!C70</f>
        <v>0</v>
      </c>
      <c r="D52" s="154">
        <f>Trend!D70</f>
        <v>0</v>
      </c>
      <c r="E52" s="154">
        <f>Trend!E70</f>
        <v>0</v>
      </c>
      <c r="F52" s="154">
        <f>Trend!F70</f>
        <v>0</v>
      </c>
      <c r="G52" s="154">
        <f>Trend!G70</f>
        <v>0</v>
      </c>
      <c r="H52" s="154">
        <f>Trend!H70</f>
        <v>0</v>
      </c>
      <c r="I52" s="154">
        <f>Trend!J70</f>
        <v>0</v>
      </c>
      <c r="J52" s="204">
        <f>Trend!K70</f>
        <v>0</v>
      </c>
      <c r="K52" s="204">
        <f>Trend!L70</f>
        <v>0</v>
      </c>
      <c r="L52" s="204">
        <f>Trend!M70</f>
        <v>0</v>
      </c>
      <c r="M52" s="204">
        <f>Trend!N70</f>
        <v>0</v>
      </c>
      <c r="N52" s="204">
        <f>Trend!O70</f>
        <v>0</v>
      </c>
      <c r="O52" s="204">
        <f>Trend!P70</f>
        <v>0</v>
      </c>
      <c r="P52" s="204">
        <f>Trend!Q70</f>
        <v>0</v>
      </c>
      <c r="Q52" s="204">
        <f>Trend!R70</f>
        <v>0</v>
      </c>
      <c r="R52" s="204">
        <f>Trend!S70</f>
        <v>0</v>
      </c>
      <c r="S52" s="204">
        <f>Trend!T70</f>
        <v>0</v>
      </c>
      <c r="T52" s="204">
        <f>Trend!U70</f>
        <v>0</v>
      </c>
      <c r="U52" s="204">
        <f>Trend!V70</f>
        <v>0</v>
      </c>
      <c r="V52" s="204">
        <f>Trend!W70</f>
        <v>0</v>
      </c>
      <c r="W52" s="204">
        <f>Trend!X70</f>
        <v>600000</v>
      </c>
      <c r="X52" s="204">
        <f>Trend!Y70</f>
        <v>0</v>
      </c>
      <c r="Y52" s="204">
        <f>Trend!Z70</f>
        <v>0</v>
      </c>
      <c r="Z52" s="204">
        <f>Trend!AA70</f>
        <v>0</v>
      </c>
      <c r="AA52" s="204">
        <f>Trend!AB70</f>
        <v>0</v>
      </c>
      <c r="AB52" s="204">
        <f>Trend!AC70</f>
        <v>0</v>
      </c>
      <c r="AC52" s="204">
        <f>Trend!AD70</f>
        <v>0</v>
      </c>
    </row>
    <row r="53" spans="1:29" ht="12.75">
      <c r="A53" s="196">
        <v>10.4</v>
      </c>
      <c r="B53" s="142" t="s">
        <v>188</v>
      </c>
      <c r="C53" s="144">
        <f>Trend!C72+Trend!C73+Trend!C74</f>
        <v>0</v>
      </c>
      <c r="D53" s="144">
        <f>Trend!D72+Trend!D73+Trend!D74</f>
        <v>0</v>
      </c>
      <c r="E53" s="144">
        <f>Trend!E72+Trend!E73+Trend!E74</f>
        <v>0</v>
      </c>
      <c r="F53" s="144">
        <f>Trend!F72+Trend!F73+Trend!F74</f>
        <v>0</v>
      </c>
      <c r="G53" s="144">
        <f>Trend!G72+Trend!G73+Trend!G74</f>
        <v>0</v>
      </c>
      <c r="H53" s="144">
        <f>Trend!H72+Trend!H73+Trend!H74</f>
        <v>0</v>
      </c>
      <c r="I53" s="144">
        <f>Trend!J72+Trend!J73+Trend!J74</f>
        <v>0</v>
      </c>
      <c r="J53" s="197">
        <f>Trend!K72+Trend!K73+Trend!K74</f>
        <v>3914706</v>
      </c>
      <c r="K53" s="197">
        <f>Trend!L72+Trend!L73+Trend!L74</f>
        <v>37465.9</v>
      </c>
      <c r="L53" s="197">
        <f>Trend!M72+Trend!M73+Trend!M74</f>
        <v>80100.100000000006</v>
      </c>
      <c r="M53" s="197">
        <f>Trend!N72+Trend!N73+Trend!N74</f>
        <v>144751.79999999999</v>
      </c>
      <c r="N53" s="197">
        <f>Trend!O72+Trend!O73+Trend!O74</f>
        <v>195361.8</v>
      </c>
      <c r="O53" s="197">
        <f>Trend!P72+Trend!P73+Trend!P74</f>
        <v>1609627.8</v>
      </c>
      <c r="P53" s="197">
        <f>Trend!Q72+Trend!Q73+Trend!Q74</f>
        <v>1677369.9</v>
      </c>
      <c r="Q53" s="197">
        <f>Trend!R72+Trend!R73+Trend!R74</f>
        <v>1692345.5</v>
      </c>
      <c r="R53" s="197">
        <f>Trend!S72+Trend!S73+Trend!S74</f>
        <v>1717195.3</v>
      </c>
      <c r="S53" s="197">
        <f>Trend!T72+Trend!T73+Trend!T74</f>
        <v>1739215.1</v>
      </c>
      <c r="T53" s="197">
        <f>Trend!U72+Trend!U73+Trend!U74</f>
        <v>1752415.1</v>
      </c>
      <c r="U53" s="197">
        <f>Trend!V72+Trend!V73+Trend!V74</f>
        <v>2093085.1</v>
      </c>
      <c r="V53" s="197">
        <f>Trend!W72+Trend!W73+Trend!W74</f>
        <v>1817521.1</v>
      </c>
      <c r="W53" s="197">
        <f>Trend!X72+Trend!X73+Trend!X74</f>
        <v>423521</v>
      </c>
      <c r="X53" s="197">
        <f>Trend!Y72+Trend!Y73+Trend!Y74</f>
        <v>11604</v>
      </c>
      <c r="Y53" s="197">
        <f>Trend!Z72+Trend!Z73+Trend!Z74</f>
        <v>44684</v>
      </c>
      <c r="Z53" s="197">
        <f>Trend!AA72+Trend!AA73+Trend!AA74</f>
        <v>72932.3</v>
      </c>
      <c r="AA53" s="197">
        <f>Trend!AB72+Trend!AB73+Trend!AB74</f>
        <v>110290.3</v>
      </c>
      <c r="AB53" s="197">
        <f>Trend!AC72+Trend!AC73+Trend!AC74</f>
        <v>132029.79999999999</v>
      </c>
      <c r="AC53" s="197">
        <f>Trend!AD72+Trend!AD73+Trend!AD74</f>
        <v>145581.79999999999</v>
      </c>
    </row>
    <row r="54" spans="1:29" ht="12.75">
      <c r="A54" s="196">
        <v>10.5</v>
      </c>
      <c r="B54" s="142" t="s">
        <v>86</v>
      </c>
      <c r="C54" s="144">
        <f>Trend!C84+Trend!C83+Trend!C82+Trend!C80</f>
        <v>0</v>
      </c>
      <c r="D54" s="144">
        <f>Trend!D84+Trend!D83+Trend!D82+Trend!D80</f>
        <v>0</v>
      </c>
      <c r="E54" s="144">
        <f>Trend!E84+Trend!E83+Trend!E82+Trend!E80</f>
        <v>0</v>
      </c>
      <c r="F54" s="144">
        <f>Trend!F84+Trend!F83+Trend!F82+Trend!F80</f>
        <v>0</v>
      </c>
      <c r="G54" s="144">
        <f>Trend!G84+Trend!G83+Trend!G82+Trend!G80</f>
        <v>0</v>
      </c>
      <c r="H54" s="144">
        <f>Trend!H84+Trend!H83+Trend!H82+Trend!H80</f>
        <v>0</v>
      </c>
      <c r="I54" s="144">
        <f>Trend!J84+Trend!J83+Trend!J82+Trend!J80</f>
        <v>782036</v>
      </c>
      <c r="J54" s="197">
        <f>Trend!K84+Trend!K83+Trend!K82+Trend!K80</f>
        <v>3168454</v>
      </c>
      <c r="K54" s="197">
        <f>Trend!L84+Trend!L83+Trend!L82+Trend!L80</f>
        <v>107656.67</v>
      </c>
      <c r="L54" s="197">
        <f>Trend!M84+Trend!M83+Trend!M82+Trend!M80</f>
        <v>691927.34</v>
      </c>
      <c r="M54" s="197">
        <f>Trend!N84+Trend!N83+Trend!N82+Trend!N80</f>
        <v>1133355.01</v>
      </c>
      <c r="N54" s="197">
        <f>Trend!O84+Trend!O83+Trend!O82+Trend!O80</f>
        <v>6684859.6799999997</v>
      </c>
      <c r="O54" s="197">
        <f>Trend!P84+Trend!P83+Trend!P82+Trend!P80</f>
        <v>8518973.8499999996</v>
      </c>
      <c r="P54" s="197">
        <f>Trend!Q84+Trend!Q83+Trend!Q82+Trend!Q80</f>
        <v>10245128.720000001</v>
      </c>
      <c r="Q54" s="197">
        <f>Trend!R84+Trend!R83+Trend!R82+Trend!R80</f>
        <v>10636754.789999999</v>
      </c>
      <c r="R54" s="197">
        <f>Trend!S84+Trend!S83+Trend!S82+Trend!S80</f>
        <v>10997222.460000001</v>
      </c>
      <c r="S54" s="197">
        <f>Trend!T84+Trend!T83+Trend!T82+Trend!T80</f>
        <v>12532536.130000001</v>
      </c>
      <c r="T54" s="197">
        <f>Trend!U84+Trend!U83+Trend!U82+Trend!U80</f>
        <v>13239763.199999999</v>
      </c>
      <c r="U54" s="197">
        <f>Trend!V84+Trend!V83+Trend!V82+Trend!V80</f>
        <v>15500076.869999999</v>
      </c>
      <c r="V54" s="197">
        <f>Trend!W84+Trend!W83+Trend!W82+Trend!W80</f>
        <v>20454097.34</v>
      </c>
      <c r="W54" s="197">
        <f>Trend!X84+Trend!X83+Trend!X82+Trend!X80</f>
        <v>13760772</v>
      </c>
      <c r="X54" s="197">
        <f>Trend!Y84+Trend!Y83+Trend!Y82+Trend!Y80</f>
        <v>724906.8</v>
      </c>
      <c r="Y54" s="197">
        <f>Trend!Z84+Trend!Z83+Trend!Z82+Trend!Z80</f>
        <v>795555</v>
      </c>
      <c r="Z54" s="197">
        <f>Trend!AA84+Trend!AA83+Trend!AA82+Trend!AA80</f>
        <v>3135021.45</v>
      </c>
      <c r="AA54" s="197">
        <f>Trend!AB84+Trend!AB83+Trend!AB82+Trend!AB80</f>
        <v>9410998.1500000004</v>
      </c>
      <c r="AB54" s="197">
        <f>Trend!AC84+Trend!AC83+Trend!AC82+Trend!AC80</f>
        <v>11085075.65</v>
      </c>
      <c r="AC54" s="197">
        <f>Trend!AD84+Trend!AD83+Trend!AD82+Trend!AD80</f>
        <v>17007890.149999999</v>
      </c>
    </row>
    <row r="55" spans="1:29" ht="12.75">
      <c r="A55" s="196">
        <v>10.6</v>
      </c>
      <c r="B55" s="142" t="s">
        <v>83</v>
      </c>
      <c r="C55" s="144">
        <f>Trend!C81</f>
        <v>0</v>
      </c>
      <c r="D55" s="144">
        <f>Trend!D81</f>
        <v>0</v>
      </c>
      <c r="E55" s="144">
        <f>Trend!E81</f>
        <v>0</v>
      </c>
      <c r="F55" s="144">
        <f>Trend!F81</f>
        <v>0</v>
      </c>
      <c r="G55" s="144">
        <f>Trend!G84</f>
        <v>0</v>
      </c>
      <c r="H55" s="144">
        <f>Trend!H84</f>
        <v>0</v>
      </c>
      <c r="I55" s="144">
        <f>Trend!J84</f>
        <v>782036</v>
      </c>
      <c r="J55" s="197">
        <f>Trend!K84</f>
        <v>3168454</v>
      </c>
      <c r="K55" s="197">
        <f>Trend!L84</f>
        <v>107656.67</v>
      </c>
      <c r="L55" s="197">
        <f>Trend!M84</f>
        <v>681727.34</v>
      </c>
      <c r="M55" s="197">
        <f>Trend!N84</f>
        <v>1123155.01</v>
      </c>
      <c r="N55" s="197">
        <f>Trend!O84</f>
        <v>6674659.6799999997</v>
      </c>
      <c r="O55" s="197">
        <f>Trend!P84</f>
        <v>8295323.8499999996</v>
      </c>
      <c r="P55" s="197">
        <f>Trend!Q84</f>
        <v>9995478.7200000007</v>
      </c>
      <c r="Q55" s="197">
        <f>Trend!R84</f>
        <v>10382104.789999999</v>
      </c>
      <c r="R55" s="197">
        <f>Trend!S84</f>
        <v>10742572.460000001</v>
      </c>
      <c r="S55" s="197">
        <f>Trend!T84</f>
        <v>12277886.130000001</v>
      </c>
      <c r="T55" s="197">
        <f>Trend!U84</f>
        <v>12985113.199999999</v>
      </c>
      <c r="U55" s="197">
        <f>Trend!V84</f>
        <v>15245426.869999999</v>
      </c>
      <c r="V55" s="197">
        <f>Trend!W84</f>
        <v>20199447.34</v>
      </c>
      <c r="W55" s="197">
        <f>Trend!X84</f>
        <v>13145032</v>
      </c>
      <c r="X55" s="197">
        <f>Trend!Y84</f>
        <v>724906.8</v>
      </c>
      <c r="Y55" s="197">
        <f>Trend!Z84</f>
        <v>795555</v>
      </c>
      <c r="Z55" s="197">
        <f>Trend!AA84</f>
        <v>3135021.45</v>
      </c>
      <c r="AA55" s="197">
        <f>Trend!AB84</f>
        <v>9410998.1500000004</v>
      </c>
      <c r="AB55" s="197">
        <f>Trend!AC84</f>
        <v>11085075.65</v>
      </c>
      <c r="AC55" s="197">
        <f>Trend!AD84</f>
        <v>16938290.149999999</v>
      </c>
    </row>
    <row r="56" spans="1:29" ht="12.75">
      <c r="A56" s="196"/>
      <c r="B56" s="142" t="s">
        <v>189</v>
      </c>
      <c r="C56" s="144">
        <f>Trend!C76</f>
        <v>0</v>
      </c>
      <c r="D56" s="144">
        <f>Trend!D76</f>
        <v>0</v>
      </c>
      <c r="E56" s="144">
        <f>Trend!E76</f>
        <v>0</v>
      </c>
      <c r="F56" s="144">
        <f>Trend!F76</f>
        <v>0</v>
      </c>
      <c r="G56" s="144">
        <f>Trend!G76</f>
        <v>0</v>
      </c>
      <c r="H56" s="144">
        <f>Trend!H76</f>
        <v>0</v>
      </c>
      <c r="I56" s="144">
        <f>Trend!J76</f>
        <v>0</v>
      </c>
      <c r="J56" s="197">
        <f>Trend!K76</f>
        <v>7744702</v>
      </c>
      <c r="K56" s="197">
        <f>Trend!L76</f>
        <v>3000000</v>
      </c>
      <c r="L56" s="197">
        <f>Trend!M76</f>
        <v>6000000</v>
      </c>
      <c r="M56" s="197">
        <f>Trend!N76</f>
        <v>10559607</v>
      </c>
      <c r="N56" s="197">
        <f>Trend!O76</f>
        <v>14720452.6</v>
      </c>
      <c r="O56" s="197">
        <f>Trend!P76</f>
        <v>19958882.800000001</v>
      </c>
      <c r="P56" s="197">
        <f>Trend!Q76</f>
        <v>15031250.1</v>
      </c>
      <c r="Q56" s="197">
        <f>Trend!R76</f>
        <v>18252352.100000001</v>
      </c>
      <c r="R56" s="197">
        <f>Trend!S76</f>
        <v>24399870.300000001</v>
      </c>
      <c r="S56" s="197">
        <f>Trend!T76</f>
        <v>28155252.100000001</v>
      </c>
      <c r="T56" s="197">
        <f>Trend!U76</f>
        <v>31655019.5</v>
      </c>
      <c r="U56" s="197">
        <f>Trend!V76</f>
        <v>35370988</v>
      </c>
      <c r="V56" s="197">
        <f>Trend!W76</f>
        <v>37819014.799999997</v>
      </c>
      <c r="W56" s="197">
        <f>Trend!X76</f>
        <v>37819015</v>
      </c>
      <c r="X56" s="197">
        <f>Trend!Y76</f>
        <v>7811369.4000000004</v>
      </c>
      <c r="Y56" s="197">
        <f>Trend!Z76</f>
        <v>12474718.1</v>
      </c>
      <c r="Z56" s="197">
        <f>Trend!AA76</f>
        <v>15522984.699999999</v>
      </c>
      <c r="AA56" s="197">
        <f>Trend!AB76</f>
        <v>23332775.800000001</v>
      </c>
      <c r="AB56" s="197">
        <f>Trend!AC76</f>
        <v>30075838.100000001</v>
      </c>
      <c r="AC56" s="197">
        <f>Trend!AD76</f>
        <v>36717594.200000003</v>
      </c>
    </row>
    <row r="57" spans="1:29" ht="12.75">
      <c r="A57" s="205"/>
      <c r="C57" s="8"/>
      <c r="D57" s="8"/>
      <c r="E57" s="8"/>
      <c r="F57" s="8"/>
      <c r="G57" s="8"/>
      <c r="H57" s="8"/>
      <c r="I57" s="8"/>
      <c r="J57" s="206"/>
      <c r="K57" s="206"/>
      <c r="L57" s="206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</row>
    <row r="58" spans="1:29" ht="12.75">
      <c r="A58" s="205"/>
      <c r="B58" s="141" t="s">
        <v>190</v>
      </c>
      <c r="C58" s="144">
        <f>Trend!C93</f>
        <v>0</v>
      </c>
      <c r="D58" s="144">
        <f>Trend!D93</f>
        <v>0</v>
      </c>
      <c r="E58" s="144">
        <f>Trend!E93</f>
        <v>0</v>
      </c>
      <c r="F58" s="144">
        <f>Trend!F93</f>
        <v>0</v>
      </c>
      <c r="G58" s="144">
        <f>Trend!G93</f>
        <v>0</v>
      </c>
      <c r="H58" s="144">
        <f>Trend!H93</f>
        <v>0</v>
      </c>
      <c r="I58" s="144">
        <f>Trend!J93</f>
        <v>10098950</v>
      </c>
      <c r="J58" s="197">
        <f>Trend!K93</f>
        <v>38644403.620000012</v>
      </c>
      <c r="K58" s="197">
        <f>Trend!L93</f>
        <v>6698999.2400000002</v>
      </c>
      <c r="L58" s="197">
        <f>Trend!M93</f>
        <v>16531834.550000001</v>
      </c>
      <c r="M58" s="197">
        <f>Trend!N93</f>
        <v>26256585.370000005</v>
      </c>
      <c r="N58" s="197">
        <f>Trend!O93</f>
        <v>29968710.460000001</v>
      </c>
      <c r="O58" s="197">
        <f>Trend!P93</f>
        <v>37708302.099999994</v>
      </c>
      <c r="P58" s="197">
        <f>Trend!Q93</f>
        <v>67683868.270000011</v>
      </c>
      <c r="Q58" s="197">
        <f>Trend!R93</f>
        <v>88087836.080000013</v>
      </c>
      <c r="R58" s="197">
        <f>Trend!S93</f>
        <v>102682931.96999998</v>
      </c>
      <c r="S58" s="197">
        <f>Trend!T93</f>
        <v>125730471.53000003</v>
      </c>
      <c r="T58" s="197">
        <f>Trend!U93</f>
        <v>146735867.71000001</v>
      </c>
      <c r="U58" s="197">
        <f>Trend!V93</f>
        <v>168329026.12000003</v>
      </c>
      <c r="V58" s="197">
        <f>Trend!W93</f>
        <v>192854833.75999999</v>
      </c>
      <c r="W58" s="197">
        <f>Trend!X93</f>
        <v>128561019</v>
      </c>
      <c r="X58" s="197">
        <f>Trend!Y93</f>
        <v>20369938.329999998</v>
      </c>
      <c r="Y58" s="197">
        <f>Trend!Z93</f>
        <v>56281692.660000004</v>
      </c>
      <c r="Z58" s="197">
        <f>Trend!AA93</f>
        <v>89346781.579999998</v>
      </c>
      <c r="AA58" s="197">
        <f>Trend!AB93</f>
        <v>114626190.52</v>
      </c>
      <c r="AB58" s="197">
        <f>Trend!AC93</f>
        <v>158201040.27999997</v>
      </c>
      <c r="AC58" s="197">
        <f>Trend!AD93</f>
        <v>199893738.93999994</v>
      </c>
    </row>
    <row r="59" spans="1:29" ht="12.75">
      <c r="A59" s="205"/>
      <c r="B59" s="141" t="s">
        <v>191</v>
      </c>
      <c r="C59" s="141"/>
      <c r="D59" s="141"/>
      <c r="E59" s="141"/>
      <c r="F59" s="144">
        <f>Trend!F59+Trend!F78+Trend!F87</f>
        <v>0</v>
      </c>
      <c r="G59" s="144">
        <f>Trend!G59+Trend!G78+Trend!G87</f>
        <v>0</v>
      </c>
      <c r="H59" s="144">
        <f>Trend!H59+Trend!H78+Trend!H87</f>
        <v>0</v>
      </c>
      <c r="I59" s="144">
        <f>Trend!J59+Trend!J78+Trend!J87</f>
        <v>26073627</v>
      </c>
      <c r="J59" s="197">
        <f>Trend!K59+Trend!K78+Trend!K87</f>
        <v>75147891.050000012</v>
      </c>
      <c r="K59" s="197">
        <f>Trend!L59+Trend!L78+Trend!L87</f>
        <v>9844121.8100000005</v>
      </c>
      <c r="L59" s="197">
        <f>Trend!M59+Trend!M78+Trend!M87</f>
        <v>23307861.990000002</v>
      </c>
      <c r="M59" s="197">
        <f>Trend!N59+Trend!N78+Trend!N87</f>
        <v>38162899.18</v>
      </c>
      <c r="N59" s="197">
        <f>Trend!O59+Trend!O78+Trend!O87</f>
        <v>51641984.539999999</v>
      </c>
      <c r="O59" s="197">
        <f>Trend!P59+Trend!P78+Trend!P87</f>
        <v>67868386.549999997</v>
      </c>
      <c r="P59" s="197">
        <f>Trend!Q59+Trend!Q78+Trend!Q87</f>
        <v>94717716.99000001</v>
      </c>
      <c r="Q59" s="197">
        <f>Trend!R59+Trend!R78+Trend!R87</f>
        <v>118749388.47</v>
      </c>
      <c r="R59" s="197">
        <f>Trend!S59+Trend!S78+Trend!S87</f>
        <v>139877320.03</v>
      </c>
      <c r="S59" s="197">
        <f>Trend!T59+Trend!T78+Trend!T87</f>
        <v>168237574.86000001</v>
      </c>
      <c r="T59" s="197">
        <f>Trend!U59+Trend!U78+Trend!U87</f>
        <v>193463165.50999999</v>
      </c>
      <c r="U59" s="197">
        <f>Trend!V59+Trend!V78+Trend!V87</f>
        <v>221373276.09000003</v>
      </c>
      <c r="V59" s="197">
        <f>Trend!W59+Trend!W78+Trend!W87</f>
        <v>253851567</v>
      </c>
      <c r="W59" s="197">
        <f>Trend!X59+Trend!X78+Trend!X87</f>
        <v>254436092</v>
      </c>
      <c r="X59" s="197">
        <f>Trend!Y59+Trend!Y78+Trend!Y87</f>
        <v>28917818.530000001</v>
      </c>
      <c r="Y59" s="197">
        <f>Trend!Z59+Trend!Z78+Trend!Z87</f>
        <v>69604649.760000005</v>
      </c>
      <c r="Z59" s="197">
        <f>Trend!AA59+Trend!AA78+Trend!AA87</f>
        <v>108353720.03</v>
      </c>
      <c r="AA59" s="197">
        <f>Trend!AB59+Trend!AB78+Trend!AB87</f>
        <v>147756254.77000001</v>
      </c>
      <c r="AB59" s="197">
        <f>Trend!AC59+Trend!AC78+Trend!AC87</f>
        <v>199781983.82999998</v>
      </c>
      <c r="AC59" s="197">
        <f>Trend!AD59+Trend!AD78+Trend!AD87</f>
        <v>254052805.08999997</v>
      </c>
    </row>
    <row r="60" spans="1:29" ht="12.75">
      <c r="A60" s="205"/>
      <c r="B60" s="141" t="s">
        <v>192</v>
      </c>
      <c r="C60" s="141"/>
      <c r="D60" s="141"/>
      <c r="E60" s="141"/>
      <c r="F60" s="144">
        <f>Trend!F90+Trend!F79+Trend!F88+Trend!F77+Trend!F68</f>
        <v>0</v>
      </c>
      <c r="G60" s="144">
        <f>Trend!G90+Trend!G79+Trend!G88+Trend!G77+Trend!G68</f>
        <v>0</v>
      </c>
      <c r="H60" s="144">
        <f>Trend!H90+Trend!H79+Trend!H88+Trend!H77+Trend!H68</f>
        <v>0</v>
      </c>
      <c r="I60" s="144">
        <f>Trend!J90+Trend!J79+Trend!J88+Trend!J77+Trend!J68</f>
        <v>15974677</v>
      </c>
      <c r="J60" s="197">
        <f>Trend!K90+Trend!K79+Trend!K88+Trend!K77+Trend!K68</f>
        <v>36503487.43</v>
      </c>
      <c r="K60" s="197">
        <f>Trend!L90+Trend!L79+Trend!L88+Trend!L77+Trend!L68</f>
        <v>3145122.57</v>
      </c>
      <c r="L60" s="197">
        <f>Trend!M90+Trend!M79+Trend!M88+Trend!M77+Trend!M68</f>
        <v>6776027.4399999995</v>
      </c>
      <c r="M60" s="197">
        <f>Trend!N90+Trend!N79+Trend!N88+Trend!N77+Trend!N68</f>
        <v>11906313.810000001</v>
      </c>
      <c r="N60" s="197">
        <f>Trend!O90+Trend!O79+Trend!O88+Trend!O77+Trend!O68</f>
        <v>21673274.080000002</v>
      </c>
      <c r="O60" s="197">
        <f>Trend!P90+Trend!P79+Trend!P88+Trend!P77+Trend!P68</f>
        <v>30160084.449999999</v>
      </c>
      <c r="P60" s="197">
        <f>Trend!Q90+Trend!Q79+Trend!Q88+Trend!Q77+Trend!Q68</f>
        <v>27033848.719999999</v>
      </c>
      <c r="Q60" s="197">
        <f>Trend!R90+Trend!R79+Trend!R88+Trend!R77+Trend!R68</f>
        <v>30661552.390000001</v>
      </c>
      <c r="R60" s="197">
        <f>Trend!S90+Trend!S79+Trend!S88+Trend!S77+Trend!S68</f>
        <v>37194388.060000002</v>
      </c>
      <c r="S60" s="197">
        <f>Trend!T90+Trend!T79+Trend!T88+Trend!T77+Trend!T68</f>
        <v>42507103.330000006</v>
      </c>
      <c r="T60" s="197">
        <f>Trend!U90+Trend!U79+Trend!U88+Trend!U77+Trend!U68</f>
        <v>46727297.800000004</v>
      </c>
      <c r="U60" s="197">
        <f>Trend!V90+Trend!V79+Trend!V88+Trend!V77+Trend!V68</f>
        <v>53044249.969999999</v>
      </c>
      <c r="V60" s="197">
        <f>Trend!W90+Trend!W79+Trend!W88+Trend!W77+Trend!W68</f>
        <v>60996733.240000002</v>
      </c>
      <c r="W60" s="197">
        <f>Trend!X90+Trend!X79+Trend!X88+Trend!X77+Trend!X68</f>
        <v>125875073</v>
      </c>
      <c r="X60" s="197">
        <f>Trend!Y90+Trend!Y79+Trend!Y88+Trend!Y77+Trend!Y68</f>
        <v>8547880.2000000011</v>
      </c>
      <c r="Y60" s="197">
        <f>Trend!Z90+Trend!Z79+Trend!Z88+Trend!Z77+Trend!Z68</f>
        <v>13322957.1</v>
      </c>
      <c r="Z60" s="197">
        <f>Trend!AA90+Trend!AA79+Trend!AA88+Trend!AA77+Trend!AA68</f>
        <v>19006938.449999999</v>
      </c>
      <c r="AA60" s="197">
        <f>Trend!AB90+Trend!AB79+Trend!AB88+Trend!AB77+Trend!AB68</f>
        <v>33130064.250000004</v>
      </c>
      <c r="AB60" s="197">
        <f>Trend!AC90+Trend!AC79+Trend!AC88+Trend!AC77+Trend!AC68</f>
        <v>41580943.549999997</v>
      </c>
      <c r="AC60" s="197">
        <f>Trend!AD90+Trend!AD79+Trend!AD88+Trend!AD77+Trend!AD68</f>
        <v>54159066.149999999</v>
      </c>
    </row>
    <row r="61" spans="1:29" ht="12.75">
      <c r="A61" s="205"/>
      <c r="B61" s="141" t="s">
        <v>193</v>
      </c>
      <c r="C61" s="141"/>
      <c r="D61" s="141"/>
      <c r="E61" s="141"/>
      <c r="F61" s="144">
        <f>Trend!F5+Trend!F10+Trend!F11+Trend!F12</f>
        <v>0</v>
      </c>
      <c r="G61" s="144">
        <f>Trend!G5+Trend!G10+Trend!G11</f>
        <v>0</v>
      </c>
      <c r="H61" s="144">
        <f>Trend!H5+Trend!H10+Trend!H11</f>
        <v>0</v>
      </c>
      <c r="I61" s="144">
        <f>Trend!J5+Trend!J10+Trend!J11</f>
        <v>375933615</v>
      </c>
      <c r="J61" s="197">
        <f>Trend!K5+Trend!K10+Trend!K11</f>
        <v>583646239</v>
      </c>
      <c r="K61" s="197">
        <f>Trend!L5+Trend!L10+Trend!L11</f>
        <v>600836150.38</v>
      </c>
      <c r="L61" s="197">
        <f>Trend!M5+Trend!M10+Trend!M11</f>
        <v>485679053.53000003</v>
      </c>
      <c r="M61" s="197">
        <f>Trend!N5+Trend!N10+Trend!N11</f>
        <v>745780761.97000003</v>
      </c>
      <c r="N61" s="197">
        <f>Trend!O5+Trend!O10+Trend!O11</f>
        <v>781660249.1400001</v>
      </c>
      <c r="O61" s="197">
        <f>Trend!P5+Trend!P10+Trend!P11</f>
        <v>817581931.6099999</v>
      </c>
      <c r="P61" s="197">
        <f>Trend!Q5+Trend!Q10+Trend!Q11</f>
        <v>836723342.28999996</v>
      </c>
      <c r="Q61" s="197">
        <f>Trend!R5+Trend!R10+Trend!R11</f>
        <v>454447034.29000002</v>
      </c>
      <c r="R61" s="197">
        <f>Trend!S5+Trend!S10+Trend!S11</f>
        <v>964896814.51999998</v>
      </c>
      <c r="S61" s="197">
        <f>Trend!T5+Trend!T10+Trend!T11</f>
        <v>964579686.01999998</v>
      </c>
      <c r="T61" s="197">
        <f>Trend!U5+Trend!U10+Trend!U11</f>
        <v>984625060</v>
      </c>
      <c r="U61" s="197">
        <f>Trend!V5+Trend!V10+Trend!V11</f>
        <v>963995154.58000004</v>
      </c>
      <c r="V61" s="197">
        <f>Trend!W5+Trend!W10+Trend!W11</f>
        <v>375291664.95999998</v>
      </c>
      <c r="W61" s="197">
        <f>Trend!X5+Trend!X10+Trend!X11</f>
        <v>426668934</v>
      </c>
      <c r="X61" s="197">
        <f>Trend!Y5+Trend!Y10+Trend!Y11</f>
        <v>973620407.37</v>
      </c>
      <c r="Y61" s="197">
        <f>Trend!Z5+Trend!Z10+Trend!Z11</f>
        <v>988292675.25999999</v>
      </c>
      <c r="Z61" s="197">
        <f>Trend!AA5+Trend!AA10+Trend!AA11</f>
        <v>857805994.70000005</v>
      </c>
      <c r="AA61" s="197">
        <f>Trend!AB5+Trend!AB10+Trend!AB11</f>
        <v>363994355.17000002</v>
      </c>
      <c r="AB61" s="197">
        <f>Trend!AC5+Trend!AC10+Trend!AC11</f>
        <v>319635002.32999998</v>
      </c>
      <c r="AC61" s="197">
        <f>Trend!AD5+Trend!AD10+Trend!AD11</f>
        <v>883010656.08999991</v>
      </c>
    </row>
    <row r="62" spans="1:29" ht="12.75">
      <c r="A62" s="205"/>
      <c r="B62" s="141" t="s">
        <v>194</v>
      </c>
      <c r="C62" s="141"/>
      <c r="D62" s="141"/>
      <c r="E62" s="141"/>
      <c r="F62" s="144">
        <f>F6+F10</f>
        <v>0</v>
      </c>
      <c r="G62" s="144">
        <f>Trend!G28+Trend!G29+Trend!G33+Trend!G34+Trend!G35+Trend!G36+Trend!G37</f>
        <v>0</v>
      </c>
      <c r="H62" s="144">
        <f>Trend!H28+Trend!H29+Trend!H33+Trend!H34+Trend!H35+Trend!H36+Trend!H37</f>
        <v>0</v>
      </c>
      <c r="I62" s="144">
        <f>Trend!J28+Trend!J29+Trend!J33+Trend!J34+Trend!J35+Trend!J36+Trend!J37</f>
        <v>27409937</v>
      </c>
      <c r="J62" s="197">
        <f>Trend!K28+Trend!K29+Trend!K33+Trend!K34+Trend!K35+Trend!K36+Trend!K37</f>
        <v>66014990.549999997</v>
      </c>
      <c r="K62" s="197">
        <f>Trend!L28+Trend!L29+Trend!L33+Trend!L34+Trend!L35+Trend!L36+Trend!L37</f>
        <v>83265801.300000012</v>
      </c>
      <c r="L62" s="197">
        <f>Trend!M28+Trend!M29+Trend!M33+Trend!M34+Trend!M35+Trend!M36+Trend!M37</f>
        <v>104663707.47</v>
      </c>
      <c r="M62" s="197">
        <f>Trend!N28+Trend!N29+Trend!N33+Trend!N34+Trend!N35+Trend!N36+Trend!N37</f>
        <v>108298884.78999999</v>
      </c>
      <c r="N62" s="197">
        <f>Trend!O28+Trend!O29+Trend!O33+Trend!O34+Trend!O35+Trend!O36+Trend!O37</f>
        <v>134058674.70999999</v>
      </c>
      <c r="O62" s="197">
        <f>Trend!P28+Trend!P29+Trend!P33+Trend!P34+Trend!P35+Trend!P36+Trend!P37</f>
        <v>204649071.72999999</v>
      </c>
      <c r="P62" s="197">
        <f>Trend!Q28+Trend!Q29+Trend!Q33+Trend!Q34+Trend!Q35+Trend!Q36+Trend!Q37</f>
        <v>326751728.97000003</v>
      </c>
      <c r="Q62" s="197">
        <f>Trend!R28+Trend!R29+Trend!R33+Trend!R34+Trend!R35+Trend!R36+Trend!R37</f>
        <v>231416823.59000003</v>
      </c>
      <c r="R62" s="197">
        <f>Trend!S28+Trend!S29+Trend!S33+Trend!S34+Trend!S35+Trend!S36+Trend!S37</f>
        <v>233666578.66000003</v>
      </c>
      <c r="S62" s="197">
        <f>Trend!T28+Trend!T29+Trend!T33+Trend!T34+Trend!T35+Trend!T36+Trend!T37</f>
        <v>272249661.11000001</v>
      </c>
      <c r="T62" s="197">
        <f>Trend!U28+Trend!U29+Trend!U33+Trend!U34+Trend!U35+Trend!U36+Trend!U37</f>
        <v>290116177.23000002</v>
      </c>
      <c r="U62" s="197">
        <f>Trend!V28+Trend!V29+Trend!V33+Trend!V34+Trend!V35+Trend!V36+Trend!V37</f>
        <v>280415496.42000002</v>
      </c>
      <c r="V62" s="197">
        <f>Trend!W28+Trend!W29+Trend!W33+Trend!W34+Trend!W35+Trend!W36+Trend!W37</f>
        <v>301823746.52999997</v>
      </c>
      <c r="W62" s="197">
        <f>Trend!X28+Trend!X29+Trend!X33+Trend!X34+Trend!X35+Trend!X36+Trend!X37</f>
        <v>386007244</v>
      </c>
      <c r="X62" s="197">
        <f>Trend!Y28+Trend!Y29+Trend!Y33+Trend!Y34+Trend!Y35+Trend!Y36+Trend!Y37</f>
        <v>382174034.02000004</v>
      </c>
      <c r="Y62" s="197">
        <f>Trend!Z28+Trend!Z29+Trend!Z33+Trend!Z34+Trend!Z35+Trend!Z36+Trend!Z37</f>
        <v>412866881.92000002</v>
      </c>
      <c r="Z62" s="197">
        <f>Trend!AA28+Trend!AA29+Trend!AA33+Trend!AA34+Trend!AA35+Trend!AA36+Trend!AA37</f>
        <v>366570740.48000002</v>
      </c>
      <c r="AA62" s="197">
        <f>Trend!AB28+Trend!AB29+Trend!AB33+Trend!AB34+Trend!AB35+Trend!AB36+Trend!AB37</f>
        <v>363710844.74000001</v>
      </c>
      <c r="AB62" s="197">
        <f>Trend!AC28+Trend!AC29+Trend!AC33+Trend!AC34+Trend!AC35+Trend!AC36+Trend!AC37</f>
        <v>367936536.13</v>
      </c>
      <c r="AC62" s="197">
        <f>Trend!AD28+Trend!AD29+Trend!AD33+Trend!AD34+Trend!AD35+Trend!AD36+Trend!AD37</f>
        <v>410924015.06999999</v>
      </c>
    </row>
    <row r="63" spans="1:29" ht="12.75">
      <c r="A63" s="205"/>
      <c r="B63" s="141" t="s">
        <v>195</v>
      </c>
      <c r="C63" s="141"/>
      <c r="D63" s="141"/>
      <c r="E63" s="141"/>
      <c r="F63" s="144"/>
      <c r="G63" s="144">
        <f>(G5+F6)/2</f>
        <v>0</v>
      </c>
      <c r="H63" s="144">
        <f>(H5+G6)/2</f>
        <v>0</v>
      </c>
      <c r="I63" s="144">
        <f>(I5+H6)/2</f>
        <v>229681978.5</v>
      </c>
      <c r="J63" s="197">
        <f>(J5+I6)/2</f>
        <v>730999771.77499998</v>
      </c>
      <c r="K63" s="197">
        <f t="shared" ref="K63:W63" si="34">(K5+J6)/2</f>
        <v>1104446581.77</v>
      </c>
      <c r="L63" s="197">
        <f t="shared" si="34"/>
        <v>1215482215.375</v>
      </c>
      <c r="M63" s="197">
        <f t="shared" si="34"/>
        <v>1334424245.3400002</v>
      </c>
      <c r="N63" s="197">
        <f t="shared" si="34"/>
        <v>1377809037.0050001</v>
      </c>
      <c r="O63" s="197">
        <f t="shared" si="34"/>
        <v>1534649085.115</v>
      </c>
      <c r="P63" s="197">
        <f t="shared" si="34"/>
        <v>1749165970.9050002</v>
      </c>
      <c r="Q63" s="197">
        <f t="shared" si="34"/>
        <v>1888586006.9100001</v>
      </c>
      <c r="R63" s="197">
        <f t="shared" si="34"/>
        <v>1975902910.3099999</v>
      </c>
      <c r="S63" s="197">
        <f t="shared" si="34"/>
        <v>2138696927.6800003</v>
      </c>
      <c r="T63" s="197">
        <f t="shared" si="34"/>
        <v>2286217834.9349999</v>
      </c>
      <c r="U63" s="197">
        <f t="shared" si="34"/>
        <v>2434190065.7349997</v>
      </c>
      <c r="V63" s="197">
        <f t="shared" si="34"/>
        <v>2580172376.4699998</v>
      </c>
      <c r="W63" s="197">
        <f t="shared" ref="W63" si="35">(W5+V6)/2</f>
        <v>2657740557.0050001</v>
      </c>
      <c r="X63" s="197">
        <f t="shared" ref="X63" si="36">(X5+W6)/2</f>
        <v>2736281390.5249996</v>
      </c>
      <c r="Y63" s="197">
        <f t="shared" ref="Y63" si="37">(Y5+X6)/2</f>
        <v>2904934931.3299999</v>
      </c>
      <c r="Z63" s="197">
        <f t="shared" ref="Z63" si="38">(Z5+Y6)/2</f>
        <v>3051010124.1999998</v>
      </c>
      <c r="AA63" s="197">
        <f t="shared" ref="AA63" si="39">(AA5+Z6)/2</f>
        <v>3127551750</v>
      </c>
      <c r="AB63" s="197">
        <f t="shared" ref="AB63" si="40">(AB5+AA6)/2</f>
        <v>3305366538.2049999</v>
      </c>
      <c r="AC63" s="197">
        <f t="shared" ref="AC63" si="41">(AC5+AB6)/2</f>
        <v>3496902997.4349999</v>
      </c>
    </row>
    <row r="64" spans="1:29" ht="12.75">
      <c r="A64" s="205"/>
      <c r="B64" s="141" t="s">
        <v>196</v>
      </c>
      <c r="C64" s="141"/>
      <c r="D64" s="141"/>
      <c r="E64" s="141"/>
      <c r="F64" s="141"/>
      <c r="G64" s="144">
        <f>(Trend!G40+Trend!G41+Trend!G43+Trend!G44+Trend!G46+Trend!G47)-Trend!G13</f>
        <v>0</v>
      </c>
      <c r="H64" s="144">
        <f>(Trend!H40+Trend!H41+Trend!H43+Trend!H44+Trend!H46+Trend!H47)-Trend!H13</f>
        <v>0</v>
      </c>
      <c r="I64" s="144">
        <f>(Trend!J40+Trend!J41+Trend!J43+Trend!J44+Trend!J46+Trend!J47)-Trend!J13</f>
        <v>45206627</v>
      </c>
      <c r="J64" s="197">
        <f>(Trend!K40+Trend!K41+Trend!K43+Trend!K44+Trend!K46+Trend!K47)-Trend!K13</f>
        <v>148240999</v>
      </c>
      <c r="K64" s="197">
        <f>(Trend!L40+Trend!L41+Trend!L43+Trend!L44+Trend!L46+Trend!L47)-Trend!L13</f>
        <v>144944998.19999999</v>
      </c>
      <c r="L64" s="197">
        <f>(Trend!M40+Trend!M41+Trend!M43+Trend!M44+Trend!M46+Trend!M47)-Trend!M13</f>
        <v>154808973.41</v>
      </c>
      <c r="M64" s="197">
        <f>(Trend!N40+Trend!N41+Trend!N43+Trend!N44+Trend!N46+Trend!N47)-Trend!N13</f>
        <v>316562096.29000002</v>
      </c>
      <c r="N64" s="197">
        <f>(Trend!O40+Trend!O41+Trend!O43+Trend!O44+Trend!O46+Trend!O47)-Trend!O13</f>
        <v>320851713.41000003</v>
      </c>
      <c r="O64" s="197">
        <f>(Trend!P40+Trend!P41+Trend!P43+Trend!P44+Trend!P46+Trend!P47)-Trend!P13</f>
        <v>293210589.06</v>
      </c>
      <c r="P64" s="197">
        <f>(Trend!Q40+Trend!Q41+Trend!Q43+Trend!Q44+Trend!Q46+Trend!Q47)-Trend!Q13</f>
        <v>323263454.97000003</v>
      </c>
      <c r="Q64" s="197">
        <f>(Trend!R40+Trend!R41+Trend!R43+Trend!R44+Trend!R46+Trend!R47)-Trend!R13</f>
        <v>343891603.87</v>
      </c>
      <c r="R64" s="197">
        <f>(Trend!S40+Trend!S41+Trend!S43+Trend!S44+Trend!S46+Trend!S47)-Trend!S13</f>
        <v>358638470.68000007</v>
      </c>
      <c r="S64" s="197">
        <f>(Trend!T40+Trend!T41+Trend!T43+Trend!T44+Trend!T46+Trend!T47)-Trend!T13</f>
        <v>435949524.18000007</v>
      </c>
      <c r="T64" s="197">
        <f>(Trend!U40+Trend!U41+Trend!U43+Trend!U44+Trend!U46+Trend!U47)-Trend!U13</f>
        <v>465279663.40000004</v>
      </c>
      <c r="U64" s="197">
        <f>(Trend!V40+Trend!V41+Trend!V43+Trend!V44+Trend!V46+Trend!V47)-Trend!V13</f>
        <v>533497695.79000008</v>
      </c>
      <c r="V64" s="197">
        <f>(Trend!W40+Trend!W41+Trend!W43+Trend!W44+Trend!W46+Trend!W47)-Trend!W13</f>
        <v>553930348.43000007</v>
      </c>
      <c r="W64" s="197">
        <f>(Trend!X40+Trend!X41+Trend!X43+Trend!X44+Trend!X46+Trend!X47)-Trend!X13</f>
        <v>521121779</v>
      </c>
      <c r="X64" s="197">
        <f>(Trend!Y40+Trend!Y41+Trend!Y43+Trend!Y44+Trend!Y46+Trend!Y47)-Trend!Y13</f>
        <v>491164483.06000006</v>
      </c>
      <c r="Y64" s="197">
        <f>(Trend!Z40+Trend!Z41+Trend!Z43+Trend!Z44+Trend!Z46+Trend!Z47)-Trend!Z13</f>
        <v>528513925.41000009</v>
      </c>
      <c r="Z64" s="197">
        <f>(Trend!AA40+Trend!AA41+Trend!AA43+Trend!AA44+Trend!AA46+Trend!AA47)-Trend!AA13</f>
        <v>761642051.12</v>
      </c>
      <c r="AA64" s="197">
        <f>(Trend!AB40+Trend!AB41+Trend!AB43+Trend!AB44+Trend!AB46+Trend!AB47)-Trend!AB13</f>
        <v>788079972.99000001</v>
      </c>
      <c r="AB64" s="197">
        <f>(Trend!AC40+Trend!AC41+Trend!AC43+Trend!AC44+Trend!AC46+Trend!AC47)-Trend!AC13</f>
        <v>843618375.8499999</v>
      </c>
      <c r="AC64" s="197">
        <f>(Trend!AD40+Trend!AD41+Trend!AD43+Trend!AD44+Trend!AD46+Trend!AD47)-Trend!AD13</f>
        <v>886331817.42999995</v>
      </c>
    </row>
    <row r="65" spans="1:29" ht="12.75">
      <c r="A65" s="205"/>
      <c r="B65" s="141" t="s">
        <v>197</v>
      </c>
      <c r="C65" s="141"/>
      <c r="D65" s="141"/>
      <c r="E65" s="141"/>
      <c r="F65" s="141"/>
      <c r="G65" s="144">
        <f>G64-Trend!G40</f>
        <v>0</v>
      </c>
      <c r="H65" s="144">
        <f>H64-Trend!H40</f>
        <v>0</v>
      </c>
      <c r="I65" s="144">
        <f>I64-Trend!J40</f>
        <v>2019789</v>
      </c>
      <c r="J65" s="197">
        <f>J64-Trend!K40</f>
        <v>74480513</v>
      </c>
      <c r="K65" s="197">
        <f>K64-Trend!L40</f>
        <v>71179512.199999988</v>
      </c>
      <c r="L65" s="197">
        <f>L64-Trend!M40</f>
        <v>81012347.409999996</v>
      </c>
      <c r="M65" s="197">
        <f>M64-Trend!N40</f>
        <v>90737098.290000021</v>
      </c>
      <c r="N65" s="197">
        <f>N64-Trend!O40</f>
        <v>94449223.410000026</v>
      </c>
      <c r="O65" s="197">
        <f>O64-Trend!P40</f>
        <v>61188815.060000002</v>
      </c>
      <c r="P65" s="197">
        <f>P64-Trend!Q40</f>
        <v>91164381.110000014</v>
      </c>
      <c r="Q65" s="197">
        <f>Q64-Trend!R40</f>
        <v>111568349.00999999</v>
      </c>
      <c r="R65" s="197">
        <f>R64-Trend!S40</f>
        <v>126163444.82000005</v>
      </c>
      <c r="S65" s="197">
        <f>S64-Trend!T40</f>
        <v>149210984.32000005</v>
      </c>
      <c r="T65" s="197">
        <f>T64-Trend!U40</f>
        <v>170216380.54000002</v>
      </c>
      <c r="U65" s="197">
        <f>U64-Trend!V40</f>
        <v>201809538.93000007</v>
      </c>
      <c r="V65" s="197">
        <f>V64-Trend!W40</f>
        <v>216335346.57000005</v>
      </c>
      <c r="W65" s="197">
        <f>W64-Trend!X40</f>
        <v>183526777</v>
      </c>
      <c r="X65" s="197">
        <f>X64-Trend!Y40</f>
        <v>152896716.20000005</v>
      </c>
      <c r="Y65" s="197">
        <f>Y64-Trend!Z40</f>
        <v>188809660.55000007</v>
      </c>
      <c r="Z65" s="197">
        <f>Z64-Trend!AA40</f>
        <v>221874749.50999999</v>
      </c>
      <c r="AA65" s="197">
        <f>AA64-Trend!AB40</f>
        <v>247154158.38</v>
      </c>
      <c r="AB65" s="197">
        <f>AB64-Trend!AC40</f>
        <v>290729008.23999989</v>
      </c>
      <c r="AC65" s="197">
        <f>AC64-Trend!AD40</f>
        <v>332421706.81999993</v>
      </c>
    </row>
    <row r="66" spans="1:29" ht="12.75">
      <c r="A66" s="207"/>
      <c r="B66" s="208" t="s">
        <v>198</v>
      </c>
      <c r="C66" s="208"/>
      <c r="D66" s="208"/>
      <c r="E66" s="208"/>
      <c r="F66" s="208"/>
      <c r="G66" s="208"/>
      <c r="H66" s="209">
        <f>(H32+G32)/2</f>
        <v>0</v>
      </c>
      <c r="I66" s="209">
        <f>(I32+H32)/2</f>
        <v>33783447.5</v>
      </c>
      <c r="J66" s="210">
        <f>(J32+I32)/2</f>
        <v>310252309.75999999</v>
      </c>
      <c r="K66" s="210">
        <f t="shared" ref="K66:W66" si="42">(K32+J32)/2</f>
        <v>580037965.88999999</v>
      </c>
      <c r="L66" s="210">
        <f t="shared" si="42"/>
        <v>630609956.13</v>
      </c>
      <c r="M66" s="210">
        <f t="shared" si="42"/>
        <v>689970239.95499992</v>
      </c>
      <c r="N66" s="210">
        <f t="shared" si="42"/>
        <v>776861381.50999999</v>
      </c>
      <c r="O66" s="210">
        <f t="shared" si="42"/>
        <v>884960801.05999994</v>
      </c>
      <c r="P66" s="210">
        <f t="shared" si="42"/>
        <v>1001136159.235</v>
      </c>
      <c r="Q66" s="210">
        <f t="shared" si="42"/>
        <v>1119552588.8099999</v>
      </c>
      <c r="R66" s="210">
        <f t="shared" si="42"/>
        <v>1245630244.2850001</v>
      </c>
      <c r="S66" s="210">
        <f t="shared" si="42"/>
        <v>1387334359.7850001</v>
      </c>
      <c r="T66" s="210">
        <f t="shared" si="42"/>
        <v>1543085472.8099999</v>
      </c>
      <c r="U66" s="210">
        <f t="shared" si="42"/>
        <v>1709893605.46</v>
      </c>
      <c r="V66" s="210">
        <f t="shared" si="42"/>
        <v>1880895624.395</v>
      </c>
      <c r="W66" s="210">
        <f t="shared" ref="W66" si="43">(W32+V32)/2</f>
        <v>1965894127.165</v>
      </c>
      <c r="X66" s="210">
        <f t="shared" ref="X66" si="44">(X32+W32)/2</f>
        <v>2061343848</v>
      </c>
      <c r="Y66" s="210">
        <f t="shared" ref="Y66" si="45">(Y32+X32)/2</f>
        <v>2254481482.9099998</v>
      </c>
      <c r="Z66" s="210">
        <f t="shared" ref="Z66" si="46">(Z32+Y32)/2</f>
        <v>2473344648.665</v>
      </c>
      <c r="AA66" s="210">
        <f t="shared" ref="AA66" si="47">(AA32+Z32)/2</f>
        <v>2700110809.6500001</v>
      </c>
      <c r="AB66" s="210">
        <f t="shared" ref="AB66" si="48">(AB32+AA32)/2</f>
        <v>2918534271.3000002</v>
      </c>
      <c r="AC66" s="210">
        <f t="shared" ref="AC66" si="49">(AC32+AB32)/2</f>
        <v>3157270086.2649999</v>
      </c>
    </row>
    <row r="67" spans="1:29" ht="12.75"/>
  </sheetData>
  <phoneticPr fontId="57" type="noConversion"/>
  <pageMargins left="0.7" right="0.7" top="0.75" bottom="0.75" header="0.3" footer="0.3"/>
  <pageSetup scale="5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I46"/>
  <sheetViews>
    <sheetView showGridLines="0" workbookViewId="0">
      <pane xSplit="3" ySplit="4" topLeftCell="L38" activePane="bottomRight" state="frozen"/>
      <selection pane="bottomRight" activeCell="X44" sqref="X44:AE46"/>
      <selection pane="bottomLeft" activeCell="A6" sqref="A6"/>
      <selection pane="topRight" activeCell="E1" sqref="E1"/>
    </sheetView>
  </sheetViews>
  <sheetFormatPr defaultColWidth="9.140625" defaultRowHeight="12.75" customHeight="1"/>
  <cols>
    <col min="1" max="1" width="5.42578125" style="1" customWidth="1"/>
    <col min="2" max="2" width="39" style="1" customWidth="1"/>
    <col min="3" max="3" width="11.7109375" style="3" customWidth="1"/>
    <col min="4" max="4" width="7.28515625" style="1" hidden="1" customWidth="1"/>
    <col min="5" max="6" width="8.85546875" style="1" hidden="1" customWidth="1"/>
    <col min="7" max="7" width="8.28515625" style="1" hidden="1" customWidth="1"/>
    <col min="8" max="9" width="12.85546875" style="1" hidden="1" customWidth="1"/>
    <col min="10" max="10" width="14" style="1" hidden="1" customWidth="1"/>
    <col min="11" max="11" width="22" style="180" customWidth="1"/>
    <col min="12" max="12" width="15.5703125" style="180" customWidth="1"/>
    <col min="13" max="23" width="0" style="1" hidden="1" customWidth="1"/>
    <col min="24" max="24" width="9.5703125" style="1" bestFit="1" customWidth="1"/>
    <col min="25" max="25" width="14.140625" style="1" customWidth="1"/>
    <col min="26" max="16384" width="9.140625" style="1"/>
  </cols>
  <sheetData>
    <row r="2" spans="1:35" ht="15.75">
      <c r="B2" s="365" t="s">
        <v>0</v>
      </c>
      <c r="C2" s="366"/>
      <c r="D2" s="367"/>
      <c r="E2" s="367"/>
      <c r="F2" s="367"/>
      <c r="G2" s="367"/>
      <c r="H2" s="367"/>
      <c r="I2" s="367"/>
      <c r="J2" s="368"/>
      <c r="K2" s="369"/>
      <c r="L2" s="369"/>
      <c r="M2" s="368"/>
      <c r="N2" s="368"/>
      <c r="O2" s="368"/>
      <c r="P2" s="368"/>
      <c r="Q2" s="368"/>
      <c r="R2" s="368"/>
      <c r="S2" s="368"/>
      <c r="T2" s="368"/>
      <c r="U2" s="368"/>
      <c r="V2" s="368"/>
      <c r="W2" s="368"/>
      <c r="X2" s="368"/>
      <c r="Y2" s="370"/>
    </row>
    <row r="3" spans="1:35" s="4" customFormat="1" ht="31.5">
      <c r="A3" s="359"/>
      <c r="B3" s="371" t="s">
        <v>124</v>
      </c>
      <c r="C3" s="399" t="s">
        <v>199</v>
      </c>
      <c r="D3" s="301" t="s">
        <v>200</v>
      </c>
      <c r="E3" s="302">
        <v>2013</v>
      </c>
      <c r="F3" s="302">
        <v>2014</v>
      </c>
      <c r="G3" s="303">
        <v>2015</v>
      </c>
      <c r="H3" s="303" t="s">
        <v>3</v>
      </c>
      <c r="I3" s="304" t="s">
        <v>4</v>
      </c>
      <c r="J3" s="304" t="s">
        <v>201</v>
      </c>
      <c r="K3" s="305" t="s">
        <v>7</v>
      </c>
      <c r="L3" s="305" t="s">
        <v>8</v>
      </c>
      <c r="M3" s="306">
        <v>44562</v>
      </c>
      <c r="N3" s="306">
        <v>44593</v>
      </c>
      <c r="O3" s="306">
        <v>44621</v>
      </c>
      <c r="P3" s="306">
        <v>44682</v>
      </c>
      <c r="Q3" s="306">
        <v>44713</v>
      </c>
      <c r="R3" s="306">
        <v>44743</v>
      </c>
      <c r="S3" s="306">
        <v>44652</v>
      </c>
      <c r="T3" s="306">
        <v>44774</v>
      </c>
      <c r="U3" s="306">
        <v>44805</v>
      </c>
      <c r="V3" s="306">
        <v>44835</v>
      </c>
      <c r="W3" s="306">
        <v>44866</v>
      </c>
      <c r="X3" s="306">
        <v>44896</v>
      </c>
      <c r="Y3" s="306" t="s">
        <v>9</v>
      </c>
      <c r="Z3" s="306">
        <v>44949</v>
      </c>
      <c r="AA3" s="306">
        <v>44980</v>
      </c>
      <c r="AB3" s="306">
        <v>45008</v>
      </c>
      <c r="AC3" s="306">
        <v>45039</v>
      </c>
      <c r="AD3" s="306">
        <v>45069</v>
      </c>
      <c r="AE3" s="306">
        <v>45100</v>
      </c>
      <c r="AF3" s="306">
        <v>45130</v>
      </c>
      <c r="AG3" s="306">
        <v>45161</v>
      </c>
      <c r="AH3" s="306">
        <v>45192</v>
      </c>
      <c r="AI3" s="306">
        <v>45222</v>
      </c>
    </row>
    <row r="4" spans="1:35" s="4" customFormat="1" ht="15.75">
      <c r="A4" s="360">
        <v>1</v>
      </c>
      <c r="B4" s="372" t="s">
        <v>202</v>
      </c>
      <c r="C4" s="307"/>
      <c r="D4" s="304"/>
      <c r="E4" s="308"/>
      <c r="F4" s="308"/>
      <c r="G4" s="308"/>
      <c r="H4" s="308"/>
      <c r="I4" s="304"/>
      <c r="J4" s="309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73"/>
    </row>
    <row r="5" spans="1:35" s="4" customFormat="1" ht="15.75">
      <c r="A5" s="361">
        <v>1.1000000000000001</v>
      </c>
      <c r="B5" s="374" t="s">
        <v>203</v>
      </c>
      <c r="C5" s="311" t="s">
        <v>204</v>
      </c>
      <c r="D5" s="311" t="s">
        <v>205</v>
      </c>
      <c r="E5" s="312">
        <f>Financials!C13/1000000</f>
        <v>0</v>
      </c>
      <c r="F5" s="312">
        <f>Financials!D13/1000000</f>
        <v>0</v>
      </c>
      <c r="G5" s="312">
        <f>Financials!E13/1000000</f>
        <v>0</v>
      </c>
      <c r="H5" s="312">
        <f>Financials!F13/1000000</f>
        <v>0</v>
      </c>
      <c r="I5" s="312">
        <f>Financials!G13/1000000</f>
        <v>0</v>
      </c>
      <c r="J5" s="312">
        <f>Financials!H13/1000000</f>
        <v>0</v>
      </c>
      <c r="K5" s="313">
        <f>Financials!I13/1000000</f>
        <v>50.822603000000001</v>
      </c>
      <c r="L5" s="313">
        <f>Financials!J13/1000000</f>
        <v>148.24099899999999</v>
      </c>
      <c r="M5" s="313">
        <f>Financials!K13/1000000</f>
        <v>113.1949982</v>
      </c>
      <c r="N5" s="313">
        <f>Financials!L13/1000000</f>
        <v>123.05897341000001</v>
      </c>
      <c r="O5" s="313">
        <f>Financials!M13/1000000</f>
        <v>284.81209629</v>
      </c>
      <c r="P5" s="313">
        <f>Financials!O13/1000000</f>
        <v>261.46058906000002</v>
      </c>
      <c r="Q5" s="313">
        <f>Financials!P13/1000000</f>
        <v>291.51345497000005</v>
      </c>
      <c r="R5" s="313">
        <f>Financials!Q13/1000000</f>
        <v>312.14160386999998</v>
      </c>
      <c r="S5" s="313">
        <f>Financials!N13/1000000</f>
        <v>289.10171341</v>
      </c>
      <c r="T5" s="313">
        <f>Financials!R13/1000000</f>
        <v>326.88847068000007</v>
      </c>
      <c r="U5" s="313">
        <f>Financials!S13/1000000</f>
        <v>404.19952418000008</v>
      </c>
      <c r="V5" s="313">
        <f>Financials!T13/1000000</f>
        <v>433.52966340000006</v>
      </c>
      <c r="W5" s="313">
        <f>Financials!U13/1000000</f>
        <v>501.74769579000008</v>
      </c>
      <c r="X5" s="313">
        <f>Financials!V13/1000000</f>
        <v>522.18034843000009</v>
      </c>
      <c r="Y5" s="313">
        <f>Financials!W13/1000000</f>
        <v>489.371779</v>
      </c>
      <c r="Z5" s="313">
        <f>Financials!X13/1000000</f>
        <v>459.41448305999995</v>
      </c>
      <c r="AA5" s="313">
        <f>Financials!Y13/1000000</f>
        <v>496.76392540999996</v>
      </c>
      <c r="AB5" s="313">
        <f>Financials!Z13/1000000</f>
        <v>729.89205112000002</v>
      </c>
      <c r="AC5" s="313">
        <f>Financials!AA13/1000000</f>
        <v>756.32997298999999</v>
      </c>
      <c r="AD5" s="313">
        <f>Financials!AB13/1000000</f>
        <v>811.86837585000001</v>
      </c>
      <c r="AE5" s="313">
        <f>Financials!AC13/1000000</f>
        <v>854.58181743000011</v>
      </c>
    </row>
    <row r="6" spans="1:35" s="4" customFormat="1" ht="15.75">
      <c r="A6" s="361">
        <v>1.2</v>
      </c>
      <c r="B6" s="374" t="s">
        <v>206</v>
      </c>
      <c r="C6" s="311" t="s">
        <v>207</v>
      </c>
      <c r="D6" s="311" t="s">
        <v>208</v>
      </c>
      <c r="E6" s="314" t="e">
        <f>Financials!C13/Financials!C5</f>
        <v>#DIV/0!</v>
      </c>
      <c r="F6" s="314" t="e">
        <f>Financials!D13/Financials!D5</f>
        <v>#DIV/0!</v>
      </c>
      <c r="G6" s="314" t="e">
        <f>Financials!E13/Financials!E5</f>
        <v>#DIV/0!</v>
      </c>
      <c r="H6" s="314" t="e">
        <f>Financials!F13/Financials!F5</f>
        <v>#DIV/0!</v>
      </c>
      <c r="I6" s="314" t="e">
        <f>Financials!G13/Financials!G5</f>
        <v>#DIV/0!</v>
      </c>
      <c r="J6" s="314" t="e">
        <f>Financials!H13/Financials!H5</f>
        <v>#DIV/0!</v>
      </c>
      <c r="K6" s="315">
        <f>Financials!I13/Financials!I5</f>
        <v>0.11063689744382797</v>
      </c>
      <c r="L6" s="315">
        <f>Financials!J13/Financials!J5</f>
        <v>0.12660776714744518</v>
      </c>
      <c r="M6" s="315">
        <f>Financials!K13/Financials!K5</f>
        <v>8.8298281574366103E-2</v>
      </c>
      <c r="N6" s="315">
        <f>Financials!L13/Financials!L5</f>
        <v>8.7697581264156832E-2</v>
      </c>
      <c r="O6" s="315">
        <f>Financials!M13/Financials!M5</f>
        <v>0.18793412804161405</v>
      </c>
      <c r="P6" s="315">
        <f>Financials!O13/Financials!O5</f>
        <v>0.14223509282708244</v>
      </c>
      <c r="Q6" s="315">
        <f>Financials!P13/Financials!P5</f>
        <v>0.13894876162694916</v>
      </c>
      <c r="R6" s="315">
        <f>Financials!Q13/Financials!Q5</f>
        <v>0.14506597266792953</v>
      </c>
      <c r="S6" s="315">
        <f>Financials!N13/Financials!N5</f>
        <v>0.17514000573929356</v>
      </c>
      <c r="T6" s="315">
        <f>Financials!R13/Financials!R5</f>
        <v>0.141988235030059</v>
      </c>
      <c r="U6" s="315">
        <f>Financials!S13/Financials!S5</f>
        <v>0.16165962856118965</v>
      </c>
      <c r="V6" s="315">
        <f>Financials!T13/Financials!T5</f>
        <v>0.16164535103260774</v>
      </c>
      <c r="W6" s="315">
        <f>Financials!U13/Financials!U5</f>
        <v>0.17721098397052437</v>
      </c>
      <c r="X6" s="315">
        <f>Financials!V13/Financials!V5</f>
        <v>0.17244005274770444</v>
      </c>
      <c r="Y6" s="315">
        <f>Financials!W13/Financials!W5</f>
        <v>0.1615815805415193</v>
      </c>
      <c r="Z6" s="315">
        <f>Financials!X13/Financials!X5</f>
        <v>0.14421521140686408</v>
      </c>
      <c r="AA6" s="315">
        <f>Financials!Y13/Financials!Y5</f>
        <v>0.14644282679878945</v>
      </c>
      <c r="AB6" s="315">
        <f>Financials!Z13/Financials!Z5</f>
        <v>0.20730060554009366</v>
      </c>
      <c r="AC6" s="315">
        <f>Financials!AA13/Financials!AA5</f>
        <v>0.20443954836523498</v>
      </c>
      <c r="AD6" s="315">
        <f>Financials!AB13/Financials!AB5</f>
        <v>0.20791501355820377</v>
      </c>
      <c r="AE6" s="315">
        <f>Financials!AC13/Financials!AC5</f>
        <v>0.20619005516992342</v>
      </c>
    </row>
    <row r="7" spans="1:35" s="4" customFormat="1" ht="15.75">
      <c r="A7" s="361">
        <v>1.3</v>
      </c>
      <c r="B7" s="374" t="s">
        <v>209</v>
      </c>
      <c r="C7" s="311" t="s">
        <v>210</v>
      </c>
      <c r="D7" s="311" t="s">
        <v>211</v>
      </c>
      <c r="E7" s="314" t="e">
        <f>Financials!C13/Financials!C6</f>
        <v>#DIV/0!</v>
      </c>
      <c r="F7" s="314" t="e">
        <f>Financials!D13/Financials!D6</f>
        <v>#DIV/0!</v>
      </c>
      <c r="G7" s="314" t="e">
        <f>Financials!E13/Financials!E6</f>
        <v>#DIV/0!</v>
      </c>
      <c r="H7" s="314" t="e">
        <f>Financials!F13/Financials!F6</f>
        <v>#DIV/0!</v>
      </c>
      <c r="I7" s="314" t="e">
        <f>Financials!G13/Financials!G6</f>
        <v>#DIV/0!</v>
      </c>
      <c r="J7" s="314" t="e">
        <f>Financials!H13/Financials!H6</f>
        <v>#DIV/0!</v>
      </c>
      <c r="K7" s="315">
        <f>Financials!I13/Financials!I6</f>
        <v>0.17456928334680799</v>
      </c>
      <c r="L7" s="315">
        <f>Financials!J13/Financials!J6</f>
        <v>0.1599265686012637</v>
      </c>
      <c r="M7" s="315">
        <f>Financials!K13/Financials!K6</f>
        <v>0.11013921500534411</v>
      </c>
      <c r="N7" s="315">
        <f>Financials!L13/Financials!L6</f>
        <v>0.10669610833121473</v>
      </c>
      <c r="O7" s="315">
        <f>Financials!M13/Financials!M6</f>
        <v>0.25776509170289363</v>
      </c>
      <c r="P7" s="315">
        <f>Financials!O13/Financials!O6</f>
        <v>0.18671228903029793</v>
      </c>
      <c r="Q7" s="315">
        <f>Financials!P13/Financials!P6</f>
        <v>0.17934319840018303</v>
      </c>
      <c r="R7" s="315">
        <f>Financials!Q13/Financials!Q6</f>
        <v>0.18922448374585921</v>
      </c>
      <c r="S7" s="315">
        <f>Financials!N13/Financials!N6</f>
        <v>0.2348378001136891</v>
      </c>
      <c r="T7" s="315">
        <f>Financials!R13/Financials!R6</f>
        <v>0.18394678147840868</v>
      </c>
      <c r="U7" s="315">
        <f>Financials!S13/Financials!S6</f>
        <v>0.21381067876053228</v>
      </c>
      <c r="V7" s="315">
        <f>Financials!T13/Financials!T6</f>
        <v>0.21282518585677829</v>
      </c>
      <c r="W7" s="315">
        <f>Financials!U13/Financials!U6</f>
        <v>0.23532366675326347</v>
      </c>
      <c r="X7" s="315">
        <f>Financials!V13/Financials!V6</f>
        <v>0.22834092575487974</v>
      </c>
      <c r="Y7" s="315">
        <f>Financials!W13/Financials!W6</f>
        <v>0.21398489771644996</v>
      </c>
      <c r="Z7" s="315">
        <f>Financials!X13/Financials!X6</f>
        <v>0.19002396796875137</v>
      </c>
      <c r="AA7" s="315">
        <f>Financials!Y13/Financials!Y6</f>
        <v>0.19246323327548898</v>
      </c>
      <c r="AB7" s="315">
        <f>Financials!Z13/Financials!Z6</f>
        <v>0.2856077803269898</v>
      </c>
      <c r="AC7" s="315">
        <f>Financials!AA13/Financials!AA6</f>
        <v>0.27950892095238933</v>
      </c>
      <c r="AD7" s="315">
        <f>Financials!AB13/Financials!AB6</f>
        <v>0.2849486420208584</v>
      </c>
      <c r="AE7" s="315">
        <f>Financials!AC13/Financials!AC6</f>
        <v>0.28148837506916508</v>
      </c>
    </row>
    <row r="8" spans="1:35" s="4" customFormat="1" ht="15.75">
      <c r="A8" s="361">
        <v>1.4</v>
      </c>
      <c r="B8" s="375" t="s">
        <v>212</v>
      </c>
      <c r="C8" s="311" t="s">
        <v>213</v>
      </c>
      <c r="D8" s="311" t="s">
        <v>214</v>
      </c>
      <c r="E8" s="314" t="e">
        <f>Financials!C17/Financials!C5</f>
        <v>#DIV/0!</v>
      </c>
      <c r="F8" s="314" t="e">
        <f>Financials!D17/Financials!D5</f>
        <v>#DIV/0!</v>
      </c>
      <c r="G8" s="314" t="e">
        <f>Financials!E17/Financials!E5</f>
        <v>#DIV/0!</v>
      </c>
      <c r="H8" s="314" t="e">
        <f>Financials!F17/Financials!F5</f>
        <v>#DIV/0!</v>
      </c>
      <c r="I8" s="314" t="e">
        <f>Financials!G17/Financials!G5</f>
        <v>#DIV/0!</v>
      </c>
      <c r="J8" s="314" t="e">
        <f>Financials!H17/Financials!H5</f>
        <v>#DIV/0!</v>
      </c>
      <c r="K8" s="315">
        <f>Financials!I17/Financials!I5</f>
        <v>9.401442438375722E-2</v>
      </c>
      <c r="L8" s="315">
        <f>Financials!J17/Financials!J5</f>
        <v>6.2996407870742899E-2</v>
      </c>
      <c r="M8" s="315">
        <f>Financials!K17/Financials!K5</f>
        <v>5.7541108325208319E-2</v>
      </c>
      <c r="N8" s="315">
        <f>Financials!L17/Financials!L5</f>
        <v>5.2590927961777389E-2</v>
      </c>
      <c r="O8" s="315">
        <f>Financials!M17/Financials!M5</f>
        <v>0.1490113118156188</v>
      </c>
      <c r="P8" s="315">
        <f>Financials!O17/Financials!O5</f>
        <v>0.12622031749198392</v>
      </c>
      <c r="Q8" s="315">
        <f>Financials!P17/Financials!P5</f>
        <v>0.11062912650439302</v>
      </c>
      <c r="R8" s="315">
        <f>Financials!Q17/Financials!Q5</f>
        <v>0.10797086489528451</v>
      </c>
      <c r="S8" s="315">
        <f>Financials!N17/Financials!N5</f>
        <v>0.13715634172584876</v>
      </c>
      <c r="T8" s="315">
        <f>Financials!R17/Financials!R5</f>
        <v>0.10097853418250975</v>
      </c>
      <c r="U8" s="315">
        <f>Financials!S17/Financials!S5</f>
        <v>0.11468109949407776</v>
      </c>
      <c r="V8" s="315">
        <f>Financials!T17/Financials!T5</f>
        <v>0.1100169422333889</v>
      </c>
      <c r="W8" s="315">
        <f>Financials!U17/Financials!U5</f>
        <v>0.1171480908467018</v>
      </c>
      <c r="X8" s="315">
        <f>Financials!V17/Financials!V5</f>
        <v>0.11148427952742782</v>
      </c>
      <c r="Y8" s="315">
        <f>Financials!W17/Financials!W5</f>
        <v>0.11146767416287275</v>
      </c>
      <c r="Z8" s="315">
        <f>Financials!X17/Financials!X5</f>
        <v>0.10618593733683308</v>
      </c>
      <c r="AA8" s="315">
        <f>Financials!Y17/Financials!Y5</f>
        <v>0.10014264377318582</v>
      </c>
      <c r="AB8" s="315">
        <f>Financials!Z17/Financials!Z5</f>
        <v>0.15330224284919511</v>
      </c>
      <c r="AC8" s="315">
        <f>Financials!AA17/Financials!AA5</f>
        <v>0.14621479141013413</v>
      </c>
      <c r="AD8" s="315">
        <f>Financials!AB17/Financials!AB5</f>
        <v>0.14159191783085126</v>
      </c>
      <c r="AE8" s="315">
        <f>Financials!AC17/Financials!AC5</f>
        <v>0.13364519807983094</v>
      </c>
    </row>
    <row r="9" spans="1:35" s="2" customFormat="1" ht="15.75">
      <c r="A9" s="361">
        <v>1.5</v>
      </c>
      <c r="B9" s="375" t="s">
        <v>130</v>
      </c>
      <c r="C9" s="297" t="s">
        <v>210</v>
      </c>
      <c r="D9" s="297" t="s">
        <v>214</v>
      </c>
      <c r="E9" s="316" t="e">
        <f>Financials!C14/Financials!C5</f>
        <v>#DIV/0!</v>
      </c>
      <c r="F9" s="316" t="e">
        <f>Financials!D14/Financials!D5</f>
        <v>#DIV/0!</v>
      </c>
      <c r="G9" s="316" t="e">
        <f>Financials!E14/Financials!E5</f>
        <v>#DIV/0!</v>
      </c>
      <c r="H9" s="316" t="e">
        <f>Financials!F14/Financials!F5</f>
        <v>#DIV/0!</v>
      </c>
      <c r="I9" s="316" t="e">
        <f>Financials!G14/Financials!G5</f>
        <v>#DIV/0!</v>
      </c>
      <c r="J9" s="316" t="e">
        <f>Financials!H14/Financials!H5</f>
        <v>#DIV/0!</v>
      </c>
      <c r="K9" s="317">
        <f>Financials!I14/Financials!I5</f>
        <v>1.6622473060070753E-2</v>
      </c>
      <c r="L9" s="317">
        <f>Financials!J14/Financials!J5</f>
        <v>6.3611359276702278E-2</v>
      </c>
      <c r="M9" s="317">
        <f>Financials!K14/Financials!K5</f>
        <v>3.0757173249157787E-2</v>
      </c>
      <c r="N9" s="317">
        <f>Financials!L14/Financials!L5</f>
        <v>3.5106653302379449E-2</v>
      </c>
      <c r="O9" s="317">
        <f>Financials!M14/Financials!M5</f>
        <v>3.8922816225995263E-2</v>
      </c>
      <c r="P9" s="317">
        <f>Financials!O14/Financials!O5</f>
        <v>1.6014775335098499E-2</v>
      </c>
      <c r="Q9" s="317">
        <f>Financials!P14/Financials!P5</f>
        <v>2.8319635122556152E-2</v>
      </c>
      <c r="R9" s="317">
        <f>Financials!Q14/Financials!Q5</f>
        <v>3.7095107772645013E-2</v>
      </c>
      <c r="S9" s="317">
        <f>Financials!N14/Financials!N5</f>
        <v>3.7983664013444815E-2</v>
      </c>
      <c r="T9" s="317">
        <f>Financials!R14/Financials!R5</f>
        <v>4.1009700847549235E-2</v>
      </c>
      <c r="U9" s="317">
        <f>Financials!S14/Financials!S5</f>
        <v>4.697852906711189E-2</v>
      </c>
      <c r="V9" s="317">
        <f>Financials!T14/Financials!T5</f>
        <v>5.1628408799218858E-2</v>
      </c>
      <c r="W9" s="317">
        <f>Financials!U14/Financials!U5</f>
        <v>6.0062893123822549E-2</v>
      </c>
      <c r="X9" s="317">
        <f>Financials!V14/Financials!V5</f>
        <v>6.0955773220276621E-2</v>
      </c>
      <c r="Y9" s="317">
        <f>Financials!W14/Financials!W5</f>
        <v>5.0113906378646558E-2</v>
      </c>
      <c r="Z9" s="317">
        <f>Financials!X14/Financials!X5</f>
        <v>3.8029274070031011E-2</v>
      </c>
      <c r="AA9" s="317">
        <f>Financials!Y14/Financials!Y5</f>
        <v>4.6300183025603625E-2</v>
      </c>
      <c r="AB9" s="317">
        <f>Financials!Z14/Financials!Z5</f>
        <v>5.3998362690898548E-2</v>
      </c>
      <c r="AC9" s="317">
        <f>Financials!AA14/Financials!AA5</f>
        <v>5.8224756955100855E-2</v>
      </c>
      <c r="AD9" s="317">
        <f>Financials!AB14/Financials!AB5</f>
        <v>6.6323095727352524E-2</v>
      </c>
      <c r="AE9" s="317">
        <f>Financials!AC14/Financials!AC5</f>
        <v>7.2544857090092466E-2</v>
      </c>
    </row>
    <row r="10" spans="1:35" s="4" customFormat="1" ht="15.75">
      <c r="A10" s="360">
        <v>2</v>
      </c>
      <c r="B10" s="372" t="s">
        <v>215</v>
      </c>
      <c r="C10" s="307"/>
      <c r="D10" s="304"/>
      <c r="E10" s="304"/>
      <c r="F10" s="304"/>
      <c r="G10" s="304"/>
      <c r="H10" s="304"/>
      <c r="I10" s="304"/>
      <c r="J10" s="304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77"/>
    </row>
    <row r="11" spans="1:35" s="4" customFormat="1" ht="15.75">
      <c r="A11" s="362">
        <v>2.1</v>
      </c>
      <c r="B11" s="372" t="s">
        <v>216</v>
      </c>
      <c r="C11" s="307"/>
      <c r="D11" s="304"/>
      <c r="E11" s="304"/>
      <c r="F11" s="304"/>
      <c r="G11" s="304"/>
      <c r="H11" s="304"/>
      <c r="I11" s="304"/>
      <c r="J11" s="304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77"/>
    </row>
    <row r="12" spans="1:35" s="2" customFormat="1" ht="15.75">
      <c r="A12" s="363" t="s">
        <v>217</v>
      </c>
      <c r="B12" s="375" t="s">
        <v>218</v>
      </c>
      <c r="C12" s="297" t="s">
        <v>219</v>
      </c>
      <c r="D12" s="297">
        <v>48.1</v>
      </c>
      <c r="E12" s="316" t="e">
        <f>Financials!C39/Financials!C5</f>
        <v>#DIV/0!</v>
      </c>
      <c r="F12" s="319" t="e">
        <f>Financials!D39/Financials!D5</f>
        <v>#DIV/0!</v>
      </c>
      <c r="G12" s="319" t="e">
        <f>Financials!E39/Financials!E5</f>
        <v>#DIV/0!</v>
      </c>
      <c r="H12" s="319" t="e">
        <f>Financials!F39/Financials!F5</f>
        <v>#DIV/0!</v>
      </c>
      <c r="I12" s="319" t="e">
        <f>Financials!G39/Financials!G5</f>
        <v>#DIV/0!</v>
      </c>
      <c r="J12" s="320" t="e">
        <f>Financials!H39/Financials!H5</f>
        <v>#DIV/0!</v>
      </c>
      <c r="K12" s="317">
        <f>Financials!I39/Financials!I5</f>
        <v>1.276427310120894E-2</v>
      </c>
      <c r="L12" s="317">
        <f>Financials!J39/Financials!J5</f>
        <v>2.0740304992582177E-2</v>
      </c>
      <c r="M12" s="317">
        <f>Financials!K39/Financials!K5</f>
        <v>1.9329261803540276E-2</v>
      </c>
      <c r="N12" s="317">
        <f>Financials!L39/Financials!L5</f>
        <v>0.15369536445329918</v>
      </c>
      <c r="O12" s="317">
        <f>Financials!M39/Financials!M5</f>
        <v>4.0808912914975175E-4</v>
      </c>
      <c r="P12" s="317">
        <f>Financials!O39/Financials!O5</f>
        <v>2.043910899210577E-3</v>
      </c>
      <c r="Q12" s="317">
        <f>Financials!P39/Financials!P5</f>
        <v>5.7083980512373483E-2</v>
      </c>
      <c r="R12" s="317">
        <f>Financials!Q39/Financials!Q5</f>
        <v>0.22931812111709454</v>
      </c>
      <c r="S12" s="317">
        <f>Financials!N39/Financials!N5</f>
        <v>1.2690608556051718E-3</v>
      </c>
      <c r="T12" s="317">
        <f>Financials!R39/Financials!R5</f>
        <v>2.6702404083771641E-3</v>
      </c>
      <c r="U12" s="317">
        <f>Financials!S39/Financials!S5</f>
        <v>3.3520510758389467E-3</v>
      </c>
      <c r="V12" s="317">
        <f>Financials!T39/Financials!T5</f>
        <v>4.4483316899192674E-3</v>
      </c>
      <c r="W12" s="317">
        <f>Financials!U39/Financials!U5</f>
        <v>4.8071812014037667E-3</v>
      </c>
      <c r="X12" s="317">
        <f>Financials!V39/Financials!V5</f>
        <v>0.208583075245934</v>
      </c>
      <c r="Y12" s="317">
        <f>Financials!W39/Financials!W5</f>
        <v>0.20844182479073226</v>
      </c>
      <c r="Z12" s="317">
        <f>Financials!X39/Financials!X5</f>
        <v>1.9250897015931916E-3</v>
      </c>
      <c r="AA12" s="317">
        <f>Financials!Y39/Financials!Y5</f>
        <v>2.1515991892179301E-3</v>
      </c>
      <c r="AB12" s="317">
        <f>Financials!Z39/Financials!Z5</f>
        <v>2.4884360906957032E-3</v>
      </c>
      <c r="AC12" s="317">
        <f>Financials!AA39/Financials!AA5</f>
        <v>0.1480617714680382</v>
      </c>
      <c r="AD12" s="317">
        <f>Financials!AB39/Financials!AB5</f>
        <v>0.14815370708167622</v>
      </c>
      <c r="AE12" s="317">
        <f>Financials!AC39/Financials!AC5</f>
        <v>2.3545087721456872E-3</v>
      </c>
    </row>
    <row r="13" spans="1:35" s="2" customFormat="1" ht="15.75">
      <c r="A13" s="363" t="s">
        <v>220</v>
      </c>
      <c r="B13" s="374" t="s">
        <v>221</v>
      </c>
      <c r="C13" s="297" t="s">
        <v>222</v>
      </c>
      <c r="D13" s="297">
        <v>48.1</v>
      </c>
      <c r="E13" s="316" t="e">
        <f>Financials!C40/Financials!C5</f>
        <v>#DIV/0!</v>
      </c>
      <c r="F13" s="319" t="e">
        <f>Financials!D40/Financials!D5</f>
        <v>#DIV/0!</v>
      </c>
      <c r="G13" s="319" t="e">
        <f>Financials!E40/Financials!E5</f>
        <v>#DIV/0!</v>
      </c>
      <c r="H13" s="319" t="e">
        <f>Financials!F40/Financials!F5</f>
        <v>#DIV/0!</v>
      </c>
      <c r="I13" s="319" t="e">
        <f>Financials!G40/Financials!G5</f>
        <v>#DIV/0!</v>
      </c>
      <c r="J13" s="320" t="e">
        <f>Financials!H40/Financials!H5</f>
        <v>#DIV/0!</v>
      </c>
      <c r="K13" s="317">
        <f>Financials!I40/Financials!I5</f>
        <v>0</v>
      </c>
      <c r="L13" s="317">
        <f>Financials!J40/Financials!J5</f>
        <v>0</v>
      </c>
      <c r="M13" s="317">
        <f>Financials!K40/Financials!K5</f>
        <v>0</v>
      </c>
      <c r="N13" s="317">
        <f>Financials!L40/Financials!L5</f>
        <v>0</v>
      </c>
      <c r="O13" s="317">
        <f>Financials!M40/Financials!M5</f>
        <v>0</v>
      </c>
      <c r="P13" s="317">
        <f>Financials!O40/Financials!O5</f>
        <v>0</v>
      </c>
      <c r="Q13" s="317">
        <f>Financials!P40/Financials!P5</f>
        <v>0</v>
      </c>
      <c r="R13" s="317">
        <f>Financials!Q40/Financials!Q5</f>
        <v>0</v>
      </c>
      <c r="S13" s="317">
        <f>Financials!N40/Financials!N5</f>
        <v>0</v>
      </c>
      <c r="T13" s="317">
        <f>Financials!R40/Financials!R5</f>
        <v>0</v>
      </c>
      <c r="U13" s="317">
        <f>Financials!S40/Financials!S5</f>
        <v>0</v>
      </c>
      <c r="V13" s="317">
        <f>Financials!T40/Financials!T5</f>
        <v>0</v>
      </c>
      <c r="W13" s="317">
        <f>Financials!U40/Financials!U5</f>
        <v>0</v>
      </c>
      <c r="X13" s="317">
        <f>Financials!V40/Financials!V5</f>
        <v>0</v>
      </c>
      <c r="Y13" s="317">
        <f>Financials!W40/Financials!W5</f>
        <v>0</v>
      </c>
      <c r="Z13" s="317">
        <f>Financials!X40/Financials!X5</f>
        <v>0</v>
      </c>
      <c r="AA13" s="317">
        <f>Financials!Y40/Financials!Y5</f>
        <v>0</v>
      </c>
      <c r="AB13" s="317">
        <f>Financials!Z40/Financials!Z5</f>
        <v>0</v>
      </c>
      <c r="AC13" s="317">
        <f>Financials!AA40/Financials!AA5</f>
        <v>1.1758254560149904E-3</v>
      </c>
      <c r="AD13" s="317">
        <f>Financials!AB40/Financials!AB5</f>
        <v>1.1460228201386001E-3</v>
      </c>
      <c r="AE13" s="317">
        <f>Financials!AC40/Financials!AC5</f>
        <v>0</v>
      </c>
    </row>
    <row r="14" spans="1:35" s="2" customFormat="1" ht="15.75">
      <c r="A14" s="363" t="s">
        <v>223</v>
      </c>
      <c r="B14" s="374" t="s">
        <v>224</v>
      </c>
      <c r="C14" s="297" t="s">
        <v>225</v>
      </c>
      <c r="D14" s="297">
        <v>41</v>
      </c>
      <c r="E14" s="316" t="e">
        <f>Financials!C34/Financials!C32</f>
        <v>#DIV/0!</v>
      </c>
      <c r="F14" s="316" t="e">
        <f>Financials!D34/Financials!D32</f>
        <v>#DIV/0!</v>
      </c>
      <c r="G14" s="316" t="e">
        <f>Financials!E34/Financials!E32</f>
        <v>#DIV/0!</v>
      </c>
      <c r="H14" s="316" t="e">
        <f>Financials!F34/Financials!F32</f>
        <v>#DIV/0!</v>
      </c>
      <c r="I14" s="316" t="e">
        <f>Financials!G34/Financials!G32</f>
        <v>#DIV/0!</v>
      </c>
      <c r="J14" s="316" t="e">
        <f>Financials!H34/Financials!H32</f>
        <v>#DIV/0!</v>
      </c>
      <c r="K14" s="317">
        <f>Financials!I34/Financials!I32</f>
        <v>0</v>
      </c>
      <c r="L14" s="317">
        <f>Financials!J34/Financials!J32</f>
        <v>0</v>
      </c>
      <c r="M14" s="317">
        <f>Financials!K34/Financials!K32</f>
        <v>0</v>
      </c>
      <c r="N14" s="317">
        <f>Financials!L34/Financials!L32</f>
        <v>0</v>
      </c>
      <c r="O14" s="317">
        <f>Financials!M34/Financials!M32</f>
        <v>0</v>
      </c>
      <c r="P14" s="317">
        <f>Financials!O34/Financials!O32</f>
        <v>0</v>
      </c>
      <c r="Q14" s="317">
        <f>Financials!P34/Financials!P32</f>
        <v>0</v>
      </c>
      <c r="R14" s="317">
        <f>Financials!Q34/Financials!Q32</f>
        <v>0</v>
      </c>
      <c r="S14" s="317">
        <f>Financials!N34/Financials!N32</f>
        <v>0</v>
      </c>
      <c r="T14" s="317">
        <f>Financials!R34/Financials!R32</f>
        <v>0</v>
      </c>
      <c r="U14" s="317">
        <f>Financials!S34/Financials!S32</f>
        <v>0</v>
      </c>
      <c r="V14" s="317">
        <f>Financials!T34/Financials!T32</f>
        <v>0</v>
      </c>
      <c r="W14" s="317">
        <f>Financials!U34/Financials!U32</f>
        <v>0</v>
      </c>
      <c r="X14" s="317">
        <f>Financials!V34/Financials!V32</f>
        <v>0</v>
      </c>
      <c r="Y14" s="317">
        <f>Financials!W34/Financials!W32</f>
        <v>0</v>
      </c>
      <c r="Z14" s="317">
        <f>Financials!X34/Financials!X32</f>
        <v>0</v>
      </c>
      <c r="AA14" s="317">
        <f>Financials!Y34/Financials!Y32</f>
        <v>0</v>
      </c>
      <c r="AB14" s="317">
        <f>Financials!Z34/Financials!Z32</f>
        <v>0</v>
      </c>
      <c r="AC14" s="317">
        <f>Financials!AA34/Financials!AA32</f>
        <v>0</v>
      </c>
      <c r="AD14" s="317">
        <f>Financials!AB34/Financials!AB32</f>
        <v>0</v>
      </c>
      <c r="AE14" s="317">
        <f>Financials!AC34/Financials!AC32</f>
        <v>0</v>
      </c>
    </row>
    <row r="15" spans="1:35" s="2" customFormat="1" ht="15.75">
      <c r="A15" s="363">
        <v>2.2000000000000002</v>
      </c>
      <c r="B15" s="378" t="s">
        <v>226</v>
      </c>
      <c r="C15" s="297"/>
      <c r="D15" s="297"/>
      <c r="E15" s="316"/>
      <c r="F15" s="316"/>
      <c r="G15" s="316"/>
      <c r="H15" s="316"/>
      <c r="I15" s="316"/>
      <c r="J15" s="316"/>
      <c r="K15" s="317"/>
      <c r="L15" s="317"/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76"/>
    </row>
    <row r="16" spans="1:35" s="2" customFormat="1" ht="15.75">
      <c r="A16" s="363" t="s">
        <v>227</v>
      </c>
      <c r="B16" s="374" t="s">
        <v>228</v>
      </c>
      <c r="C16" s="297" t="s">
        <v>222</v>
      </c>
      <c r="D16" s="297">
        <v>48.4</v>
      </c>
      <c r="E16" s="316" t="e">
        <f>Financials!C26/Financials!C6</f>
        <v>#DIV/0!</v>
      </c>
      <c r="F16" s="316" t="e">
        <f>Financials!D26/Financials!D6</f>
        <v>#DIV/0!</v>
      </c>
      <c r="G16" s="316" t="e">
        <f>Financials!E26/Financials!E6</f>
        <v>#DIV/0!</v>
      </c>
      <c r="H16" s="316" t="e">
        <f>Financials!F26/Financials!F6</f>
        <v>#DIV/0!</v>
      </c>
      <c r="I16" s="316" t="e">
        <f>Financials!G26/Financials!G6</f>
        <v>#DIV/0!</v>
      </c>
      <c r="J16" s="316" t="e">
        <f>Financials!H26/Financials!H6</f>
        <v>#DIV/0!</v>
      </c>
      <c r="K16" s="317">
        <f>Financials!I26/Financials!I6</f>
        <v>3.4348748990052323E-2</v>
      </c>
      <c r="L16" s="317">
        <f>Financials!J26/Financials!J6</f>
        <v>1.0788281897726803E-2</v>
      </c>
      <c r="M16" s="317">
        <f>Financials!K26/Financials!K6</f>
        <v>5.8380255359380774E-2</v>
      </c>
      <c r="N16" s="317">
        <f>Financials!L26/Financials!L6</f>
        <v>5.3394274180781083E-2</v>
      </c>
      <c r="O16" s="317">
        <f>Financials!M26/Financials!M6</f>
        <v>5.5734622957630486E-2</v>
      </c>
      <c r="P16" s="317">
        <f>Financials!O26/Financials!O6</f>
        <v>7.3255661736386826E-2</v>
      </c>
      <c r="Q16" s="317">
        <f>Financials!P26/Financials!P6</f>
        <v>6.4053713140414956E-2</v>
      </c>
      <c r="R16" s="317">
        <f>Financials!Q26/Financials!Q6</f>
        <v>3.0916893331072958E-2</v>
      </c>
      <c r="S16" s="317">
        <f>Financials!N26/Financials!N6</f>
        <v>5.0023806265521956E-2</v>
      </c>
      <c r="T16" s="317">
        <f>Financials!R26/Financials!R6</f>
        <v>2.8698735797820278E-2</v>
      </c>
      <c r="U16" s="317">
        <f>Financials!S26/Financials!S6</f>
        <v>5.3426283958704079E-2</v>
      </c>
      <c r="V16" s="317">
        <f>Financials!T26/Financials!T6</f>
        <v>4.9582175307117872E-2</v>
      </c>
      <c r="W16" s="317">
        <f>Financials!U26/Financials!U6</f>
        <v>4.7369804667777217E-2</v>
      </c>
      <c r="X16" s="317">
        <f>Financials!V26/Financials!V6</f>
        <v>4.4165648076537001E-2</v>
      </c>
      <c r="Y16" s="317">
        <f>Financials!W26/Financials!W6</f>
        <v>2.2300488609783415E-2</v>
      </c>
      <c r="Z16" s="317">
        <f>Financials!X26/Financials!X6</f>
        <v>4.2400915088026542E-2</v>
      </c>
      <c r="AA16" s="317">
        <f>Financials!Y26/Financials!Y6</f>
        <v>3.9716343343225394E-2</v>
      </c>
      <c r="AB16" s="317">
        <f>Financials!Z26/Financials!Z6</f>
        <v>4.7347469213476982E-2</v>
      </c>
      <c r="AC16" s="317">
        <f>Financials!AA26/Financials!AA6</f>
        <v>1.8847534115589426E-2</v>
      </c>
      <c r="AD16" s="317">
        <f>Financials!AB26/Financials!AB6</f>
        <v>1.7899922173774587E-2</v>
      </c>
      <c r="AE16" s="317">
        <f>Financials!AC26/Financials!AC6</f>
        <v>1.6798750963015113E-2</v>
      </c>
    </row>
    <row r="17" spans="1:31" s="2" customFormat="1" ht="15.75">
      <c r="A17" s="363" t="s">
        <v>229</v>
      </c>
      <c r="B17" s="374" t="s">
        <v>230</v>
      </c>
      <c r="C17" s="297" t="s">
        <v>231</v>
      </c>
      <c r="D17" s="297">
        <v>48.4</v>
      </c>
      <c r="E17" s="316" t="e">
        <f>Financials!C26/Financials!C13</f>
        <v>#DIV/0!</v>
      </c>
      <c r="F17" s="316" t="e">
        <f>Financials!D26/Financials!D13</f>
        <v>#DIV/0!</v>
      </c>
      <c r="G17" s="316" t="e">
        <f>Financials!E26/Financials!E13</f>
        <v>#DIV/0!</v>
      </c>
      <c r="H17" s="316" t="e">
        <f>Financials!F26/Financials!F13</f>
        <v>#DIV/0!</v>
      </c>
      <c r="I17" s="316" t="e">
        <f>Financials!G26/Financials!G13</f>
        <v>#DIV/0!</v>
      </c>
      <c r="J17" s="316" t="e">
        <f>Financials!H26/Financials!H13</f>
        <v>#DIV/0!</v>
      </c>
      <c r="K17" s="317">
        <f>Financials!I26/Financials!I13</f>
        <v>0.19676284585423537</v>
      </c>
      <c r="L17" s="317">
        <f>Financials!J26/Financials!J13</f>
        <v>6.7457721328496978E-2</v>
      </c>
      <c r="M17" s="317">
        <f>Financials!K26/Financials!K13</f>
        <v>0.53005875660679147</v>
      </c>
      <c r="N17" s="317">
        <f>Financials!L26/Financials!L13</f>
        <v>0.50043319307420508</v>
      </c>
      <c r="O17" s="317">
        <f>Financials!M26/Financials!M13</f>
        <v>0.21622254041238284</v>
      </c>
      <c r="P17" s="317">
        <f>Financials!O26/Financials!O13</f>
        <v>0.39234515369526413</v>
      </c>
      <c r="Q17" s="317">
        <f>Financials!P26/Financials!P13</f>
        <v>0.35715719197494572</v>
      </c>
      <c r="R17" s="317">
        <f>Financials!Q26/Financials!Q13</f>
        <v>0.16338738369922762</v>
      </c>
      <c r="S17" s="317">
        <f>Financials!N26/Financials!N13</f>
        <v>0.21301428578067311</v>
      </c>
      <c r="T17" s="317">
        <f>Financials!R26/Financials!R13</f>
        <v>0.1560165150331205</v>
      </c>
      <c r="U17" s="317">
        <f>Financials!S26/Financials!S13</f>
        <v>0.24987659301405363</v>
      </c>
      <c r="V17" s="317">
        <f>Financials!T26/Financials!T13</f>
        <v>0.23297137088128486</v>
      </c>
      <c r="W17" s="317">
        <f>Financials!U26/Financials!U13</f>
        <v>0.20129639029228791</v>
      </c>
      <c r="X17" s="317">
        <f>Financials!V26/Financials!V13</f>
        <v>0.19341976446196993</v>
      </c>
      <c r="Y17" s="317">
        <f>Financials!W26/Financials!W13</f>
        <v>0.10421524531760953</v>
      </c>
      <c r="Z17" s="317">
        <f>Financials!X26/Financials!X13</f>
        <v>0.22313456318836153</v>
      </c>
      <c r="AA17" s="317">
        <f>Financials!Y26/Financials!Y13</f>
        <v>0.20635808028007105</v>
      </c>
      <c r="AB17" s="317">
        <f>Financials!Z26/Financials!Z13</f>
        <v>0.16577793909980074</v>
      </c>
      <c r="AC17" s="317">
        <f>Financials!AA26/Financials!AA13</f>
        <v>6.7430885752658529E-2</v>
      </c>
      <c r="AD17" s="317">
        <f>Financials!AB26/Financials!AB13</f>
        <v>6.2818064500424278E-2</v>
      </c>
      <c r="AE17" s="317">
        <f>Financials!AC26/Financials!AC13</f>
        <v>5.9678311613712141E-2</v>
      </c>
    </row>
    <row r="18" spans="1:31" s="2" customFormat="1" ht="15.75">
      <c r="A18" s="363" t="s">
        <v>232</v>
      </c>
      <c r="B18" s="375" t="s">
        <v>233</v>
      </c>
      <c r="C18" s="321" t="s">
        <v>234</v>
      </c>
      <c r="D18" s="298"/>
      <c r="E18" s="316" t="e">
        <f>Financials!C31/Financials!C5</f>
        <v>#DIV/0!</v>
      </c>
      <c r="F18" s="316" t="e">
        <f>Financials!D31/Financials!D5</f>
        <v>#DIV/0!</v>
      </c>
      <c r="G18" s="316" t="e">
        <f>Financials!E31/Financials!E5</f>
        <v>#DIV/0!</v>
      </c>
      <c r="H18" s="316" t="e">
        <f>Financials!F31/Financials!F5</f>
        <v>#DIV/0!</v>
      </c>
      <c r="I18" s="316" t="e">
        <f>Financials!G31/Financials!G5</f>
        <v>#DIV/0!</v>
      </c>
      <c r="J18" s="316" t="e">
        <f>Financials!H31/Financials!H5</f>
        <v>#DIV/0!</v>
      </c>
      <c r="K18" s="317">
        <f>Financials!I31/Financials!I5</f>
        <v>0.14708793315275279</v>
      </c>
      <c r="L18" s="317">
        <f>Financials!J31/Financials!J5</f>
        <v>0.47224594508477608</v>
      </c>
      <c r="M18" s="317">
        <f>Financials!K31/Financials!K5</f>
        <v>0.46469245145591909</v>
      </c>
      <c r="N18" s="317">
        <f>Financials!L31/Financials!L5</f>
        <v>0.45585259024157027</v>
      </c>
      <c r="O18" s="317">
        <f>Financials!M31/Financials!M5</f>
        <v>0.46643612394337536</v>
      </c>
      <c r="P18" s="317">
        <f>Financials!O31/Financials!O5</f>
        <v>0.49704288814736641</v>
      </c>
      <c r="Q18" s="317">
        <f>Financials!P31/Financials!P5</f>
        <v>0.49416911643785738</v>
      </c>
      <c r="R18" s="317">
        <f>Financials!Q31/Financials!Q5</f>
        <v>0.53548641548370479</v>
      </c>
      <c r="S18" s="317">
        <f>Financials!N31/Financials!N5</f>
        <v>0.4875073824818037</v>
      </c>
      <c r="T18" s="317">
        <f>Financials!R31/Financials!R5</f>
        <v>0.55578899314772001</v>
      </c>
      <c r="U18" s="317">
        <f>Financials!S31/Financials!S5</f>
        <v>0.57021804789418451</v>
      </c>
      <c r="V18" s="317">
        <f>Financials!T31/Financials!T5</f>
        <v>0.59053259668285007</v>
      </c>
      <c r="W18" s="317">
        <f>Financials!U31/Financials!U5</f>
        <v>0.61882805157124454</v>
      </c>
      <c r="X18" s="317">
        <f>Financials!V31/Financials!V5</f>
        <v>0.63392329506977774</v>
      </c>
      <c r="Y18" s="317">
        <f>Financials!W31/Financials!W5</f>
        <v>0.63384065931772982</v>
      </c>
      <c r="Z18" s="317">
        <f>Financials!X31/Financials!X5</f>
        <v>0.66006827512581134</v>
      </c>
      <c r="AA18" s="317">
        <f>Financials!Y31/Financials!Y5</f>
        <v>0.67610120761982617</v>
      </c>
      <c r="AB18" s="317">
        <f>Financials!Z31/Financials!Z5</f>
        <v>0.71933715246953911</v>
      </c>
      <c r="AC18" s="317">
        <f>Financials!AA31/Financials!AA5</f>
        <v>0.73959351031704057</v>
      </c>
      <c r="AD18" s="317">
        <f>Financials!AB31/Financials!AB5</f>
        <v>0.75676784658422258</v>
      </c>
      <c r="AE18" s="317">
        <f>Financials!AC31/Financials!AC5</f>
        <v>0.77213960810399751</v>
      </c>
    </row>
    <row r="19" spans="1:31" s="2" customFormat="1" ht="15.75">
      <c r="A19" s="364">
        <v>3</v>
      </c>
      <c r="B19" s="378" t="s">
        <v>235</v>
      </c>
      <c r="C19" s="322"/>
      <c r="D19" s="296"/>
      <c r="E19" s="323"/>
      <c r="F19" s="323"/>
      <c r="G19" s="323"/>
      <c r="H19" s="323"/>
      <c r="I19" s="323"/>
      <c r="J19" s="323"/>
      <c r="K19" s="324"/>
      <c r="L19" s="324"/>
      <c r="M19" s="324"/>
      <c r="N19" s="324"/>
      <c r="O19" s="324"/>
      <c r="P19" s="324"/>
      <c r="Q19" s="324"/>
      <c r="R19" s="324"/>
      <c r="S19" s="324"/>
      <c r="T19" s="324"/>
      <c r="U19" s="324"/>
      <c r="V19" s="324"/>
      <c r="W19" s="324"/>
      <c r="X19" s="324"/>
      <c r="Y19" s="379"/>
    </row>
    <row r="20" spans="1:31" s="2" customFormat="1" ht="15.75">
      <c r="A20" s="361">
        <v>3.1</v>
      </c>
      <c r="B20" s="375" t="s">
        <v>236</v>
      </c>
      <c r="C20" s="321" t="s">
        <v>234</v>
      </c>
      <c r="D20" s="321"/>
      <c r="E20" s="316" t="e">
        <f>Financials!C6/Financials!C5</f>
        <v>#DIV/0!</v>
      </c>
      <c r="F20" s="316" t="e">
        <f>Financials!D6/Financials!D5</f>
        <v>#DIV/0!</v>
      </c>
      <c r="G20" s="316" t="e">
        <f>Financials!E6/Financials!E5</f>
        <v>#DIV/0!</v>
      </c>
      <c r="H20" s="316" t="e">
        <f>Financials!F6/Financials!F5</f>
        <v>#DIV/0!</v>
      </c>
      <c r="I20" s="316" t="e">
        <f>Financials!G6/Financials!G5</f>
        <v>#DIV/0!</v>
      </c>
      <c r="J20" s="316" t="e">
        <f>Financials!H6/Financials!H5</f>
        <v>#DIV/0!</v>
      </c>
      <c r="K20" s="317">
        <f>Financials!I6/Financials!I5</f>
        <v>0.63377070308544037</v>
      </c>
      <c r="L20" s="317">
        <f>Financials!J6/Financials!J5</f>
        <v>0.7916618749140395</v>
      </c>
      <c r="M20" s="317">
        <f>Financials!K6/Financials!K5</f>
        <v>0.80169703016388616</v>
      </c>
      <c r="N20" s="317">
        <f>Financials!L6/Financials!L5</f>
        <v>0.82193795664897984</v>
      </c>
      <c r="O20" s="317">
        <f>Financials!M6/Financials!M5</f>
        <v>0.72909068795953003</v>
      </c>
      <c r="P20" s="317">
        <f>Financials!O6/Financials!O5</f>
        <v>0.76178752649752934</v>
      </c>
      <c r="Q20" s="317">
        <f>Financials!P6/Financials!P5</f>
        <v>0.77476460142581782</v>
      </c>
      <c r="R20" s="317">
        <f>Financials!Q6/Financials!Q5</f>
        <v>0.76663426315784033</v>
      </c>
      <c r="S20" s="317">
        <f>Financials!N6/Financials!N5</f>
        <v>0.74579137453384936</v>
      </c>
      <c r="T20" s="317">
        <f>Financials!R6/Financials!R5</f>
        <v>0.77189844741439684</v>
      </c>
      <c r="U20" s="317">
        <f>Financials!S6/Financials!S5</f>
        <v>0.75608771974503786</v>
      </c>
      <c r="V20" s="317">
        <f>Financials!T6/Financials!T5</f>
        <v>0.75952171911358157</v>
      </c>
      <c r="W20" s="317">
        <f>Financials!U6/Financials!U5</f>
        <v>0.75305211080332957</v>
      </c>
      <c r="X20" s="317">
        <f>Financials!V6/Financials!V5</f>
        <v>0.7551867987643005</v>
      </c>
      <c r="Y20" s="317">
        <f>Financials!W6/Financials!W5</f>
        <v>0.75510740368056273</v>
      </c>
      <c r="Z20" s="317">
        <f>Financials!X6/Financials!X5</f>
        <v>0.75893169134632354</v>
      </c>
      <c r="AA20" s="317">
        <f>Financials!Y6/Financials!Y5</f>
        <v>0.76088728380226989</v>
      </c>
      <c r="AB20" s="317">
        <f>Financials!Z6/Financials!Z5</f>
        <v>0.72582268348137091</v>
      </c>
      <c r="AC20" s="317">
        <f>Financials!AA6/Financials!AA5</f>
        <v>0.73142405497697371</v>
      </c>
      <c r="AD20" s="317">
        <f>Financials!AB6/Financials!AB5</f>
        <v>0.72965785021352836</v>
      </c>
      <c r="AE20" s="317">
        <f>Financials!AC6/Financials!AC5</f>
        <v>0.732499362075823</v>
      </c>
    </row>
    <row r="21" spans="1:31" s="2" customFormat="1" ht="15.75">
      <c r="A21" s="363" t="s">
        <v>237</v>
      </c>
      <c r="B21" s="380" t="s">
        <v>238</v>
      </c>
      <c r="C21" s="325" t="s">
        <v>234</v>
      </c>
      <c r="D21" s="325"/>
      <c r="E21" s="326" t="e">
        <f>Financials!C7/Financials!C5</f>
        <v>#DIV/0!</v>
      </c>
      <c r="F21" s="326" t="e">
        <f>Financials!D7/Financials!D5</f>
        <v>#DIV/0!</v>
      </c>
      <c r="G21" s="326" t="e">
        <f>Financials!E7/Financials!E5</f>
        <v>#DIV/0!</v>
      </c>
      <c r="H21" s="326" t="e">
        <f>Financials!F7/Financials!F5</f>
        <v>#DIV/0!</v>
      </c>
      <c r="I21" s="326" t="e">
        <f>Financials!G7/Financials!G5</f>
        <v>#DIV/0!</v>
      </c>
      <c r="J21" s="326" t="e">
        <f>Financials!H7/Financials!H5</f>
        <v>#DIV/0!</v>
      </c>
      <c r="K21" s="327">
        <f>Financials!I7/Financials!I5</f>
        <v>0.63377070308544037</v>
      </c>
      <c r="L21" s="327">
        <f>Financials!J7/Financials!J5</f>
        <v>0.79138898205529007</v>
      </c>
      <c r="M21" s="327">
        <f>Financials!K7/Financials!K5</f>
        <v>0.79078092608214867</v>
      </c>
      <c r="N21" s="327">
        <f>Financials!L7/Financials!L5</f>
        <v>0.7865817580040243</v>
      </c>
      <c r="O21" s="327">
        <f>Financials!M7/Financials!M5</f>
        <v>0.69326006768025583</v>
      </c>
      <c r="P21" s="327">
        <f>Financials!O7/Financials!O5</f>
        <v>0.68509916587304465</v>
      </c>
      <c r="Q21" s="327">
        <f>Financials!P7/Financials!P5</f>
        <v>0.65204108404611627</v>
      </c>
      <c r="R21" s="327">
        <f>Financials!Q7/Financials!Q5</f>
        <v>0.69498452234744001</v>
      </c>
      <c r="S21" s="327">
        <f>Financials!N7/Financials!N5</f>
        <v>0.70017954167969099</v>
      </c>
      <c r="T21" s="327">
        <f>Financials!R7/Financials!R5</f>
        <v>0.70754124367328886</v>
      </c>
      <c r="U21" s="327">
        <f>Financials!S7/Financials!S5</f>
        <v>0.68435972948360102</v>
      </c>
      <c r="V21" s="327">
        <f>Financials!T7/Financials!T5</f>
        <v>0.68814244866075913</v>
      </c>
      <c r="W21" s="327">
        <f>Financials!U7/Financials!U5</f>
        <v>0.68745977542931225</v>
      </c>
      <c r="X21" s="327">
        <f>Financials!V7/Financials!V5</f>
        <v>0.6906549125561654</v>
      </c>
      <c r="Y21" s="327">
        <f>Financials!W7/Financials!W5</f>
        <v>0.69057719466967915</v>
      </c>
      <c r="Z21" s="327">
        <f>Financials!X7/Financials!X5</f>
        <v>0.70042274230294266</v>
      </c>
      <c r="AA21" s="327">
        <f>Financials!Y7/Financials!Y5</f>
        <v>0.69860867943125426</v>
      </c>
      <c r="AB21" s="327">
        <f>Financials!Z7/Financials!Z5</f>
        <v>0.65656490772730047</v>
      </c>
      <c r="AC21" s="327">
        <f>Financials!AA7/Financials!AA5</f>
        <v>0.66677084472908743</v>
      </c>
      <c r="AD21" s="327">
        <f>Financials!AB7/Financials!AB5</f>
        <v>0.66898381554798236</v>
      </c>
      <c r="AE21" s="327">
        <f>Financials!AC7/Financials!AC5</f>
        <v>0.66745998996787526</v>
      </c>
    </row>
    <row r="22" spans="1:31" s="4" customFormat="1" ht="15.75">
      <c r="A22" s="363" t="s">
        <v>239</v>
      </c>
      <c r="B22" s="380" t="s">
        <v>240</v>
      </c>
      <c r="C22" s="328" t="s">
        <v>234</v>
      </c>
      <c r="D22" s="328"/>
      <c r="E22" s="329" t="e">
        <f>Financials!C8/Financials!C5</f>
        <v>#DIV/0!</v>
      </c>
      <c r="F22" s="329" t="e">
        <f>Financials!D8/Financials!D5</f>
        <v>#DIV/0!</v>
      </c>
      <c r="G22" s="329" t="e">
        <f>Financials!E8/Financials!E5</f>
        <v>#DIV/0!</v>
      </c>
      <c r="H22" s="329" t="e">
        <f>Financials!F8/Financials!F5</f>
        <v>#DIV/0!</v>
      </c>
      <c r="I22" s="329" t="e">
        <f>Financials!G8/Financials!G5</f>
        <v>#DIV/0!</v>
      </c>
      <c r="J22" s="329" t="e">
        <f>Financials!H8/Financials!H5</f>
        <v>#DIV/0!</v>
      </c>
      <c r="K22" s="330">
        <f>Financials!I8/Financials!I5</f>
        <v>0</v>
      </c>
      <c r="L22" s="330">
        <f>Financials!J8/Financials!J5</f>
        <v>2.7289285874949318E-4</v>
      </c>
      <c r="M22" s="330">
        <f>Financials!K8/Financials!K5</f>
        <v>1.0908143624316278E-2</v>
      </c>
      <c r="N22" s="330">
        <f>Financials!L8/Financials!L5</f>
        <v>3.5346966305908785E-2</v>
      </c>
      <c r="O22" s="330">
        <f>Financials!M8/Financials!M5</f>
        <v>3.5817993331468796E-2</v>
      </c>
      <c r="P22" s="330">
        <f>Financials!O8/Financials!O5</f>
        <v>7.6661534796077013E-2</v>
      </c>
      <c r="Q22" s="330">
        <f>Financials!P8/Financials!P5</f>
        <v>0.12266655244680937</v>
      </c>
      <c r="R22" s="330">
        <f>Financials!Q8/Financials!Q5</f>
        <v>7.164067272327708E-2</v>
      </c>
      <c r="S22" s="330">
        <f>Financials!N8/Financials!N5</f>
        <v>4.5599573732223959E-2</v>
      </c>
      <c r="T22" s="330">
        <f>Financials!R8/Financials!R5</f>
        <v>6.434872845155086E-2</v>
      </c>
      <c r="U22" s="330">
        <f>Financials!S8/Financials!S5</f>
        <v>7.172018643564336E-2</v>
      </c>
      <c r="V22" s="330">
        <f>Financials!T8/Financials!T5</f>
        <v>7.1371995231873098E-2</v>
      </c>
      <c r="W22" s="330">
        <f>Financials!U8/Financials!U5</f>
        <v>6.5588975855092463E-2</v>
      </c>
      <c r="X22" s="330">
        <f>Financials!V8/Financials!V5</f>
        <v>6.4528745052427755E-2</v>
      </c>
      <c r="Y22" s="330">
        <f>Financials!W8/Financials!W5</f>
        <v>6.4530209010883618E-2</v>
      </c>
      <c r="Z22" s="330">
        <f>Financials!X8/Financials!X5</f>
        <v>5.8505963122950602E-2</v>
      </c>
      <c r="AA22" s="330">
        <f>Financials!Y8/Financials!Y5</f>
        <v>6.2275800294275631E-2</v>
      </c>
      <c r="AB22" s="330">
        <f>Financials!Z8/Financials!Z5</f>
        <v>6.9255074199290112E-2</v>
      </c>
      <c r="AC22" s="330">
        <f>Financials!AA8/Financials!AA5</f>
        <v>6.4650639109555846E-2</v>
      </c>
      <c r="AD22" s="330">
        <f>Financials!AB8/Financials!AB5</f>
        <v>6.067159869480513E-2</v>
      </c>
      <c r="AE22" s="330">
        <f>Financials!AC8/Financials!AC5</f>
        <v>6.503707709094092E-2</v>
      </c>
    </row>
    <row r="23" spans="1:31" s="4" customFormat="1" ht="15.75">
      <c r="A23" s="361">
        <v>3.2</v>
      </c>
      <c r="B23" s="375" t="s">
        <v>241</v>
      </c>
      <c r="C23" s="311" t="s">
        <v>242</v>
      </c>
      <c r="D23" s="311">
        <v>35.1</v>
      </c>
      <c r="E23" s="314" t="e">
        <f>Financials!C9/Financials!C5</f>
        <v>#DIV/0!</v>
      </c>
      <c r="F23" s="314" t="e">
        <f>Financials!D9/Financials!D5</f>
        <v>#DIV/0!</v>
      </c>
      <c r="G23" s="314" t="e">
        <f>Financials!E9/Financials!E5</f>
        <v>#DIV/0!</v>
      </c>
      <c r="H23" s="314" t="e">
        <f>Financials!F9/Financials!F5</f>
        <v>#DIV/0!</v>
      </c>
      <c r="I23" s="314" t="e">
        <f>Financials!G9/Financials!G5</f>
        <v>#DIV/0!</v>
      </c>
      <c r="J23" s="314" t="e">
        <f>Financials!H9/Financials!H5</f>
        <v>#DIV/0!</v>
      </c>
      <c r="K23" s="315">
        <f>Financials!I9/Financials!I5</f>
        <v>0.19592307717777693</v>
      </c>
      <c r="L23" s="315">
        <f>Financials!J9/Financials!J5</f>
        <v>2.5622014422766778E-2</v>
      </c>
      <c r="M23" s="315">
        <f>Financials!K9/Financials!K5</f>
        <v>2.3401638670912432E-2</v>
      </c>
      <c r="N23" s="315">
        <f>Financials!L9/Financials!L5</f>
        <v>2.1379403427648869E-2</v>
      </c>
      <c r="O23" s="315">
        <f>Financials!M9/Financials!M5</f>
        <v>1.9795591250126188E-2</v>
      </c>
      <c r="P23" s="315">
        <f>Financials!O9/Financials!O5</f>
        <v>1.6320061085126941E-2</v>
      </c>
      <c r="Q23" s="315">
        <f>Financials!P9/Financials!P5</f>
        <v>1.4299384051543886E-2</v>
      </c>
      <c r="R23" s="315">
        <f>Financials!Q9/Financials!Q5</f>
        <v>1.3942323375292156E-2</v>
      </c>
      <c r="S23" s="315">
        <f>Financials!N9/Financials!N5</f>
        <v>1.8174227022748127E-2</v>
      </c>
      <c r="T23" s="315">
        <f>Financials!R9/Financials!R5</f>
        <v>1.3030888002996144E-2</v>
      </c>
      <c r="U23" s="315">
        <f>Financials!S9/Financials!S5</f>
        <v>1.1998502142412118E-2</v>
      </c>
      <c r="V23" s="315">
        <f>Financials!T9/Financials!T5</f>
        <v>1.1185764067322716E-2</v>
      </c>
      <c r="W23" s="315">
        <f>Financials!U9/Financials!U5</f>
        <v>1.0595623186161697E-2</v>
      </c>
      <c r="X23" s="315">
        <f>Financials!V9/Financials!V5</f>
        <v>9.9069250652289095E-3</v>
      </c>
      <c r="Y23" s="315">
        <f>Financials!W9/Financials!W5</f>
        <v>9.9054494440832461E-3</v>
      </c>
      <c r="Z23" s="315">
        <f>Financials!X9/Financials!X5</f>
        <v>9.4173268404359016E-3</v>
      </c>
      <c r="AA23" s="315">
        <f>Financials!Y9/Financials!Y5</f>
        <v>8.8438080529654444E-3</v>
      </c>
      <c r="AB23" s="315">
        <f>Financials!Z9/Financials!Z5</f>
        <v>8.5204629323745763E-3</v>
      </c>
      <c r="AC23" s="315">
        <f>Financials!AA9/Financials!AA5</f>
        <v>8.1091410759654512E-3</v>
      </c>
      <c r="AD23" s="315">
        <f>Financials!AB9/Financials!AB5</f>
        <v>7.6828345484151956E-3</v>
      </c>
      <c r="AE23" s="315">
        <f>Financials!AC9/Financials!AC5</f>
        <v>7.2382790376936401E-3</v>
      </c>
    </row>
    <row r="24" spans="1:31" s="4" customFormat="1" ht="15.75">
      <c r="A24" s="360">
        <v>4</v>
      </c>
      <c r="B24" s="372" t="s">
        <v>243</v>
      </c>
      <c r="C24" s="307"/>
      <c r="D24" s="304"/>
      <c r="E24" s="331"/>
      <c r="F24" s="331"/>
      <c r="G24" s="331"/>
      <c r="H24" s="331"/>
      <c r="I24" s="331"/>
      <c r="J24" s="331"/>
      <c r="K24" s="332"/>
      <c r="L24" s="332"/>
      <c r="M24" s="332"/>
      <c r="N24" s="332"/>
      <c r="O24" s="332"/>
      <c r="P24" s="332"/>
      <c r="Q24" s="332"/>
      <c r="R24" s="332"/>
      <c r="S24" s="332"/>
      <c r="T24" s="332"/>
      <c r="U24" s="332"/>
      <c r="V24" s="332"/>
      <c r="W24" s="332"/>
      <c r="X24" s="332"/>
      <c r="Y24" s="381"/>
    </row>
    <row r="25" spans="1:31" ht="15.75">
      <c r="A25" s="361">
        <v>4.0999999999999996</v>
      </c>
      <c r="B25" s="375" t="s">
        <v>32</v>
      </c>
      <c r="C25" s="333" t="s">
        <v>234</v>
      </c>
      <c r="D25" s="333"/>
      <c r="E25" s="334" t="e">
        <f>Financials!C5/Financials!#REF!-1</f>
        <v>#REF!</v>
      </c>
      <c r="F25" s="334" t="e">
        <f>Financials!D5/Financials!C5-1</f>
        <v>#DIV/0!</v>
      </c>
      <c r="G25" s="334" t="e">
        <f>Financials!E5/Financials!D5-1</f>
        <v>#DIV/0!</v>
      </c>
      <c r="H25" s="334" t="e">
        <f>Financials!F5/Financials!E5-1</f>
        <v>#DIV/0!</v>
      </c>
      <c r="I25" s="334" t="e">
        <f>Financials!G5/Financials!F5-1</f>
        <v>#DIV/0!</v>
      </c>
      <c r="J25" s="334" t="e">
        <f>Financials!H5/Financials!G5-1</f>
        <v>#DIV/0!</v>
      </c>
      <c r="K25" s="335" t="e">
        <f>Financials!I5/Financials!H5-1</f>
        <v>#DIV/0!</v>
      </c>
      <c r="L25" s="335" t="e">
        <f>Financials!J5/Financials!H5-1</f>
        <v>#DIV/0!</v>
      </c>
      <c r="M25" s="335">
        <f>Financials!K5/Financials!I5-1</f>
        <v>1.7907315940984896</v>
      </c>
      <c r="N25" s="335">
        <f>Financials!L5/Financials!J5-1</f>
        <v>0.19844384383668823</v>
      </c>
      <c r="O25" s="335">
        <f>Financials!M5/Financials!K5-1</f>
        <v>0.18216416853743911</v>
      </c>
      <c r="P25" s="335">
        <f>Financials!O5/Financials!M5-1</f>
        <v>0.21296061006576883</v>
      </c>
      <c r="Q25" s="335">
        <f>Financials!P5/Financials!N5-1</f>
        <v>0.2709797119398214</v>
      </c>
      <c r="R25" s="335">
        <f>Financials!Q5/Financials!O5-1</f>
        <v>0.17054099563122205</v>
      </c>
      <c r="S25" s="335">
        <f>Financials!N5/Financials!L5-1</f>
        <v>0.1763583342988353</v>
      </c>
      <c r="T25" s="335">
        <f>Financials!R5/Financials!P5-1</f>
        <v>9.7345326600618565E-2</v>
      </c>
      <c r="U25" s="335">
        <f>Financials!S5/Financials!Q5-1</f>
        <v>0.16200532448204918</v>
      </c>
      <c r="V25" s="335">
        <f>Financials!T5/Financials!R5-1</f>
        <v>0.16495287443650275</v>
      </c>
      <c r="W25" s="335">
        <f>Financials!U5/Financials!S5-1</f>
        <v>0.13240174094551005</v>
      </c>
      <c r="X25" s="335">
        <f>Financials!V5/Financials!T5-1</f>
        <v>0.12908536136830651</v>
      </c>
      <c r="Y25" s="335">
        <f>Financials!W5/Financials!U5-1</f>
        <v>6.9676166232992998E-2</v>
      </c>
      <c r="Z25" s="335">
        <f>Financials!X5/Financials!V5-1</f>
        <v>5.1989087040154702E-2</v>
      </c>
      <c r="AA25" s="335">
        <f>Financials!Y5/Financials!W5-1</f>
        <v>0.12004346823898082</v>
      </c>
      <c r="AB25" s="335">
        <f>Financials!Z5/Financials!X5-1</f>
        <v>0.10525999762918725</v>
      </c>
      <c r="AC25" s="335">
        <f>Financials!AA5/Financials!Y5-1</f>
        <v>9.0597385113629469E-2</v>
      </c>
      <c r="AD25" s="335">
        <f>Financials!AB5/Financials!Z5-1</f>
        <v>0.10902595632912138</v>
      </c>
      <c r="AE25" s="335">
        <f>Financials!AC5/Financials!AA5-1</f>
        <v>0.12031341065144918</v>
      </c>
    </row>
    <row r="26" spans="1:31" ht="15.75">
      <c r="A26" s="361">
        <v>4.2</v>
      </c>
      <c r="B26" s="375" t="s">
        <v>120</v>
      </c>
      <c r="C26" s="333" t="s">
        <v>234</v>
      </c>
      <c r="D26" s="333"/>
      <c r="E26" s="334" t="e">
        <f>Financials!C6/Financials!#REF!-1</f>
        <v>#REF!</v>
      </c>
      <c r="F26" s="334" t="e">
        <f>Financials!D6/Financials!C6-1</f>
        <v>#DIV/0!</v>
      </c>
      <c r="G26" s="334" t="e">
        <f>Financials!E6/Financials!D6-1</f>
        <v>#DIV/0!</v>
      </c>
      <c r="H26" s="334" t="e">
        <f>Financials!F6/Financials!E6-1</f>
        <v>#DIV/0!</v>
      </c>
      <c r="I26" s="334" t="e">
        <f>Financials!G6/Financials!F6-1</f>
        <v>#DIV/0!</v>
      </c>
      <c r="J26" s="334" t="e">
        <f>Financials!H6/Financials!G6-1</f>
        <v>#DIV/0!</v>
      </c>
      <c r="K26" s="335" t="e">
        <f>Financials!I6/Financials!H6-1</f>
        <v>#DIV/0!</v>
      </c>
      <c r="L26" s="335" t="e">
        <f>Financials!J6/Financials!H6-1</f>
        <v>#DIV/0!</v>
      </c>
      <c r="M26" s="335">
        <f>Financials!K6/Financials!I6-1</f>
        <v>2.5301745885083418</v>
      </c>
      <c r="N26" s="335">
        <f>Financials!L6/Financials!J6-1</f>
        <v>0.24427677443559515</v>
      </c>
      <c r="O26" s="335">
        <f>Financials!M6/Financials!K6-1</f>
        <v>7.5100511154286398E-2</v>
      </c>
      <c r="P26" s="335">
        <f>Financials!O6/Financials!M6-1</f>
        <v>0.26735710404824986</v>
      </c>
      <c r="Q26" s="335">
        <f>Financials!P6/Financials!N6-1</f>
        <v>0.32035596490619289</v>
      </c>
      <c r="R26" s="335">
        <f>Financials!Q6/Financials!O6-1</f>
        <v>0.17798835300921301</v>
      </c>
      <c r="S26" s="335">
        <f>Financials!N6/Financials!L6-1</f>
        <v>6.7377278277646058E-2</v>
      </c>
      <c r="T26" s="335">
        <f>Financials!R6/Financials!P6-1</f>
        <v>9.3285821682657311E-2</v>
      </c>
      <c r="U26" s="335">
        <f>Financials!S6/Financials!Q6-1</f>
        <v>0.14601968414544664</v>
      </c>
      <c r="V26" s="335">
        <f>Financials!T6/Financials!R6-1</f>
        <v>0.14627385615572908</v>
      </c>
      <c r="W26" s="335">
        <f>Financials!U6/Financials!S6-1</f>
        <v>0.12785527264474283</v>
      </c>
      <c r="X26" s="335">
        <f>Financials!V6/Financials!T6-1</f>
        <v>0.12264118079268949</v>
      </c>
      <c r="Y26" s="335">
        <f>Financials!W6/Financials!U6-1</f>
        <v>7.2595615994656137E-2</v>
      </c>
      <c r="Z26" s="335">
        <f>Financials!X6/Financials!V6-1</f>
        <v>5.720579121834235E-2</v>
      </c>
      <c r="AA26" s="335">
        <f>Financials!Y6/Financials!W6-1</f>
        <v>0.12861670821248405</v>
      </c>
      <c r="AB26" s="335">
        <f>Financials!Z6/Financials!X6-1</f>
        <v>5.7042137745901389E-2</v>
      </c>
      <c r="AC26" s="335">
        <f>Financials!AA6/Financials!Y6-1</f>
        <v>4.8367056130732777E-2</v>
      </c>
      <c r="AD26" s="335">
        <f>Financials!AB6/Financials!Z6-1</f>
        <v>0.11488592674560349</v>
      </c>
      <c r="AE26" s="335">
        <f>Financials!AC6/Financials!AA6-1</f>
        <v>0.12196044557628172</v>
      </c>
    </row>
    <row r="27" spans="1:31" ht="15.75">
      <c r="A27" s="361" t="s">
        <v>244</v>
      </c>
      <c r="B27" s="382" t="s">
        <v>245</v>
      </c>
      <c r="C27" s="333" t="s">
        <v>234</v>
      </c>
      <c r="D27" s="333"/>
      <c r="E27" s="334" t="e">
        <f>Financials!C8/Financials!#REF!-1</f>
        <v>#REF!</v>
      </c>
      <c r="F27" s="334" t="e">
        <f>Financials!D8/Financials!C8-1</f>
        <v>#DIV/0!</v>
      </c>
      <c r="G27" s="334" t="e">
        <f>Financials!E8/Financials!D8-1</f>
        <v>#DIV/0!</v>
      </c>
      <c r="H27" s="334" t="e">
        <f>Financials!F8/Financials!E8-1</f>
        <v>#DIV/0!</v>
      </c>
      <c r="I27" s="334" t="e">
        <f>Financials!G8/Financials!F8-1</f>
        <v>#DIV/0!</v>
      </c>
      <c r="J27" s="334" t="e">
        <f>Financials!H8/Financials!G8-1</f>
        <v>#DIV/0!</v>
      </c>
      <c r="K27" s="335" t="e">
        <f>Financials!I8/Financials!H8-1</f>
        <v>#DIV/0!</v>
      </c>
      <c r="L27" s="335" t="e">
        <f>Financials!J8/Financials!H8-1</f>
        <v>#DIV/0!</v>
      </c>
      <c r="M27" s="335" t="e">
        <f>Financials!K8/Financials!I8-1</f>
        <v>#DIV/0!</v>
      </c>
      <c r="N27" s="335">
        <f>Financials!L8/Financials!J8-1</f>
        <v>154.23071714568235</v>
      </c>
      <c r="O27" s="335">
        <f>Financials!M8/Financials!K8-1</f>
        <v>2.8817556647297438</v>
      </c>
      <c r="P27" s="335">
        <f>Financials!O8/Financials!M8-1</f>
        <v>1.5961092000408441</v>
      </c>
      <c r="Q27" s="335">
        <f>Financials!P8/Financials!N8-1</f>
        <v>2.4190385289352343</v>
      </c>
      <c r="R27" s="335">
        <f>Financials!Q8/Financials!O8-1</f>
        <v>9.3877713252964456E-2</v>
      </c>
      <c r="S27" s="335">
        <f>Financials!N8/Financials!L8-1</f>
        <v>0.51756838581671794</v>
      </c>
      <c r="T27" s="335">
        <f>Financials!R8/Financials!P8-1</f>
        <v>-0.42435182997728171</v>
      </c>
      <c r="U27" s="335">
        <f>Financials!S8/Financials!Q8-1</f>
        <v>0.16329502980762367</v>
      </c>
      <c r="V27" s="335">
        <f>Financials!T8/Financials!R8-1</f>
        <v>0.29210029475936072</v>
      </c>
      <c r="W27" s="335">
        <f>Financials!U8/Financials!S8-1</f>
        <v>3.559505540029706E-2</v>
      </c>
      <c r="X27" s="335">
        <f>Financials!V8/Financials!T8-1</f>
        <v>2.0827023112656162E-2</v>
      </c>
      <c r="Y27" s="335">
        <f>Financials!W8/Financials!U8-1</f>
        <v>5.2408970883730754E-2</v>
      </c>
      <c r="Z27" s="335">
        <f>Financials!X8/Financials!V8-1</f>
        <v>-4.6198175989443646E-2</v>
      </c>
      <c r="AA27" s="335">
        <f>Financials!Y8/Financials!W8-1</f>
        <v>8.0913953605734834E-2</v>
      </c>
      <c r="AB27" s="335">
        <f>Financials!Z8/Financials!X8-1</f>
        <v>0.30832583653835655</v>
      </c>
      <c r="AC27" s="335">
        <f>Financials!AA8/Financials!Y8-1</f>
        <v>0.13218646128402467</v>
      </c>
      <c r="AD27" s="335">
        <f>Financials!AB8/Financials!Z8-1</f>
        <v>-2.8426746451848617E-2</v>
      </c>
      <c r="AE27" s="335">
        <f>Financials!AC8/Financials!AA8-1</f>
        <v>0.12700988974111671</v>
      </c>
    </row>
    <row r="28" spans="1:31" ht="15.75">
      <c r="A28" s="361" t="s">
        <v>246</v>
      </c>
      <c r="B28" s="382" t="s">
        <v>247</v>
      </c>
      <c r="C28" s="333" t="s">
        <v>234</v>
      </c>
      <c r="D28" s="333"/>
      <c r="E28" s="334" t="e">
        <f>Financials!C7/Financials!#REF!-1</f>
        <v>#REF!</v>
      </c>
      <c r="F28" s="334" t="e">
        <f>Financials!D7/Financials!C7-1</f>
        <v>#DIV/0!</v>
      </c>
      <c r="G28" s="334" t="e">
        <f>Financials!E7/Financials!D7-1</f>
        <v>#DIV/0!</v>
      </c>
      <c r="H28" s="334" t="e">
        <f>Financials!F7/Financials!E7-1</f>
        <v>#DIV/0!</v>
      </c>
      <c r="I28" s="334" t="e">
        <f>Financials!G7/Financials!F7-1</f>
        <v>#DIV/0!</v>
      </c>
      <c r="J28" s="334" t="e">
        <f>Financials!H7/Financials!G7-1</f>
        <v>#DIV/0!</v>
      </c>
      <c r="K28" s="335" t="e">
        <f>Financials!I7/Financials!H7-1</f>
        <v>#DIV/0!</v>
      </c>
      <c r="L28" s="335" t="e">
        <f>Financials!J7/Financials!H7-1</f>
        <v>#DIV/0!</v>
      </c>
      <c r="M28" s="335">
        <f>Financials!K7/Financials!I7-1</f>
        <v>2.4821068624410714</v>
      </c>
      <c r="N28" s="335">
        <f>Financials!L7/Financials!J7-1</f>
        <v>0.1911640001683812</v>
      </c>
      <c r="O28" s="335">
        <f>Financials!M7/Financials!K7-1</f>
        <v>3.6377060268524275E-2</v>
      </c>
      <c r="P28" s="335">
        <f>Financials!O7/Financials!M7-1</f>
        <v>0.19868191020081816</v>
      </c>
      <c r="Q28" s="335">
        <f>Financials!P7/Financials!N7-1</f>
        <v>0.18359783432943932</v>
      </c>
      <c r="R28" s="335">
        <f>Financials!Q7/Financials!O7-1</f>
        <v>0.18743083521373394</v>
      </c>
      <c r="S28" s="335">
        <f>Financials!N7/Financials!L7-1</f>
        <v>4.7141039032625676E-2</v>
      </c>
      <c r="T28" s="335">
        <f>Financials!R7/Financials!P7-1</f>
        <v>0.19074870605417282</v>
      </c>
      <c r="U28" s="335">
        <f>Financials!S7/Financials!Q7-1</f>
        <v>0.14424080529880379</v>
      </c>
      <c r="V28" s="335">
        <f>Financials!T7/Financials!R7-1</f>
        <v>0.13301313634699263</v>
      </c>
      <c r="W28" s="335">
        <f>Financials!U7/Financials!S7-1</f>
        <v>0.13753134935859301</v>
      </c>
      <c r="X28" s="335">
        <f>Financials!V7/Financials!T7-1</f>
        <v>0.13320774360295928</v>
      </c>
      <c r="Y28" s="335">
        <f>Financials!W7/Financials!U7-1</f>
        <v>7.4526819581393067E-2</v>
      </c>
      <c r="Z28" s="335">
        <f>Financials!X7/Financials!V7-1</f>
        <v>6.6867212296145562E-2</v>
      </c>
      <c r="AA28" s="335">
        <f>Financials!Y7/Financials!W7-1</f>
        <v>0.13306969053085083</v>
      </c>
      <c r="AB28" s="335">
        <f>Financials!Z7/Financials!X7-1</f>
        <v>3.6052778600696778E-2</v>
      </c>
      <c r="AC28" s="335">
        <f>Financials!AA7/Financials!Y7-1</f>
        <v>4.0895369813546134E-2</v>
      </c>
      <c r="AD28" s="335">
        <f>Financials!AB7/Financials!Z7-1</f>
        <v>0.13000315288699071</v>
      </c>
      <c r="AE28" s="335">
        <f>Financials!AC7/Financials!AA7-1</f>
        <v>0.12147131768803288</v>
      </c>
    </row>
    <row r="29" spans="1:31" ht="15.75">
      <c r="A29" s="361">
        <v>4.3</v>
      </c>
      <c r="B29" s="375" t="s">
        <v>170</v>
      </c>
      <c r="C29" s="333" t="s">
        <v>234</v>
      </c>
      <c r="D29" s="333"/>
      <c r="E29" s="334" t="e">
        <f>Financials!C31/Financials!#REF!-1</f>
        <v>#REF!</v>
      </c>
      <c r="F29" s="334" t="e">
        <f>Financials!D31/Financials!C31-1</f>
        <v>#DIV/0!</v>
      </c>
      <c r="G29" s="334" t="e">
        <f>Financials!E31/Financials!D31-1</f>
        <v>#DIV/0!</v>
      </c>
      <c r="H29" s="334" t="e">
        <f>Financials!F31/Financials!E31-1</f>
        <v>#DIV/0!</v>
      </c>
      <c r="I29" s="334" t="e">
        <f>Financials!G31/Financials!F31-1</f>
        <v>#DIV/0!</v>
      </c>
      <c r="J29" s="334" t="e">
        <f>Financials!H31/Financials!G31-1</f>
        <v>#DIV/0!</v>
      </c>
      <c r="K29" s="335" t="e">
        <f>Financials!I31/Financials!H31-1</f>
        <v>#DIV/0!</v>
      </c>
      <c r="L29" s="335" t="e">
        <f>Financials!J31/Financials!H31-1</f>
        <v>#DIV/0!</v>
      </c>
      <c r="M29" s="335">
        <f>Financials!K31/Financials!I31-1</f>
        <v>7.8167117316845758</v>
      </c>
      <c r="N29" s="335">
        <f>Financials!L31/Financials!J31-1</f>
        <v>0.15684154868486133</v>
      </c>
      <c r="O29" s="335">
        <f>Financials!M31/Financials!K31-1</f>
        <v>0.18660002095956707</v>
      </c>
      <c r="P29" s="335">
        <f>Financials!O31/Financials!M31-1</f>
        <v>0.29255307187414936</v>
      </c>
      <c r="Q29" s="335">
        <f>Financials!P31/Financials!N31-1</f>
        <v>0.28834750781068874</v>
      </c>
      <c r="R29" s="335">
        <f>Financials!Q31/Financials!O31-1</f>
        <v>0.26107588877008525</v>
      </c>
      <c r="S29" s="335">
        <f>Financials!N31/Financials!L31-1</f>
        <v>0.25804565925746603</v>
      </c>
      <c r="T29" s="335">
        <f>Financials!R31/Financials!P31-1</f>
        <v>0.23417760017669753</v>
      </c>
      <c r="U29" s="335">
        <f>Financials!S31/Financials!Q31-1</f>
        <v>0.23737295402774938</v>
      </c>
      <c r="V29" s="335">
        <f>Financials!T31/Financials!R31-1</f>
        <v>0.23777666423000543</v>
      </c>
      <c r="W29" s="335">
        <f>Financials!U31/Financials!S31-1</f>
        <v>0.22893683483556737</v>
      </c>
      <c r="X29" s="335">
        <f>Financials!V31/Financials!T31-1</f>
        <v>0.21204742416284983</v>
      </c>
      <c r="Y29" s="335">
        <f>Financials!W31/Financials!U31-1</f>
        <v>9.5626232101284181E-2</v>
      </c>
      <c r="Z29" s="335">
        <f>Financials!X31/Financials!V31-1</f>
        <v>9.5376408367102483E-2</v>
      </c>
      <c r="AA29" s="335">
        <f>Financials!Y31/Financials!W31-1</f>
        <v>0.19472099230458939</v>
      </c>
      <c r="AB29" s="335">
        <f>Financials!Z31/Financials!X31-1</f>
        <v>0.20450354818450989</v>
      </c>
      <c r="AC29" s="335">
        <f>Financials!AA31/Financials!Y31-1</f>
        <v>0.19301480208615085</v>
      </c>
      <c r="AD29" s="335">
        <f>Financials!AB31/Financials!Z31-1</f>
        <v>0.16673409943571227</v>
      </c>
      <c r="AE29" s="335">
        <f>Financials!AC31/Financials!AA31-1</f>
        <v>0.16961323454994615</v>
      </c>
    </row>
    <row r="30" spans="1:31" ht="15.75">
      <c r="A30" s="361">
        <v>4.4000000000000004</v>
      </c>
      <c r="B30" s="375" t="s">
        <v>248</v>
      </c>
      <c r="C30" s="333" t="s">
        <v>234</v>
      </c>
      <c r="D30" s="333"/>
      <c r="E30" s="334" t="e">
        <f>Financials!C13/Financials!#REF!-1</f>
        <v>#REF!</v>
      </c>
      <c r="F30" s="334" t="e">
        <f>Financials!D13/Financials!C13-1</f>
        <v>#DIV/0!</v>
      </c>
      <c r="G30" s="334" t="e">
        <f>Financials!E13/Financials!D13-1</f>
        <v>#DIV/0!</v>
      </c>
      <c r="H30" s="334" t="e">
        <f>Financials!F13/Financials!E13-1</f>
        <v>#DIV/0!</v>
      </c>
      <c r="I30" s="334" t="e">
        <f>Financials!G13/Financials!F13-1</f>
        <v>#DIV/0!</v>
      </c>
      <c r="J30" s="334" t="e">
        <f>Financials!H13/Financials!G13-1</f>
        <v>#DIV/0!</v>
      </c>
      <c r="K30" s="335" t="e">
        <f>Financials!I13/Financials!H13-1</f>
        <v>#DIV/0!</v>
      </c>
      <c r="L30" s="335" t="e">
        <f>Financials!J13/Financials!H13-1</f>
        <v>#DIV/0!</v>
      </c>
      <c r="M30" s="335">
        <f>Financials!K13/Financials!I13-1</f>
        <v>1.2272569982297052</v>
      </c>
      <c r="N30" s="335">
        <f>Financials!L13/Financials!J13-1</f>
        <v>-0.16987220647372991</v>
      </c>
      <c r="O30" s="335">
        <f>Financials!M13/Financials!K13-1</f>
        <v>1.5161190937675197</v>
      </c>
      <c r="P30" s="335">
        <f>Financials!O13/Financials!M13-1</f>
        <v>-8.1989169470608303E-2</v>
      </c>
      <c r="Q30" s="335">
        <f>Financials!P13/Financials!N13-1</f>
        <v>8.3421904752938314E-3</v>
      </c>
      <c r="R30" s="335">
        <f>Financials!Q13/Financials!O13-1</f>
        <v>0.19383806558459837</v>
      </c>
      <c r="S30" s="335">
        <f>Financials!N13/Financials!L13-1</f>
        <v>1.3492940449518414</v>
      </c>
      <c r="T30" s="335">
        <f>Financials!R13/Financials!P13-1</f>
        <v>0.12134951271336858</v>
      </c>
      <c r="U30" s="335">
        <f>Financials!S13/Financials!Q13-1</f>
        <v>0.29492358329888035</v>
      </c>
      <c r="V30" s="335">
        <f>Financials!T13/Financials!R13-1</f>
        <v>0.32623112249313291</v>
      </c>
      <c r="W30" s="335">
        <f>Financials!U13/Financials!S13-1</f>
        <v>0.24133668095700034</v>
      </c>
      <c r="X30" s="335">
        <f>Financials!V13/Financials!T13-1</f>
        <v>0.20448585763370408</v>
      </c>
      <c r="Y30" s="335">
        <f>Financials!W13/Financials!U13-1</f>
        <v>-2.4665617587967703E-2</v>
      </c>
      <c r="Z30" s="335">
        <f>Financials!X13/Financials!V13-1</f>
        <v>-0.12019959303086281</v>
      </c>
      <c r="AA30" s="335">
        <f>Financials!Y13/Financials!W13-1</f>
        <v>1.5105379441996636E-2</v>
      </c>
      <c r="AB30" s="335">
        <f>Financials!Z13/Financials!X13-1</f>
        <v>0.58874410370879726</v>
      </c>
      <c r="AC30" s="335">
        <f>Financials!AA13/Financials!Y13-1</f>
        <v>0.5225138829591327</v>
      </c>
      <c r="AD30" s="335">
        <f>Financials!AB13/Financials!Z13-1</f>
        <v>0.11231294354310273</v>
      </c>
      <c r="AE30" s="335">
        <f>Financials!AC13/Financials!AA13-1</f>
        <v>0.12990605681218859</v>
      </c>
    </row>
    <row r="31" spans="1:31" ht="15.75">
      <c r="A31" s="361">
        <v>4.5</v>
      </c>
      <c r="B31" s="375" t="s">
        <v>249</v>
      </c>
      <c r="C31" s="333" t="s">
        <v>234</v>
      </c>
      <c r="D31" s="333"/>
      <c r="E31" s="336" t="e">
        <f>Financials!C43/Financials!#REF!-1</f>
        <v>#REF!</v>
      </c>
      <c r="F31" s="336" t="e">
        <f>Financials!D43/Financials!C43-1</f>
        <v>#DIV/0!</v>
      </c>
      <c r="G31" s="336" t="e">
        <f>Financials!E43/Financials!D43-1</f>
        <v>#DIV/0!</v>
      </c>
      <c r="H31" s="336" t="e">
        <f>Financials!F43/Financials!E43-1</f>
        <v>#DIV/0!</v>
      </c>
      <c r="I31" s="336" t="e">
        <f>Financials!G43/Financials!F43-1</f>
        <v>#DIV/0!</v>
      </c>
      <c r="J31" s="336" t="e">
        <f>Financials!H43/Financials!G43-1</f>
        <v>#DIV/0!</v>
      </c>
      <c r="K31" s="337" t="e">
        <f>Financials!I43/Financials!H43-1</f>
        <v>#DIV/0!</v>
      </c>
      <c r="L31" s="337" t="e">
        <f>Financials!J43/Financials!H43-1</f>
        <v>#DIV/0!</v>
      </c>
      <c r="M31" s="337">
        <f>Financials!K43/Financials!I43-1</f>
        <v>-0.62244908197850646</v>
      </c>
      <c r="N31" s="337">
        <f>Financials!L43/Financials!J43-1</f>
        <v>-0.689840105100328</v>
      </c>
      <c r="O31" s="337">
        <f>Financials!M43/Financials!K43-1</f>
        <v>2.8767195201945595</v>
      </c>
      <c r="P31" s="337">
        <f>Financials!O43/Financials!M43-1</f>
        <v>0.77838654840897759</v>
      </c>
      <c r="Q31" s="337">
        <f>Financials!P43/Financials!N43-1</f>
        <v>0.83412232960635202</v>
      </c>
      <c r="R31" s="337">
        <f>Financials!Q43/Financials!O43-1</f>
        <v>0.74970106858979113</v>
      </c>
      <c r="S31" s="337">
        <f>Financials!N43/Financials!L43-1</f>
        <v>1.2156465729098818</v>
      </c>
      <c r="T31" s="337">
        <f>Financials!R43/Financials!P43-1</f>
        <v>0.4767809494898172</v>
      </c>
      <c r="U31" s="337">
        <f>Financials!S43/Financials!Q43-1</f>
        <v>0.41674476835307961</v>
      </c>
      <c r="V31" s="337">
        <f>Financials!T43/Financials!R43-1</f>
        <v>0.38309173687705234</v>
      </c>
      <c r="W31" s="337">
        <f>Financials!U43/Financials!S43-1</f>
        <v>0.31583729897567325</v>
      </c>
      <c r="X31" s="337">
        <f>Financials!V43/Financials!T43-1</f>
        <v>0.31214418171441816</v>
      </c>
      <c r="Y31" s="337">
        <f>Financials!W43/Financials!U43-1</f>
        <v>0.14935323944231715</v>
      </c>
      <c r="Z31" s="337">
        <f>Financials!X43/Financials!V43-1</f>
        <v>-0.88608375015467211</v>
      </c>
      <c r="AA31" s="337">
        <f>Financials!Y43/Financials!W43-1</f>
        <v>-0.72643562785109905</v>
      </c>
      <c r="AB31" s="337">
        <f>Financials!Z43/Financials!X43-1</f>
        <v>2.7469534542376146</v>
      </c>
      <c r="AC31" s="337">
        <f>Financials!AA43/Financials!Y43-1</f>
        <v>1.1227928777670786</v>
      </c>
      <c r="AD31" s="337">
        <f>Financials!AB43/Financials!Z43-1</f>
        <v>0.84379441494658547</v>
      </c>
      <c r="AE31" s="337">
        <f>Financials!AC43/Financials!AA43-1</f>
        <v>0.71940474185314884</v>
      </c>
    </row>
    <row r="32" spans="1:31" ht="15.75" hidden="1">
      <c r="A32" s="361">
        <v>4.5999999999999996</v>
      </c>
      <c r="B32" s="375" t="s">
        <v>146</v>
      </c>
      <c r="C32" s="333" t="s">
        <v>234</v>
      </c>
      <c r="D32" s="333"/>
      <c r="E32" s="338" t="e">
        <f>Financials!C4/Financials!#REF!-1</f>
        <v>#REF!</v>
      </c>
      <c r="F32" s="338">
        <f>Financials!D4/Financials!C4-1</f>
        <v>4.6403712296983812E-2</v>
      </c>
      <c r="G32" s="338">
        <f>Financials!E4/Financials!D4-1</f>
        <v>6.4393939393939448E-2</v>
      </c>
      <c r="H32" s="338">
        <f>Financials!F4/Financials!E4-1</f>
        <v>-1</v>
      </c>
      <c r="I32" s="338" t="e">
        <f>Financials!G4/Financials!F4-1</f>
        <v>#DIV/0!</v>
      </c>
      <c r="J32" s="338" t="e">
        <f>Financials!H4/Financials!G4-1</f>
        <v>#DIV/0!</v>
      </c>
      <c r="K32" s="339" t="e">
        <f>Financials!I4/Financials!H4-1</f>
        <v>#DIV/0!</v>
      </c>
      <c r="L32" s="339" t="e">
        <f>Financials!J4/Financials!H4-1</f>
        <v>#DIV/0!</v>
      </c>
      <c r="M32" s="339" t="e">
        <f>Financials!K4/Financials!I4-1</f>
        <v>#DIV/0!</v>
      </c>
      <c r="N32" s="339" t="e">
        <f>Financials!L4/Financials!J4-1</f>
        <v>#DIV/0!</v>
      </c>
      <c r="O32" s="339" t="e">
        <f>Financials!M4/Financials!K4-1</f>
        <v>#DIV/0!</v>
      </c>
      <c r="P32" s="339" t="e">
        <f>Financials!O4/Financials!M4-1</f>
        <v>#DIV/0!</v>
      </c>
      <c r="Q32" s="339" t="e">
        <f>Financials!P4/Financials!N4-1</f>
        <v>#DIV/0!</v>
      </c>
      <c r="R32" s="339" t="e">
        <f>Financials!Q4/Financials!O4-1</f>
        <v>#DIV/0!</v>
      </c>
      <c r="S32" s="339" t="e">
        <f>Financials!N4/Financials!L4-1</f>
        <v>#DIV/0!</v>
      </c>
      <c r="T32" s="339" t="e">
        <f>Financials!R4/Financials!P4-1</f>
        <v>#DIV/0!</v>
      </c>
      <c r="U32" s="339" t="e">
        <f>Financials!S4/Financials!Q4-1</f>
        <v>#DIV/0!</v>
      </c>
      <c r="V32" s="339" t="e">
        <f>Financials!T4/Financials!R4-1</f>
        <v>#DIV/0!</v>
      </c>
      <c r="W32" s="339" t="e">
        <f>Financials!U4/Financials!S4-1</f>
        <v>#DIV/0!</v>
      </c>
      <c r="X32" s="339" t="e">
        <f>Financials!V4/Financials!T4-1</f>
        <v>#DIV/0!</v>
      </c>
      <c r="Y32" s="383" t="e">
        <f>Financials!W4/Financials!U4-1</f>
        <v>#DIV/0!</v>
      </c>
    </row>
    <row r="33" spans="1:31" ht="15.75">
      <c r="A33" s="362">
        <v>5</v>
      </c>
      <c r="B33" s="384" t="s">
        <v>250</v>
      </c>
      <c r="C33" s="297"/>
      <c r="D33" s="298"/>
      <c r="E33" s="340"/>
      <c r="F33" s="340"/>
      <c r="G33" s="340"/>
      <c r="H33" s="340"/>
      <c r="I33" s="340"/>
      <c r="J33" s="340"/>
      <c r="K33" s="341"/>
      <c r="L33" s="341"/>
      <c r="M33" s="341"/>
      <c r="N33" s="341"/>
      <c r="O33" s="341"/>
      <c r="P33" s="341"/>
      <c r="Q33" s="341"/>
      <c r="R33" s="341"/>
      <c r="S33" s="341"/>
      <c r="T33" s="341"/>
      <c r="U33" s="341"/>
      <c r="V33" s="341"/>
      <c r="W33" s="341"/>
      <c r="X33" s="341"/>
      <c r="Y33" s="385"/>
    </row>
    <row r="34" spans="1:31" ht="15.75">
      <c r="A34" s="362">
        <v>5.0999999999999996</v>
      </c>
      <c r="B34" s="375" t="s">
        <v>251</v>
      </c>
      <c r="C34" s="333" t="s">
        <v>234</v>
      </c>
      <c r="D34" s="298"/>
      <c r="E34" s="334" t="e">
        <f>Financials!C50/((Financials!C6+Financials!#REF!)/2)</f>
        <v>#REF!</v>
      </c>
      <c r="F34" s="334" t="e">
        <f>Financials!D50/((Financials!D6+Financials!C6)/2)</f>
        <v>#DIV/0!</v>
      </c>
      <c r="G34" s="334" t="e">
        <f>Financials!E50/((Financials!E6+Financials!D6)/2)</f>
        <v>#DIV/0!</v>
      </c>
      <c r="H34" s="334" t="e">
        <f>Financials!F50/((Financials!F6+Financials!E6)/2)</f>
        <v>#DIV/0!</v>
      </c>
      <c r="I34" s="334" t="e">
        <f>Financials!G50/((Financials!G6+Financials!F6)/2)</f>
        <v>#DIV/0!</v>
      </c>
      <c r="J34" s="334" t="e">
        <f>Financials!H50/((Financials!H6+Financials!G6)/2)</f>
        <v>#DIV/0!</v>
      </c>
      <c r="K34" s="335">
        <f>Financials!I50/((Financials!I6+Financials!H6)/2)</f>
        <v>8.9505441147543885E-2</v>
      </c>
      <c r="L34" s="335">
        <f>Financials!J50/((Financials!J6+Financials!H6)/2)</f>
        <v>3.6793685700337288E-2</v>
      </c>
      <c r="M34" s="335">
        <f>Financials!K50/((Financials!K6+Financials!I6)/2)</f>
        <v>0</v>
      </c>
      <c r="N34" s="335">
        <f>Financials!L50/((Financials!L6+Financials!J6)/2)</f>
        <v>0</v>
      </c>
      <c r="O34" s="335">
        <f>Financials!M50/((Financials!M6+Financials!K6)/2)</f>
        <v>0</v>
      </c>
      <c r="P34" s="335">
        <f>Financials!O50/((Financials!O6+Financials!M6)/2)</f>
        <v>0</v>
      </c>
      <c r="Q34" s="335">
        <f>Financials!P50/((Financials!P6+Financials!N6)/2)</f>
        <v>0</v>
      </c>
      <c r="R34" s="335">
        <f>Financials!Q50/((Financials!Q6+Financials!O6)/2)</f>
        <v>0</v>
      </c>
      <c r="S34" s="335">
        <f>Financials!N50/((Financials!N6+Financials!L6)/2)</f>
        <v>0</v>
      </c>
      <c r="T34" s="335">
        <f>Financials!R50/((Financials!R6+Financials!P6)/2)</f>
        <v>0</v>
      </c>
      <c r="U34" s="335">
        <f>Financials!S50/((Financials!S6+Financials!Q6)/2)</f>
        <v>0</v>
      </c>
      <c r="V34" s="335">
        <f>Financials!T50/((Financials!T6+Financials!R6)/2)</f>
        <v>0</v>
      </c>
      <c r="W34" s="335">
        <f>Financials!U50/((Financials!U6+Financials!S6)/2)</f>
        <v>0</v>
      </c>
      <c r="X34" s="335">
        <f>Financials!V50/((Financials!V6+Financials!T6)/2)</f>
        <v>0</v>
      </c>
      <c r="Y34" s="335">
        <f>Financials!W50/((Financials!W6+Financials!U6)/2)</f>
        <v>2.3810965721882762E-2</v>
      </c>
      <c r="Z34" s="335">
        <f>Financials!X50/((Financials!X6+Financials!V6)/2)</f>
        <v>0</v>
      </c>
      <c r="AA34" s="335">
        <f>Financials!Y50/((Financials!Y6+Financials!W6)/2)</f>
        <v>0</v>
      </c>
      <c r="AB34" s="335">
        <f>Financials!Z50/((Financials!Z6+Financials!X6)/2)</f>
        <v>0</v>
      </c>
      <c r="AC34" s="335">
        <f>Financials!AA50/((Financials!AA6+Financials!Y6)/2)</f>
        <v>0</v>
      </c>
      <c r="AD34" s="335">
        <f>Financials!AB50/((Financials!AB6+Financials!Z6)/2)</f>
        <v>0</v>
      </c>
      <c r="AE34" s="335">
        <f>Financials!AC50/((Financials!AC6+Financials!AA6)/2)</f>
        <v>0</v>
      </c>
    </row>
    <row r="35" spans="1:31" ht="15.75">
      <c r="A35" s="362">
        <v>5.2</v>
      </c>
      <c r="B35" s="375" t="s">
        <v>252</v>
      </c>
      <c r="C35" s="333" t="s">
        <v>234</v>
      </c>
      <c r="D35" s="298"/>
      <c r="E35" s="334" t="e">
        <f>Financials!C51/((Financials!C17+Financials!#REF!)/2)</f>
        <v>#REF!</v>
      </c>
      <c r="F35" s="334" t="e">
        <f>Financials!D51/((Financials!D17+Financials!C17)/2)</f>
        <v>#DIV/0!</v>
      </c>
      <c r="G35" s="334" t="e">
        <f>Financials!E51/((Financials!E17+Financials!D17)/2)</f>
        <v>#DIV/0!</v>
      </c>
      <c r="H35" s="334" t="e">
        <f>Financials!F51/((Financials!F17+Financials!E17)/2)</f>
        <v>#DIV/0!</v>
      </c>
      <c r="I35" s="334" t="e">
        <f>Financials!G51/((Financials!G17+Financials!F17)/2)</f>
        <v>#DIV/0!</v>
      </c>
      <c r="J35" s="334" t="e">
        <f>Financials!H51/((Financials!H17+Financials!G17)/2)</f>
        <v>#DIV/0!</v>
      </c>
      <c r="K35" s="335">
        <f>Financials!I51/((Financials!I17+Financials!H17)/2)</f>
        <v>0</v>
      </c>
      <c r="L35" s="335">
        <f>Financials!J51/((Financials!J17+Financials!H17)/2)</f>
        <v>0</v>
      </c>
      <c r="M35" s="335">
        <f>Financials!K51/((Financials!K17+Financials!I17)/2)</f>
        <v>0</v>
      </c>
      <c r="N35" s="335">
        <f>Financials!L51/((Financials!L17+Financials!J17)/2)</f>
        <v>0</v>
      </c>
      <c r="O35" s="335">
        <f>Financials!M51/((Financials!M17+Financials!K17)/2)</f>
        <v>0</v>
      </c>
      <c r="P35" s="335">
        <f>Financials!O51/((Financials!O17+Financials!M17)/2)</f>
        <v>0</v>
      </c>
      <c r="Q35" s="335">
        <f>Financials!P51/((Financials!P17+Financials!N17)/2)</f>
        <v>0</v>
      </c>
      <c r="R35" s="335">
        <f>Financials!Q51/((Financials!Q17+Financials!O17)/2)</f>
        <v>0</v>
      </c>
      <c r="S35" s="335">
        <f>Financials!N51/((Financials!N17+Financials!L17)/2)</f>
        <v>0</v>
      </c>
      <c r="T35" s="335">
        <f>Financials!R51/((Financials!R17+Financials!P17)/2)</f>
        <v>0</v>
      </c>
      <c r="U35" s="335">
        <f>Financials!S51/((Financials!S17+Financials!Q17)/2)</f>
        <v>0</v>
      </c>
      <c r="V35" s="335">
        <f>Financials!T51/((Financials!T17+Financials!R17)/2)</f>
        <v>0</v>
      </c>
      <c r="W35" s="335">
        <f>Financials!U51/((Financials!U17+Financials!S17)/2)</f>
        <v>0</v>
      </c>
      <c r="X35" s="335">
        <f>Financials!V51/((Financials!V17+Financials!T17)/2)</f>
        <v>0</v>
      </c>
      <c r="Y35" s="335">
        <f>Financials!W51/((Financials!W17+Financials!U17)/2)</f>
        <v>0</v>
      </c>
      <c r="Z35" s="335">
        <f>Financials!X51/((Financials!X17+Financials!V17)/2)</f>
        <v>0</v>
      </c>
      <c r="AA35" s="335">
        <f>Financials!Y51/((Financials!Y17+Financials!W17)/2)</f>
        <v>0</v>
      </c>
      <c r="AB35" s="335">
        <f>Financials!Z51/((Financials!Z17+Financials!X17)/2)</f>
        <v>0</v>
      </c>
      <c r="AC35" s="335">
        <f>Financials!AA51/((Financials!AA17+Financials!Y17)/2)</f>
        <v>0</v>
      </c>
      <c r="AD35" s="335">
        <f>Financials!AB51/((Financials!AB17+Financials!Z17)/2)</f>
        <v>0</v>
      </c>
      <c r="AE35" s="335">
        <f>Financials!AC51/((Financials!AC17+Financials!AA17)/2)</f>
        <v>0</v>
      </c>
    </row>
    <row r="36" spans="1:31" ht="15.75">
      <c r="A36" s="362">
        <v>5.3</v>
      </c>
      <c r="B36" s="375" t="s">
        <v>253</v>
      </c>
      <c r="C36" s="333" t="s">
        <v>234</v>
      </c>
      <c r="D36" s="298"/>
      <c r="E36" s="334" t="e">
        <f>Financials!C52/((Financials!C9+Financials!#REF!)/2)</f>
        <v>#REF!</v>
      </c>
      <c r="F36" s="334" t="e">
        <f>Financials!D52/((Financials!D9+Financials!C9)/2)</f>
        <v>#DIV/0!</v>
      </c>
      <c r="G36" s="334" t="e">
        <f>Financials!E52/((Financials!E9+Financials!D9)/2)</f>
        <v>#DIV/0!</v>
      </c>
      <c r="H36" s="334" t="e">
        <f>Financials!F52/((Financials!F9+Financials!E9)/2)</f>
        <v>#DIV/0!</v>
      </c>
      <c r="I36" s="334" t="e">
        <f>Financials!G52/((Financials!G9+Financials!F9)/2)</f>
        <v>#DIV/0!</v>
      </c>
      <c r="J36" s="334" t="e">
        <f>Financials!H52/((Financials!H9+Financials!G9)/2)</f>
        <v>#DIV/0!</v>
      </c>
      <c r="K36" s="335">
        <f>Financials!I52/((Financials!I9+Financials!H9)/2)</f>
        <v>0</v>
      </c>
      <c r="L36" s="335">
        <f>Financials!J52/((Financials!J9+Financials!H9)/2)</f>
        <v>0</v>
      </c>
      <c r="M36" s="335">
        <f>Financials!K52/((Financials!K9+Financials!I9)/2)</f>
        <v>0</v>
      </c>
      <c r="N36" s="335">
        <f>Financials!L52/((Financials!L9+Financials!J9)/2)</f>
        <v>0</v>
      </c>
      <c r="O36" s="335">
        <f>Financials!M52/((Financials!M9+Financials!K9)/2)</f>
        <v>0</v>
      </c>
      <c r="P36" s="335">
        <f>Financials!O52/((Financials!O9+Financials!M9)/2)</f>
        <v>0</v>
      </c>
      <c r="Q36" s="335">
        <f>Financials!P52/((Financials!P9+Financials!N9)/2)</f>
        <v>0</v>
      </c>
      <c r="R36" s="335">
        <f>Financials!Q52/((Financials!Q9+Financials!O9)/2)</f>
        <v>0</v>
      </c>
      <c r="S36" s="335">
        <f>Financials!N52/((Financials!N9+Financials!L9)/2)</f>
        <v>0</v>
      </c>
      <c r="T36" s="335">
        <f>Financials!R52/((Financials!R9+Financials!P9)/2)</f>
        <v>0</v>
      </c>
      <c r="U36" s="335">
        <f>Financials!S52/((Financials!S9+Financials!Q9)/2)</f>
        <v>0</v>
      </c>
      <c r="V36" s="335">
        <f>Financials!T52/((Financials!T9+Financials!R9)/2)</f>
        <v>0</v>
      </c>
      <c r="W36" s="335">
        <f>Financials!U52/((Financials!U9+Financials!S9)/2)</f>
        <v>0</v>
      </c>
      <c r="X36" s="335">
        <f>Financials!V52/((Financials!V9+Financials!T9)/2)</f>
        <v>0</v>
      </c>
      <c r="Y36" s="335">
        <f>Financials!W52/((Financials!W9+Financials!U9)/2)</f>
        <v>0.02</v>
      </c>
      <c r="Z36" s="335">
        <f>Financials!X52/((Financials!X9+Financials!V9)/2)</f>
        <v>0</v>
      </c>
      <c r="AA36" s="335">
        <f>Financials!Y52/((Financials!Y9+Financials!W9)/2)</f>
        <v>0</v>
      </c>
      <c r="AB36" s="335">
        <f>Financials!Z52/((Financials!Z9+Financials!X9)/2)</f>
        <v>0</v>
      </c>
      <c r="AC36" s="335">
        <f>Financials!AA52/((Financials!AA9+Financials!Y9)/2)</f>
        <v>0</v>
      </c>
      <c r="AD36" s="335">
        <f>Financials!AB52/((Financials!AB9+Financials!Z9)/2)</f>
        <v>0</v>
      </c>
      <c r="AE36" s="335">
        <f>Financials!AC52/((Financials!AC9+Financials!AA9)/2)</f>
        <v>0</v>
      </c>
    </row>
    <row r="37" spans="1:31" ht="15.75">
      <c r="A37" s="362">
        <v>5.4</v>
      </c>
      <c r="B37" s="375" t="s">
        <v>254</v>
      </c>
      <c r="C37" s="333" t="s">
        <v>234</v>
      </c>
      <c r="D37" s="298"/>
      <c r="E37" s="334" t="e">
        <f>(Financials!C54+Financials!C55)/((Financials!C5+Financials!#REF!)/2)</f>
        <v>#REF!</v>
      </c>
      <c r="F37" s="334" t="e">
        <f>(Financials!D54+Financials!D55)/((Financials!D5+Financials!C5)/2)</f>
        <v>#DIV/0!</v>
      </c>
      <c r="G37" s="334" t="e">
        <f>(Financials!E54+Financials!E55)/((Financials!E5+Financials!D5)/2)</f>
        <v>#DIV/0!</v>
      </c>
      <c r="H37" s="334" t="e">
        <f>(Financials!F54+Financials!F55)/((Financials!F5+Financials!E5)/2)</f>
        <v>#DIV/0!</v>
      </c>
      <c r="I37" s="334" t="e">
        <f>(Financials!G54+Financials!G55)/((Financials!G5+Financials!F5)/2)</f>
        <v>#DIV/0!</v>
      </c>
      <c r="J37" s="334" t="e">
        <f>(Financials!H54+Financials!H55)/((Financials!H5+Financials!G5)/2)</f>
        <v>#DIV/0!</v>
      </c>
      <c r="K37" s="335">
        <f>(Financials!I54+Financials!I55)/((Financials!I5+Financials!H5)/2)</f>
        <v>6.8097288703911091E-3</v>
      </c>
      <c r="L37" s="335">
        <f>(Financials!J54+Financials!J55)/((Financials!J5+Financials!H5)/2)</f>
        <v>1.0824289878116412E-2</v>
      </c>
      <c r="M37" s="335">
        <f>(Financials!K54+Financials!K55)/((Financials!K5+Financials!I5)/2)</f>
        <v>2.4729821544444762E-4</v>
      </c>
      <c r="N37" s="335">
        <f>(Financials!L54+Financials!L55)/((Financials!L5+Financials!J5)/2)</f>
        <v>1.0672943385698964E-3</v>
      </c>
      <c r="O37" s="335">
        <f>(Financials!M54+Financials!M55)/((Financials!M5+Financials!K5)/2)</f>
        <v>1.613261822267808E-3</v>
      </c>
      <c r="P37" s="335">
        <f>(Financials!O54+Financials!O55)/((Financials!O5+Financials!M5)/2)</f>
        <v>1.0027259798876241E-2</v>
      </c>
      <c r="Q37" s="335">
        <f>(Financials!P54+Financials!P55)/((Financials!P5+Financials!N5)/2)</f>
        <v>1.0798787053853188E-2</v>
      </c>
      <c r="R37" s="335">
        <f>(Financials!Q54+Financials!Q55)/((Financials!Q5+Financials!O5)/2)</f>
        <v>1.0535900895237354E-2</v>
      </c>
      <c r="S37" s="335">
        <f>(Financials!N54+Financials!N55)/((Financials!N5+Financials!L5)/2)</f>
        <v>8.7491276749069626E-3</v>
      </c>
      <c r="T37" s="335">
        <f>(Financials!R54+Financials!R55)/((Financials!R5+Financials!P5)/2)</f>
        <v>9.8812428206321978E-3</v>
      </c>
      <c r="U37" s="335">
        <f>(Financials!S54+Financials!S55)/((Financials!S5+Financials!Q5)/2)</f>
        <v>1.0666484067959378E-2</v>
      </c>
      <c r="V37" s="335">
        <f>(Financials!T54+Financials!T55)/((Financials!T5+Financials!R5)/2)</f>
        <v>1.0523198335198977E-2</v>
      </c>
      <c r="W37" s="335">
        <f>(Financials!U54+Financials!U55)/((Financials!U5+Financials!S5)/2)</f>
        <v>1.1533161111575501E-2</v>
      </c>
      <c r="X37" s="335">
        <f>(Financials!V54+Financials!V55)/((Financials!V5+Financials!T5)/2)</f>
        <v>1.4239008215828184E-2</v>
      </c>
      <c r="Y37" s="335">
        <f>(Financials!W54+Financials!W55)/((Financials!W5+Financials!U5)/2)</f>
        <v>9.1828781512102164E-3</v>
      </c>
      <c r="Z37" s="335">
        <f>(Financials!X54+Financials!X55)/((Financials!X5+Financials!V5)/2)</f>
        <v>4.6664298507446831E-4</v>
      </c>
      <c r="AA37" s="335">
        <f>(Financials!Y54+Financials!Y55)/((Financials!Y5+Financials!W5)/2)</f>
        <v>4.9560806656689048E-4</v>
      </c>
      <c r="AB37" s="335">
        <f>(Financials!Z54+Financials!Z55)/((Financials!Z5+Financials!X5)/2)</f>
        <v>1.8698258444515062E-3</v>
      </c>
      <c r="AC37" s="335">
        <f>(Financials!AA54+Financials!AA55)/((Financials!AA5+Financials!Y5)/2)</f>
        <v>5.3081517476332371E-3</v>
      </c>
      <c r="AD37" s="335">
        <f>(Financials!AB54+Financials!AB55)/((Financials!AB5+Financials!Z5)/2)</f>
        <v>5.9711593967475248E-3</v>
      </c>
      <c r="AE37" s="335">
        <f>(Financials!AC54+Financials!AC55)/((Financials!AC5+Financials!AA5)/2)</f>
        <v>8.6551470381693359E-3</v>
      </c>
    </row>
    <row r="38" spans="1:31" ht="15.75">
      <c r="A38" s="362">
        <v>5.5</v>
      </c>
      <c r="B38" s="375" t="s">
        <v>255</v>
      </c>
      <c r="C38" s="333" t="s">
        <v>234</v>
      </c>
      <c r="D38" s="298"/>
      <c r="E38" s="334" t="e">
        <f>Financials!C44/((Financials!C31+Financials!#REF!)/2)</f>
        <v>#REF!</v>
      </c>
      <c r="F38" s="334" t="e">
        <f>Financials!D44/((Financials!D31+Financials!C31)/2)</f>
        <v>#DIV/0!</v>
      </c>
      <c r="G38" s="334" t="e">
        <f>Financials!E44/((Financials!E31+Financials!D31)/2)</f>
        <v>#DIV/0!</v>
      </c>
      <c r="H38" s="334" t="e">
        <f>Financials!F44/((Financials!F31+Financials!E31)/2)</f>
        <v>#DIV/0!</v>
      </c>
      <c r="I38" s="334" t="e">
        <f>Financials!G44/((Financials!G31+Financials!F31)/2)</f>
        <v>#DIV/0!</v>
      </c>
      <c r="J38" s="334" t="e">
        <f>Financials!H44/((Financials!H31+Financials!G31)/2)</f>
        <v>#DIV/0!</v>
      </c>
      <c r="K38" s="335">
        <f>Financials!I44/((Financials!I31+Financials!H31)/2)</f>
        <v>6.0721363620453481E-2</v>
      </c>
      <c r="L38" s="335">
        <f>Financials!J44/((Financials!J31+Financials!H31)/2)</f>
        <v>0.10862591000124008</v>
      </c>
      <c r="M38" s="335">
        <f>Financials!K44/((Financials!K31+Financials!I31)/2)</f>
        <v>1.7461611072640673E-2</v>
      </c>
      <c r="N38" s="335">
        <f>Financials!L44/((Financials!L31+Financials!J31)/2)</f>
        <v>2.0131880565672434E-2</v>
      </c>
      <c r="O38" s="335">
        <f>Financials!M44/((Financials!M31+Financials!K31)/2)</f>
        <v>2.833733873172042E-2</v>
      </c>
      <c r="P38" s="335">
        <f>Financials!O44/((Financials!O31+Financials!M31)/2)</f>
        <v>4.3028360468096799E-2</v>
      </c>
      <c r="Q38" s="335">
        <f>Financials!P44/((Financials!P31+Financials!N31)/2)</f>
        <v>4.7892968684223901E-2</v>
      </c>
      <c r="R38" s="335">
        <f>Financials!Q44/((Financials!Q31+Financials!O31)/2)</f>
        <v>5.4543954094750123E-2</v>
      </c>
      <c r="S38" s="335">
        <f>Financials!N44/((Financials!N31+Financials!L31)/2)</f>
        <v>3.6321450974943742E-2</v>
      </c>
      <c r="T38" s="335">
        <f>Financials!R44/((Financials!R31+Financials!P31)/2)</f>
        <v>5.97023188335504E-2</v>
      </c>
      <c r="U38" s="335">
        <f>Financials!S44/((Financials!S31+Financials!Q31)/2)</f>
        <v>6.4995272457204184E-2</v>
      </c>
      <c r="V38" s="335">
        <f>Financials!T44/((Financials!T31+Financials!R31)/2)</f>
        <v>6.9818505253217714E-2</v>
      </c>
      <c r="W38" s="335">
        <f>Financials!U44/((Financials!U31+Financials!S31)/2)</f>
        <v>7.4411889378099963E-2</v>
      </c>
      <c r="X38" s="335">
        <f>Financials!V44/((Financials!V31+Financials!T31)/2)</f>
        <v>7.9611315735686042E-2</v>
      </c>
      <c r="Y38" s="335">
        <f>Financials!W44/((Financials!W31+Financials!U31)/2)</f>
        <v>7.1972038663794036E-2</v>
      </c>
      <c r="Z38" s="335">
        <f>Financials!X44/((Financials!X31+Financials!V31)/2)</f>
        <v>1.0432801015323238E-2</v>
      </c>
      <c r="AA38" s="335">
        <f>Financials!Y44/((Financials!Y31+Financials!W31)/2)</f>
        <v>2.2529923001937568E-2</v>
      </c>
      <c r="AB38" s="335">
        <f>Financials!Z44/((Financials!Z31+Financials!X31)/2)</f>
        <v>3.3147043367935447E-2</v>
      </c>
      <c r="AC38" s="335">
        <f>Financials!AA44/((Financials!AA31+Financials!Y31)/2)</f>
        <v>4.3257891736942423E-2</v>
      </c>
      <c r="AD38" s="335">
        <f>Financials!AB44/((Financials!AB31+Financials!Z31)/2)</f>
        <v>5.2386732959794985E-2</v>
      </c>
      <c r="AE38" s="335">
        <f>Financials!AC44/((Financials!AC31+Financials!AA31)/2)</f>
        <v>6.1391868146284008E-2</v>
      </c>
    </row>
    <row r="39" spans="1:31" ht="15.75">
      <c r="A39" s="362">
        <v>6</v>
      </c>
      <c r="B39" s="384" t="s">
        <v>256</v>
      </c>
      <c r="C39" s="297"/>
      <c r="D39" s="298"/>
      <c r="E39" s="342"/>
      <c r="F39" s="342"/>
      <c r="G39" s="342"/>
      <c r="H39" s="342"/>
      <c r="I39" s="342"/>
      <c r="J39" s="342"/>
      <c r="K39" s="343"/>
      <c r="L39" s="343"/>
      <c r="M39" s="343"/>
      <c r="N39" s="343"/>
      <c r="O39" s="343"/>
      <c r="P39" s="343"/>
      <c r="Q39" s="343"/>
      <c r="R39" s="343"/>
      <c r="S39" s="343"/>
      <c r="T39" s="343"/>
      <c r="U39" s="343"/>
      <c r="V39" s="343"/>
      <c r="W39" s="343"/>
      <c r="X39" s="343"/>
      <c r="Y39" s="386"/>
    </row>
    <row r="40" spans="1:31" ht="15.75">
      <c r="A40" s="362">
        <v>6.1</v>
      </c>
      <c r="B40" s="375" t="s">
        <v>257</v>
      </c>
      <c r="C40" s="344">
        <v>0.15</v>
      </c>
      <c r="D40" s="311">
        <v>13.2</v>
      </c>
      <c r="E40" s="334" t="e">
        <f>Financials!C37/(Financials!C10+Financials!C8+Financials!C7+Financials!C9)</f>
        <v>#DIV/0!</v>
      </c>
      <c r="F40" s="334" t="e">
        <f>Financials!D37/(Financials!D10+Financials!D8+Financials!D7+Financials!D9)</f>
        <v>#DIV/0!</v>
      </c>
      <c r="G40" s="334" t="e">
        <f>(Financials!E37-Financials!E10)/Financials!E6</f>
        <v>#DIV/0!</v>
      </c>
      <c r="H40" s="345" t="e">
        <f>Financials!F37/(Financials!F10+Financials!F6)</f>
        <v>#DIV/0!</v>
      </c>
      <c r="I40" s="345" t="e">
        <f>Financials!G37/(Financials!G10+Financials!G6)</f>
        <v>#DIV/0!</v>
      </c>
      <c r="J40" s="345" t="e">
        <f>Financials!H37/(Financials!H10+Financials!H6)</f>
        <v>#DIV/0!</v>
      </c>
      <c r="K40" s="346">
        <f>Financials!I37/(Financials!I10+Financials!I6)</f>
        <v>1.2134484762733628</v>
      </c>
      <c r="L40" s="346">
        <f>Financials!J37/(Financials!J10+Financials!J6)</f>
        <v>0.58798135227726289</v>
      </c>
      <c r="M40" s="346">
        <f>Financials!K37/(Financials!K10+Financials!K6)</f>
        <v>0.48317528475616728</v>
      </c>
      <c r="N40" s="346">
        <f>Financials!L37/(Financials!L10+Financials!L6)</f>
        <v>0.34328006137744205</v>
      </c>
      <c r="O40" s="346">
        <f>Financials!M37/(Financials!M10+Financials!M6)</f>
        <v>0.58237067066402659</v>
      </c>
      <c r="P40" s="346">
        <f>Financials!O37/(Financials!O10+Financials!O6)</f>
        <v>0.46877450226315293</v>
      </c>
      <c r="Q40" s="346">
        <f>Financials!P37/(Financials!P10+Financials!P6)</f>
        <v>0.41622631843130048</v>
      </c>
      <c r="R40" s="346">
        <f>Financials!Q37/(Financials!Q10+Financials!Q6)</f>
        <v>0.22682152550071091</v>
      </c>
      <c r="S40" s="346">
        <f>Financials!N37/(Financials!N10+Financials!N6)</f>
        <v>0.50422829130670155</v>
      </c>
      <c r="T40" s="346">
        <f>Financials!R37/(Financials!R10+Financials!R6)</f>
        <v>0.48434440479054519</v>
      </c>
      <c r="U40" s="346">
        <f>Financials!S37/(Financials!S10+Financials!S6)</f>
        <v>0.45468988209720834</v>
      </c>
      <c r="V40" s="346">
        <f>Financials!T37/(Financials!T10+Financials!T6)</f>
        <v>0.43164299665338995</v>
      </c>
      <c r="W40" s="346">
        <f>Financials!U37/(Financials!U10+Financials!U6)</f>
        <v>0.40470902180945423</v>
      </c>
      <c r="X40" s="346">
        <f>Financials!V37/(Financials!V10+Financials!V6)</f>
        <v>0.13054356548728441</v>
      </c>
      <c r="Y40" s="346">
        <f>Financials!W37/(Financials!W10+Financials!W6)</f>
        <v>0.1722165483404938</v>
      </c>
      <c r="Z40" s="346">
        <f>Financials!X37/(Financials!X10+Financials!X6)</f>
        <v>0.34848637069315402</v>
      </c>
      <c r="AA40" s="346">
        <f>Financials!Y37/(Financials!Y10+Financials!Y6)</f>
        <v>0.33256489068222927</v>
      </c>
      <c r="AB40" s="346">
        <f>Financials!Z37/(Financials!Z10+Financials!Z6)</f>
        <v>0.29680777328934266</v>
      </c>
      <c r="AC40" s="346">
        <f>Financials!AA37/(Financials!AA10+Financials!AA6)</f>
        <v>0.10638831213970201</v>
      </c>
      <c r="AD40" s="346">
        <f>Financials!AB37/(Financials!AB10+Financials!AB6)</f>
        <v>8.6129402400133434E-2</v>
      </c>
      <c r="AE40" s="346">
        <f>Financials!AC37/(Financials!AC10+Financials!AC6)</f>
        <v>0.25809893044760335</v>
      </c>
    </row>
    <row r="41" spans="1:31">
      <c r="A41" s="362">
        <v>7</v>
      </c>
      <c r="B41" s="387" t="s">
        <v>258</v>
      </c>
      <c r="C41" s="347"/>
      <c r="D41" s="348"/>
      <c r="E41" s="349"/>
      <c r="F41" s="349"/>
      <c r="G41" s="349"/>
      <c r="H41" s="349"/>
      <c r="I41" s="349"/>
      <c r="J41" s="349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88"/>
    </row>
    <row r="42" spans="1:31" hidden="1">
      <c r="A42" s="362">
        <v>7.1</v>
      </c>
      <c r="B42" s="389" t="s">
        <v>259</v>
      </c>
      <c r="C42" s="351">
        <v>1</v>
      </c>
      <c r="D42" s="348">
        <v>44.1</v>
      </c>
      <c r="E42" s="352" t="e">
        <f>Financials!C33/Financials!C36</f>
        <v>#DIV/0!</v>
      </c>
      <c r="F42" s="352" t="e">
        <f>Financials!D33/Financials!D36</f>
        <v>#DIV/0!</v>
      </c>
      <c r="G42" s="352" t="e">
        <f>(Financials!E37-Financials!E10)/Financials!E6</f>
        <v>#DIV/0!</v>
      </c>
      <c r="H42" s="352" t="e">
        <f>Financials!F33/Financials!F36</f>
        <v>#DIV/0!</v>
      </c>
      <c r="I42" s="352" t="e">
        <f>Financials!G33/Financials!G36</f>
        <v>#DIV/0!</v>
      </c>
      <c r="J42" s="352" t="e">
        <f>Financials!H33/Financials!H36</f>
        <v>#DIV/0!</v>
      </c>
      <c r="K42" s="353" t="e">
        <f>Financials!I33/Financials!I36</f>
        <v>#DIV/0!</v>
      </c>
      <c r="L42" s="353" t="e">
        <f>Financials!J33/Financials!J36</f>
        <v>#DIV/0!</v>
      </c>
      <c r="M42" s="353" t="e">
        <f>Financials!K33/Financials!K36</f>
        <v>#DIV/0!</v>
      </c>
      <c r="N42" s="353" t="e">
        <f>Financials!L33/Financials!L36</f>
        <v>#DIV/0!</v>
      </c>
      <c r="O42" s="353" t="e">
        <f>Financials!M33/Financials!M36</f>
        <v>#DIV/0!</v>
      </c>
      <c r="P42" s="353" t="e">
        <f>Financials!O33/Financials!O36</f>
        <v>#DIV/0!</v>
      </c>
      <c r="Q42" s="353" t="e">
        <f>Financials!P33/Financials!P36</f>
        <v>#DIV/0!</v>
      </c>
      <c r="R42" s="353" t="e">
        <f>Financials!Q33/Financials!Q36</f>
        <v>#DIV/0!</v>
      </c>
      <c r="S42" s="353" t="e">
        <f>Financials!N33/Financials!N36</f>
        <v>#DIV/0!</v>
      </c>
      <c r="T42" s="353" t="e">
        <f>Financials!R33/Financials!R36</f>
        <v>#DIV/0!</v>
      </c>
      <c r="U42" s="353" t="e">
        <f>Financials!S33/Financials!S36</f>
        <v>#DIV/0!</v>
      </c>
      <c r="V42" s="353" t="e">
        <f>Financials!T33/Financials!T36</f>
        <v>#DIV/0!</v>
      </c>
      <c r="W42" s="353" t="e">
        <f>Financials!U33/Financials!U36</f>
        <v>#DIV/0!</v>
      </c>
      <c r="X42" s="353" t="e">
        <f>Financials!V33/Financials!V36</f>
        <v>#DIV/0!</v>
      </c>
      <c r="Y42" s="390" t="e">
        <f>Financials!W33/Financials!W36</f>
        <v>#DIV/0!</v>
      </c>
    </row>
    <row r="43" spans="1:31">
      <c r="A43" s="362"/>
      <c r="B43" s="391" t="s">
        <v>260</v>
      </c>
      <c r="C43" s="347"/>
      <c r="D43" s="299"/>
      <c r="E43" s="299"/>
      <c r="F43" s="299"/>
      <c r="G43" s="299"/>
      <c r="H43" s="299"/>
      <c r="I43" s="299"/>
      <c r="J43" s="299"/>
      <c r="K43" s="300"/>
      <c r="L43" s="300"/>
      <c r="M43" s="300"/>
      <c r="N43" s="300"/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92"/>
    </row>
    <row r="44" spans="1:31">
      <c r="A44" s="361"/>
      <c r="B44" s="393" t="s">
        <v>261</v>
      </c>
      <c r="C44" s="347"/>
      <c r="D44" s="299"/>
      <c r="E44" s="354" t="e">
        <f>Trend!C85/((Financials!C5+Financials!#REF!)/2)</f>
        <v>#REF!</v>
      </c>
      <c r="F44" s="354" t="e">
        <f>Trend!D85/((Financials!D5+Financials!C5)/2)</f>
        <v>#DIV/0!</v>
      </c>
      <c r="G44" s="354" t="e">
        <f>Trend!E85/((Financials!E5+Financials!D5)/2)</f>
        <v>#DIV/0!</v>
      </c>
      <c r="H44" s="354" t="e">
        <f>Trend!F85/((Financials!F5+Financials!E5)/2)</f>
        <v>#DIV/0!</v>
      </c>
      <c r="I44" s="354" t="e">
        <f>Trend!G85/((Financials!G5+Financials!F5)/2)</f>
        <v>#DIV/0!</v>
      </c>
      <c r="J44" s="354" t="e">
        <f>Trend!H85/((Financials!H5+Financials!G5)/2)</f>
        <v>#DIV/0!</v>
      </c>
      <c r="K44" s="355">
        <f>Trend!J85/((Financials!I5+Financials!H5)/2)</f>
        <v>5.3389769977099009E-2</v>
      </c>
      <c r="L44" s="355">
        <f>Trend!K85/((Financials!J5+Financials!H5)/2)</f>
        <v>7.3906552080193852E-2</v>
      </c>
      <c r="M44" s="355">
        <f>Trend!L85/((Financials!K5+Financials!I5)/2)</f>
        <v>7.6941380283994994E-3</v>
      </c>
      <c r="N44" s="355">
        <f>Trend!M85/((Financials!L5+Financials!J5)/2)</f>
        <v>1.2844810037257116E-2</v>
      </c>
      <c r="O44" s="355">
        <f>Trend!N85/((Financials!M5+Financials!K5)/2)</f>
        <v>1.8771796440122376E-2</v>
      </c>
      <c r="P44" s="355">
        <f>Trend!P85/((Financials!O5+Financials!M5)/2)</f>
        <v>2.2487465636534466E-2</v>
      </c>
      <c r="Q44" s="355">
        <f>Trend!Q85/((Financials!P5+Financials!N5)/2)</f>
        <v>3.6110758167482188E-2</v>
      </c>
      <c r="R44" s="355">
        <f>Trend!R85/((Financials!Q5+Financials!O5)/2)</f>
        <v>4.4154855665808367E-2</v>
      </c>
      <c r="S44" s="355">
        <f>Trend!O85/((Financials!N5+Financials!L5)/2)</f>
        <v>1.9626460129390448E-2</v>
      </c>
      <c r="T44" s="355">
        <f>Trend!S85/((Financials!R5+Financials!P5)/2)</f>
        <v>4.6671782694536416E-2</v>
      </c>
      <c r="U44" s="355">
        <f>Trend!T85/((Financials!S5+Financials!Q5)/2)</f>
        <v>5.4053980112782063E-2</v>
      </c>
      <c r="V44" s="355">
        <f>Trend!U85/((Financials!T5+Financials!R5)/2)</f>
        <v>5.8880378128296898E-2</v>
      </c>
      <c r="W44" s="355">
        <f>Trend!V85/((Financials!U5+Financials!S5)/2)</f>
        <v>6.3143079209687425E-2</v>
      </c>
      <c r="X44" s="355">
        <f>Trend!W85/((Financials!V5+Financials!T5)/2)</f>
        <v>6.7547899795359703E-2</v>
      </c>
      <c r="Y44" s="355">
        <f>Trend!X85/((Financials!W5+Financials!U5)/2)</f>
        <v>5.0619542923431557E-2</v>
      </c>
      <c r="Z44" s="355">
        <f>Trend!Y85/((Financials!X5+Financials!V5)/2)</f>
        <v>6.5563523670174075E-3</v>
      </c>
      <c r="AA44" s="355">
        <f>Trend!Z85/((Financials!Y5+Financials!W5)/2)</f>
        <v>1.7530944361065268E-2</v>
      </c>
      <c r="AB44" s="355">
        <f>Trend!AA85/((Financials!Z5+Financials!X5)/2)</f>
        <v>2.6644621732468173E-2</v>
      </c>
      <c r="AC44" s="355">
        <f>Trend!AB85/((Financials!AA5+Financials!Y5)/2)</f>
        <v>3.2326709868351122E-2</v>
      </c>
      <c r="AD44" s="355">
        <f>Trend!AC85/((Financials!AB5+Financials!Z5)/2)</f>
        <v>4.2608803857967156E-2</v>
      </c>
      <c r="AE44" s="355">
        <f>Trend!AD85/((Financials!AC5+Financials!AA5)/2)</f>
        <v>5.0966255621258658E-2</v>
      </c>
    </row>
    <row r="45" spans="1:31">
      <c r="A45" s="361"/>
      <c r="B45" s="393" t="s">
        <v>262</v>
      </c>
      <c r="C45" s="347"/>
      <c r="D45" s="299"/>
      <c r="E45" s="356" t="e">
        <f>Trend!C79/Trend!C75</f>
        <v>#DIV/0!</v>
      </c>
      <c r="F45" s="357" t="e">
        <f>Trend!D79/Trend!D75</f>
        <v>#DIV/0!</v>
      </c>
      <c r="G45" s="357" t="e">
        <f>Trend!E79/Trend!E75</f>
        <v>#DIV/0!</v>
      </c>
      <c r="H45" s="357" t="e">
        <f>Trend!F79/Trend!F75</f>
        <v>#DIV/0!</v>
      </c>
      <c r="I45" s="357" t="e">
        <f>Trend!G79/Trend!G75</f>
        <v>#DIV/0!</v>
      </c>
      <c r="J45" s="357" t="e">
        <f>Trend!H79/Trend!H75</f>
        <v>#DIV/0!</v>
      </c>
      <c r="K45" s="358">
        <f>Trend!J79/Trend!J75</f>
        <v>5.9950459588810907E-2</v>
      </c>
      <c r="L45" s="358">
        <f>Trend!K79/Trend!K75</f>
        <v>5.8479526065442815E-2</v>
      </c>
      <c r="M45" s="358">
        <f>Trend!L79/Trend!L75</f>
        <v>1.0977918567553778E-2</v>
      </c>
      <c r="N45" s="358">
        <f>Trend!M79/Trend!M75</f>
        <v>2.9961015757596951E-2</v>
      </c>
      <c r="O45" s="358">
        <f>Trend!N79/Trend!N75</f>
        <v>3.1615296715702297E-2</v>
      </c>
      <c r="P45" s="358">
        <f>Trend!P79/Trend!P75</f>
        <v>0.12966699063012554</v>
      </c>
      <c r="Q45" s="358">
        <f>Trend!Q79/Trend!Q75</f>
        <v>0.11097581901765882</v>
      </c>
      <c r="R45" s="358">
        <f>Trend!R79/Trend!R75</f>
        <v>9.1552413405373415E-2</v>
      </c>
      <c r="S45" s="358">
        <f>Trend!O79/Trend!O75</f>
        <v>0.13134894615241755</v>
      </c>
      <c r="T45" s="358">
        <f>Trend!S79/Trend!S75</f>
        <v>8.017742081261077E-2</v>
      </c>
      <c r="U45" s="358">
        <f>Trend!T79/Trend!T75</f>
        <v>7.5752314606465518E-2</v>
      </c>
      <c r="V45" s="358">
        <f>Trend!U79/Trend!U75</f>
        <v>6.9478958125789123E-2</v>
      </c>
      <c r="W45" s="358">
        <f>Trend!V79/Trend!V75</f>
        <v>7.1051456128613605E-2</v>
      </c>
      <c r="X45" s="358">
        <f>Trend!W79/Trend!W75</f>
        <v>8.4751237729505491E-2</v>
      </c>
      <c r="Y45" s="358">
        <f>Trend!X79/Trend!X75</f>
        <v>7.3041831845966812E-2</v>
      </c>
      <c r="Z45" s="358">
        <f>Trend!Y79/Trend!Y75</f>
        <v>2.5077887637195227E-2</v>
      </c>
      <c r="AA45" s="358">
        <f>Trend!Z79/Trend!Z75</f>
        <v>1.1551975209022874E-2</v>
      </c>
      <c r="AB45" s="358">
        <f>Trend!AA79/Trend!AA75</f>
        <v>3.1501631282046458E-2</v>
      </c>
      <c r="AC45" s="358">
        <f>Trend!AB79/Trend!AB75</f>
        <v>6.5609637112488031E-2</v>
      </c>
      <c r="AD45" s="358">
        <f>Trend!AC79/Trend!AC75</f>
        <v>5.6965080233832913E-2</v>
      </c>
      <c r="AE45" s="358">
        <f>Trend!AD79/Trend!AD75</f>
        <v>6.8118937011277969E-2</v>
      </c>
    </row>
    <row r="46" spans="1:31">
      <c r="A46" s="361"/>
      <c r="B46" s="394" t="s">
        <v>263</v>
      </c>
      <c r="C46" s="395"/>
      <c r="D46" s="396"/>
      <c r="E46" s="397" t="e">
        <f>Trend!C79/((Financials!C5+Financials!#REF!)/2)</f>
        <v>#REF!</v>
      </c>
      <c r="F46" s="397" t="e">
        <f>Trend!D79/((Financials!D5+Financials!C5)/2)</f>
        <v>#DIV/0!</v>
      </c>
      <c r="G46" s="397" t="e">
        <f>Trend!E79/((Financials!E5+Financials!D5)/2)</f>
        <v>#DIV/0!</v>
      </c>
      <c r="H46" s="397" t="e">
        <f>Trend!F79/((Financials!F5+Financials!E5)/2)</f>
        <v>#DIV/0!</v>
      </c>
      <c r="I46" s="397" t="e">
        <f>Trend!G79/((Financials!G5+Financials!F5)/2)</f>
        <v>#DIV/0!</v>
      </c>
      <c r="J46" s="397" t="e">
        <f>Trend!H79/((Financials!H5+Financials!G5)/2)</f>
        <v>#DIV/0!</v>
      </c>
      <c r="K46" s="398">
        <f>Trend!J79/((Financials!I5+Financials!H5)/2)</f>
        <v>3.4048644351955546E-3</v>
      </c>
      <c r="L46" s="398">
        <f>Trend!K79/((Financials!J5+Financials!H5)/2)</f>
        <v>5.412144939058206E-3</v>
      </c>
      <c r="M46" s="398">
        <f>Trend!L79/((Financials!K5+Financials!I5)/2)</f>
        <v>1.2364910772222381E-4</v>
      </c>
      <c r="N46" s="398">
        <f>Trend!M79/((Financials!L5+Financials!J5)/2)</f>
        <v>5.4071763511773382E-4</v>
      </c>
      <c r="O46" s="398">
        <f>Trend!N79/((Financials!M5+Financials!K5)/2)</f>
        <v>8.5932174576229948E-4</v>
      </c>
      <c r="P46" s="398">
        <f>Trend!P79/((Financials!O5+Financials!M5)/2)</f>
        <v>5.1236123335190722E-3</v>
      </c>
      <c r="Q46" s="398">
        <f>Trend!Q79/((Financials!P5+Financials!N5)/2)</f>
        <v>5.5087252969127851E-3</v>
      </c>
      <c r="R46" s="398">
        <f>Trend!R79/((Financials!Q5+Financials!O5)/2)</f>
        <v>5.3719241782046161E-3</v>
      </c>
      <c r="S46" s="398">
        <f>Trend!O79/((Financials!N5+Financials!L5)/2)</f>
        <v>4.4254494420939965E-3</v>
      </c>
      <c r="T46" s="398">
        <f>Trend!S79/((Financials!R5+Financials!P5)/2)</f>
        <v>5.0349009009742216E-3</v>
      </c>
      <c r="U46" s="398">
        <f>Trend!T79/((Financials!S5+Financials!Q5)/2)</f>
        <v>5.4224180840529487E-3</v>
      </c>
      <c r="V46" s="398">
        <f>Trend!U79/((Financials!T5+Financials!R5)/2)</f>
        <v>5.3448321400408243E-3</v>
      </c>
      <c r="W46" s="398">
        <f>Trend!V79/((Financials!U5+Financials!S5)/2)</f>
        <v>5.8443891994124832E-3</v>
      </c>
      <c r="X46" s="398">
        <f>Trend!W79/((Financials!V5+Financials!T5)/2)</f>
        <v>7.4814638627465277E-3</v>
      </c>
      <c r="Y46" s="398">
        <f>Trend!X79/((Financials!W5+Financials!U5)/2)</f>
        <v>5.0057637539988355E-3</v>
      </c>
      <c r="Z46" s="398">
        <f>Trend!Y79/((Financials!X5+Financials!V5)/2)</f>
        <v>2.3332149253723415E-4</v>
      </c>
      <c r="AA46" s="398">
        <f>Trend!Z79/((Financials!Y5+Financials!W5)/2)</f>
        <v>2.5029591915716557E-4</v>
      </c>
      <c r="AB46" s="398">
        <f>Trend!AA79/((Financials!Z5+Financials!X5)/2)</f>
        <v>1.0172204823651926E-3</v>
      </c>
      <c r="AC46" s="398">
        <f>Trend!AB79/((Financials!AA5+Financials!Y5)/2)</f>
        <v>2.7319129883817072E-3</v>
      </c>
      <c r="AD46" s="398">
        <f>Trend!AC79/((Financials!AB5+Financials!Z5)/2)</f>
        <v>3.0631476807926866E-3</v>
      </c>
      <c r="AE46" s="398">
        <f>Trend!AD79/((Financials!AC5+Financials!AA5)/2)</f>
        <v>4.4098767838181398E-3</v>
      </c>
    </row>
  </sheetData>
  <pageMargins left="0.7" right="0.7" top="0.75" bottom="0.75" header="0.3" footer="0.3"/>
  <pageSetup scale="8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H89"/>
  <sheetViews>
    <sheetView showGridLines="0" tabSelected="1" zoomScale="90" zoomScaleNormal="90" zoomScaleSheetLayoutView="87" workbookViewId="0">
      <pane xSplit="3" ySplit="2" topLeftCell="X3" activePane="bottomRight" state="frozen"/>
      <selection pane="bottomRight" activeCell="AF82" sqref="AF82"/>
      <selection pane="bottomLeft" activeCell="A3" sqref="A3"/>
      <selection pane="topRight" activeCell="D1" sqref="D1"/>
    </sheetView>
  </sheetViews>
  <sheetFormatPr defaultColWidth="9.140625" defaultRowHeight="13.15"/>
  <cols>
    <col min="1" max="1" width="4.85546875" style="5" customWidth="1"/>
    <col min="2" max="2" width="25" style="5" bestFit="1" customWidth="1"/>
    <col min="3" max="3" width="18" style="5" bestFit="1" customWidth="1"/>
    <col min="4" max="4" width="10.5703125" style="5" bestFit="1" customWidth="1"/>
    <col min="5" max="7" width="12.85546875" style="5" hidden="1" customWidth="1"/>
    <col min="8" max="9" width="10.7109375" style="5" hidden="1" customWidth="1"/>
    <col min="10" max="10" width="13.140625" style="5" hidden="1" customWidth="1"/>
    <col min="11" max="11" width="9.5703125" style="5" hidden="1" customWidth="1"/>
    <col min="12" max="12" width="9.5703125" style="5" bestFit="1" customWidth="1"/>
    <col min="13" max="13" width="9.5703125" style="5" hidden="1" customWidth="1"/>
    <col min="14" max="14" width="0" style="5" hidden="1" customWidth="1"/>
    <col min="15" max="15" width="9.140625" style="5"/>
    <col min="16" max="17" width="0" style="5" hidden="1" customWidth="1"/>
    <col min="18" max="18" width="9.140625" style="5"/>
    <col min="19" max="20" width="0" style="5" hidden="1" customWidth="1"/>
    <col min="21" max="21" width="9.140625" style="5"/>
    <col min="22" max="22" width="0" style="5" hidden="1" customWidth="1"/>
    <col min="23" max="23" width="12.7109375" style="5" hidden="1" customWidth="1"/>
    <col min="24" max="24" width="7.140625" style="5" bestFit="1" customWidth="1"/>
    <col min="25" max="25" width="20.28515625" style="5" customWidth="1"/>
    <col min="26" max="16384" width="9.140625" style="5"/>
  </cols>
  <sheetData>
    <row r="2" spans="1:34" ht="15.75">
      <c r="B2" s="46"/>
      <c r="C2" s="46"/>
      <c r="D2" s="46"/>
      <c r="E2" s="119" t="s">
        <v>264</v>
      </c>
      <c r="F2" s="119" t="s">
        <v>265</v>
      </c>
      <c r="G2" s="119" t="s">
        <v>2</v>
      </c>
      <c r="H2" s="138" t="s">
        <v>3</v>
      </c>
      <c r="I2" s="138" t="s">
        <v>4</v>
      </c>
      <c r="J2" s="138" t="s">
        <v>201</v>
      </c>
      <c r="K2" s="169">
        <v>43466</v>
      </c>
      <c r="L2" s="169" t="s">
        <v>8</v>
      </c>
      <c r="M2" s="169">
        <v>44562</v>
      </c>
      <c r="N2" s="169">
        <v>44593</v>
      </c>
      <c r="O2" s="169">
        <v>44621</v>
      </c>
      <c r="P2" s="169">
        <v>44652</v>
      </c>
      <c r="Q2" s="169">
        <v>44682</v>
      </c>
      <c r="R2" s="169">
        <v>44713</v>
      </c>
      <c r="S2" s="169">
        <v>44743</v>
      </c>
      <c r="T2" s="169">
        <v>44774</v>
      </c>
      <c r="U2" s="169">
        <v>44805</v>
      </c>
      <c r="V2" s="169">
        <v>44835</v>
      </c>
      <c r="W2" s="169">
        <v>44866</v>
      </c>
      <c r="X2" s="169">
        <v>44896</v>
      </c>
      <c r="Y2" s="169" t="s">
        <v>266</v>
      </c>
      <c r="Z2" s="169">
        <v>44949</v>
      </c>
      <c r="AA2" s="169">
        <v>44980</v>
      </c>
      <c r="AB2" s="169">
        <v>45008</v>
      </c>
      <c r="AC2" s="169">
        <v>45039</v>
      </c>
      <c r="AD2" s="169">
        <v>45069</v>
      </c>
      <c r="AE2" s="169">
        <v>45100</v>
      </c>
      <c r="AF2" s="169">
        <v>45130</v>
      </c>
      <c r="AG2" s="169">
        <v>45161</v>
      </c>
      <c r="AH2" s="169">
        <v>45192</v>
      </c>
    </row>
    <row r="3" spans="1:34" s="1" customFormat="1" ht="15.75">
      <c r="A3" s="425" t="s">
        <v>267</v>
      </c>
      <c r="B3" s="428" t="s">
        <v>126</v>
      </c>
      <c r="C3" s="120" t="s">
        <v>268</v>
      </c>
      <c r="D3" s="121" t="s">
        <v>269</v>
      </c>
      <c r="E3" s="122">
        <f>Financials!C13/1000000</f>
        <v>0</v>
      </c>
      <c r="F3" s="122">
        <f>Financials!D13/1000000</f>
        <v>0</v>
      </c>
      <c r="G3" s="122">
        <f>Financials!E13/1000000</f>
        <v>0</v>
      </c>
      <c r="H3" s="122">
        <f>Financials!F13/1000000</f>
        <v>0</v>
      </c>
      <c r="I3" s="122">
        <f>Financials!G13/1000000</f>
        <v>0</v>
      </c>
      <c r="J3" s="122">
        <f>Financials!H13/1000000</f>
        <v>0</v>
      </c>
      <c r="K3" s="122">
        <f>Financials!I13/1000000</f>
        <v>50.822603000000001</v>
      </c>
      <c r="L3" s="122">
        <f>Financials!J13/1000000</f>
        <v>148.24099899999999</v>
      </c>
      <c r="M3" s="122">
        <f>Financials!K13/1000000</f>
        <v>113.1949982</v>
      </c>
      <c r="N3" s="122">
        <f>Financials!L13/1000000</f>
        <v>123.05897341000001</v>
      </c>
      <c r="O3" s="122">
        <f>Financials!M13/1000000</f>
        <v>284.81209629</v>
      </c>
      <c r="P3" s="122">
        <f>Financials!N13/1000000</f>
        <v>289.10171341</v>
      </c>
      <c r="Q3" s="122">
        <f>Financials!O13/1000000</f>
        <v>261.46058906000002</v>
      </c>
      <c r="R3" s="122">
        <f>Financials!P13/1000000</f>
        <v>291.51345497000005</v>
      </c>
      <c r="S3" s="122">
        <f>Financials!Q13/1000000</f>
        <v>312.14160386999998</v>
      </c>
      <c r="T3" s="122">
        <f>Financials!R13/1000000</f>
        <v>326.88847068000007</v>
      </c>
      <c r="U3" s="122">
        <f>Financials!S13/1000000</f>
        <v>404.19952418000008</v>
      </c>
      <c r="V3" s="122">
        <f>Financials!T13/1000000</f>
        <v>433.52966340000006</v>
      </c>
      <c r="W3" s="122">
        <f>Financials!U13/1000000</f>
        <v>501.74769579000008</v>
      </c>
      <c r="X3" s="122">
        <f>Financials!V13/1000000</f>
        <v>522.18034843000009</v>
      </c>
      <c r="Y3" s="122">
        <f>Financials!W13/1000000</f>
        <v>489.371779</v>
      </c>
      <c r="Z3" s="122">
        <f>Financials!X13/1000000</f>
        <v>459.41448305999995</v>
      </c>
      <c r="AA3" s="122">
        <f>Financials!Y13/1000000</f>
        <v>496.76392540999996</v>
      </c>
      <c r="AB3" s="122">
        <f>Financials!Z13/1000000</f>
        <v>729.89205112000002</v>
      </c>
      <c r="AC3" s="122">
        <f>Financials!AA13/1000000</f>
        <v>756.32997298999999</v>
      </c>
      <c r="AD3" s="122">
        <f>Financials!AB13/1000000</f>
        <v>811.86837585000001</v>
      </c>
      <c r="AE3" s="122">
        <f>Financials!AC13/1000000</f>
        <v>854.58181743000011</v>
      </c>
    </row>
    <row r="4" spans="1:34" s="1" customFormat="1" ht="15.75">
      <c r="A4" s="425"/>
      <c r="B4" s="428"/>
      <c r="C4" s="123" t="s">
        <v>270</v>
      </c>
      <c r="D4" s="121" t="s">
        <v>271</v>
      </c>
      <c r="E4" s="124" t="e">
        <f>Financials!C13/Financials!C5</f>
        <v>#DIV/0!</v>
      </c>
      <c r="F4" s="124" t="e">
        <f>Financials!D13/Financials!D5</f>
        <v>#DIV/0!</v>
      </c>
      <c r="G4" s="124" t="e">
        <f>Financials!E13/Financials!E5</f>
        <v>#DIV/0!</v>
      </c>
      <c r="H4" s="124" t="e">
        <f>Financials!F13/Financials!F5</f>
        <v>#DIV/0!</v>
      </c>
      <c r="I4" s="124" t="e">
        <f>Financials!G13/Financials!G5</f>
        <v>#DIV/0!</v>
      </c>
      <c r="J4" s="124" t="e">
        <f>Financials!H13/Financials!H5</f>
        <v>#DIV/0!</v>
      </c>
      <c r="K4" s="124">
        <f>Financials!I13/Financials!I5</f>
        <v>0.11063689744382797</v>
      </c>
      <c r="L4" s="124">
        <f>Financials!J13/Financials!J5</f>
        <v>0.12660776714744518</v>
      </c>
      <c r="M4" s="124">
        <f>Financials!K13/Financials!K5</f>
        <v>8.8298281574366103E-2</v>
      </c>
      <c r="N4" s="124">
        <f>Financials!L13/Financials!L5</f>
        <v>8.7697581264156832E-2</v>
      </c>
      <c r="O4" s="124">
        <f>Financials!M13/Financials!M5</f>
        <v>0.18793412804161405</v>
      </c>
      <c r="P4" s="124">
        <f>Financials!N13/Financials!N5</f>
        <v>0.17514000573929356</v>
      </c>
      <c r="Q4" s="124">
        <f>Financials!O13/Financials!O5</f>
        <v>0.14223509282708244</v>
      </c>
      <c r="R4" s="124">
        <f>Financials!P13/Financials!P5</f>
        <v>0.13894876162694916</v>
      </c>
      <c r="S4" s="124">
        <f>Financials!Q13/Financials!Q5</f>
        <v>0.14506597266792953</v>
      </c>
      <c r="T4" s="124">
        <f>Financials!R13/Financials!R5</f>
        <v>0.141988235030059</v>
      </c>
      <c r="U4" s="124">
        <f>Financials!S13/Financials!S5</f>
        <v>0.16165962856118965</v>
      </c>
      <c r="V4" s="124">
        <f>Financials!T13/Financials!T5</f>
        <v>0.16164535103260774</v>
      </c>
      <c r="W4" s="124">
        <f>Financials!U13/Financials!U5</f>
        <v>0.17721098397052437</v>
      </c>
      <c r="X4" s="124">
        <f>Financials!V13/Financials!V5</f>
        <v>0.17244005274770444</v>
      </c>
      <c r="Y4" s="124">
        <f>Financials!W13/Financials!W5</f>
        <v>0.1615815805415193</v>
      </c>
      <c r="Z4" s="124">
        <f>Financials!X13/Financials!X5</f>
        <v>0.14421521140686408</v>
      </c>
      <c r="AA4" s="124">
        <f>Financials!Y13/Financials!Y5</f>
        <v>0.14644282679878945</v>
      </c>
      <c r="AB4" s="124">
        <f>Financials!Z13/Financials!Z5</f>
        <v>0.20730060554009366</v>
      </c>
      <c r="AC4" s="124">
        <f>Financials!AA13/Financials!AA5</f>
        <v>0.20443954836523498</v>
      </c>
      <c r="AD4" s="124">
        <f>Financials!AB13/Financials!AB5</f>
        <v>0.20791501355820377</v>
      </c>
      <c r="AE4" s="124">
        <f>Financials!AC13/Financials!AC5</f>
        <v>0.20619005516992342</v>
      </c>
    </row>
    <row r="5" spans="1:34" s="1" customFormat="1" ht="15.75">
      <c r="A5" s="425"/>
      <c r="B5" s="428"/>
      <c r="C5" s="123" t="s">
        <v>272</v>
      </c>
      <c r="D5" s="121" t="s">
        <v>273</v>
      </c>
      <c r="E5" s="124" t="e">
        <f>Financials!C14/Financials!C5</f>
        <v>#DIV/0!</v>
      </c>
      <c r="F5" s="124" t="e">
        <f>Financials!D14/Financials!D5</f>
        <v>#DIV/0!</v>
      </c>
      <c r="G5" s="124" t="e">
        <f>Financials!E14/Financials!E5</f>
        <v>#DIV/0!</v>
      </c>
      <c r="H5" s="124" t="e">
        <f>Financials!F14/Financials!F5</f>
        <v>#DIV/0!</v>
      </c>
      <c r="I5" s="139" t="e">
        <f>Financials!G14/Financials!G5</f>
        <v>#DIV/0!</v>
      </c>
      <c r="J5" s="139" t="e">
        <f>Financials!H14/Financials!H5</f>
        <v>#DIV/0!</v>
      </c>
      <c r="K5" s="139">
        <f>Financials!I14/Financials!I5</f>
        <v>1.6622473060070753E-2</v>
      </c>
      <c r="L5" s="139">
        <f>Financials!J14/Financials!J5</f>
        <v>6.3611359276702278E-2</v>
      </c>
      <c r="M5" s="139">
        <f>Financials!K14/Financials!K5</f>
        <v>3.0757173249157787E-2</v>
      </c>
      <c r="N5" s="139">
        <f>Financials!L14/Financials!L5</f>
        <v>3.5106653302379449E-2</v>
      </c>
      <c r="O5" s="139">
        <f>Financials!M14/Financials!M5</f>
        <v>3.8922816225995263E-2</v>
      </c>
      <c r="P5" s="139">
        <f>Financials!N14/Financials!N5</f>
        <v>3.7983664013444815E-2</v>
      </c>
      <c r="Q5" s="139">
        <f>Financials!O14/Financials!O5</f>
        <v>1.6014775335098499E-2</v>
      </c>
      <c r="R5" s="139">
        <f>Financials!P14/Financials!P5</f>
        <v>2.8319635122556152E-2</v>
      </c>
      <c r="S5" s="139">
        <f>Financials!Q14/Financials!Q5</f>
        <v>3.7095107772645013E-2</v>
      </c>
      <c r="T5" s="139">
        <f>Financials!R14/Financials!R5</f>
        <v>4.1009700847549235E-2</v>
      </c>
      <c r="U5" s="139">
        <f>Financials!S14/Financials!S5</f>
        <v>4.697852906711189E-2</v>
      </c>
      <c r="V5" s="139">
        <f>Financials!T14/Financials!T5</f>
        <v>5.1628408799218858E-2</v>
      </c>
      <c r="W5" s="139">
        <f>Financials!U14/Financials!U5</f>
        <v>6.0062893123822549E-2</v>
      </c>
      <c r="X5" s="139">
        <f>Financials!V14/Financials!V5</f>
        <v>6.0955773220276621E-2</v>
      </c>
      <c r="Y5" s="139">
        <f>Financials!W14/Financials!W5</f>
        <v>5.0113906378646558E-2</v>
      </c>
      <c r="Z5" s="139">
        <f>Financials!X14/Financials!X5</f>
        <v>3.8029274070031011E-2</v>
      </c>
      <c r="AA5" s="139">
        <f>Financials!Y14/Financials!Y5</f>
        <v>4.6300183025603625E-2</v>
      </c>
      <c r="AB5" s="139">
        <f>Financials!Z14/Financials!Z5</f>
        <v>5.3998362690898548E-2</v>
      </c>
      <c r="AC5" s="139">
        <f>Financials!AA14/Financials!AA5</f>
        <v>5.8224756955100855E-2</v>
      </c>
      <c r="AD5" s="139">
        <f>Financials!AB14/Financials!AB5</f>
        <v>6.6323095727352524E-2</v>
      </c>
      <c r="AE5" s="139">
        <f>Financials!AC14/Financials!AC5</f>
        <v>7.2544857090092466E-2</v>
      </c>
    </row>
    <row r="6" spans="1:34" s="1" customFormat="1" ht="15.75">
      <c r="A6" s="425"/>
      <c r="B6" s="428"/>
      <c r="C6" s="123" t="s">
        <v>274</v>
      </c>
      <c r="D6" s="121" t="s">
        <v>273</v>
      </c>
      <c r="E6" s="124" t="e">
        <f>Financials!C13/Financials!C6</f>
        <v>#DIV/0!</v>
      </c>
      <c r="F6" s="124" t="e">
        <f>Financials!D13/Financials!D6</f>
        <v>#DIV/0!</v>
      </c>
      <c r="G6" s="124" t="e">
        <f>Financials!E13/Financials!E6</f>
        <v>#DIV/0!</v>
      </c>
      <c r="H6" s="124" t="e">
        <f>Financials!F13/Financials!F6</f>
        <v>#DIV/0!</v>
      </c>
      <c r="I6" s="124" t="e">
        <f>Financials!G13/Financials!G6</f>
        <v>#DIV/0!</v>
      </c>
      <c r="J6" s="124" t="e">
        <f>Financials!H13/Financials!H6</f>
        <v>#DIV/0!</v>
      </c>
      <c r="K6" s="124">
        <f>Financials!I13/Financials!I6</f>
        <v>0.17456928334680799</v>
      </c>
      <c r="L6" s="124">
        <f>Financials!J13/Financials!J6</f>
        <v>0.1599265686012637</v>
      </c>
      <c r="M6" s="124">
        <f>Financials!K13/Financials!K6</f>
        <v>0.11013921500534411</v>
      </c>
      <c r="N6" s="124">
        <f>Financials!L13/Financials!L6</f>
        <v>0.10669610833121473</v>
      </c>
      <c r="O6" s="124">
        <f>Financials!M13/Financials!M6</f>
        <v>0.25776509170289363</v>
      </c>
      <c r="P6" s="124">
        <f>Financials!N13/Financials!N6</f>
        <v>0.2348378001136891</v>
      </c>
      <c r="Q6" s="124">
        <f>Financials!O13/Financials!O6</f>
        <v>0.18671228903029793</v>
      </c>
      <c r="R6" s="124">
        <f>Financials!P13/Financials!P6</f>
        <v>0.17934319840018303</v>
      </c>
      <c r="S6" s="124">
        <f>Financials!Q13/Financials!Q6</f>
        <v>0.18922448374585921</v>
      </c>
      <c r="T6" s="124">
        <f>Financials!R13/Financials!R6</f>
        <v>0.18394678147840868</v>
      </c>
      <c r="U6" s="124">
        <f>Financials!S13/Financials!S6</f>
        <v>0.21381067876053228</v>
      </c>
      <c r="V6" s="124">
        <f>Financials!T13/Financials!T6</f>
        <v>0.21282518585677829</v>
      </c>
      <c r="W6" s="124">
        <f>Financials!U13/Financials!U6</f>
        <v>0.23532366675326347</v>
      </c>
      <c r="X6" s="124">
        <f>Financials!V13/Financials!V6</f>
        <v>0.22834092575487974</v>
      </c>
      <c r="Y6" s="124">
        <f>Financials!W13/Financials!W6</f>
        <v>0.21398489771644996</v>
      </c>
      <c r="Z6" s="124">
        <f>Financials!X13/Financials!X6</f>
        <v>0.19002396796875137</v>
      </c>
      <c r="AA6" s="124">
        <f>Financials!Y13/Financials!Y6</f>
        <v>0.19246323327548898</v>
      </c>
      <c r="AB6" s="124">
        <f>Financials!Z13/Financials!Z6</f>
        <v>0.2856077803269898</v>
      </c>
      <c r="AC6" s="124">
        <f>Financials!AA13/Financials!AA6</f>
        <v>0.27950892095238933</v>
      </c>
      <c r="AD6" s="124">
        <f>Financials!AB13/Financials!AB6</f>
        <v>0.2849486420208584</v>
      </c>
      <c r="AE6" s="124">
        <f>Financials!AC13/Financials!AC6</f>
        <v>0.28148837506916508</v>
      </c>
    </row>
    <row r="7" spans="1:34" s="1" customFormat="1" ht="15.75">
      <c r="A7" s="425"/>
      <c r="B7" s="428"/>
      <c r="C7" s="123" t="s">
        <v>275</v>
      </c>
      <c r="D7" s="121"/>
      <c r="E7" s="124" t="e">
        <f>(Financials!C13-Financials!C34)/Financials!C5</f>
        <v>#DIV/0!</v>
      </c>
      <c r="F7" s="124" t="e">
        <f>(Financials!D13-Financials!D34)/Financials!D5</f>
        <v>#DIV/0!</v>
      </c>
      <c r="G7" s="124" t="e">
        <f>(Financials!E13-Financials!E34)/Financials!E5</f>
        <v>#DIV/0!</v>
      </c>
      <c r="H7" s="124" t="e">
        <f>(Financials!F13-Financials!F34)/Financials!F5</f>
        <v>#DIV/0!</v>
      </c>
      <c r="I7" s="124" t="e">
        <f>(Financials!G13-Financials!G34)/Financials!G5</f>
        <v>#DIV/0!</v>
      </c>
      <c r="J7" s="124" t="e">
        <f>(Financials!H13-Financials!H34)/Financials!H5</f>
        <v>#DIV/0!</v>
      </c>
      <c r="K7" s="124">
        <f>(Financials!I13-Financials!I34)/Financials!I5</f>
        <v>0.11063689744382797</v>
      </c>
      <c r="L7" s="124">
        <f>(Financials!J13-Financials!J34)/Financials!J5</f>
        <v>0.12660776714744518</v>
      </c>
      <c r="M7" s="124">
        <f>(Financials!K13-Financials!K34)/Financials!K5</f>
        <v>8.8298281574366103E-2</v>
      </c>
      <c r="N7" s="124">
        <f>(Financials!L13-Financials!L34)/Financials!L5</f>
        <v>8.7697581264156832E-2</v>
      </c>
      <c r="O7" s="124">
        <f>(Financials!M13-Financials!M34)/Financials!M5</f>
        <v>0.18793412804161405</v>
      </c>
      <c r="P7" s="124">
        <f>(Financials!N13-Financials!N34)/Financials!N5</f>
        <v>0.17514000573929356</v>
      </c>
      <c r="Q7" s="124">
        <f>(Financials!O13-Financials!O34)/Financials!O5</f>
        <v>0.14223509282708244</v>
      </c>
      <c r="R7" s="124">
        <f>(Financials!P13-Financials!P34)/Financials!P5</f>
        <v>0.13894876162694916</v>
      </c>
      <c r="S7" s="124">
        <f>(Financials!Q13-Financials!Q34)/Financials!Q5</f>
        <v>0.14506597266792953</v>
      </c>
      <c r="T7" s="124">
        <f>(Financials!R13-Financials!R34)/Financials!R5</f>
        <v>0.141988235030059</v>
      </c>
      <c r="U7" s="124">
        <f>(Financials!S13-Financials!S34)/Financials!S5</f>
        <v>0.16165962856118965</v>
      </c>
      <c r="V7" s="124">
        <f>(Financials!T13-Financials!T34)/Financials!T5</f>
        <v>0.16164535103260774</v>
      </c>
      <c r="W7" s="124">
        <f>(Financials!U13-Financials!U34)/Financials!U5</f>
        <v>0.17721098397052437</v>
      </c>
      <c r="X7" s="124">
        <f>(Financials!V13-Financials!V34)/Financials!V5</f>
        <v>0.17244005274770444</v>
      </c>
      <c r="Y7" s="124">
        <f>(Financials!W13-Financials!W34)/Financials!W5</f>
        <v>0.1615815805415193</v>
      </c>
      <c r="Z7" s="124">
        <f>(Financials!X13-Financials!X34)/Financials!X5</f>
        <v>0.14421521140686408</v>
      </c>
      <c r="AA7" s="124">
        <f>(Financials!Y13-Financials!Y34)/Financials!Y5</f>
        <v>0.14644282679878945</v>
      </c>
      <c r="AB7" s="124">
        <f>(Financials!Z13-Financials!Z34)/Financials!Z5</f>
        <v>0.20730060554009366</v>
      </c>
      <c r="AC7" s="124">
        <f>(Financials!AA13-Financials!AA34)/Financials!AA5</f>
        <v>0.20443954836523498</v>
      </c>
      <c r="AD7" s="124">
        <f>(Financials!AB13-Financials!AB34)/Financials!AB5</f>
        <v>0.20791501355820377</v>
      </c>
      <c r="AE7" s="124">
        <f>(Financials!AC13-Financials!AC34)/Financials!AC5</f>
        <v>0.20619005516992342</v>
      </c>
    </row>
    <row r="8" spans="1:34" s="1" customFormat="1" ht="15.75">
      <c r="A8" s="425"/>
      <c r="B8" s="126"/>
      <c r="C8" s="126"/>
      <c r="D8" s="121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</row>
    <row r="9" spans="1:34" s="1" customFormat="1" ht="15.6" thickBot="1">
      <c r="A9" s="425"/>
      <c r="B9" s="428" t="s">
        <v>131</v>
      </c>
      <c r="C9" s="126" t="s">
        <v>276</v>
      </c>
      <c r="D9" s="121"/>
      <c r="E9" s="124" t="e">
        <f>Financials!C35/Financials!C32</f>
        <v>#DIV/0!</v>
      </c>
      <c r="F9" s="124" t="e">
        <f>Financials!D35/Financials!D32</f>
        <v>#DIV/0!</v>
      </c>
      <c r="G9" s="124" t="e">
        <f>Financials!E35/Financials!E32</f>
        <v>#DIV/0!</v>
      </c>
      <c r="H9" s="124" t="e">
        <f>Financials!F34/Financials!F32</f>
        <v>#DIV/0!</v>
      </c>
      <c r="I9" s="139" t="e">
        <f>Financials!G34/Financials!G32</f>
        <v>#DIV/0!</v>
      </c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</row>
    <row r="10" spans="1:34" s="1" customFormat="1" ht="15.6" thickBot="1">
      <c r="A10" s="425"/>
      <c r="B10" s="428"/>
      <c r="C10" s="126" t="s">
        <v>277</v>
      </c>
      <c r="D10" s="121"/>
      <c r="E10" s="124" t="e">
        <f>Financials!C34/Financials!C32</f>
        <v>#DIV/0!</v>
      </c>
      <c r="F10" s="124" t="e">
        <f>Financials!D34/Financials!D32</f>
        <v>#DIV/0!</v>
      </c>
      <c r="G10" s="124" t="e">
        <f>Financials!E34/Financials!E32</f>
        <v>#DIV/0!</v>
      </c>
      <c r="H10" s="124" t="e">
        <f>Financials!F34/Financials!F32</f>
        <v>#DIV/0!</v>
      </c>
      <c r="I10" s="124" t="e">
        <f>Financials!G34/Financials!G32</f>
        <v>#DIV/0!</v>
      </c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</row>
    <row r="11" spans="1:34" s="1" customFormat="1" ht="15.75">
      <c r="A11" s="425"/>
      <c r="B11" s="126"/>
      <c r="C11" s="126"/>
      <c r="D11" s="121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</row>
    <row r="12" spans="1:34" s="1" customFormat="1" ht="15.75">
      <c r="A12" s="425"/>
      <c r="B12" s="428" t="s">
        <v>278</v>
      </c>
      <c r="C12" s="126" t="s">
        <v>261</v>
      </c>
      <c r="D12" s="121"/>
      <c r="E12" s="124" t="e">
        <f>Trend!C93/((Financials!C5+Financials!#REF!)/2)</f>
        <v>#REF!</v>
      </c>
      <c r="F12" s="124" t="e">
        <f>Trend!D93/((Financials!D5+Financials!#REF!)/2)</f>
        <v>#REF!</v>
      </c>
      <c r="G12" s="124" t="e">
        <f>Trend!E93/((Financials!E5+Financials!#REF!)/2)</f>
        <v>#REF!</v>
      </c>
      <c r="H12" s="124" t="e">
        <f>Trend!F93/((Financials!F5+Financials!E5)/2)</f>
        <v>#DIV/0!</v>
      </c>
      <c r="I12" s="124" t="e">
        <f>Trend!G93/((Financials!G5+Financials!F5)/2)</f>
        <v>#DIV/0!</v>
      </c>
      <c r="J12" s="124" t="e">
        <f>Trend!H93/((Financials!H5+Financials!G5)/2)</f>
        <v>#DIV/0!</v>
      </c>
      <c r="K12" s="124">
        <f>Trend!J93/((Financials!I5+Financials!H5)/2)</f>
        <v>4.3969274672544675E-2</v>
      </c>
      <c r="L12" s="124">
        <f>Trend!K93/((Financials!J5+Financials!I5)/2)</f>
        <v>4.7409695875390519E-2</v>
      </c>
      <c r="M12" s="124">
        <f>Trend!L93/((Financials!K5+Financials!J5)/2)</f>
        <v>5.4622621550211754E-3</v>
      </c>
      <c r="N12" s="124">
        <f>Trend!M93/((Financials!L5+Financials!K5)/2)</f>
        <v>1.2313384675281161E-2</v>
      </c>
      <c r="O12" s="124">
        <f>Trend!N93/((Financials!M5+Financials!L5)/2)</f>
        <v>1.7991919340924346E-2</v>
      </c>
      <c r="P12" s="124">
        <f>Trend!O93/((Financials!N5+Financials!M5)/2)</f>
        <v>1.8930527015011998E-2</v>
      </c>
      <c r="Q12" s="124">
        <f>Trend!P93/((Financials!O5+Financials!N5)/2)</f>
        <v>2.1616046254232531E-2</v>
      </c>
      <c r="R12" s="124">
        <f>Trend!Q93/((Financials!P5+Financials!O5)/2)</f>
        <v>3.4390279584856846E-2</v>
      </c>
      <c r="S12" s="124">
        <f>Trend!R93/((Financials!Q5+Financials!P5)/2)</f>
        <v>4.1455887284371683E-2</v>
      </c>
      <c r="T12" s="124">
        <f>Trend!S93/((Financials!R5+Financials!Q5)/2)</f>
        <v>4.6108767081241391E-2</v>
      </c>
      <c r="U12" s="124">
        <f>Trend!T93/((Financials!S5+Financials!R5)/2)</f>
        <v>5.236005123895561E-2</v>
      </c>
      <c r="V12" s="124">
        <f>Trend!U93/((Financials!T5+Financials!S5)/2)</f>
        <v>5.6629712771918674E-2</v>
      </c>
      <c r="W12" s="124">
        <f>Trend!V93/((Financials!U5+Financials!T5)/2)</f>
        <v>6.1062471047453236E-2</v>
      </c>
      <c r="X12" s="124">
        <f>Trend!W93/((Financials!V5+Financials!U5)/2)</f>
        <v>6.582590064907605E-2</v>
      </c>
      <c r="Y12" s="124">
        <f>Trend!X93/((Financials!W5+Financials!V5)/2)</f>
        <v>4.2451650693290585E-2</v>
      </c>
      <c r="Z12" s="124">
        <f>Trend!Y93/((Financials!X5+Financials!W5)/2)</f>
        <v>6.5558764224257788E-3</v>
      </c>
      <c r="AA12" s="124">
        <f>Trend!Z93/((Financials!Y5+Financials!X5)/2)</f>
        <v>1.7112563713061173E-2</v>
      </c>
      <c r="AB12" s="124">
        <f>Trend!AA93/((Financials!Z5+Financials!Y5)/2)</f>
        <v>2.5848396013893972E-2</v>
      </c>
      <c r="AC12" s="124">
        <f>Trend!AB93/((Financials!AA5+Financials!Z5)/2)</f>
        <v>3.1750366291685483E-2</v>
      </c>
      <c r="AD12" s="124">
        <f>Trend!AC93/((Financials!AB5+Financials!AA5)/2)</f>
        <v>4.160810603709026E-2</v>
      </c>
      <c r="AE12" s="124">
        <f>Trend!AD93/((Financials!AC5+Financials!AB5)/2)</f>
        <v>4.9666493310599198E-2</v>
      </c>
    </row>
    <row r="13" spans="1:34" s="1" customFormat="1" ht="15.75">
      <c r="A13" s="425"/>
      <c r="B13" s="428"/>
      <c r="C13" s="126" t="s">
        <v>279</v>
      </c>
      <c r="D13" s="121"/>
      <c r="E13" s="124" t="e">
        <f>Trend!C79/(Trend!C75-Trend!C76)</f>
        <v>#DIV/0!</v>
      </c>
      <c r="F13" s="124" t="e">
        <f>Trend!D79/(Trend!D75-Trend!D76)</f>
        <v>#DIV/0!</v>
      </c>
      <c r="G13" s="124" t="e">
        <f>Trend!E79/(Trend!E75-Trend!E76)</f>
        <v>#DIV/0!</v>
      </c>
      <c r="H13" s="124" t="e">
        <f>Trend!F79/(Trend!F75-Trend!F76)</f>
        <v>#DIV/0!</v>
      </c>
      <c r="I13" s="124" t="e">
        <f>Trend!G79/(Trend!G75-Trend!G76)</f>
        <v>#DIV/0!</v>
      </c>
      <c r="J13" s="124" t="e">
        <f>Trend!H79/(Trend!H75-Trend!H76)</f>
        <v>#DIV/0!</v>
      </c>
      <c r="K13" s="124">
        <f>Trend!J79/(Trend!J75-Trend!J76)</f>
        <v>5.9950459588810907E-2</v>
      </c>
      <c r="L13" s="124">
        <f>Trend!K79/(Trend!K75-Trend!K76)</f>
        <v>6.8232902738487769E-2</v>
      </c>
      <c r="M13" s="124">
        <f>Trend!L79/(Trend!L75-Trend!L76)</f>
        <v>1.5816381997778992E-2</v>
      </c>
      <c r="N13" s="124">
        <f>Trend!M79/(Trend!M75-Trend!M76)</f>
        <v>4.0395690655787207E-2</v>
      </c>
      <c r="O13" s="124">
        <f>Trend!N79/(Trend!N75-Trend!N76)</f>
        <v>4.3773448747314654E-2</v>
      </c>
      <c r="P13" s="124">
        <f>Trend!O79/(Trend!O75-Trend!O76)</f>
        <v>0.18399576253773789</v>
      </c>
      <c r="Q13" s="124">
        <f>Trend!P79/(Trend!P75-Trend!P76)</f>
        <v>0.18556364728229902</v>
      </c>
      <c r="R13" s="124">
        <f>Trend!Q79/(Trend!Q75-Trend!Q76)</f>
        <v>0.13235929036998842</v>
      </c>
      <c r="S13" s="124">
        <f>Trend!R79/(Trend!R75-Trend!R76)</f>
        <v>0.10846504043113149</v>
      </c>
      <c r="T13" s="124">
        <f>Trend!S79/(Trend!S75-Trend!S76)</f>
        <v>9.7374276415812699E-2</v>
      </c>
      <c r="U13" s="124">
        <f>Trend!T79/(Trend!T75-Trend!T76)</f>
        <v>9.1169241051007335E-2</v>
      </c>
      <c r="V13" s="124">
        <f>Trend!U79/(Trend!U75-Trend!U76)</f>
        <v>8.3220157905434911E-2</v>
      </c>
      <c r="W13" s="124">
        <f>Trend!V79/(Trend!V75-Trend!V76)</f>
        <v>8.4716678756131425E-2</v>
      </c>
      <c r="X13" s="124">
        <f>Trend!W79/(Trend!W75-Trend!W76)</f>
        <v>9.971381200616411E-2</v>
      </c>
      <c r="Y13" s="124">
        <f>Trend!X79/(Trend!X75-Trend!X76)</f>
        <v>8.9990762352594664E-2</v>
      </c>
      <c r="Z13" s="124">
        <f>Trend!Y79/(Trend!Y75-Trend!Y76)</f>
        <v>3.4364167906076493E-2</v>
      </c>
      <c r="AA13" s="124">
        <f>Trend!Z79/(Trend!Z75-Trend!Z76)</f>
        <v>1.4076403851061087E-2</v>
      </c>
      <c r="AB13" s="124">
        <f>Trend!AA79/(Trend!AA75-Trend!AA76)</f>
        <v>3.6773417853555646E-2</v>
      </c>
      <c r="AC13" s="124">
        <f>Trend!AB79/(Trend!AB75-Trend!AB76)</f>
        <v>7.7924138650444938E-2</v>
      </c>
      <c r="AD13" s="124">
        <f>Trend!AC79/(Trend!AC75-Trend!AC76)</f>
        <v>6.7068464945999148E-2</v>
      </c>
      <c r="AE13" s="124">
        <f>Trend!AD79/(Trend!AD75-Trend!AD76)</f>
        <v>7.9634972546653471E-2</v>
      </c>
    </row>
    <row r="14" spans="1:34" s="1" customFormat="1" ht="15.75">
      <c r="A14" s="425"/>
      <c r="B14" s="428"/>
      <c r="C14" s="126" t="s">
        <v>280</v>
      </c>
      <c r="D14" s="121"/>
      <c r="E14" s="124" t="e">
        <f>Trend!C79/((Financials!C5+Financials!#REF!)/2)</f>
        <v>#REF!</v>
      </c>
      <c r="F14" s="124" t="e">
        <f>Trend!D79/((Financials!D5+Financials!#REF!)/2)</f>
        <v>#REF!</v>
      </c>
      <c r="G14" s="124" t="e">
        <f>Trend!E79/((Financials!E5+Financials!#REF!)/2)</f>
        <v>#REF!</v>
      </c>
      <c r="H14" s="124" t="e">
        <f>Trend!F79/((Financials!F5+Financials!E5)/2)</f>
        <v>#DIV/0!</v>
      </c>
      <c r="I14" s="124" t="e">
        <f>Trend!G79/((Financials!G5+Financials!F5)/2)</f>
        <v>#DIV/0!</v>
      </c>
      <c r="J14" s="124" t="e">
        <f>Trend!H79/((Financials!H5+Financials!G5)/2)</f>
        <v>#DIV/0!</v>
      </c>
      <c r="K14" s="124">
        <f>Trend!J79/((Financials!I5+Financials!H5)/2)</f>
        <v>3.4048644351955546E-3</v>
      </c>
      <c r="L14" s="124">
        <f>Trend!K79/((Financials!J5+Financials!I5)/2)</f>
        <v>3.8871201639510394E-3</v>
      </c>
      <c r="M14" s="124">
        <f>Trend!L79/((Financials!K5+Financials!J5)/2)</f>
        <v>8.778161232879965E-5</v>
      </c>
      <c r="N14" s="124">
        <f>Trend!M79/((Financials!L5+Financials!K5)/2)</f>
        <v>5.1834664916031246E-4</v>
      </c>
      <c r="O14" s="124">
        <f>Trend!N79/((Financials!M5+Financials!L5)/2)</f>
        <v>8.2362109492152579E-4</v>
      </c>
      <c r="P14" s="124">
        <f>Trend!O79/((Financials!N5+Financials!M5)/2)</f>
        <v>4.268527776523299E-3</v>
      </c>
      <c r="Q14" s="124">
        <f>Trend!P79/((Financials!O5+Financials!N5)/2)</f>
        <v>4.9250655000521665E-3</v>
      </c>
      <c r="R14" s="124">
        <f>Trend!Q79/((Financials!P5+Financials!O5)/2)</f>
        <v>5.246264900846123E-3</v>
      </c>
      <c r="S14" s="124">
        <f>Trend!R79/((Financials!Q5+Financials!P5)/2)</f>
        <v>5.0435649686493998E-3</v>
      </c>
      <c r="T14" s="124">
        <f>Trend!S79/((Financials!R5+Financials!Q5)/2)</f>
        <v>4.9741633920345101E-3</v>
      </c>
      <c r="U14" s="124">
        <f>Trend!T79/((Financials!S5+Financials!R5)/2)</f>
        <v>5.252491826275605E-3</v>
      </c>
      <c r="V14" s="124">
        <f>Trend!U79/((Financials!T5+Financials!S5)/2)</f>
        <v>5.1405292989986804E-3</v>
      </c>
      <c r="W14" s="124">
        <f>Trend!V79/((Financials!U5+Financials!T5)/2)</f>
        <v>5.6518125303021589E-3</v>
      </c>
      <c r="X14" s="124">
        <f>Trend!W79/((Financials!V5+Financials!U5)/2)</f>
        <v>7.2907388450386265E-3</v>
      </c>
      <c r="Y14" s="124">
        <f>Trend!X79/((Financials!W5+Financials!V5)/2)</f>
        <v>4.8430926555366235E-3</v>
      </c>
      <c r="Z14" s="124">
        <f>Trend!Y79/((Financials!X5+Financials!W5)/2)</f>
        <v>2.3330455505488613E-4</v>
      </c>
      <c r="AA14" s="124">
        <f>Trend!Z79/((Financials!Y5+Financials!X5)/2)</f>
        <v>2.4432254050208715E-4</v>
      </c>
      <c r="AB14" s="124">
        <f>Trend!AA79/((Financials!Z5+Financials!Y5)/2)</f>
        <v>9.8682271137591026E-4</v>
      </c>
      <c r="AC14" s="124">
        <f>Trend!AB79/((Financials!AA5+Financials!Z5)/2)</f>
        <v>2.683206500487474E-3</v>
      </c>
      <c r="AD14" s="124">
        <f>Trend!AC79/((Financials!AB5+Financials!AA5)/2)</f>
        <v>2.9912074963319535E-3</v>
      </c>
      <c r="AE14" s="124">
        <f>Trend!AD79/((Financials!AC5+Financials!AB5)/2)</f>
        <v>4.2974143011736783E-3</v>
      </c>
    </row>
    <row r="15" spans="1:34" s="1" customFormat="1" ht="15.75">
      <c r="A15" s="425"/>
      <c r="B15" s="126"/>
      <c r="C15" s="126"/>
      <c r="D15" s="121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</row>
    <row r="16" spans="1:34" s="1" customFormat="1" ht="15.75">
      <c r="A16" s="425"/>
      <c r="B16" s="428" t="s">
        <v>139</v>
      </c>
      <c r="C16" s="126" t="s">
        <v>281</v>
      </c>
      <c r="D16" s="121" t="s">
        <v>282</v>
      </c>
      <c r="E16" s="124" t="e">
        <f>(Trend!C5+Trend!C13)/(Financials!C10+Trend!C28+Trend!C29)</f>
        <v>#DIV/0!</v>
      </c>
      <c r="F16" s="124" t="e">
        <f>(Trend!D5+Trend!D13)/(Financials!D10+Trend!D28+Trend!D29)</f>
        <v>#DIV/0!</v>
      </c>
      <c r="G16" s="124" t="e">
        <f>Financials!E37/(Financials!E10+Financials!E8+Financials!E7)</f>
        <v>#DIV/0!</v>
      </c>
      <c r="H16" s="124" t="e">
        <f>Financials!F37/(Financials!F10+Financials!F8+Financials!F7)</f>
        <v>#DIV/0!</v>
      </c>
      <c r="I16" s="124" t="e">
        <f>Financials!G37/(Financials!G10+Financials!G8+Financials!G7)</f>
        <v>#DIV/0!</v>
      </c>
      <c r="J16" s="124" t="e">
        <f>Financials!H37/(Financials!H10+Financials!H8+Financials!H7)</f>
        <v>#DIV/0!</v>
      </c>
      <c r="K16" s="124">
        <f>Financials!I37/(Financials!I10+Financials!I8+Financials!I7)</f>
        <v>1.2134484762733628</v>
      </c>
      <c r="L16" s="124">
        <f>Financials!J37/(Financials!J10+Financials!J8+Financials!J7)</f>
        <v>0.58798135227726289</v>
      </c>
      <c r="M16" s="124">
        <f>Financials!K37/(Financials!K10+Financials!K8+Financials!K7)</f>
        <v>0.48317977953779195</v>
      </c>
      <c r="N16" s="124">
        <f>Financials!L37/(Financials!L10+Financials!L8+Financials!L7)</f>
        <v>0.34328374161693825</v>
      </c>
      <c r="O16" s="124">
        <f>Financials!M37/(Financials!M10+Financials!M8+Financials!M7)</f>
        <v>0.5823802868266299</v>
      </c>
      <c r="P16" s="124">
        <f>Financials!N37/(Financials!N10+Financials!N8+Financials!N7)</f>
        <v>0.50423620216679699</v>
      </c>
      <c r="Q16" s="124">
        <f>Financials!O37/(Financials!O10+Financials!O8+Financials!O7)</f>
        <v>0.46879029236250003</v>
      </c>
      <c r="R16" s="124">
        <f>Financials!P37/(Financials!P10+Financials!P8+Financials!P7)</f>
        <v>0.41625567271015618</v>
      </c>
      <c r="S16" s="124">
        <f>Financials!Q37/(Financials!Q10+Financials!Q8+Financials!Q7)</f>
        <v>0.22682408845787669</v>
      </c>
      <c r="T16" s="124">
        <f>Financials!R37/(Financials!R10+Financials!R8+Financials!R7)</f>
        <v>0.48434947872453399</v>
      </c>
      <c r="U16" s="124">
        <f>Financials!S37/(Financials!S10+Financials!S8+Financials!S7)</f>
        <v>0.45469435530669711</v>
      </c>
      <c r="V16" s="124">
        <f>Financials!T37/(Financials!T10+Financials!T8+Financials!T7)</f>
        <v>0.4316469402279503</v>
      </c>
      <c r="W16" s="124">
        <f>Financials!U37/(Financials!U10+Financials!U8+Financials!U7)</f>
        <v>0.40471075052546535</v>
      </c>
      <c r="X16" s="124">
        <f>Financials!V37/(Financials!V10+Financials!V8+Financials!V7)</f>
        <v>0.13054408433530074</v>
      </c>
      <c r="Y16" s="124">
        <f>Financials!W37/(Financials!W10+Financials!W8+Financials!W7)</f>
        <v>0.1722165483404938</v>
      </c>
      <c r="Z16" s="124">
        <f>Financials!X37/(Financials!X10+Financials!X8+Financials!X7)</f>
        <v>0.34848763905901364</v>
      </c>
      <c r="AA16" s="124">
        <f>Financials!Y37/(Financials!Y10+Financials!Y8+Financials!Y7)</f>
        <v>0.33256602748442565</v>
      </c>
      <c r="AB16" s="124">
        <f>Financials!Z37/(Financials!Z10+Financials!Z8+Financials!Z7)</f>
        <v>0.29680882741043563</v>
      </c>
      <c r="AC16" s="124">
        <f>Financials!AA37/(Financials!AA10+Financials!AA8+Financials!AA7)</f>
        <v>0.10638866966924229</v>
      </c>
      <c r="AD16" s="124">
        <f>Financials!AB37/(Financials!AB10+Financials!AB8+Financials!AB7)</f>
        <v>8.612967730387186E-2</v>
      </c>
      <c r="AE16" s="124">
        <f>Financials!AC37/(Financials!AC10+Financials!AC8+Financials!AC7)</f>
        <v>0.25809970313024183</v>
      </c>
    </row>
    <row r="17" spans="1:31" s="1" customFormat="1" ht="15.75">
      <c r="A17" s="425"/>
      <c r="B17" s="428"/>
      <c r="C17" s="126" t="s">
        <v>283</v>
      </c>
      <c r="D17" s="121"/>
      <c r="E17" s="124" t="e">
        <f>(Trend!C5+Trend!C13+Trend!C12)/Financials!C6</f>
        <v>#DIV/0!</v>
      </c>
      <c r="F17" s="124" t="e">
        <f>(Trend!D5+Trend!D13+Trend!D12)/Financials!D6</f>
        <v>#DIV/0!</v>
      </c>
      <c r="G17" s="124" t="e">
        <f>(Trend!E5+Trend!E10+Trend!E12)/Financials!E6</f>
        <v>#DIV/0!</v>
      </c>
      <c r="H17" s="124" t="e">
        <f>(Trend!F5+Trend!F10+Trend!F12)/Financials!F6</f>
        <v>#DIV/0!</v>
      </c>
      <c r="I17" s="124" t="e">
        <f>(Trend!G5+Trend!G10+Trend!G12)/Financials!G6</f>
        <v>#DIV/0!</v>
      </c>
      <c r="J17" s="124" t="e">
        <f>(Trend!H5+Trend!H10+Trend!H12)/Financials!H6</f>
        <v>#DIV/0!</v>
      </c>
      <c r="K17" s="124">
        <f>(Trend!J5+Trend!J10+Trend!J12)/Financials!I6</f>
        <v>1.3256336868458491</v>
      </c>
      <c r="L17" s="124">
        <f>(Trend!K5+Trend!K10+Trend!K12)/Financials!J6</f>
        <v>0.64044229738572989</v>
      </c>
      <c r="M17" s="124">
        <f>(Trend!L5+Trend!L10+Trend!L12)/Financials!K6</f>
        <v>0.62277260441007609</v>
      </c>
      <c r="N17" s="124">
        <f>(Trend!M5+Trend!M10+Trend!M12)/Financials!L6</f>
        <v>0.45641110898555504</v>
      </c>
      <c r="O17" s="124">
        <f>(Trend!N5+Trend!N10+Trend!N12)/Financials!M6</f>
        <v>0.71181758220728675</v>
      </c>
      <c r="P17" s="124">
        <f>(Trend!O5+Trend!O10+Trend!O12)/Financials!N6</f>
        <v>0.61893758297475643</v>
      </c>
      <c r="Q17" s="124">
        <f>(Trend!P5+Trend!P10+Trend!P12)/Financials!O6</f>
        <v>0.56977399801331641</v>
      </c>
      <c r="R17" s="124">
        <f>(Trend!Q5+Trend!Q10+Trend!Q12)/Financials!P6</f>
        <v>0.50355704240132038</v>
      </c>
      <c r="S17" s="124">
        <f>(Trend!R5+Trend!R10+Trend!R12)/Financials!Q6</f>
        <v>0.27381591479087086</v>
      </c>
      <c r="T17" s="124">
        <f>(Trend!S5+Trend!S10+Trend!S12)/Financials!R6</f>
        <v>0.54141122883199999</v>
      </c>
      <c r="U17" s="124">
        <f>(Trend!T5+Trend!T10+Trend!T12)/Financials!S6</f>
        <v>0.53522286886146553</v>
      </c>
      <c r="V17" s="124">
        <f>(Trend!U5+Trend!U10+Trend!U12)/Financials!T6</f>
        <v>0.50655323386240103</v>
      </c>
      <c r="W17" s="124">
        <f>(Trend!V5+Trend!V10+Trend!V12)/Financials!U6</f>
        <v>0.47896517544038442</v>
      </c>
      <c r="X17" s="124">
        <f>(Trend!W5+Trend!W10+Trend!W12)/Financials!V6</f>
        <v>0.18471909330425443</v>
      </c>
      <c r="Y17" s="124">
        <f>(Trend!X5+Trend!X10+Trend!X12)/Financials!W6</f>
        <v>0.20886765925322326</v>
      </c>
      <c r="Z17" s="124">
        <f>(Trend!Y5+Trend!Y10+Trend!Y12)/Financials!X6</f>
        <v>0.42283093311503367</v>
      </c>
      <c r="AA17" s="124">
        <f>(Trend!Z5+Trend!Z10+Trend!Z12)/Financials!Y6</f>
        <v>0.40174434874865067</v>
      </c>
      <c r="AB17" s="124">
        <f>(Trend!AA5+Trend!AA10+Trend!AA12)/Financials!Z6</f>
        <v>0.36192965040303249</v>
      </c>
      <c r="AC17" s="124">
        <f>(Trend!AB5+Trend!AB10+Trend!AB12)/Financials!AA6</f>
        <v>0.13345778547624346</v>
      </c>
      <c r="AD17" s="124">
        <f>(Trend!AC5+Trend!AC10+Trend!AC12)/Financials!AB6</f>
        <v>0.11114869658773854</v>
      </c>
      <c r="AE17" s="124">
        <f>(Trend!AD5+Trend!AD10+Trend!AD12)/Financials!AC6</f>
        <v>0.28987979819324811</v>
      </c>
    </row>
    <row r="18" spans="1:31" s="1" customFormat="1" ht="15.75">
      <c r="A18" s="425"/>
      <c r="B18" s="428"/>
      <c r="C18" s="126" t="s">
        <v>284</v>
      </c>
      <c r="D18" s="121" t="s">
        <v>285</v>
      </c>
      <c r="E18" s="124" t="e">
        <f>Financials!C9/Financials!C5</f>
        <v>#DIV/0!</v>
      </c>
      <c r="F18" s="124" t="e">
        <f>Financials!D9/Financials!D5</f>
        <v>#DIV/0!</v>
      </c>
      <c r="G18" s="124" t="e">
        <f>Financials!E9/Financials!E5</f>
        <v>#DIV/0!</v>
      </c>
      <c r="H18" s="124" t="e">
        <f>Financials!F9/Financials!F5</f>
        <v>#DIV/0!</v>
      </c>
      <c r="I18" s="124" t="e">
        <f>Financials!G9/Financials!G5</f>
        <v>#DIV/0!</v>
      </c>
      <c r="J18" s="124" t="e">
        <f>Financials!H9/Financials!H5</f>
        <v>#DIV/0!</v>
      </c>
      <c r="K18" s="124">
        <f>Financials!I9/Financials!I5</f>
        <v>0.19592307717777693</v>
      </c>
      <c r="L18" s="124">
        <f>Financials!J9/Financials!J5</f>
        <v>2.5622014422766778E-2</v>
      </c>
      <c r="M18" s="124">
        <f>Financials!K9/Financials!K5</f>
        <v>2.3401638670912432E-2</v>
      </c>
      <c r="N18" s="124">
        <f>Financials!L9/Financials!L5</f>
        <v>2.1379403427648869E-2</v>
      </c>
      <c r="O18" s="124">
        <f>Financials!M9/Financials!M5</f>
        <v>1.9795591250126188E-2</v>
      </c>
      <c r="P18" s="124">
        <f>Financials!N9/Financials!N5</f>
        <v>1.8174227022748127E-2</v>
      </c>
      <c r="Q18" s="124">
        <f>Financials!O9/Financials!O5</f>
        <v>1.6320061085126941E-2</v>
      </c>
      <c r="R18" s="124">
        <f>Financials!P9/Financials!P5</f>
        <v>1.4299384051543886E-2</v>
      </c>
      <c r="S18" s="124">
        <f>Financials!Q9/Financials!Q5</f>
        <v>1.3942323375292156E-2</v>
      </c>
      <c r="T18" s="124">
        <f>Financials!R9/Financials!R5</f>
        <v>1.3030888002996144E-2</v>
      </c>
      <c r="U18" s="124">
        <f>Financials!S9/Financials!S5</f>
        <v>1.1998502142412118E-2</v>
      </c>
      <c r="V18" s="124">
        <f>Financials!T9/Financials!T5</f>
        <v>1.1185764067322716E-2</v>
      </c>
      <c r="W18" s="124">
        <f>Financials!U9/Financials!U5</f>
        <v>1.0595623186161697E-2</v>
      </c>
      <c r="X18" s="124">
        <f>Financials!V9/Financials!V5</f>
        <v>9.9069250652289095E-3</v>
      </c>
      <c r="Y18" s="124">
        <f>Financials!W9/Financials!W5</f>
        <v>9.9054494440832461E-3</v>
      </c>
      <c r="Z18" s="124">
        <f>Financials!X9/Financials!X5</f>
        <v>9.4173268404359016E-3</v>
      </c>
      <c r="AA18" s="124">
        <f>Financials!Y9/Financials!Y5</f>
        <v>8.8438080529654444E-3</v>
      </c>
      <c r="AB18" s="124">
        <f>Financials!Z9/Financials!Z5</f>
        <v>8.5204629323745763E-3</v>
      </c>
      <c r="AC18" s="124">
        <f>Financials!AA9/Financials!AA5</f>
        <v>8.1091410759654512E-3</v>
      </c>
      <c r="AD18" s="124">
        <f>Financials!AB9/Financials!AB5</f>
        <v>7.6828345484151956E-3</v>
      </c>
      <c r="AE18" s="124">
        <f>Financials!AC9/Financials!AC5</f>
        <v>7.2382790376936401E-3</v>
      </c>
    </row>
    <row r="19" spans="1:31" s="1" customFormat="1" ht="15.75">
      <c r="A19" s="425"/>
      <c r="B19" s="428"/>
      <c r="C19" s="126" t="s">
        <v>286</v>
      </c>
      <c r="D19" s="126"/>
      <c r="E19" s="124" t="e">
        <f>(Trend!C5+Trend!C13)/Trend!C27</f>
        <v>#DIV/0!</v>
      </c>
      <c r="F19" s="124" t="e">
        <f>(Trend!D5+Trend!D13)/Trend!D27</f>
        <v>#DIV/0!</v>
      </c>
      <c r="G19" s="124" t="e">
        <f>Financials!E37/Financials!E5</f>
        <v>#DIV/0!</v>
      </c>
      <c r="H19" s="124" t="e">
        <f>Financials!F37/Financials!F5</f>
        <v>#DIV/0!</v>
      </c>
      <c r="I19" s="124" t="e">
        <f>Financials!G37/Financials!G5</f>
        <v>#DIV/0!</v>
      </c>
      <c r="J19" s="124" t="e">
        <f>Financials!H37/Financials!H5</f>
        <v>#DIV/0!</v>
      </c>
      <c r="K19" s="124">
        <f>Financials!I37/Financials!I5</f>
        <v>0.81837856294850753</v>
      </c>
      <c r="L19" s="124">
        <f>Financials!J37/Financials!J5</f>
        <v>0.49847307844838618</v>
      </c>
      <c r="M19" s="124">
        <f>Financials!K37/Financials!K5</f>
        <v>0.41346893896297443</v>
      </c>
      <c r="N19" s="124">
        <f>Financials!L37/Financials!L5</f>
        <v>0.29562249464849394</v>
      </c>
      <c r="O19" s="124">
        <f>Financials!M37/Financials!M5</f>
        <v>0.44535132403431249</v>
      </c>
      <c r="P19" s="124">
        <f>Financials!N37/Financials!N5</f>
        <v>0.3940006091519766</v>
      </c>
      <c r="Q19" s="124">
        <f>Financials!O37/Financials!O5</f>
        <v>0.37334545692753263</v>
      </c>
      <c r="R19" s="124">
        <f>Financials!P37/Financials!P5</f>
        <v>0.3362218065046822</v>
      </c>
      <c r="S19" s="124">
        <f>Financials!Q37/Financials!Q5</f>
        <v>0.18203201532600496</v>
      </c>
      <c r="T19" s="124">
        <f>Financials!R37/Financials!R5</f>
        <v>0.39185271094214924</v>
      </c>
      <c r="U19" s="124">
        <f>Financials!S37/Financials!S5</f>
        <v>0.36068093061735179</v>
      </c>
      <c r="V19" s="124">
        <f>Financials!T37/Financials!T5</f>
        <v>0.34372371475886504</v>
      </c>
      <c r="W19" s="124">
        <f>Financials!U37/Financials!U5</f>
        <v>0.31830324362202173</v>
      </c>
      <c r="X19" s="124">
        <f>Financials!V37/Financials!V5</f>
        <v>0.10317202883724472</v>
      </c>
      <c r="Y19" s="124">
        <f>Financials!W37/Financials!W5</f>
        <v>0.14087825183659639</v>
      </c>
      <c r="Z19" s="124">
        <f>Financials!X37/Financials!X5</f>
        <v>0.28589519896801813</v>
      </c>
      <c r="AA19" s="124">
        <f>Financials!Y37/Financials!Y5</f>
        <v>0.27280936327739791</v>
      </c>
      <c r="AB19" s="124">
        <f>Financials!Z37/Financials!Z5</f>
        <v>0.22577474404671366</v>
      </c>
      <c r="AC19" s="124">
        <f>Financials!AA37/Financials!AA5</f>
        <v>8.139595246935015E-2</v>
      </c>
      <c r="AD19" s="124">
        <f>Financials!AB37/Financials!AB5</f>
        <v>6.5734849909414653E-2</v>
      </c>
      <c r="AE19" s="124">
        <f>Financials!AC37/Financials!AC5</f>
        <v>0.19786020917983527</v>
      </c>
    </row>
    <row r="20" spans="1:31" s="1" customFormat="1" ht="15.75">
      <c r="A20" s="425"/>
      <c r="B20" s="126"/>
      <c r="C20" s="126"/>
      <c r="D20" s="121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</row>
    <row r="21" spans="1:31" s="1" customFormat="1" ht="15.75">
      <c r="A21" s="425"/>
      <c r="B21" s="428" t="s">
        <v>287</v>
      </c>
      <c r="C21" s="126" t="s">
        <v>288</v>
      </c>
      <c r="D21" s="121" t="s">
        <v>289</v>
      </c>
      <c r="E21" s="124" t="e">
        <f>Financials!C41/Financials!C5</f>
        <v>#DIV/0!</v>
      </c>
      <c r="F21" s="124" t="e">
        <f>Financials!D41/Financials!D5</f>
        <v>#DIV/0!</v>
      </c>
      <c r="G21" s="124" t="e">
        <f>Financials!E41/Financials!E5</f>
        <v>#DIV/0!</v>
      </c>
      <c r="H21" s="124" t="e">
        <f>Financials!F41/Financials!F5</f>
        <v>#DIV/0!</v>
      </c>
      <c r="I21" s="124" t="e">
        <f>Financials!G41/Financials!G5</f>
        <v>#DIV/0!</v>
      </c>
      <c r="J21" s="124" t="e">
        <f>Financials!H41/Financials!H5</f>
        <v>#DIV/0!</v>
      </c>
      <c r="K21" s="124">
        <f>Financials!I41/Financials!I5</f>
        <v>0</v>
      </c>
      <c r="L21" s="124">
        <f>Financials!J41/Financials!J5</f>
        <v>0</v>
      </c>
      <c r="M21" s="124">
        <f>Financials!K41/Financials!K5</f>
        <v>0</v>
      </c>
      <c r="N21" s="124">
        <f>Financials!L41/Financials!L5</f>
        <v>0</v>
      </c>
      <c r="O21" s="124">
        <f>Financials!M41/Financials!M5</f>
        <v>0</v>
      </c>
      <c r="P21" s="124">
        <f>Financials!N41/Financials!N5</f>
        <v>0</v>
      </c>
      <c r="Q21" s="124">
        <f>Financials!O41/Financials!O5</f>
        <v>0</v>
      </c>
      <c r="R21" s="124">
        <f>Financials!P41/Financials!P5</f>
        <v>0</v>
      </c>
      <c r="S21" s="124">
        <f>Financials!Q41/Financials!Q5</f>
        <v>0</v>
      </c>
      <c r="T21" s="124">
        <f>Financials!R41/Financials!R5</f>
        <v>0</v>
      </c>
      <c r="U21" s="124">
        <f>Financials!S41/Financials!S5</f>
        <v>0</v>
      </c>
      <c r="V21" s="124">
        <f>Financials!T41/Financials!T5</f>
        <v>0</v>
      </c>
      <c r="W21" s="124">
        <f>Financials!U41/Financials!U5</f>
        <v>0</v>
      </c>
      <c r="X21" s="124">
        <f>Financials!V41/Financials!V5</f>
        <v>0</v>
      </c>
      <c r="Y21" s="124">
        <f>Financials!W41/Financials!W5</f>
        <v>0</v>
      </c>
      <c r="Z21" s="124">
        <f>Financials!X41/Financials!X5</f>
        <v>0</v>
      </c>
      <c r="AA21" s="124">
        <f>Financials!Y41/Financials!Y5</f>
        <v>0</v>
      </c>
      <c r="AB21" s="124">
        <f>Financials!Z41/Financials!Z5</f>
        <v>0</v>
      </c>
      <c r="AC21" s="124">
        <f>Financials!AA41/Financials!AA5</f>
        <v>0</v>
      </c>
      <c r="AD21" s="124">
        <f>Financials!AB41/Financials!AB5</f>
        <v>0</v>
      </c>
      <c r="AE21" s="124">
        <f>Financials!AC41/Financials!AC5</f>
        <v>0</v>
      </c>
    </row>
    <row r="22" spans="1:31" s="1" customFormat="1" ht="15.75">
      <c r="A22" s="425"/>
      <c r="B22" s="428"/>
      <c r="C22" s="126" t="s">
        <v>290</v>
      </c>
      <c r="D22" s="121" t="s">
        <v>291</v>
      </c>
      <c r="E22" s="124" t="e">
        <f>Financials!C26/Financials!C13</f>
        <v>#DIV/0!</v>
      </c>
      <c r="F22" s="124" t="e">
        <f>Financials!D26/Financials!D13</f>
        <v>#DIV/0!</v>
      </c>
      <c r="G22" s="124" t="e">
        <f>Financials!E26/Financials!E13</f>
        <v>#DIV/0!</v>
      </c>
      <c r="H22" s="124" t="e">
        <f>Financials!F26/Financials!F13</f>
        <v>#DIV/0!</v>
      </c>
      <c r="I22" s="124" t="e">
        <f>Financials!G26/Financials!G13</f>
        <v>#DIV/0!</v>
      </c>
      <c r="J22" s="124" t="e">
        <f>Financials!H26/Financials!H13</f>
        <v>#DIV/0!</v>
      </c>
      <c r="K22" s="124">
        <f>Financials!I26/Financials!I13</f>
        <v>0.19676284585423537</v>
      </c>
      <c r="L22" s="124">
        <f>Financials!J26/Financials!J13</f>
        <v>6.7457721328496978E-2</v>
      </c>
      <c r="M22" s="124">
        <f>Financials!K26/Financials!K13</f>
        <v>0.53005875660679147</v>
      </c>
      <c r="N22" s="124">
        <f>Financials!L26/Financials!L13</f>
        <v>0.50043319307420508</v>
      </c>
      <c r="O22" s="124">
        <f>Financials!M26/Financials!M13</f>
        <v>0.21622254041238284</v>
      </c>
      <c r="P22" s="124">
        <f>Financials!N26/Financials!N13</f>
        <v>0.21301428578067311</v>
      </c>
      <c r="Q22" s="124">
        <f>Financials!O26/Financials!O13</f>
        <v>0.39234515369526413</v>
      </c>
      <c r="R22" s="124">
        <f>Financials!P26/Financials!P13</f>
        <v>0.35715719197494572</v>
      </c>
      <c r="S22" s="124">
        <f>Financials!Q26/Financials!Q13</f>
        <v>0.16338738369922762</v>
      </c>
      <c r="T22" s="124">
        <f>Financials!R26/Financials!R13</f>
        <v>0.1560165150331205</v>
      </c>
      <c r="U22" s="124">
        <f>Financials!S26/Financials!S13</f>
        <v>0.24987659301405363</v>
      </c>
      <c r="V22" s="124">
        <f>Financials!T26/Financials!T13</f>
        <v>0.23297137088128486</v>
      </c>
      <c r="W22" s="124">
        <f>Financials!U26/Financials!U13</f>
        <v>0.20129639029228791</v>
      </c>
      <c r="X22" s="124">
        <f>Financials!V26/Financials!V13</f>
        <v>0.19341976446196993</v>
      </c>
      <c r="Y22" s="124">
        <f>Financials!W26/Financials!W13</f>
        <v>0.10421524531760953</v>
      </c>
      <c r="Z22" s="124">
        <f>Financials!X26/Financials!X13</f>
        <v>0.22313456318836153</v>
      </c>
      <c r="AA22" s="124">
        <f>Financials!Y26/Financials!Y13</f>
        <v>0.20635808028007105</v>
      </c>
      <c r="AB22" s="124">
        <f>Financials!Z26/Financials!Z13</f>
        <v>0.16577793909980074</v>
      </c>
      <c r="AC22" s="124">
        <f>Financials!AA26/Financials!AA13</f>
        <v>6.7430885752658529E-2</v>
      </c>
      <c r="AD22" s="124">
        <f>Financials!AB26/Financials!AB13</f>
        <v>6.2818064500424278E-2</v>
      </c>
      <c r="AE22" s="124">
        <f>Financials!AC26/Financials!AC13</f>
        <v>5.9678311613712141E-2</v>
      </c>
    </row>
    <row r="23" spans="1:31" s="1" customFormat="1" ht="15.75">
      <c r="A23" s="425"/>
      <c r="B23" s="428"/>
      <c r="C23" s="126" t="s">
        <v>292</v>
      </c>
      <c r="D23" s="121" t="s">
        <v>289</v>
      </c>
      <c r="E23" s="124" t="e">
        <f>Financials!C26/Financials!C6</f>
        <v>#DIV/0!</v>
      </c>
      <c r="F23" s="124" t="e">
        <f>Financials!D26/Financials!D6</f>
        <v>#DIV/0!</v>
      </c>
      <c r="G23" s="124" t="e">
        <f>Financials!E26/Financials!E6</f>
        <v>#DIV/0!</v>
      </c>
      <c r="H23" s="124" t="e">
        <f>Financials!F26/Financials!F6</f>
        <v>#DIV/0!</v>
      </c>
      <c r="I23" s="124" t="e">
        <f>Financials!G26/Financials!G6</f>
        <v>#DIV/0!</v>
      </c>
      <c r="J23" s="124" t="e">
        <f>Financials!H26/Financials!H6</f>
        <v>#DIV/0!</v>
      </c>
      <c r="K23" s="124">
        <f>Financials!I26/Financials!I6</f>
        <v>3.4348748990052323E-2</v>
      </c>
      <c r="L23" s="124">
        <f>Financials!J26/Financials!J6</f>
        <v>1.0788281897726803E-2</v>
      </c>
      <c r="M23" s="124">
        <f>Financials!K26/Financials!K6</f>
        <v>5.8380255359380774E-2</v>
      </c>
      <c r="N23" s="124">
        <f>Financials!L26/Financials!L6</f>
        <v>5.3394274180781083E-2</v>
      </c>
      <c r="O23" s="124">
        <f>Financials!M26/Financials!M6</f>
        <v>5.5734622957630486E-2</v>
      </c>
      <c r="P23" s="124">
        <f>Financials!N26/Financials!N6</f>
        <v>5.0023806265521956E-2</v>
      </c>
      <c r="Q23" s="124">
        <f>Financials!O26/Financials!O6</f>
        <v>7.3255661736386826E-2</v>
      </c>
      <c r="R23" s="124">
        <f>Financials!P26/Financials!P6</f>
        <v>6.4053713140414956E-2</v>
      </c>
      <c r="S23" s="124">
        <f>Financials!Q26/Financials!Q6</f>
        <v>3.0916893331072958E-2</v>
      </c>
      <c r="T23" s="124">
        <f>Financials!R26/Financials!R6</f>
        <v>2.8698735797820278E-2</v>
      </c>
      <c r="U23" s="124">
        <f>Financials!S26/Financials!S6</f>
        <v>5.3426283958704079E-2</v>
      </c>
      <c r="V23" s="124">
        <f>Financials!T26/Financials!T6</f>
        <v>4.9582175307117872E-2</v>
      </c>
      <c r="W23" s="124">
        <f>Financials!U26/Financials!U6</f>
        <v>4.7369804667777217E-2</v>
      </c>
      <c r="X23" s="124">
        <f>Financials!V26/Financials!V6</f>
        <v>4.4165648076537001E-2</v>
      </c>
      <c r="Y23" s="124">
        <f>Financials!W26/Financials!W6</f>
        <v>2.2300488609783415E-2</v>
      </c>
      <c r="Z23" s="124">
        <f>Financials!X26/Financials!X6</f>
        <v>4.2400915088026542E-2</v>
      </c>
      <c r="AA23" s="124">
        <f>Financials!Y26/Financials!Y6</f>
        <v>3.9716343343225394E-2</v>
      </c>
      <c r="AB23" s="124">
        <f>Financials!Z26/Financials!Z6</f>
        <v>4.7347469213476982E-2</v>
      </c>
      <c r="AC23" s="124">
        <f>Financials!AA26/Financials!AA6</f>
        <v>1.8847534115589426E-2</v>
      </c>
      <c r="AD23" s="124">
        <f>Financials!AB26/Financials!AB6</f>
        <v>1.7899922173774587E-2</v>
      </c>
      <c r="AE23" s="124">
        <f>Financials!AC26/Financials!AC6</f>
        <v>1.6798750963015113E-2</v>
      </c>
    </row>
    <row r="24" spans="1:31" s="1" customFormat="1" ht="15.75">
      <c r="A24" s="425"/>
      <c r="B24" s="428"/>
      <c r="C24" s="126" t="s">
        <v>293</v>
      </c>
      <c r="D24" s="121"/>
      <c r="E24" s="124" t="e">
        <f>Financials!C32/Financials!C5</f>
        <v>#DIV/0!</v>
      </c>
      <c r="F24" s="124" t="e">
        <f>Financials!D32/Financials!D5</f>
        <v>#DIV/0!</v>
      </c>
      <c r="G24" s="124" t="e">
        <f>Financials!E32/Financials!E5</f>
        <v>#DIV/0!</v>
      </c>
      <c r="H24" s="125" t="e">
        <f>Financials!F32/Financials!F5</f>
        <v>#DIV/0!</v>
      </c>
      <c r="I24" s="124" t="e">
        <f>Financials!G32/Financials!G5</f>
        <v>#DIV/0!</v>
      </c>
      <c r="J24" s="124" t="e">
        <f>Financials!H32/Financials!H5</f>
        <v>#DIV/0!</v>
      </c>
      <c r="K24" s="124">
        <f>Financials!I32/Financials!I5</f>
        <v>0.14708793315275279</v>
      </c>
      <c r="L24" s="124">
        <f>Financials!J32/Financials!J5</f>
        <v>0.47224594508477608</v>
      </c>
      <c r="M24" s="124">
        <f>Financials!K32/Financials!K5</f>
        <v>0.4736009649868021</v>
      </c>
      <c r="N24" s="124">
        <f>Financials!L32/Financials!L5</f>
        <v>0.46612922152798053</v>
      </c>
      <c r="O24" s="124">
        <f>Financials!M32/Financials!M5</f>
        <v>0.47896012044785696</v>
      </c>
      <c r="P24" s="124">
        <f>Financials!N32/Financials!N5</f>
        <v>0.50152626879562656</v>
      </c>
      <c r="Q24" s="124">
        <f>Financials!O32/Financials!O5</f>
        <v>0.5124812602117379</v>
      </c>
      <c r="R24" s="124">
        <f>Financials!P32/Financials!P5</f>
        <v>0.50534724120558794</v>
      </c>
      <c r="S24" s="124">
        <f>Financials!Q32/Financials!Q5</f>
        <v>0.54788240669492994</v>
      </c>
      <c r="T24" s="124">
        <f>Financials!R32/Financials!R5</f>
        <v>0.57004488964326783</v>
      </c>
      <c r="U24" s="124">
        <f>Financials!S32/Financials!S5</f>
        <v>0.5848464711570075</v>
      </c>
      <c r="V24" s="124">
        <f>Financials!T32/Financials!T5</f>
        <v>0.60547505894820219</v>
      </c>
      <c r="W24" s="124">
        <f>Financials!U32/Financials!U5</f>
        <v>0.63429460969284179</v>
      </c>
      <c r="X24" s="124">
        <f>Financials!V32/Financials!V5</f>
        <v>0.64919296622777756</v>
      </c>
      <c r="Y24" s="124">
        <f>Financials!W32/Financials!W5</f>
        <v>0.64910805599601151</v>
      </c>
      <c r="Z24" s="124">
        <f>Financials!X32/Financials!X5</f>
        <v>0.67703539620579323</v>
      </c>
      <c r="AA24" s="124">
        <f>Financials!Y32/Financials!Y5</f>
        <v>0.69340974992739068</v>
      </c>
      <c r="AB24" s="124">
        <f>Financials!Z32/Financials!Z5</f>
        <v>0.73687861887937378</v>
      </c>
      <c r="AC24" s="124">
        <f>Financials!AA32/Financials!AA5</f>
        <v>0.75839919288989266</v>
      </c>
      <c r="AD24" s="124">
        <f>Financials!AB32/Financials!AB5</f>
        <v>0.77631175465520297</v>
      </c>
      <c r="AE24" s="124">
        <f>Financials!AC32/Financials!AC5</f>
        <v>0.79215513386528902</v>
      </c>
    </row>
    <row r="25" spans="1:31" s="1" customFormat="1" ht="15.75">
      <c r="A25" s="425"/>
      <c r="B25" s="428"/>
      <c r="C25" s="126" t="s">
        <v>294</v>
      </c>
      <c r="D25" s="126" t="s">
        <v>295</v>
      </c>
      <c r="E25" s="124" t="e">
        <f>Financials!C39/Financials!C5</f>
        <v>#DIV/0!</v>
      </c>
      <c r="F25" s="125" t="e">
        <f>Financials!D39/Financials!D5</f>
        <v>#DIV/0!</v>
      </c>
      <c r="G25" s="125" t="e">
        <f>Financials!E39/Financials!E5</f>
        <v>#DIV/0!</v>
      </c>
      <c r="H25" s="125" t="e">
        <f>Financials!F39/Financials!F5</f>
        <v>#DIV/0!</v>
      </c>
      <c r="I25" s="125" t="e">
        <f>Financials!G39/Financials!G5</f>
        <v>#DIV/0!</v>
      </c>
      <c r="J25" s="125" t="e">
        <f>Financials!H39/Financials!H5</f>
        <v>#DIV/0!</v>
      </c>
      <c r="K25" s="125">
        <f>Financials!I39/Financials!I5</f>
        <v>1.276427310120894E-2</v>
      </c>
      <c r="L25" s="125">
        <f>Financials!J39/Financials!J5</f>
        <v>2.0740304992582177E-2</v>
      </c>
      <c r="M25" s="125">
        <f>Financials!K39/Financials!K5</f>
        <v>1.9329261803540276E-2</v>
      </c>
      <c r="N25" s="125">
        <f>Financials!L39/Financials!L5</f>
        <v>0.15369536445329918</v>
      </c>
      <c r="O25" s="125">
        <f>Financials!M39/Financials!M5</f>
        <v>4.0808912914975175E-4</v>
      </c>
      <c r="P25" s="125">
        <f>Financials!N39/Financials!N5</f>
        <v>1.2690608556051718E-3</v>
      </c>
      <c r="Q25" s="125">
        <f>Financials!O39/Financials!O5</f>
        <v>2.043910899210577E-3</v>
      </c>
      <c r="R25" s="125">
        <f>Financials!P39/Financials!P5</f>
        <v>5.7083980512373483E-2</v>
      </c>
      <c r="S25" s="125">
        <f>Financials!Q39/Financials!Q5</f>
        <v>0.22931812111709454</v>
      </c>
      <c r="T25" s="125">
        <f>Financials!R39/Financials!R5</f>
        <v>2.6702404083771641E-3</v>
      </c>
      <c r="U25" s="125">
        <f>Financials!S39/Financials!S5</f>
        <v>3.3520510758389467E-3</v>
      </c>
      <c r="V25" s="125">
        <f>Financials!T39/Financials!T5</f>
        <v>4.4483316899192674E-3</v>
      </c>
      <c r="W25" s="125">
        <f>Financials!U39/Financials!U5</f>
        <v>4.8071812014037667E-3</v>
      </c>
      <c r="X25" s="125">
        <f>Financials!V39/Financials!V5</f>
        <v>0.208583075245934</v>
      </c>
      <c r="Y25" s="125">
        <f>Financials!W39/Financials!W5</f>
        <v>0.20844182479073226</v>
      </c>
      <c r="Z25" s="125">
        <f>Financials!X39/Financials!X5</f>
        <v>1.9250897015931916E-3</v>
      </c>
      <c r="AA25" s="125">
        <f>Financials!Y39/Financials!Y5</f>
        <v>2.1515991892179301E-3</v>
      </c>
      <c r="AB25" s="125">
        <f>Financials!Z39/Financials!Z5</f>
        <v>2.4884360906957032E-3</v>
      </c>
      <c r="AC25" s="125">
        <f>Financials!AA39/Financials!AA5</f>
        <v>0.1480617714680382</v>
      </c>
      <c r="AD25" s="125">
        <f>Financials!AB39/Financials!AB5</f>
        <v>0.14815370708167622</v>
      </c>
      <c r="AE25" s="125">
        <f>Financials!AC39/Financials!AC5</f>
        <v>2.3545087721456872E-3</v>
      </c>
    </row>
    <row r="26" spans="1:31" s="1" customFormat="1" ht="12.75">
      <c r="A26" s="127"/>
      <c r="B26" s="127"/>
      <c r="C26" s="127"/>
      <c r="D26" s="128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</row>
    <row r="27" spans="1:31" s="1" customFormat="1" ht="12.75">
      <c r="A27" s="127"/>
      <c r="B27" s="127"/>
      <c r="C27" s="127"/>
      <c r="D27" s="128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</row>
    <row r="28" spans="1:31" s="1" customFormat="1" ht="12.75">
      <c r="A28" s="425" t="s">
        <v>296</v>
      </c>
      <c r="B28" s="426" t="s">
        <v>297</v>
      </c>
      <c r="C28" s="129" t="s">
        <v>268</v>
      </c>
      <c r="D28" s="128" t="s">
        <v>269</v>
      </c>
      <c r="E28" s="127">
        <f t="shared" ref="E28:J28" si="0">IF(E3&gt;10,1,5)</f>
        <v>5</v>
      </c>
      <c r="F28" s="127">
        <f t="shared" si="0"/>
        <v>5</v>
      </c>
      <c r="G28" s="127">
        <f t="shared" si="0"/>
        <v>5</v>
      </c>
      <c r="H28" s="127">
        <f t="shared" si="0"/>
        <v>5</v>
      </c>
      <c r="I28" s="127">
        <f t="shared" si="0"/>
        <v>5</v>
      </c>
      <c r="J28" s="127">
        <f t="shared" si="0"/>
        <v>5</v>
      </c>
      <c r="K28" s="127">
        <f>IF(K3&gt;10,1,5)</f>
        <v>1</v>
      </c>
      <c r="L28" s="127">
        <f t="shared" ref="L28:Y28" si="1">IF(L3&gt;10,1,5)</f>
        <v>1</v>
      </c>
      <c r="M28" s="127">
        <f t="shared" si="1"/>
        <v>1</v>
      </c>
      <c r="N28" s="127">
        <f t="shared" si="1"/>
        <v>1</v>
      </c>
      <c r="O28" s="127">
        <f t="shared" si="1"/>
        <v>1</v>
      </c>
      <c r="P28" s="127">
        <f t="shared" si="1"/>
        <v>1</v>
      </c>
      <c r="Q28" s="127">
        <f t="shared" si="1"/>
        <v>1</v>
      </c>
      <c r="R28" s="127">
        <f t="shared" si="1"/>
        <v>1</v>
      </c>
      <c r="S28" s="127">
        <f t="shared" si="1"/>
        <v>1</v>
      </c>
      <c r="T28" s="127">
        <f t="shared" si="1"/>
        <v>1</v>
      </c>
      <c r="U28" s="127">
        <f t="shared" si="1"/>
        <v>1</v>
      </c>
      <c r="V28" s="127">
        <f t="shared" si="1"/>
        <v>1</v>
      </c>
      <c r="W28" s="127">
        <f t="shared" si="1"/>
        <v>1</v>
      </c>
      <c r="X28" s="127">
        <f t="shared" si="1"/>
        <v>1</v>
      </c>
      <c r="Y28" s="127">
        <f t="shared" ref="Y28:AE28" si="2">IF(Y3&gt;10,1,5)</f>
        <v>1</v>
      </c>
      <c r="Z28" s="127">
        <f t="shared" si="2"/>
        <v>1</v>
      </c>
      <c r="AA28" s="127">
        <f t="shared" si="2"/>
        <v>1</v>
      </c>
      <c r="AB28" s="127">
        <f t="shared" si="2"/>
        <v>1</v>
      </c>
      <c r="AC28" s="127">
        <f t="shared" si="2"/>
        <v>1</v>
      </c>
      <c r="AD28" s="127">
        <f t="shared" si="2"/>
        <v>1</v>
      </c>
      <c r="AE28" s="127">
        <f t="shared" si="2"/>
        <v>1</v>
      </c>
    </row>
    <row r="29" spans="1:31" s="1" customFormat="1" ht="12.75">
      <c r="A29" s="425"/>
      <c r="B29" s="426"/>
      <c r="C29" s="130" t="s">
        <v>270</v>
      </c>
      <c r="D29" s="128" t="s">
        <v>271</v>
      </c>
      <c r="E29" s="127" t="e">
        <f t="shared" ref="E29:J29" si="3">IF(E4&gt;20%,1,IF(E4&gt;15,2,IF(E4&gt;12,3,IF(E4&gt;10,4,5))))</f>
        <v>#DIV/0!</v>
      </c>
      <c r="F29" s="127" t="e">
        <f t="shared" si="3"/>
        <v>#DIV/0!</v>
      </c>
      <c r="G29" s="127" t="e">
        <f t="shared" si="3"/>
        <v>#DIV/0!</v>
      </c>
      <c r="H29" s="127" t="e">
        <f t="shared" si="3"/>
        <v>#DIV/0!</v>
      </c>
      <c r="I29" s="127" t="e">
        <f t="shared" si="3"/>
        <v>#DIV/0!</v>
      </c>
      <c r="J29" s="127" t="e">
        <f t="shared" si="3"/>
        <v>#DIV/0!</v>
      </c>
      <c r="K29" s="127">
        <f>IF(K4&gt;20%,1,IF(K4&gt;15,2,IF(K4&gt;12,3,IF(K4&gt;10,4,5))))</f>
        <v>5</v>
      </c>
      <c r="L29" s="127">
        <f t="shared" ref="L29:Y29" si="4">IF(L4&gt;20%,1,IF(L4&gt;15,2,IF(L4&gt;12,3,IF(L4&gt;10,4,5))))</f>
        <v>5</v>
      </c>
      <c r="M29" s="127">
        <f t="shared" si="4"/>
        <v>5</v>
      </c>
      <c r="N29" s="127">
        <f t="shared" si="4"/>
        <v>5</v>
      </c>
      <c r="O29" s="127">
        <f t="shared" si="4"/>
        <v>5</v>
      </c>
      <c r="P29" s="127">
        <f t="shared" si="4"/>
        <v>5</v>
      </c>
      <c r="Q29" s="127">
        <f t="shared" si="4"/>
        <v>5</v>
      </c>
      <c r="R29" s="127">
        <f t="shared" si="4"/>
        <v>5</v>
      </c>
      <c r="S29" s="127">
        <f t="shared" si="4"/>
        <v>5</v>
      </c>
      <c r="T29" s="127">
        <f t="shared" si="4"/>
        <v>5</v>
      </c>
      <c r="U29" s="127">
        <f t="shared" si="4"/>
        <v>5</v>
      </c>
      <c r="V29" s="127">
        <f t="shared" si="4"/>
        <v>5</v>
      </c>
      <c r="W29" s="127">
        <f t="shared" si="4"/>
        <v>5</v>
      </c>
      <c r="X29" s="127">
        <f t="shared" si="4"/>
        <v>5</v>
      </c>
      <c r="Y29" s="127">
        <f t="shared" ref="Y29:AE29" si="5">IF(Y4&gt;20%,1,IF(Y4&gt;15,2,IF(Y4&gt;12,3,IF(Y4&gt;10,4,5))))</f>
        <v>5</v>
      </c>
      <c r="Z29" s="127">
        <f t="shared" si="5"/>
        <v>5</v>
      </c>
      <c r="AA29" s="127">
        <f t="shared" si="5"/>
        <v>5</v>
      </c>
      <c r="AB29" s="127">
        <f t="shared" si="5"/>
        <v>1</v>
      </c>
      <c r="AC29" s="127">
        <f t="shared" si="5"/>
        <v>1</v>
      </c>
      <c r="AD29" s="127">
        <f t="shared" si="5"/>
        <v>1</v>
      </c>
      <c r="AE29" s="127">
        <f t="shared" si="5"/>
        <v>1</v>
      </c>
    </row>
    <row r="30" spans="1:31" s="1" customFormat="1" ht="12.75">
      <c r="A30" s="425"/>
      <c r="B30" s="426"/>
      <c r="C30" s="130" t="s">
        <v>272</v>
      </c>
      <c r="D30" s="128" t="s">
        <v>273</v>
      </c>
      <c r="E30" s="127" t="e">
        <f t="shared" ref="E30:J30" si="6">IF(E5&gt;15,1,IF(E5&gt;12,2,IF(E5&gt;10,3,IF(E5&gt;8,4,5))))</f>
        <v>#DIV/0!</v>
      </c>
      <c r="F30" s="127" t="e">
        <f t="shared" si="6"/>
        <v>#DIV/0!</v>
      </c>
      <c r="G30" s="127" t="e">
        <f t="shared" si="6"/>
        <v>#DIV/0!</v>
      </c>
      <c r="H30" s="127" t="e">
        <f t="shared" si="6"/>
        <v>#DIV/0!</v>
      </c>
      <c r="I30" s="127" t="e">
        <f t="shared" si="6"/>
        <v>#DIV/0!</v>
      </c>
      <c r="J30" s="127" t="e">
        <f t="shared" si="6"/>
        <v>#DIV/0!</v>
      </c>
      <c r="K30" s="127">
        <f>IF(K5&gt;15,1,IF(K5&gt;12,2,IF(K5&gt;10,3,IF(K5&gt;8,4,5))))</f>
        <v>5</v>
      </c>
      <c r="L30" s="127">
        <f t="shared" ref="L30:Y30" si="7">IF(L5&gt;15,1,IF(L5&gt;12,2,IF(L5&gt;10,3,IF(L5&gt;8,4,5))))</f>
        <v>5</v>
      </c>
      <c r="M30" s="127">
        <f t="shared" si="7"/>
        <v>5</v>
      </c>
      <c r="N30" s="127">
        <f t="shared" si="7"/>
        <v>5</v>
      </c>
      <c r="O30" s="127">
        <f t="shared" si="7"/>
        <v>5</v>
      </c>
      <c r="P30" s="127">
        <f t="shared" si="7"/>
        <v>5</v>
      </c>
      <c r="Q30" s="127">
        <f t="shared" si="7"/>
        <v>5</v>
      </c>
      <c r="R30" s="127">
        <f t="shared" si="7"/>
        <v>5</v>
      </c>
      <c r="S30" s="127">
        <f t="shared" si="7"/>
        <v>5</v>
      </c>
      <c r="T30" s="127">
        <f t="shared" si="7"/>
        <v>5</v>
      </c>
      <c r="U30" s="127">
        <f t="shared" si="7"/>
        <v>5</v>
      </c>
      <c r="V30" s="127">
        <f t="shared" si="7"/>
        <v>5</v>
      </c>
      <c r="W30" s="127">
        <f t="shared" si="7"/>
        <v>5</v>
      </c>
      <c r="X30" s="127">
        <f t="shared" si="7"/>
        <v>5</v>
      </c>
      <c r="Y30" s="127">
        <f t="shared" ref="Y30:AE30" si="8">IF(Y5&gt;15,1,IF(Y5&gt;12,2,IF(Y5&gt;10,3,IF(Y5&gt;8,4,5))))</f>
        <v>5</v>
      </c>
      <c r="Z30" s="127">
        <f t="shared" si="8"/>
        <v>5</v>
      </c>
      <c r="AA30" s="127">
        <f t="shared" si="8"/>
        <v>5</v>
      </c>
      <c r="AB30" s="127">
        <f t="shared" si="8"/>
        <v>5</v>
      </c>
      <c r="AC30" s="127">
        <f t="shared" si="8"/>
        <v>5</v>
      </c>
      <c r="AD30" s="127">
        <f t="shared" si="8"/>
        <v>5</v>
      </c>
      <c r="AE30" s="127">
        <f t="shared" si="8"/>
        <v>5</v>
      </c>
    </row>
    <row r="31" spans="1:31" s="1" customFormat="1" ht="12.75">
      <c r="A31" s="425"/>
      <c r="B31" s="426"/>
      <c r="C31" s="130" t="s">
        <v>274</v>
      </c>
      <c r="D31" s="128" t="s">
        <v>273</v>
      </c>
      <c r="E31" s="127" t="e">
        <f t="shared" ref="E31:J31" si="9">IF(E6&gt;20%,1,IF(E6&gt;12%,2,IF(E6&gt;10%,3,IF(E6&gt;8%,4,5))))</f>
        <v>#DIV/0!</v>
      </c>
      <c r="F31" s="127" t="e">
        <f t="shared" si="9"/>
        <v>#DIV/0!</v>
      </c>
      <c r="G31" s="127" t="e">
        <f t="shared" si="9"/>
        <v>#DIV/0!</v>
      </c>
      <c r="H31" s="127" t="e">
        <f t="shared" si="9"/>
        <v>#DIV/0!</v>
      </c>
      <c r="I31" s="127" t="e">
        <f t="shared" si="9"/>
        <v>#DIV/0!</v>
      </c>
      <c r="J31" s="127" t="e">
        <f t="shared" si="9"/>
        <v>#DIV/0!</v>
      </c>
      <c r="K31" s="127">
        <f>IF(K6&gt;20%,1,IF(K6&gt;12%,2,IF(K6&gt;10%,3,IF(K6&gt;8%,4,5))))</f>
        <v>2</v>
      </c>
      <c r="L31" s="127">
        <f t="shared" ref="L31:Y31" si="10">IF(L6&gt;20%,1,IF(L6&gt;12%,2,IF(L6&gt;10%,3,IF(L6&gt;8%,4,5))))</f>
        <v>2</v>
      </c>
      <c r="M31" s="127">
        <f t="shared" si="10"/>
        <v>3</v>
      </c>
      <c r="N31" s="127">
        <f t="shared" si="10"/>
        <v>3</v>
      </c>
      <c r="O31" s="127">
        <f t="shared" si="10"/>
        <v>1</v>
      </c>
      <c r="P31" s="127">
        <f t="shared" si="10"/>
        <v>1</v>
      </c>
      <c r="Q31" s="127">
        <f t="shared" si="10"/>
        <v>2</v>
      </c>
      <c r="R31" s="127">
        <f t="shared" si="10"/>
        <v>2</v>
      </c>
      <c r="S31" s="127">
        <f t="shared" si="10"/>
        <v>2</v>
      </c>
      <c r="T31" s="127">
        <f t="shared" si="10"/>
        <v>2</v>
      </c>
      <c r="U31" s="127">
        <f t="shared" si="10"/>
        <v>1</v>
      </c>
      <c r="V31" s="127">
        <f t="shared" si="10"/>
        <v>1</v>
      </c>
      <c r="W31" s="127">
        <f t="shared" si="10"/>
        <v>1</v>
      </c>
      <c r="X31" s="127">
        <f t="shared" si="10"/>
        <v>1</v>
      </c>
      <c r="Y31" s="127">
        <f t="shared" ref="Y31:AE31" si="11">IF(Y6&gt;20%,1,IF(Y6&gt;12%,2,IF(Y6&gt;10%,3,IF(Y6&gt;8%,4,5))))</f>
        <v>1</v>
      </c>
      <c r="Z31" s="127">
        <f t="shared" si="11"/>
        <v>2</v>
      </c>
      <c r="AA31" s="127">
        <f t="shared" si="11"/>
        <v>2</v>
      </c>
      <c r="AB31" s="127">
        <f t="shared" si="11"/>
        <v>1</v>
      </c>
      <c r="AC31" s="127">
        <f t="shared" si="11"/>
        <v>1</v>
      </c>
      <c r="AD31" s="127">
        <f t="shared" si="11"/>
        <v>1</v>
      </c>
      <c r="AE31" s="127">
        <f t="shared" si="11"/>
        <v>1</v>
      </c>
    </row>
    <row r="32" spans="1:31" s="1" customFormat="1" ht="12.75">
      <c r="A32" s="425"/>
      <c r="B32" s="426"/>
      <c r="C32" s="130" t="s">
        <v>275</v>
      </c>
      <c r="D32" s="128"/>
      <c r="E32" s="127" t="e">
        <f t="shared" ref="E32:J32" si="12">IF(E7&gt;20%,1,IF(E7&gt;15%,2,IF(E7&gt;12%,3,IF(E7&gt;10%,4,5))))</f>
        <v>#DIV/0!</v>
      </c>
      <c r="F32" s="127" t="e">
        <f t="shared" si="12"/>
        <v>#DIV/0!</v>
      </c>
      <c r="G32" s="127" t="e">
        <f t="shared" si="12"/>
        <v>#DIV/0!</v>
      </c>
      <c r="H32" s="127" t="e">
        <f t="shared" si="12"/>
        <v>#DIV/0!</v>
      </c>
      <c r="I32" s="127" t="e">
        <f t="shared" si="12"/>
        <v>#DIV/0!</v>
      </c>
      <c r="J32" s="127" t="e">
        <f t="shared" si="12"/>
        <v>#DIV/0!</v>
      </c>
      <c r="K32" s="127">
        <f>IF(K7&gt;20%,1,IF(K7&gt;15%,2,IF(K7&gt;12%,3,IF(K7&gt;10%,4,5))))</f>
        <v>4</v>
      </c>
      <c r="L32" s="127">
        <f t="shared" ref="L32:Y32" si="13">IF(L7&gt;20%,1,IF(L7&gt;15%,2,IF(L7&gt;12%,3,IF(L7&gt;10%,4,5))))</f>
        <v>3</v>
      </c>
      <c r="M32" s="127">
        <f t="shared" si="13"/>
        <v>5</v>
      </c>
      <c r="N32" s="127">
        <f t="shared" si="13"/>
        <v>5</v>
      </c>
      <c r="O32" s="127">
        <f t="shared" si="13"/>
        <v>2</v>
      </c>
      <c r="P32" s="127">
        <f t="shared" si="13"/>
        <v>2</v>
      </c>
      <c r="Q32" s="127">
        <f t="shared" si="13"/>
        <v>3</v>
      </c>
      <c r="R32" s="127">
        <f t="shared" si="13"/>
        <v>3</v>
      </c>
      <c r="S32" s="127">
        <f t="shared" si="13"/>
        <v>3</v>
      </c>
      <c r="T32" s="127">
        <f t="shared" si="13"/>
        <v>3</v>
      </c>
      <c r="U32" s="127">
        <f t="shared" si="13"/>
        <v>2</v>
      </c>
      <c r="V32" s="127">
        <f t="shared" si="13"/>
        <v>2</v>
      </c>
      <c r="W32" s="127">
        <f t="shared" si="13"/>
        <v>2</v>
      </c>
      <c r="X32" s="127">
        <f t="shared" si="13"/>
        <v>2</v>
      </c>
      <c r="Y32" s="127">
        <f t="shared" ref="Y32:AE32" si="14">IF(Y7&gt;20%,1,IF(Y7&gt;15%,2,IF(Y7&gt;12%,3,IF(Y7&gt;10%,4,5))))</f>
        <v>2</v>
      </c>
      <c r="Z32" s="127">
        <f t="shared" si="14"/>
        <v>3</v>
      </c>
      <c r="AA32" s="127">
        <f t="shared" si="14"/>
        <v>3</v>
      </c>
      <c r="AB32" s="127">
        <f t="shared" si="14"/>
        <v>1</v>
      </c>
      <c r="AC32" s="127">
        <f t="shared" si="14"/>
        <v>1</v>
      </c>
      <c r="AD32" s="127">
        <f t="shared" si="14"/>
        <v>1</v>
      </c>
      <c r="AE32" s="127">
        <f t="shared" si="14"/>
        <v>1</v>
      </c>
    </row>
    <row r="33" spans="1:31" s="1" customFormat="1" ht="12.75">
      <c r="A33" s="425"/>
      <c r="B33" s="127"/>
      <c r="C33" s="127"/>
      <c r="D33" s="128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</row>
    <row r="34" spans="1:31" s="1" customFormat="1" ht="12.75">
      <c r="A34" s="425"/>
      <c r="B34" s="426" t="s">
        <v>131</v>
      </c>
      <c r="C34" s="127" t="s">
        <v>276</v>
      </c>
      <c r="D34" s="128"/>
      <c r="E34" s="127" t="e">
        <f t="shared" ref="E34:G35" si="15">IF(E9&lt;4,1,IF(E9&lt;8,2,IF(E9&lt;12,3,IF(E9&lt;15,4,5))))</f>
        <v>#DIV/0!</v>
      </c>
      <c r="F34" s="127" t="e">
        <f t="shared" si="15"/>
        <v>#DIV/0!</v>
      </c>
      <c r="G34" s="127" t="e">
        <f t="shared" si="15"/>
        <v>#DIV/0!</v>
      </c>
      <c r="H34" s="127" t="e">
        <f t="shared" ref="H34:J35" si="16">IF(H9&lt;4,1,IF(H9&lt;8,2,IF(H9&lt;12,3,IF(H9&lt;15,4,5))))</f>
        <v>#DIV/0!</v>
      </c>
      <c r="I34" s="127" t="e">
        <f t="shared" si="16"/>
        <v>#DIV/0!</v>
      </c>
      <c r="J34" s="127">
        <f t="shared" si="16"/>
        <v>1</v>
      </c>
      <c r="K34" s="127">
        <f t="shared" ref="K34:M35" si="17">IF(K9&lt;4,1,IF(K9&lt;8,2,IF(K9&lt;12,3,IF(K9&lt;15,4,5))))</f>
        <v>1</v>
      </c>
      <c r="L34" s="127">
        <f t="shared" ref="L34:Y34" si="18">IF(L9&lt;4,1,IF(L9&lt;8,2,IF(L9&lt;12,3,IF(L9&lt;15,4,5))))</f>
        <v>1</v>
      </c>
      <c r="M34" s="127">
        <f t="shared" si="18"/>
        <v>1</v>
      </c>
      <c r="N34" s="127">
        <f t="shared" si="18"/>
        <v>1</v>
      </c>
      <c r="O34" s="127">
        <f t="shared" si="18"/>
        <v>1</v>
      </c>
      <c r="P34" s="127">
        <f t="shared" si="18"/>
        <v>1</v>
      </c>
      <c r="Q34" s="127">
        <f t="shared" si="18"/>
        <v>1</v>
      </c>
      <c r="R34" s="127">
        <f t="shared" si="18"/>
        <v>1</v>
      </c>
      <c r="S34" s="127">
        <f t="shared" si="18"/>
        <v>1</v>
      </c>
      <c r="T34" s="127">
        <f t="shared" si="18"/>
        <v>1</v>
      </c>
      <c r="U34" s="127">
        <f t="shared" si="18"/>
        <v>1</v>
      </c>
      <c r="V34" s="127">
        <f t="shared" si="18"/>
        <v>1</v>
      </c>
      <c r="W34" s="127">
        <f t="shared" si="18"/>
        <v>1</v>
      </c>
      <c r="X34" s="127">
        <f t="shared" si="18"/>
        <v>1</v>
      </c>
      <c r="Y34" s="127">
        <f t="shared" ref="Y34:AE34" si="19">IF(Y9&lt;4,1,IF(Y9&lt;8,2,IF(Y9&lt;12,3,IF(Y9&lt;15,4,5))))</f>
        <v>1</v>
      </c>
      <c r="Z34" s="127">
        <f t="shared" si="19"/>
        <v>1</v>
      </c>
      <c r="AA34" s="127">
        <f t="shared" si="19"/>
        <v>1</v>
      </c>
      <c r="AB34" s="127">
        <f t="shared" si="19"/>
        <v>1</v>
      </c>
      <c r="AC34" s="127">
        <f t="shared" si="19"/>
        <v>1</v>
      </c>
      <c r="AD34" s="127">
        <f t="shared" si="19"/>
        <v>1</v>
      </c>
      <c r="AE34" s="127">
        <f t="shared" si="19"/>
        <v>1</v>
      </c>
    </row>
    <row r="35" spans="1:31" s="1" customFormat="1" ht="12.75">
      <c r="A35" s="425"/>
      <c r="B35" s="426"/>
      <c r="C35" s="127" t="s">
        <v>277</v>
      </c>
      <c r="D35" s="128"/>
      <c r="E35" s="127" t="e">
        <f t="shared" si="15"/>
        <v>#DIV/0!</v>
      </c>
      <c r="F35" s="127" t="e">
        <f t="shared" si="15"/>
        <v>#DIV/0!</v>
      </c>
      <c r="G35" s="127" t="e">
        <f t="shared" si="15"/>
        <v>#DIV/0!</v>
      </c>
      <c r="H35" s="127" t="e">
        <f t="shared" si="16"/>
        <v>#DIV/0!</v>
      </c>
      <c r="I35" s="127" t="e">
        <f t="shared" si="16"/>
        <v>#DIV/0!</v>
      </c>
      <c r="J35" s="127">
        <f t="shared" si="16"/>
        <v>1</v>
      </c>
      <c r="K35" s="127">
        <f t="shared" si="17"/>
        <v>1</v>
      </c>
      <c r="L35" s="127">
        <f t="shared" ref="L35:Y35" si="20">IF(L10&lt;4,1,IF(L10&lt;8,2,IF(L10&lt;12,3,IF(L10&lt;15,4,5))))</f>
        <v>1</v>
      </c>
      <c r="M35" s="127">
        <f t="shared" si="20"/>
        <v>1</v>
      </c>
      <c r="N35" s="127">
        <f t="shared" si="20"/>
        <v>1</v>
      </c>
      <c r="O35" s="127">
        <f t="shared" si="20"/>
        <v>1</v>
      </c>
      <c r="P35" s="127">
        <f t="shared" si="20"/>
        <v>1</v>
      </c>
      <c r="Q35" s="127">
        <f t="shared" si="20"/>
        <v>1</v>
      </c>
      <c r="R35" s="127">
        <f t="shared" si="20"/>
        <v>1</v>
      </c>
      <c r="S35" s="127">
        <f t="shared" si="20"/>
        <v>1</v>
      </c>
      <c r="T35" s="127">
        <f t="shared" si="20"/>
        <v>1</v>
      </c>
      <c r="U35" s="127">
        <f t="shared" si="20"/>
        <v>1</v>
      </c>
      <c r="V35" s="127">
        <f t="shared" si="20"/>
        <v>1</v>
      </c>
      <c r="W35" s="127">
        <f t="shared" si="20"/>
        <v>1</v>
      </c>
      <c r="X35" s="127">
        <f t="shared" si="20"/>
        <v>1</v>
      </c>
      <c r="Y35" s="127">
        <f t="shared" ref="Y35:AE35" si="21">IF(Y10&lt;4,1,IF(Y10&lt;8,2,IF(Y10&lt;12,3,IF(Y10&lt;15,4,5))))</f>
        <v>1</v>
      </c>
      <c r="Z35" s="127">
        <f t="shared" si="21"/>
        <v>1</v>
      </c>
      <c r="AA35" s="127">
        <f t="shared" si="21"/>
        <v>1</v>
      </c>
      <c r="AB35" s="127">
        <f t="shared" si="21"/>
        <v>1</v>
      </c>
      <c r="AC35" s="127">
        <f t="shared" si="21"/>
        <v>1</v>
      </c>
      <c r="AD35" s="127">
        <f t="shared" si="21"/>
        <v>1</v>
      </c>
      <c r="AE35" s="127">
        <f t="shared" si="21"/>
        <v>1</v>
      </c>
    </row>
    <row r="36" spans="1:31" s="1" customFormat="1" ht="12.75">
      <c r="A36" s="425"/>
      <c r="B36" s="127"/>
      <c r="C36" s="127"/>
      <c r="D36" s="128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</row>
    <row r="37" spans="1:31" s="1" customFormat="1" ht="12.75">
      <c r="A37" s="425"/>
      <c r="B37" s="426" t="s">
        <v>278</v>
      </c>
      <c r="C37" s="127" t="s">
        <v>261</v>
      </c>
      <c r="D37" s="128"/>
      <c r="E37" s="127" t="e">
        <f t="shared" ref="E37:J37" si="22">IF(E16&gt;6,1,IF(E16&gt;4,2,IF(E16&gt;2,3,IF(E16&gt;0,4,5))))</f>
        <v>#DIV/0!</v>
      </c>
      <c r="F37" s="127" t="e">
        <f t="shared" si="22"/>
        <v>#DIV/0!</v>
      </c>
      <c r="G37" s="127" t="e">
        <f t="shared" si="22"/>
        <v>#DIV/0!</v>
      </c>
      <c r="H37" s="127" t="e">
        <f t="shared" si="22"/>
        <v>#DIV/0!</v>
      </c>
      <c r="I37" s="127" t="e">
        <f t="shared" si="22"/>
        <v>#DIV/0!</v>
      </c>
      <c r="J37" s="127" t="e">
        <f t="shared" si="22"/>
        <v>#DIV/0!</v>
      </c>
      <c r="K37" s="127">
        <f>IF(K16&gt;6,1,IF(K16&gt;4,2,IF(K16&gt;2,3,IF(K16&gt;0,4,5))))</f>
        <v>4</v>
      </c>
      <c r="L37" s="127">
        <f t="shared" ref="L37:Y37" si="23">IF(L16&gt;6,1,IF(L16&gt;4,2,IF(L16&gt;2,3,IF(L16&gt;0,4,5))))</f>
        <v>4</v>
      </c>
      <c r="M37" s="127">
        <f t="shared" si="23"/>
        <v>4</v>
      </c>
      <c r="N37" s="127">
        <f t="shared" si="23"/>
        <v>4</v>
      </c>
      <c r="O37" s="127">
        <f t="shared" si="23"/>
        <v>4</v>
      </c>
      <c r="P37" s="127">
        <f t="shared" si="23"/>
        <v>4</v>
      </c>
      <c r="Q37" s="127">
        <f t="shared" si="23"/>
        <v>4</v>
      </c>
      <c r="R37" s="127">
        <f t="shared" si="23"/>
        <v>4</v>
      </c>
      <c r="S37" s="127">
        <f t="shared" si="23"/>
        <v>4</v>
      </c>
      <c r="T37" s="127">
        <f t="shared" si="23"/>
        <v>4</v>
      </c>
      <c r="U37" s="127">
        <f t="shared" si="23"/>
        <v>4</v>
      </c>
      <c r="V37" s="127">
        <f t="shared" si="23"/>
        <v>4</v>
      </c>
      <c r="W37" s="127">
        <f t="shared" si="23"/>
        <v>4</v>
      </c>
      <c r="X37" s="127">
        <f t="shared" si="23"/>
        <v>4</v>
      </c>
      <c r="Y37" s="127">
        <f t="shared" ref="Y37:AE37" si="24">IF(Y16&gt;6,1,IF(Y16&gt;4,2,IF(Y16&gt;2,3,IF(Y16&gt;0,4,5))))</f>
        <v>4</v>
      </c>
      <c r="Z37" s="127">
        <f t="shared" si="24"/>
        <v>4</v>
      </c>
      <c r="AA37" s="127">
        <f t="shared" si="24"/>
        <v>4</v>
      </c>
      <c r="AB37" s="127">
        <f t="shared" si="24"/>
        <v>4</v>
      </c>
      <c r="AC37" s="127">
        <f t="shared" si="24"/>
        <v>4</v>
      </c>
      <c r="AD37" s="127">
        <f t="shared" si="24"/>
        <v>4</v>
      </c>
      <c r="AE37" s="127">
        <f t="shared" si="24"/>
        <v>4</v>
      </c>
    </row>
    <row r="38" spans="1:31" s="1" customFormat="1" ht="12.75">
      <c r="A38" s="425"/>
      <c r="B38" s="426"/>
      <c r="C38" s="127" t="s">
        <v>279</v>
      </c>
      <c r="D38" s="128"/>
      <c r="E38" s="127" t="e">
        <f t="shared" ref="E38:J38" si="25">IF(E13&lt;60,1,IF(E13&lt;70,2,IF(E13&lt;80,3,IF(E13&lt;90,4,5))))</f>
        <v>#DIV/0!</v>
      </c>
      <c r="F38" s="127" t="e">
        <f t="shared" si="25"/>
        <v>#DIV/0!</v>
      </c>
      <c r="G38" s="127" t="e">
        <f t="shared" si="25"/>
        <v>#DIV/0!</v>
      </c>
      <c r="H38" s="127" t="e">
        <f t="shared" si="25"/>
        <v>#DIV/0!</v>
      </c>
      <c r="I38" s="127" t="e">
        <f t="shared" si="25"/>
        <v>#DIV/0!</v>
      </c>
      <c r="J38" s="127" t="e">
        <f t="shared" si="25"/>
        <v>#DIV/0!</v>
      </c>
      <c r="K38" s="127">
        <f>IF(K13&lt;60,1,IF(K13&lt;70,2,IF(K13&lt;80,3,IF(K13&lt;90,4,5))))</f>
        <v>1</v>
      </c>
      <c r="L38" s="127">
        <f t="shared" ref="L38:Y38" si="26">IF(L13&lt;60,1,IF(L13&lt;70,2,IF(L13&lt;80,3,IF(L13&lt;90,4,5))))</f>
        <v>1</v>
      </c>
      <c r="M38" s="127">
        <f t="shared" si="26"/>
        <v>1</v>
      </c>
      <c r="N38" s="127">
        <f t="shared" si="26"/>
        <v>1</v>
      </c>
      <c r="O38" s="127">
        <f t="shared" si="26"/>
        <v>1</v>
      </c>
      <c r="P38" s="127">
        <f t="shared" si="26"/>
        <v>1</v>
      </c>
      <c r="Q38" s="127">
        <f t="shared" si="26"/>
        <v>1</v>
      </c>
      <c r="R38" s="127">
        <f t="shared" si="26"/>
        <v>1</v>
      </c>
      <c r="S38" s="127">
        <f t="shared" si="26"/>
        <v>1</v>
      </c>
      <c r="T38" s="127">
        <f t="shared" si="26"/>
        <v>1</v>
      </c>
      <c r="U38" s="127">
        <f t="shared" si="26"/>
        <v>1</v>
      </c>
      <c r="V38" s="127">
        <f t="shared" si="26"/>
        <v>1</v>
      </c>
      <c r="W38" s="127">
        <f t="shared" si="26"/>
        <v>1</v>
      </c>
      <c r="X38" s="127">
        <f t="shared" si="26"/>
        <v>1</v>
      </c>
      <c r="Y38" s="127">
        <f t="shared" ref="Y38:AE38" si="27">IF(Y13&lt;60,1,IF(Y13&lt;70,2,IF(Y13&lt;80,3,IF(Y13&lt;90,4,5))))</f>
        <v>1</v>
      </c>
      <c r="Z38" s="127">
        <f t="shared" si="27"/>
        <v>1</v>
      </c>
      <c r="AA38" s="127">
        <f t="shared" si="27"/>
        <v>1</v>
      </c>
      <c r="AB38" s="127">
        <f t="shared" si="27"/>
        <v>1</v>
      </c>
      <c r="AC38" s="127">
        <f t="shared" si="27"/>
        <v>1</v>
      </c>
      <c r="AD38" s="127">
        <f t="shared" si="27"/>
        <v>1</v>
      </c>
      <c r="AE38" s="127">
        <f t="shared" si="27"/>
        <v>1</v>
      </c>
    </row>
    <row r="39" spans="1:31" s="1" customFormat="1" ht="12.75">
      <c r="A39" s="425"/>
      <c r="B39" s="426"/>
      <c r="C39" s="127" t="s">
        <v>280</v>
      </c>
      <c r="D39" s="128"/>
      <c r="E39" s="127" t="e">
        <f t="shared" ref="E39:J39" si="28">IF(E14&gt;10,5,IF(E14&gt;8,4,IF(E14&gt;6,3,IF(E14&gt;4,2,1))))</f>
        <v>#REF!</v>
      </c>
      <c r="F39" s="127" t="e">
        <f t="shared" si="28"/>
        <v>#REF!</v>
      </c>
      <c r="G39" s="127" t="e">
        <f t="shared" si="28"/>
        <v>#REF!</v>
      </c>
      <c r="H39" s="127" t="e">
        <f t="shared" si="28"/>
        <v>#DIV/0!</v>
      </c>
      <c r="I39" s="127" t="e">
        <f t="shared" si="28"/>
        <v>#DIV/0!</v>
      </c>
      <c r="J39" s="127" t="e">
        <f t="shared" si="28"/>
        <v>#DIV/0!</v>
      </c>
      <c r="K39" s="127">
        <f>IF(K14&gt;10,5,IF(K14&gt;8,4,IF(K14&gt;6,3,IF(K14&gt;4,2,1))))</f>
        <v>1</v>
      </c>
      <c r="L39" s="127">
        <f t="shared" ref="L39:Y39" si="29">IF(L14&gt;10,5,IF(L14&gt;8,4,IF(L14&gt;6,3,IF(L14&gt;4,2,1))))</f>
        <v>1</v>
      </c>
      <c r="M39" s="127">
        <f t="shared" si="29"/>
        <v>1</v>
      </c>
      <c r="N39" s="127">
        <f t="shared" si="29"/>
        <v>1</v>
      </c>
      <c r="O39" s="127">
        <f t="shared" si="29"/>
        <v>1</v>
      </c>
      <c r="P39" s="127">
        <f t="shared" si="29"/>
        <v>1</v>
      </c>
      <c r="Q39" s="127">
        <f t="shared" si="29"/>
        <v>1</v>
      </c>
      <c r="R39" s="127">
        <f t="shared" si="29"/>
        <v>1</v>
      </c>
      <c r="S39" s="127">
        <f t="shared" si="29"/>
        <v>1</v>
      </c>
      <c r="T39" s="127">
        <f t="shared" si="29"/>
        <v>1</v>
      </c>
      <c r="U39" s="127">
        <f t="shared" si="29"/>
        <v>1</v>
      </c>
      <c r="V39" s="127">
        <f t="shared" si="29"/>
        <v>1</v>
      </c>
      <c r="W39" s="127">
        <f t="shared" si="29"/>
        <v>1</v>
      </c>
      <c r="X39" s="127">
        <f t="shared" si="29"/>
        <v>1</v>
      </c>
      <c r="Y39" s="127">
        <f t="shared" ref="Y39:AE39" si="30">IF(Y14&gt;10,5,IF(Y14&gt;8,4,IF(Y14&gt;6,3,IF(Y14&gt;4,2,1))))</f>
        <v>1</v>
      </c>
      <c r="Z39" s="127">
        <f t="shared" si="30"/>
        <v>1</v>
      </c>
      <c r="AA39" s="127">
        <f t="shared" si="30"/>
        <v>1</v>
      </c>
      <c r="AB39" s="127">
        <f t="shared" si="30"/>
        <v>1</v>
      </c>
      <c r="AC39" s="127">
        <f t="shared" si="30"/>
        <v>1</v>
      </c>
      <c r="AD39" s="127">
        <f t="shared" si="30"/>
        <v>1</v>
      </c>
      <c r="AE39" s="127">
        <f t="shared" si="30"/>
        <v>1</v>
      </c>
    </row>
    <row r="40" spans="1:31" s="1" customFormat="1" ht="12.75">
      <c r="A40" s="425"/>
      <c r="B40" s="127"/>
      <c r="C40" s="127"/>
      <c r="D40" s="128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</row>
    <row r="41" spans="1:31" s="1" customFormat="1" ht="12.75">
      <c r="A41" s="425"/>
      <c r="B41" s="426" t="s">
        <v>139</v>
      </c>
      <c r="C41" s="127" t="s">
        <v>281</v>
      </c>
      <c r="D41" s="128" t="s">
        <v>282</v>
      </c>
      <c r="E41" s="127" t="e">
        <f t="shared" ref="E41:G42" si="31">IF(E16&gt;30,1,IF(E16&gt;25,2,IF(E16&gt;20,3,IF(E16&gt;15,4,5))))</f>
        <v>#DIV/0!</v>
      </c>
      <c r="F41" s="127" t="e">
        <f t="shared" si="31"/>
        <v>#DIV/0!</v>
      </c>
      <c r="G41" s="127" t="e">
        <f t="shared" si="31"/>
        <v>#DIV/0!</v>
      </c>
      <c r="H41" s="127" t="e">
        <f t="shared" ref="H41:J42" si="32">IF(H16&gt;30,1,IF(H16&gt;25,2,IF(H16&gt;20,3,IF(H16&gt;15,4,5))))</f>
        <v>#DIV/0!</v>
      </c>
      <c r="I41" s="127" t="e">
        <f t="shared" si="32"/>
        <v>#DIV/0!</v>
      </c>
      <c r="J41" s="127" t="e">
        <f t="shared" si="32"/>
        <v>#DIV/0!</v>
      </c>
      <c r="K41" s="127">
        <f t="shared" ref="K41:M42" si="33">IF(K16&gt;30,1,IF(K16&gt;25,2,IF(K16&gt;20,3,IF(K16&gt;15,4,5))))</f>
        <v>5</v>
      </c>
      <c r="L41" s="127">
        <f t="shared" ref="L41:Y41" si="34">IF(L16&gt;30,1,IF(L16&gt;25,2,IF(L16&gt;20,3,IF(L16&gt;15,4,5))))</f>
        <v>5</v>
      </c>
      <c r="M41" s="127">
        <f t="shared" si="34"/>
        <v>5</v>
      </c>
      <c r="N41" s="127">
        <f t="shared" si="34"/>
        <v>5</v>
      </c>
      <c r="O41" s="127">
        <f t="shared" si="34"/>
        <v>5</v>
      </c>
      <c r="P41" s="127">
        <f t="shared" si="34"/>
        <v>5</v>
      </c>
      <c r="Q41" s="127">
        <f t="shared" si="34"/>
        <v>5</v>
      </c>
      <c r="R41" s="127">
        <f t="shared" si="34"/>
        <v>5</v>
      </c>
      <c r="S41" s="127">
        <f t="shared" si="34"/>
        <v>5</v>
      </c>
      <c r="T41" s="127">
        <f t="shared" si="34"/>
        <v>5</v>
      </c>
      <c r="U41" s="127">
        <f t="shared" si="34"/>
        <v>5</v>
      </c>
      <c r="V41" s="127">
        <f t="shared" si="34"/>
        <v>5</v>
      </c>
      <c r="W41" s="127">
        <f t="shared" si="34"/>
        <v>5</v>
      </c>
      <c r="X41" s="127">
        <f t="shared" si="34"/>
        <v>5</v>
      </c>
      <c r="Y41" s="127">
        <f t="shared" ref="Y41:AE41" si="35">IF(Y16&gt;30,1,IF(Y16&gt;25,2,IF(Y16&gt;20,3,IF(Y16&gt;15,4,5))))</f>
        <v>5</v>
      </c>
      <c r="Z41" s="127">
        <f t="shared" si="35"/>
        <v>5</v>
      </c>
      <c r="AA41" s="127">
        <f t="shared" si="35"/>
        <v>5</v>
      </c>
      <c r="AB41" s="127">
        <f t="shared" si="35"/>
        <v>5</v>
      </c>
      <c r="AC41" s="127">
        <f t="shared" si="35"/>
        <v>5</v>
      </c>
      <c r="AD41" s="127">
        <f t="shared" si="35"/>
        <v>5</v>
      </c>
      <c r="AE41" s="127">
        <f t="shared" si="35"/>
        <v>5</v>
      </c>
    </row>
    <row r="42" spans="1:31" s="1" customFormat="1" ht="12.75">
      <c r="A42" s="425"/>
      <c r="B42" s="426"/>
      <c r="C42" s="127" t="s">
        <v>283</v>
      </c>
      <c r="D42" s="128"/>
      <c r="E42" s="127" t="e">
        <f t="shared" si="31"/>
        <v>#DIV/0!</v>
      </c>
      <c r="F42" s="127" t="e">
        <f t="shared" si="31"/>
        <v>#DIV/0!</v>
      </c>
      <c r="G42" s="127" t="e">
        <f t="shared" si="31"/>
        <v>#DIV/0!</v>
      </c>
      <c r="H42" s="127" t="e">
        <f t="shared" si="32"/>
        <v>#DIV/0!</v>
      </c>
      <c r="I42" s="127" t="e">
        <f t="shared" si="32"/>
        <v>#DIV/0!</v>
      </c>
      <c r="J42" s="127" t="e">
        <f t="shared" si="32"/>
        <v>#DIV/0!</v>
      </c>
      <c r="K42" s="127">
        <f t="shared" si="33"/>
        <v>5</v>
      </c>
      <c r="L42" s="127">
        <f t="shared" ref="L42:Y42" si="36">IF(L17&gt;30,1,IF(L17&gt;25,2,IF(L17&gt;20,3,IF(L17&gt;15,4,5))))</f>
        <v>5</v>
      </c>
      <c r="M42" s="127">
        <f t="shared" si="36"/>
        <v>5</v>
      </c>
      <c r="N42" s="127">
        <f t="shared" si="36"/>
        <v>5</v>
      </c>
      <c r="O42" s="127">
        <f t="shared" si="36"/>
        <v>5</v>
      </c>
      <c r="P42" s="127">
        <f t="shared" si="36"/>
        <v>5</v>
      </c>
      <c r="Q42" s="127">
        <f t="shared" si="36"/>
        <v>5</v>
      </c>
      <c r="R42" s="127">
        <f t="shared" si="36"/>
        <v>5</v>
      </c>
      <c r="S42" s="127">
        <f t="shared" si="36"/>
        <v>5</v>
      </c>
      <c r="T42" s="127">
        <f t="shared" si="36"/>
        <v>5</v>
      </c>
      <c r="U42" s="127">
        <f t="shared" si="36"/>
        <v>5</v>
      </c>
      <c r="V42" s="127">
        <f t="shared" si="36"/>
        <v>5</v>
      </c>
      <c r="W42" s="127">
        <f t="shared" si="36"/>
        <v>5</v>
      </c>
      <c r="X42" s="127">
        <f t="shared" si="36"/>
        <v>5</v>
      </c>
      <c r="Y42" s="127">
        <f t="shared" ref="Y42:AE42" si="37">IF(Y17&gt;30,1,IF(Y17&gt;25,2,IF(Y17&gt;20,3,IF(Y17&gt;15,4,5))))</f>
        <v>5</v>
      </c>
      <c r="Z42" s="127">
        <f t="shared" si="37"/>
        <v>5</v>
      </c>
      <c r="AA42" s="127">
        <f t="shared" si="37"/>
        <v>5</v>
      </c>
      <c r="AB42" s="127">
        <f t="shared" si="37"/>
        <v>5</v>
      </c>
      <c r="AC42" s="127">
        <f t="shared" si="37"/>
        <v>5</v>
      </c>
      <c r="AD42" s="127">
        <f t="shared" si="37"/>
        <v>5</v>
      </c>
      <c r="AE42" s="127">
        <f t="shared" si="37"/>
        <v>5</v>
      </c>
    </row>
    <row r="43" spans="1:31" s="1" customFormat="1" ht="12.75">
      <c r="A43" s="425"/>
      <c r="B43" s="426"/>
      <c r="C43" s="127" t="s">
        <v>284</v>
      </c>
      <c r="D43" s="128" t="s">
        <v>285</v>
      </c>
      <c r="E43" s="127" t="e">
        <f t="shared" ref="E43:J43" si="38">IF(E18&lt;15,1,IF(E18&lt;18,2,IF(E18&lt;22,3,IF(E18&lt;25,4,5))))</f>
        <v>#DIV/0!</v>
      </c>
      <c r="F43" s="127" t="e">
        <f t="shared" si="38"/>
        <v>#DIV/0!</v>
      </c>
      <c r="G43" s="127" t="e">
        <f t="shared" si="38"/>
        <v>#DIV/0!</v>
      </c>
      <c r="H43" s="127" t="e">
        <f t="shared" si="38"/>
        <v>#DIV/0!</v>
      </c>
      <c r="I43" s="127" t="e">
        <f t="shared" si="38"/>
        <v>#DIV/0!</v>
      </c>
      <c r="J43" s="127" t="e">
        <f t="shared" si="38"/>
        <v>#DIV/0!</v>
      </c>
      <c r="K43" s="127">
        <f>IF(K18&lt;15,1,IF(K18&lt;18,2,IF(K18&lt;22,3,IF(K18&lt;25,4,5))))</f>
        <v>1</v>
      </c>
      <c r="L43" s="127">
        <f t="shared" ref="L43:Y43" si="39">IF(L18&lt;15,1,IF(L18&lt;18,2,IF(L18&lt;22,3,IF(L18&lt;25,4,5))))</f>
        <v>1</v>
      </c>
      <c r="M43" s="127">
        <f t="shared" si="39"/>
        <v>1</v>
      </c>
      <c r="N43" s="127">
        <f t="shared" si="39"/>
        <v>1</v>
      </c>
      <c r="O43" s="127">
        <f t="shared" si="39"/>
        <v>1</v>
      </c>
      <c r="P43" s="127">
        <f t="shared" si="39"/>
        <v>1</v>
      </c>
      <c r="Q43" s="127">
        <f t="shared" si="39"/>
        <v>1</v>
      </c>
      <c r="R43" s="127">
        <f t="shared" si="39"/>
        <v>1</v>
      </c>
      <c r="S43" s="127">
        <f t="shared" si="39"/>
        <v>1</v>
      </c>
      <c r="T43" s="127">
        <f t="shared" si="39"/>
        <v>1</v>
      </c>
      <c r="U43" s="127">
        <f t="shared" si="39"/>
        <v>1</v>
      </c>
      <c r="V43" s="127">
        <f t="shared" si="39"/>
        <v>1</v>
      </c>
      <c r="W43" s="127">
        <f t="shared" si="39"/>
        <v>1</v>
      </c>
      <c r="X43" s="127">
        <f t="shared" si="39"/>
        <v>1</v>
      </c>
      <c r="Y43" s="127">
        <f t="shared" ref="Y43:AE43" si="40">IF(Y18&lt;15,1,IF(Y18&lt;18,2,IF(Y18&lt;22,3,IF(Y18&lt;25,4,5))))</f>
        <v>1</v>
      </c>
      <c r="Z43" s="127">
        <f t="shared" si="40"/>
        <v>1</v>
      </c>
      <c r="AA43" s="127">
        <f t="shared" si="40"/>
        <v>1</v>
      </c>
      <c r="AB43" s="127">
        <f t="shared" si="40"/>
        <v>1</v>
      </c>
      <c r="AC43" s="127">
        <f t="shared" si="40"/>
        <v>1</v>
      </c>
      <c r="AD43" s="127">
        <f t="shared" si="40"/>
        <v>1</v>
      </c>
      <c r="AE43" s="127">
        <f t="shared" si="40"/>
        <v>1</v>
      </c>
    </row>
    <row r="44" spans="1:31" s="1" customFormat="1" ht="12.75">
      <c r="A44" s="425"/>
      <c r="B44" s="426"/>
      <c r="C44" s="127" t="s">
        <v>286</v>
      </c>
      <c r="D44" s="127"/>
      <c r="E44" s="127" t="e">
        <f t="shared" ref="E44:J44" si="41">IF(E19&gt;15,1,IF(E19&gt;12,2,IF(E19&gt;9,3,IF(E19&gt;6,4,5))))</f>
        <v>#DIV/0!</v>
      </c>
      <c r="F44" s="127" t="e">
        <f t="shared" si="41"/>
        <v>#DIV/0!</v>
      </c>
      <c r="G44" s="127" t="e">
        <f t="shared" si="41"/>
        <v>#DIV/0!</v>
      </c>
      <c r="H44" s="127" t="e">
        <f t="shared" si="41"/>
        <v>#DIV/0!</v>
      </c>
      <c r="I44" s="127" t="e">
        <f t="shared" si="41"/>
        <v>#DIV/0!</v>
      </c>
      <c r="J44" s="127" t="e">
        <f t="shared" si="41"/>
        <v>#DIV/0!</v>
      </c>
      <c r="K44" s="127">
        <f>IF(K19&gt;15,1,IF(K19&gt;12,2,IF(K19&gt;9,3,IF(K19&gt;6,4,5))))</f>
        <v>5</v>
      </c>
      <c r="L44" s="127">
        <f t="shared" ref="L44:Y44" si="42">IF(L19&gt;15,1,IF(L19&gt;12,2,IF(L19&gt;9,3,IF(L19&gt;6,4,5))))</f>
        <v>5</v>
      </c>
      <c r="M44" s="127">
        <f t="shared" si="42"/>
        <v>5</v>
      </c>
      <c r="N44" s="127">
        <f t="shared" si="42"/>
        <v>5</v>
      </c>
      <c r="O44" s="127">
        <f t="shared" si="42"/>
        <v>5</v>
      </c>
      <c r="P44" s="127">
        <f t="shared" si="42"/>
        <v>5</v>
      </c>
      <c r="Q44" s="127">
        <f t="shared" si="42"/>
        <v>5</v>
      </c>
      <c r="R44" s="127">
        <f t="shared" si="42"/>
        <v>5</v>
      </c>
      <c r="S44" s="127">
        <f t="shared" si="42"/>
        <v>5</v>
      </c>
      <c r="T44" s="127">
        <f t="shared" si="42"/>
        <v>5</v>
      </c>
      <c r="U44" s="127">
        <f t="shared" si="42"/>
        <v>5</v>
      </c>
      <c r="V44" s="127">
        <f t="shared" si="42"/>
        <v>5</v>
      </c>
      <c r="W44" s="127">
        <f t="shared" si="42"/>
        <v>5</v>
      </c>
      <c r="X44" s="127">
        <f t="shared" si="42"/>
        <v>5</v>
      </c>
      <c r="Y44" s="127">
        <f t="shared" ref="Y44:AE44" si="43">IF(Y19&gt;15,1,IF(Y19&gt;12,2,IF(Y19&gt;9,3,IF(Y19&gt;6,4,5))))</f>
        <v>5</v>
      </c>
      <c r="Z44" s="127">
        <f t="shared" si="43"/>
        <v>5</v>
      </c>
      <c r="AA44" s="127">
        <f t="shared" si="43"/>
        <v>5</v>
      </c>
      <c r="AB44" s="127">
        <f t="shared" si="43"/>
        <v>5</v>
      </c>
      <c r="AC44" s="127">
        <f t="shared" si="43"/>
        <v>5</v>
      </c>
      <c r="AD44" s="127">
        <f t="shared" si="43"/>
        <v>5</v>
      </c>
      <c r="AE44" s="127">
        <f t="shared" si="43"/>
        <v>5</v>
      </c>
    </row>
    <row r="45" spans="1:31" s="1" customFormat="1" ht="12.75">
      <c r="A45" s="425"/>
      <c r="B45" s="127"/>
      <c r="C45" s="127"/>
      <c r="D45" s="128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</row>
    <row r="46" spans="1:31" s="1" customFormat="1" ht="12.75">
      <c r="A46" s="425"/>
      <c r="B46" s="426" t="s">
        <v>287</v>
      </c>
      <c r="C46" s="127" t="s">
        <v>288</v>
      </c>
      <c r="D46" s="128" t="s">
        <v>289</v>
      </c>
      <c r="E46" s="127" t="e">
        <f t="shared" ref="E46:J46" si="44">IF(E21&lt;2,1,IF(E21&lt;3,2,IF(E21&lt;4,3,IF(E21&lt;5,4,5))))</f>
        <v>#DIV/0!</v>
      </c>
      <c r="F46" s="127" t="e">
        <f t="shared" si="44"/>
        <v>#DIV/0!</v>
      </c>
      <c r="G46" s="127" t="e">
        <f t="shared" si="44"/>
        <v>#DIV/0!</v>
      </c>
      <c r="H46" s="127" t="e">
        <f t="shared" si="44"/>
        <v>#DIV/0!</v>
      </c>
      <c r="I46" s="127" t="e">
        <f t="shared" si="44"/>
        <v>#DIV/0!</v>
      </c>
      <c r="J46" s="127" t="e">
        <f t="shared" si="44"/>
        <v>#DIV/0!</v>
      </c>
      <c r="K46" s="127">
        <f>IF(K21&lt;2,1,IF(K21&lt;3,2,IF(K21&lt;4,3,IF(K21&lt;5,4,5))))</f>
        <v>1</v>
      </c>
      <c r="L46" s="127">
        <f t="shared" ref="L46:Y46" si="45">IF(L21&lt;2,1,IF(L21&lt;3,2,IF(L21&lt;4,3,IF(L21&lt;5,4,5))))</f>
        <v>1</v>
      </c>
      <c r="M46" s="127">
        <f t="shared" si="45"/>
        <v>1</v>
      </c>
      <c r="N46" s="127">
        <f t="shared" si="45"/>
        <v>1</v>
      </c>
      <c r="O46" s="127">
        <f t="shared" si="45"/>
        <v>1</v>
      </c>
      <c r="P46" s="127">
        <f t="shared" si="45"/>
        <v>1</v>
      </c>
      <c r="Q46" s="127">
        <f t="shared" si="45"/>
        <v>1</v>
      </c>
      <c r="R46" s="127">
        <f t="shared" si="45"/>
        <v>1</v>
      </c>
      <c r="S46" s="127">
        <f t="shared" si="45"/>
        <v>1</v>
      </c>
      <c r="T46" s="127">
        <f t="shared" si="45"/>
        <v>1</v>
      </c>
      <c r="U46" s="127">
        <f t="shared" si="45"/>
        <v>1</v>
      </c>
      <c r="V46" s="127">
        <f t="shared" si="45"/>
        <v>1</v>
      </c>
      <c r="W46" s="127">
        <f t="shared" si="45"/>
        <v>1</v>
      </c>
      <c r="X46" s="127">
        <f t="shared" si="45"/>
        <v>1</v>
      </c>
      <c r="Y46" s="127">
        <f t="shared" ref="Y46:AE46" si="46">IF(Y21&lt;2,1,IF(Y21&lt;3,2,IF(Y21&lt;4,3,IF(Y21&lt;5,4,5))))</f>
        <v>1</v>
      </c>
      <c r="Z46" s="127">
        <f t="shared" si="46"/>
        <v>1</v>
      </c>
      <c r="AA46" s="127">
        <f t="shared" si="46"/>
        <v>1</v>
      </c>
      <c r="AB46" s="127">
        <f t="shared" si="46"/>
        <v>1</v>
      </c>
      <c r="AC46" s="127">
        <f t="shared" si="46"/>
        <v>1</v>
      </c>
      <c r="AD46" s="127">
        <f t="shared" si="46"/>
        <v>1</v>
      </c>
      <c r="AE46" s="127">
        <f t="shared" si="46"/>
        <v>1</v>
      </c>
    </row>
    <row r="47" spans="1:31" s="1" customFormat="1" ht="12.75">
      <c r="A47" s="425"/>
      <c r="B47" s="426"/>
      <c r="C47" s="127" t="s">
        <v>290</v>
      </c>
      <c r="D47" s="128" t="s">
        <v>291</v>
      </c>
      <c r="E47" s="127" t="e">
        <f t="shared" ref="E47:J47" si="47">IF(E22&lt;20,1,IF(E22&lt;25,2,IF(E22&lt;30,3,IF(E22&lt;40,4,5))))</f>
        <v>#DIV/0!</v>
      </c>
      <c r="F47" s="127" t="e">
        <f t="shared" si="47"/>
        <v>#DIV/0!</v>
      </c>
      <c r="G47" s="127" t="e">
        <f t="shared" si="47"/>
        <v>#DIV/0!</v>
      </c>
      <c r="H47" s="127" t="e">
        <f t="shared" si="47"/>
        <v>#DIV/0!</v>
      </c>
      <c r="I47" s="127" t="e">
        <f t="shared" si="47"/>
        <v>#DIV/0!</v>
      </c>
      <c r="J47" s="127" t="e">
        <f t="shared" si="47"/>
        <v>#DIV/0!</v>
      </c>
      <c r="K47" s="127">
        <f>IF(K22&lt;20,1,IF(K22&lt;25,2,IF(K22&lt;30,3,IF(K22&lt;40,4,5))))</f>
        <v>1</v>
      </c>
      <c r="L47" s="127">
        <f t="shared" ref="L47:Y47" si="48">IF(L22&lt;20,1,IF(L22&lt;25,2,IF(L22&lt;30,3,IF(L22&lt;40,4,5))))</f>
        <v>1</v>
      </c>
      <c r="M47" s="127">
        <f t="shared" si="48"/>
        <v>1</v>
      </c>
      <c r="N47" s="127">
        <f t="shared" si="48"/>
        <v>1</v>
      </c>
      <c r="O47" s="127">
        <f t="shared" si="48"/>
        <v>1</v>
      </c>
      <c r="P47" s="127">
        <f t="shared" si="48"/>
        <v>1</v>
      </c>
      <c r="Q47" s="127">
        <f t="shared" si="48"/>
        <v>1</v>
      </c>
      <c r="R47" s="127">
        <f t="shared" si="48"/>
        <v>1</v>
      </c>
      <c r="S47" s="127">
        <f t="shared" si="48"/>
        <v>1</v>
      </c>
      <c r="T47" s="127">
        <f t="shared" si="48"/>
        <v>1</v>
      </c>
      <c r="U47" s="127">
        <f t="shared" si="48"/>
        <v>1</v>
      </c>
      <c r="V47" s="127">
        <f t="shared" si="48"/>
        <v>1</v>
      </c>
      <c r="W47" s="127">
        <f t="shared" si="48"/>
        <v>1</v>
      </c>
      <c r="X47" s="127">
        <f t="shared" si="48"/>
        <v>1</v>
      </c>
      <c r="Y47" s="127">
        <f t="shared" ref="Y47:AE47" si="49">IF(Y22&lt;20,1,IF(Y22&lt;25,2,IF(Y22&lt;30,3,IF(Y22&lt;40,4,5))))</f>
        <v>1</v>
      </c>
      <c r="Z47" s="127">
        <f t="shared" si="49"/>
        <v>1</v>
      </c>
      <c r="AA47" s="127">
        <f t="shared" si="49"/>
        <v>1</v>
      </c>
      <c r="AB47" s="127">
        <f t="shared" si="49"/>
        <v>1</v>
      </c>
      <c r="AC47" s="127">
        <f t="shared" si="49"/>
        <v>1</v>
      </c>
      <c r="AD47" s="127">
        <f t="shared" si="49"/>
        <v>1</v>
      </c>
      <c r="AE47" s="127">
        <f t="shared" si="49"/>
        <v>1</v>
      </c>
    </row>
    <row r="48" spans="1:31" s="1" customFormat="1" ht="12.75">
      <c r="A48" s="425"/>
      <c r="B48" s="426"/>
      <c r="C48" s="127" t="s">
        <v>292</v>
      </c>
      <c r="D48" s="128" t="s">
        <v>289</v>
      </c>
      <c r="E48" s="127" t="e">
        <f t="shared" ref="E48:J48" si="50">IF(E22&lt;2,1,IF(E22&lt;3,2,IF(E22&lt;4,3,IF(E22&lt;5,4,5))))</f>
        <v>#DIV/0!</v>
      </c>
      <c r="F48" s="127" t="e">
        <f t="shared" si="50"/>
        <v>#DIV/0!</v>
      </c>
      <c r="G48" s="127" t="e">
        <f t="shared" si="50"/>
        <v>#DIV/0!</v>
      </c>
      <c r="H48" s="127" t="e">
        <f t="shared" si="50"/>
        <v>#DIV/0!</v>
      </c>
      <c r="I48" s="127" t="e">
        <f t="shared" si="50"/>
        <v>#DIV/0!</v>
      </c>
      <c r="J48" s="127" t="e">
        <f t="shared" si="50"/>
        <v>#DIV/0!</v>
      </c>
      <c r="K48" s="127">
        <f>IF(K22&lt;2,1,IF(K22&lt;3,2,IF(K22&lt;4,3,IF(K22&lt;5,4,5))))</f>
        <v>1</v>
      </c>
      <c r="L48" s="127">
        <f t="shared" ref="L48:Y48" si="51">IF(L22&lt;2,1,IF(L22&lt;3,2,IF(L22&lt;4,3,IF(L22&lt;5,4,5))))</f>
        <v>1</v>
      </c>
      <c r="M48" s="127">
        <f t="shared" si="51"/>
        <v>1</v>
      </c>
      <c r="N48" s="127">
        <f t="shared" si="51"/>
        <v>1</v>
      </c>
      <c r="O48" s="127">
        <f t="shared" si="51"/>
        <v>1</v>
      </c>
      <c r="P48" s="127">
        <f t="shared" si="51"/>
        <v>1</v>
      </c>
      <c r="Q48" s="127">
        <f t="shared" si="51"/>
        <v>1</v>
      </c>
      <c r="R48" s="127">
        <f t="shared" si="51"/>
        <v>1</v>
      </c>
      <c r="S48" s="127">
        <f t="shared" si="51"/>
        <v>1</v>
      </c>
      <c r="T48" s="127">
        <f t="shared" si="51"/>
        <v>1</v>
      </c>
      <c r="U48" s="127">
        <f t="shared" si="51"/>
        <v>1</v>
      </c>
      <c r="V48" s="127">
        <f t="shared" si="51"/>
        <v>1</v>
      </c>
      <c r="W48" s="127">
        <f t="shared" si="51"/>
        <v>1</v>
      </c>
      <c r="X48" s="127">
        <f t="shared" si="51"/>
        <v>1</v>
      </c>
      <c r="Y48" s="127">
        <f t="shared" ref="Y48:AE48" si="52">IF(Y22&lt;2,1,IF(Y22&lt;3,2,IF(Y22&lt;4,3,IF(Y22&lt;5,4,5))))</f>
        <v>1</v>
      </c>
      <c r="Z48" s="127">
        <f t="shared" si="52"/>
        <v>1</v>
      </c>
      <c r="AA48" s="127">
        <f t="shared" si="52"/>
        <v>1</v>
      </c>
      <c r="AB48" s="127">
        <f t="shared" si="52"/>
        <v>1</v>
      </c>
      <c r="AC48" s="127">
        <f t="shared" si="52"/>
        <v>1</v>
      </c>
      <c r="AD48" s="127">
        <f t="shared" si="52"/>
        <v>1</v>
      </c>
      <c r="AE48" s="127">
        <f t="shared" si="52"/>
        <v>1</v>
      </c>
    </row>
    <row r="49" spans="1:31" s="1" customFormat="1" ht="12.75">
      <c r="A49" s="425"/>
      <c r="B49" s="426"/>
      <c r="C49" s="127" t="s">
        <v>294</v>
      </c>
      <c r="D49" s="127" t="s">
        <v>295</v>
      </c>
      <c r="E49" s="127" t="e">
        <f t="shared" ref="E49:J49" si="53">IF(E25&lt;6,1,IF(E25&lt;7,2,IF(E25&lt;8,3,IF(E25&lt;10,4,5))))</f>
        <v>#DIV/0!</v>
      </c>
      <c r="F49" s="127" t="e">
        <f t="shared" si="53"/>
        <v>#DIV/0!</v>
      </c>
      <c r="G49" s="127" t="e">
        <f t="shared" si="53"/>
        <v>#DIV/0!</v>
      </c>
      <c r="H49" s="127" t="e">
        <f t="shared" si="53"/>
        <v>#DIV/0!</v>
      </c>
      <c r="I49" s="127" t="e">
        <f t="shared" si="53"/>
        <v>#DIV/0!</v>
      </c>
      <c r="J49" s="127" t="e">
        <f t="shared" si="53"/>
        <v>#DIV/0!</v>
      </c>
      <c r="K49" s="127">
        <f>IF(K25&lt;6,1,IF(K25&lt;7,2,IF(K25&lt;8,3,IF(K25&lt;10,4,5))))</f>
        <v>1</v>
      </c>
      <c r="L49" s="127">
        <f t="shared" ref="L49:Y49" si="54">IF(L25&lt;6,1,IF(L25&lt;7,2,IF(L25&lt;8,3,IF(L25&lt;10,4,5))))</f>
        <v>1</v>
      </c>
      <c r="M49" s="127">
        <f t="shared" si="54"/>
        <v>1</v>
      </c>
      <c r="N49" s="127">
        <f t="shared" si="54"/>
        <v>1</v>
      </c>
      <c r="O49" s="127">
        <f t="shared" si="54"/>
        <v>1</v>
      </c>
      <c r="P49" s="127">
        <f t="shared" si="54"/>
        <v>1</v>
      </c>
      <c r="Q49" s="127">
        <f t="shared" si="54"/>
        <v>1</v>
      </c>
      <c r="R49" s="127">
        <f t="shared" si="54"/>
        <v>1</v>
      </c>
      <c r="S49" s="127">
        <f t="shared" si="54"/>
        <v>1</v>
      </c>
      <c r="T49" s="127">
        <f t="shared" si="54"/>
        <v>1</v>
      </c>
      <c r="U49" s="127">
        <f t="shared" si="54"/>
        <v>1</v>
      </c>
      <c r="V49" s="127">
        <f t="shared" si="54"/>
        <v>1</v>
      </c>
      <c r="W49" s="127">
        <f t="shared" si="54"/>
        <v>1</v>
      </c>
      <c r="X49" s="127">
        <f t="shared" si="54"/>
        <v>1</v>
      </c>
      <c r="Y49" s="127">
        <f t="shared" ref="Y49:AE49" si="55">IF(Y25&lt;6,1,IF(Y25&lt;7,2,IF(Y25&lt;8,3,IF(Y25&lt;10,4,5))))</f>
        <v>1</v>
      </c>
      <c r="Z49" s="127">
        <f t="shared" si="55"/>
        <v>1</v>
      </c>
      <c r="AA49" s="127">
        <f t="shared" si="55"/>
        <v>1</v>
      </c>
      <c r="AB49" s="127">
        <f t="shared" si="55"/>
        <v>1</v>
      </c>
      <c r="AC49" s="127">
        <f t="shared" si="55"/>
        <v>1</v>
      </c>
      <c r="AD49" s="127">
        <f t="shared" si="55"/>
        <v>1</v>
      </c>
      <c r="AE49" s="127">
        <f t="shared" si="55"/>
        <v>1</v>
      </c>
    </row>
    <row r="50" spans="1:31" s="1" customFormat="1" ht="12.75">
      <c r="A50" s="127"/>
      <c r="B50" s="127"/>
      <c r="C50" s="127"/>
      <c r="D50" s="128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</row>
    <row r="51" spans="1:31" s="1" customFormat="1" ht="13.9" thickBot="1">
      <c r="A51" s="127"/>
      <c r="B51" s="127"/>
      <c r="C51" s="127"/>
      <c r="D51" s="128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</row>
    <row r="52" spans="1:31" s="1" customFormat="1" ht="3.75" customHeight="1" thickBot="1">
      <c r="A52" s="127"/>
      <c r="B52" s="127"/>
      <c r="C52" s="127"/>
      <c r="D52" s="128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</row>
    <row r="53" spans="1:31" s="1" customFormat="1" ht="12.75">
      <c r="A53" s="127"/>
      <c r="B53" s="127"/>
      <c r="C53" s="127"/>
      <c r="D53" s="128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</row>
    <row r="54" spans="1:31" s="1" customFormat="1" ht="12.75" customHeight="1">
      <c r="A54" s="430" t="s">
        <v>298</v>
      </c>
      <c r="B54" s="429" t="s">
        <v>297</v>
      </c>
      <c r="C54" s="127" t="s">
        <v>268</v>
      </c>
      <c r="D54" s="131"/>
      <c r="E54" s="131">
        <v>0.01</v>
      </c>
      <c r="F54" s="131">
        <v>0.01</v>
      </c>
      <c r="G54" s="131">
        <v>0.01</v>
      </c>
      <c r="H54" s="131">
        <v>0.01</v>
      </c>
      <c r="I54" s="131">
        <v>0.01</v>
      </c>
      <c r="J54" s="131">
        <v>0.01</v>
      </c>
      <c r="K54" s="131">
        <v>0.01</v>
      </c>
      <c r="L54" s="131">
        <v>0.01</v>
      </c>
      <c r="M54" s="131">
        <v>0.01</v>
      </c>
      <c r="N54" s="131">
        <v>0.01</v>
      </c>
      <c r="O54" s="131">
        <v>0.01</v>
      </c>
      <c r="P54" s="131">
        <v>0.01</v>
      </c>
      <c r="Q54" s="131">
        <v>0.01</v>
      </c>
      <c r="R54" s="131">
        <v>0.01</v>
      </c>
      <c r="S54" s="131">
        <v>0.01</v>
      </c>
      <c r="T54" s="131">
        <v>0.01</v>
      </c>
      <c r="U54" s="131">
        <v>0.01</v>
      </c>
      <c r="V54" s="131">
        <v>0.01</v>
      </c>
      <c r="W54" s="131">
        <v>0.01</v>
      </c>
      <c r="X54" s="131">
        <v>0.01</v>
      </c>
      <c r="Y54" s="131">
        <v>0.01</v>
      </c>
      <c r="Z54" s="131">
        <v>0.01</v>
      </c>
      <c r="AA54" s="131">
        <v>0.01</v>
      </c>
      <c r="AB54" s="131">
        <v>0.01</v>
      </c>
      <c r="AC54" s="131">
        <v>0.01</v>
      </c>
      <c r="AD54" s="131">
        <v>0.01</v>
      </c>
      <c r="AE54" s="131">
        <v>0.01</v>
      </c>
    </row>
    <row r="55" spans="1:31" s="1" customFormat="1" ht="12.75">
      <c r="A55" s="430"/>
      <c r="B55" s="429"/>
      <c r="C55" s="127" t="s">
        <v>299</v>
      </c>
      <c r="D55" s="131"/>
      <c r="E55" s="131">
        <v>0.2</v>
      </c>
      <c r="F55" s="131">
        <v>0.2</v>
      </c>
      <c r="G55" s="131">
        <v>0.2</v>
      </c>
      <c r="H55" s="131">
        <v>0.2</v>
      </c>
      <c r="I55" s="131">
        <v>0.2</v>
      </c>
      <c r="J55" s="131">
        <v>0.2</v>
      </c>
      <c r="K55" s="131">
        <v>0.2</v>
      </c>
      <c r="L55" s="131">
        <v>0.2</v>
      </c>
      <c r="M55" s="131">
        <v>0.2</v>
      </c>
      <c r="N55" s="131">
        <v>0.2</v>
      </c>
      <c r="O55" s="131">
        <v>0.2</v>
      </c>
      <c r="P55" s="131">
        <v>0.2</v>
      </c>
      <c r="Q55" s="131">
        <v>0.2</v>
      </c>
      <c r="R55" s="131">
        <v>0.2</v>
      </c>
      <c r="S55" s="131">
        <v>0.2</v>
      </c>
      <c r="T55" s="131">
        <v>0.2</v>
      </c>
      <c r="U55" s="131">
        <v>0.2</v>
      </c>
      <c r="V55" s="131">
        <v>0.2</v>
      </c>
      <c r="W55" s="131">
        <v>0.2</v>
      </c>
      <c r="X55" s="131">
        <v>0.2</v>
      </c>
      <c r="Y55" s="131">
        <v>0.2</v>
      </c>
      <c r="Z55" s="131">
        <v>0.2</v>
      </c>
      <c r="AA55" s="131">
        <v>0.2</v>
      </c>
      <c r="AB55" s="131">
        <v>0.2</v>
      </c>
      <c r="AC55" s="131">
        <v>0.2</v>
      </c>
      <c r="AD55" s="131">
        <v>0.2</v>
      </c>
      <c r="AE55" s="131">
        <v>0.2</v>
      </c>
    </row>
    <row r="56" spans="1:31" s="1" customFormat="1" ht="12.75">
      <c r="A56" s="430"/>
      <c r="B56" s="429"/>
      <c r="C56" s="127" t="s">
        <v>300</v>
      </c>
      <c r="D56" s="131"/>
      <c r="E56" s="131">
        <v>0.2</v>
      </c>
      <c r="F56" s="131">
        <v>0.2</v>
      </c>
      <c r="G56" s="131">
        <v>0.2</v>
      </c>
      <c r="H56" s="131">
        <v>0.2</v>
      </c>
      <c r="I56" s="131">
        <v>0.2</v>
      </c>
      <c r="J56" s="131">
        <v>0.2</v>
      </c>
      <c r="K56" s="131">
        <v>0.2</v>
      </c>
      <c r="L56" s="131">
        <v>0.2</v>
      </c>
      <c r="M56" s="131">
        <v>0.2</v>
      </c>
      <c r="N56" s="131">
        <v>0.2</v>
      </c>
      <c r="O56" s="131">
        <v>0.2</v>
      </c>
      <c r="P56" s="131">
        <v>0.2</v>
      </c>
      <c r="Q56" s="131">
        <v>0.2</v>
      </c>
      <c r="R56" s="131">
        <v>0.2</v>
      </c>
      <c r="S56" s="131">
        <v>0.2</v>
      </c>
      <c r="T56" s="131">
        <v>0.2</v>
      </c>
      <c r="U56" s="131">
        <v>0.2</v>
      </c>
      <c r="V56" s="131">
        <v>0.2</v>
      </c>
      <c r="W56" s="131">
        <v>0.2</v>
      </c>
      <c r="X56" s="131">
        <v>0.2</v>
      </c>
      <c r="Y56" s="131">
        <v>0.2</v>
      </c>
      <c r="Z56" s="131">
        <v>0.2</v>
      </c>
      <c r="AA56" s="131">
        <v>0.2</v>
      </c>
      <c r="AB56" s="131">
        <v>0.2</v>
      </c>
      <c r="AC56" s="131">
        <v>0.2</v>
      </c>
      <c r="AD56" s="131">
        <v>0.2</v>
      </c>
      <c r="AE56" s="131">
        <v>0.2</v>
      </c>
    </row>
    <row r="57" spans="1:31" s="1" customFormat="1" ht="12.75">
      <c r="A57" s="430"/>
      <c r="B57" s="429"/>
      <c r="C57" s="127" t="s">
        <v>301</v>
      </c>
      <c r="D57" s="131"/>
      <c r="E57" s="131">
        <v>0.2</v>
      </c>
      <c r="F57" s="131">
        <v>0.2</v>
      </c>
      <c r="G57" s="131">
        <v>0.2</v>
      </c>
      <c r="H57" s="131">
        <v>0.2</v>
      </c>
      <c r="I57" s="131">
        <v>0.2</v>
      </c>
      <c r="J57" s="131">
        <v>0.2</v>
      </c>
      <c r="K57" s="131">
        <v>0.2</v>
      </c>
      <c r="L57" s="131">
        <v>0.2</v>
      </c>
      <c r="M57" s="131">
        <v>0.2</v>
      </c>
      <c r="N57" s="131">
        <v>0.2</v>
      </c>
      <c r="O57" s="131">
        <v>0.2</v>
      </c>
      <c r="P57" s="131">
        <v>0.2</v>
      </c>
      <c r="Q57" s="131">
        <v>0.2</v>
      </c>
      <c r="R57" s="131">
        <v>0.2</v>
      </c>
      <c r="S57" s="131">
        <v>0.2</v>
      </c>
      <c r="T57" s="131">
        <v>0.2</v>
      </c>
      <c r="U57" s="131">
        <v>0.2</v>
      </c>
      <c r="V57" s="131">
        <v>0.2</v>
      </c>
      <c r="W57" s="131">
        <v>0.2</v>
      </c>
      <c r="X57" s="131">
        <v>0.2</v>
      </c>
      <c r="Y57" s="131">
        <v>0.2</v>
      </c>
      <c r="Z57" s="131">
        <v>0.2</v>
      </c>
      <c r="AA57" s="131">
        <v>0.2</v>
      </c>
      <c r="AB57" s="131">
        <v>0.2</v>
      </c>
      <c r="AC57" s="131">
        <v>0.2</v>
      </c>
      <c r="AD57" s="131">
        <v>0.2</v>
      </c>
      <c r="AE57" s="131">
        <v>0.2</v>
      </c>
    </row>
    <row r="58" spans="1:31" s="1" customFormat="1" ht="12.75">
      <c r="A58" s="430"/>
      <c r="B58" s="429"/>
      <c r="C58" s="127" t="s">
        <v>275</v>
      </c>
      <c r="D58" s="131"/>
      <c r="E58" s="131">
        <v>0.39</v>
      </c>
      <c r="F58" s="131">
        <v>0.39</v>
      </c>
      <c r="G58" s="131">
        <v>0.39</v>
      </c>
      <c r="H58" s="131">
        <v>0.39</v>
      </c>
      <c r="I58" s="131">
        <v>0.39</v>
      </c>
      <c r="J58" s="131">
        <v>0.39</v>
      </c>
      <c r="K58" s="131">
        <v>0.39</v>
      </c>
      <c r="L58" s="131">
        <v>0.39</v>
      </c>
      <c r="M58" s="131">
        <v>0.39</v>
      </c>
      <c r="N58" s="131">
        <v>0.39</v>
      </c>
      <c r="O58" s="131">
        <v>0.39</v>
      </c>
      <c r="P58" s="131">
        <v>0.39</v>
      </c>
      <c r="Q58" s="131">
        <v>0.39</v>
      </c>
      <c r="R58" s="131">
        <v>0.39</v>
      </c>
      <c r="S58" s="131">
        <v>0.39</v>
      </c>
      <c r="T58" s="131">
        <v>0.39</v>
      </c>
      <c r="U58" s="131">
        <v>0.39</v>
      </c>
      <c r="V58" s="131">
        <v>0.39</v>
      </c>
      <c r="W58" s="131">
        <v>0.39</v>
      </c>
      <c r="X58" s="131">
        <v>0.39</v>
      </c>
      <c r="Y58" s="131">
        <v>0.39</v>
      </c>
      <c r="Z58" s="131">
        <v>0.39</v>
      </c>
      <c r="AA58" s="131">
        <v>0.39</v>
      </c>
      <c r="AB58" s="131">
        <v>0.39</v>
      </c>
      <c r="AC58" s="131">
        <v>0.39</v>
      </c>
      <c r="AD58" s="131">
        <v>0.39</v>
      </c>
      <c r="AE58" s="131">
        <v>0.39</v>
      </c>
    </row>
    <row r="59" spans="1:31" s="1" customFormat="1" ht="12.75">
      <c r="A59" s="430"/>
      <c r="B59" s="429" t="s">
        <v>131</v>
      </c>
      <c r="C59" s="127" t="s">
        <v>276</v>
      </c>
      <c r="D59" s="131"/>
      <c r="E59" s="131">
        <v>0.7</v>
      </c>
      <c r="F59" s="131">
        <v>0.7</v>
      </c>
      <c r="G59" s="131">
        <v>0.7</v>
      </c>
      <c r="H59" s="131">
        <v>0.7</v>
      </c>
      <c r="I59" s="131">
        <v>0.7</v>
      </c>
      <c r="J59" s="131">
        <v>0.7</v>
      </c>
      <c r="K59" s="131">
        <v>0.7</v>
      </c>
      <c r="L59" s="131">
        <v>0.7</v>
      </c>
      <c r="M59" s="131">
        <v>0.7</v>
      </c>
      <c r="N59" s="131">
        <v>0.7</v>
      </c>
      <c r="O59" s="131">
        <v>0.7</v>
      </c>
      <c r="P59" s="131">
        <v>0.7</v>
      </c>
      <c r="Q59" s="131">
        <v>0.7</v>
      </c>
      <c r="R59" s="131">
        <v>0.7</v>
      </c>
      <c r="S59" s="131">
        <v>0.7</v>
      </c>
      <c r="T59" s="131">
        <v>0.7</v>
      </c>
      <c r="U59" s="131">
        <v>0.7</v>
      </c>
      <c r="V59" s="131">
        <v>0.7</v>
      </c>
      <c r="W59" s="131">
        <v>0.7</v>
      </c>
      <c r="X59" s="131">
        <v>0.7</v>
      </c>
      <c r="Y59" s="131">
        <v>0.7</v>
      </c>
      <c r="Z59" s="131">
        <v>0.7</v>
      </c>
      <c r="AA59" s="131">
        <v>0.7</v>
      </c>
      <c r="AB59" s="131">
        <v>0.7</v>
      </c>
      <c r="AC59" s="131">
        <v>0.7</v>
      </c>
      <c r="AD59" s="131">
        <v>0.7</v>
      </c>
      <c r="AE59" s="131">
        <v>0.7</v>
      </c>
    </row>
    <row r="60" spans="1:31" s="1" customFormat="1" ht="12.75">
      <c r="A60" s="430"/>
      <c r="B60" s="429"/>
      <c r="C60" s="127" t="s">
        <v>277</v>
      </c>
      <c r="D60" s="131"/>
      <c r="E60" s="131">
        <v>0.3</v>
      </c>
      <c r="F60" s="131">
        <v>0.3</v>
      </c>
      <c r="G60" s="131">
        <v>0.3</v>
      </c>
      <c r="H60" s="131">
        <v>0.3</v>
      </c>
      <c r="I60" s="131">
        <v>0.3</v>
      </c>
      <c r="J60" s="131">
        <v>0.3</v>
      </c>
      <c r="K60" s="131">
        <v>0.3</v>
      </c>
      <c r="L60" s="131">
        <v>0.3</v>
      </c>
      <c r="M60" s="131">
        <v>0.3</v>
      </c>
      <c r="N60" s="131">
        <v>0.3</v>
      </c>
      <c r="O60" s="131">
        <v>0.3</v>
      </c>
      <c r="P60" s="131">
        <v>0.3</v>
      </c>
      <c r="Q60" s="131">
        <v>0.3</v>
      </c>
      <c r="R60" s="131">
        <v>0.3</v>
      </c>
      <c r="S60" s="131">
        <v>0.3</v>
      </c>
      <c r="T60" s="131">
        <v>0.3</v>
      </c>
      <c r="U60" s="131">
        <v>0.3</v>
      </c>
      <c r="V60" s="131">
        <v>0.3</v>
      </c>
      <c r="W60" s="131">
        <v>0.3</v>
      </c>
      <c r="X60" s="131">
        <v>0.3</v>
      </c>
      <c r="Y60" s="131">
        <v>0.3</v>
      </c>
      <c r="Z60" s="131">
        <v>0.3</v>
      </c>
      <c r="AA60" s="131">
        <v>0.3</v>
      </c>
      <c r="AB60" s="131">
        <v>0.3</v>
      </c>
      <c r="AC60" s="131">
        <v>0.3</v>
      </c>
      <c r="AD60" s="131">
        <v>0.3</v>
      </c>
      <c r="AE60" s="131">
        <v>0.3</v>
      </c>
    </row>
    <row r="61" spans="1:31" s="1" customFormat="1" ht="12.75">
      <c r="A61" s="430"/>
      <c r="B61" s="429" t="s">
        <v>278</v>
      </c>
      <c r="C61" s="127" t="s">
        <v>261</v>
      </c>
      <c r="D61" s="131"/>
      <c r="E61" s="131">
        <v>0.5</v>
      </c>
      <c r="F61" s="131">
        <v>0.5</v>
      </c>
      <c r="G61" s="131">
        <v>0.5</v>
      </c>
      <c r="H61" s="131">
        <v>0.5</v>
      </c>
      <c r="I61" s="131">
        <v>0.5</v>
      </c>
      <c r="J61" s="131">
        <v>0.5</v>
      </c>
      <c r="K61" s="131">
        <v>0.5</v>
      </c>
      <c r="L61" s="131">
        <v>0.5</v>
      </c>
      <c r="M61" s="131">
        <v>0.5</v>
      </c>
      <c r="N61" s="131">
        <v>0.5</v>
      </c>
      <c r="O61" s="131">
        <v>0.5</v>
      </c>
      <c r="P61" s="131">
        <v>0.5</v>
      </c>
      <c r="Q61" s="131">
        <v>0.5</v>
      </c>
      <c r="R61" s="131">
        <v>0.5</v>
      </c>
      <c r="S61" s="131">
        <v>0.5</v>
      </c>
      <c r="T61" s="131">
        <v>0.5</v>
      </c>
      <c r="U61" s="131">
        <v>0.5</v>
      </c>
      <c r="V61" s="131">
        <v>0.5</v>
      </c>
      <c r="W61" s="131">
        <v>0.5</v>
      </c>
      <c r="X61" s="131">
        <v>0.5</v>
      </c>
      <c r="Y61" s="131">
        <v>0.5</v>
      </c>
      <c r="Z61" s="131">
        <v>0.5</v>
      </c>
      <c r="AA61" s="131">
        <v>0.5</v>
      </c>
      <c r="AB61" s="131">
        <v>0.5</v>
      </c>
      <c r="AC61" s="131">
        <v>0.5</v>
      </c>
      <c r="AD61" s="131">
        <v>0.5</v>
      </c>
      <c r="AE61" s="131">
        <v>0.5</v>
      </c>
    </row>
    <row r="62" spans="1:31" s="1" customFormat="1" ht="12.75">
      <c r="A62" s="430"/>
      <c r="B62" s="429"/>
      <c r="C62" s="127" t="s">
        <v>279</v>
      </c>
      <c r="D62" s="131"/>
      <c r="E62" s="131">
        <v>0.25</v>
      </c>
      <c r="F62" s="131">
        <v>0.25</v>
      </c>
      <c r="G62" s="131">
        <v>0.25</v>
      </c>
      <c r="H62" s="131">
        <v>0.25</v>
      </c>
      <c r="I62" s="131">
        <v>0.25</v>
      </c>
      <c r="J62" s="131">
        <v>0.25</v>
      </c>
      <c r="K62" s="131">
        <v>0.25</v>
      </c>
      <c r="L62" s="131">
        <v>0.25</v>
      </c>
      <c r="M62" s="131">
        <v>0.25</v>
      </c>
      <c r="N62" s="131">
        <v>0.25</v>
      </c>
      <c r="O62" s="131">
        <v>0.25</v>
      </c>
      <c r="P62" s="131">
        <v>0.25</v>
      </c>
      <c r="Q62" s="131">
        <v>0.25</v>
      </c>
      <c r="R62" s="131">
        <v>0.25</v>
      </c>
      <c r="S62" s="131">
        <v>0.25</v>
      </c>
      <c r="T62" s="131">
        <v>0.25</v>
      </c>
      <c r="U62" s="131">
        <v>0.25</v>
      </c>
      <c r="V62" s="131">
        <v>0.25</v>
      </c>
      <c r="W62" s="131">
        <v>0.25</v>
      </c>
      <c r="X62" s="131">
        <v>0.25</v>
      </c>
      <c r="Y62" s="131">
        <v>0.25</v>
      </c>
      <c r="Z62" s="131">
        <v>0.25</v>
      </c>
      <c r="AA62" s="131">
        <v>0.25</v>
      </c>
      <c r="AB62" s="131">
        <v>0.25</v>
      </c>
      <c r="AC62" s="131">
        <v>0.25</v>
      </c>
      <c r="AD62" s="131">
        <v>0.25</v>
      </c>
      <c r="AE62" s="131">
        <v>0.25</v>
      </c>
    </row>
    <row r="63" spans="1:31" s="1" customFormat="1" ht="12.75">
      <c r="A63" s="430"/>
      <c r="B63" s="429"/>
      <c r="C63" s="127" t="s">
        <v>280</v>
      </c>
      <c r="D63" s="131"/>
      <c r="E63" s="131">
        <v>0.25</v>
      </c>
      <c r="F63" s="131">
        <v>0.25</v>
      </c>
      <c r="G63" s="131">
        <v>0.25</v>
      </c>
      <c r="H63" s="131">
        <v>0.25</v>
      </c>
      <c r="I63" s="131">
        <v>0.25</v>
      </c>
      <c r="J63" s="131">
        <v>0.25</v>
      </c>
      <c r="K63" s="131">
        <v>0.25</v>
      </c>
      <c r="L63" s="131">
        <v>0.25</v>
      </c>
      <c r="M63" s="131">
        <v>0.25</v>
      </c>
      <c r="N63" s="131">
        <v>0.25</v>
      </c>
      <c r="O63" s="131">
        <v>0.25</v>
      </c>
      <c r="P63" s="131">
        <v>0.25</v>
      </c>
      <c r="Q63" s="131">
        <v>0.25</v>
      </c>
      <c r="R63" s="131">
        <v>0.25</v>
      </c>
      <c r="S63" s="131">
        <v>0.25</v>
      </c>
      <c r="T63" s="131">
        <v>0.25</v>
      </c>
      <c r="U63" s="131">
        <v>0.25</v>
      </c>
      <c r="V63" s="131">
        <v>0.25</v>
      </c>
      <c r="W63" s="131">
        <v>0.25</v>
      </c>
      <c r="X63" s="131">
        <v>0.25</v>
      </c>
      <c r="Y63" s="131">
        <v>0.25</v>
      </c>
      <c r="Z63" s="131">
        <v>0.25</v>
      </c>
      <c r="AA63" s="131">
        <v>0.25</v>
      </c>
      <c r="AB63" s="131">
        <v>0.25</v>
      </c>
      <c r="AC63" s="131">
        <v>0.25</v>
      </c>
      <c r="AD63" s="131">
        <v>0.25</v>
      </c>
      <c r="AE63" s="131">
        <v>0.25</v>
      </c>
    </row>
    <row r="64" spans="1:31" s="1" customFormat="1" ht="12.75">
      <c r="A64" s="430"/>
      <c r="B64" s="429" t="s">
        <v>139</v>
      </c>
      <c r="C64" s="127" t="s">
        <v>281</v>
      </c>
      <c r="D64" s="131"/>
      <c r="E64" s="131">
        <v>0.4</v>
      </c>
      <c r="F64" s="131">
        <v>0.4</v>
      </c>
      <c r="G64" s="131">
        <v>0.4</v>
      </c>
      <c r="H64" s="131">
        <v>0.4</v>
      </c>
      <c r="I64" s="131">
        <v>0.4</v>
      </c>
      <c r="J64" s="131">
        <v>0.4</v>
      </c>
      <c r="K64" s="131">
        <v>0.4</v>
      </c>
      <c r="L64" s="131">
        <v>0.4</v>
      </c>
      <c r="M64" s="131">
        <v>0.4</v>
      </c>
      <c r="N64" s="131">
        <v>0.4</v>
      </c>
      <c r="O64" s="131">
        <v>0.4</v>
      </c>
      <c r="P64" s="131">
        <v>0.4</v>
      </c>
      <c r="Q64" s="131">
        <v>0.4</v>
      </c>
      <c r="R64" s="131">
        <v>0.4</v>
      </c>
      <c r="S64" s="131">
        <v>0.4</v>
      </c>
      <c r="T64" s="131">
        <v>0.4</v>
      </c>
      <c r="U64" s="131">
        <v>0.4</v>
      </c>
      <c r="V64" s="131">
        <v>0.4</v>
      </c>
      <c r="W64" s="131">
        <v>0.4</v>
      </c>
      <c r="X64" s="131">
        <v>0.4</v>
      </c>
      <c r="Y64" s="131">
        <v>0.4</v>
      </c>
      <c r="Z64" s="131">
        <v>0.4</v>
      </c>
      <c r="AA64" s="131">
        <v>0.4</v>
      </c>
      <c r="AB64" s="131">
        <v>0.4</v>
      </c>
      <c r="AC64" s="131">
        <v>0.4</v>
      </c>
      <c r="AD64" s="131">
        <v>0.4</v>
      </c>
      <c r="AE64" s="131">
        <v>0.4</v>
      </c>
    </row>
    <row r="65" spans="1:31" s="1" customFormat="1" ht="12.75">
      <c r="A65" s="430"/>
      <c r="B65" s="429"/>
      <c r="C65" s="127" t="s">
        <v>283</v>
      </c>
      <c r="D65" s="131"/>
      <c r="E65" s="131">
        <v>0.2</v>
      </c>
      <c r="F65" s="131">
        <v>0.2</v>
      </c>
      <c r="G65" s="131">
        <v>0.2</v>
      </c>
      <c r="H65" s="131">
        <v>0.2</v>
      </c>
      <c r="I65" s="131">
        <v>0.2</v>
      </c>
      <c r="J65" s="131">
        <v>0.2</v>
      </c>
      <c r="K65" s="131">
        <v>0.2</v>
      </c>
      <c r="L65" s="131">
        <v>0.2</v>
      </c>
      <c r="M65" s="131">
        <v>0.2</v>
      </c>
      <c r="N65" s="131">
        <v>0.2</v>
      </c>
      <c r="O65" s="131">
        <v>0.2</v>
      </c>
      <c r="P65" s="131">
        <v>0.2</v>
      </c>
      <c r="Q65" s="131">
        <v>0.2</v>
      </c>
      <c r="R65" s="131">
        <v>0.2</v>
      </c>
      <c r="S65" s="131">
        <v>0.2</v>
      </c>
      <c r="T65" s="131">
        <v>0.2</v>
      </c>
      <c r="U65" s="131">
        <v>0.2</v>
      </c>
      <c r="V65" s="131">
        <v>0.2</v>
      </c>
      <c r="W65" s="131">
        <v>0.2</v>
      </c>
      <c r="X65" s="131">
        <v>0.2</v>
      </c>
      <c r="Y65" s="131">
        <v>0.2</v>
      </c>
      <c r="Z65" s="131">
        <v>0.2</v>
      </c>
      <c r="AA65" s="131">
        <v>0.2</v>
      </c>
      <c r="AB65" s="131">
        <v>0.2</v>
      </c>
      <c r="AC65" s="131">
        <v>0.2</v>
      </c>
      <c r="AD65" s="131">
        <v>0.2</v>
      </c>
      <c r="AE65" s="131">
        <v>0.2</v>
      </c>
    </row>
    <row r="66" spans="1:31" s="1" customFormat="1" ht="12.75">
      <c r="A66" s="430"/>
      <c r="B66" s="429"/>
      <c r="C66" s="127" t="s">
        <v>284</v>
      </c>
      <c r="D66" s="131"/>
      <c r="E66" s="131">
        <v>0.2</v>
      </c>
      <c r="F66" s="131">
        <v>0.2</v>
      </c>
      <c r="G66" s="131">
        <v>0.2</v>
      </c>
      <c r="H66" s="131">
        <v>0.2</v>
      </c>
      <c r="I66" s="131">
        <v>0.2</v>
      </c>
      <c r="J66" s="131">
        <v>0.2</v>
      </c>
      <c r="K66" s="131">
        <v>0.2</v>
      </c>
      <c r="L66" s="131">
        <v>0.2</v>
      </c>
      <c r="M66" s="131">
        <v>0.2</v>
      </c>
      <c r="N66" s="131">
        <v>0.2</v>
      </c>
      <c r="O66" s="131">
        <v>0.2</v>
      </c>
      <c r="P66" s="131">
        <v>0.2</v>
      </c>
      <c r="Q66" s="131">
        <v>0.2</v>
      </c>
      <c r="R66" s="131">
        <v>0.2</v>
      </c>
      <c r="S66" s="131">
        <v>0.2</v>
      </c>
      <c r="T66" s="131">
        <v>0.2</v>
      </c>
      <c r="U66" s="131">
        <v>0.2</v>
      </c>
      <c r="V66" s="131">
        <v>0.2</v>
      </c>
      <c r="W66" s="131">
        <v>0.2</v>
      </c>
      <c r="X66" s="131">
        <v>0.2</v>
      </c>
      <c r="Y66" s="131">
        <v>0.2</v>
      </c>
      <c r="Z66" s="131">
        <v>0.2</v>
      </c>
      <c r="AA66" s="131">
        <v>0.2</v>
      </c>
      <c r="AB66" s="131">
        <v>0.2</v>
      </c>
      <c r="AC66" s="131">
        <v>0.2</v>
      </c>
      <c r="AD66" s="131">
        <v>0.2</v>
      </c>
      <c r="AE66" s="131">
        <v>0.2</v>
      </c>
    </row>
    <row r="67" spans="1:31" s="1" customFormat="1" ht="12.75">
      <c r="A67" s="430"/>
      <c r="B67" s="429"/>
      <c r="C67" s="127" t="s">
        <v>286</v>
      </c>
      <c r="D67" s="131"/>
      <c r="E67" s="131">
        <v>0.2</v>
      </c>
      <c r="F67" s="131">
        <v>0.2</v>
      </c>
      <c r="G67" s="131">
        <v>0.2</v>
      </c>
      <c r="H67" s="131">
        <v>0.2</v>
      </c>
      <c r="I67" s="131">
        <v>0.2</v>
      </c>
      <c r="J67" s="131">
        <v>0.2</v>
      </c>
      <c r="K67" s="131">
        <v>0.2</v>
      </c>
      <c r="L67" s="131">
        <v>0.2</v>
      </c>
      <c r="M67" s="131">
        <v>0.2</v>
      </c>
      <c r="N67" s="131">
        <v>0.2</v>
      </c>
      <c r="O67" s="131">
        <v>0.2</v>
      </c>
      <c r="P67" s="131">
        <v>0.2</v>
      </c>
      <c r="Q67" s="131">
        <v>0.2</v>
      </c>
      <c r="R67" s="131">
        <v>0.2</v>
      </c>
      <c r="S67" s="131">
        <v>0.2</v>
      </c>
      <c r="T67" s="131">
        <v>0.2</v>
      </c>
      <c r="U67" s="131">
        <v>0.2</v>
      </c>
      <c r="V67" s="131">
        <v>0.2</v>
      </c>
      <c r="W67" s="131">
        <v>0.2</v>
      </c>
      <c r="X67" s="131">
        <v>0.2</v>
      </c>
      <c r="Y67" s="131">
        <v>0.2</v>
      </c>
      <c r="Z67" s="131">
        <v>0.2</v>
      </c>
      <c r="AA67" s="131">
        <v>0.2</v>
      </c>
      <c r="AB67" s="131">
        <v>0.2</v>
      </c>
      <c r="AC67" s="131">
        <v>0.2</v>
      </c>
      <c r="AD67" s="131">
        <v>0.2</v>
      </c>
      <c r="AE67" s="131">
        <v>0.2</v>
      </c>
    </row>
    <row r="68" spans="1:31" s="1" customFormat="1" ht="12.75">
      <c r="A68" s="430"/>
      <c r="B68" s="429" t="s">
        <v>287</v>
      </c>
      <c r="C68" s="127" t="s">
        <v>302</v>
      </c>
      <c r="D68" s="131"/>
      <c r="E68" s="131">
        <v>0.25</v>
      </c>
      <c r="F68" s="131">
        <v>0.25</v>
      </c>
      <c r="G68" s="131">
        <v>0.25</v>
      </c>
      <c r="H68" s="131">
        <v>0.25</v>
      </c>
      <c r="I68" s="131">
        <v>0.25</v>
      </c>
      <c r="J68" s="131">
        <v>0.25</v>
      </c>
      <c r="K68" s="131">
        <v>0.25</v>
      </c>
      <c r="L68" s="131">
        <v>0.25</v>
      </c>
      <c r="M68" s="131">
        <v>0.25</v>
      </c>
      <c r="N68" s="131">
        <v>0.25</v>
      </c>
      <c r="O68" s="131">
        <v>0.25</v>
      </c>
      <c r="P68" s="131">
        <v>0.25</v>
      </c>
      <c r="Q68" s="131">
        <v>0.25</v>
      </c>
      <c r="R68" s="131">
        <v>0.25</v>
      </c>
      <c r="S68" s="131">
        <v>0.25</v>
      </c>
      <c r="T68" s="131">
        <v>0.25</v>
      </c>
      <c r="U68" s="131">
        <v>0.25</v>
      </c>
      <c r="V68" s="131">
        <v>0.25</v>
      </c>
      <c r="W68" s="131">
        <v>0.25</v>
      </c>
      <c r="X68" s="131">
        <v>0.25</v>
      </c>
      <c r="Y68" s="131">
        <v>0.25</v>
      </c>
      <c r="Z68" s="131">
        <v>0.25</v>
      </c>
      <c r="AA68" s="131">
        <v>0.25</v>
      </c>
      <c r="AB68" s="131">
        <v>0.25</v>
      </c>
      <c r="AC68" s="131">
        <v>0.25</v>
      </c>
      <c r="AD68" s="131">
        <v>0.25</v>
      </c>
      <c r="AE68" s="131">
        <v>0.25</v>
      </c>
    </row>
    <row r="69" spans="1:31" s="1" customFormat="1" ht="12.75">
      <c r="A69" s="430"/>
      <c r="B69" s="429"/>
      <c r="C69" s="127" t="s">
        <v>303</v>
      </c>
      <c r="D69" s="131"/>
      <c r="E69" s="131">
        <v>0.25</v>
      </c>
      <c r="F69" s="131">
        <v>0.25</v>
      </c>
      <c r="G69" s="131">
        <v>0.25</v>
      </c>
      <c r="H69" s="131">
        <v>0.25</v>
      </c>
      <c r="I69" s="131">
        <v>0.25</v>
      </c>
      <c r="J69" s="131">
        <v>0.25</v>
      </c>
      <c r="K69" s="131">
        <v>0.25</v>
      </c>
      <c r="L69" s="131">
        <v>0.25</v>
      </c>
      <c r="M69" s="131">
        <v>0.25</v>
      </c>
      <c r="N69" s="131">
        <v>0.25</v>
      </c>
      <c r="O69" s="131">
        <v>0.25</v>
      </c>
      <c r="P69" s="131">
        <v>0.25</v>
      </c>
      <c r="Q69" s="131">
        <v>0.25</v>
      </c>
      <c r="R69" s="131">
        <v>0.25</v>
      </c>
      <c r="S69" s="131">
        <v>0.25</v>
      </c>
      <c r="T69" s="131">
        <v>0.25</v>
      </c>
      <c r="U69" s="131">
        <v>0.25</v>
      </c>
      <c r="V69" s="131">
        <v>0.25</v>
      </c>
      <c r="W69" s="131">
        <v>0.25</v>
      </c>
      <c r="X69" s="131">
        <v>0.25</v>
      </c>
      <c r="Y69" s="131">
        <v>0.25</v>
      </c>
      <c r="Z69" s="131">
        <v>0.25</v>
      </c>
      <c r="AA69" s="131">
        <v>0.25</v>
      </c>
      <c r="AB69" s="131">
        <v>0.25</v>
      </c>
      <c r="AC69" s="131">
        <v>0.25</v>
      </c>
      <c r="AD69" s="131">
        <v>0.25</v>
      </c>
      <c r="AE69" s="131">
        <v>0.25</v>
      </c>
    </row>
    <row r="70" spans="1:31" s="1" customFormat="1" ht="12.75">
      <c r="A70" s="430"/>
      <c r="B70" s="429"/>
      <c r="C70" s="127" t="s">
        <v>304</v>
      </c>
      <c r="D70" s="131"/>
      <c r="E70" s="131">
        <v>0.25</v>
      </c>
      <c r="F70" s="131">
        <v>0.25</v>
      </c>
      <c r="G70" s="131">
        <v>0.25</v>
      </c>
      <c r="H70" s="131">
        <v>0.25</v>
      </c>
      <c r="I70" s="131">
        <v>0.25</v>
      </c>
      <c r="J70" s="131">
        <v>0.25</v>
      </c>
      <c r="K70" s="131">
        <v>0.25</v>
      </c>
      <c r="L70" s="131">
        <v>0.25</v>
      </c>
      <c r="M70" s="131">
        <v>0.25</v>
      </c>
      <c r="N70" s="131">
        <v>0.25</v>
      </c>
      <c r="O70" s="131">
        <v>0.25</v>
      </c>
      <c r="P70" s="131">
        <v>0.25</v>
      </c>
      <c r="Q70" s="131">
        <v>0.25</v>
      </c>
      <c r="R70" s="131">
        <v>0.25</v>
      </c>
      <c r="S70" s="131">
        <v>0.25</v>
      </c>
      <c r="T70" s="131">
        <v>0.25</v>
      </c>
      <c r="U70" s="131">
        <v>0.25</v>
      </c>
      <c r="V70" s="131">
        <v>0.25</v>
      </c>
      <c r="W70" s="131">
        <v>0.25</v>
      </c>
      <c r="X70" s="131">
        <v>0.25</v>
      </c>
      <c r="Y70" s="131">
        <v>0.25</v>
      </c>
      <c r="Z70" s="131">
        <v>0.25</v>
      </c>
      <c r="AA70" s="131">
        <v>0.25</v>
      </c>
      <c r="AB70" s="131">
        <v>0.25</v>
      </c>
      <c r="AC70" s="131">
        <v>0.25</v>
      </c>
      <c r="AD70" s="131">
        <v>0.25</v>
      </c>
      <c r="AE70" s="131">
        <v>0.25</v>
      </c>
    </row>
    <row r="71" spans="1:31" s="1" customFormat="1" ht="12.75">
      <c r="A71" s="430"/>
      <c r="B71" s="429"/>
      <c r="C71" s="127" t="s">
        <v>305</v>
      </c>
      <c r="D71" s="131"/>
      <c r="E71" s="131">
        <v>0.25</v>
      </c>
      <c r="F71" s="131">
        <v>0.25</v>
      </c>
      <c r="G71" s="131">
        <v>0.25</v>
      </c>
      <c r="H71" s="131">
        <v>0.25</v>
      </c>
      <c r="I71" s="131">
        <v>0.25</v>
      </c>
      <c r="J71" s="131">
        <v>0.25</v>
      </c>
      <c r="K71" s="131">
        <v>0.25</v>
      </c>
      <c r="L71" s="131">
        <v>0.25</v>
      </c>
      <c r="M71" s="131">
        <v>0.25</v>
      </c>
      <c r="N71" s="131">
        <v>0.25</v>
      </c>
      <c r="O71" s="131">
        <v>0.25</v>
      </c>
      <c r="P71" s="131">
        <v>0.25</v>
      </c>
      <c r="Q71" s="131">
        <v>0.25</v>
      </c>
      <c r="R71" s="131">
        <v>0.25</v>
      </c>
      <c r="S71" s="131">
        <v>0.25</v>
      </c>
      <c r="T71" s="131">
        <v>0.25</v>
      </c>
      <c r="U71" s="131">
        <v>0.25</v>
      </c>
      <c r="V71" s="131">
        <v>0.25</v>
      </c>
      <c r="W71" s="131">
        <v>0.25</v>
      </c>
      <c r="X71" s="131">
        <v>0.25</v>
      </c>
      <c r="Y71" s="131">
        <v>0.25</v>
      </c>
      <c r="Z71" s="131">
        <v>0.25</v>
      </c>
      <c r="AA71" s="131">
        <v>0.25</v>
      </c>
      <c r="AB71" s="131">
        <v>0.25</v>
      </c>
      <c r="AC71" s="131">
        <v>0.25</v>
      </c>
      <c r="AD71" s="131">
        <v>0.25</v>
      </c>
      <c r="AE71" s="131">
        <v>0.25</v>
      </c>
    </row>
    <row r="72" spans="1:31" s="1" customFormat="1" ht="12.75">
      <c r="A72" s="132"/>
      <c r="B72" s="133"/>
      <c r="C72" s="127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</row>
    <row r="73" spans="1:31" s="1" customFormat="1" ht="12.75">
      <c r="A73" s="427" t="s">
        <v>306</v>
      </c>
      <c r="B73" s="127" t="s">
        <v>297</v>
      </c>
      <c r="C73" s="127"/>
      <c r="D73" s="128"/>
      <c r="E73" s="134" t="e">
        <f>IF(MAX(#REF!)-E79&gt;1,MAX(#REF!)-1,E79)</f>
        <v>#REF!</v>
      </c>
      <c r="F73" s="134" t="e">
        <f>IF(MAX(#REF!)-F79&gt;1,MAX(#REF!)-1,F79)</f>
        <v>#REF!</v>
      </c>
      <c r="G73" s="134" t="e">
        <f>IF(MAX(#REF!)-G79&gt;1,MAX(#REF!)-1,G79)</f>
        <v>#REF!</v>
      </c>
      <c r="H73" s="134" t="e">
        <f>IF(MAX(#REF!)-H79&gt;1,MAX(#REF!)-1,H79)</f>
        <v>#REF!</v>
      </c>
      <c r="I73" s="134" t="e">
        <f>IF(MAX(#REF!)-I79&gt;1,MAX(#REF!)-1,I79)</f>
        <v>#REF!</v>
      </c>
      <c r="J73" s="134" t="e">
        <f>IF(MAX(#REF!)-J79&gt;1,MAX(#REF!)-1,J79)</f>
        <v>#REF!</v>
      </c>
      <c r="K73" s="134" t="e">
        <f>IF(MAX(#REF!)-K79&gt;1,MAX(#REF!)-1,K79)</f>
        <v>#REF!</v>
      </c>
      <c r="L73" s="134" t="e">
        <f>IF(MAX(#REF!)-L79&gt;1,MAX(#REF!)-1,L79)</f>
        <v>#REF!</v>
      </c>
      <c r="M73" s="134" t="e">
        <f>IF(MAX(#REF!)-M79&gt;1,MAX(#REF!)-1,M79)</f>
        <v>#REF!</v>
      </c>
      <c r="N73" s="134" t="e">
        <f>IF(MAX(#REF!)-N79&gt;1,MAX(#REF!)-1,N79)</f>
        <v>#REF!</v>
      </c>
      <c r="O73" s="134" t="e">
        <f>IF(MAX(#REF!)-O79&gt;1,MAX(#REF!)-1,O79)</f>
        <v>#REF!</v>
      </c>
      <c r="P73" s="134" t="e">
        <f>IF(MAX(#REF!)-P79&gt;1,MAX(#REF!)-1,P79)</f>
        <v>#REF!</v>
      </c>
      <c r="Q73" s="134" t="e">
        <f>IF(MAX(#REF!)-Q79&gt;1,MAX(#REF!)-1,Q79)</f>
        <v>#REF!</v>
      </c>
      <c r="R73" s="134" t="e">
        <f>IF(MAX(#REF!)-R79&gt;1,MAX(#REF!)-1,R79)</f>
        <v>#REF!</v>
      </c>
      <c r="S73" s="134" t="e">
        <f>IF(MAX(#REF!)-S79&gt;1,MAX(#REF!)-1,S79)</f>
        <v>#REF!</v>
      </c>
      <c r="T73" s="134" t="e">
        <f>IF(MAX(#REF!)-T79&gt;1,MAX(#REF!)-1,T79)</f>
        <v>#REF!</v>
      </c>
      <c r="U73" s="134" t="e">
        <f>IF(MAX(#REF!)-U79&gt;1,MAX(#REF!)-1,U79)</f>
        <v>#REF!</v>
      </c>
      <c r="V73" s="134" t="e">
        <f>IF(MAX(#REF!)-V79&gt;1,MAX(#REF!)-1,V79)</f>
        <v>#REF!</v>
      </c>
      <c r="W73" s="134" t="e">
        <f>IF(MAX(#REF!)-W79&gt;1,MAX(#REF!)-1,W79)</f>
        <v>#REF!</v>
      </c>
      <c r="X73" s="134" t="e">
        <f>IF(MAX(#REF!)-X79&gt;1,MAX(#REF!)-1,X79)</f>
        <v>#REF!</v>
      </c>
      <c r="Y73" s="134" t="e">
        <f>IF(MAX(#REF!)-Y79&gt;1,MAX(#REF!)-1,Y79)</f>
        <v>#REF!</v>
      </c>
      <c r="Z73" s="134" t="e">
        <f>IF(MAX(#REF!)-Z79&gt;1,MAX(#REF!)-1,Z79)</f>
        <v>#REF!</v>
      </c>
      <c r="AA73" s="134" t="e">
        <f>IF(MAX(#REF!)-AA79&gt;1,MAX(#REF!)-1,AA79)</f>
        <v>#REF!</v>
      </c>
      <c r="AB73" s="134" t="e">
        <f>IF(MAX(#REF!)-AB79&gt;1,MAX(#REF!)-1,AB79)</f>
        <v>#REF!</v>
      </c>
      <c r="AC73" s="134" t="e">
        <f>IF(MAX(#REF!)-AC79&gt;1,MAX(#REF!)-1,AC79)</f>
        <v>#REF!</v>
      </c>
      <c r="AD73" s="134" t="e">
        <f>IF(MAX(#REF!)-AD79&gt;1,MAX(#REF!)-1,AD79)</f>
        <v>#REF!</v>
      </c>
      <c r="AE73" s="134" t="e">
        <f>IF(MAX(#REF!)-AE79&gt;1,MAX(#REF!)-1,AE79)</f>
        <v>#REF!</v>
      </c>
    </row>
    <row r="74" spans="1:31" s="1" customFormat="1" ht="12.75">
      <c r="A74" s="427"/>
      <c r="B74" s="127" t="s">
        <v>131</v>
      </c>
      <c r="C74" s="127"/>
      <c r="D74" s="128"/>
      <c r="E74" s="134" t="e">
        <f t="shared" ref="E74:J74" si="56">IF(MAX(E33:E34)-E80&gt;1,MAX(E33:E34)-1,E80)</f>
        <v>#DIV/0!</v>
      </c>
      <c r="F74" s="134" t="e">
        <f t="shared" si="56"/>
        <v>#DIV/0!</v>
      </c>
      <c r="G74" s="134" t="e">
        <f t="shared" si="56"/>
        <v>#DIV/0!</v>
      </c>
      <c r="H74" s="134" t="e">
        <f t="shared" si="56"/>
        <v>#DIV/0!</v>
      </c>
      <c r="I74" s="134" t="e">
        <f t="shared" si="56"/>
        <v>#DIV/0!</v>
      </c>
      <c r="J74" s="134">
        <f t="shared" si="56"/>
        <v>1</v>
      </c>
      <c r="K74" s="134">
        <f>IF(MAX(K33:K34)-K80&gt;1,MAX(K33:K34)-1,K80)</f>
        <v>1</v>
      </c>
      <c r="L74" s="134">
        <f t="shared" ref="L74:Y74" si="57">IF(MAX(L33:L34)-L80&gt;1,MAX(L33:L34)-1,L80)</f>
        <v>1</v>
      </c>
      <c r="M74" s="134">
        <f t="shared" si="57"/>
        <v>1</v>
      </c>
      <c r="N74" s="134">
        <f t="shared" si="57"/>
        <v>1</v>
      </c>
      <c r="O74" s="134">
        <f t="shared" si="57"/>
        <v>1</v>
      </c>
      <c r="P74" s="134">
        <f t="shared" si="57"/>
        <v>1</v>
      </c>
      <c r="Q74" s="134">
        <f t="shared" si="57"/>
        <v>1</v>
      </c>
      <c r="R74" s="134">
        <f t="shared" si="57"/>
        <v>1</v>
      </c>
      <c r="S74" s="134">
        <f t="shared" si="57"/>
        <v>1</v>
      </c>
      <c r="T74" s="134">
        <f t="shared" si="57"/>
        <v>1</v>
      </c>
      <c r="U74" s="134">
        <f t="shared" si="57"/>
        <v>1</v>
      </c>
      <c r="V74" s="134">
        <f t="shared" si="57"/>
        <v>1</v>
      </c>
      <c r="W74" s="134">
        <f t="shared" si="57"/>
        <v>1</v>
      </c>
      <c r="X74" s="134">
        <f t="shared" si="57"/>
        <v>1</v>
      </c>
      <c r="Y74" s="134">
        <f t="shared" ref="Y74:AE74" si="58">IF(MAX(Y33:Y34)-Y80&gt;1,MAX(Y33:Y34)-1,Y80)</f>
        <v>1</v>
      </c>
      <c r="Z74" s="134">
        <f t="shared" si="58"/>
        <v>1</v>
      </c>
      <c r="AA74" s="134">
        <f t="shared" si="58"/>
        <v>1</v>
      </c>
      <c r="AB74" s="134">
        <f t="shared" si="58"/>
        <v>1</v>
      </c>
      <c r="AC74" s="134">
        <f t="shared" si="58"/>
        <v>1</v>
      </c>
      <c r="AD74" s="134">
        <f t="shared" si="58"/>
        <v>1</v>
      </c>
      <c r="AE74" s="134">
        <f t="shared" si="58"/>
        <v>1</v>
      </c>
    </row>
    <row r="75" spans="1:31" s="1" customFormat="1" ht="12.75">
      <c r="A75" s="427"/>
      <c r="B75" s="127" t="s">
        <v>278</v>
      </c>
      <c r="C75" s="127"/>
      <c r="D75" s="128"/>
      <c r="E75" s="134" t="e">
        <f t="shared" ref="E75:J75" si="59">IF(MAX(E37:E39)-E81&gt;1,MAX(E37:E39)-1,E81)</f>
        <v>#DIV/0!</v>
      </c>
      <c r="F75" s="134" t="e">
        <f t="shared" si="59"/>
        <v>#DIV/0!</v>
      </c>
      <c r="G75" s="134" t="e">
        <f t="shared" si="59"/>
        <v>#DIV/0!</v>
      </c>
      <c r="H75" s="134" t="e">
        <f t="shared" si="59"/>
        <v>#DIV/0!</v>
      </c>
      <c r="I75" s="134" t="e">
        <f t="shared" si="59"/>
        <v>#DIV/0!</v>
      </c>
      <c r="J75" s="134" t="e">
        <f t="shared" si="59"/>
        <v>#DIV/0!</v>
      </c>
      <c r="K75" s="134">
        <f>IF(MAX(K37:K39)-K81&gt;1,MAX(K37:K39)-1,K81)</f>
        <v>3</v>
      </c>
      <c r="L75" s="134">
        <f t="shared" ref="L75:Y75" si="60">IF(MAX(L37:L39)-L81&gt;1,MAX(L37:L39)-1,L81)</f>
        <v>3</v>
      </c>
      <c r="M75" s="134">
        <f t="shared" si="60"/>
        <v>3</v>
      </c>
      <c r="N75" s="134">
        <f t="shared" si="60"/>
        <v>3</v>
      </c>
      <c r="O75" s="134">
        <f t="shared" si="60"/>
        <v>3</v>
      </c>
      <c r="P75" s="134">
        <f t="shared" si="60"/>
        <v>3</v>
      </c>
      <c r="Q75" s="134">
        <f t="shared" si="60"/>
        <v>3</v>
      </c>
      <c r="R75" s="134">
        <f t="shared" si="60"/>
        <v>3</v>
      </c>
      <c r="S75" s="134">
        <f t="shared" si="60"/>
        <v>3</v>
      </c>
      <c r="T75" s="134">
        <f t="shared" si="60"/>
        <v>3</v>
      </c>
      <c r="U75" s="134">
        <f t="shared" si="60"/>
        <v>3</v>
      </c>
      <c r="V75" s="134">
        <f t="shared" si="60"/>
        <v>3</v>
      </c>
      <c r="W75" s="134">
        <f t="shared" si="60"/>
        <v>3</v>
      </c>
      <c r="X75" s="134">
        <f t="shared" si="60"/>
        <v>3</v>
      </c>
      <c r="Y75" s="134">
        <f t="shared" ref="Y75:AE75" si="61">IF(MAX(Y37:Y39)-Y81&gt;1,MAX(Y37:Y39)-1,Y81)</f>
        <v>3</v>
      </c>
      <c r="Z75" s="134">
        <f t="shared" si="61"/>
        <v>3</v>
      </c>
      <c r="AA75" s="134">
        <f t="shared" si="61"/>
        <v>3</v>
      </c>
      <c r="AB75" s="134">
        <f t="shared" si="61"/>
        <v>3</v>
      </c>
      <c r="AC75" s="134">
        <f t="shared" si="61"/>
        <v>3</v>
      </c>
      <c r="AD75" s="134">
        <f t="shared" si="61"/>
        <v>3</v>
      </c>
      <c r="AE75" s="134">
        <f t="shared" si="61"/>
        <v>3</v>
      </c>
    </row>
    <row r="76" spans="1:31" s="1" customFormat="1" ht="12.75">
      <c r="A76" s="427"/>
      <c r="B76" s="127" t="s">
        <v>139</v>
      </c>
      <c r="C76" s="127"/>
      <c r="D76" s="128"/>
      <c r="E76" s="134" t="e">
        <f t="shared" ref="E76:J76" si="62">IF(MAX(E43:E44)-E82&gt;1,MAX(E43:E44),E82)</f>
        <v>#DIV/0!</v>
      </c>
      <c r="F76" s="134" t="e">
        <f t="shared" si="62"/>
        <v>#DIV/0!</v>
      </c>
      <c r="G76" s="134" t="e">
        <f t="shared" si="62"/>
        <v>#DIV/0!</v>
      </c>
      <c r="H76" s="134" t="e">
        <f t="shared" si="62"/>
        <v>#DIV/0!</v>
      </c>
      <c r="I76" s="134" t="e">
        <f t="shared" si="62"/>
        <v>#DIV/0!</v>
      </c>
      <c r="J76" s="134" t="e">
        <f t="shared" si="62"/>
        <v>#DIV/0!</v>
      </c>
      <c r="K76" s="134">
        <f>IF(MAX(K43:K44)-K82&gt;1,MAX(K43:K44),K82)</f>
        <v>4</v>
      </c>
      <c r="L76" s="134">
        <f t="shared" ref="L76:Y76" si="63">IF(MAX(L43:L44)-L82&gt;1,MAX(L43:L44),L82)</f>
        <v>4</v>
      </c>
      <c r="M76" s="134">
        <f t="shared" si="63"/>
        <v>4</v>
      </c>
      <c r="N76" s="134">
        <f t="shared" si="63"/>
        <v>4</v>
      </c>
      <c r="O76" s="134">
        <f t="shared" si="63"/>
        <v>4</v>
      </c>
      <c r="P76" s="134">
        <f t="shared" si="63"/>
        <v>4</v>
      </c>
      <c r="Q76" s="134">
        <f t="shared" si="63"/>
        <v>4</v>
      </c>
      <c r="R76" s="134">
        <f t="shared" si="63"/>
        <v>4</v>
      </c>
      <c r="S76" s="134">
        <f t="shared" si="63"/>
        <v>4</v>
      </c>
      <c r="T76" s="134">
        <f t="shared" si="63"/>
        <v>4</v>
      </c>
      <c r="U76" s="134">
        <f t="shared" si="63"/>
        <v>4</v>
      </c>
      <c r="V76" s="134">
        <f t="shared" si="63"/>
        <v>4</v>
      </c>
      <c r="W76" s="134">
        <f t="shared" si="63"/>
        <v>4</v>
      </c>
      <c r="X76" s="134">
        <f t="shared" si="63"/>
        <v>4</v>
      </c>
      <c r="Y76" s="134">
        <f t="shared" ref="Y76:AE76" si="64">IF(MAX(Y43:Y44)-Y82&gt;1,MAX(Y43:Y44),Y82)</f>
        <v>4</v>
      </c>
      <c r="Z76" s="134">
        <f t="shared" si="64"/>
        <v>4</v>
      </c>
      <c r="AA76" s="134">
        <f t="shared" si="64"/>
        <v>4</v>
      </c>
      <c r="AB76" s="134">
        <f t="shared" si="64"/>
        <v>4</v>
      </c>
      <c r="AC76" s="134">
        <f t="shared" si="64"/>
        <v>4</v>
      </c>
      <c r="AD76" s="134">
        <f t="shared" si="64"/>
        <v>4</v>
      </c>
      <c r="AE76" s="134">
        <f t="shared" si="64"/>
        <v>4</v>
      </c>
    </row>
    <row r="77" spans="1:31" s="1" customFormat="1" ht="12.75">
      <c r="A77" s="427"/>
      <c r="B77" s="127" t="s">
        <v>307</v>
      </c>
      <c r="C77" s="127"/>
      <c r="D77" s="128"/>
      <c r="E77" s="134" t="e">
        <f t="shared" ref="E77:J77" si="65">IF(MAX(E46:E49)-E83&gt;1,MAX(E46:E49)-1,E83)</f>
        <v>#DIV/0!</v>
      </c>
      <c r="F77" s="134" t="e">
        <f t="shared" si="65"/>
        <v>#DIV/0!</v>
      </c>
      <c r="G77" s="134" t="e">
        <f t="shared" si="65"/>
        <v>#DIV/0!</v>
      </c>
      <c r="H77" s="134" t="e">
        <f t="shared" si="65"/>
        <v>#DIV/0!</v>
      </c>
      <c r="I77" s="134" t="e">
        <f t="shared" si="65"/>
        <v>#DIV/0!</v>
      </c>
      <c r="J77" s="134" t="e">
        <f t="shared" si="65"/>
        <v>#DIV/0!</v>
      </c>
      <c r="K77" s="134">
        <f>IF(MAX(K46:K49)-K83&gt;1,MAX(K46:K49)-1,K83)</f>
        <v>1</v>
      </c>
      <c r="L77" s="134">
        <f t="shared" ref="L77:Y77" si="66">IF(MAX(L46:L49)-L83&gt;1,MAX(L46:L49)-1,L83)</f>
        <v>1</v>
      </c>
      <c r="M77" s="134">
        <f t="shared" si="66"/>
        <v>1</v>
      </c>
      <c r="N77" s="134">
        <f t="shared" si="66"/>
        <v>1</v>
      </c>
      <c r="O77" s="134">
        <f t="shared" si="66"/>
        <v>1</v>
      </c>
      <c r="P77" s="134">
        <f t="shared" si="66"/>
        <v>1</v>
      </c>
      <c r="Q77" s="134">
        <f t="shared" si="66"/>
        <v>1</v>
      </c>
      <c r="R77" s="134">
        <f t="shared" si="66"/>
        <v>1</v>
      </c>
      <c r="S77" s="134">
        <f t="shared" si="66"/>
        <v>1</v>
      </c>
      <c r="T77" s="134">
        <f t="shared" si="66"/>
        <v>1</v>
      </c>
      <c r="U77" s="134">
        <f t="shared" si="66"/>
        <v>1</v>
      </c>
      <c r="V77" s="134">
        <f t="shared" si="66"/>
        <v>1</v>
      </c>
      <c r="W77" s="134">
        <f t="shared" si="66"/>
        <v>1</v>
      </c>
      <c r="X77" s="134">
        <f t="shared" si="66"/>
        <v>1</v>
      </c>
      <c r="Y77" s="134">
        <f t="shared" ref="Y77:AE77" si="67">IF(MAX(Y46:Y49)-Y83&gt;1,MAX(Y46:Y49)-1,Y83)</f>
        <v>1</v>
      </c>
      <c r="Z77" s="134">
        <f t="shared" si="67"/>
        <v>1</v>
      </c>
      <c r="AA77" s="134">
        <f t="shared" si="67"/>
        <v>1</v>
      </c>
      <c r="AB77" s="134">
        <f t="shared" si="67"/>
        <v>1</v>
      </c>
      <c r="AC77" s="134">
        <f t="shared" si="67"/>
        <v>1</v>
      </c>
      <c r="AD77" s="134">
        <f t="shared" si="67"/>
        <v>1</v>
      </c>
      <c r="AE77" s="134">
        <f t="shared" si="67"/>
        <v>1</v>
      </c>
    </row>
    <row r="78" spans="1:31" s="1" customFormat="1" ht="12.75">
      <c r="A78" s="135"/>
      <c r="B78" s="127"/>
      <c r="C78" s="127"/>
      <c r="D78" s="128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</row>
    <row r="79" spans="1:31" s="1" customFormat="1" ht="12.75">
      <c r="A79" s="427" t="s">
        <v>308</v>
      </c>
      <c r="B79" s="127" t="s">
        <v>297</v>
      </c>
      <c r="C79" s="127"/>
      <c r="D79" s="128"/>
      <c r="E79" s="134" t="e">
        <f t="shared" ref="E79:J79" si="68">ROUND(SUMPRODUCT(E28:E32,E54:E58),0)</f>
        <v>#DIV/0!</v>
      </c>
      <c r="F79" s="134" t="e">
        <f t="shared" si="68"/>
        <v>#DIV/0!</v>
      </c>
      <c r="G79" s="134" t="e">
        <f t="shared" si="68"/>
        <v>#DIV/0!</v>
      </c>
      <c r="H79" s="134" t="e">
        <f t="shared" si="68"/>
        <v>#DIV/0!</v>
      </c>
      <c r="I79" s="134" t="e">
        <f t="shared" si="68"/>
        <v>#DIV/0!</v>
      </c>
      <c r="J79" s="134" t="e">
        <f t="shared" si="68"/>
        <v>#DIV/0!</v>
      </c>
      <c r="K79" s="134">
        <f>ROUND(SUMPRODUCT(K28:K32,K54:K58),0)</f>
        <v>4</v>
      </c>
      <c r="L79" s="134">
        <f t="shared" ref="L79:Y79" si="69">ROUND(SUMPRODUCT(L28:L32,L54:L58),0)</f>
        <v>4</v>
      </c>
      <c r="M79" s="134">
        <f t="shared" si="69"/>
        <v>5</v>
      </c>
      <c r="N79" s="134">
        <f t="shared" si="69"/>
        <v>5</v>
      </c>
      <c r="O79" s="134">
        <f t="shared" si="69"/>
        <v>3</v>
      </c>
      <c r="P79" s="134">
        <f t="shared" si="69"/>
        <v>3</v>
      </c>
      <c r="Q79" s="134">
        <f t="shared" si="69"/>
        <v>4</v>
      </c>
      <c r="R79" s="134">
        <f t="shared" si="69"/>
        <v>4</v>
      </c>
      <c r="S79" s="134">
        <f t="shared" si="69"/>
        <v>4</v>
      </c>
      <c r="T79" s="134">
        <f t="shared" si="69"/>
        <v>4</v>
      </c>
      <c r="U79" s="134">
        <f t="shared" si="69"/>
        <v>3</v>
      </c>
      <c r="V79" s="134">
        <f t="shared" si="69"/>
        <v>3</v>
      </c>
      <c r="W79" s="134">
        <f t="shared" si="69"/>
        <v>3</v>
      </c>
      <c r="X79" s="134">
        <f t="shared" si="69"/>
        <v>3</v>
      </c>
      <c r="Y79" s="134">
        <f t="shared" ref="Y79:AE79" si="70">ROUND(SUMPRODUCT(Y28:Y32,Y54:Y58),0)</f>
        <v>3</v>
      </c>
      <c r="Z79" s="134">
        <f t="shared" si="70"/>
        <v>4</v>
      </c>
      <c r="AA79" s="134">
        <f t="shared" si="70"/>
        <v>4</v>
      </c>
      <c r="AB79" s="134">
        <f t="shared" si="70"/>
        <v>2</v>
      </c>
      <c r="AC79" s="134">
        <f t="shared" si="70"/>
        <v>2</v>
      </c>
      <c r="AD79" s="134">
        <f t="shared" si="70"/>
        <v>2</v>
      </c>
      <c r="AE79" s="134">
        <f t="shared" si="70"/>
        <v>2</v>
      </c>
    </row>
    <row r="80" spans="1:31" s="1" customFormat="1" ht="17.25" customHeight="1">
      <c r="A80" s="427"/>
      <c r="B80" s="127" t="s">
        <v>131</v>
      </c>
      <c r="C80" s="127"/>
      <c r="D80" s="128"/>
      <c r="E80" s="134" t="e">
        <f t="shared" ref="E80:J80" si="71">ROUND(SUMPRODUCT(E34:E35,E59:E60),0)</f>
        <v>#DIV/0!</v>
      </c>
      <c r="F80" s="134" t="e">
        <f t="shared" si="71"/>
        <v>#DIV/0!</v>
      </c>
      <c r="G80" s="134" t="e">
        <f t="shared" si="71"/>
        <v>#DIV/0!</v>
      </c>
      <c r="H80" s="134" t="e">
        <f t="shared" si="71"/>
        <v>#DIV/0!</v>
      </c>
      <c r="I80" s="134" t="e">
        <f t="shared" si="71"/>
        <v>#DIV/0!</v>
      </c>
      <c r="J80" s="134">
        <f t="shared" si="71"/>
        <v>1</v>
      </c>
      <c r="K80" s="134">
        <f>ROUND(SUMPRODUCT(K34:K35,K59:K60),0)</f>
        <v>1</v>
      </c>
      <c r="L80" s="134">
        <f t="shared" ref="L80:Y80" si="72">ROUND(SUMPRODUCT(L34:L35,L59:L60),0)</f>
        <v>1</v>
      </c>
      <c r="M80" s="134">
        <f t="shared" si="72"/>
        <v>1</v>
      </c>
      <c r="N80" s="134">
        <f t="shared" si="72"/>
        <v>1</v>
      </c>
      <c r="O80" s="134">
        <f t="shared" si="72"/>
        <v>1</v>
      </c>
      <c r="P80" s="134">
        <f t="shared" si="72"/>
        <v>1</v>
      </c>
      <c r="Q80" s="134">
        <f t="shared" si="72"/>
        <v>1</v>
      </c>
      <c r="R80" s="134">
        <f t="shared" si="72"/>
        <v>1</v>
      </c>
      <c r="S80" s="134">
        <f t="shared" si="72"/>
        <v>1</v>
      </c>
      <c r="T80" s="134">
        <f t="shared" si="72"/>
        <v>1</v>
      </c>
      <c r="U80" s="134">
        <f t="shared" si="72"/>
        <v>1</v>
      </c>
      <c r="V80" s="134">
        <f t="shared" si="72"/>
        <v>1</v>
      </c>
      <c r="W80" s="134">
        <f t="shared" si="72"/>
        <v>1</v>
      </c>
      <c r="X80" s="134">
        <f t="shared" si="72"/>
        <v>1</v>
      </c>
      <c r="Y80" s="134">
        <f t="shared" ref="Y80:AE80" si="73">ROUND(SUMPRODUCT(Y34:Y35,Y59:Y60),0)</f>
        <v>1</v>
      </c>
      <c r="Z80" s="134">
        <f t="shared" si="73"/>
        <v>1</v>
      </c>
      <c r="AA80" s="134">
        <f t="shared" si="73"/>
        <v>1</v>
      </c>
      <c r="AB80" s="134">
        <f t="shared" si="73"/>
        <v>1</v>
      </c>
      <c r="AC80" s="134">
        <f t="shared" si="73"/>
        <v>1</v>
      </c>
      <c r="AD80" s="134">
        <f t="shared" si="73"/>
        <v>1</v>
      </c>
      <c r="AE80" s="134">
        <f t="shared" si="73"/>
        <v>1</v>
      </c>
    </row>
    <row r="81" spans="1:31" s="1" customFormat="1" ht="17.25" customHeight="1">
      <c r="A81" s="427"/>
      <c r="B81" s="127" t="s">
        <v>278</v>
      </c>
      <c r="C81" s="127"/>
      <c r="D81" s="128"/>
      <c r="E81" s="134" t="e">
        <f t="shared" ref="E81:J81" si="74">ROUND(SUMPRODUCT(E37:E39,E61:E63),0)</f>
        <v>#DIV/0!</v>
      </c>
      <c r="F81" s="134" t="e">
        <f t="shared" si="74"/>
        <v>#DIV/0!</v>
      </c>
      <c r="G81" s="134" t="e">
        <f t="shared" si="74"/>
        <v>#DIV/0!</v>
      </c>
      <c r="H81" s="134" t="e">
        <f t="shared" si="74"/>
        <v>#DIV/0!</v>
      </c>
      <c r="I81" s="134" t="e">
        <f t="shared" si="74"/>
        <v>#DIV/0!</v>
      </c>
      <c r="J81" s="134" t="e">
        <f t="shared" si="74"/>
        <v>#DIV/0!</v>
      </c>
      <c r="K81" s="134">
        <f>ROUND(SUMPRODUCT(K37:K39,K61:K63),0)</f>
        <v>3</v>
      </c>
      <c r="L81" s="134">
        <f t="shared" ref="L81:Y81" si="75">ROUND(SUMPRODUCT(L37:L39,L61:L63),0)</f>
        <v>3</v>
      </c>
      <c r="M81" s="134">
        <f t="shared" si="75"/>
        <v>3</v>
      </c>
      <c r="N81" s="134">
        <f t="shared" si="75"/>
        <v>3</v>
      </c>
      <c r="O81" s="134">
        <f t="shared" si="75"/>
        <v>3</v>
      </c>
      <c r="P81" s="134">
        <f t="shared" si="75"/>
        <v>3</v>
      </c>
      <c r="Q81" s="134">
        <f t="shared" si="75"/>
        <v>3</v>
      </c>
      <c r="R81" s="134">
        <f t="shared" si="75"/>
        <v>3</v>
      </c>
      <c r="S81" s="134">
        <f t="shared" si="75"/>
        <v>3</v>
      </c>
      <c r="T81" s="134">
        <f t="shared" si="75"/>
        <v>3</v>
      </c>
      <c r="U81" s="134">
        <f t="shared" si="75"/>
        <v>3</v>
      </c>
      <c r="V81" s="134">
        <f t="shared" si="75"/>
        <v>3</v>
      </c>
      <c r="W81" s="134">
        <f t="shared" si="75"/>
        <v>3</v>
      </c>
      <c r="X81" s="134">
        <f t="shared" si="75"/>
        <v>3</v>
      </c>
      <c r="Y81" s="134">
        <f t="shared" ref="Y81:AE81" si="76">ROUND(SUMPRODUCT(Y37:Y39,Y61:Y63),0)</f>
        <v>3</v>
      </c>
      <c r="Z81" s="134">
        <f t="shared" si="76"/>
        <v>3</v>
      </c>
      <c r="AA81" s="134">
        <f t="shared" si="76"/>
        <v>3</v>
      </c>
      <c r="AB81" s="134">
        <f t="shared" si="76"/>
        <v>3</v>
      </c>
      <c r="AC81" s="134">
        <f t="shared" si="76"/>
        <v>3</v>
      </c>
      <c r="AD81" s="134">
        <f t="shared" si="76"/>
        <v>3</v>
      </c>
      <c r="AE81" s="134">
        <f t="shared" si="76"/>
        <v>3</v>
      </c>
    </row>
    <row r="82" spans="1:31" s="1" customFormat="1" ht="16.5" customHeight="1">
      <c r="A82" s="427"/>
      <c r="B82" s="127" t="s">
        <v>139</v>
      </c>
      <c r="C82" s="127"/>
      <c r="D82" s="128"/>
      <c r="E82" s="134" t="e">
        <f t="shared" ref="E82:J82" si="77">ROUND(SUMPRODUCT(E41:E44,E64:E67),0)</f>
        <v>#DIV/0!</v>
      </c>
      <c r="F82" s="134" t="e">
        <f t="shared" si="77"/>
        <v>#DIV/0!</v>
      </c>
      <c r="G82" s="134" t="e">
        <f t="shared" si="77"/>
        <v>#DIV/0!</v>
      </c>
      <c r="H82" s="134" t="e">
        <f t="shared" si="77"/>
        <v>#DIV/0!</v>
      </c>
      <c r="I82" s="134" t="e">
        <f t="shared" si="77"/>
        <v>#DIV/0!</v>
      </c>
      <c r="J82" s="134" t="e">
        <f t="shared" si="77"/>
        <v>#DIV/0!</v>
      </c>
      <c r="K82" s="134">
        <f>ROUND(SUMPRODUCT(K41:K44,K64:K67),0)</f>
        <v>4</v>
      </c>
      <c r="L82" s="134">
        <f t="shared" ref="L82:Y82" si="78">ROUND(SUMPRODUCT(L41:L44,L64:L67),0)</f>
        <v>4</v>
      </c>
      <c r="M82" s="134">
        <f t="shared" si="78"/>
        <v>4</v>
      </c>
      <c r="N82" s="134">
        <f t="shared" si="78"/>
        <v>4</v>
      </c>
      <c r="O82" s="134">
        <f t="shared" si="78"/>
        <v>4</v>
      </c>
      <c r="P82" s="134">
        <f t="shared" si="78"/>
        <v>4</v>
      </c>
      <c r="Q82" s="134">
        <f t="shared" si="78"/>
        <v>4</v>
      </c>
      <c r="R82" s="134">
        <f t="shared" si="78"/>
        <v>4</v>
      </c>
      <c r="S82" s="134">
        <f t="shared" si="78"/>
        <v>4</v>
      </c>
      <c r="T82" s="134">
        <f t="shared" si="78"/>
        <v>4</v>
      </c>
      <c r="U82" s="134">
        <f t="shared" si="78"/>
        <v>4</v>
      </c>
      <c r="V82" s="134">
        <f t="shared" si="78"/>
        <v>4</v>
      </c>
      <c r="W82" s="134">
        <f t="shared" si="78"/>
        <v>4</v>
      </c>
      <c r="X82" s="134">
        <f t="shared" si="78"/>
        <v>4</v>
      </c>
      <c r="Y82" s="134">
        <f t="shared" ref="Y82:AE82" si="79">ROUND(SUMPRODUCT(Y41:Y44,Y64:Y67),0)</f>
        <v>4</v>
      </c>
      <c r="Z82" s="134">
        <f t="shared" si="79"/>
        <v>4</v>
      </c>
      <c r="AA82" s="134">
        <f t="shared" si="79"/>
        <v>4</v>
      </c>
      <c r="AB82" s="134">
        <f t="shared" si="79"/>
        <v>4</v>
      </c>
      <c r="AC82" s="134">
        <f t="shared" si="79"/>
        <v>4</v>
      </c>
      <c r="AD82" s="134">
        <f t="shared" si="79"/>
        <v>4</v>
      </c>
      <c r="AE82" s="134">
        <f t="shared" si="79"/>
        <v>4</v>
      </c>
    </row>
    <row r="83" spans="1:31" s="1" customFormat="1" ht="17.25" customHeight="1">
      <c r="A83" s="427"/>
      <c r="B83" s="127" t="s">
        <v>307</v>
      </c>
      <c r="C83" s="127"/>
      <c r="D83" s="128"/>
      <c r="E83" s="134" t="e">
        <f t="shared" ref="E83:J83" si="80">ROUND(SUMPRODUCT(E46:E49,E68:E71),0)</f>
        <v>#DIV/0!</v>
      </c>
      <c r="F83" s="134" t="e">
        <f t="shared" si="80"/>
        <v>#DIV/0!</v>
      </c>
      <c r="G83" s="134" t="e">
        <f t="shared" si="80"/>
        <v>#DIV/0!</v>
      </c>
      <c r="H83" s="134" t="e">
        <f t="shared" si="80"/>
        <v>#DIV/0!</v>
      </c>
      <c r="I83" s="134" t="e">
        <f t="shared" si="80"/>
        <v>#DIV/0!</v>
      </c>
      <c r="J83" s="134" t="e">
        <f t="shared" si="80"/>
        <v>#DIV/0!</v>
      </c>
      <c r="K83" s="134">
        <f>ROUND(SUMPRODUCT(K46:K49,K68:K71),0)</f>
        <v>1</v>
      </c>
      <c r="L83" s="134">
        <f t="shared" ref="L83:Y83" si="81">ROUND(SUMPRODUCT(L46:L49,L68:L71),0)</f>
        <v>1</v>
      </c>
      <c r="M83" s="134">
        <f t="shared" si="81"/>
        <v>1</v>
      </c>
      <c r="N83" s="134">
        <f t="shared" si="81"/>
        <v>1</v>
      </c>
      <c r="O83" s="134">
        <f t="shared" si="81"/>
        <v>1</v>
      </c>
      <c r="P83" s="134">
        <f t="shared" si="81"/>
        <v>1</v>
      </c>
      <c r="Q83" s="134">
        <f t="shared" si="81"/>
        <v>1</v>
      </c>
      <c r="R83" s="134">
        <f t="shared" si="81"/>
        <v>1</v>
      </c>
      <c r="S83" s="134">
        <f t="shared" si="81"/>
        <v>1</v>
      </c>
      <c r="T83" s="134">
        <f t="shared" si="81"/>
        <v>1</v>
      </c>
      <c r="U83" s="134">
        <f t="shared" si="81"/>
        <v>1</v>
      </c>
      <c r="V83" s="134">
        <f t="shared" si="81"/>
        <v>1</v>
      </c>
      <c r="W83" s="134">
        <f t="shared" si="81"/>
        <v>1</v>
      </c>
      <c r="X83" s="134">
        <f t="shared" si="81"/>
        <v>1</v>
      </c>
      <c r="Y83" s="134">
        <f t="shared" ref="Y83:AE83" si="82">ROUND(SUMPRODUCT(Y46:Y49,Y68:Y71),0)</f>
        <v>1</v>
      </c>
      <c r="Z83" s="134">
        <f t="shared" si="82"/>
        <v>1</v>
      </c>
      <c r="AA83" s="134">
        <f t="shared" si="82"/>
        <v>1</v>
      </c>
      <c r="AB83" s="134">
        <f t="shared" si="82"/>
        <v>1</v>
      </c>
      <c r="AC83" s="134">
        <f t="shared" si="82"/>
        <v>1</v>
      </c>
      <c r="AD83" s="134">
        <f t="shared" si="82"/>
        <v>1</v>
      </c>
      <c r="AE83" s="134">
        <f t="shared" si="82"/>
        <v>1</v>
      </c>
    </row>
    <row r="84" spans="1:31" s="1" customFormat="1" ht="12.75">
      <c r="A84" s="127"/>
      <c r="B84" s="127"/>
      <c r="C84" s="127"/>
      <c r="D84" s="128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</row>
    <row r="85" spans="1:31" s="1" customFormat="1" ht="12.75">
      <c r="A85" s="427" t="s">
        <v>309</v>
      </c>
      <c r="B85" s="127" t="s">
        <v>310</v>
      </c>
      <c r="C85" s="127"/>
      <c r="D85" s="128"/>
      <c r="E85" s="134" t="e">
        <f>AVERAGE(E79:E83)</f>
        <v>#DIV/0!</v>
      </c>
      <c r="F85" s="134" t="e">
        <f>AVERAGE(F79:F83)</f>
        <v>#DIV/0!</v>
      </c>
      <c r="G85" s="134" t="e">
        <f>AVERAGE(G79:G83)</f>
        <v>#DIV/0!</v>
      </c>
      <c r="H85" s="134"/>
      <c r="I85" s="134" t="e">
        <f>AVERAGE(I79:I83)</f>
        <v>#DIV/0!</v>
      </c>
      <c r="J85" s="134" t="e">
        <f>AVERAGE(J79:J83)</f>
        <v>#DIV/0!</v>
      </c>
      <c r="K85" s="134">
        <f>AVERAGE(K79:K83)</f>
        <v>2.6</v>
      </c>
      <c r="L85" s="134">
        <f t="shared" ref="L85:Y85" si="83">AVERAGE(L79:L83)</f>
        <v>2.6</v>
      </c>
      <c r="M85" s="134">
        <f t="shared" si="83"/>
        <v>2.8</v>
      </c>
      <c r="N85" s="134">
        <f t="shared" si="83"/>
        <v>2.8</v>
      </c>
      <c r="O85" s="134">
        <f t="shared" si="83"/>
        <v>2.4</v>
      </c>
      <c r="P85" s="134">
        <f t="shared" si="83"/>
        <v>2.4</v>
      </c>
      <c r="Q85" s="134">
        <f t="shared" si="83"/>
        <v>2.6</v>
      </c>
      <c r="R85" s="134">
        <f t="shared" si="83"/>
        <v>2.6</v>
      </c>
      <c r="S85" s="134">
        <f t="shared" si="83"/>
        <v>2.6</v>
      </c>
      <c r="T85" s="134">
        <f t="shared" si="83"/>
        <v>2.6</v>
      </c>
      <c r="U85" s="134">
        <f t="shared" si="83"/>
        <v>2.4</v>
      </c>
      <c r="V85" s="134">
        <f t="shared" si="83"/>
        <v>2.4</v>
      </c>
      <c r="W85" s="134">
        <f t="shared" si="83"/>
        <v>2.4</v>
      </c>
      <c r="X85" s="134">
        <f t="shared" si="83"/>
        <v>2.4</v>
      </c>
      <c r="Y85" s="134">
        <f t="shared" ref="Y85:AE85" si="84">AVERAGE(Y79:Y83)</f>
        <v>2.4</v>
      </c>
      <c r="Z85" s="134">
        <f t="shared" si="84"/>
        <v>2.6</v>
      </c>
      <c r="AA85" s="134">
        <f t="shared" si="84"/>
        <v>2.6</v>
      </c>
      <c r="AB85" s="134">
        <f t="shared" si="84"/>
        <v>2.2000000000000002</v>
      </c>
      <c r="AC85" s="134">
        <f t="shared" si="84"/>
        <v>2.2000000000000002</v>
      </c>
      <c r="AD85" s="134">
        <f t="shared" si="84"/>
        <v>2.2000000000000002</v>
      </c>
      <c r="AE85" s="134">
        <f t="shared" si="84"/>
        <v>2.2000000000000002</v>
      </c>
    </row>
    <row r="86" spans="1:31" s="1" customFormat="1" ht="12.75">
      <c r="A86" s="427"/>
      <c r="B86" s="127" t="s">
        <v>311</v>
      </c>
      <c r="C86" s="127"/>
      <c r="D86" s="128"/>
      <c r="E86" s="134" t="e">
        <f>AVERAGE(E73:E77)</f>
        <v>#REF!</v>
      </c>
      <c r="F86" s="134" t="e">
        <f>AVERAGE(F73:F77)</f>
        <v>#REF!</v>
      </c>
      <c r="G86" s="134" t="e">
        <f>AVERAGE(G73:G77)</f>
        <v>#REF!</v>
      </c>
      <c r="H86" s="134"/>
      <c r="I86" s="134" t="e">
        <f>AVERAGE(I73:I77)</f>
        <v>#REF!</v>
      </c>
      <c r="J86" s="134" t="e">
        <f>AVERAGE(J73:J77)</f>
        <v>#REF!</v>
      </c>
      <c r="K86" s="134" t="e">
        <f>AVERAGE(K73:K77)</f>
        <v>#REF!</v>
      </c>
      <c r="L86" s="134" t="e">
        <f t="shared" ref="L86:Y86" si="85">AVERAGE(L73:L77)</f>
        <v>#REF!</v>
      </c>
      <c r="M86" s="134" t="e">
        <f t="shared" si="85"/>
        <v>#REF!</v>
      </c>
      <c r="N86" s="134" t="e">
        <f t="shared" si="85"/>
        <v>#REF!</v>
      </c>
      <c r="O86" s="134" t="e">
        <f t="shared" si="85"/>
        <v>#REF!</v>
      </c>
      <c r="P86" s="134" t="e">
        <f t="shared" si="85"/>
        <v>#REF!</v>
      </c>
      <c r="Q86" s="134" t="e">
        <f t="shared" si="85"/>
        <v>#REF!</v>
      </c>
      <c r="R86" s="134" t="e">
        <f t="shared" si="85"/>
        <v>#REF!</v>
      </c>
      <c r="S86" s="134" t="e">
        <f t="shared" si="85"/>
        <v>#REF!</v>
      </c>
      <c r="T86" s="134" t="e">
        <f t="shared" si="85"/>
        <v>#REF!</v>
      </c>
      <c r="U86" s="134" t="e">
        <f t="shared" si="85"/>
        <v>#REF!</v>
      </c>
      <c r="V86" s="134" t="e">
        <f t="shared" si="85"/>
        <v>#REF!</v>
      </c>
      <c r="W86" s="134" t="e">
        <f t="shared" si="85"/>
        <v>#REF!</v>
      </c>
      <c r="X86" s="134" t="e">
        <f t="shared" si="85"/>
        <v>#REF!</v>
      </c>
      <c r="Y86" s="134" t="e">
        <f t="shared" ref="Y86:AE86" si="86">AVERAGE(Y73:Y77)</f>
        <v>#REF!</v>
      </c>
      <c r="Z86" s="134" t="e">
        <f t="shared" si="86"/>
        <v>#REF!</v>
      </c>
      <c r="AA86" s="134" t="e">
        <f t="shared" si="86"/>
        <v>#REF!</v>
      </c>
      <c r="AB86" s="134" t="e">
        <f t="shared" si="86"/>
        <v>#REF!</v>
      </c>
      <c r="AC86" s="134" t="e">
        <f t="shared" si="86"/>
        <v>#REF!</v>
      </c>
      <c r="AD86" s="134" t="e">
        <f t="shared" si="86"/>
        <v>#REF!</v>
      </c>
      <c r="AE86" s="134" t="e">
        <f t="shared" si="86"/>
        <v>#REF!</v>
      </c>
    </row>
    <row r="87" spans="1:31" s="1" customFormat="1" ht="18.75" customHeight="1">
      <c r="A87" s="427"/>
      <c r="B87" s="127" t="s">
        <v>312</v>
      </c>
      <c r="C87" s="127"/>
      <c r="D87" s="128"/>
      <c r="E87" s="134" t="e">
        <f>IF(MAX(E73:E77)-E86&gt;1,MAX(E73:E77)-1,E86)</f>
        <v>#REF!</v>
      </c>
      <c r="F87" s="134" t="e">
        <f>IF(MAX(F73:F77)-F86&gt;1,MAX(F73:F77)-1,F86)</f>
        <v>#REF!</v>
      </c>
      <c r="G87" s="134" t="e">
        <f>IF(MAX(G73:G77)-G86&gt;1,MAX(G73:G77)-1,G86)</f>
        <v>#REF!</v>
      </c>
      <c r="H87" s="134"/>
      <c r="I87" s="134" t="e">
        <f>IF(MAX(I73:I77)-I86&gt;1,MAX(I73:I77)-1,I86)</f>
        <v>#REF!</v>
      </c>
      <c r="J87" s="134" t="e">
        <f>IF(MAX(J73:J77)-J86&gt;1,MAX(J73:J77)-1,J86)</f>
        <v>#REF!</v>
      </c>
      <c r="K87" s="134" t="e">
        <f>IF(MAX(K73:K77)-K86&gt;1,MAX(K73:K77)-1,K86)</f>
        <v>#REF!</v>
      </c>
      <c r="L87" s="134" t="e">
        <f t="shared" ref="L87:Y87" si="87">IF(MAX(L73:L77)-L86&gt;1,MAX(L73:L77)-1,L86)</f>
        <v>#REF!</v>
      </c>
      <c r="M87" s="134" t="e">
        <f t="shared" si="87"/>
        <v>#REF!</v>
      </c>
      <c r="N87" s="134" t="e">
        <f t="shared" si="87"/>
        <v>#REF!</v>
      </c>
      <c r="O87" s="134" t="e">
        <f t="shared" si="87"/>
        <v>#REF!</v>
      </c>
      <c r="P87" s="134" t="e">
        <f t="shared" si="87"/>
        <v>#REF!</v>
      </c>
      <c r="Q87" s="134" t="e">
        <f t="shared" si="87"/>
        <v>#REF!</v>
      </c>
      <c r="R87" s="134" t="e">
        <f t="shared" si="87"/>
        <v>#REF!</v>
      </c>
      <c r="S87" s="134" t="e">
        <f t="shared" si="87"/>
        <v>#REF!</v>
      </c>
      <c r="T87" s="134" t="e">
        <f t="shared" si="87"/>
        <v>#REF!</v>
      </c>
      <c r="U87" s="134" t="e">
        <f t="shared" si="87"/>
        <v>#REF!</v>
      </c>
      <c r="V87" s="134" t="e">
        <f t="shared" si="87"/>
        <v>#REF!</v>
      </c>
      <c r="W87" s="134" t="e">
        <f t="shared" si="87"/>
        <v>#REF!</v>
      </c>
      <c r="X87" s="134" t="e">
        <f t="shared" si="87"/>
        <v>#REF!</v>
      </c>
      <c r="Y87" s="134" t="e">
        <f t="shared" ref="Y87:AE87" si="88">IF(MAX(Y73:Y77)-Y86&gt;1,MAX(Y73:Y77)-1,Y86)</f>
        <v>#REF!</v>
      </c>
      <c r="Z87" s="134" t="e">
        <f t="shared" si="88"/>
        <v>#REF!</v>
      </c>
      <c r="AA87" s="134" t="e">
        <f t="shared" si="88"/>
        <v>#REF!</v>
      </c>
      <c r="AB87" s="134" t="e">
        <f t="shared" si="88"/>
        <v>#REF!</v>
      </c>
      <c r="AC87" s="134" t="e">
        <f t="shared" si="88"/>
        <v>#REF!</v>
      </c>
      <c r="AD87" s="134" t="e">
        <f t="shared" si="88"/>
        <v>#REF!</v>
      </c>
      <c r="AE87" s="134" t="e">
        <f t="shared" si="88"/>
        <v>#REF!</v>
      </c>
    </row>
    <row r="88" spans="1:31" s="1" customFormat="1" ht="19.5" customHeight="1">
      <c r="A88" s="427"/>
      <c r="B88" s="127" t="s">
        <v>313</v>
      </c>
      <c r="C88" s="127" t="s">
        <v>314</v>
      </c>
      <c r="D88" s="128"/>
      <c r="E88" s="137" t="e">
        <f>IF(MAX(E28,E29,E30,E31,E41,E43,E46,E47,E48,E49)-E85&gt;1,MAX(E28,E29,E30,E31,E41,E43,E46,E47,E48,E49)-1,E85)</f>
        <v>#DIV/0!</v>
      </c>
      <c r="F88" s="137" t="e">
        <f>IF(MAX(F28,F29,F30,F31,F41,F43,F46,F47,F48,F49)-F85&gt;1,MAX(F28,F29,F30,F31,F41,F43,F46,F47,F48,F49)-1,F85)</f>
        <v>#DIV/0!</v>
      </c>
      <c r="G88" s="137" t="e">
        <f>IF(MAX(G28,G29,G30,G31,G41,G43,G46,G47,G48,G49)-G85&gt;1,MAX(G28,G29,G30,G31,G41,G43,G46,G47,G48,G49)-1,G85)</f>
        <v>#DIV/0!</v>
      </c>
      <c r="H88" s="137"/>
      <c r="I88" s="137" t="e">
        <f>IF(MAX(I28,I29,I30,I31,I41,I43,I46,I47,I48,I49)-I85&gt;1,MAX(I28,I29,I30,I31,I41,I43,I46,I47,I48,I49)-1,I85)</f>
        <v>#DIV/0!</v>
      </c>
      <c r="J88" s="137" t="e">
        <f>IF(MAX(J28,J29,J30,J31,J41,J43,J46,J47,J48,J49)-J85&gt;1,MAX(J28,J29,J30,J31,J41,J43,J46,J47,J48,J49)-1,J85)</f>
        <v>#DIV/0!</v>
      </c>
      <c r="K88" s="137">
        <f>IF(MAX(K28,K29,K30,K31,K41,K43,K46,K47,K48,K49)-K85&gt;1,MAX(K28,K29,K30,K31,K41,K43,K46,K47,K48,K49)-1,K85)</f>
        <v>4</v>
      </c>
      <c r="L88" s="137">
        <f t="shared" ref="L88:Y88" si="89">IF(MAX(L28,L29,L30,L31,L41,L43,L46,L47,L48,L49)-L85&gt;1,MAX(L28,L29,L30,L31,L41,L43,L46,L47,L48,L49)-1,L85)</f>
        <v>4</v>
      </c>
      <c r="M88" s="137">
        <f t="shared" si="89"/>
        <v>4</v>
      </c>
      <c r="N88" s="137">
        <f t="shared" si="89"/>
        <v>4</v>
      </c>
      <c r="O88" s="137">
        <f t="shared" si="89"/>
        <v>4</v>
      </c>
      <c r="P88" s="137">
        <f t="shared" si="89"/>
        <v>4</v>
      </c>
      <c r="Q88" s="137">
        <f t="shared" si="89"/>
        <v>4</v>
      </c>
      <c r="R88" s="137">
        <f t="shared" si="89"/>
        <v>4</v>
      </c>
      <c r="S88" s="137">
        <f t="shared" si="89"/>
        <v>4</v>
      </c>
      <c r="T88" s="137">
        <f t="shared" si="89"/>
        <v>4</v>
      </c>
      <c r="U88" s="137">
        <f t="shared" si="89"/>
        <v>4</v>
      </c>
      <c r="V88" s="137">
        <f t="shared" si="89"/>
        <v>4</v>
      </c>
      <c r="W88" s="137">
        <f t="shared" si="89"/>
        <v>4</v>
      </c>
      <c r="X88" s="137">
        <f t="shared" si="89"/>
        <v>4</v>
      </c>
      <c r="Y88" s="137">
        <f t="shared" ref="Y88:AE88" si="90">IF(MAX(Y28,Y29,Y30,Y31,Y41,Y43,Y46,Y47,Y48,Y49)-Y85&gt;1,MAX(Y28,Y29,Y30,Y31,Y41,Y43,Y46,Y47,Y48,Y49)-1,Y85)</f>
        <v>4</v>
      </c>
      <c r="Z88" s="137">
        <f t="shared" si="90"/>
        <v>4</v>
      </c>
      <c r="AA88" s="137">
        <f t="shared" si="90"/>
        <v>4</v>
      </c>
      <c r="AB88" s="137">
        <f t="shared" si="90"/>
        <v>4</v>
      </c>
      <c r="AC88" s="137">
        <f t="shared" si="90"/>
        <v>4</v>
      </c>
      <c r="AD88" s="137">
        <f t="shared" si="90"/>
        <v>4</v>
      </c>
      <c r="AE88" s="137">
        <f t="shared" si="90"/>
        <v>4</v>
      </c>
    </row>
    <row r="89" spans="1:31" s="1" customFormat="1" ht="8.25" customHeight="1">
      <c r="D89" s="3"/>
    </row>
  </sheetData>
  <mergeCells count="21">
    <mergeCell ref="A85:A88"/>
    <mergeCell ref="A54:A71"/>
    <mergeCell ref="A73:A77"/>
    <mergeCell ref="B68:B71"/>
    <mergeCell ref="A28:A49"/>
    <mergeCell ref="B64:B67"/>
    <mergeCell ref="B46:B49"/>
    <mergeCell ref="B61:B63"/>
    <mergeCell ref="B28:B32"/>
    <mergeCell ref="A3:A25"/>
    <mergeCell ref="B37:B39"/>
    <mergeCell ref="B34:B35"/>
    <mergeCell ref="A79:A83"/>
    <mergeCell ref="B21:B25"/>
    <mergeCell ref="B41:B44"/>
    <mergeCell ref="B59:B60"/>
    <mergeCell ref="B54:B58"/>
    <mergeCell ref="B9:B10"/>
    <mergeCell ref="B12:B14"/>
    <mergeCell ref="B3:B7"/>
    <mergeCell ref="B16:B19"/>
  </mergeCells>
  <pageMargins left="0.25" right="0.25" top="0.75" bottom="0.75" header="0.3" footer="0.3"/>
  <pageSetup fitToWidth="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5"/>
  <sheetViews>
    <sheetView workbookViewId="0">
      <selection activeCell="F12" sqref="F12"/>
    </sheetView>
  </sheetViews>
  <sheetFormatPr defaultRowHeight="14.45"/>
  <cols>
    <col min="1" max="1" width="4.28515625" bestFit="1" customWidth="1"/>
    <col min="2" max="2" width="29.7109375" bestFit="1" customWidth="1"/>
    <col min="3" max="3" width="9.5703125" bestFit="1" customWidth="1"/>
    <col min="4" max="4" width="20.28515625" customWidth="1"/>
    <col min="5" max="5" width="12.42578125" customWidth="1"/>
    <col min="6" max="6" width="21.28515625" customWidth="1"/>
    <col min="8" max="8" width="19.85546875" customWidth="1"/>
    <col min="9" max="9" width="13.140625" customWidth="1"/>
    <col min="10" max="10" width="16.42578125" bestFit="1" customWidth="1"/>
    <col min="12" max="12" width="19.42578125" customWidth="1"/>
    <col min="13" max="13" width="12.5703125" customWidth="1"/>
    <col min="14" max="14" width="17" customWidth="1"/>
  </cols>
  <sheetData>
    <row r="1" spans="1:14">
      <c r="A1" s="102"/>
      <c r="B1" s="101" t="s">
        <v>315</v>
      </c>
      <c r="C1" s="102"/>
      <c r="D1" s="102"/>
      <c r="E1" s="102"/>
      <c r="F1" s="102"/>
    </row>
    <row r="2" spans="1:14">
      <c r="A2" s="103"/>
      <c r="B2" s="435" t="s">
        <v>316</v>
      </c>
      <c r="C2" s="435"/>
      <c r="D2" s="435"/>
      <c r="E2" s="435"/>
      <c r="F2" s="435"/>
    </row>
    <row r="3" spans="1:14">
      <c r="A3" s="103"/>
      <c r="B3" s="100" t="s">
        <v>317</v>
      </c>
      <c r="C3" s="103"/>
      <c r="D3" s="99"/>
      <c r="E3" s="103"/>
      <c r="F3" s="98" t="s">
        <v>318</v>
      </c>
    </row>
    <row r="4" spans="1:14">
      <c r="A4" s="103"/>
      <c r="B4" s="100" t="s">
        <v>319</v>
      </c>
      <c r="C4" s="103"/>
      <c r="D4" s="103"/>
      <c r="E4" s="103"/>
      <c r="F4" s="97">
        <v>2019</v>
      </c>
    </row>
    <row r="5" spans="1:14">
      <c r="A5" s="103"/>
      <c r="B5" s="100" t="s">
        <v>320</v>
      </c>
      <c r="C5" s="103"/>
      <c r="D5" s="103"/>
      <c r="E5" s="96"/>
      <c r="F5" s="113" t="s">
        <v>321</v>
      </c>
    </row>
    <row r="6" spans="1:14">
      <c r="A6" s="103"/>
      <c r="B6" s="100" t="s">
        <v>322</v>
      </c>
      <c r="C6" s="103"/>
      <c r="D6" s="103"/>
      <c r="E6" s="96"/>
      <c r="F6" s="113" t="s">
        <v>323</v>
      </c>
    </row>
    <row r="7" spans="1:14">
      <c r="A7" s="115"/>
      <c r="B7" s="436" t="s">
        <v>324</v>
      </c>
      <c r="C7" s="436"/>
      <c r="D7" s="436"/>
      <c r="E7" s="436"/>
      <c r="F7" s="437"/>
    </row>
    <row r="8" spans="1:14">
      <c r="A8" s="115"/>
      <c r="B8" s="115"/>
      <c r="C8" s="431">
        <v>43525</v>
      </c>
      <c r="D8" s="432"/>
      <c r="E8" s="432"/>
      <c r="F8" s="433"/>
      <c r="G8" s="431">
        <v>43617</v>
      </c>
      <c r="H8" s="432"/>
      <c r="I8" s="432"/>
      <c r="J8" s="433"/>
      <c r="K8" s="431">
        <v>43709</v>
      </c>
      <c r="L8" s="432"/>
      <c r="M8" s="432"/>
      <c r="N8" s="433"/>
    </row>
    <row r="9" spans="1:14" ht="48" customHeight="1">
      <c r="A9" s="115" t="s">
        <v>325</v>
      </c>
      <c r="B9" s="108" t="s">
        <v>326</v>
      </c>
      <c r="C9" s="108" t="s">
        <v>327</v>
      </c>
      <c r="D9" s="108" t="s">
        <v>328</v>
      </c>
      <c r="E9" s="108" t="s">
        <v>329</v>
      </c>
      <c r="F9" s="108" t="s">
        <v>330</v>
      </c>
      <c r="G9" s="108" t="s">
        <v>327</v>
      </c>
      <c r="H9" s="108" t="s">
        <v>328</v>
      </c>
      <c r="I9" s="108" t="s">
        <v>329</v>
      </c>
      <c r="J9" s="108" t="s">
        <v>330</v>
      </c>
      <c r="K9" s="108" t="s">
        <v>327</v>
      </c>
      <c r="L9" s="108" t="s">
        <v>328</v>
      </c>
      <c r="M9" s="108" t="s">
        <v>329</v>
      </c>
      <c r="N9" s="108" t="s">
        <v>330</v>
      </c>
    </row>
    <row r="10" spans="1:14">
      <c r="A10" s="115">
        <v>1</v>
      </c>
      <c r="B10" s="115" t="s">
        <v>331</v>
      </c>
      <c r="C10" s="95">
        <v>2556</v>
      </c>
      <c r="D10" s="95">
        <v>159292523.93000001</v>
      </c>
      <c r="E10" s="111">
        <v>0.01</v>
      </c>
      <c r="F10" s="93">
        <f>D10*E10</f>
        <v>1592925.2393</v>
      </c>
      <c r="G10" s="112"/>
      <c r="H10" s="95"/>
      <c r="I10" s="111">
        <v>0.01</v>
      </c>
      <c r="J10" s="93">
        <f>H10*I10</f>
        <v>0</v>
      </c>
      <c r="K10" s="112"/>
      <c r="L10" s="95"/>
      <c r="M10" s="111">
        <v>0.01</v>
      </c>
      <c r="N10" s="93">
        <f>L10*M10</f>
        <v>0</v>
      </c>
    </row>
    <row r="11" spans="1:14">
      <c r="A11" s="115">
        <v>2</v>
      </c>
      <c r="B11" s="115" t="s">
        <v>332</v>
      </c>
      <c r="C11" s="95">
        <v>96</v>
      </c>
      <c r="D11" s="95">
        <v>10220980.289999999</v>
      </c>
      <c r="E11" s="111">
        <v>0.05</v>
      </c>
      <c r="F11" s="93">
        <f>D11*E11</f>
        <v>511049.01449999999</v>
      </c>
      <c r="G11" s="112"/>
      <c r="H11" s="95"/>
      <c r="I11" s="111">
        <v>0.05</v>
      </c>
      <c r="J11" s="93">
        <f>H11*I11</f>
        <v>0</v>
      </c>
      <c r="K11" s="112"/>
      <c r="L11" s="95"/>
      <c r="M11" s="111">
        <v>0.05</v>
      </c>
      <c r="N11" s="93">
        <f>L11*M11</f>
        <v>0</v>
      </c>
    </row>
    <row r="12" spans="1:14">
      <c r="A12" s="115">
        <v>3</v>
      </c>
      <c r="B12" s="115" t="s">
        <v>333</v>
      </c>
      <c r="C12" s="95">
        <v>281</v>
      </c>
      <c r="D12" s="95">
        <v>9007217.3300000001</v>
      </c>
      <c r="E12" s="111">
        <v>0.25</v>
      </c>
      <c r="F12" s="93">
        <f>D12*E12</f>
        <v>2251804.3325</v>
      </c>
      <c r="G12" s="112"/>
      <c r="H12" s="95"/>
      <c r="I12" s="111">
        <v>0.25</v>
      </c>
      <c r="J12" s="93">
        <f>H12*I12</f>
        <v>0</v>
      </c>
      <c r="K12" s="112"/>
      <c r="L12" s="95"/>
      <c r="M12" s="111">
        <v>0.25</v>
      </c>
      <c r="N12" s="93">
        <f>L12*M12</f>
        <v>0</v>
      </c>
    </row>
    <row r="13" spans="1:14">
      <c r="A13" s="115">
        <v>4</v>
      </c>
      <c r="B13" s="115" t="s">
        <v>334</v>
      </c>
      <c r="C13" s="95">
        <v>72</v>
      </c>
      <c r="D13" s="95">
        <v>3973123.85</v>
      </c>
      <c r="E13" s="111">
        <v>0.5</v>
      </c>
      <c r="F13" s="93">
        <f>D13*E13</f>
        <v>1986561.925</v>
      </c>
      <c r="G13" s="112"/>
      <c r="H13" s="95"/>
      <c r="I13" s="111">
        <v>0.5</v>
      </c>
      <c r="J13" s="93">
        <f>H13*I13</f>
        <v>0</v>
      </c>
      <c r="K13" s="112"/>
      <c r="L13" s="95"/>
      <c r="M13" s="111">
        <v>0.5</v>
      </c>
      <c r="N13" s="93">
        <f>L13*M13</f>
        <v>0</v>
      </c>
    </row>
    <row r="14" spans="1:14">
      <c r="A14" s="115">
        <v>5</v>
      </c>
      <c r="B14" s="115" t="s">
        <v>335</v>
      </c>
      <c r="C14" s="95">
        <v>334</v>
      </c>
      <c r="D14" s="95">
        <v>8335591.7999999998</v>
      </c>
      <c r="E14" s="111">
        <v>1</v>
      </c>
      <c r="F14" s="93">
        <f>D14*E14</f>
        <v>8335591.7999999998</v>
      </c>
      <c r="G14" s="112"/>
      <c r="H14" s="95"/>
      <c r="I14" s="111">
        <v>1</v>
      </c>
      <c r="J14" s="93">
        <f>H14*I14</f>
        <v>0</v>
      </c>
      <c r="K14" s="112"/>
      <c r="L14" s="95"/>
      <c r="M14" s="111">
        <v>1</v>
      </c>
      <c r="N14" s="93">
        <f>L14*M14</f>
        <v>0</v>
      </c>
    </row>
    <row r="15" spans="1:14">
      <c r="A15" s="115"/>
      <c r="B15" s="108" t="s">
        <v>336</v>
      </c>
      <c r="C15" s="110">
        <f>SUM(C10:C14)</f>
        <v>3339</v>
      </c>
      <c r="D15" s="94">
        <f>SUM(D10:D14)</f>
        <v>190829437.20000002</v>
      </c>
      <c r="E15" s="109"/>
      <c r="F15" s="94">
        <f>SUM(F10:F14)</f>
        <v>14677932.3113</v>
      </c>
      <c r="G15" s="110">
        <f>SUM(G10:G14)</f>
        <v>0</v>
      </c>
      <c r="H15" s="94">
        <f>SUM(H10:H14)</f>
        <v>0</v>
      </c>
      <c r="I15" s="109"/>
      <c r="J15" s="94">
        <f>SUM(J10:J14)</f>
        <v>0</v>
      </c>
      <c r="K15" s="110">
        <f>SUM(K10:K14)</f>
        <v>0</v>
      </c>
      <c r="L15" s="94">
        <f>SUM(L10:L14)</f>
        <v>0</v>
      </c>
      <c r="M15" s="109"/>
      <c r="N15" s="94">
        <f>SUM(N10:N14)</f>
        <v>0</v>
      </c>
    </row>
    <row r="16" spans="1:14">
      <c r="A16" s="115"/>
      <c r="B16" s="103" t="s">
        <v>337</v>
      </c>
      <c r="C16" s="112"/>
      <c r="D16" s="95" t="s">
        <v>338</v>
      </c>
      <c r="E16" s="112"/>
      <c r="F16" s="95"/>
      <c r="G16" s="112"/>
      <c r="H16" s="95" t="s">
        <v>338</v>
      </c>
      <c r="I16" s="112"/>
      <c r="J16" s="95"/>
      <c r="K16" s="112"/>
      <c r="L16" s="95" t="s">
        <v>338</v>
      </c>
      <c r="M16" s="112"/>
      <c r="N16" s="95"/>
    </row>
    <row r="17" spans="1:14">
      <c r="A17" s="115">
        <v>1</v>
      </c>
      <c r="B17" s="115" t="s">
        <v>331</v>
      </c>
      <c r="C17" s="112">
        <v>0</v>
      </c>
      <c r="D17" s="95">
        <v>0</v>
      </c>
      <c r="E17" s="111">
        <v>0.01</v>
      </c>
      <c r="F17" s="93">
        <f>D17*E17</f>
        <v>0</v>
      </c>
      <c r="G17" s="112">
        <v>0</v>
      </c>
      <c r="H17" s="95">
        <v>0</v>
      </c>
      <c r="I17" s="111">
        <v>0.01</v>
      </c>
      <c r="J17" s="93">
        <f>H17*I17</f>
        <v>0</v>
      </c>
      <c r="K17" s="112">
        <v>0</v>
      </c>
      <c r="L17" s="95">
        <v>0</v>
      </c>
      <c r="M17" s="111">
        <v>0.01</v>
      </c>
      <c r="N17" s="93">
        <f>L17*M17</f>
        <v>0</v>
      </c>
    </row>
    <row r="18" spans="1:14">
      <c r="A18" s="115">
        <v>2</v>
      </c>
      <c r="B18" s="115" t="s">
        <v>332</v>
      </c>
      <c r="C18" s="112">
        <v>0</v>
      </c>
      <c r="D18" s="95">
        <v>0</v>
      </c>
      <c r="E18" s="111">
        <v>0.05</v>
      </c>
      <c r="F18" s="93">
        <f>D18*E18</f>
        <v>0</v>
      </c>
      <c r="G18" s="112">
        <v>0</v>
      </c>
      <c r="H18" s="95">
        <v>0</v>
      </c>
      <c r="I18" s="111">
        <v>0.05</v>
      </c>
      <c r="J18" s="93">
        <f>H18*I18</f>
        <v>0</v>
      </c>
      <c r="K18" s="112">
        <v>0</v>
      </c>
      <c r="L18" s="95">
        <v>0</v>
      </c>
      <c r="M18" s="111">
        <v>0.05</v>
      </c>
      <c r="N18" s="93">
        <f>L18*M18</f>
        <v>0</v>
      </c>
    </row>
    <row r="19" spans="1:14">
      <c r="A19" s="115">
        <v>3</v>
      </c>
      <c r="B19" s="115" t="s">
        <v>333</v>
      </c>
      <c r="C19" s="112">
        <v>0</v>
      </c>
      <c r="D19" s="95">
        <v>0</v>
      </c>
      <c r="E19" s="111">
        <v>0.25</v>
      </c>
      <c r="F19" s="93">
        <f>D19*E19</f>
        <v>0</v>
      </c>
      <c r="G19" s="112">
        <v>0</v>
      </c>
      <c r="H19" s="95">
        <v>0</v>
      </c>
      <c r="I19" s="111">
        <v>0.25</v>
      </c>
      <c r="J19" s="93">
        <f>H19*I19</f>
        <v>0</v>
      </c>
      <c r="K19" s="112">
        <v>0</v>
      </c>
      <c r="L19" s="95">
        <v>0</v>
      </c>
      <c r="M19" s="111">
        <v>0.25</v>
      </c>
      <c r="N19" s="93">
        <f>L19*M19</f>
        <v>0</v>
      </c>
    </row>
    <row r="20" spans="1:14">
      <c r="A20" s="115">
        <v>4</v>
      </c>
      <c r="B20" s="115" t="s">
        <v>334</v>
      </c>
      <c r="C20" s="112">
        <v>0</v>
      </c>
      <c r="D20" s="95">
        <v>0</v>
      </c>
      <c r="E20" s="111">
        <v>0.5</v>
      </c>
      <c r="F20" s="93">
        <f>D20*E20</f>
        <v>0</v>
      </c>
      <c r="G20" s="112">
        <v>0</v>
      </c>
      <c r="H20" s="95">
        <v>0</v>
      </c>
      <c r="I20" s="111">
        <v>0.5</v>
      </c>
      <c r="J20" s="93">
        <f>H20*I20</f>
        <v>0</v>
      </c>
      <c r="K20" s="112">
        <v>0</v>
      </c>
      <c r="L20" s="95">
        <v>0</v>
      </c>
      <c r="M20" s="111">
        <v>0.5</v>
      </c>
      <c r="N20" s="93">
        <f>L20*M20</f>
        <v>0</v>
      </c>
    </row>
    <row r="21" spans="1:14">
      <c r="A21" s="115">
        <v>5</v>
      </c>
      <c r="B21" s="115" t="s">
        <v>335</v>
      </c>
      <c r="C21" s="112">
        <v>0</v>
      </c>
      <c r="D21" s="95">
        <v>0</v>
      </c>
      <c r="E21" s="111">
        <v>1</v>
      </c>
      <c r="F21" s="93">
        <f>D21*E21</f>
        <v>0</v>
      </c>
      <c r="G21" s="112">
        <v>0</v>
      </c>
      <c r="H21" s="95">
        <v>0</v>
      </c>
      <c r="I21" s="111">
        <v>1</v>
      </c>
      <c r="J21" s="93">
        <f>H21*I21</f>
        <v>0</v>
      </c>
      <c r="K21" s="112">
        <v>0</v>
      </c>
      <c r="L21" s="95">
        <v>0</v>
      </c>
      <c r="M21" s="111">
        <v>1</v>
      </c>
      <c r="N21" s="93">
        <f>L21*M21</f>
        <v>0</v>
      </c>
    </row>
    <row r="22" spans="1:14">
      <c r="A22" s="115"/>
      <c r="B22" s="108" t="s">
        <v>336</v>
      </c>
      <c r="C22" s="110">
        <f>SUM(C16:C21)</f>
        <v>0</v>
      </c>
      <c r="D22" s="94">
        <f>SUM(D16:D21)</f>
        <v>0</v>
      </c>
      <c r="E22" s="108"/>
      <c r="F22" s="94">
        <f>SUM(F16:F21)</f>
        <v>0</v>
      </c>
      <c r="G22" s="110">
        <f>SUM(G16:G21)</f>
        <v>0</v>
      </c>
      <c r="H22" s="94">
        <f>SUM(H16:H21)</f>
        <v>0</v>
      </c>
      <c r="I22" s="108"/>
      <c r="J22" s="94">
        <f>SUM(J16:J21)</f>
        <v>0</v>
      </c>
      <c r="K22" s="110">
        <f>SUM(K16:K21)</f>
        <v>0</v>
      </c>
      <c r="L22" s="94">
        <f>SUM(L16:L21)</f>
        <v>0</v>
      </c>
      <c r="M22" s="108"/>
      <c r="N22" s="94">
        <f>SUM(N16:N21)</f>
        <v>0</v>
      </c>
    </row>
    <row r="23" spans="1:14">
      <c r="A23" s="115"/>
      <c r="B23" s="87" t="s">
        <v>339</v>
      </c>
      <c r="C23" s="89">
        <f>C15+C22</f>
        <v>3339</v>
      </c>
      <c r="D23" s="92">
        <f>D15+D22</f>
        <v>190829437.20000002</v>
      </c>
      <c r="E23" s="87"/>
      <c r="F23" s="92">
        <f>F15+F22</f>
        <v>14677932.3113</v>
      </c>
      <c r="G23" s="89">
        <f>G15+G22</f>
        <v>0</v>
      </c>
      <c r="H23" s="92">
        <f>H15+H22</f>
        <v>0</v>
      </c>
      <c r="I23" s="87"/>
      <c r="J23" s="92">
        <f>J15+J22</f>
        <v>0</v>
      </c>
      <c r="K23" s="89">
        <f>K15+K22</f>
        <v>0</v>
      </c>
      <c r="L23" s="92">
        <f>L15+L22</f>
        <v>0</v>
      </c>
      <c r="M23" s="87"/>
      <c r="N23" s="92">
        <f>N15+N22</f>
        <v>0</v>
      </c>
    </row>
    <row r="24" spans="1:14">
      <c r="A24" s="114"/>
      <c r="B24" s="86" t="s">
        <v>117</v>
      </c>
      <c r="C24" s="85"/>
      <c r="D24" s="91">
        <f>SUM(D12:D14)</f>
        <v>21315932.98</v>
      </c>
      <c r="E24" s="86"/>
      <c r="F24" s="85"/>
      <c r="G24" s="85"/>
      <c r="H24" s="91">
        <f>SUM(H12:H14)</f>
        <v>0</v>
      </c>
      <c r="I24" s="86"/>
      <c r="J24" s="85"/>
      <c r="K24" s="85"/>
      <c r="L24" s="91">
        <f>SUM(L12:L14)</f>
        <v>0</v>
      </c>
      <c r="M24" s="86"/>
      <c r="N24" s="85"/>
    </row>
    <row r="25" spans="1:14">
      <c r="A25" s="114"/>
      <c r="B25" s="86" t="s">
        <v>340</v>
      </c>
      <c r="C25" s="85"/>
      <c r="D25" s="90">
        <f>D24/D23</f>
        <v>0.11170149266677185</v>
      </c>
      <c r="E25" s="86"/>
      <c r="F25" s="85"/>
      <c r="G25" s="85"/>
      <c r="H25" s="90" t="e">
        <f>H24/H23</f>
        <v>#DIV/0!</v>
      </c>
      <c r="I25" s="86"/>
      <c r="J25" s="85"/>
      <c r="K25" s="85"/>
      <c r="L25" s="90" t="e">
        <f>L24/L23</f>
        <v>#DIV/0!</v>
      </c>
      <c r="M25" s="86"/>
      <c r="N25" s="85"/>
    </row>
    <row r="26" spans="1:14">
      <c r="A26" s="114"/>
      <c r="B26" s="88" t="s">
        <v>341</v>
      </c>
      <c r="C26" s="88"/>
      <c r="D26" s="171">
        <f>F23-D28</f>
        <v>190476.31130000018</v>
      </c>
      <c r="E26" s="88"/>
      <c r="F26" s="117"/>
      <c r="J26" s="118"/>
      <c r="N26" s="118" t="e">
        <f>N23-Trend!#REF!</f>
        <v>#REF!</v>
      </c>
    </row>
    <row r="27" spans="1:14">
      <c r="A27" s="438" t="s">
        <v>342</v>
      </c>
      <c r="B27" s="438"/>
      <c r="C27" s="438"/>
      <c r="D27" s="438"/>
      <c r="E27" s="438"/>
      <c r="F27" s="438"/>
    </row>
    <row r="28" spans="1:14" ht="28.15">
      <c r="A28" s="107"/>
      <c r="B28" s="107" t="s">
        <v>343</v>
      </c>
      <c r="C28" s="107"/>
      <c r="D28" s="170">
        <v>14487456</v>
      </c>
      <c r="E28" s="107"/>
      <c r="F28" s="107"/>
    </row>
    <row r="29" spans="1:14">
      <c r="A29" s="116"/>
      <c r="B29" s="106" t="s">
        <v>344</v>
      </c>
      <c r="C29" s="105"/>
      <c r="D29" s="104"/>
      <c r="E29" s="104"/>
      <c r="F29" s="104"/>
    </row>
    <row r="30" spans="1:14">
      <c r="A30" s="116"/>
      <c r="B30" s="434" t="s">
        <v>345</v>
      </c>
      <c r="C30" s="434"/>
      <c r="D30" s="434"/>
      <c r="E30" s="434"/>
      <c r="F30" s="434"/>
    </row>
    <row r="31" spans="1:14">
      <c r="A31" s="116"/>
      <c r="B31" s="434" t="s">
        <v>346</v>
      </c>
      <c r="C31" s="434"/>
      <c r="D31" s="434"/>
      <c r="E31" s="434"/>
      <c r="F31" s="434"/>
    </row>
    <row r="32" spans="1:14">
      <c r="A32" s="116"/>
      <c r="B32" s="105" t="s">
        <v>347</v>
      </c>
      <c r="C32" s="105"/>
      <c r="D32" s="104"/>
      <c r="E32" s="104"/>
      <c r="F32" s="104"/>
    </row>
    <row r="33" spans="1:6">
      <c r="A33" s="116"/>
      <c r="B33" s="434" t="s">
        <v>348</v>
      </c>
      <c r="C33" s="434"/>
      <c r="D33" s="434"/>
      <c r="E33" s="434"/>
      <c r="F33" s="434"/>
    </row>
    <row r="34" spans="1:6">
      <c r="A34" s="116"/>
      <c r="B34" s="105" t="s">
        <v>349</v>
      </c>
      <c r="C34" s="105"/>
      <c r="D34" s="104"/>
      <c r="E34" s="104"/>
      <c r="F34" s="104"/>
    </row>
    <row r="35" spans="1:6">
      <c r="A35" s="102"/>
      <c r="B35" s="102"/>
      <c r="C35" s="102"/>
      <c r="D35" s="102"/>
      <c r="E35" s="102"/>
      <c r="F35" s="102"/>
    </row>
    <row r="36" spans="1:6">
      <c r="A36" s="102"/>
      <c r="B36" s="102"/>
      <c r="C36" s="102"/>
      <c r="D36" s="102"/>
      <c r="E36" s="102"/>
      <c r="F36" s="102"/>
    </row>
    <row r="37" spans="1:6">
      <c r="A37" s="102"/>
      <c r="B37" s="80"/>
      <c r="C37" s="102"/>
      <c r="D37" s="80"/>
      <c r="E37" s="79"/>
      <c r="F37" s="78"/>
    </row>
    <row r="38" spans="1:6">
      <c r="A38" s="102"/>
      <c r="B38" s="80"/>
      <c r="C38" s="102"/>
      <c r="D38" s="80"/>
      <c r="E38" s="79"/>
      <c r="F38" s="78"/>
    </row>
    <row r="39" spans="1:6">
      <c r="A39" s="102"/>
      <c r="B39" s="80"/>
      <c r="C39" s="102"/>
      <c r="D39" s="80"/>
      <c r="E39" s="79"/>
      <c r="F39" s="78"/>
    </row>
    <row r="40" spans="1:6">
      <c r="A40" s="102"/>
      <c r="B40" s="80"/>
      <c r="C40" s="102"/>
      <c r="D40" s="80"/>
      <c r="E40" s="79"/>
      <c r="F40" s="78"/>
    </row>
    <row r="41" spans="1:6">
      <c r="A41" s="102"/>
      <c r="B41" s="80"/>
      <c r="C41" s="102"/>
      <c r="D41" s="80"/>
      <c r="E41" s="79"/>
      <c r="F41" s="78"/>
    </row>
    <row r="42" spans="1:6">
      <c r="A42" s="102"/>
      <c r="B42" s="102"/>
      <c r="C42" s="102"/>
      <c r="D42" s="77"/>
      <c r="E42" s="102"/>
      <c r="F42" s="78"/>
    </row>
    <row r="43" spans="1:6">
      <c r="A43" s="102"/>
      <c r="B43" s="102"/>
      <c r="C43" s="102"/>
      <c r="D43" s="102"/>
      <c r="E43" s="102"/>
      <c r="F43" s="102"/>
    </row>
    <row r="44" spans="1:6">
      <c r="A44" s="102"/>
      <c r="B44" s="102"/>
      <c r="C44" s="102"/>
      <c r="D44" s="102"/>
      <c r="E44" s="102"/>
      <c r="F44" s="102"/>
    </row>
    <row r="45" spans="1:6">
      <c r="A45" s="102"/>
      <c r="B45" s="102"/>
      <c r="C45" s="102"/>
      <c r="D45" s="102"/>
      <c r="E45" s="102"/>
      <c r="F45" s="102"/>
    </row>
  </sheetData>
  <mergeCells count="9">
    <mergeCell ref="K8:N8"/>
    <mergeCell ref="B33:F33"/>
    <mergeCell ref="C8:F8"/>
    <mergeCell ref="G8:J8"/>
    <mergeCell ref="B2:F2"/>
    <mergeCell ref="B7:F7"/>
    <mergeCell ref="A27:F27"/>
    <mergeCell ref="B30:F30"/>
    <mergeCell ref="B31:F3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  <_Flow_SignoffStatus xmlns="df647032-17c5-4266-af02-4596a72daf50" xsi:nil="true"/>
  </documentManagement>
</p:properties>
</file>

<file path=customXml/itemProps1.xml><?xml version="1.0" encoding="utf-8"?>
<ds:datastoreItem xmlns:ds="http://schemas.openxmlformats.org/officeDocument/2006/customXml" ds:itemID="{2B55E260-31AE-4D2B-BF9B-ADDF005BAFF8}"/>
</file>

<file path=customXml/itemProps2.xml><?xml version="1.0" encoding="utf-8"?>
<ds:datastoreItem xmlns:ds="http://schemas.openxmlformats.org/officeDocument/2006/customXml" ds:itemID="{9BC1ADE8-909C-4597-B7BD-D0599432EE19}"/>
</file>

<file path=customXml/itemProps3.xml><?xml version="1.0" encoding="utf-8"?>
<ds:datastoreItem xmlns:ds="http://schemas.openxmlformats.org/officeDocument/2006/customXml" ds:itemID="{7412CFBF-0CA3-4F9D-AECB-E6347ED321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wilfred</dc:creator>
  <cp:keywords/>
  <dc:description/>
  <cp:lastModifiedBy>Brian Nzioka</cp:lastModifiedBy>
  <cp:revision/>
  <dcterms:created xsi:type="dcterms:W3CDTF">2012-07-31T14:31:17Z</dcterms:created>
  <dcterms:modified xsi:type="dcterms:W3CDTF">2023-07-17T06:40:51Z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a02b3b2-3762-4506-88a3-8b8c11cc60e6_Enabled">
    <vt:lpwstr>true</vt:lpwstr>
  </property>
  <property fmtid="{D5CDD505-2E9C-101B-9397-08002B2CF9AE}" pid="3" name="MSIP_Label_7a02b3b2-3762-4506-88a3-8b8c11cc60e6_SetDate">
    <vt:lpwstr>2022-02-09T10:18:20Z</vt:lpwstr>
  </property>
  <property fmtid="{D5CDD505-2E9C-101B-9397-08002B2CF9AE}" pid="4" name="MSIP_Label_7a02b3b2-3762-4506-88a3-8b8c11cc60e6_Method">
    <vt:lpwstr>Privileged</vt:lpwstr>
  </property>
  <property fmtid="{D5CDD505-2E9C-101B-9397-08002B2CF9AE}" pid="5" name="MSIP_Label_7a02b3b2-3762-4506-88a3-8b8c11cc60e6_Name">
    <vt:lpwstr>Internal Use</vt:lpwstr>
  </property>
  <property fmtid="{D5CDD505-2E9C-101B-9397-08002B2CF9AE}" pid="6" name="MSIP_Label_7a02b3b2-3762-4506-88a3-8b8c11cc60e6_SiteId">
    <vt:lpwstr>d6c8161d-ccd5-4325-b291-dd442c369fe4</vt:lpwstr>
  </property>
  <property fmtid="{D5CDD505-2E9C-101B-9397-08002B2CF9AE}" pid="7" name="MSIP_Label_7a02b3b2-3762-4506-88a3-8b8c11cc60e6_ActionId">
    <vt:lpwstr>6d23a9e9-29e0-44b7-8263-38e4d67efe70</vt:lpwstr>
  </property>
  <property fmtid="{D5CDD505-2E9C-101B-9397-08002B2CF9AE}" pid="8" name="MSIP_Label_7a02b3b2-3762-4506-88a3-8b8c11cc60e6_ContentBits">
    <vt:lpwstr>0</vt:lpwstr>
  </property>
  <property fmtid="{D5CDD505-2E9C-101B-9397-08002B2CF9AE}" pid="9" name="ContentTypeId">
    <vt:lpwstr>0x010100F4FB27488935CD4FBFBB981DE553EA38</vt:lpwstr>
  </property>
  <property fmtid="{D5CDD505-2E9C-101B-9397-08002B2CF9AE}" pid="10" name="MediaServiceImageTags">
    <vt:lpwstr/>
  </property>
</Properties>
</file>